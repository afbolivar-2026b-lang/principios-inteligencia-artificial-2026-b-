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" sheetId="1" state="visible" r:id="rId3"/>
    <sheet name="Cómo usarlo" sheetId="2" state="visible" r:id="rId4"/>
    <sheet name="Cobros" sheetId="3" state="visible" r:id="rId5"/>
    <sheet name="Ventas" sheetId="4" state="visible" r:id="rId6"/>
    <sheet name="Gastos" sheetId="5" state="visible" r:id="rId7"/>
    <sheet name="Cálculos" sheetId="6" state="visible" r:id="rId8"/>
    <sheet name="Listas" sheetId="7" state="visible" r:id="rId9"/>
  </sheets>
  <definedNames>
    <definedName function="false" hidden="false" localSheetId="0" name="_xlnm.Print_Area" vbProcedure="false">Tablero!$A$1:$AP$69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Elija el año (lista desplegable).</t>
        </r>
      </text>
    </comment>
    <comment ref="B8" authorId="0">
      <text>
        <r>
          <rPr>
            <sz val="10"/>
            <rFont val="Arial"/>
            <family val="2"/>
          </rPr>
          <t xml:space="preserve">Todos o un mes. Las gráficas por mes siempre muestran el año completo.</t>
        </r>
      </text>
    </comment>
    <comment ref="B11" authorId="0">
      <text>
        <r>
          <rPr>
            <sz val="10"/>
            <rFont val="Arial"/>
            <family val="2"/>
          </rPr>
          <t xml:space="preserve">Todos o una persona.</t>
        </r>
      </text>
    </comment>
    <comment ref="B14" authorId="0">
      <text>
        <r>
          <rPr>
            <sz val="10"/>
            <rFont val="Arial"/>
            <family val="2"/>
          </rPr>
          <t xml:space="preserve">Dato que pone usted: cuánto espera vender al día (parqueo + tienda). Valor de ejemplo.</t>
        </r>
      </text>
    </comment>
  </commentList>
</comments>
</file>

<file path=xl/sharedStrings.xml><?xml version="1.0" encoding="utf-8"?>
<sst xmlns="http://schemas.openxmlformats.org/spreadsheetml/2006/main" count="19905" uniqueCount="1155">
  <si>
    <t xml:space="preserve">TABLERO DEL PARQUEADERO</t>
  </si>
  <si>
    <t xml:space="preserve">AÑO</t>
  </si>
  <si>
    <t xml:space="preserve">Ingresos totales</t>
  </si>
  <si>
    <t xml:space="preserve">Vehículos atendidos</t>
  </si>
  <si>
    <t xml:space="preserve">Cobro promedio</t>
  </si>
  <si>
    <t xml:space="preserve">Ventas de la tienda</t>
  </si>
  <si>
    <t xml:space="preserve">Margen de la tienda</t>
  </si>
  <si>
    <t xml:space="preserve">Tiempo promedio (min)</t>
  </si>
  <si>
    <t xml:space="preserve">Visitas que vuelven</t>
  </si>
  <si>
    <t xml:space="preserve">Crecimiento vs mes anterior</t>
  </si>
  <si>
    <t xml:space="preserve">Cumplimiento de la meta</t>
  </si>
  <si>
    <t xml:space="preserve">$</t>
  </si>
  <si>
    <t xml:space="preserve">🚗</t>
  </si>
  <si>
    <t xml:space="preserve">⏱</t>
  </si>
  <si>
    <t xml:space="preserve">🛒</t>
  </si>
  <si>
    <t xml:space="preserve">%</t>
  </si>
  <si>
    <t xml:space="preserve">🕑</t>
  </si>
  <si>
    <t xml:space="preserve">↻</t>
  </si>
  <si>
    <t xml:space="preserve">▲</t>
  </si>
  <si>
    <t xml:space="preserve">◎</t>
  </si>
  <si>
    <t xml:space="preserve">MES</t>
  </si>
  <si>
    <t xml:space="preserve">Todos</t>
  </si>
  <si>
    <t xml:space="preserve">TRABAJADOR</t>
  </si>
  <si>
    <t xml:space="preserve">META DE VENTAS POR DÍA</t>
  </si>
  <si>
    <t xml:space="preserve">Las celdas blancas tienen una lista: toque la flechita para cambiar el filtro.</t>
  </si>
  <si>
    <t xml:space="preserve">CÓMO USAR ESTE TABLERO</t>
  </si>
  <si>
    <t xml:space="preserve">1. En la app entre a Tablero, elija el año y toque "Datos para el Excel". Se descarga un archivo con las hojas Cobros, Ventas, Gastos y Listas.</t>
  </si>
  <si>
    <t xml:space="preserve">2. Abra ese archivo, copie las columnas de cada hoja (desde la fila 2) y péguelas en la hoja del mismo nombre de este Excel, desde la celda A2.</t>
  </si>
  <si>
    <t xml:space="preserve">   Antes de pegar, borre los datos de ejemplo (texto azul) de las columnas A a I (Cobros), A a H (Ventas) y A a C (Gastos).</t>
  </si>
  <si>
    <t xml:space="preserve">3. Vaya a la hoja Tablero y use los filtros de la izquierda: Año, Mes y Trabajador. Todo se recalcula solo.</t>
  </si>
  <si>
    <t xml:space="preserve">4. Copie también los nombres de la hoja Listas del archivo descargado: trabajadores en Listas!D3 y categorías en Listas!F2 de este Excel.</t>
  </si>
  <si>
    <t xml:space="preserve">5. La META DE VENTAS POR DÍA (celda amarilla) la pone usted.</t>
  </si>
  <si>
    <t xml:space="preserve">Qué celdas se tocan: solo los filtros (celdas blancas con lista), la meta (amarilla) y los datos pegados (texto azul).</t>
  </si>
  <si>
    <t xml:space="preserve">Todo lo demás son fórmulas: no las borre.</t>
  </si>
  <si>
    <t xml:space="preserve">Las hojas tienen espacio para 5.000 cobros y 5.000 ventas por archivo (más o menos un año). Para más, haga un archivo por año.</t>
  </si>
  <si>
    <t xml:space="preserve">Los datos que trae este archivo son DE EJEMPLO (inventados) para que vea cómo se ve con datos. Reemplácelos por los suyos.</t>
  </si>
  <si>
    <t xml:space="preserve">Las gráficas por mes muestran el año elegido completo; los indicadores de arriba y las gráficas de categorías respetan también el filtro de mes.</t>
  </si>
  <si>
    <t xml:space="preserve">Fecha y hora de salida</t>
  </si>
  <si>
    <t xml:space="preserve">Hora de entrada</t>
  </si>
  <si>
    <t xml:space="preserve">Placa</t>
  </si>
  <si>
    <t xml:space="preserve">Vehículo</t>
  </si>
  <si>
    <t xml:space="preserve">Minutos</t>
  </si>
  <si>
    <t xml:space="preserve">Total ($)</t>
  </si>
  <si>
    <t xml:space="preserve">Pago</t>
  </si>
  <si>
    <t xml:space="preserve">Atendió</t>
  </si>
  <si>
    <t xml:space="preserve">Modalidad</t>
  </si>
  <si>
    <t xml:space="preserve">Año</t>
  </si>
  <si>
    <t xml:space="preserve">Mes</t>
  </si>
  <si>
    <t xml:space="preserve">Hora llegada</t>
  </si>
  <si>
    <t xml:space="preserve">Primera vez en el año</t>
  </si>
  <si>
    <t xml:space="preserve">Columnas A a I: pegue aquí los cobros que descarga la app (Tablero › "Datos para el Excel"). Las columnas J a M se calculan solas.</t>
  </si>
  <si>
    <t xml:space="preserve">07:35</t>
  </si>
  <si>
    <t xml:space="preserve">RCF274</t>
  </si>
  <si>
    <t xml:space="preserve">Moto</t>
  </si>
  <si>
    <t xml:space="preserve">Fiado</t>
  </si>
  <si>
    <t xml:space="preserve">Luisa Trujillo</t>
  </si>
  <si>
    <t xml:space="preserve">Mensualidad</t>
  </si>
  <si>
    <t xml:space="preserve">09:16</t>
  </si>
  <si>
    <t xml:space="preserve">LKA249</t>
  </si>
  <si>
    <t xml:space="preserve">Efectivo</t>
  </si>
  <si>
    <t xml:space="preserve">Carlos Perdomo</t>
  </si>
  <si>
    <t xml:space="preserve">Por tiempo</t>
  </si>
  <si>
    <t xml:space="preserve">17:24</t>
  </si>
  <si>
    <t xml:space="preserve">YBV699</t>
  </si>
  <si>
    <t xml:space="preserve">07:34</t>
  </si>
  <si>
    <t xml:space="preserve">JMD660</t>
  </si>
  <si>
    <t xml:space="preserve">Carro</t>
  </si>
  <si>
    <t xml:space="preserve">06:36</t>
  </si>
  <si>
    <t xml:space="preserve">FMW126</t>
  </si>
  <si>
    <t xml:space="preserve">Transferencia</t>
  </si>
  <si>
    <t xml:space="preserve">08:21</t>
  </si>
  <si>
    <t xml:space="preserve">YDH745</t>
  </si>
  <si>
    <t xml:space="preserve">Tractomula</t>
  </si>
  <si>
    <t xml:space="preserve">10:01</t>
  </si>
  <si>
    <t xml:space="preserve">NWB204</t>
  </si>
  <si>
    <t xml:space="preserve">16:33</t>
  </si>
  <si>
    <t xml:space="preserve">XVL448</t>
  </si>
  <si>
    <t xml:space="preserve">16:01</t>
  </si>
  <si>
    <t xml:space="preserve">RHG630</t>
  </si>
  <si>
    <t xml:space="preserve">Dividido</t>
  </si>
  <si>
    <t xml:space="preserve">Andrea Bolívar</t>
  </si>
  <si>
    <t xml:space="preserve">07:00</t>
  </si>
  <si>
    <t xml:space="preserve">KEC280</t>
  </si>
  <si>
    <t xml:space="preserve">Monedero</t>
  </si>
  <si>
    <t xml:space="preserve">10:32</t>
  </si>
  <si>
    <t xml:space="preserve">VKC247</t>
  </si>
  <si>
    <t xml:space="preserve">07:40</t>
  </si>
  <si>
    <t xml:space="preserve">MEH507</t>
  </si>
  <si>
    <t xml:space="preserve">Bus</t>
  </si>
  <si>
    <t xml:space="preserve">07:08</t>
  </si>
  <si>
    <t xml:space="preserve">WLX328</t>
  </si>
  <si>
    <t xml:space="preserve">19:45</t>
  </si>
  <si>
    <t xml:space="preserve">ZMS225</t>
  </si>
  <si>
    <t xml:space="preserve">10:23</t>
  </si>
  <si>
    <t xml:space="preserve">TMF725</t>
  </si>
  <si>
    <t xml:space="preserve">15:06</t>
  </si>
  <si>
    <t xml:space="preserve">MTG396</t>
  </si>
  <si>
    <t xml:space="preserve">20:19</t>
  </si>
  <si>
    <t xml:space="preserve">LBF376</t>
  </si>
  <si>
    <t xml:space="preserve">17:00</t>
  </si>
  <si>
    <t xml:space="preserve">CCU196</t>
  </si>
  <si>
    <t xml:space="preserve">08:02</t>
  </si>
  <si>
    <t xml:space="preserve">HLE600</t>
  </si>
  <si>
    <t xml:space="preserve">11:05</t>
  </si>
  <si>
    <t xml:space="preserve">06:57</t>
  </si>
  <si>
    <t xml:space="preserve">PXC954</t>
  </si>
  <si>
    <t xml:space="preserve">13:49</t>
  </si>
  <si>
    <t xml:space="preserve">14:04</t>
  </si>
  <si>
    <t xml:space="preserve">GUU234</t>
  </si>
  <si>
    <t xml:space="preserve">08:14</t>
  </si>
  <si>
    <t xml:space="preserve">SEB857</t>
  </si>
  <si>
    <t xml:space="preserve">08:03</t>
  </si>
  <si>
    <t xml:space="preserve">XEK529</t>
  </si>
  <si>
    <t xml:space="preserve">Convenio</t>
  </si>
  <si>
    <t xml:space="preserve">16:02</t>
  </si>
  <si>
    <t xml:space="preserve">06:29</t>
  </si>
  <si>
    <t xml:space="preserve">BAX205</t>
  </si>
  <si>
    <t xml:space="preserve">06:22</t>
  </si>
  <si>
    <t xml:space="preserve">ZSY458</t>
  </si>
  <si>
    <t xml:space="preserve">13:40</t>
  </si>
  <si>
    <t xml:space="preserve">RBH147</t>
  </si>
  <si>
    <t xml:space="preserve">18:09</t>
  </si>
  <si>
    <t xml:space="preserve">15:16</t>
  </si>
  <si>
    <t xml:space="preserve">RYM123</t>
  </si>
  <si>
    <t xml:space="preserve">20:40</t>
  </si>
  <si>
    <t xml:space="preserve">08:53</t>
  </si>
  <si>
    <t xml:space="preserve">TXE726</t>
  </si>
  <si>
    <t xml:space="preserve">Chiva</t>
  </si>
  <si>
    <t xml:space="preserve">06:46</t>
  </si>
  <si>
    <t xml:space="preserve">SLR699</t>
  </si>
  <si>
    <t xml:space="preserve">09:43</t>
  </si>
  <si>
    <t xml:space="preserve">FSB323</t>
  </si>
  <si>
    <t xml:space="preserve">08:05</t>
  </si>
  <si>
    <t xml:space="preserve">RLT738</t>
  </si>
  <si>
    <t xml:space="preserve">15:02</t>
  </si>
  <si>
    <t xml:space="preserve">11:24</t>
  </si>
  <si>
    <t xml:space="preserve">TTY282</t>
  </si>
  <si>
    <t xml:space="preserve">08:43</t>
  </si>
  <si>
    <t xml:space="preserve">SBY179</t>
  </si>
  <si>
    <t xml:space="preserve">14:09</t>
  </si>
  <si>
    <t xml:space="preserve">10:46</t>
  </si>
  <si>
    <t xml:space="preserve">TMK354</t>
  </si>
  <si>
    <t xml:space="preserve">12:26</t>
  </si>
  <si>
    <t xml:space="preserve">FHS301</t>
  </si>
  <si>
    <t xml:space="preserve">12:14</t>
  </si>
  <si>
    <t xml:space="preserve">PMC325</t>
  </si>
  <si>
    <t xml:space="preserve">16:41</t>
  </si>
  <si>
    <t xml:space="preserve">XPB946</t>
  </si>
  <si>
    <t xml:space="preserve">17:47</t>
  </si>
  <si>
    <t xml:space="preserve">09:27</t>
  </si>
  <si>
    <t xml:space="preserve">PAL667</t>
  </si>
  <si>
    <t xml:space="preserve">06:55</t>
  </si>
  <si>
    <t xml:space="preserve">BVE649</t>
  </si>
  <si>
    <t xml:space="preserve">08:35</t>
  </si>
  <si>
    <t xml:space="preserve">MDE833</t>
  </si>
  <si>
    <t xml:space="preserve">13:37</t>
  </si>
  <si>
    <t xml:space="preserve">FSR591</t>
  </si>
  <si>
    <t xml:space="preserve">15:24</t>
  </si>
  <si>
    <t xml:space="preserve">YLE807</t>
  </si>
  <si>
    <t xml:space="preserve">20:20</t>
  </si>
  <si>
    <t xml:space="preserve">JBC544</t>
  </si>
  <si>
    <t xml:space="preserve">07:06</t>
  </si>
  <si>
    <t xml:space="preserve">VWD669</t>
  </si>
  <si>
    <t xml:space="preserve">08:57</t>
  </si>
  <si>
    <t xml:space="preserve">SCH192</t>
  </si>
  <si>
    <t xml:space="preserve">11:47</t>
  </si>
  <si>
    <t xml:space="preserve">SMY489</t>
  </si>
  <si>
    <t xml:space="preserve">12:49</t>
  </si>
  <si>
    <t xml:space="preserve">BCJ936</t>
  </si>
  <si>
    <t xml:space="preserve">15:50</t>
  </si>
  <si>
    <t xml:space="preserve">NRK723</t>
  </si>
  <si>
    <t xml:space="preserve">07:26</t>
  </si>
  <si>
    <t xml:space="preserve">VMA128</t>
  </si>
  <si>
    <t xml:space="preserve">09:57</t>
  </si>
  <si>
    <t xml:space="preserve">FNZ868</t>
  </si>
  <si>
    <t xml:space="preserve">07:58</t>
  </si>
  <si>
    <t xml:space="preserve">12:43</t>
  </si>
  <si>
    <t xml:space="preserve">ZGH937</t>
  </si>
  <si>
    <t xml:space="preserve">09:31</t>
  </si>
  <si>
    <t xml:space="preserve">WME806</t>
  </si>
  <si>
    <t xml:space="preserve">09:00</t>
  </si>
  <si>
    <t xml:space="preserve">17:05</t>
  </si>
  <si>
    <t xml:space="preserve">PFM890</t>
  </si>
  <si>
    <t xml:space="preserve">19:25</t>
  </si>
  <si>
    <t xml:space="preserve">JZJ563</t>
  </si>
  <si>
    <t xml:space="preserve">16:04</t>
  </si>
  <si>
    <t xml:space="preserve">GAE704</t>
  </si>
  <si>
    <t xml:space="preserve">09:09</t>
  </si>
  <si>
    <t xml:space="preserve">VZY166</t>
  </si>
  <si>
    <t xml:space="preserve">19:54</t>
  </si>
  <si>
    <t xml:space="preserve">08:23</t>
  </si>
  <si>
    <t xml:space="preserve">07:13</t>
  </si>
  <si>
    <t xml:space="preserve">WWX792</t>
  </si>
  <si>
    <t xml:space="preserve">07:36</t>
  </si>
  <si>
    <t xml:space="preserve">RSC270</t>
  </si>
  <si>
    <t xml:space="preserve">09:40</t>
  </si>
  <si>
    <t xml:space="preserve">14:23</t>
  </si>
  <si>
    <t xml:space="preserve">YLJ657</t>
  </si>
  <si>
    <t xml:space="preserve">19:29</t>
  </si>
  <si>
    <t xml:space="preserve">CRY917</t>
  </si>
  <si>
    <t xml:space="preserve">17:26</t>
  </si>
  <si>
    <t xml:space="preserve">NCN574</t>
  </si>
  <si>
    <t xml:space="preserve">07:30</t>
  </si>
  <si>
    <t xml:space="preserve">KUU897</t>
  </si>
  <si>
    <t xml:space="preserve">13:30</t>
  </si>
  <si>
    <t xml:space="preserve">14:22</t>
  </si>
  <si>
    <t xml:space="preserve">12:25</t>
  </si>
  <si>
    <t xml:space="preserve">15:38</t>
  </si>
  <si>
    <t xml:space="preserve">10:09</t>
  </si>
  <si>
    <t xml:space="preserve">16:48</t>
  </si>
  <si>
    <t xml:space="preserve">17:43</t>
  </si>
  <si>
    <t xml:space="preserve">06:01</t>
  </si>
  <si>
    <t xml:space="preserve">06:54</t>
  </si>
  <si>
    <t xml:space="preserve">GHY338</t>
  </si>
  <si>
    <t xml:space="preserve">08:16</t>
  </si>
  <si>
    <t xml:space="preserve">11:31</t>
  </si>
  <si>
    <t xml:space="preserve">17:23</t>
  </si>
  <si>
    <t xml:space="preserve">19:37</t>
  </si>
  <si>
    <t xml:space="preserve">CFG419</t>
  </si>
  <si>
    <t xml:space="preserve">19:16</t>
  </si>
  <si>
    <t xml:space="preserve">HTA310</t>
  </si>
  <si>
    <t xml:space="preserve">16:53</t>
  </si>
  <si>
    <t xml:space="preserve">GUD684</t>
  </si>
  <si>
    <t xml:space="preserve">20:16</t>
  </si>
  <si>
    <t xml:space="preserve">DVB733</t>
  </si>
  <si>
    <t xml:space="preserve">12:54</t>
  </si>
  <si>
    <t xml:space="preserve">08:01</t>
  </si>
  <si>
    <t xml:space="preserve">JRF212</t>
  </si>
  <si>
    <t xml:space="preserve">12:07</t>
  </si>
  <si>
    <t xml:space="preserve">07:42</t>
  </si>
  <si>
    <t xml:space="preserve">06:52</t>
  </si>
  <si>
    <t xml:space="preserve">FLJ590</t>
  </si>
  <si>
    <t xml:space="preserve">11:30</t>
  </si>
  <si>
    <t xml:space="preserve">14:26</t>
  </si>
  <si>
    <t xml:space="preserve">20:28</t>
  </si>
  <si>
    <t xml:space="preserve">YKT606</t>
  </si>
  <si>
    <t xml:space="preserve">15:12</t>
  </si>
  <si>
    <t xml:space="preserve">FUB354</t>
  </si>
  <si>
    <t xml:space="preserve">06:03</t>
  </si>
  <si>
    <t xml:space="preserve">08:19</t>
  </si>
  <si>
    <t xml:space="preserve">YYR391</t>
  </si>
  <si>
    <t xml:space="preserve">08:04</t>
  </si>
  <si>
    <t xml:space="preserve">06:43</t>
  </si>
  <si>
    <t xml:space="preserve">JSY644</t>
  </si>
  <si>
    <t xml:space="preserve">15:55</t>
  </si>
  <si>
    <t xml:space="preserve">15:43</t>
  </si>
  <si>
    <t xml:space="preserve">18:19</t>
  </si>
  <si>
    <t xml:space="preserve">18:51</t>
  </si>
  <si>
    <t xml:space="preserve">09:44</t>
  </si>
  <si>
    <t xml:space="preserve">12:11</t>
  </si>
  <si>
    <t xml:space="preserve">14:42</t>
  </si>
  <si>
    <t xml:space="preserve">15:21</t>
  </si>
  <si>
    <t xml:space="preserve">20:57</t>
  </si>
  <si>
    <t xml:space="preserve">THD507</t>
  </si>
  <si>
    <t xml:space="preserve">10:37</t>
  </si>
  <si>
    <t xml:space="preserve">10:36</t>
  </si>
  <si>
    <t xml:space="preserve">06:26</t>
  </si>
  <si>
    <t xml:space="preserve">10:17</t>
  </si>
  <si>
    <t xml:space="preserve">09:39</t>
  </si>
  <si>
    <t xml:space="preserve">14:47</t>
  </si>
  <si>
    <t xml:space="preserve">WVS817</t>
  </si>
  <si>
    <t xml:space="preserve">06:02</t>
  </si>
  <si>
    <t xml:space="preserve">08:25</t>
  </si>
  <si>
    <t xml:space="preserve">WEP992</t>
  </si>
  <si>
    <t xml:space="preserve">13:57</t>
  </si>
  <si>
    <t xml:space="preserve">DZJ630</t>
  </si>
  <si>
    <t xml:space="preserve">15:45</t>
  </si>
  <si>
    <t xml:space="preserve">RBG168</t>
  </si>
  <si>
    <t xml:space="preserve">GPU385</t>
  </si>
  <si>
    <t xml:space="preserve">20:00</t>
  </si>
  <si>
    <t xml:space="preserve">08:13</t>
  </si>
  <si>
    <t xml:space="preserve">GXJ455</t>
  </si>
  <si>
    <t xml:space="preserve">08:37</t>
  </si>
  <si>
    <t xml:space="preserve">16:18</t>
  </si>
  <si>
    <t xml:space="preserve">13:55</t>
  </si>
  <si>
    <t xml:space="preserve">17:54</t>
  </si>
  <si>
    <t xml:space="preserve">14:14</t>
  </si>
  <si>
    <t xml:space="preserve">HZH183</t>
  </si>
  <si>
    <t xml:space="preserve">19:49</t>
  </si>
  <si>
    <t xml:space="preserve">17:25</t>
  </si>
  <si>
    <t xml:space="preserve">07:09</t>
  </si>
  <si>
    <t xml:space="preserve">07:38</t>
  </si>
  <si>
    <t xml:space="preserve">08:50</t>
  </si>
  <si>
    <t xml:space="preserve">11:20</t>
  </si>
  <si>
    <t xml:space="preserve">14:28</t>
  </si>
  <si>
    <t xml:space="preserve">15:22</t>
  </si>
  <si>
    <t xml:space="preserve">JKT346</t>
  </si>
  <si>
    <t xml:space="preserve">17:12</t>
  </si>
  <si>
    <t xml:space="preserve">08:39</t>
  </si>
  <si>
    <t xml:space="preserve">PWS693</t>
  </si>
  <si>
    <t xml:space="preserve">RDS749</t>
  </si>
  <si>
    <t xml:space="preserve">17:31</t>
  </si>
  <si>
    <t xml:space="preserve">16:24</t>
  </si>
  <si>
    <t xml:space="preserve">LCW976</t>
  </si>
  <si>
    <t xml:space="preserve">19:53</t>
  </si>
  <si>
    <t xml:space="preserve">18:01</t>
  </si>
  <si>
    <t xml:space="preserve">19:05</t>
  </si>
  <si>
    <t xml:space="preserve">09:10</t>
  </si>
  <si>
    <t xml:space="preserve">07:52</t>
  </si>
  <si>
    <t xml:space="preserve">08:24</t>
  </si>
  <si>
    <t xml:space="preserve">09:02</t>
  </si>
  <si>
    <t xml:space="preserve">BEF244</t>
  </si>
  <si>
    <t xml:space="preserve">11:28</t>
  </si>
  <si>
    <t xml:space="preserve">20:45</t>
  </si>
  <si>
    <t xml:space="preserve">08:46</t>
  </si>
  <si>
    <t xml:space="preserve">08:51</t>
  </si>
  <si>
    <t xml:space="preserve">WUG626</t>
  </si>
  <si>
    <t xml:space="preserve">14:52</t>
  </si>
  <si>
    <t xml:space="preserve">17:36</t>
  </si>
  <si>
    <t xml:space="preserve">NGS739</t>
  </si>
  <si>
    <t xml:space="preserve">06:27</t>
  </si>
  <si>
    <t xml:space="preserve">06:21</t>
  </si>
  <si>
    <t xml:space="preserve">JSF544</t>
  </si>
  <si>
    <t xml:space="preserve">11:23</t>
  </si>
  <si>
    <t xml:space="preserve">XAT405</t>
  </si>
  <si>
    <t xml:space="preserve">13:17</t>
  </si>
  <si>
    <t xml:space="preserve">NUL350</t>
  </si>
  <si>
    <t xml:space="preserve">VHR208</t>
  </si>
  <si>
    <t xml:space="preserve">08:45</t>
  </si>
  <si>
    <t xml:space="preserve">08:11</t>
  </si>
  <si>
    <t xml:space="preserve">16:11</t>
  </si>
  <si>
    <t xml:space="preserve">18:31</t>
  </si>
  <si>
    <t xml:space="preserve">19:24</t>
  </si>
  <si>
    <t xml:space="preserve">06:40</t>
  </si>
  <si>
    <t xml:space="preserve">ZMR927</t>
  </si>
  <si>
    <t xml:space="preserve">09:52</t>
  </si>
  <si>
    <t xml:space="preserve">09:12</t>
  </si>
  <si>
    <t xml:space="preserve">11:51</t>
  </si>
  <si>
    <t xml:space="preserve">11:55</t>
  </si>
  <si>
    <t xml:space="preserve">20:54</t>
  </si>
  <si>
    <t xml:space="preserve">08:18</t>
  </si>
  <si>
    <t xml:space="preserve">07:53</t>
  </si>
  <si>
    <t xml:space="preserve">CAA850</t>
  </si>
  <si>
    <t xml:space="preserve">13:22</t>
  </si>
  <si>
    <t xml:space="preserve">16:16</t>
  </si>
  <si>
    <t xml:space="preserve">10:02</t>
  </si>
  <si>
    <t xml:space="preserve">08:20</t>
  </si>
  <si>
    <t xml:space="preserve">11:45</t>
  </si>
  <si>
    <t xml:space="preserve">13:01</t>
  </si>
  <si>
    <t xml:space="preserve">ZAS768</t>
  </si>
  <si>
    <t xml:space="preserve">10:26</t>
  </si>
  <si>
    <t xml:space="preserve">10:08</t>
  </si>
  <si>
    <t xml:space="preserve">11:43</t>
  </si>
  <si>
    <t xml:space="preserve">TNU384</t>
  </si>
  <si>
    <t xml:space="preserve">20:46</t>
  </si>
  <si>
    <t xml:space="preserve">JGA357</t>
  </si>
  <si>
    <t xml:space="preserve">15:49</t>
  </si>
  <si>
    <t xml:space="preserve">GBT826</t>
  </si>
  <si>
    <t xml:space="preserve">20:09</t>
  </si>
  <si>
    <t xml:space="preserve">07:28</t>
  </si>
  <si>
    <t xml:space="preserve">07:50</t>
  </si>
  <si>
    <t xml:space="preserve">10:12</t>
  </si>
  <si>
    <t xml:space="preserve">XET622</t>
  </si>
  <si>
    <t xml:space="preserve">ZTW624</t>
  </si>
  <si>
    <t xml:space="preserve">11:36</t>
  </si>
  <si>
    <t xml:space="preserve">16:57</t>
  </si>
  <si>
    <t xml:space="preserve">07:51</t>
  </si>
  <si>
    <t xml:space="preserve">JHL303</t>
  </si>
  <si>
    <t xml:space="preserve">11:17</t>
  </si>
  <si>
    <t xml:space="preserve">12:52</t>
  </si>
  <si>
    <t xml:space="preserve">KDC371</t>
  </si>
  <si>
    <t xml:space="preserve">16:39</t>
  </si>
  <si>
    <t xml:space="preserve">12:58</t>
  </si>
  <si>
    <t xml:space="preserve">08:12</t>
  </si>
  <si>
    <t xml:space="preserve">08:54</t>
  </si>
  <si>
    <t xml:space="preserve">12:15</t>
  </si>
  <si>
    <t xml:space="preserve">06:23</t>
  </si>
  <si>
    <t xml:space="preserve">WPT233</t>
  </si>
  <si>
    <t xml:space="preserve">07:33</t>
  </si>
  <si>
    <t xml:space="preserve">08:38</t>
  </si>
  <si>
    <t xml:space="preserve">11:26</t>
  </si>
  <si>
    <t xml:space="preserve">16:29</t>
  </si>
  <si>
    <t xml:space="preserve">18:40</t>
  </si>
  <si>
    <t xml:space="preserve">TEP224</t>
  </si>
  <si>
    <t xml:space="preserve">08:26</t>
  </si>
  <si>
    <t xml:space="preserve">08:47</t>
  </si>
  <si>
    <t xml:space="preserve">NCJ158</t>
  </si>
  <si>
    <t xml:space="preserve">11:41</t>
  </si>
  <si>
    <t xml:space="preserve">18:32</t>
  </si>
  <si>
    <t xml:space="preserve">06:53</t>
  </si>
  <si>
    <t xml:space="preserve">10:16</t>
  </si>
  <si>
    <t xml:space="preserve">07:44</t>
  </si>
  <si>
    <t xml:space="preserve">08:17</t>
  </si>
  <si>
    <t xml:space="preserve">09:55</t>
  </si>
  <si>
    <t xml:space="preserve">15:18</t>
  </si>
  <si>
    <t xml:space="preserve">20:26</t>
  </si>
  <si>
    <t xml:space="preserve">12:28</t>
  </si>
  <si>
    <t xml:space="preserve">07:18</t>
  </si>
  <si>
    <t xml:space="preserve">07:10</t>
  </si>
  <si>
    <t xml:space="preserve">PVB619</t>
  </si>
  <si>
    <t xml:space="preserve">14:13</t>
  </si>
  <si>
    <t xml:space="preserve">FRA447</t>
  </si>
  <si>
    <t xml:space="preserve">16:54</t>
  </si>
  <si>
    <t xml:space="preserve">PRY697</t>
  </si>
  <si>
    <t xml:space="preserve">18:30</t>
  </si>
  <si>
    <t xml:space="preserve">20:22</t>
  </si>
  <si>
    <t xml:space="preserve">BSV286</t>
  </si>
  <si>
    <t xml:space="preserve">PEJ240</t>
  </si>
  <si>
    <t xml:space="preserve">FVV754</t>
  </si>
  <si>
    <t xml:space="preserve">20:35</t>
  </si>
  <si>
    <t xml:space="preserve">07:29</t>
  </si>
  <si>
    <t xml:space="preserve">18:49</t>
  </si>
  <si>
    <t xml:space="preserve">17:35</t>
  </si>
  <si>
    <t xml:space="preserve">WUS903</t>
  </si>
  <si>
    <t xml:space="preserve">08:55</t>
  </si>
  <si>
    <t xml:space="preserve">07:02</t>
  </si>
  <si>
    <t xml:space="preserve">LUG960</t>
  </si>
  <si>
    <t xml:space="preserve">10:55</t>
  </si>
  <si>
    <t xml:space="preserve">15:46</t>
  </si>
  <si>
    <t xml:space="preserve">10:41</t>
  </si>
  <si>
    <t xml:space="preserve">16:10</t>
  </si>
  <si>
    <t xml:space="preserve">13:10</t>
  </si>
  <si>
    <t xml:space="preserve">19:14</t>
  </si>
  <si>
    <t xml:space="preserve">WYK713</t>
  </si>
  <si>
    <t xml:space="preserve">12:01</t>
  </si>
  <si>
    <t xml:space="preserve">11:42</t>
  </si>
  <si>
    <t xml:space="preserve">11:15</t>
  </si>
  <si>
    <t xml:space="preserve">20:51</t>
  </si>
  <si>
    <t xml:space="preserve">19:17</t>
  </si>
  <si>
    <t xml:space="preserve">20:06</t>
  </si>
  <si>
    <t xml:space="preserve">18:58</t>
  </si>
  <si>
    <t xml:space="preserve">07:12</t>
  </si>
  <si>
    <t xml:space="preserve">11:56</t>
  </si>
  <si>
    <t xml:space="preserve">KZT997</t>
  </si>
  <si>
    <t xml:space="preserve">16:35</t>
  </si>
  <si>
    <t xml:space="preserve">16:49</t>
  </si>
  <si>
    <t xml:space="preserve">07:17</t>
  </si>
  <si>
    <t xml:space="preserve">14:30</t>
  </si>
  <si>
    <t xml:space="preserve">19:08</t>
  </si>
  <si>
    <t xml:space="preserve">06:44</t>
  </si>
  <si>
    <t xml:space="preserve">NEN766</t>
  </si>
  <si>
    <t xml:space="preserve">12:20</t>
  </si>
  <si>
    <t xml:space="preserve">09:51</t>
  </si>
  <si>
    <t xml:space="preserve">13:31</t>
  </si>
  <si>
    <t xml:space="preserve">13:08</t>
  </si>
  <si>
    <t xml:space="preserve">07:19</t>
  </si>
  <si>
    <t xml:space="preserve">LSJ298</t>
  </si>
  <si>
    <t xml:space="preserve">15:04</t>
  </si>
  <si>
    <t xml:space="preserve">12:32</t>
  </si>
  <si>
    <t xml:space="preserve">16:06</t>
  </si>
  <si>
    <t xml:space="preserve">17:48</t>
  </si>
  <si>
    <t xml:space="preserve">12:33</t>
  </si>
  <si>
    <t xml:space="preserve">MUY285</t>
  </si>
  <si>
    <t xml:space="preserve">08:27</t>
  </si>
  <si>
    <t xml:space="preserve">13:02</t>
  </si>
  <si>
    <t xml:space="preserve">18:25</t>
  </si>
  <si>
    <t xml:space="preserve">20:17</t>
  </si>
  <si>
    <t xml:space="preserve">07:24</t>
  </si>
  <si>
    <t xml:space="preserve">DDT528</t>
  </si>
  <si>
    <t xml:space="preserve">09:36</t>
  </si>
  <si>
    <t xml:space="preserve">06:58</t>
  </si>
  <si>
    <t xml:space="preserve">17:04</t>
  </si>
  <si>
    <t xml:space="preserve">18:43</t>
  </si>
  <si>
    <t xml:space="preserve">06:04</t>
  </si>
  <si>
    <t xml:space="preserve">CLY630</t>
  </si>
  <si>
    <t xml:space="preserve">20:43</t>
  </si>
  <si>
    <t xml:space="preserve">18:53</t>
  </si>
  <si>
    <t xml:space="preserve">07:46</t>
  </si>
  <si>
    <t xml:space="preserve">10:49</t>
  </si>
  <si>
    <t xml:space="preserve">10:18</t>
  </si>
  <si>
    <t xml:space="preserve">13:00</t>
  </si>
  <si>
    <t xml:space="preserve">HAL490</t>
  </si>
  <si>
    <t xml:space="preserve">14:02</t>
  </si>
  <si>
    <t xml:space="preserve">TCC376</t>
  </si>
  <si>
    <t xml:space="preserve">14:25</t>
  </si>
  <si>
    <t xml:space="preserve">19:19</t>
  </si>
  <si>
    <t xml:space="preserve">09:14</t>
  </si>
  <si>
    <t xml:space="preserve">XNN508</t>
  </si>
  <si>
    <t xml:space="preserve">10:11</t>
  </si>
  <si>
    <t xml:space="preserve">07:37</t>
  </si>
  <si>
    <t xml:space="preserve">JHT894</t>
  </si>
  <si>
    <t xml:space="preserve">15:51</t>
  </si>
  <si>
    <t xml:space="preserve">18:35</t>
  </si>
  <si>
    <t xml:space="preserve">06:51</t>
  </si>
  <si>
    <t xml:space="preserve">11:03</t>
  </si>
  <si>
    <t xml:space="preserve">DGW485</t>
  </si>
  <si>
    <t xml:space="preserve">18:13</t>
  </si>
  <si>
    <t xml:space="preserve">15:44</t>
  </si>
  <si>
    <t xml:space="preserve">19:47</t>
  </si>
  <si>
    <t xml:space="preserve">10:51</t>
  </si>
  <si>
    <t xml:space="preserve">11:50</t>
  </si>
  <si>
    <t xml:space="preserve">10:50</t>
  </si>
  <si>
    <t xml:space="preserve">DEN700</t>
  </si>
  <si>
    <t xml:space="preserve">14:21</t>
  </si>
  <si>
    <t xml:space="preserve">RTK804</t>
  </si>
  <si>
    <t xml:space="preserve">07:14</t>
  </si>
  <si>
    <t xml:space="preserve">KFZ541</t>
  </si>
  <si>
    <t xml:space="preserve">13:42</t>
  </si>
  <si>
    <t xml:space="preserve">18:46</t>
  </si>
  <si>
    <t xml:space="preserve">07:25</t>
  </si>
  <si>
    <t xml:space="preserve">12:57</t>
  </si>
  <si>
    <t xml:space="preserve">DYN991</t>
  </si>
  <si>
    <t xml:space="preserve">18:39</t>
  </si>
  <si>
    <t xml:space="preserve">07:27</t>
  </si>
  <si>
    <t xml:space="preserve">06:09</t>
  </si>
  <si>
    <t xml:space="preserve">10:14</t>
  </si>
  <si>
    <t xml:space="preserve">14:51</t>
  </si>
  <si>
    <t xml:space="preserve">17:28</t>
  </si>
  <si>
    <t xml:space="preserve">11:35</t>
  </si>
  <si>
    <t xml:space="preserve">11:48</t>
  </si>
  <si>
    <t xml:space="preserve">12:50</t>
  </si>
  <si>
    <t xml:space="preserve">20:14</t>
  </si>
  <si>
    <t xml:space="preserve">16:59</t>
  </si>
  <si>
    <t xml:space="preserve">19:10</t>
  </si>
  <si>
    <t xml:space="preserve">07:59</t>
  </si>
  <si>
    <t xml:space="preserve">16:26</t>
  </si>
  <si>
    <t xml:space="preserve">16:36</t>
  </si>
  <si>
    <t xml:space="preserve">09:54</t>
  </si>
  <si>
    <t xml:space="preserve">LMA356</t>
  </si>
  <si>
    <t xml:space="preserve">13:23</t>
  </si>
  <si>
    <t xml:space="preserve">09:58</t>
  </si>
  <si>
    <t xml:space="preserve">16:44</t>
  </si>
  <si>
    <t xml:space="preserve">CZK762</t>
  </si>
  <si>
    <t xml:space="preserve">13:51</t>
  </si>
  <si>
    <t xml:space="preserve">17:45</t>
  </si>
  <si>
    <t xml:space="preserve">06:45</t>
  </si>
  <si>
    <t xml:space="preserve">11:52</t>
  </si>
  <si>
    <t xml:space="preserve">19:07</t>
  </si>
  <si>
    <t xml:space="preserve">15:36</t>
  </si>
  <si>
    <t xml:space="preserve">KZK146</t>
  </si>
  <si>
    <t xml:space="preserve">14:10</t>
  </si>
  <si>
    <t xml:space="preserve">17:08</t>
  </si>
  <si>
    <t xml:space="preserve">15:32</t>
  </si>
  <si>
    <t xml:space="preserve">18:21</t>
  </si>
  <si>
    <t xml:space="preserve">07:15</t>
  </si>
  <si>
    <t xml:space="preserve">14:24</t>
  </si>
  <si>
    <t xml:space="preserve">19:43</t>
  </si>
  <si>
    <t xml:space="preserve">17:33</t>
  </si>
  <si>
    <t xml:space="preserve">07:49</t>
  </si>
  <si>
    <t xml:space="preserve">07:04</t>
  </si>
  <si>
    <t xml:space="preserve">15:59</t>
  </si>
  <si>
    <t xml:space="preserve">17:46</t>
  </si>
  <si>
    <t xml:space="preserve">15:57</t>
  </si>
  <si>
    <t xml:space="preserve">16:46</t>
  </si>
  <si>
    <t xml:space="preserve">20:04</t>
  </si>
  <si>
    <t xml:space="preserve">VFY952</t>
  </si>
  <si>
    <t xml:space="preserve">19:13</t>
  </si>
  <si>
    <t xml:space="preserve">11:29</t>
  </si>
  <si>
    <t xml:space="preserve">09:29</t>
  </si>
  <si>
    <t xml:space="preserve">10:40</t>
  </si>
  <si>
    <t xml:space="preserve">10:56</t>
  </si>
  <si>
    <t xml:space="preserve">09:53</t>
  </si>
  <si>
    <t xml:space="preserve">12:51</t>
  </si>
  <si>
    <t xml:space="preserve">19:20</t>
  </si>
  <si>
    <t xml:space="preserve">GAC740</t>
  </si>
  <si>
    <t xml:space="preserve">09:23</t>
  </si>
  <si>
    <t xml:space="preserve">WUS619</t>
  </si>
  <si>
    <t xml:space="preserve">06:32</t>
  </si>
  <si>
    <t xml:space="preserve">09:07</t>
  </si>
  <si>
    <t xml:space="preserve">12:29</t>
  </si>
  <si>
    <t xml:space="preserve">19:33</t>
  </si>
  <si>
    <t xml:space="preserve">07:54</t>
  </si>
  <si>
    <t xml:space="preserve">BRF723</t>
  </si>
  <si>
    <t xml:space="preserve">14:43</t>
  </si>
  <si>
    <t xml:space="preserve">12:05</t>
  </si>
  <si>
    <t xml:space="preserve">16:30</t>
  </si>
  <si>
    <t xml:space="preserve">13:03</t>
  </si>
  <si>
    <t xml:space="preserve">19:30</t>
  </si>
  <si>
    <t xml:space="preserve">12:38</t>
  </si>
  <si>
    <t xml:space="preserve">14:40</t>
  </si>
  <si>
    <t xml:space="preserve">17:09</t>
  </si>
  <si>
    <t xml:space="preserve">MTC215</t>
  </si>
  <si>
    <t xml:space="preserve">09:38</t>
  </si>
  <si>
    <t xml:space="preserve">12:41</t>
  </si>
  <si>
    <t xml:space="preserve">11:16</t>
  </si>
  <si>
    <t xml:space="preserve">08:06</t>
  </si>
  <si>
    <t xml:space="preserve">19:34</t>
  </si>
  <si>
    <t xml:space="preserve">20:31</t>
  </si>
  <si>
    <t xml:space="preserve">19:46</t>
  </si>
  <si>
    <t xml:space="preserve">07:41</t>
  </si>
  <si>
    <t xml:space="preserve">17:01</t>
  </si>
  <si>
    <t xml:space="preserve">18:10</t>
  </si>
  <si>
    <t xml:space="preserve">11:13</t>
  </si>
  <si>
    <t xml:space="preserve">14:53</t>
  </si>
  <si>
    <t xml:space="preserve">16:00</t>
  </si>
  <si>
    <t xml:space="preserve">12:47</t>
  </si>
  <si>
    <t xml:space="preserve">12:19</t>
  </si>
  <si>
    <t xml:space="preserve">08:28</t>
  </si>
  <si>
    <t xml:space="preserve">RRL174</t>
  </si>
  <si>
    <t xml:space="preserve">20:25</t>
  </si>
  <si>
    <t xml:space="preserve">06:00</t>
  </si>
  <si>
    <t xml:space="preserve">09:32</t>
  </si>
  <si>
    <t xml:space="preserve">16:14</t>
  </si>
  <si>
    <t xml:space="preserve">18:24</t>
  </si>
  <si>
    <t xml:space="preserve">11:21</t>
  </si>
  <si>
    <t xml:space="preserve">10:29</t>
  </si>
  <si>
    <t xml:space="preserve">18:45</t>
  </si>
  <si>
    <t xml:space="preserve">06:08</t>
  </si>
  <si>
    <t xml:space="preserve">12:18</t>
  </si>
  <si>
    <t xml:space="preserve">08:30</t>
  </si>
  <si>
    <t xml:space="preserve">14:08</t>
  </si>
  <si>
    <t xml:space="preserve">13:09</t>
  </si>
  <si>
    <t xml:space="preserve">10:10</t>
  </si>
  <si>
    <t xml:space="preserve">LNE649</t>
  </si>
  <si>
    <t xml:space="preserve">20:53</t>
  </si>
  <si>
    <t xml:space="preserve">16:23</t>
  </si>
  <si>
    <t xml:space="preserve">15:29</t>
  </si>
  <si>
    <t xml:space="preserve">17:52</t>
  </si>
  <si>
    <t xml:space="preserve">20:08</t>
  </si>
  <si>
    <t xml:space="preserve">16:25</t>
  </si>
  <si>
    <t xml:space="preserve">10:28</t>
  </si>
  <si>
    <t xml:space="preserve">16:21</t>
  </si>
  <si>
    <t xml:space="preserve">JML194</t>
  </si>
  <si>
    <t xml:space="preserve">17:29</t>
  </si>
  <si>
    <t xml:space="preserve">08:10</t>
  </si>
  <si>
    <t xml:space="preserve">16:05</t>
  </si>
  <si>
    <t xml:space="preserve">14:55</t>
  </si>
  <si>
    <t xml:space="preserve">18:55</t>
  </si>
  <si>
    <t xml:space="preserve">09:45</t>
  </si>
  <si>
    <t xml:space="preserve">XPJ736</t>
  </si>
  <si>
    <t xml:space="preserve">19:09</t>
  </si>
  <si>
    <t xml:space="preserve">15:56</t>
  </si>
  <si>
    <t xml:space="preserve">16:08</t>
  </si>
  <si>
    <t xml:space="preserve">07:22</t>
  </si>
  <si>
    <t xml:space="preserve">15:07</t>
  </si>
  <si>
    <t xml:space="preserve">18:06</t>
  </si>
  <si>
    <t xml:space="preserve">20:27</t>
  </si>
  <si>
    <t xml:space="preserve">09:37</t>
  </si>
  <si>
    <t xml:space="preserve">15:01</t>
  </si>
  <si>
    <t xml:space="preserve">17:19</t>
  </si>
  <si>
    <t xml:space="preserve">08:34</t>
  </si>
  <si>
    <t xml:space="preserve">19:23</t>
  </si>
  <si>
    <t xml:space="preserve">07:21</t>
  </si>
  <si>
    <t xml:space="preserve">19:39</t>
  </si>
  <si>
    <t xml:space="preserve">08:32</t>
  </si>
  <si>
    <t xml:space="preserve">HPC375</t>
  </si>
  <si>
    <t xml:space="preserve">10:24</t>
  </si>
  <si>
    <t xml:space="preserve">07:55</t>
  </si>
  <si>
    <t xml:space="preserve">13:20</t>
  </si>
  <si>
    <t xml:space="preserve">15:48</t>
  </si>
  <si>
    <t xml:space="preserve">09:04</t>
  </si>
  <si>
    <t xml:space="preserve">10:04</t>
  </si>
  <si>
    <t xml:space="preserve">14:16</t>
  </si>
  <si>
    <t xml:space="preserve">17:34</t>
  </si>
  <si>
    <t xml:space="preserve">13:12</t>
  </si>
  <si>
    <t xml:space="preserve">17:42</t>
  </si>
  <si>
    <t xml:space="preserve">14:38</t>
  </si>
  <si>
    <t xml:space="preserve">20:24</t>
  </si>
  <si>
    <t xml:space="preserve">07:01</t>
  </si>
  <si>
    <t xml:space="preserve">08:36</t>
  </si>
  <si>
    <t xml:space="preserve">09:41</t>
  </si>
  <si>
    <t xml:space="preserve">16:37</t>
  </si>
  <si>
    <t xml:space="preserve">15:52</t>
  </si>
  <si>
    <t xml:space="preserve">16:40</t>
  </si>
  <si>
    <t xml:space="preserve">09:46</t>
  </si>
  <si>
    <t xml:space="preserve">11:27</t>
  </si>
  <si>
    <t xml:space="preserve">12:08</t>
  </si>
  <si>
    <t xml:space="preserve">12:42</t>
  </si>
  <si>
    <t xml:space="preserve">16:43</t>
  </si>
  <si>
    <t xml:space="preserve">06:14</t>
  </si>
  <si>
    <t xml:space="preserve">07:05</t>
  </si>
  <si>
    <t xml:space="preserve">13:18</t>
  </si>
  <si>
    <t xml:space="preserve">06:19</t>
  </si>
  <si>
    <t xml:space="preserve">08:40</t>
  </si>
  <si>
    <t xml:space="preserve">11:38</t>
  </si>
  <si>
    <t xml:space="preserve">09:08</t>
  </si>
  <si>
    <t xml:space="preserve">17:41</t>
  </si>
  <si>
    <t xml:space="preserve">15:19</t>
  </si>
  <si>
    <t xml:space="preserve">18:11</t>
  </si>
  <si>
    <t xml:space="preserve">08:56</t>
  </si>
  <si>
    <t xml:space="preserve">20:34</t>
  </si>
  <si>
    <t xml:space="preserve">10:53</t>
  </si>
  <si>
    <t xml:space="preserve">11:04</t>
  </si>
  <si>
    <t xml:space="preserve">TRZ118</t>
  </si>
  <si>
    <t xml:space="preserve">16:28</t>
  </si>
  <si>
    <t xml:space="preserve">15:54</t>
  </si>
  <si>
    <t xml:space="preserve">GNM155</t>
  </si>
  <si>
    <t xml:space="preserve">19:56</t>
  </si>
  <si>
    <t xml:space="preserve">08:44</t>
  </si>
  <si>
    <t xml:space="preserve">20:01</t>
  </si>
  <si>
    <t xml:space="preserve">17:11</t>
  </si>
  <si>
    <t xml:space="preserve">07:20</t>
  </si>
  <si>
    <t xml:space="preserve">15:20</t>
  </si>
  <si>
    <t xml:space="preserve">07:31</t>
  </si>
  <si>
    <t xml:space="preserve">06:11</t>
  </si>
  <si>
    <t xml:space="preserve">09:05</t>
  </si>
  <si>
    <t xml:space="preserve">12:31</t>
  </si>
  <si>
    <t xml:space="preserve">06:24</t>
  </si>
  <si>
    <t xml:space="preserve">06:59</t>
  </si>
  <si>
    <t xml:space="preserve">13:45</t>
  </si>
  <si>
    <t xml:space="preserve">11:32</t>
  </si>
  <si>
    <t xml:space="preserve">14:34</t>
  </si>
  <si>
    <t xml:space="preserve">08:31</t>
  </si>
  <si>
    <t xml:space="preserve">15:33</t>
  </si>
  <si>
    <t xml:space="preserve">15:26</t>
  </si>
  <si>
    <t xml:space="preserve">09:42</t>
  </si>
  <si>
    <t xml:space="preserve">17:13</t>
  </si>
  <si>
    <t xml:space="preserve">06:07</t>
  </si>
  <si>
    <t xml:space="preserve">11:25</t>
  </si>
  <si>
    <t xml:space="preserve">10:35</t>
  </si>
  <si>
    <t xml:space="preserve">SYS659</t>
  </si>
  <si>
    <t xml:space="preserve">17:50</t>
  </si>
  <si>
    <t xml:space="preserve">06:49</t>
  </si>
  <si>
    <t xml:space="preserve">10:22</t>
  </si>
  <si>
    <t xml:space="preserve">19:55</t>
  </si>
  <si>
    <t xml:space="preserve">20:56</t>
  </si>
  <si>
    <t xml:space="preserve">19:51</t>
  </si>
  <si>
    <t xml:space="preserve">20:50</t>
  </si>
  <si>
    <t xml:space="preserve">10:30</t>
  </si>
  <si>
    <t xml:space="preserve">07:57</t>
  </si>
  <si>
    <t xml:space="preserve">15:23</t>
  </si>
  <si>
    <t xml:space="preserve">KCJ983</t>
  </si>
  <si>
    <t xml:space="preserve">19:35</t>
  </si>
  <si>
    <t xml:space="preserve">06:38</t>
  </si>
  <si>
    <t xml:space="preserve">09:26</t>
  </si>
  <si>
    <t xml:space="preserve">06:41</t>
  </si>
  <si>
    <t xml:space="preserve">18:04</t>
  </si>
  <si>
    <t xml:space="preserve">10:34</t>
  </si>
  <si>
    <t xml:space="preserve">18:52</t>
  </si>
  <si>
    <t xml:space="preserve">18:14</t>
  </si>
  <si>
    <t xml:space="preserve">13:52</t>
  </si>
  <si>
    <t xml:space="preserve">13:29</t>
  </si>
  <si>
    <t xml:space="preserve">08:33</t>
  </si>
  <si>
    <t xml:space="preserve">15:41</t>
  </si>
  <si>
    <t xml:space="preserve">10:48</t>
  </si>
  <si>
    <t xml:space="preserve">18:37</t>
  </si>
  <si>
    <t xml:space="preserve">18:18</t>
  </si>
  <si>
    <t xml:space="preserve">12:44</t>
  </si>
  <si>
    <t xml:space="preserve">19:44</t>
  </si>
  <si>
    <t xml:space="preserve">06:05</t>
  </si>
  <si>
    <t xml:space="preserve">14:20</t>
  </si>
  <si>
    <t xml:space="preserve">17:55</t>
  </si>
  <si>
    <t xml:space="preserve">14:48</t>
  </si>
  <si>
    <t xml:space="preserve">18:59</t>
  </si>
  <si>
    <t xml:space="preserve">14:44</t>
  </si>
  <si>
    <t xml:space="preserve">10:57</t>
  </si>
  <si>
    <t xml:space="preserve">12:03</t>
  </si>
  <si>
    <t xml:space="preserve">13:21</t>
  </si>
  <si>
    <t xml:space="preserve">15:30</t>
  </si>
  <si>
    <t xml:space="preserve">08:08</t>
  </si>
  <si>
    <t xml:space="preserve">06:42</t>
  </si>
  <si>
    <t xml:space="preserve">15:14</t>
  </si>
  <si>
    <t xml:space="preserve">19:38</t>
  </si>
  <si>
    <t xml:space="preserve">17:37</t>
  </si>
  <si>
    <t xml:space="preserve">07:07</t>
  </si>
  <si>
    <t xml:space="preserve">TFF375</t>
  </si>
  <si>
    <t xml:space="preserve">19:57</t>
  </si>
  <si>
    <t xml:space="preserve">SUM724</t>
  </si>
  <si>
    <t xml:space="preserve">20:44</t>
  </si>
  <si>
    <t xml:space="preserve">15:47</t>
  </si>
  <si>
    <t xml:space="preserve">18:16</t>
  </si>
  <si>
    <t xml:space="preserve">06:33</t>
  </si>
  <si>
    <t xml:space="preserve">BCR433</t>
  </si>
  <si>
    <t xml:space="preserve">14:01</t>
  </si>
  <si>
    <t xml:space="preserve">09:25</t>
  </si>
  <si>
    <t xml:space="preserve">10:44</t>
  </si>
  <si>
    <t xml:space="preserve">20:03</t>
  </si>
  <si>
    <t xml:space="preserve">13:59</t>
  </si>
  <si>
    <t xml:space="preserve">07:48</t>
  </si>
  <si>
    <t xml:space="preserve">11:46</t>
  </si>
  <si>
    <t xml:space="preserve">14:03</t>
  </si>
  <si>
    <t xml:space="preserve">17:14</t>
  </si>
  <si>
    <t xml:space="preserve">16:03</t>
  </si>
  <si>
    <t xml:space="preserve">09:28</t>
  </si>
  <si>
    <t xml:space="preserve">08:58</t>
  </si>
  <si>
    <t xml:space="preserve">12:48</t>
  </si>
  <si>
    <t xml:space="preserve">07:11</t>
  </si>
  <si>
    <t xml:space="preserve">10:38</t>
  </si>
  <si>
    <t xml:space="preserve">09:30</t>
  </si>
  <si>
    <t xml:space="preserve">14:27</t>
  </si>
  <si>
    <t xml:space="preserve">20:36</t>
  </si>
  <si>
    <t xml:space="preserve">06:30</t>
  </si>
  <si>
    <t xml:space="preserve">09:56</t>
  </si>
  <si>
    <t xml:space="preserve">17:17</t>
  </si>
  <si>
    <t xml:space="preserve">20:12</t>
  </si>
  <si>
    <t xml:space="preserve">19:50</t>
  </si>
  <si>
    <t xml:space="preserve">13:44</t>
  </si>
  <si>
    <t xml:space="preserve">17:16</t>
  </si>
  <si>
    <t xml:space="preserve">06:18</t>
  </si>
  <si>
    <t xml:space="preserve">13:36</t>
  </si>
  <si>
    <t xml:space="preserve">12:34</t>
  </si>
  <si>
    <t xml:space="preserve">15:08</t>
  </si>
  <si>
    <t xml:space="preserve">13:15</t>
  </si>
  <si>
    <t xml:space="preserve">06:34</t>
  </si>
  <si>
    <t xml:space="preserve">09:06</t>
  </si>
  <si>
    <t xml:space="preserve">16:38</t>
  </si>
  <si>
    <t xml:space="preserve">16:09</t>
  </si>
  <si>
    <t xml:space="preserve">17:21</t>
  </si>
  <si>
    <t xml:space="preserve">19:27</t>
  </si>
  <si>
    <t xml:space="preserve">13:58</t>
  </si>
  <si>
    <t xml:space="preserve">09:01</t>
  </si>
  <si>
    <t xml:space="preserve">12:35</t>
  </si>
  <si>
    <t xml:space="preserve">16:42</t>
  </si>
  <si>
    <t xml:space="preserve">16:50</t>
  </si>
  <si>
    <t xml:space="preserve">09:50</t>
  </si>
  <si>
    <t xml:space="preserve">15:25</t>
  </si>
  <si>
    <t xml:space="preserve">17:38</t>
  </si>
  <si>
    <t xml:space="preserve">18:08</t>
  </si>
  <si>
    <t xml:space="preserve">13:28</t>
  </si>
  <si>
    <t xml:space="preserve">10:45</t>
  </si>
  <si>
    <t xml:space="preserve">11:40</t>
  </si>
  <si>
    <t xml:space="preserve">06:47</t>
  </si>
  <si>
    <t xml:space="preserve">14:32</t>
  </si>
  <si>
    <t xml:space="preserve">17:20</t>
  </si>
  <si>
    <t xml:space="preserve">18:48</t>
  </si>
  <si>
    <t xml:space="preserve">18:26</t>
  </si>
  <si>
    <t xml:space="preserve">18:57</t>
  </si>
  <si>
    <t xml:space="preserve">19:32</t>
  </si>
  <si>
    <t xml:space="preserve">13:56</t>
  </si>
  <si>
    <t xml:space="preserve">16:12</t>
  </si>
  <si>
    <t xml:space="preserve">18:03</t>
  </si>
  <si>
    <t xml:space="preserve">18:33</t>
  </si>
  <si>
    <t xml:space="preserve">15:28</t>
  </si>
  <si>
    <t xml:space="preserve">10:43</t>
  </si>
  <si>
    <t xml:space="preserve">18:15</t>
  </si>
  <si>
    <t xml:space="preserve">12:55</t>
  </si>
  <si>
    <t xml:space="preserve">11:19</t>
  </si>
  <si>
    <t xml:space="preserve">07:47</t>
  </si>
  <si>
    <t xml:space="preserve">20:42</t>
  </si>
  <si>
    <t xml:space="preserve">15:11</t>
  </si>
  <si>
    <t xml:space="preserve">15:58</t>
  </si>
  <si>
    <t xml:space="preserve">11:57</t>
  </si>
  <si>
    <t xml:space="preserve">08:52</t>
  </si>
  <si>
    <t xml:space="preserve">12:10</t>
  </si>
  <si>
    <t xml:space="preserve">18:28</t>
  </si>
  <si>
    <t xml:space="preserve">19:06</t>
  </si>
  <si>
    <t xml:space="preserve">13:07</t>
  </si>
  <si>
    <t xml:space="preserve">14:15</t>
  </si>
  <si>
    <t xml:space="preserve">18:02</t>
  </si>
  <si>
    <t xml:space="preserve">14:59</t>
  </si>
  <si>
    <t xml:space="preserve">10:07</t>
  </si>
  <si>
    <t xml:space="preserve">14:05</t>
  </si>
  <si>
    <t xml:space="preserve">14:39</t>
  </si>
  <si>
    <t xml:space="preserve">06:16</t>
  </si>
  <si>
    <t xml:space="preserve">09:20</t>
  </si>
  <si>
    <t xml:space="preserve">20:38</t>
  </si>
  <si>
    <t xml:space="preserve">19:03</t>
  </si>
  <si>
    <t xml:space="preserve">19:21</t>
  </si>
  <si>
    <t xml:space="preserve">08:15</t>
  </si>
  <si>
    <t xml:space="preserve">BXC920</t>
  </si>
  <si>
    <t xml:space="preserve">10:19</t>
  </si>
  <si>
    <t xml:space="preserve">08:59</t>
  </si>
  <si>
    <t xml:space="preserve">14:31</t>
  </si>
  <si>
    <t xml:space="preserve">13:26</t>
  </si>
  <si>
    <t xml:space="preserve">08:09</t>
  </si>
  <si>
    <t xml:space="preserve">18:23</t>
  </si>
  <si>
    <t xml:space="preserve">13:13</t>
  </si>
  <si>
    <t xml:space="preserve">18:41</t>
  </si>
  <si>
    <t xml:space="preserve">13:54</t>
  </si>
  <si>
    <t xml:space="preserve">19:28</t>
  </si>
  <si>
    <t xml:space="preserve">15:10</t>
  </si>
  <si>
    <t xml:space="preserve">18:50</t>
  </si>
  <si>
    <t xml:space="preserve">10:20</t>
  </si>
  <si>
    <t xml:space="preserve">11:18</t>
  </si>
  <si>
    <t xml:space="preserve">14:07</t>
  </si>
  <si>
    <t xml:space="preserve">10:13</t>
  </si>
  <si>
    <t xml:space="preserve">09:21</t>
  </si>
  <si>
    <t xml:space="preserve">13:46</t>
  </si>
  <si>
    <t xml:space="preserve">16:20</t>
  </si>
  <si>
    <t xml:space="preserve">18:54</t>
  </si>
  <si>
    <t xml:space="preserve">15:05</t>
  </si>
  <si>
    <t xml:space="preserve">15:40</t>
  </si>
  <si>
    <t xml:space="preserve">16:56</t>
  </si>
  <si>
    <t xml:space="preserve">12:16</t>
  </si>
  <si>
    <t xml:space="preserve">08:22</t>
  </si>
  <si>
    <t xml:space="preserve">08:49</t>
  </si>
  <si>
    <t xml:space="preserve">07:39</t>
  </si>
  <si>
    <t xml:space="preserve">12:24</t>
  </si>
  <si>
    <t xml:space="preserve">12:23</t>
  </si>
  <si>
    <t xml:space="preserve">07:16</t>
  </si>
  <si>
    <t xml:space="preserve">KPC317</t>
  </si>
  <si>
    <t xml:space="preserve">WNL531</t>
  </si>
  <si>
    <t xml:space="preserve">12:53</t>
  </si>
  <si>
    <t xml:space="preserve">11:10</t>
  </si>
  <si>
    <t xml:space="preserve">19:42</t>
  </si>
  <si>
    <t xml:space="preserve">TAJ472</t>
  </si>
  <si>
    <t xml:space="preserve">11:07</t>
  </si>
  <si>
    <t xml:space="preserve">19:15</t>
  </si>
  <si>
    <t xml:space="preserve">10:31</t>
  </si>
  <si>
    <t xml:space="preserve">14:37</t>
  </si>
  <si>
    <t xml:space="preserve">17:18</t>
  </si>
  <si>
    <t xml:space="preserve">16:58</t>
  </si>
  <si>
    <t xml:space="preserve">10:33</t>
  </si>
  <si>
    <t xml:space="preserve">15:09</t>
  </si>
  <si>
    <t xml:space="preserve">18:34</t>
  </si>
  <si>
    <t xml:space="preserve">09:48</t>
  </si>
  <si>
    <t xml:space="preserve">GPY938</t>
  </si>
  <si>
    <t xml:space="preserve">16:15</t>
  </si>
  <si>
    <t xml:space="preserve">08:42</t>
  </si>
  <si>
    <t xml:space="preserve">15:53</t>
  </si>
  <si>
    <t xml:space="preserve">11:37</t>
  </si>
  <si>
    <t xml:space="preserve">13:24</t>
  </si>
  <si>
    <t xml:space="preserve">11:53</t>
  </si>
  <si>
    <t xml:space="preserve">20:55</t>
  </si>
  <si>
    <t xml:space="preserve">15:00</t>
  </si>
  <si>
    <t xml:space="preserve">13:47</t>
  </si>
  <si>
    <t xml:space="preserve">17:53</t>
  </si>
  <si>
    <t xml:space="preserve">10:00</t>
  </si>
  <si>
    <t xml:space="preserve">13:33</t>
  </si>
  <si>
    <t xml:space="preserve">06:39</t>
  </si>
  <si>
    <t xml:space="preserve">11:08</t>
  </si>
  <si>
    <t xml:space="preserve">17:06</t>
  </si>
  <si>
    <t xml:space="preserve">20:18</t>
  </si>
  <si>
    <t xml:space="preserve">13:19</t>
  </si>
  <si>
    <t xml:space="preserve">13:35</t>
  </si>
  <si>
    <t xml:space="preserve">09:33</t>
  </si>
  <si>
    <t xml:space="preserve">JJB890</t>
  </si>
  <si>
    <t xml:space="preserve">12:02</t>
  </si>
  <si>
    <t xml:space="preserve">06:06</t>
  </si>
  <si>
    <t xml:space="preserve">12:56</t>
  </si>
  <si>
    <t xml:space="preserve">11:12</t>
  </si>
  <si>
    <t xml:space="preserve">DSJ614</t>
  </si>
  <si>
    <t xml:space="preserve">18:17</t>
  </si>
  <si>
    <t xml:space="preserve">19:40</t>
  </si>
  <si>
    <t xml:space="preserve">12:37</t>
  </si>
  <si>
    <t xml:space="preserve">16:31</t>
  </si>
  <si>
    <t xml:space="preserve">06:48</t>
  </si>
  <si>
    <t xml:space="preserve">07:43</t>
  </si>
  <si>
    <t xml:space="preserve">12:06</t>
  </si>
  <si>
    <t xml:space="preserve">20:58</t>
  </si>
  <si>
    <t xml:space="preserve">KDF368</t>
  </si>
  <si>
    <t xml:space="preserve">15:17</t>
  </si>
  <si>
    <t xml:space="preserve">08:07</t>
  </si>
  <si>
    <t xml:space="preserve">16:51</t>
  </si>
  <si>
    <t xml:space="preserve">17:58</t>
  </si>
  <si>
    <t xml:space="preserve">11:09</t>
  </si>
  <si>
    <t xml:space="preserve">09:24</t>
  </si>
  <si>
    <t xml:space="preserve">06:50</t>
  </si>
  <si>
    <t xml:space="preserve">14:18</t>
  </si>
  <si>
    <t xml:space="preserve">17:40</t>
  </si>
  <si>
    <t xml:space="preserve">15:27</t>
  </si>
  <si>
    <t xml:space="preserve">14:41</t>
  </si>
  <si>
    <t xml:space="preserve">11:39</t>
  </si>
  <si>
    <t xml:space="preserve">11:59</t>
  </si>
  <si>
    <t xml:space="preserve">13:25</t>
  </si>
  <si>
    <t xml:space="preserve">15:34</t>
  </si>
  <si>
    <t xml:space="preserve">12:22</t>
  </si>
  <si>
    <t xml:space="preserve">09:22</t>
  </si>
  <si>
    <t xml:space="preserve">17:15</t>
  </si>
  <si>
    <t xml:space="preserve">12:39</t>
  </si>
  <si>
    <t xml:space="preserve">09:11</t>
  </si>
  <si>
    <t xml:space="preserve">17:44</t>
  </si>
  <si>
    <t xml:space="preserve">12:12</t>
  </si>
  <si>
    <t xml:space="preserve">08:29</t>
  </si>
  <si>
    <t xml:space="preserve">11:33</t>
  </si>
  <si>
    <t xml:space="preserve">15:13</t>
  </si>
  <si>
    <t xml:space="preserve">17:59</t>
  </si>
  <si>
    <t xml:space="preserve">19:59</t>
  </si>
  <si>
    <t xml:space="preserve">CKG465</t>
  </si>
  <si>
    <t xml:space="preserve">07:45</t>
  </si>
  <si>
    <t xml:space="preserve">16:27</t>
  </si>
  <si>
    <t xml:space="preserve">12:04</t>
  </si>
  <si>
    <t xml:space="preserve">14:12</t>
  </si>
  <si>
    <t xml:space="preserve">20:33</t>
  </si>
  <si>
    <t xml:space="preserve">19:31</t>
  </si>
  <si>
    <t xml:space="preserve">06:15</t>
  </si>
  <si>
    <t xml:space="preserve">15:39</t>
  </si>
  <si>
    <t xml:space="preserve">20:10</t>
  </si>
  <si>
    <t xml:space="preserve">12:36</t>
  </si>
  <si>
    <t xml:space="preserve">18:20</t>
  </si>
  <si>
    <t xml:space="preserve">07:56</t>
  </si>
  <si>
    <t xml:space="preserve">06:13</t>
  </si>
  <si>
    <t xml:space="preserve">20:41</t>
  </si>
  <si>
    <t xml:space="preserve">09:34</t>
  </si>
  <si>
    <t xml:space="preserve">08:00</t>
  </si>
  <si>
    <t xml:space="preserve">11:44</t>
  </si>
  <si>
    <t xml:space="preserve">20:39</t>
  </si>
  <si>
    <t xml:space="preserve">09:35</t>
  </si>
  <si>
    <t xml:space="preserve">10:42</t>
  </si>
  <si>
    <t xml:space="preserve">12:45</t>
  </si>
  <si>
    <t xml:space="preserve">17:22</t>
  </si>
  <si>
    <t xml:space="preserve">13:16</t>
  </si>
  <si>
    <t xml:space="preserve">06:20</t>
  </si>
  <si>
    <t xml:space="preserve">08:48</t>
  </si>
  <si>
    <t xml:space="preserve">20:59</t>
  </si>
  <si>
    <t xml:space="preserve">19:11</t>
  </si>
  <si>
    <t xml:space="preserve">11:54</t>
  </si>
  <si>
    <t xml:space="preserve">10:58</t>
  </si>
  <si>
    <t xml:space="preserve">20:13</t>
  </si>
  <si>
    <t xml:space="preserve">15:37</t>
  </si>
  <si>
    <t xml:space="preserve">14:19</t>
  </si>
  <si>
    <t xml:space="preserve">20:32</t>
  </si>
  <si>
    <t xml:space="preserve">11:22</t>
  </si>
  <si>
    <t xml:space="preserve">18:44</t>
  </si>
  <si>
    <t xml:space="preserve">07:03</t>
  </si>
  <si>
    <t xml:space="preserve">14:33</t>
  </si>
  <si>
    <t xml:space="preserve">19:12</t>
  </si>
  <si>
    <t xml:space="preserve">20:07</t>
  </si>
  <si>
    <t xml:space="preserve">09:59</t>
  </si>
  <si>
    <t xml:space="preserve">16:13</t>
  </si>
  <si>
    <t xml:space="preserve">19:41</t>
  </si>
  <si>
    <t xml:space="preserve">09:47</t>
  </si>
  <si>
    <t xml:space="preserve">13:05</t>
  </si>
  <si>
    <t xml:space="preserve">15:31</t>
  </si>
  <si>
    <t xml:space="preserve">13:39</t>
  </si>
  <si>
    <t xml:space="preserve">17:56</t>
  </si>
  <si>
    <t xml:space="preserve">07:32</t>
  </si>
  <si>
    <t xml:space="preserve">10:54</t>
  </si>
  <si>
    <t xml:space="preserve">17:10</t>
  </si>
  <si>
    <t xml:space="preserve">18:00</t>
  </si>
  <si>
    <t xml:space="preserve">20:15</t>
  </si>
  <si>
    <t xml:space="preserve">06:17</t>
  </si>
  <si>
    <t xml:space="preserve">20:30</t>
  </si>
  <si>
    <t xml:space="preserve">20:52</t>
  </si>
  <si>
    <t xml:space="preserve">06:28</t>
  </si>
  <si>
    <t xml:space="preserve">11:06</t>
  </si>
  <si>
    <t xml:space="preserve">16:45</t>
  </si>
  <si>
    <t xml:space="preserve">17:03</t>
  </si>
  <si>
    <t xml:space="preserve">19:22</t>
  </si>
  <si>
    <t xml:space="preserve">14:45</t>
  </si>
  <si>
    <t xml:space="preserve">15:42</t>
  </si>
  <si>
    <t xml:space="preserve">12:46</t>
  </si>
  <si>
    <t xml:space="preserve">FTR675</t>
  </si>
  <si>
    <t xml:space="preserve">16:17</t>
  </si>
  <si>
    <t xml:space="preserve">18:29</t>
  </si>
  <si>
    <t xml:space="preserve">13:04</t>
  </si>
  <si>
    <t xml:space="preserve">17:32</t>
  </si>
  <si>
    <t xml:space="preserve">09:49</t>
  </si>
  <si>
    <t xml:space="preserve">18:42</t>
  </si>
  <si>
    <t xml:space="preserve">11:34</t>
  </si>
  <si>
    <t xml:space="preserve">20:21</t>
  </si>
  <si>
    <t xml:space="preserve">16:52</t>
  </si>
  <si>
    <t xml:space="preserve">20:49</t>
  </si>
  <si>
    <t xml:space="preserve">07:23</t>
  </si>
  <si>
    <t xml:space="preserve">14:58</t>
  </si>
  <si>
    <t xml:space="preserve">16:19</t>
  </si>
  <si>
    <t xml:space="preserve">06:12</t>
  </si>
  <si>
    <t xml:space="preserve">14:29</t>
  </si>
  <si>
    <t xml:space="preserve">06:37</t>
  </si>
  <si>
    <t xml:space="preserve">06:35</t>
  </si>
  <si>
    <t xml:space="preserve">19:18</t>
  </si>
  <si>
    <t xml:space="preserve">19:00</t>
  </si>
  <si>
    <t xml:space="preserve">16:32</t>
  </si>
  <si>
    <t xml:space="preserve">12:09</t>
  </si>
  <si>
    <t xml:space="preserve">18:27</t>
  </si>
  <si>
    <t xml:space="preserve">11:49</t>
  </si>
  <si>
    <t xml:space="preserve">15:35</t>
  </si>
  <si>
    <t xml:space="preserve">13:50</t>
  </si>
  <si>
    <t xml:space="preserve">20:02</t>
  </si>
  <si>
    <t xml:space="preserve">13:38</t>
  </si>
  <si>
    <t xml:space="preserve">18:07</t>
  </si>
  <si>
    <t xml:space="preserve">19:52</t>
  </si>
  <si>
    <t xml:space="preserve">18:05</t>
  </si>
  <si>
    <t xml:space="preserve">17:07</t>
  </si>
  <si>
    <t xml:space="preserve">16:47</t>
  </si>
  <si>
    <t xml:space="preserve">18:56</t>
  </si>
  <si>
    <t xml:space="preserve">14:06</t>
  </si>
  <si>
    <t xml:space="preserve">12:40</t>
  </si>
  <si>
    <t xml:space="preserve">LPF156</t>
  </si>
  <si>
    <t xml:space="preserve">10:39</t>
  </si>
  <si>
    <t xml:space="preserve">14:57</t>
  </si>
  <si>
    <t xml:space="preserve">20:29</t>
  </si>
  <si>
    <t xml:space="preserve">14:50</t>
  </si>
  <si>
    <t xml:space="preserve">14:49</t>
  </si>
  <si>
    <t xml:space="preserve">20:23</t>
  </si>
  <si>
    <t xml:space="preserve">10:25</t>
  </si>
  <si>
    <t xml:space="preserve">18:12</t>
  </si>
  <si>
    <t xml:space="preserve">10:59</t>
  </si>
  <si>
    <t xml:space="preserve">17:39</t>
  </si>
  <si>
    <t xml:space="preserve">10:47</t>
  </si>
  <si>
    <t xml:space="preserve">16:07</t>
  </si>
  <si>
    <t xml:space="preserve">20:37</t>
  </si>
  <si>
    <t xml:space="preserve">11:01</t>
  </si>
  <si>
    <t xml:space="preserve">12:59</t>
  </si>
  <si>
    <t xml:space="preserve">17:30</t>
  </si>
  <si>
    <t xml:space="preserve">09:18</t>
  </si>
  <si>
    <t xml:space="preserve">10:06</t>
  </si>
  <si>
    <t xml:space="preserve">Fecha y hora</t>
  </si>
  <si>
    <t xml:space="preserve">Producto</t>
  </si>
  <si>
    <t xml:space="preserve">Categoría</t>
  </si>
  <si>
    <t xml:space="preserve">Cantidad</t>
  </si>
  <si>
    <t xml:space="preserve">Precio ($)</t>
  </si>
  <si>
    <t xml:space="preserve">Costo unitario ($)</t>
  </si>
  <si>
    <t xml:space="preserve">Costo total ($)</t>
  </si>
  <si>
    <t xml:space="preserve">Columnas A a H: pegue aquí las ventas de la app. Las columnas I a L se calculan solas.</t>
  </si>
  <si>
    <t xml:space="preserve">Coca-Cola 400 ml</t>
  </si>
  <si>
    <t xml:space="preserve">Gaseosas</t>
  </si>
  <si>
    <t xml:space="preserve">Club Colombia</t>
  </si>
  <si>
    <t xml:space="preserve">Cerveza</t>
  </si>
  <si>
    <t xml:space="preserve">Gatorade 500 ml</t>
  </si>
  <si>
    <t xml:space="preserve">Bebidas</t>
  </si>
  <si>
    <t xml:space="preserve">Agua Cristal 600 ml</t>
  </si>
  <si>
    <t xml:space="preserve">Agua</t>
  </si>
  <si>
    <t xml:space="preserve">Red Bull</t>
  </si>
  <si>
    <t xml:space="preserve">Energizantes</t>
  </si>
  <si>
    <t xml:space="preserve">Tinto</t>
  </si>
  <si>
    <t xml:space="preserve">Café</t>
  </si>
  <si>
    <t xml:space="preserve">Galletas Festival</t>
  </si>
  <si>
    <t xml:space="preserve">Galletas</t>
  </si>
  <si>
    <t xml:space="preserve">Papas Margarita</t>
  </si>
  <si>
    <t xml:space="preserve">Snacks</t>
  </si>
  <si>
    <t xml:space="preserve">Chocoramo</t>
  </si>
  <si>
    <t xml:space="preserve">Dulces</t>
  </si>
  <si>
    <t xml:space="preserve">Fecha</t>
  </si>
  <si>
    <t xml:space="preserve">Concepto</t>
  </si>
  <si>
    <t xml:space="preserve">Valor ($)</t>
  </si>
  <si>
    <t xml:space="preserve">Columnas A a C: gastos del negocio. D y E se calculan solas.</t>
  </si>
  <si>
    <t xml:space="preserve">Luz y agua</t>
  </si>
  <si>
    <t xml:space="preserve">Arriendo</t>
  </si>
  <si>
    <t xml:space="preserve">Cálculos del tablero (no se edita: todo sale de las hojas de datos y de los filtros)</t>
  </si>
  <si>
    <t xml:space="preserve">Indicador</t>
  </si>
  <si>
    <t xml:space="preserve">Valor</t>
  </si>
  <si>
    <t xml:space="preserve">Ingresos parqueo</t>
  </si>
  <si>
    <t xml:space="preserve">Mes desde</t>
  </si>
  <si>
    <t xml:space="preserve">Mes hasta</t>
  </si>
  <si>
    <t xml:space="preserve">Ventas tienda</t>
  </si>
  <si>
    <t xml:space="preserve">Trabajador</t>
  </si>
  <si>
    <t xml:space="preserve">Costo tienda</t>
  </si>
  <si>
    <t xml:space="preserve">Mes anterior (n°)</t>
  </si>
  <si>
    <t xml:space="preserve">Número de ventas</t>
  </si>
  <si>
    <t xml:space="preserve">Días del periodo</t>
  </si>
  <si>
    <t xml:space="preserve">Minutos totales</t>
  </si>
  <si>
    <t xml:space="preserve">Visitas de primera vez</t>
  </si>
  <si>
    <t xml:space="preserve">Gastos</t>
  </si>
  <si>
    <t xml:space="preserve">Ingresos periodo anterior</t>
  </si>
  <si>
    <t xml:space="preserve">Por mes (año completo, con el filtro de trabajador)</t>
  </si>
  <si>
    <t xml:space="preserve">Ingresos por vehículo</t>
  </si>
  <si>
    <t xml:space="preserve">Cómo pagan (parqueo + tienda)</t>
  </si>
  <si>
    <t xml:space="preserve">Cómo entran (vehículos)</t>
  </si>
  <si>
    <t xml:space="preserve">N°</t>
  </si>
  <si>
    <t xml:space="preserve">Vehículos</t>
  </si>
  <si>
    <t xml:space="preserve">Crecimiento %</t>
  </si>
  <si>
    <t xml:space="preserve">Primera vez</t>
  </si>
  <si>
    <t xml:space="preserve">Vuelven</t>
  </si>
  <si>
    <t xml:space="preserve">Nombre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</si>
  <si>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</si>
  <si>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</si>
  <si>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</si>
  <si>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</si>
  <si>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</si>
  <si>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</si>
  <si>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</si>
  <si>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</si>
  <si>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Ingresos por trabajador</t>
  </si>
  <si>
    <t xml:space="preserve">Tienda por categoría</t>
  </si>
  <si>
    <t xml:space="preserve">Sep</t>
  </si>
  <si>
    <t xml:space="preserve">Oct</t>
  </si>
  <si>
    <t xml:space="preserve">Nov</t>
  </si>
  <si>
    <t xml:space="preserve">Dic</t>
  </si>
  <si>
    <t xml:space="preserve">Llegadas por hora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</si>
  <si>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</si>
  <si>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</si>
  <si>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</si>
  <si>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</si>
  <si>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</si>
  <si>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</si>
  <si>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</si>
  <si>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</si>
  <si>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</si>
  <si>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</si>
  <si>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</si>
  <si>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</si>
  <si>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</si>
  <si>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</si>
  <si>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</si>
  <si>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</si>
  <si>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</si>
  <si>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</si>
  <si>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Meses</t>
  </si>
  <si>
    <t xml:space="preserve">Mes filtro</t>
  </si>
  <si>
    <t xml:space="preserve">Trabajador filtro</t>
  </si>
  <si>
    <t xml:space="preserve">Años</t>
  </si>
  <si>
    <t xml:space="preserve">Categorías de la tienda</t>
  </si>
  <si>
    <t xml:space="preserve">← Escriba aquí sus trabajadores (hasta 10, desde D3).</t>
  </si>
  <si>
    <t xml:space="preserve">← Escriba aquí sus categorías (hasta 12, desde F2).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</si>
</sst>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#,##0"/>
    <numFmt numFmtId="167" formatCode="0.0%"/>
    <numFmt numFmtId="168" formatCode="\+0.0%;\-0.0%"/>
    <numFmt numFmtId="169" formatCode="dd/mm/yyyy\ hh:mm"/>
    <numFmt numFmtId="170" formatCode="General"/>
    <numFmt numFmtId="171" formatCode="dd/mm/yyyy"/>
    <numFmt numFmtId="172" formatCode="#,##0;\-#,##0;;"/>
    <numFmt numFmtId="173" formatCode="\$#,##0;&quot;-$&quot;#,##0;;"/>
    <numFmt numFmtId="174" formatCode="0%;\-0%;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C8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4"/>
      <color rgb="FF1BAF7A"/>
      <name val="Segoe UI Emoji"/>
      <family val="0"/>
      <charset val="1"/>
    </font>
    <font>
      <sz val="14"/>
      <color rgb="FF2A78D6"/>
      <name val="Segoe UI Emoji"/>
      <family val="0"/>
      <charset val="1"/>
    </font>
    <font>
      <sz val="14"/>
      <color rgb="FFEDA100"/>
      <name val="Segoe UI Emoji"/>
      <family val="0"/>
      <charset val="1"/>
    </font>
    <font>
      <sz val="14"/>
      <color rgb="FFEB6834"/>
      <name val="Segoe UI Emoji"/>
      <family val="0"/>
      <charset val="1"/>
    </font>
    <font>
      <sz val="14"/>
      <color rgb="FF1C1B17"/>
      <name val="Segoe UI Emoji"/>
      <family val="0"/>
      <charset val="1"/>
    </font>
    <font>
      <sz val="14"/>
      <color rgb="FFE34948"/>
      <name val="Segoe UI Emoji"/>
      <family val="0"/>
      <charset val="1"/>
    </font>
    <font>
      <b val="true"/>
      <sz val="12"/>
      <color rgb="FF1C1B17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i val="true"/>
      <sz val="8"/>
      <color rgb="FF6B6557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B6557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BE2"/>
        <bgColor rgb="FFD9D9D9"/>
      </patternFill>
    </fill>
    <fill>
      <patternFill patternType="solid">
        <fgColor rgb="FF1C1B17"/>
        <bgColor rgb="FF333333"/>
      </patternFill>
    </fill>
    <fill>
      <patternFill patternType="solid">
        <fgColor rgb="FF2A78D6"/>
        <bgColor rgb="FF4F81BD"/>
      </patternFill>
    </fill>
    <fill>
      <patternFill patternType="solid">
        <fgColor rgb="FFFFFFFF"/>
        <bgColor rgb="FFEFEBE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1C2"/>
      </left>
      <right style="thin">
        <color rgb="FFD8D1C2"/>
      </right>
      <top style="thin">
        <color rgb="FFD8D1C2"/>
      </top>
      <bottom style="thin">
        <color rgb="FFD8D1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1C2"/>
      <rgbColor rgb="FF878787"/>
      <rgbColor rgb="FF9999FF"/>
      <rgbColor rgb="FFE34948"/>
      <rgbColor rgb="FFEFEBE2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800"/>
      <rgbColor rgb="FFEDA100"/>
      <rgbColor rgb="FFEB6834"/>
      <rgbColor rgb="FF6B6557"/>
      <rgbColor rgb="FF4F81BD"/>
      <rgbColor rgb="FF003366"/>
      <rgbColor rgb="FF1BAF7A"/>
      <rgbColor rgb="FF003300"/>
      <rgbColor rgb="FF1C1B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Vehículos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Cálculos!C15</c:f>
              <c:strCache>
                <c:ptCount val="1"/>
                <c:pt idx="0">
                  <c:v>Vehículos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Cálculos!$C$16:$C$27</c:f>
              <c:numCache>
                <c:formatCode>#,##0;\-#,##0;;</c:formatCode>
                <c:ptCount val="12"/>
                <c:pt idx="0">
                  <c:v>115</c:v>
                </c:pt>
                <c:pt idx="1">
                  <c:v>165</c:v>
                </c:pt>
                <c:pt idx="2">
                  <c:v>90</c:v>
                </c:pt>
                <c:pt idx="3">
                  <c:v>140</c:v>
                </c:pt>
                <c:pt idx="4">
                  <c:v>65</c:v>
                </c:pt>
                <c:pt idx="5">
                  <c:v>115</c:v>
                </c:pt>
                <c:pt idx="6">
                  <c:v>165</c:v>
                </c:pt>
                <c:pt idx="7">
                  <c:v>90</c:v>
                </c:pt>
                <c:pt idx="8">
                  <c:v>140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56189901"/>
        <c:axId val="28111982"/>
      </c:barChart>
      <c:catAx>
        <c:axId val="561899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11982"/>
        <c:crosses val="autoZero"/>
        <c:auto val="1"/>
        <c:lblAlgn val="ctr"/>
        <c:lblOffset val="100"/>
        <c:noMultiLvlLbl val="0"/>
      </c:catAx>
      <c:valAx>
        <c:axId val="28111982"/>
        <c:scaling>
          <c:orientation val="minMax"/>
        </c:scaling>
        <c:delete val="1"/>
        <c:axPos val="l"/>
        <c:numFmt formatCode="#,##0;\-#,##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8990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Tienda por categoría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Cálculos!R24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Cálculos!$Q$25:$Q$36</c:f>
              <c:strCache>
                <c:ptCount val="12"/>
                <c:pt idx="0">
                  <c:v>Agua</c:v>
                </c:pt>
                <c:pt idx="1">
                  <c:v>Bebidas</c:v>
                </c:pt>
                <c:pt idx="2">
                  <c:v>Café</c:v>
                </c:pt>
                <c:pt idx="3">
                  <c:v>Cerveza</c:v>
                </c:pt>
                <c:pt idx="4">
                  <c:v>Dulces</c:v>
                </c:pt>
                <c:pt idx="5">
                  <c:v>Energizantes</c:v>
                </c:pt>
                <c:pt idx="6">
                  <c:v>Galletas</c:v>
                </c:pt>
                <c:pt idx="7">
                  <c:v>Gaseosas</c:v>
                </c:pt>
                <c:pt idx="8">
                  <c:v>Snacks</c:v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Cálculos!$R$25:$R$36</c:f>
              <c:numCache>
                <c:formatCode>\$#,##0;"-$"#,##0;;</c:formatCode>
                <c:ptCount val="12"/>
                <c:pt idx="0">
                  <c:v>192000</c:v>
                </c:pt>
                <c:pt idx="1">
                  <c:v>486000</c:v>
                </c:pt>
                <c:pt idx="2">
                  <c:v>89000</c:v>
                </c:pt>
                <c:pt idx="3">
                  <c:v>372000</c:v>
                </c:pt>
                <c:pt idx="4">
                  <c:v>270000</c:v>
                </c:pt>
                <c:pt idx="5">
                  <c:v>742000</c:v>
                </c:pt>
                <c:pt idx="6">
                  <c:v>144000</c:v>
                </c:pt>
                <c:pt idx="7">
                  <c:v>414000</c:v>
                </c:pt>
                <c:pt idx="8">
                  <c:v>235000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0"/>
        <c:axId val="48678122"/>
        <c:axId val="77517394"/>
      </c:barChart>
      <c:catAx>
        <c:axId val="4867812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17394"/>
        <c:crosses val="autoZero"/>
        <c:auto val="1"/>
        <c:lblAlgn val="ctr"/>
        <c:lblOffset val="100"/>
        <c:noMultiLvlLbl val="0"/>
      </c:catAx>
      <c:valAx>
        <c:axId val="77517394"/>
        <c:scaling>
          <c:orientation val="minMax"/>
        </c:scaling>
        <c:delete val="1"/>
        <c:axPos val="l"/>
        <c:numFmt formatCode="\$#,##0;&quot;-$&quot;#,##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812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Cómo pagan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Cálculos!R15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da100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87ba4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Cálculos!$Q$16:$Q$20</c:f>
              <c:strCache>
                <c:ptCount val="5"/>
                <c:pt idx="0">
                  <c:v>Efectivo</c:v>
                </c:pt>
                <c:pt idx="1">
                  <c:v>Transferencia</c:v>
                </c:pt>
                <c:pt idx="2">
                  <c:v>Dividido</c:v>
                </c:pt>
                <c:pt idx="3">
                  <c:v>Fiado</c:v>
                </c:pt>
                <c:pt idx="4">
                  <c:v>Monedero</c:v>
                </c:pt>
              </c:strCache>
            </c:strRef>
          </c:cat>
          <c:val>
            <c:numRef>
              <c:f>Cálculos!$R$16:$R$20</c:f>
              <c:numCache>
                <c:formatCode>\$#,##0;"-$"#,##0;;</c:formatCode>
                <c:ptCount val="5"/>
                <c:pt idx="0">
                  <c:v>6780600</c:v>
                </c:pt>
                <c:pt idx="1">
                  <c:v>2628137</c:v>
                </c:pt>
                <c:pt idx="2">
                  <c:v>628675</c:v>
                </c:pt>
                <c:pt idx="3">
                  <c:v>368475</c:v>
                </c:pt>
                <c:pt idx="4">
                  <c:v>427800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vehículo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Cálculos!O15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Cálculos!$N$16:$N$20</c:f>
              <c:strCache>
                <c:ptCount val="5"/>
                <c:pt idx="0">
                  <c:v>Carro</c:v>
                </c:pt>
                <c:pt idx="1">
                  <c:v>Moto</c:v>
                </c:pt>
                <c:pt idx="2">
                  <c:v>Bus</c:v>
                </c:pt>
                <c:pt idx="3">
                  <c:v>Tractomula</c:v>
                </c:pt>
                <c:pt idx="4">
                  <c:v>Chiva</c:v>
                </c:pt>
              </c:strCache>
            </c:strRef>
          </c:cat>
          <c:val>
            <c:numRef>
              <c:f>Cálculos!$O$16:$O$20</c:f>
              <c:numCache>
                <c:formatCode>\$#,##0;"-$"#,##0;;</c:formatCode>
                <c:ptCount val="5"/>
                <c:pt idx="0">
                  <c:v>4671100</c:v>
                </c:pt>
                <c:pt idx="1">
                  <c:v>1187500</c:v>
                </c:pt>
                <c:pt idx="2">
                  <c:v>929325</c:v>
                </c:pt>
                <c:pt idx="3">
                  <c:v>785100</c:v>
                </c:pt>
                <c:pt idx="4">
                  <c:v>316662</c:v>
                </c:pt>
              </c:numCache>
            </c:numRef>
          </c:val>
        </c:ser>
        <c:gapWidth val="50"/>
        <c:overlap val="0"/>
        <c:axId val="40450497"/>
        <c:axId val="23678774"/>
      </c:barChart>
      <c:catAx>
        <c:axId val="404504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78774"/>
        <c:crosses val="autoZero"/>
        <c:auto val="1"/>
        <c:lblAlgn val="ctr"/>
        <c:lblOffset val="100"/>
        <c:noMultiLvlLbl val="0"/>
      </c:catAx>
      <c:valAx>
        <c:axId val="23678774"/>
        <c:scaling>
          <c:orientation val="minMax"/>
        </c:scaling>
        <c:delete val="1"/>
        <c:axPos val="l"/>
        <c:numFmt formatCode="\$#,##0;&quot;-$&quot;#,##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5049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mes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Cálculos!F15</c:f>
              <c:strCache>
                <c:ptCount val="1"/>
                <c:pt idx="0">
                  <c:v>Ingresos totales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Cálculos!$F$16:$F$27</c:f>
              <c:numCache>
                <c:formatCode>\$#,##0;"-$"#,##0;;</c:formatCode>
                <c:ptCount val="12"/>
                <c:pt idx="0">
                  <c:v>1133637</c:v>
                </c:pt>
                <c:pt idx="1">
                  <c:v>1544850</c:v>
                </c:pt>
                <c:pt idx="2">
                  <c:v>873575</c:v>
                </c:pt>
                <c:pt idx="3">
                  <c:v>1258425</c:v>
                </c:pt>
                <c:pt idx="4">
                  <c:v>615550</c:v>
                </c:pt>
                <c:pt idx="5">
                  <c:v>1141525</c:v>
                </c:pt>
                <c:pt idx="6">
                  <c:v>1444675</c:v>
                </c:pt>
                <c:pt idx="7">
                  <c:v>876450</c:v>
                </c:pt>
                <c:pt idx="8">
                  <c:v>1333400</c:v>
                </c:pt>
                <c:pt idx="9">
                  <c:v>611600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42601211"/>
        <c:axId val="75551713"/>
      </c:barChart>
      <c:catAx>
        <c:axId val="42601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51713"/>
        <c:crosses val="autoZero"/>
        <c:auto val="1"/>
        <c:lblAlgn val="ctr"/>
        <c:lblOffset val="100"/>
        <c:noMultiLvlLbl val="0"/>
      </c:catAx>
      <c:valAx>
        <c:axId val="7555171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1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trabajador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Cálculos!O24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Cálculos!$N$25:$N$34</c:f>
              <c:strCache>
                <c:ptCount val="10"/>
                <c:pt idx="0">
                  <c:v>Andrea Bolívar</c:v>
                </c:pt>
                <c:pt idx="1">
                  <c:v>Carlos Perdomo</c:v>
                </c:pt>
                <c:pt idx="2">
                  <c:v>Luisa Trujillo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Cálculos!$O$25:$O$34</c:f>
              <c:numCache>
                <c:formatCode>\$#,##0;"-$"#,##0;;</c:formatCode>
                <c:ptCount val="10"/>
                <c:pt idx="0">
                  <c:v>3567050</c:v>
                </c:pt>
                <c:pt idx="1">
                  <c:v>3429625</c:v>
                </c:pt>
                <c:pt idx="2">
                  <c:v>3837012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50"/>
        <c:overlap val="0"/>
        <c:axId val="57166469"/>
        <c:axId val="47428808"/>
      </c:barChart>
      <c:catAx>
        <c:axId val="5716646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28808"/>
        <c:crosses val="autoZero"/>
        <c:auto val="1"/>
        <c:lblAlgn val="ctr"/>
        <c:lblOffset val="100"/>
        <c:noMultiLvlLbl val="0"/>
      </c:catAx>
      <c:valAx>
        <c:axId val="47428808"/>
        <c:scaling>
          <c:orientation val="minMax"/>
        </c:scaling>
        <c:delete val="1"/>
        <c:axPos val="l"/>
        <c:numFmt formatCode="\$#,##0;&quot;-$&quot;#,##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6646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Visitas nuevas y que vuelven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Cálculos!J15</c:f>
              <c:strCache>
                <c:ptCount val="1"/>
                <c:pt idx="0">
                  <c:v>Primera vez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Cálculos!$J$16:$J$27</c:f>
              <c:numCache>
                <c:formatCode>#,##0;\-#,##0;;</c:formatCode>
                <c:ptCount val="12"/>
                <c:pt idx="0">
                  <c:v>79</c:v>
                </c:pt>
                <c:pt idx="1">
                  <c:v>43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Cálculos!K15</c:f>
              <c:strCache>
                <c:ptCount val="1"/>
                <c:pt idx="0">
                  <c:v>Vuelven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Cálculos!$K$16:$K$27</c:f>
              <c:numCache>
                <c:formatCode>#,##0;\-#,##0;;</c:formatCode>
                <c:ptCount val="12"/>
                <c:pt idx="0">
                  <c:v>36</c:v>
                </c:pt>
                <c:pt idx="1">
                  <c:v>122</c:v>
                </c:pt>
                <c:pt idx="2">
                  <c:v>80</c:v>
                </c:pt>
                <c:pt idx="3">
                  <c:v>133</c:v>
                </c:pt>
                <c:pt idx="4">
                  <c:v>62</c:v>
                </c:pt>
                <c:pt idx="5">
                  <c:v>110</c:v>
                </c:pt>
                <c:pt idx="6">
                  <c:v>161</c:v>
                </c:pt>
                <c:pt idx="7">
                  <c:v>86</c:v>
                </c:pt>
                <c:pt idx="8">
                  <c:v>138</c:v>
                </c:pt>
                <c:pt idx="9">
                  <c:v>64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100"/>
        <c:axId val="74378911"/>
        <c:axId val="59677453"/>
      </c:barChart>
      <c:catAx>
        <c:axId val="7437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77453"/>
        <c:crosses val="autoZero"/>
        <c:auto val="1"/>
        <c:lblAlgn val="ctr"/>
        <c:lblOffset val="100"/>
        <c:noMultiLvlLbl val="0"/>
      </c:catAx>
      <c:valAx>
        <c:axId val="59677453"/>
        <c:scaling>
          <c:orientation val="minMax"/>
        </c:scaling>
        <c:delete val="1"/>
        <c:axPos val="l"/>
        <c:numFmt formatCode="#,##0;\-#,##0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7891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tienda y gastos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Cálculos!G15</c:f>
              <c:strCache>
                <c:ptCount val="1"/>
                <c:pt idx="0">
                  <c:v>Costo tienda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Cálculos!$G$16:$G$27</c:f>
              <c:numCache>
                <c:formatCode>\$#,##0;"-$"#,##0;;</c:formatCode>
                <c:ptCount val="12"/>
                <c:pt idx="0">
                  <c:v>214600</c:v>
                </c:pt>
                <c:pt idx="1">
                  <c:v>260600</c:v>
                </c:pt>
                <c:pt idx="2">
                  <c:v>136800</c:v>
                </c:pt>
                <c:pt idx="3">
                  <c:v>237900</c:v>
                </c:pt>
                <c:pt idx="4">
                  <c:v>120400</c:v>
                </c:pt>
                <c:pt idx="5">
                  <c:v>170500</c:v>
                </c:pt>
                <c:pt idx="6">
                  <c:v>241900</c:v>
                </c:pt>
                <c:pt idx="7">
                  <c:v>158300</c:v>
                </c:pt>
                <c:pt idx="8">
                  <c:v>235000</c:v>
                </c:pt>
                <c:pt idx="9">
                  <c:v>105700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Cálculos!H15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Cálculos!$H$16:$H$27</c:f>
              <c:numCache>
                <c:formatCode>\$#,##0;"-$"#,##0;;</c:formatCode>
                <c:ptCount val="12"/>
                <c:pt idx="0">
                  <c:v>1087000</c:v>
                </c:pt>
                <c:pt idx="1">
                  <c:v>1094000</c:v>
                </c:pt>
                <c:pt idx="2">
                  <c:v>1101000</c:v>
                </c:pt>
                <c:pt idx="3">
                  <c:v>1108000</c:v>
                </c:pt>
                <c:pt idx="4">
                  <c:v>1115000</c:v>
                </c:pt>
                <c:pt idx="5">
                  <c:v>1122000</c:v>
                </c:pt>
                <c:pt idx="6">
                  <c:v>1129000</c:v>
                </c:pt>
                <c:pt idx="7">
                  <c:v>1136000</c:v>
                </c:pt>
                <c:pt idx="8">
                  <c:v>1143000</c:v>
                </c:pt>
                <c:pt idx="9">
                  <c:v>1150000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27136955"/>
        <c:axId val="42459251"/>
      </c:barChart>
      <c:catAx>
        <c:axId val="27136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59251"/>
        <c:crosses val="autoZero"/>
        <c:auto val="1"/>
        <c:lblAlgn val="ctr"/>
        <c:lblOffset val="100"/>
        <c:noMultiLvlLbl val="0"/>
      </c:catAx>
      <c:valAx>
        <c:axId val="42459251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369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Crecimiento mes a mes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Cálculos!I15</c:f>
              <c:strCache>
                <c:ptCount val="1"/>
                <c:pt idx="0">
                  <c:v>Crecimiento %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Cálculos!$I$16:$I$27</c:f>
              <c:numCache>
                <c:formatCode>0%;\-0%;;</c:formatCode>
                <c:ptCount val="12"/>
                <c:pt idx="0">
                  <c:v>0</c:v>
                </c:pt>
                <c:pt idx="1">
                  <c:v>0.36273780760508</c:v>
                </c:pt>
                <c:pt idx="2">
                  <c:v>-0.434524387480985</c:v>
                </c:pt>
                <c:pt idx="3">
                  <c:v>0.440546032109435</c:v>
                </c:pt>
                <c:pt idx="4">
                  <c:v>-0.510856824999503</c:v>
                </c:pt>
                <c:pt idx="5">
                  <c:v>0.854479733571603</c:v>
                </c:pt>
                <c:pt idx="6">
                  <c:v>0.265565800135783</c:v>
                </c:pt>
                <c:pt idx="7">
                  <c:v>-0.393323757938637</c:v>
                </c:pt>
                <c:pt idx="8">
                  <c:v>0.521364595812653</c:v>
                </c:pt>
                <c:pt idx="9">
                  <c:v>-0.541322933853307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96146597"/>
        <c:axId val="7177427"/>
      </c:barChart>
      <c:catAx>
        <c:axId val="96146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7427"/>
        <c:crosses val="autoZero"/>
        <c:auto val="1"/>
        <c:lblAlgn val="ctr"/>
        <c:lblOffset val="100"/>
        <c:noMultiLvlLbl val="0"/>
      </c:catAx>
      <c:valAx>
        <c:axId val="7177427"/>
        <c:scaling>
          <c:orientation val="minMax"/>
        </c:scaling>
        <c:delete val="1"/>
        <c:axPos val="l"/>
        <c:numFmt formatCode="0%;\-0%;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4659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Cobro promedio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Cálculos!L15</c:f>
              <c:strCache>
                <c:ptCount val="1"/>
                <c:pt idx="0">
                  <c:v>Cobro promedio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Cálculos!$A$16:$A$27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Cálculos!$L$16:$L$27</c:f>
              <c:numCache>
                <c:formatCode>\$#,##0;"-$"#,##0;;</c:formatCode>
                <c:ptCount val="12"/>
                <c:pt idx="0">
                  <c:v>6992.49565217391</c:v>
                </c:pt>
                <c:pt idx="1">
                  <c:v>6856.66666666667</c:v>
                </c:pt>
                <c:pt idx="2">
                  <c:v>7289.72222222222</c:v>
                </c:pt>
                <c:pt idx="3">
                  <c:v>6345.89285714286</c:v>
                </c:pt>
                <c:pt idx="4">
                  <c:v>6616.15384615385</c:v>
                </c:pt>
                <c:pt idx="5">
                  <c:v>7526.30434782609</c:v>
                </c:pt>
                <c:pt idx="6">
                  <c:v>6452.57575757576</c:v>
                </c:pt>
                <c:pt idx="7">
                  <c:v>7005</c:v>
                </c:pt>
                <c:pt idx="8">
                  <c:v>6938.57142857143</c:v>
                </c:pt>
                <c:pt idx="9">
                  <c:v>6886.15384615385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75773725"/>
        <c:axId val="61118686"/>
      </c:barChart>
      <c:catAx>
        <c:axId val="757737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18686"/>
        <c:crosses val="autoZero"/>
        <c:auto val="1"/>
        <c:lblAlgn val="ctr"/>
        <c:lblOffset val="100"/>
        <c:noMultiLvlLbl val="0"/>
      </c:catAx>
      <c:valAx>
        <c:axId val="61118686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737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¿A qué hora llegan?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Cálculos!U41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Cálculos!$T$42:$T$59</c:f>
              <c:strCache>
                <c:ptCount val="1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</c:strCache>
            </c:strRef>
          </c:cat>
          <c:val>
            <c:numRef>
              <c:f>Cálculos!$U$42:$U$59</c:f>
              <c:numCache>
                <c:formatCode>#,##0</c:formatCode>
                <c:ptCount val="18"/>
                <c:pt idx="0">
                  <c:v>0</c:v>
                </c:pt>
                <c:pt idx="1">
                  <c:v>70</c:v>
                </c:pt>
                <c:pt idx="2">
                  <c:v>139</c:v>
                </c:pt>
                <c:pt idx="3">
                  <c:v>132</c:v>
                </c:pt>
                <c:pt idx="4">
                  <c:v>75</c:v>
                </c:pt>
                <c:pt idx="5">
                  <c:v>65</c:v>
                </c:pt>
                <c:pt idx="6">
                  <c:v>64</c:v>
                </c:pt>
                <c:pt idx="7">
                  <c:v>64</c:v>
                </c:pt>
                <c:pt idx="8">
                  <c:v>53</c:v>
                </c:pt>
                <c:pt idx="9">
                  <c:v>55</c:v>
                </c:pt>
                <c:pt idx="10">
                  <c:v>65</c:v>
                </c:pt>
                <c:pt idx="11">
                  <c:v>62</c:v>
                </c:pt>
                <c:pt idx="12">
                  <c:v>74</c:v>
                </c:pt>
                <c:pt idx="13">
                  <c:v>77</c:v>
                </c:pt>
                <c:pt idx="14">
                  <c:v>70</c:v>
                </c:pt>
                <c:pt idx="15">
                  <c:v>85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gapWidth val="30"/>
        <c:overlap val="0"/>
        <c:axId val="3807550"/>
        <c:axId val="26334451"/>
      </c:barChart>
      <c:catAx>
        <c:axId val="38075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34451"/>
        <c:crosses val="autoZero"/>
        <c:auto val="1"/>
        <c:lblAlgn val="ctr"/>
        <c:lblOffset val="100"/>
        <c:noMultiLvlLbl val="0"/>
      </c:catAx>
      <c:valAx>
        <c:axId val="26334451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755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Cómo entran (vehículos)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Cálculos!U15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b6834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baf7a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Cálculos!$T$16:$T$18</c:f>
              <c:strCache>
                <c:ptCount val="3"/>
                <c:pt idx="0">
                  <c:v>Por tiempo</c:v>
                </c:pt>
                <c:pt idx="1">
                  <c:v>Convenio</c:v>
                </c:pt>
                <c:pt idx="2">
                  <c:v>Mensualidad</c:v>
                </c:pt>
              </c:strCache>
            </c:strRef>
          </c:cat>
          <c:val>
            <c:numRef>
              <c:f>Cálculos!$U$16:$U$18</c:f>
              <c:numCache>
                <c:formatCode>#,##0;\-#,##0;;</c:formatCode>
                <c:ptCount val="3"/>
                <c:pt idx="0">
                  <c:v>926</c:v>
                </c:pt>
                <c:pt idx="1">
                  <c:v>116</c:v>
                </c:pt>
                <c:pt idx="2">
                  <c:v>108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7</xdr:row>
      <xdr:rowOff>0</xdr:rowOff>
    </xdr:from>
    <xdr:to>
      <xdr:col>15</xdr:col>
      <xdr:colOff>192600</xdr:colOff>
      <xdr:row>19</xdr:row>
      <xdr:rowOff>172080</xdr:rowOff>
    </xdr:to>
    <xdr:graphicFrame>
      <xdr:nvGraphicFramePr>
        <xdr:cNvPr id="0" name="Chart 1"/>
        <xdr:cNvGraphicFramePr/>
      </xdr:nvGraphicFramePr>
      <xdr:xfrm>
        <a:off x="1564560" y="1781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7</xdr:row>
      <xdr:rowOff>0</xdr:rowOff>
    </xdr:from>
    <xdr:to>
      <xdr:col>27</xdr:col>
      <xdr:colOff>192600</xdr:colOff>
      <xdr:row>19</xdr:row>
      <xdr:rowOff>172080</xdr:rowOff>
    </xdr:to>
    <xdr:graphicFrame>
      <xdr:nvGraphicFramePr>
        <xdr:cNvPr id="1" name="Chart 2"/>
        <xdr:cNvGraphicFramePr/>
      </xdr:nvGraphicFramePr>
      <xdr:xfrm>
        <a:off x="5115600" y="1781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27</xdr:col>
      <xdr:colOff>0</xdr:colOff>
      <xdr:row>7</xdr:row>
      <xdr:rowOff>0</xdr:rowOff>
    </xdr:from>
    <xdr:to>
      <xdr:col>39</xdr:col>
      <xdr:colOff>192960</xdr:colOff>
      <xdr:row>19</xdr:row>
      <xdr:rowOff>172080</xdr:rowOff>
    </xdr:to>
    <xdr:graphicFrame>
      <xdr:nvGraphicFramePr>
        <xdr:cNvPr id="2" name="Chart 3"/>
        <xdr:cNvGraphicFramePr/>
      </xdr:nvGraphicFramePr>
      <xdr:xfrm>
        <a:off x="8666640" y="1781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21</xdr:row>
      <xdr:rowOff>146520</xdr:rowOff>
    </xdr:from>
    <xdr:to>
      <xdr:col>15</xdr:col>
      <xdr:colOff>192600</xdr:colOff>
      <xdr:row>35</xdr:row>
      <xdr:rowOff>143280</xdr:rowOff>
    </xdr:to>
    <xdr:graphicFrame>
      <xdr:nvGraphicFramePr>
        <xdr:cNvPr id="3" name="Chart 4"/>
        <xdr:cNvGraphicFramePr/>
      </xdr:nvGraphicFramePr>
      <xdr:xfrm>
        <a:off x="1564560" y="4800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0</xdr:colOff>
      <xdr:row>21</xdr:row>
      <xdr:rowOff>146520</xdr:rowOff>
    </xdr:from>
    <xdr:to>
      <xdr:col>27</xdr:col>
      <xdr:colOff>192600</xdr:colOff>
      <xdr:row>35</xdr:row>
      <xdr:rowOff>143280</xdr:rowOff>
    </xdr:to>
    <xdr:graphicFrame>
      <xdr:nvGraphicFramePr>
        <xdr:cNvPr id="4" name="Chart 5"/>
        <xdr:cNvGraphicFramePr/>
      </xdr:nvGraphicFramePr>
      <xdr:xfrm>
        <a:off x="5115600" y="4800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27</xdr:col>
      <xdr:colOff>0</xdr:colOff>
      <xdr:row>21</xdr:row>
      <xdr:rowOff>146520</xdr:rowOff>
    </xdr:from>
    <xdr:to>
      <xdr:col>39</xdr:col>
      <xdr:colOff>192960</xdr:colOff>
      <xdr:row>35</xdr:row>
      <xdr:rowOff>143280</xdr:rowOff>
    </xdr:to>
    <xdr:graphicFrame>
      <xdr:nvGraphicFramePr>
        <xdr:cNvPr id="5" name="Chart 6"/>
        <xdr:cNvGraphicFramePr/>
      </xdr:nvGraphicFramePr>
      <xdr:xfrm>
        <a:off x="8666640" y="4800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</xdr:col>
      <xdr:colOff>0</xdr:colOff>
      <xdr:row>36</xdr:row>
      <xdr:rowOff>146880</xdr:rowOff>
    </xdr:from>
    <xdr:to>
      <xdr:col>15</xdr:col>
      <xdr:colOff>192600</xdr:colOff>
      <xdr:row>50</xdr:row>
      <xdr:rowOff>143640</xdr:rowOff>
    </xdr:to>
    <xdr:graphicFrame>
      <xdr:nvGraphicFramePr>
        <xdr:cNvPr id="6" name="Chart 7"/>
        <xdr:cNvGraphicFramePr/>
      </xdr:nvGraphicFramePr>
      <xdr:xfrm>
        <a:off x="1564560" y="7658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0</xdr:colOff>
      <xdr:row>36</xdr:row>
      <xdr:rowOff>146880</xdr:rowOff>
    </xdr:from>
    <xdr:to>
      <xdr:col>27</xdr:col>
      <xdr:colOff>192600</xdr:colOff>
      <xdr:row>50</xdr:row>
      <xdr:rowOff>143640</xdr:rowOff>
    </xdr:to>
    <xdr:graphicFrame>
      <xdr:nvGraphicFramePr>
        <xdr:cNvPr id="7" name="Chart 8"/>
        <xdr:cNvGraphicFramePr/>
      </xdr:nvGraphicFramePr>
      <xdr:xfrm>
        <a:off x="5115600" y="7658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0</xdr:colOff>
      <xdr:row>36</xdr:row>
      <xdr:rowOff>146880</xdr:rowOff>
    </xdr:from>
    <xdr:to>
      <xdr:col>39</xdr:col>
      <xdr:colOff>192960</xdr:colOff>
      <xdr:row>50</xdr:row>
      <xdr:rowOff>143640</xdr:rowOff>
    </xdr:to>
    <xdr:graphicFrame>
      <xdr:nvGraphicFramePr>
        <xdr:cNvPr id="8" name="Chart 9"/>
        <xdr:cNvGraphicFramePr/>
      </xdr:nvGraphicFramePr>
      <xdr:xfrm>
        <a:off x="8666640" y="765828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0</xdr:colOff>
      <xdr:row>51</xdr:row>
      <xdr:rowOff>146520</xdr:rowOff>
    </xdr:from>
    <xdr:to>
      <xdr:col>15</xdr:col>
      <xdr:colOff>192600</xdr:colOff>
      <xdr:row>65</xdr:row>
      <xdr:rowOff>143280</xdr:rowOff>
    </xdr:to>
    <xdr:graphicFrame>
      <xdr:nvGraphicFramePr>
        <xdr:cNvPr id="9" name="Chart 10"/>
        <xdr:cNvGraphicFramePr/>
      </xdr:nvGraphicFramePr>
      <xdr:xfrm>
        <a:off x="1564560" y="10515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0</xdr:colOff>
      <xdr:row>51</xdr:row>
      <xdr:rowOff>146520</xdr:rowOff>
    </xdr:from>
    <xdr:to>
      <xdr:col>27</xdr:col>
      <xdr:colOff>192600</xdr:colOff>
      <xdr:row>65</xdr:row>
      <xdr:rowOff>143280</xdr:rowOff>
    </xdr:to>
    <xdr:graphicFrame>
      <xdr:nvGraphicFramePr>
        <xdr:cNvPr id="10" name="Chart 11"/>
        <xdr:cNvGraphicFramePr/>
      </xdr:nvGraphicFramePr>
      <xdr:xfrm>
        <a:off x="5115600" y="10515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27</xdr:col>
      <xdr:colOff>0</xdr:colOff>
      <xdr:row>51</xdr:row>
      <xdr:rowOff>146520</xdr:rowOff>
    </xdr:from>
    <xdr:to>
      <xdr:col>39</xdr:col>
      <xdr:colOff>192960</xdr:colOff>
      <xdr:row>65</xdr:row>
      <xdr:rowOff>143280</xdr:rowOff>
    </xdr:to>
    <xdr:graphicFrame>
      <xdr:nvGraphicFramePr>
        <xdr:cNvPr id="11" name="Chart 12"/>
        <xdr:cNvGraphicFramePr/>
      </xdr:nvGraphicFramePr>
      <xdr:xfrm>
        <a:off x="8666640" y="10515600"/>
        <a:ext cx="3743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43" min="3" style="0" width="4.2"/>
  </cols>
  <sheetData>
    <row r="1" customFormat="false" ht="21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"/>
      <c r="AO1" s="1"/>
      <c r="AP1" s="1"/>
      <c r="AQ1" s="1"/>
    </row>
    <row r="2" customFormat="false" ht="21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"/>
      <c r="AO2" s="1"/>
      <c r="AP2" s="1"/>
      <c r="A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customFormat="false" ht="25.5" hidden="false" customHeight="true" outlineLevel="0" collapsed="false">
      <c r="A4" s="1"/>
      <c r="B4" s="3" t="s">
        <v>1</v>
      </c>
      <c r="C4" s="1"/>
      <c r="D4" s="4" t="s">
        <v>2</v>
      </c>
      <c r="E4" s="4"/>
      <c r="F4" s="4"/>
      <c r="G4" s="4"/>
      <c r="H4" s="4" t="s">
        <v>3</v>
      </c>
      <c r="I4" s="4"/>
      <c r="J4" s="4"/>
      <c r="K4" s="4"/>
      <c r="L4" s="4" t="s">
        <v>4</v>
      </c>
      <c r="M4" s="4"/>
      <c r="N4" s="4"/>
      <c r="O4" s="4"/>
      <c r="P4" s="4" t="s">
        <v>5</v>
      </c>
      <c r="Q4" s="4"/>
      <c r="R4" s="4"/>
      <c r="S4" s="4"/>
      <c r="T4" s="4" t="s">
        <v>6</v>
      </c>
      <c r="U4" s="4"/>
      <c r="V4" s="4"/>
      <c r="W4" s="4"/>
      <c r="X4" s="4" t="s">
        <v>7</v>
      </c>
      <c r="Y4" s="4"/>
      <c r="Z4" s="4"/>
      <c r="AA4" s="4"/>
      <c r="AB4" s="4" t="s">
        <v>8</v>
      </c>
      <c r="AC4" s="4"/>
      <c r="AD4" s="4"/>
      <c r="AE4" s="4"/>
      <c r="AF4" s="4" t="s">
        <v>9</v>
      </c>
      <c r="AG4" s="4"/>
      <c r="AH4" s="4"/>
      <c r="AI4" s="4"/>
      <c r="AJ4" s="4" t="s">
        <v>10</v>
      </c>
      <c r="AK4" s="4"/>
      <c r="AL4" s="4"/>
      <c r="AM4" s="4"/>
      <c r="AN4" s="1"/>
      <c r="AO4" s="1"/>
      <c r="AP4" s="1"/>
      <c r="AQ4" s="1"/>
    </row>
    <row r="5" customFormat="false" ht="19.5" hidden="false" customHeight="true" outlineLevel="0" collapsed="false">
      <c r="A5" s="1"/>
      <c r="B5" s="5" t="n">
        <v>2026</v>
      </c>
      <c r="C5" s="1"/>
      <c r="D5" s="6" t="s">
        <v>11</v>
      </c>
      <c r="E5" s="6"/>
      <c r="F5" s="6"/>
      <c r="G5" s="6"/>
      <c r="H5" s="7" t="s">
        <v>12</v>
      </c>
      <c r="I5" s="7"/>
      <c r="J5" s="7"/>
      <c r="K5" s="7"/>
      <c r="L5" s="8" t="s">
        <v>13</v>
      </c>
      <c r="M5" s="8"/>
      <c r="N5" s="8"/>
      <c r="O5" s="8"/>
      <c r="P5" s="9" t="s">
        <v>14</v>
      </c>
      <c r="Q5" s="9"/>
      <c r="R5" s="9"/>
      <c r="S5" s="9"/>
      <c r="T5" s="6" t="s">
        <v>15</v>
      </c>
      <c r="U5" s="6"/>
      <c r="V5" s="6"/>
      <c r="W5" s="6"/>
      <c r="X5" s="10" t="s">
        <v>16</v>
      </c>
      <c r="Y5" s="10"/>
      <c r="Z5" s="10"/>
      <c r="AA5" s="10"/>
      <c r="AB5" s="7" t="s">
        <v>17</v>
      </c>
      <c r="AC5" s="7"/>
      <c r="AD5" s="7"/>
      <c r="AE5" s="7"/>
      <c r="AF5" s="6" t="s">
        <v>18</v>
      </c>
      <c r="AG5" s="6"/>
      <c r="AH5" s="6"/>
      <c r="AI5" s="6"/>
      <c r="AJ5" s="11" t="s">
        <v>19</v>
      </c>
      <c r="AK5" s="11"/>
      <c r="AL5" s="11"/>
      <c r="AM5" s="11"/>
      <c r="AN5" s="1"/>
      <c r="AO5" s="1"/>
      <c r="AP5" s="1"/>
      <c r="AQ5" s="1"/>
    </row>
    <row r="6" customFormat="false" ht="21.75" hidden="false" customHeight="true" outlineLevel="0" collapsed="false">
      <c r="A6" s="1"/>
      <c r="B6" s="1"/>
      <c r="C6" s="1"/>
      <c r="D6" s="12" t="n">
        <f aca="false">Cálculos!$E$3+Cálculos!$E$5</f>
        <v>10833687</v>
      </c>
      <c r="E6" s="12"/>
      <c r="F6" s="12"/>
      <c r="G6" s="12"/>
      <c r="H6" s="13" t="n">
        <f aca="false">Cálculos!$E$4</f>
        <v>1150</v>
      </c>
      <c r="I6" s="13"/>
      <c r="J6" s="13"/>
      <c r="K6" s="13"/>
      <c r="L6" s="12" t="n">
        <f aca="false">IF(Cálculos!$E$4=0,0,Cálculos!$E$3/Cálculos!$E$4)</f>
        <v>6860.59739130435</v>
      </c>
      <c r="M6" s="12"/>
      <c r="N6" s="12"/>
      <c r="O6" s="12"/>
      <c r="P6" s="12" t="n">
        <f aca="false">Cálculos!$E$5</f>
        <v>2944000</v>
      </c>
      <c r="Q6" s="12"/>
      <c r="R6" s="12"/>
      <c r="S6" s="12"/>
      <c r="T6" s="14" t="n">
        <f aca="false">IF(Cálculos!$E$5=0,0,(Cálculos!$E$5-Cálculos!$E$6)/Cálculos!$E$5)</f>
        <v>0.360835597826087</v>
      </c>
      <c r="U6" s="14"/>
      <c r="V6" s="14"/>
      <c r="W6" s="14"/>
      <c r="X6" s="13" t="n">
        <f aca="false">IF(Cálculos!$E$4=0,0,Cálculos!$E$8/Cálculos!$E$4)</f>
        <v>225.449565217391</v>
      </c>
      <c r="Y6" s="13"/>
      <c r="Z6" s="13"/>
      <c r="AA6" s="13"/>
      <c r="AB6" s="14" t="n">
        <f aca="false">IF(Cálculos!$E$4=0,0,1-Cálculos!$E$9/Cálculos!$E$4)</f>
        <v>0.862608695652174</v>
      </c>
      <c r="AC6" s="14"/>
      <c r="AD6" s="14"/>
      <c r="AE6" s="14"/>
      <c r="AF6" s="15" t="str">
        <f aca="false">IF(Cálculos!$E$11=0,"—",(Cálculos!$E$3+Cálculos!$E$5)/Cálculos!$E$11-1)</f>
        <v>—</v>
      </c>
      <c r="AG6" s="15"/>
      <c r="AH6" s="15"/>
      <c r="AI6" s="15"/>
      <c r="AJ6" s="14" t="n">
        <f aca="false">IF(Tablero!$B$14=0,0,(Cálculos!$E$3+Cálculos!$E$5)/(Tablero!$B$14*Cálculos!$B$8))</f>
        <v>0.245661836734694</v>
      </c>
      <c r="AK6" s="14"/>
      <c r="AL6" s="14"/>
      <c r="AM6" s="14"/>
      <c r="AN6" s="1"/>
      <c r="AO6" s="1"/>
      <c r="AP6" s="1"/>
      <c r="AQ6" s="1"/>
    </row>
    <row r="7" customFormat="false" ht="15" hidden="false" customHeight="false" outlineLevel="0" collapsed="false">
      <c r="A7" s="1"/>
      <c r="B7" s="3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customFormat="false" ht="16.15" hidden="false" customHeight="false" outlineLevel="0" collapsed="false">
      <c r="A8" s="1"/>
      <c r="B8" s="5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customFormat="false" ht="15" hidden="false" customHeight="false" outlineLevel="0" collapsed="false">
      <c r="A10" s="1"/>
      <c r="B10" s="3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customFormat="false" ht="16.15" hidden="false" customHeight="false" outlineLevel="0" collapsed="false">
      <c r="A11" s="1"/>
      <c r="B11" s="5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customFormat="false" ht="27.75" hidden="false" customHeight="true" outlineLevel="0" collapsed="false">
      <c r="A13" s="1"/>
      <c r="B13" s="16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customFormat="false" ht="16.15" hidden="false" customHeight="false" outlineLevel="0" collapsed="false">
      <c r="A14" s="1"/>
      <c r="B14" s="17" t="n">
        <v>150000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customFormat="false" ht="15" hidden="false" customHeight="true" outlineLevel="0" collapsed="false">
      <c r="A16" s="1"/>
      <c r="B16" s="18" t="s">
        <v>24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customFormat="false" ht="15" hidden="false" customHeight="false" outlineLevel="0" collapsed="false">
      <c r="A17" s="1"/>
      <c r="B17" s="1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customFormat="false" ht="15" hidden="false" customHeight="false" outlineLevel="0" collapsed="false">
      <c r="A18" s="1"/>
      <c r="B18" s="1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customFormat="false" ht="15" hidden="false" customHeight="false" outlineLevel="0" collapsed="false">
      <c r="A19" s="1"/>
      <c r="B19" s="1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</sheetData>
  <mergeCells count="29">
    <mergeCell ref="B1:AM2"/>
    <mergeCell ref="D4:G4"/>
    <mergeCell ref="H4:K4"/>
    <mergeCell ref="L4:O4"/>
    <mergeCell ref="P4:S4"/>
    <mergeCell ref="T4:W4"/>
    <mergeCell ref="X4:AA4"/>
    <mergeCell ref="AB4:AE4"/>
    <mergeCell ref="AF4:AI4"/>
    <mergeCell ref="AJ4:AM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B16:B19"/>
  </mergeCells>
  <dataValidations count="3">
    <dataValidation allowBlank="false" errorStyle="stop" operator="between" showDropDown="false" showErrorMessage="false" showInputMessage="false" sqref="B5" type="list">
      <formula1>Listas!$E$2:$E$6</formula1>
      <formula2>0</formula2>
    </dataValidation>
    <dataValidation allowBlank="false" errorStyle="stop" operator="between" showDropDown="false" showErrorMessage="false" showInputMessage="false" sqref="B8" type="list">
      <formula1>Listas!$C$2:$C$14</formula1>
      <formula2>0</formula2>
    </dataValidation>
    <dataValidation allowBlank="false" errorStyle="stop" operator="between" showDropDown="false" showErrorMessage="false" showInputMessage="false" sqref="B11" type="list">
      <formula1>Listas!$D$2:$D$12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0"/>
  </cols>
  <sheetData>
    <row r="2" customFormat="false" ht="17.35" hidden="false" customHeight="false" outlineLevel="0" collapsed="false">
      <c r="B2" s="19" t="s">
        <v>25</v>
      </c>
    </row>
    <row r="3" customFormat="false" ht="15" hidden="false" customHeight="false" outlineLevel="0" collapsed="false">
      <c r="B3" s="20"/>
    </row>
    <row r="4" customFormat="false" ht="15" hidden="false" customHeight="false" outlineLevel="0" collapsed="false">
      <c r="B4" s="20" t="s">
        <v>26</v>
      </c>
    </row>
    <row r="5" customFormat="false" ht="15" hidden="false" customHeight="false" outlineLevel="0" collapsed="false">
      <c r="B5" s="20" t="s">
        <v>27</v>
      </c>
    </row>
    <row r="6" customFormat="false" ht="15" hidden="false" customHeight="false" outlineLevel="0" collapsed="false">
      <c r="B6" s="20" t="s">
        <v>28</v>
      </c>
    </row>
    <row r="7" customFormat="false" ht="15" hidden="false" customHeight="false" outlineLevel="0" collapsed="false">
      <c r="B7" s="20" t="s">
        <v>29</v>
      </c>
    </row>
    <row r="8" customFormat="false" ht="15" hidden="false" customHeight="false" outlineLevel="0" collapsed="false">
      <c r="B8" s="20" t="s">
        <v>30</v>
      </c>
    </row>
    <row r="9" customFormat="false" ht="15" hidden="false" customHeight="false" outlineLevel="0" collapsed="false">
      <c r="B9" s="20" t="s">
        <v>31</v>
      </c>
    </row>
    <row r="10" customFormat="false" ht="15" hidden="false" customHeight="false" outlineLevel="0" collapsed="false">
      <c r="B10" s="20"/>
    </row>
    <row r="11" customFormat="false" ht="15" hidden="false" customHeight="false" outlineLevel="0" collapsed="false">
      <c r="B11" s="20" t="s">
        <v>32</v>
      </c>
    </row>
    <row r="12" customFormat="false" ht="15" hidden="false" customHeight="false" outlineLevel="0" collapsed="false">
      <c r="B12" s="20" t="s">
        <v>33</v>
      </c>
    </row>
    <row r="13" customFormat="false" ht="15" hidden="false" customHeight="false" outlineLevel="0" collapsed="false">
      <c r="B13" s="20" t="s">
        <v>34</v>
      </c>
    </row>
    <row r="14" customFormat="false" ht="15" hidden="false" customHeight="false" outlineLevel="0" collapsed="false">
      <c r="B14" s="20"/>
    </row>
    <row r="15" customFormat="false" ht="15" hidden="false" customHeight="false" outlineLevel="0" collapsed="false">
      <c r="B15" s="20" t="s">
        <v>35</v>
      </c>
    </row>
    <row r="16" customFormat="false" ht="15" hidden="false" customHeight="false" outlineLevel="0" collapsed="false">
      <c r="B16" s="2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6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21" t="s">
        <v>37</v>
      </c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1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O1" s="22" t="s">
        <v>50</v>
      </c>
    </row>
    <row r="2" customFormat="false" ht="15" hidden="false" customHeight="false" outlineLevel="0" collapsed="false">
      <c r="A2" s="23" t="n">
        <v>45658.3798611111</v>
      </c>
      <c r="B2" s="24" t="s">
        <v>51</v>
      </c>
      <c r="C2" s="24" t="s">
        <v>52</v>
      </c>
      <c r="D2" s="24" t="s">
        <v>53</v>
      </c>
      <c r="E2" s="24" t="n">
        <v>92</v>
      </c>
      <c r="F2" s="25" t="n">
        <v>0</v>
      </c>
      <c r="G2" s="24" t="s">
        <v>54</v>
      </c>
      <c r="H2" s="24" t="s">
        <v>55</v>
      </c>
      <c r="I2" s="24" t="s">
        <v>56</v>
      </c>
      <c r="J2" s="26" t="n">
        <f aca="false">IF(A2="","",YEAR(A2))</f>
        <v>2025</v>
      </c>
      <c r="K2" s="26" t="n">
        <f aca="false">IF(A2="","",MONTH(A2))</f>
        <v>1</v>
      </c>
      <c r="L2" s="26" t="n">
        <f aca="false">IF(B2="","",VALUE(LEFT(B2,2)))</f>
        <v>7</v>
      </c>
      <c r="M2" s="26" t="n">
        <f aca="false">IF(A2="","",IF(COUNTIFS($C$2:$C$5001,C2,$J$2:$J$5001,J2,$A$2:$A$5001,"&lt;"&amp;A2)=0,1,0))</f>
        <v>1</v>
      </c>
    </row>
    <row r="3" customFormat="false" ht="15" hidden="false" customHeight="false" outlineLevel="0" collapsed="false">
      <c r="A3" s="23" t="n">
        <v>45658.4833333333</v>
      </c>
      <c r="B3" s="24" t="s">
        <v>57</v>
      </c>
      <c r="C3" s="24" t="s">
        <v>58</v>
      </c>
      <c r="D3" s="24" t="s">
        <v>53</v>
      </c>
      <c r="E3" s="24" t="n">
        <v>140</v>
      </c>
      <c r="F3" s="25" t="n">
        <v>2500</v>
      </c>
      <c r="G3" s="24" t="s">
        <v>59</v>
      </c>
      <c r="H3" s="24" t="s">
        <v>60</v>
      </c>
      <c r="I3" s="24" t="s">
        <v>61</v>
      </c>
      <c r="J3" s="26" t="n">
        <f aca="false">IF(A3="","",YEAR(A3))</f>
        <v>2025</v>
      </c>
      <c r="K3" s="26" t="n">
        <f aca="false">IF(A3="","",MONTH(A3))</f>
        <v>1</v>
      </c>
      <c r="L3" s="26" t="n">
        <f aca="false">IF(B3="","",VALUE(LEFT(B3,2)))</f>
        <v>9</v>
      </c>
      <c r="M3" s="26" t="n">
        <f aca="false">IF(A3="","",IF(COUNTIFS($C$2:$C$5001,C3,$J$2:$J$5001,J3,$A$2:$A$5001,"&lt;"&amp;A3)=0,1,0))</f>
        <v>1</v>
      </c>
    </row>
    <row r="4" customFormat="false" ht="15" hidden="false" customHeight="false" outlineLevel="0" collapsed="false">
      <c r="A4" s="23" t="n">
        <v>45658.8854166667</v>
      </c>
      <c r="B4" s="24" t="s">
        <v>62</v>
      </c>
      <c r="C4" s="24" t="s">
        <v>63</v>
      </c>
      <c r="D4" s="24" t="s">
        <v>53</v>
      </c>
      <c r="E4" s="24" t="n">
        <v>231</v>
      </c>
      <c r="F4" s="25" t="n">
        <v>4000</v>
      </c>
      <c r="G4" s="24" t="s">
        <v>59</v>
      </c>
      <c r="H4" s="24" t="s">
        <v>55</v>
      </c>
      <c r="I4" s="24" t="s">
        <v>61</v>
      </c>
      <c r="J4" s="26" t="n">
        <f aca="false">IF(A4="","",YEAR(A4))</f>
        <v>2025</v>
      </c>
      <c r="K4" s="26" t="n">
        <f aca="false">IF(A4="","",MONTH(A4))</f>
        <v>1</v>
      </c>
      <c r="L4" s="26" t="n">
        <f aca="false">IF(B4="","",VALUE(LEFT(B4,2)))</f>
        <v>17</v>
      </c>
      <c r="M4" s="26" t="n">
        <f aca="false">IF(A4="","",IF(COUNTIFS($C$2:$C$5001,C4,$J$2:$J$5001,J4,$A$2:$A$5001,"&lt;"&amp;A4)=0,1,0))</f>
        <v>1</v>
      </c>
    </row>
    <row r="5" customFormat="false" ht="15" hidden="false" customHeight="false" outlineLevel="0" collapsed="false">
      <c r="A5" s="23" t="n">
        <v>45659.3375</v>
      </c>
      <c r="B5" s="24" t="s">
        <v>64</v>
      </c>
      <c r="C5" s="24" t="s">
        <v>65</v>
      </c>
      <c r="D5" s="24" t="s">
        <v>66</v>
      </c>
      <c r="E5" s="24" t="n">
        <v>32</v>
      </c>
      <c r="F5" s="25" t="n">
        <v>2000</v>
      </c>
      <c r="G5" s="24" t="s">
        <v>59</v>
      </c>
      <c r="H5" s="24" t="s">
        <v>55</v>
      </c>
      <c r="I5" s="24" t="s">
        <v>61</v>
      </c>
      <c r="J5" s="26" t="n">
        <f aca="false">IF(A5="","",YEAR(A5))</f>
        <v>2025</v>
      </c>
      <c r="K5" s="26" t="n">
        <f aca="false">IF(A5="","",MONTH(A5))</f>
        <v>1</v>
      </c>
      <c r="L5" s="26" t="n">
        <f aca="false">IF(B5="","",VALUE(LEFT(B5,2)))</f>
        <v>7</v>
      </c>
      <c r="M5" s="26" t="n">
        <f aca="false">IF(A5="","",IF(COUNTIFS($C$2:$C$5001,C5,$J$2:$J$5001,J5,$A$2:$A$5001,"&lt;"&amp;A5)=0,1,0))</f>
        <v>1</v>
      </c>
    </row>
    <row r="6" customFormat="false" ht="15" hidden="false" customHeight="false" outlineLevel="0" collapsed="false">
      <c r="A6" s="23" t="n">
        <v>45659.4145833333</v>
      </c>
      <c r="B6" s="24" t="s">
        <v>67</v>
      </c>
      <c r="C6" s="24" t="s">
        <v>68</v>
      </c>
      <c r="D6" s="24" t="s">
        <v>66</v>
      </c>
      <c r="E6" s="24" t="n">
        <v>201</v>
      </c>
      <c r="F6" s="25" t="n">
        <v>7000</v>
      </c>
      <c r="G6" s="24" t="s">
        <v>69</v>
      </c>
      <c r="H6" s="24" t="s">
        <v>55</v>
      </c>
      <c r="I6" s="24" t="s">
        <v>61</v>
      </c>
      <c r="J6" s="26" t="n">
        <f aca="false">IF(A6="","",YEAR(A6))</f>
        <v>2025</v>
      </c>
      <c r="K6" s="26" t="n">
        <f aca="false">IF(A6="","",MONTH(A6))</f>
        <v>1</v>
      </c>
      <c r="L6" s="26" t="n">
        <f aca="false">IF(B6="","",VALUE(LEFT(B6,2)))</f>
        <v>6</v>
      </c>
      <c r="M6" s="26" t="n">
        <f aca="false">IF(A6="","",IF(COUNTIFS($C$2:$C$5001,C6,$J$2:$J$5001,J6,$A$2:$A$5001,"&lt;"&amp;A6)=0,1,0))</f>
        <v>1</v>
      </c>
    </row>
    <row r="7" customFormat="false" ht="15" hidden="false" customHeight="false" outlineLevel="0" collapsed="false">
      <c r="A7" s="23" t="n">
        <v>45659.6277777778</v>
      </c>
      <c r="B7" s="24" t="s">
        <v>70</v>
      </c>
      <c r="C7" s="24" t="s">
        <v>71</v>
      </c>
      <c r="D7" s="24" t="s">
        <v>72</v>
      </c>
      <c r="E7" s="24" t="n">
        <v>403</v>
      </c>
      <c r="F7" s="25" t="n">
        <v>0</v>
      </c>
      <c r="G7" s="24" t="s">
        <v>59</v>
      </c>
      <c r="H7" s="24" t="s">
        <v>55</v>
      </c>
      <c r="I7" s="24" t="s">
        <v>56</v>
      </c>
      <c r="J7" s="26" t="n">
        <f aca="false">IF(A7="","",YEAR(A7))</f>
        <v>2025</v>
      </c>
      <c r="K7" s="26" t="n">
        <f aca="false">IF(A7="","",MONTH(A7))</f>
        <v>1</v>
      </c>
      <c r="L7" s="26" t="n">
        <f aca="false">IF(B7="","",VALUE(LEFT(B7,2)))</f>
        <v>8</v>
      </c>
      <c r="M7" s="26" t="n">
        <f aca="false">IF(A7="","",IF(COUNTIFS($C$2:$C$5001,C7,$J$2:$J$5001,J7,$A$2:$A$5001,"&lt;"&amp;A7)=0,1,0))</f>
        <v>1</v>
      </c>
    </row>
    <row r="8" customFormat="false" ht="15" hidden="false" customHeight="false" outlineLevel="0" collapsed="false">
      <c r="A8" s="23" t="n">
        <v>45659.6430555556</v>
      </c>
      <c r="B8" s="24" t="s">
        <v>73</v>
      </c>
      <c r="C8" s="24" t="s">
        <v>74</v>
      </c>
      <c r="D8" s="24" t="s">
        <v>66</v>
      </c>
      <c r="E8" s="24" t="n">
        <v>325</v>
      </c>
      <c r="F8" s="25" t="n">
        <v>11000</v>
      </c>
      <c r="G8" s="24" t="s">
        <v>59</v>
      </c>
      <c r="H8" s="24" t="s">
        <v>55</v>
      </c>
      <c r="I8" s="24" t="s">
        <v>61</v>
      </c>
      <c r="J8" s="26" t="n">
        <f aca="false">IF(A8="","",YEAR(A8))</f>
        <v>2025</v>
      </c>
      <c r="K8" s="26" t="n">
        <f aca="false">IF(A8="","",MONTH(A8))</f>
        <v>1</v>
      </c>
      <c r="L8" s="26" t="n">
        <f aca="false">IF(B8="","",VALUE(LEFT(B8,2)))</f>
        <v>10</v>
      </c>
      <c r="M8" s="26" t="n">
        <f aca="false">IF(A8="","",IF(COUNTIFS($C$2:$C$5001,C8,$J$2:$J$5001,J8,$A$2:$A$5001,"&lt;"&amp;A8)=0,1,0))</f>
        <v>1</v>
      </c>
    </row>
    <row r="9" customFormat="false" ht="15" hidden="false" customHeight="false" outlineLevel="0" collapsed="false">
      <c r="A9" s="23" t="n">
        <v>45659.7590277778</v>
      </c>
      <c r="B9" s="24" t="s">
        <v>75</v>
      </c>
      <c r="C9" s="24" t="s">
        <v>76</v>
      </c>
      <c r="D9" s="24" t="s">
        <v>66</v>
      </c>
      <c r="E9" s="24" t="n">
        <v>100</v>
      </c>
      <c r="F9" s="25" t="n">
        <v>4000</v>
      </c>
      <c r="G9" s="24" t="s">
        <v>59</v>
      </c>
      <c r="H9" s="24" t="s">
        <v>55</v>
      </c>
      <c r="I9" s="24" t="s">
        <v>61</v>
      </c>
      <c r="J9" s="26" t="n">
        <f aca="false">IF(A9="","",YEAR(A9))</f>
        <v>2025</v>
      </c>
      <c r="K9" s="26" t="n">
        <f aca="false">IF(A9="","",MONTH(A9))</f>
        <v>1</v>
      </c>
      <c r="L9" s="26" t="n">
        <f aca="false">IF(B9="","",VALUE(LEFT(B9,2)))</f>
        <v>16</v>
      </c>
      <c r="M9" s="26" t="n">
        <f aca="false">IF(A9="","",IF(COUNTIFS($C$2:$C$5001,C9,$J$2:$J$5001,J9,$A$2:$A$5001,"&lt;"&amp;A9)=0,1,0))</f>
        <v>1</v>
      </c>
    </row>
    <row r="10" customFormat="false" ht="15" hidden="false" customHeight="false" outlineLevel="0" collapsed="false">
      <c r="A10" s="23" t="n">
        <v>45659.7875</v>
      </c>
      <c r="B10" s="24" t="s">
        <v>77</v>
      </c>
      <c r="C10" s="24" t="s">
        <v>78</v>
      </c>
      <c r="D10" s="24" t="s">
        <v>66</v>
      </c>
      <c r="E10" s="24" t="n">
        <v>173</v>
      </c>
      <c r="F10" s="25" t="n">
        <v>6000</v>
      </c>
      <c r="G10" s="24" t="s">
        <v>79</v>
      </c>
      <c r="H10" s="24" t="s">
        <v>80</v>
      </c>
      <c r="I10" s="24" t="s">
        <v>61</v>
      </c>
      <c r="J10" s="26" t="n">
        <f aca="false">IF(A10="","",YEAR(A10))</f>
        <v>2025</v>
      </c>
      <c r="K10" s="26" t="n">
        <f aca="false">IF(A10="","",MONTH(A10))</f>
        <v>1</v>
      </c>
      <c r="L10" s="26" t="n">
        <f aca="false">IF(B10="","",VALUE(LEFT(B10,2)))</f>
        <v>16</v>
      </c>
      <c r="M10" s="26" t="n">
        <f aca="false">IF(A10="","",IF(COUNTIFS($C$2:$C$5001,C10,$J$2:$J$5001,J10,$A$2:$A$5001,"&lt;"&amp;A10)=0,1,0))</f>
        <v>1</v>
      </c>
    </row>
    <row r="11" customFormat="false" ht="15" hidden="false" customHeight="false" outlineLevel="0" collapsed="false">
      <c r="A11" s="23" t="n">
        <v>45660.5833333333</v>
      </c>
      <c r="B11" s="24" t="s">
        <v>81</v>
      </c>
      <c r="C11" s="24" t="s">
        <v>82</v>
      </c>
      <c r="D11" s="24" t="s">
        <v>66</v>
      </c>
      <c r="E11" s="24" t="n">
        <v>420</v>
      </c>
      <c r="F11" s="25" t="n">
        <v>14000</v>
      </c>
      <c r="G11" s="24" t="s">
        <v>83</v>
      </c>
      <c r="H11" s="24" t="s">
        <v>55</v>
      </c>
      <c r="I11" s="24" t="s">
        <v>61</v>
      </c>
      <c r="J11" s="26" t="n">
        <f aca="false">IF(A11="","",YEAR(A11))</f>
        <v>2025</v>
      </c>
      <c r="K11" s="26" t="n">
        <f aca="false">IF(A11="","",MONTH(A11))</f>
        <v>1</v>
      </c>
      <c r="L11" s="26" t="n">
        <f aca="false">IF(B11="","",VALUE(LEFT(B11,2)))</f>
        <v>7</v>
      </c>
      <c r="M11" s="26" t="n">
        <f aca="false">IF(A11="","",IF(COUNTIFS($C$2:$C$5001,C11,$J$2:$J$5001,J11,$A$2:$A$5001,"&lt;"&amp;A11)=0,1,0))</f>
        <v>1</v>
      </c>
    </row>
    <row r="12" customFormat="false" ht="15" hidden="false" customHeight="false" outlineLevel="0" collapsed="false">
      <c r="A12" s="23" t="n">
        <v>45660.6291666667</v>
      </c>
      <c r="B12" s="24" t="s">
        <v>84</v>
      </c>
      <c r="C12" s="24" t="s">
        <v>85</v>
      </c>
      <c r="D12" s="24" t="s">
        <v>53</v>
      </c>
      <c r="E12" s="24" t="n">
        <v>274</v>
      </c>
      <c r="F12" s="25" t="n">
        <v>5000</v>
      </c>
      <c r="G12" s="24" t="s">
        <v>59</v>
      </c>
      <c r="H12" s="24" t="s">
        <v>55</v>
      </c>
      <c r="I12" s="24" t="s">
        <v>61</v>
      </c>
      <c r="J12" s="26" t="n">
        <f aca="false">IF(A12="","",YEAR(A12))</f>
        <v>2025</v>
      </c>
      <c r="K12" s="26" t="n">
        <f aca="false">IF(A12="","",MONTH(A12))</f>
        <v>1</v>
      </c>
      <c r="L12" s="26" t="n">
        <f aca="false">IF(B12="","",VALUE(LEFT(B12,2)))</f>
        <v>10</v>
      </c>
      <c r="M12" s="26" t="n">
        <f aca="false">IF(A12="","",IF(COUNTIFS($C$2:$C$5001,C12,$J$2:$J$5001,J12,$A$2:$A$5001,"&lt;"&amp;A12)=0,1,0))</f>
        <v>1</v>
      </c>
    </row>
    <row r="13" customFormat="false" ht="15" hidden="false" customHeight="false" outlineLevel="0" collapsed="false">
      <c r="A13" s="23" t="n">
        <v>45661.3847222222</v>
      </c>
      <c r="B13" s="24" t="s">
        <v>86</v>
      </c>
      <c r="C13" s="24" t="s">
        <v>87</v>
      </c>
      <c r="D13" s="24" t="s">
        <v>88</v>
      </c>
      <c r="E13" s="24" t="n">
        <v>94</v>
      </c>
      <c r="F13" s="25" t="n">
        <v>6000</v>
      </c>
      <c r="G13" s="24" t="s">
        <v>83</v>
      </c>
      <c r="H13" s="24" t="s">
        <v>80</v>
      </c>
      <c r="I13" s="24" t="s">
        <v>61</v>
      </c>
      <c r="J13" s="26" t="n">
        <f aca="false">IF(A13="","",YEAR(A13))</f>
        <v>2025</v>
      </c>
      <c r="K13" s="26" t="n">
        <f aca="false">IF(A13="","",MONTH(A13))</f>
        <v>1</v>
      </c>
      <c r="L13" s="26" t="n">
        <f aca="false">IF(B13="","",VALUE(LEFT(B13,2)))</f>
        <v>7</v>
      </c>
      <c r="M13" s="26" t="n">
        <f aca="false">IF(A13="","",IF(COUNTIFS($C$2:$C$5001,C13,$J$2:$J$5001,J13,$A$2:$A$5001,"&lt;"&amp;A13)=0,1,0))</f>
        <v>1</v>
      </c>
    </row>
    <row r="14" customFormat="false" ht="15" hidden="false" customHeight="false" outlineLevel="0" collapsed="false">
      <c r="A14" s="23" t="n">
        <v>45661.4381944445</v>
      </c>
      <c r="B14" s="24" t="s">
        <v>89</v>
      </c>
      <c r="C14" s="24" t="s">
        <v>90</v>
      </c>
      <c r="D14" s="24" t="s">
        <v>66</v>
      </c>
      <c r="E14" s="24" t="n">
        <v>203</v>
      </c>
      <c r="F14" s="25" t="n">
        <v>7000</v>
      </c>
      <c r="G14" s="24" t="s">
        <v>69</v>
      </c>
      <c r="H14" s="24" t="s">
        <v>80</v>
      </c>
      <c r="I14" s="24" t="s">
        <v>61</v>
      </c>
      <c r="J14" s="26" t="n">
        <f aca="false">IF(A14="","",YEAR(A14))</f>
        <v>2025</v>
      </c>
      <c r="K14" s="26" t="n">
        <f aca="false">IF(A14="","",MONTH(A14))</f>
        <v>1</v>
      </c>
      <c r="L14" s="26" t="n">
        <f aca="false">IF(B14="","",VALUE(LEFT(B14,2)))</f>
        <v>7</v>
      </c>
      <c r="M14" s="26" t="n">
        <f aca="false">IF(A14="","",IF(COUNTIFS($C$2:$C$5001,C14,$J$2:$J$5001,J14,$A$2:$A$5001,"&lt;"&amp;A14)=0,1,0))</f>
        <v>1</v>
      </c>
    </row>
    <row r="15" customFormat="false" ht="15" hidden="false" customHeight="false" outlineLevel="0" collapsed="false">
      <c r="A15" s="23" t="n">
        <v>45662.0020833333</v>
      </c>
      <c r="B15" s="24" t="s">
        <v>91</v>
      </c>
      <c r="C15" s="24" t="s">
        <v>92</v>
      </c>
      <c r="D15" s="24" t="s">
        <v>72</v>
      </c>
      <c r="E15" s="24" t="n">
        <v>258</v>
      </c>
      <c r="F15" s="25" t="n">
        <v>18000</v>
      </c>
      <c r="G15" s="24" t="s">
        <v>79</v>
      </c>
      <c r="H15" s="24" t="s">
        <v>80</v>
      </c>
      <c r="I15" s="24" t="s">
        <v>61</v>
      </c>
      <c r="J15" s="26" t="n">
        <f aca="false">IF(A15="","",YEAR(A15))</f>
        <v>2025</v>
      </c>
      <c r="K15" s="26" t="n">
        <f aca="false">IF(A15="","",MONTH(A15))</f>
        <v>1</v>
      </c>
      <c r="L15" s="26" t="n">
        <f aca="false">IF(B15="","",VALUE(LEFT(B15,2)))</f>
        <v>19</v>
      </c>
      <c r="M15" s="26" t="n">
        <f aca="false">IF(A15="","",IF(COUNTIFS($C$2:$C$5001,C15,$J$2:$J$5001,J15,$A$2:$A$5001,"&lt;"&amp;A15)=0,1,0))</f>
        <v>1</v>
      </c>
    </row>
    <row r="16" customFormat="false" ht="15" hidden="false" customHeight="false" outlineLevel="0" collapsed="false">
      <c r="A16" s="23" t="n">
        <v>45662.6680555556</v>
      </c>
      <c r="B16" s="24" t="s">
        <v>93</v>
      </c>
      <c r="C16" s="24" t="s">
        <v>94</v>
      </c>
      <c r="D16" s="24" t="s">
        <v>53</v>
      </c>
      <c r="E16" s="24" t="n">
        <v>339</v>
      </c>
      <c r="F16" s="25" t="n">
        <v>6000</v>
      </c>
      <c r="G16" s="24" t="s">
        <v>69</v>
      </c>
      <c r="H16" s="24" t="s">
        <v>60</v>
      </c>
      <c r="I16" s="24" t="s">
        <v>61</v>
      </c>
      <c r="J16" s="26" t="n">
        <f aca="false">IF(A16="","",YEAR(A16))</f>
        <v>2025</v>
      </c>
      <c r="K16" s="26" t="n">
        <f aca="false">IF(A16="","",MONTH(A16))</f>
        <v>1</v>
      </c>
      <c r="L16" s="26" t="n">
        <f aca="false">IF(B16="","",VALUE(LEFT(B16,2)))</f>
        <v>10</v>
      </c>
      <c r="M16" s="26" t="n">
        <f aca="false">IF(A16="","",IF(COUNTIFS($C$2:$C$5001,C16,$J$2:$J$5001,J16,$A$2:$A$5001,"&lt;"&amp;A16)=0,1,0))</f>
        <v>1</v>
      </c>
    </row>
    <row r="17" customFormat="false" ht="15" hidden="false" customHeight="false" outlineLevel="0" collapsed="false">
      <c r="A17" s="23" t="n">
        <v>45662.7763888889</v>
      </c>
      <c r="B17" s="24" t="s">
        <v>95</v>
      </c>
      <c r="C17" s="24" t="s">
        <v>96</v>
      </c>
      <c r="D17" s="24" t="s">
        <v>53</v>
      </c>
      <c r="E17" s="24" t="n">
        <v>212</v>
      </c>
      <c r="F17" s="25" t="n">
        <v>4000</v>
      </c>
      <c r="G17" s="24" t="s">
        <v>69</v>
      </c>
      <c r="H17" s="24" t="s">
        <v>60</v>
      </c>
      <c r="I17" s="24" t="s">
        <v>61</v>
      </c>
      <c r="J17" s="26" t="n">
        <f aca="false">IF(A17="","",YEAR(A17))</f>
        <v>2025</v>
      </c>
      <c r="K17" s="26" t="n">
        <f aca="false">IF(A17="","",MONTH(A17))</f>
        <v>1</v>
      </c>
      <c r="L17" s="26" t="n">
        <f aca="false">IF(B17="","",VALUE(LEFT(B17,2)))</f>
        <v>15</v>
      </c>
      <c r="M17" s="26" t="n">
        <f aca="false">IF(A17="","",IF(COUNTIFS($C$2:$C$5001,C17,$J$2:$J$5001,J17,$A$2:$A$5001,"&lt;"&amp;A17)=0,1,0))</f>
        <v>1</v>
      </c>
    </row>
    <row r="18" customFormat="false" ht="15" hidden="false" customHeight="false" outlineLevel="0" collapsed="false">
      <c r="A18" s="23" t="n">
        <v>45663.8826388889</v>
      </c>
      <c r="B18" s="24" t="s">
        <v>97</v>
      </c>
      <c r="C18" s="24" t="s">
        <v>98</v>
      </c>
      <c r="D18" s="24" t="s">
        <v>66</v>
      </c>
      <c r="E18" s="24" t="n">
        <v>52</v>
      </c>
      <c r="F18" s="25" t="n">
        <v>2000</v>
      </c>
      <c r="G18" s="24" t="s">
        <v>69</v>
      </c>
      <c r="H18" s="24" t="s">
        <v>80</v>
      </c>
      <c r="I18" s="24" t="s">
        <v>61</v>
      </c>
      <c r="J18" s="26" t="n">
        <f aca="false">IF(A18="","",YEAR(A18))</f>
        <v>2025</v>
      </c>
      <c r="K18" s="26" t="n">
        <f aca="false">IF(A18="","",MONTH(A18))</f>
        <v>1</v>
      </c>
      <c r="L18" s="26" t="n">
        <f aca="false">IF(B18="","",VALUE(LEFT(B18,2)))</f>
        <v>20</v>
      </c>
      <c r="M18" s="26" t="n">
        <f aca="false">IF(A18="","",IF(COUNTIFS($C$2:$C$5001,C18,$J$2:$J$5001,J18,$A$2:$A$5001,"&lt;"&amp;A18)=0,1,0))</f>
        <v>1</v>
      </c>
    </row>
    <row r="19" customFormat="false" ht="15" hidden="false" customHeight="false" outlineLevel="0" collapsed="false">
      <c r="A19" s="23" t="n">
        <v>45663.9083333333</v>
      </c>
      <c r="B19" s="24" t="s">
        <v>99</v>
      </c>
      <c r="C19" s="24" t="s">
        <v>100</v>
      </c>
      <c r="D19" s="24" t="s">
        <v>66</v>
      </c>
      <c r="E19" s="24" t="n">
        <v>288</v>
      </c>
      <c r="F19" s="25" t="n">
        <v>10000</v>
      </c>
      <c r="G19" s="24" t="s">
        <v>59</v>
      </c>
      <c r="H19" s="24" t="s">
        <v>80</v>
      </c>
      <c r="I19" s="24" t="s">
        <v>61</v>
      </c>
      <c r="J19" s="26" t="n">
        <f aca="false">IF(A19="","",YEAR(A19))</f>
        <v>2025</v>
      </c>
      <c r="K19" s="26" t="n">
        <f aca="false">IF(A19="","",MONTH(A19))</f>
        <v>1</v>
      </c>
      <c r="L19" s="26" t="n">
        <f aca="false">IF(B19="","",VALUE(LEFT(B19,2)))</f>
        <v>17</v>
      </c>
      <c r="M19" s="26" t="n">
        <f aca="false">IF(A19="","",IF(COUNTIFS($C$2:$C$5001,C19,$J$2:$J$5001,J19,$A$2:$A$5001,"&lt;"&amp;A19)=0,1,0))</f>
        <v>1</v>
      </c>
    </row>
    <row r="20" customFormat="false" ht="15" hidden="false" customHeight="false" outlineLevel="0" collapsed="false">
      <c r="A20" s="23" t="n">
        <v>45664.3604166667</v>
      </c>
      <c r="B20" s="24" t="s">
        <v>101</v>
      </c>
      <c r="C20" s="24" t="s">
        <v>102</v>
      </c>
      <c r="D20" s="24" t="s">
        <v>72</v>
      </c>
      <c r="E20" s="24" t="n">
        <v>37</v>
      </c>
      <c r="F20" s="25" t="n">
        <v>0</v>
      </c>
      <c r="G20" s="24" t="s">
        <v>79</v>
      </c>
      <c r="H20" s="24" t="s">
        <v>55</v>
      </c>
      <c r="I20" s="24" t="s">
        <v>56</v>
      </c>
      <c r="J20" s="26" t="n">
        <f aca="false">IF(A20="","",YEAR(A20))</f>
        <v>2025</v>
      </c>
      <c r="K20" s="26" t="n">
        <f aca="false">IF(A20="","",MONTH(A20))</f>
        <v>1</v>
      </c>
      <c r="L20" s="26" t="n">
        <f aca="false">IF(B20="","",VALUE(LEFT(B20,2)))</f>
        <v>8</v>
      </c>
      <c r="M20" s="26" t="n">
        <f aca="false">IF(A20="","",IF(COUNTIFS($C$2:$C$5001,C20,$J$2:$J$5001,J20,$A$2:$A$5001,"&lt;"&amp;A20)=0,1,0))</f>
        <v>1</v>
      </c>
    </row>
    <row r="21" customFormat="false" ht="15" hidden="false" customHeight="false" outlineLevel="0" collapsed="false">
      <c r="A21" s="23" t="n">
        <v>45664.5375</v>
      </c>
      <c r="B21" s="24" t="s">
        <v>103</v>
      </c>
      <c r="C21" s="24" t="s">
        <v>87</v>
      </c>
      <c r="D21" s="24" t="s">
        <v>66</v>
      </c>
      <c r="E21" s="24" t="n">
        <v>109</v>
      </c>
      <c r="F21" s="25" t="n">
        <v>4000</v>
      </c>
      <c r="G21" s="24" t="s">
        <v>79</v>
      </c>
      <c r="H21" s="24" t="s">
        <v>80</v>
      </c>
      <c r="I21" s="24" t="s">
        <v>61</v>
      </c>
      <c r="J21" s="26" t="n">
        <f aca="false">IF(A21="","",YEAR(A21))</f>
        <v>2025</v>
      </c>
      <c r="K21" s="26" t="n">
        <f aca="false">IF(A21="","",MONTH(A21))</f>
        <v>1</v>
      </c>
      <c r="L21" s="26" t="n">
        <f aca="false">IF(B21="","",VALUE(LEFT(B21,2)))</f>
        <v>11</v>
      </c>
      <c r="M21" s="26" t="n">
        <f aca="false">IF(A21="","",IF(COUNTIFS($C$2:$C$5001,C21,$J$2:$J$5001,J21,$A$2:$A$5001,"&lt;"&amp;A21)=0,1,0))</f>
        <v>0</v>
      </c>
    </row>
    <row r="22" customFormat="false" ht="15" hidden="false" customHeight="false" outlineLevel="0" collapsed="false">
      <c r="A22" s="23" t="n">
        <v>45664.5659722222</v>
      </c>
      <c r="B22" s="24" t="s">
        <v>104</v>
      </c>
      <c r="C22" s="24" t="s">
        <v>105</v>
      </c>
      <c r="D22" s="24" t="s">
        <v>66</v>
      </c>
      <c r="E22" s="24" t="n">
        <v>398</v>
      </c>
      <c r="F22" s="25" t="n">
        <v>14000</v>
      </c>
      <c r="G22" s="24" t="s">
        <v>59</v>
      </c>
      <c r="H22" s="24" t="s">
        <v>60</v>
      </c>
      <c r="I22" s="24" t="s">
        <v>61</v>
      </c>
      <c r="J22" s="26" t="n">
        <f aca="false">IF(A22="","",YEAR(A22))</f>
        <v>2025</v>
      </c>
      <c r="K22" s="26" t="n">
        <f aca="false">IF(A22="","",MONTH(A22))</f>
        <v>1</v>
      </c>
      <c r="L22" s="26" t="n">
        <f aca="false">IF(B22="","",VALUE(LEFT(B22,2)))</f>
        <v>6</v>
      </c>
      <c r="M22" s="26" t="n">
        <f aca="false">IF(A22="","",IF(COUNTIFS($C$2:$C$5001,C22,$J$2:$J$5001,J22,$A$2:$A$5001,"&lt;"&amp;A22)=0,1,0))</f>
        <v>1</v>
      </c>
    </row>
    <row r="23" customFormat="false" ht="15" hidden="false" customHeight="false" outlineLevel="0" collapsed="false">
      <c r="A23" s="23" t="n">
        <v>45664.6583333333</v>
      </c>
      <c r="B23" s="24" t="s">
        <v>106</v>
      </c>
      <c r="C23" s="24" t="s">
        <v>105</v>
      </c>
      <c r="D23" s="24" t="s">
        <v>66</v>
      </c>
      <c r="E23" s="24" t="n">
        <v>119</v>
      </c>
      <c r="F23" s="25" t="n">
        <v>4000</v>
      </c>
      <c r="G23" s="24" t="s">
        <v>59</v>
      </c>
      <c r="H23" s="24" t="s">
        <v>55</v>
      </c>
      <c r="I23" s="24" t="s">
        <v>61</v>
      </c>
      <c r="J23" s="26" t="n">
        <f aca="false">IF(A23="","",YEAR(A23))</f>
        <v>2025</v>
      </c>
      <c r="K23" s="26" t="n">
        <f aca="false">IF(A23="","",MONTH(A23))</f>
        <v>1</v>
      </c>
      <c r="L23" s="26" t="n">
        <f aca="false">IF(B23="","",VALUE(LEFT(B23,2)))</f>
        <v>13</v>
      </c>
      <c r="M23" s="26" t="n">
        <f aca="false">IF(A23="","",IF(COUNTIFS($C$2:$C$5001,C23,$J$2:$J$5001,J23,$A$2:$A$5001,"&lt;"&amp;A23)=0,1,0))</f>
        <v>0</v>
      </c>
    </row>
    <row r="24" customFormat="false" ht="15" hidden="false" customHeight="false" outlineLevel="0" collapsed="false">
      <c r="A24" s="23" t="n">
        <v>45664.7402777778</v>
      </c>
      <c r="B24" s="24" t="s">
        <v>107</v>
      </c>
      <c r="C24" s="24" t="s">
        <v>108</v>
      </c>
      <c r="D24" s="24" t="s">
        <v>66</v>
      </c>
      <c r="E24" s="24" t="n">
        <v>222</v>
      </c>
      <c r="F24" s="25" t="n">
        <v>8000</v>
      </c>
      <c r="G24" s="24" t="s">
        <v>79</v>
      </c>
      <c r="H24" s="24" t="s">
        <v>55</v>
      </c>
      <c r="I24" s="24" t="s">
        <v>61</v>
      </c>
      <c r="J24" s="26" t="n">
        <f aca="false">IF(A24="","",YEAR(A24))</f>
        <v>2025</v>
      </c>
      <c r="K24" s="26" t="n">
        <f aca="false">IF(A24="","",MONTH(A24))</f>
        <v>1</v>
      </c>
      <c r="L24" s="26" t="n">
        <f aca="false">IF(B24="","",VALUE(LEFT(B24,2)))</f>
        <v>14</v>
      </c>
      <c r="M24" s="26" t="n">
        <f aca="false">IF(A24="","",IF(COUNTIFS($C$2:$C$5001,C24,$J$2:$J$5001,J24,$A$2:$A$5001,"&lt;"&amp;A24)=0,1,0))</f>
        <v>1</v>
      </c>
    </row>
    <row r="25" customFormat="false" ht="15" hidden="false" customHeight="false" outlineLevel="0" collapsed="false">
      <c r="A25" s="23" t="n">
        <v>45665.4118055556</v>
      </c>
      <c r="B25" s="24" t="s">
        <v>109</v>
      </c>
      <c r="C25" s="24" t="s">
        <v>110</v>
      </c>
      <c r="D25" s="24" t="s">
        <v>66</v>
      </c>
      <c r="E25" s="24" t="n">
        <v>99</v>
      </c>
      <c r="F25" s="25" t="n">
        <v>0</v>
      </c>
      <c r="G25" s="24" t="s">
        <v>69</v>
      </c>
      <c r="H25" s="24" t="s">
        <v>60</v>
      </c>
      <c r="I25" s="24" t="s">
        <v>56</v>
      </c>
      <c r="J25" s="26" t="n">
        <f aca="false">IF(A25="","",YEAR(A25))</f>
        <v>2025</v>
      </c>
      <c r="K25" s="26" t="n">
        <f aca="false">IF(A25="","",MONTH(A25))</f>
        <v>1</v>
      </c>
      <c r="L25" s="26" t="n">
        <f aca="false">IF(B25="","",VALUE(LEFT(B25,2)))</f>
        <v>8</v>
      </c>
      <c r="M25" s="26" t="n">
        <f aca="false">IF(A25="","",IF(COUNTIFS($C$2:$C$5001,C25,$J$2:$J$5001,J25,$A$2:$A$5001,"&lt;"&amp;A25)=0,1,0))</f>
        <v>1</v>
      </c>
    </row>
    <row r="26" customFormat="false" ht="15" hidden="false" customHeight="false" outlineLevel="0" collapsed="false">
      <c r="A26" s="23" t="n">
        <v>45665.4166666667</v>
      </c>
      <c r="B26" s="24" t="s">
        <v>111</v>
      </c>
      <c r="C26" s="24" t="s">
        <v>112</v>
      </c>
      <c r="D26" s="24" t="s">
        <v>53</v>
      </c>
      <c r="E26" s="24" t="n">
        <v>117</v>
      </c>
      <c r="F26" s="25" t="n">
        <v>1700</v>
      </c>
      <c r="G26" s="24" t="s">
        <v>59</v>
      </c>
      <c r="H26" s="24" t="s">
        <v>80</v>
      </c>
      <c r="I26" s="24" t="s">
        <v>113</v>
      </c>
      <c r="J26" s="26" t="n">
        <f aca="false">IF(A26="","",YEAR(A26))</f>
        <v>2025</v>
      </c>
      <c r="K26" s="26" t="n">
        <f aca="false">IF(A26="","",MONTH(A26))</f>
        <v>1</v>
      </c>
      <c r="L26" s="26" t="n">
        <f aca="false">IF(B26="","",VALUE(LEFT(B26,2)))</f>
        <v>8</v>
      </c>
      <c r="M26" s="26" t="n">
        <f aca="false">IF(A26="","",IF(COUNTIFS($C$2:$C$5001,C26,$J$2:$J$5001,J26,$A$2:$A$5001,"&lt;"&amp;A26)=0,1,0))</f>
        <v>1</v>
      </c>
    </row>
    <row r="27" customFormat="false" ht="15" hidden="false" customHeight="false" outlineLevel="0" collapsed="false">
      <c r="A27" s="23" t="n">
        <v>45665.8152777778</v>
      </c>
      <c r="B27" s="24" t="s">
        <v>114</v>
      </c>
      <c r="C27" s="24" t="s">
        <v>90</v>
      </c>
      <c r="D27" s="24" t="s">
        <v>66</v>
      </c>
      <c r="E27" s="24" t="n">
        <v>212</v>
      </c>
      <c r="F27" s="25" t="n">
        <v>8000</v>
      </c>
      <c r="G27" s="24" t="s">
        <v>59</v>
      </c>
      <c r="H27" s="24" t="s">
        <v>80</v>
      </c>
      <c r="I27" s="24" t="s">
        <v>61</v>
      </c>
      <c r="J27" s="26" t="n">
        <f aca="false">IF(A27="","",YEAR(A27))</f>
        <v>2025</v>
      </c>
      <c r="K27" s="26" t="n">
        <f aca="false">IF(A27="","",MONTH(A27))</f>
        <v>1</v>
      </c>
      <c r="L27" s="26" t="n">
        <f aca="false">IF(B27="","",VALUE(LEFT(B27,2)))</f>
        <v>16</v>
      </c>
      <c r="M27" s="26" t="n">
        <f aca="false">IF(A27="","",IF(COUNTIFS($C$2:$C$5001,C27,$J$2:$J$5001,J27,$A$2:$A$5001,"&lt;"&amp;A27)=0,1,0))</f>
        <v>0</v>
      </c>
    </row>
    <row r="28" customFormat="false" ht="15" hidden="false" customHeight="false" outlineLevel="0" collapsed="false">
      <c r="A28" s="23" t="n">
        <v>45666.3083333333</v>
      </c>
      <c r="B28" s="24" t="s">
        <v>115</v>
      </c>
      <c r="C28" s="24" t="s">
        <v>116</v>
      </c>
      <c r="D28" s="24" t="s">
        <v>53</v>
      </c>
      <c r="E28" s="24" t="n">
        <v>55</v>
      </c>
      <c r="F28" s="25" t="n">
        <v>1000</v>
      </c>
      <c r="G28" s="24" t="s">
        <v>59</v>
      </c>
      <c r="H28" s="24" t="s">
        <v>55</v>
      </c>
      <c r="I28" s="24" t="s">
        <v>61</v>
      </c>
      <c r="J28" s="26" t="n">
        <f aca="false">IF(A28="","",YEAR(A28))</f>
        <v>2025</v>
      </c>
      <c r="K28" s="26" t="n">
        <f aca="false">IF(A28="","",MONTH(A28))</f>
        <v>1</v>
      </c>
      <c r="L28" s="26" t="n">
        <f aca="false">IF(B28="","",VALUE(LEFT(B28,2)))</f>
        <v>6</v>
      </c>
      <c r="M28" s="26" t="n">
        <f aca="false">IF(A28="","",IF(COUNTIFS($C$2:$C$5001,C28,$J$2:$J$5001,J28,$A$2:$A$5001,"&lt;"&amp;A28)=0,1,0))</f>
        <v>1</v>
      </c>
    </row>
    <row r="29" customFormat="false" ht="15" hidden="false" customHeight="false" outlineLevel="0" collapsed="false">
      <c r="A29" s="23" t="n">
        <v>45666.3701388889</v>
      </c>
      <c r="B29" s="24" t="s">
        <v>117</v>
      </c>
      <c r="C29" s="24" t="s">
        <v>118</v>
      </c>
      <c r="D29" s="24" t="s">
        <v>72</v>
      </c>
      <c r="E29" s="24" t="n">
        <v>151</v>
      </c>
      <c r="F29" s="25" t="n">
        <v>12000</v>
      </c>
      <c r="G29" s="24" t="s">
        <v>69</v>
      </c>
      <c r="H29" s="24" t="s">
        <v>55</v>
      </c>
      <c r="I29" s="24" t="s">
        <v>61</v>
      </c>
      <c r="J29" s="26" t="n">
        <f aca="false">IF(A29="","",YEAR(A29))</f>
        <v>2025</v>
      </c>
      <c r="K29" s="26" t="n">
        <f aca="false">IF(A29="","",MONTH(A29))</f>
        <v>1</v>
      </c>
      <c r="L29" s="26" t="n">
        <f aca="false">IF(B29="","",VALUE(LEFT(B29,2)))</f>
        <v>6</v>
      </c>
      <c r="M29" s="26" t="n">
        <f aca="false">IF(A29="","",IF(COUNTIFS($C$2:$C$5001,C29,$J$2:$J$5001,J29,$A$2:$A$5001,"&lt;"&amp;A29)=0,1,0))</f>
        <v>1</v>
      </c>
    </row>
    <row r="30" customFormat="false" ht="15" hidden="false" customHeight="false" outlineLevel="0" collapsed="false">
      <c r="A30" s="23" t="n">
        <v>45666.7909722222</v>
      </c>
      <c r="B30" s="24" t="s">
        <v>119</v>
      </c>
      <c r="C30" s="24" t="s">
        <v>120</v>
      </c>
      <c r="D30" s="24" t="s">
        <v>72</v>
      </c>
      <c r="E30" s="24" t="n">
        <v>319</v>
      </c>
      <c r="F30" s="25" t="n">
        <v>18700</v>
      </c>
      <c r="G30" s="24" t="s">
        <v>59</v>
      </c>
      <c r="H30" s="24" t="s">
        <v>60</v>
      </c>
      <c r="I30" s="24" t="s">
        <v>113</v>
      </c>
      <c r="J30" s="26" t="n">
        <f aca="false">IF(A30="","",YEAR(A30))</f>
        <v>2025</v>
      </c>
      <c r="K30" s="26" t="n">
        <f aca="false">IF(A30="","",MONTH(A30))</f>
        <v>1</v>
      </c>
      <c r="L30" s="26" t="n">
        <f aca="false">IF(B30="","",VALUE(LEFT(B30,2)))</f>
        <v>13</v>
      </c>
      <c r="M30" s="26" t="n">
        <f aca="false">IF(A30="","",IF(COUNTIFS($C$2:$C$5001,C30,$J$2:$J$5001,J30,$A$2:$A$5001,"&lt;"&amp;A30)=0,1,0))</f>
        <v>1</v>
      </c>
    </row>
    <row r="31" customFormat="false" ht="15" hidden="false" customHeight="false" outlineLevel="0" collapsed="false">
      <c r="A31" s="23" t="n">
        <v>45666.8604166667</v>
      </c>
      <c r="B31" s="24" t="s">
        <v>121</v>
      </c>
      <c r="C31" s="24" t="s">
        <v>87</v>
      </c>
      <c r="D31" s="24" t="s">
        <v>66</v>
      </c>
      <c r="E31" s="24" t="n">
        <v>150</v>
      </c>
      <c r="F31" s="25" t="n">
        <v>0</v>
      </c>
      <c r="G31" s="24" t="s">
        <v>69</v>
      </c>
      <c r="H31" s="24" t="s">
        <v>80</v>
      </c>
      <c r="I31" s="24" t="s">
        <v>56</v>
      </c>
      <c r="J31" s="26" t="n">
        <f aca="false">IF(A31="","",YEAR(A31))</f>
        <v>2025</v>
      </c>
      <c r="K31" s="26" t="n">
        <f aca="false">IF(A31="","",MONTH(A31))</f>
        <v>1</v>
      </c>
      <c r="L31" s="26" t="n">
        <f aca="false">IF(B31="","",VALUE(LEFT(B31,2)))</f>
        <v>18</v>
      </c>
      <c r="M31" s="26" t="n">
        <f aca="false">IF(A31="","",IF(COUNTIFS($C$2:$C$5001,C31,$J$2:$J$5001,J31,$A$2:$A$5001,"&lt;"&amp;A31)=0,1,0))</f>
        <v>0</v>
      </c>
    </row>
    <row r="32" customFormat="false" ht="15" hidden="false" customHeight="false" outlineLevel="0" collapsed="false">
      <c r="A32" s="23" t="n">
        <v>45666.9118055556</v>
      </c>
      <c r="B32" s="24" t="s">
        <v>122</v>
      </c>
      <c r="C32" s="24" t="s">
        <v>123</v>
      </c>
      <c r="D32" s="24" t="s">
        <v>66</v>
      </c>
      <c r="E32" s="24" t="n">
        <v>397</v>
      </c>
      <c r="F32" s="25" t="n">
        <v>14000</v>
      </c>
      <c r="G32" s="24" t="s">
        <v>59</v>
      </c>
      <c r="H32" s="24" t="s">
        <v>55</v>
      </c>
      <c r="I32" s="24" t="s">
        <v>61</v>
      </c>
      <c r="J32" s="26" t="n">
        <f aca="false">IF(A32="","",YEAR(A32))</f>
        <v>2025</v>
      </c>
      <c r="K32" s="26" t="n">
        <f aca="false">IF(A32="","",MONTH(A32))</f>
        <v>1</v>
      </c>
      <c r="L32" s="26" t="n">
        <f aca="false">IF(B32="","",VALUE(LEFT(B32,2)))</f>
        <v>15</v>
      </c>
      <c r="M32" s="26" t="n">
        <f aca="false">IF(A32="","",IF(COUNTIFS($C$2:$C$5001,C32,$J$2:$J$5001,J32,$A$2:$A$5001,"&lt;"&amp;A32)=0,1,0))</f>
        <v>1</v>
      </c>
    </row>
    <row r="33" customFormat="false" ht="15" hidden="false" customHeight="false" outlineLevel="0" collapsed="false">
      <c r="A33" s="23" t="n">
        <v>45667.0298611111</v>
      </c>
      <c r="B33" s="24" t="s">
        <v>124</v>
      </c>
      <c r="C33" s="24" t="s">
        <v>78</v>
      </c>
      <c r="D33" s="24" t="s">
        <v>53</v>
      </c>
      <c r="E33" s="24" t="n">
        <v>243</v>
      </c>
      <c r="F33" s="25" t="n">
        <v>4500</v>
      </c>
      <c r="G33" s="24" t="s">
        <v>83</v>
      </c>
      <c r="H33" s="24" t="s">
        <v>80</v>
      </c>
      <c r="I33" s="24" t="s">
        <v>61</v>
      </c>
      <c r="J33" s="26" t="n">
        <f aca="false">IF(A33="","",YEAR(A33))</f>
        <v>2025</v>
      </c>
      <c r="K33" s="26" t="n">
        <f aca="false">IF(A33="","",MONTH(A33))</f>
        <v>1</v>
      </c>
      <c r="L33" s="26" t="n">
        <f aca="false">IF(B33="","",VALUE(LEFT(B33,2)))</f>
        <v>20</v>
      </c>
      <c r="M33" s="26" t="n">
        <f aca="false">IF(A33="","",IF(COUNTIFS($C$2:$C$5001,C33,$J$2:$J$5001,J33,$A$2:$A$5001,"&lt;"&amp;A33)=0,1,0))</f>
        <v>0</v>
      </c>
    </row>
    <row r="34" customFormat="false" ht="15" hidden="false" customHeight="false" outlineLevel="0" collapsed="false">
      <c r="A34" s="23" t="n">
        <v>45667.3993055556</v>
      </c>
      <c r="B34" s="24" t="s">
        <v>125</v>
      </c>
      <c r="C34" s="24" t="s">
        <v>126</v>
      </c>
      <c r="D34" s="24" t="s">
        <v>127</v>
      </c>
      <c r="E34" s="24" t="n">
        <v>42</v>
      </c>
      <c r="F34" s="25" t="n">
        <v>3500</v>
      </c>
      <c r="G34" s="24" t="s">
        <v>59</v>
      </c>
      <c r="H34" s="24" t="s">
        <v>55</v>
      </c>
      <c r="I34" s="24" t="s">
        <v>61</v>
      </c>
      <c r="J34" s="26" t="n">
        <f aca="false">IF(A34="","",YEAR(A34))</f>
        <v>2025</v>
      </c>
      <c r="K34" s="26" t="n">
        <f aca="false">IF(A34="","",MONTH(A34))</f>
        <v>1</v>
      </c>
      <c r="L34" s="26" t="n">
        <f aca="false">IF(B34="","",VALUE(LEFT(B34,2)))</f>
        <v>8</v>
      </c>
      <c r="M34" s="26" t="n">
        <f aca="false">IF(A34="","",IF(COUNTIFS($C$2:$C$5001,C34,$J$2:$J$5001,J34,$A$2:$A$5001,"&lt;"&amp;A34)=0,1,0))</f>
        <v>1</v>
      </c>
    </row>
    <row r="35" customFormat="false" ht="15" hidden="false" customHeight="false" outlineLevel="0" collapsed="false">
      <c r="A35" s="23" t="n">
        <v>45667.5638888889</v>
      </c>
      <c r="B35" s="24" t="s">
        <v>128</v>
      </c>
      <c r="C35" s="24" t="s">
        <v>129</v>
      </c>
      <c r="D35" s="24" t="s">
        <v>53</v>
      </c>
      <c r="E35" s="24" t="n">
        <v>406</v>
      </c>
      <c r="F35" s="25" t="n">
        <v>5950</v>
      </c>
      <c r="G35" s="24" t="s">
        <v>59</v>
      </c>
      <c r="H35" s="24" t="s">
        <v>80</v>
      </c>
      <c r="I35" s="24" t="s">
        <v>113</v>
      </c>
      <c r="J35" s="26" t="n">
        <f aca="false">IF(A35="","",YEAR(A35))</f>
        <v>2025</v>
      </c>
      <c r="K35" s="26" t="n">
        <f aca="false">IF(A35="","",MONTH(A35))</f>
        <v>1</v>
      </c>
      <c r="L35" s="26" t="n">
        <f aca="false">IF(B35="","",VALUE(LEFT(B35,2)))</f>
        <v>6</v>
      </c>
      <c r="M35" s="26" t="n">
        <f aca="false">IF(A35="","",IF(COUNTIFS($C$2:$C$5001,C35,$J$2:$J$5001,J35,$A$2:$A$5001,"&lt;"&amp;A35)=0,1,0))</f>
        <v>1</v>
      </c>
    </row>
    <row r="36" customFormat="false" ht="15" hidden="false" customHeight="false" outlineLevel="0" collapsed="false">
      <c r="A36" s="23" t="n">
        <v>45667.675</v>
      </c>
      <c r="B36" s="24" t="s">
        <v>130</v>
      </c>
      <c r="C36" s="24" t="s">
        <v>131</v>
      </c>
      <c r="D36" s="24" t="s">
        <v>72</v>
      </c>
      <c r="E36" s="24" t="n">
        <v>389</v>
      </c>
      <c r="F36" s="25" t="n">
        <v>26000</v>
      </c>
      <c r="G36" s="24" t="s">
        <v>59</v>
      </c>
      <c r="H36" s="24" t="s">
        <v>55</v>
      </c>
      <c r="I36" s="24" t="s">
        <v>61</v>
      </c>
      <c r="J36" s="26" t="n">
        <f aca="false">IF(A36="","",YEAR(A36))</f>
        <v>2025</v>
      </c>
      <c r="K36" s="26" t="n">
        <f aca="false">IF(A36="","",MONTH(A36))</f>
        <v>1</v>
      </c>
      <c r="L36" s="26" t="n">
        <f aca="false">IF(B36="","",VALUE(LEFT(B36,2)))</f>
        <v>9</v>
      </c>
      <c r="M36" s="26" t="n">
        <f aca="false">IF(A36="","",IF(COUNTIFS($C$2:$C$5001,C36,$J$2:$J$5001,J36,$A$2:$A$5001,"&lt;"&amp;A36)=0,1,0))</f>
        <v>1</v>
      </c>
    </row>
    <row r="37" customFormat="false" ht="15" hidden="false" customHeight="false" outlineLevel="0" collapsed="false">
      <c r="A37" s="23" t="n">
        <v>45668.4090277778</v>
      </c>
      <c r="B37" s="24" t="s">
        <v>132</v>
      </c>
      <c r="C37" s="24" t="s">
        <v>133</v>
      </c>
      <c r="D37" s="24" t="s">
        <v>66</v>
      </c>
      <c r="E37" s="24" t="n">
        <v>104</v>
      </c>
      <c r="F37" s="25" t="n">
        <v>4000</v>
      </c>
      <c r="G37" s="24" t="s">
        <v>59</v>
      </c>
      <c r="H37" s="24" t="s">
        <v>55</v>
      </c>
      <c r="I37" s="24" t="s">
        <v>61</v>
      </c>
      <c r="J37" s="26" t="n">
        <f aca="false">IF(A37="","",YEAR(A37))</f>
        <v>2025</v>
      </c>
      <c r="K37" s="26" t="n">
        <f aca="false">IF(A37="","",MONTH(A37))</f>
        <v>1</v>
      </c>
      <c r="L37" s="26" t="n">
        <f aca="false">IF(B37="","",VALUE(LEFT(B37,2)))</f>
        <v>8</v>
      </c>
      <c r="M37" s="26" t="n">
        <f aca="false">IF(A37="","",IF(COUNTIFS($C$2:$C$5001,C37,$J$2:$J$5001,J37,$A$2:$A$5001,"&lt;"&amp;A37)=0,1,0))</f>
        <v>1</v>
      </c>
    </row>
    <row r="38" customFormat="false" ht="15" hidden="false" customHeight="false" outlineLevel="0" collapsed="false">
      <c r="A38" s="23" t="n">
        <v>45668.7104166667</v>
      </c>
      <c r="B38" s="24" t="s">
        <v>134</v>
      </c>
      <c r="C38" s="24" t="s">
        <v>108</v>
      </c>
      <c r="D38" s="24" t="s">
        <v>66</v>
      </c>
      <c r="E38" s="24" t="n">
        <v>121</v>
      </c>
      <c r="F38" s="25" t="n">
        <v>5000</v>
      </c>
      <c r="G38" s="24" t="s">
        <v>54</v>
      </c>
      <c r="H38" s="24" t="s">
        <v>80</v>
      </c>
      <c r="I38" s="24" t="s">
        <v>61</v>
      </c>
      <c r="J38" s="26" t="n">
        <f aca="false">IF(A38="","",YEAR(A38))</f>
        <v>2025</v>
      </c>
      <c r="K38" s="26" t="n">
        <f aca="false">IF(A38="","",MONTH(A38))</f>
        <v>1</v>
      </c>
      <c r="L38" s="26" t="n">
        <f aca="false">IF(B38="","",VALUE(LEFT(B38,2)))</f>
        <v>15</v>
      </c>
      <c r="M38" s="26" t="n">
        <f aca="false">IF(A38="","",IF(COUNTIFS($C$2:$C$5001,C38,$J$2:$J$5001,J38,$A$2:$A$5001,"&lt;"&amp;A38)=0,1,0))</f>
        <v>0</v>
      </c>
    </row>
    <row r="39" customFormat="false" ht="15" hidden="false" customHeight="false" outlineLevel="0" collapsed="false">
      <c r="A39" s="23" t="n">
        <v>45668.7125</v>
      </c>
      <c r="B39" s="24" t="s">
        <v>135</v>
      </c>
      <c r="C39" s="24" t="s">
        <v>136</v>
      </c>
      <c r="D39" s="24" t="s">
        <v>72</v>
      </c>
      <c r="E39" s="24" t="n">
        <v>342</v>
      </c>
      <c r="F39" s="25" t="n">
        <v>0</v>
      </c>
      <c r="G39" s="24" t="s">
        <v>59</v>
      </c>
      <c r="H39" s="24" t="s">
        <v>55</v>
      </c>
      <c r="I39" s="24" t="s">
        <v>56</v>
      </c>
      <c r="J39" s="26" t="n">
        <f aca="false">IF(A39="","",YEAR(A39))</f>
        <v>2025</v>
      </c>
      <c r="K39" s="26" t="n">
        <f aca="false">IF(A39="","",MONTH(A39))</f>
        <v>1</v>
      </c>
      <c r="L39" s="26" t="n">
        <f aca="false">IF(B39="","",VALUE(LEFT(B39,2)))</f>
        <v>11</v>
      </c>
      <c r="M39" s="26" t="n">
        <f aca="false">IF(A39="","",IF(COUNTIFS($C$2:$C$5001,C39,$J$2:$J$5001,J39,$A$2:$A$5001,"&lt;"&amp;A39)=0,1,0))</f>
        <v>1</v>
      </c>
    </row>
    <row r="40" customFormat="false" ht="15" hidden="false" customHeight="false" outlineLevel="0" collapsed="false">
      <c r="A40" s="23" t="n">
        <v>45669.5555555556</v>
      </c>
      <c r="B40" s="24" t="s">
        <v>137</v>
      </c>
      <c r="C40" s="24" t="s">
        <v>138</v>
      </c>
      <c r="D40" s="24" t="s">
        <v>66</v>
      </c>
      <c r="E40" s="24" t="n">
        <v>277</v>
      </c>
      <c r="F40" s="25" t="n">
        <v>10000</v>
      </c>
      <c r="G40" s="24" t="s">
        <v>59</v>
      </c>
      <c r="H40" s="24" t="s">
        <v>80</v>
      </c>
      <c r="I40" s="24" t="s">
        <v>61</v>
      </c>
      <c r="J40" s="26" t="n">
        <f aca="false">IF(A40="","",YEAR(A40))</f>
        <v>2025</v>
      </c>
      <c r="K40" s="26" t="n">
        <f aca="false">IF(A40="","",MONTH(A40))</f>
        <v>1</v>
      </c>
      <c r="L40" s="26" t="n">
        <f aca="false">IF(B40="","",VALUE(LEFT(B40,2)))</f>
        <v>8</v>
      </c>
      <c r="M40" s="26" t="n">
        <f aca="false">IF(A40="","",IF(COUNTIFS($C$2:$C$5001,C40,$J$2:$J$5001,J40,$A$2:$A$5001,"&lt;"&amp;A40)=0,1,0))</f>
        <v>1</v>
      </c>
    </row>
    <row r="41" customFormat="false" ht="15" hidden="false" customHeight="false" outlineLevel="0" collapsed="false">
      <c r="A41" s="23" t="n">
        <v>45669.61875</v>
      </c>
      <c r="B41" s="24" t="s">
        <v>139</v>
      </c>
      <c r="C41" s="24" t="s">
        <v>108</v>
      </c>
      <c r="D41" s="24" t="s">
        <v>66</v>
      </c>
      <c r="E41" s="24" t="n">
        <v>42</v>
      </c>
      <c r="F41" s="25" t="n">
        <v>2000</v>
      </c>
      <c r="G41" s="24" t="s">
        <v>54</v>
      </c>
      <c r="H41" s="24" t="s">
        <v>80</v>
      </c>
      <c r="I41" s="24" t="s">
        <v>61</v>
      </c>
      <c r="J41" s="26" t="n">
        <f aca="false">IF(A41="","",YEAR(A41))</f>
        <v>2025</v>
      </c>
      <c r="K41" s="26" t="n">
        <f aca="false">IF(A41="","",MONTH(A41))</f>
        <v>1</v>
      </c>
      <c r="L41" s="26" t="n">
        <f aca="false">IF(B41="","",VALUE(LEFT(B41,2)))</f>
        <v>14</v>
      </c>
      <c r="M41" s="26" t="n">
        <f aca="false">IF(A41="","",IF(COUNTIFS($C$2:$C$5001,C41,$J$2:$J$5001,J41,$A$2:$A$5001,"&lt;"&amp;A41)=0,1,0))</f>
        <v>0</v>
      </c>
    </row>
    <row r="42" customFormat="false" ht="15" hidden="false" customHeight="false" outlineLevel="0" collapsed="false">
      <c r="A42" s="23" t="n">
        <v>45669.8534722222</v>
      </c>
      <c r="B42" s="24" t="s">
        <v>91</v>
      </c>
      <c r="C42" s="24" t="s">
        <v>138</v>
      </c>
      <c r="D42" s="24" t="s">
        <v>66</v>
      </c>
      <c r="E42" s="24" t="n">
        <v>44</v>
      </c>
      <c r="F42" s="25" t="n">
        <v>2000</v>
      </c>
      <c r="G42" s="24" t="s">
        <v>69</v>
      </c>
      <c r="H42" s="24" t="s">
        <v>60</v>
      </c>
      <c r="I42" s="24" t="s">
        <v>61</v>
      </c>
      <c r="J42" s="26" t="n">
        <f aca="false">IF(A42="","",YEAR(A42))</f>
        <v>2025</v>
      </c>
      <c r="K42" s="26" t="n">
        <f aca="false">IF(A42="","",MONTH(A42))</f>
        <v>1</v>
      </c>
      <c r="L42" s="26" t="n">
        <f aca="false">IF(B42="","",VALUE(LEFT(B42,2)))</f>
        <v>19</v>
      </c>
      <c r="M42" s="26" t="n">
        <f aca="false">IF(A42="","",IF(COUNTIFS($C$2:$C$5001,C42,$J$2:$J$5001,J42,$A$2:$A$5001,"&lt;"&amp;A42)=0,1,0))</f>
        <v>0</v>
      </c>
    </row>
    <row r="43" customFormat="false" ht="15" hidden="false" customHeight="false" outlineLevel="0" collapsed="false">
      <c r="A43" s="23" t="n">
        <v>45670.4909722222</v>
      </c>
      <c r="B43" s="24" t="s">
        <v>140</v>
      </c>
      <c r="C43" s="24" t="s">
        <v>141</v>
      </c>
      <c r="D43" s="24" t="s">
        <v>66</v>
      </c>
      <c r="E43" s="24" t="n">
        <v>61</v>
      </c>
      <c r="F43" s="25" t="n">
        <v>3000</v>
      </c>
      <c r="G43" s="24" t="s">
        <v>69</v>
      </c>
      <c r="H43" s="24" t="s">
        <v>60</v>
      </c>
      <c r="I43" s="24" t="s">
        <v>61</v>
      </c>
      <c r="J43" s="26" t="n">
        <f aca="false">IF(A43="","",YEAR(A43))</f>
        <v>2025</v>
      </c>
      <c r="K43" s="26" t="n">
        <f aca="false">IF(A43="","",MONTH(A43))</f>
        <v>1</v>
      </c>
      <c r="L43" s="26" t="n">
        <f aca="false">IF(B43="","",VALUE(LEFT(B43,2)))</f>
        <v>10</v>
      </c>
      <c r="M43" s="26" t="n">
        <f aca="false">IF(A43="","",IF(COUNTIFS($C$2:$C$5001,C43,$J$2:$J$5001,J43,$A$2:$A$5001,"&lt;"&amp;A43)=0,1,0))</f>
        <v>1</v>
      </c>
    </row>
    <row r="44" customFormat="false" ht="15" hidden="false" customHeight="false" outlineLevel="0" collapsed="false">
      <c r="A44" s="23" t="n">
        <v>45670.6326388889</v>
      </c>
      <c r="B44" s="24" t="s">
        <v>142</v>
      </c>
      <c r="C44" s="24" t="s">
        <v>143</v>
      </c>
      <c r="D44" s="24" t="s">
        <v>53</v>
      </c>
      <c r="E44" s="24" t="n">
        <v>165</v>
      </c>
      <c r="F44" s="25" t="n">
        <v>3000</v>
      </c>
      <c r="G44" s="24" t="s">
        <v>54</v>
      </c>
      <c r="H44" s="24" t="s">
        <v>60</v>
      </c>
      <c r="I44" s="24" t="s">
        <v>61</v>
      </c>
      <c r="J44" s="26" t="n">
        <f aca="false">IF(A44="","",YEAR(A44))</f>
        <v>2025</v>
      </c>
      <c r="K44" s="26" t="n">
        <f aca="false">IF(A44="","",MONTH(A44))</f>
        <v>1</v>
      </c>
      <c r="L44" s="26" t="n">
        <f aca="false">IF(B44="","",VALUE(LEFT(B44,2)))</f>
        <v>12</v>
      </c>
      <c r="M44" s="26" t="n">
        <f aca="false">IF(A44="","",IF(COUNTIFS($C$2:$C$5001,C44,$J$2:$J$5001,J44,$A$2:$A$5001,"&lt;"&amp;A44)=0,1,0))</f>
        <v>1</v>
      </c>
    </row>
    <row r="45" customFormat="false" ht="15" hidden="false" customHeight="false" outlineLevel="0" collapsed="false">
      <c r="A45" s="23" t="n">
        <v>45670.7368055556</v>
      </c>
      <c r="B45" s="24" t="s">
        <v>144</v>
      </c>
      <c r="C45" s="24" t="s">
        <v>145</v>
      </c>
      <c r="D45" s="24" t="s">
        <v>66</v>
      </c>
      <c r="E45" s="24" t="n">
        <v>327</v>
      </c>
      <c r="F45" s="25" t="n">
        <v>11000</v>
      </c>
      <c r="G45" s="24" t="s">
        <v>83</v>
      </c>
      <c r="H45" s="24" t="s">
        <v>55</v>
      </c>
      <c r="I45" s="24" t="s">
        <v>61</v>
      </c>
      <c r="J45" s="26" t="n">
        <f aca="false">IF(A45="","",YEAR(A45))</f>
        <v>2025</v>
      </c>
      <c r="K45" s="26" t="n">
        <f aca="false">IF(A45="","",MONTH(A45))</f>
        <v>1</v>
      </c>
      <c r="L45" s="26" t="n">
        <f aca="false">IF(B45="","",VALUE(LEFT(B45,2)))</f>
        <v>12</v>
      </c>
      <c r="M45" s="26" t="n">
        <f aca="false">IF(A45="","",IF(COUNTIFS($C$2:$C$5001,C45,$J$2:$J$5001,J45,$A$2:$A$5001,"&lt;"&amp;A45)=0,1,0))</f>
        <v>1</v>
      </c>
    </row>
    <row r="46" customFormat="false" ht="15" hidden="false" customHeight="false" outlineLevel="0" collapsed="false">
      <c r="A46" s="23" t="n">
        <v>45670.8673611111</v>
      </c>
      <c r="B46" s="24" t="s">
        <v>146</v>
      </c>
      <c r="C46" s="24" t="s">
        <v>147</v>
      </c>
      <c r="D46" s="24" t="s">
        <v>66</v>
      </c>
      <c r="E46" s="24" t="n">
        <v>248</v>
      </c>
      <c r="F46" s="25" t="n">
        <v>9000</v>
      </c>
      <c r="G46" s="24" t="s">
        <v>59</v>
      </c>
      <c r="H46" s="24" t="s">
        <v>60</v>
      </c>
      <c r="I46" s="24" t="s">
        <v>61</v>
      </c>
      <c r="J46" s="26" t="n">
        <f aca="false">IF(A46="","",YEAR(A46))</f>
        <v>2025</v>
      </c>
      <c r="K46" s="26" t="n">
        <f aca="false">IF(A46="","",MONTH(A46))</f>
        <v>1</v>
      </c>
      <c r="L46" s="26" t="n">
        <f aca="false">IF(B46="","",VALUE(LEFT(B46,2)))</f>
        <v>16</v>
      </c>
      <c r="M46" s="26" t="n">
        <f aca="false">IF(A46="","",IF(COUNTIFS($C$2:$C$5001,C46,$J$2:$J$5001,J46,$A$2:$A$5001,"&lt;"&amp;A46)=0,1,0))</f>
        <v>1</v>
      </c>
    </row>
    <row r="47" customFormat="false" ht="15" hidden="false" customHeight="false" outlineLevel="0" collapsed="false">
      <c r="A47" s="23" t="n">
        <v>45670.9201388889</v>
      </c>
      <c r="B47" s="24" t="s">
        <v>148</v>
      </c>
      <c r="C47" s="24" t="s">
        <v>65</v>
      </c>
      <c r="D47" s="24" t="s">
        <v>66</v>
      </c>
      <c r="E47" s="24" t="n">
        <v>258</v>
      </c>
      <c r="F47" s="25" t="n">
        <v>9000</v>
      </c>
      <c r="G47" s="24" t="s">
        <v>59</v>
      </c>
      <c r="H47" s="24" t="s">
        <v>55</v>
      </c>
      <c r="I47" s="24" t="s">
        <v>61</v>
      </c>
      <c r="J47" s="26" t="n">
        <f aca="false">IF(A47="","",YEAR(A47))</f>
        <v>2025</v>
      </c>
      <c r="K47" s="26" t="n">
        <f aca="false">IF(A47="","",MONTH(A47))</f>
        <v>1</v>
      </c>
      <c r="L47" s="26" t="n">
        <f aca="false">IF(B47="","",VALUE(LEFT(B47,2)))</f>
        <v>17</v>
      </c>
      <c r="M47" s="26" t="n">
        <f aca="false">IF(A47="","",IF(COUNTIFS($C$2:$C$5001,C47,$J$2:$J$5001,J47,$A$2:$A$5001,"&lt;"&amp;A47)=0,1,0))</f>
        <v>0</v>
      </c>
    </row>
    <row r="48" customFormat="false" ht="15" hidden="false" customHeight="false" outlineLevel="0" collapsed="false">
      <c r="A48" s="23" t="n">
        <v>45671.4479166667</v>
      </c>
      <c r="B48" s="24" t="s">
        <v>149</v>
      </c>
      <c r="C48" s="24" t="s">
        <v>150</v>
      </c>
      <c r="D48" s="24" t="s">
        <v>53</v>
      </c>
      <c r="E48" s="24" t="n">
        <v>78</v>
      </c>
      <c r="F48" s="25" t="n">
        <v>1500</v>
      </c>
      <c r="G48" s="24" t="s">
        <v>69</v>
      </c>
      <c r="H48" s="24" t="s">
        <v>80</v>
      </c>
      <c r="I48" s="24" t="s">
        <v>61</v>
      </c>
      <c r="J48" s="26" t="n">
        <f aca="false">IF(A48="","",YEAR(A48))</f>
        <v>2025</v>
      </c>
      <c r="K48" s="26" t="n">
        <f aca="false">IF(A48="","",MONTH(A48))</f>
        <v>1</v>
      </c>
      <c r="L48" s="26" t="n">
        <f aca="false">IF(B48="","",VALUE(LEFT(B48,2)))</f>
        <v>9</v>
      </c>
      <c r="M48" s="26" t="n">
        <f aca="false">IF(A48="","",IF(COUNTIFS($C$2:$C$5001,C48,$J$2:$J$5001,J48,$A$2:$A$5001,"&lt;"&amp;A48)=0,1,0))</f>
        <v>1</v>
      </c>
    </row>
    <row r="49" customFormat="false" ht="15" hidden="false" customHeight="false" outlineLevel="0" collapsed="false">
      <c r="A49" s="23" t="n">
        <v>45671.5743055556</v>
      </c>
      <c r="B49" s="24" t="s">
        <v>151</v>
      </c>
      <c r="C49" s="24" t="s">
        <v>152</v>
      </c>
      <c r="D49" s="24" t="s">
        <v>127</v>
      </c>
      <c r="E49" s="24" t="n">
        <v>412</v>
      </c>
      <c r="F49" s="25" t="n">
        <v>24500</v>
      </c>
      <c r="G49" s="24" t="s">
        <v>59</v>
      </c>
      <c r="H49" s="24" t="s">
        <v>80</v>
      </c>
      <c r="I49" s="24" t="s">
        <v>61</v>
      </c>
      <c r="J49" s="26" t="n">
        <f aca="false">IF(A49="","",YEAR(A49))</f>
        <v>2025</v>
      </c>
      <c r="K49" s="26" t="n">
        <f aca="false">IF(A49="","",MONTH(A49))</f>
        <v>1</v>
      </c>
      <c r="L49" s="26" t="n">
        <f aca="false">IF(B49="","",VALUE(LEFT(B49,2)))</f>
        <v>6</v>
      </c>
      <c r="M49" s="26" t="n">
        <f aca="false">IF(A49="","",IF(COUNTIFS($C$2:$C$5001,C49,$J$2:$J$5001,J49,$A$2:$A$5001,"&lt;"&amp;A49)=0,1,0))</f>
        <v>1</v>
      </c>
    </row>
    <row r="50" customFormat="false" ht="15" hidden="false" customHeight="false" outlineLevel="0" collapsed="false">
      <c r="A50" s="23" t="n">
        <v>45671.6409722222</v>
      </c>
      <c r="B50" s="24" t="s">
        <v>153</v>
      </c>
      <c r="C50" s="24" t="s">
        <v>154</v>
      </c>
      <c r="D50" s="24" t="s">
        <v>66</v>
      </c>
      <c r="E50" s="24" t="n">
        <v>408</v>
      </c>
      <c r="F50" s="25" t="n">
        <v>14000</v>
      </c>
      <c r="G50" s="24" t="s">
        <v>59</v>
      </c>
      <c r="H50" s="24" t="s">
        <v>55</v>
      </c>
      <c r="I50" s="24" t="s">
        <v>61</v>
      </c>
      <c r="J50" s="26" t="n">
        <f aca="false">IF(A50="","",YEAR(A50))</f>
        <v>2025</v>
      </c>
      <c r="K50" s="26" t="n">
        <f aca="false">IF(A50="","",MONTH(A50))</f>
        <v>1</v>
      </c>
      <c r="L50" s="26" t="n">
        <f aca="false">IF(B50="","",VALUE(LEFT(B50,2)))</f>
        <v>8</v>
      </c>
      <c r="M50" s="26" t="n">
        <f aca="false">IF(A50="","",IF(COUNTIFS($C$2:$C$5001,C50,$J$2:$J$5001,J50,$A$2:$A$5001,"&lt;"&amp;A50)=0,1,0))</f>
        <v>1</v>
      </c>
    </row>
    <row r="51" customFormat="false" ht="15" hidden="false" customHeight="false" outlineLevel="0" collapsed="false">
      <c r="A51" s="23" t="n">
        <v>45671.6694444444</v>
      </c>
      <c r="B51" s="24" t="s">
        <v>155</v>
      </c>
      <c r="C51" s="24" t="s">
        <v>156</v>
      </c>
      <c r="D51" s="24" t="s">
        <v>66</v>
      </c>
      <c r="E51" s="24" t="n">
        <v>147</v>
      </c>
      <c r="F51" s="25" t="n">
        <v>5000</v>
      </c>
      <c r="G51" s="24" t="s">
        <v>59</v>
      </c>
      <c r="H51" s="24" t="s">
        <v>80</v>
      </c>
      <c r="I51" s="24" t="s">
        <v>61</v>
      </c>
      <c r="J51" s="26" t="n">
        <f aca="false">IF(A51="","",YEAR(A51))</f>
        <v>2025</v>
      </c>
      <c r="K51" s="26" t="n">
        <f aca="false">IF(A51="","",MONTH(A51))</f>
        <v>1</v>
      </c>
      <c r="L51" s="26" t="n">
        <f aca="false">IF(B51="","",VALUE(LEFT(B51,2)))</f>
        <v>13</v>
      </c>
      <c r="M51" s="26" t="n">
        <f aca="false">IF(A51="","",IF(COUNTIFS($C$2:$C$5001,C51,$J$2:$J$5001,J51,$A$2:$A$5001,"&lt;"&amp;A51)=0,1,0))</f>
        <v>1</v>
      </c>
    </row>
    <row r="52" customFormat="false" ht="15" hidden="false" customHeight="false" outlineLevel="0" collapsed="false">
      <c r="A52" s="23" t="n">
        <v>45671.7673611111</v>
      </c>
      <c r="B52" s="24" t="s">
        <v>157</v>
      </c>
      <c r="C52" s="24" t="s">
        <v>158</v>
      </c>
      <c r="D52" s="24" t="s">
        <v>66</v>
      </c>
      <c r="E52" s="24" t="n">
        <v>181</v>
      </c>
      <c r="F52" s="25" t="n">
        <v>7000</v>
      </c>
      <c r="G52" s="24" t="s">
        <v>79</v>
      </c>
      <c r="H52" s="24" t="s">
        <v>80</v>
      </c>
      <c r="I52" s="24" t="s">
        <v>61</v>
      </c>
      <c r="J52" s="26" t="n">
        <f aca="false">IF(A52="","",YEAR(A52))</f>
        <v>2025</v>
      </c>
      <c r="K52" s="26" t="n">
        <f aca="false">IF(A52="","",MONTH(A52))</f>
        <v>1</v>
      </c>
      <c r="L52" s="26" t="n">
        <f aca="false">IF(B52="","",VALUE(LEFT(B52,2)))</f>
        <v>15</v>
      </c>
      <c r="M52" s="26" t="n">
        <f aca="false">IF(A52="","",IF(COUNTIFS($C$2:$C$5001,C52,$J$2:$J$5001,J52,$A$2:$A$5001,"&lt;"&amp;A52)=0,1,0))</f>
        <v>1</v>
      </c>
    </row>
    <row r="53" customFormat="false" ht="15" hidden="false" customHeight="false" outlineLevel="0" collapsed="false">
      <c r="A53" s="23" t="n">
        <v>45671.9284722222</v>
      </c>
      <c r="B53" s="24" t="s">
        <v>159</v>
      </c>
      <c r="C53" s="24" t="s">
        <v>160</v>
      </c>
      <c r="D53" s="24" t="s">
        <v>53</v>
      </c>
      <c r="E53" s="24" t="n">
        <v>117</v>
      </c>
      <c r="F53" s="25" t="n">
        <v>2000</v>
      </c>
      <c r="G53" s="24" t="s">
        <v>79</v>
      </c>
      <c r="H53" s="24" t="s">
        <v>55</v>
      </c>
      <c r="I53" s="24" t="s">
        <v>61</v>
      </c>
      <c r="J53" s="26" t="n">
        <f aca="false">IF(A53="","",YEAR(A53))</f>
        <v>2025</v>
      </c>
      <c r="K53" s="26" t="n">
        <f aca="false">IF(A53="","",MONTH(A53))</f>
        <v>1</v>
      </c>
      <c r="L53" s="26" t="n">
        <f aca="false">IF(B53="","",VALUE(LEFT(B53,2)))</f>
        <v>20</v>
      </c>
      <c r="M53" s="26" t="n">
        <f aca="false">IF(A53="","",IF(COUNTIFS($C$2:$C$5001,C53,$J$2:$J$5001,J53,$A$2:$A$5001,"&lt;"&amp;A53)=0,1,0))</f>
        <v>1</v>
      </c>
    </row>
    <row r="54" customFormat="false" ht="15" hidden="false" customHeight="false" outlineLevel="0" collapsed="false">
      <c r="A54" s="23" t="n">
        <v>45672.3111111111</v>
      </c>
      <c r="B54" s="24" t="s">
        <v>161</v>
      </c>
      <c r="C54" s="24" t="s">
        <v>162</v>
      </c>
      <c r="D54" s="24" t="s">
        <v>66</v>
      </c>
      <c r="E54" s="24" t="n">
        <v>22</v>
      </c>
      <c r="F54" s="25" t="n">
        <v>850</v>
      </c>
      <c r="G54" s="24" t="s">
        <v>59</v>
      </c>
      <c r="H54" s="24" t="s">
        <v>60</v>
      </c>
      <c r="I54" s="24" t="s">
        <v>113</v>
      </c>
      <c r="J54" s="26" t="n">
        <f aca="false">IF(A54="","",YEAR(A54))</f>
        <v>2025</v>
      </c>
      <c r="K54" s="26" t="n">
        <f aca="false">IF(A54="","",MONTH(A54))</f>
        <v>1</v>
      </c>
      <c r="L54" s="26" t="n">
        <f aca="false">IF(B54="","",VALUE(LEFT(B54,2)))</f>
        <v>7</v>
      </c>
      <c r="M54" s="26" t="n">
        <f aca="false">IF(A54="","",IF(COUNTIFS($C$2:$C$5001,C54,$J$2:$J$5001,J54,$A$2:$A$5001,"&lt;"&amp;A54)=0,1,0))</f>
        <v>1</v>
      </c>
    </row>
    <row r="55" customFormat="false" ht="15" hidden="false" customHeight="false" outlineLevel="0" collapsed="false">
      <c r="A55" s="23" t="n">
        <v>45672.5819444444</v>
      </c>
      <c r="B55" s="24" t="s">
        <v>163</v>
      </c>
      <c r="C55" s="24" t="s">
        <v>164</v>
      </c>
      <c r="D55" s="24" t="s">
        <v>66</v>
      </c>
      <c r="E55" s="24" t="n">
        <v>301</v>
      </c>
      <c r="F55" s="25" t="n">
        <v>0</v>
      </c>
      <c r="G55" s="24" t="s">
        <v>59</v>
      </c>
      <c r="H55" s="24" t="s">
        <v>80</v>
      </c>
      <c r="I55" s="24" t="s">
        <v>56</v>
      </c>
      <c r="J55" s="26" t="n">
        <f aca="false">IF(A55="","",YEAR(A55))</f>
        <v>2025</v>
      </c>
      <c r="K55" s="26" t="n">
        <f aca="false">IF(A55="","",MONTH(A55))</f>
        <v>1</v>
      </c>
      <c r="L55" s="26" t="n">
        <f aca="false">IF(B55="","",VALUE(LEFT(B55,2)))</f>
        <v>8</v>
      </c>
      <c r="M55" s="26" t="n">
        <f aca="false">IF(A55="","",IF(COUNTIFS($C$2:$C$5001,C55,$J$2:$J$5001,J55,$A$2:$A$5001,"&lt;"&amp;A55)=0,1,0))</f>
        <v>1</v>
      </c>
    </row>
    <row r="56" customFormat="false" ht="15" hidden="false" customHeight="false" outlineLevel="0" collapsed="false">
      <c r="A56" s="23" t="n">
        <v>45672.6958333333</v>
      </c>
      <c r="B56" s="24" t="s">
        <v>165</v>
      </c>
      <c r="C56" s="24" t="s">
        <v>166</v>
      </c>
      <c r="D56" s="24" t="s">
        <v>53</v>
      </c>
      <c r="E56" s="24" t="n">
        <v>295</v>
      </c>
      <c r="F56" s="25" t="n">
        <v>5000</v>
      </c>
      <c r="G56" s="24" t="s">
        <v>59</v>
      </c>
      <c r="H56" s="24" t="s">
        <v>55</v>
      </c>
      <c r="I56" s="24" t="s">
        <v>61</v>
      </c>
      <c r="J56" s="26" t="n">
        <f aca="false">IF(A56="","",YEAR(A56))</f>
        <v>2025</v>
      </c>
      <c r="K56" s="26" t="n">
        <f aca="false">IF(A56="","",MONTH(A56))</f>
        <v>1</v>
      </c>
      <c r="L56" s="26" t="n">
        <f aca="false">IF(B56="","",VALUE(LEFT(B56,2)))</f>
        <v>11</v>
      </c>
      <c r="M56" s="26" t="n">
        <f aca="false">IF(A56="","",IF(COUNTIFS($C$2:$C$5001,C56,$J$2:$J$5001,J56,$A$2:$A$5001,"&lt;"&amp;A56)=0,1,0))</f>
        <v>1</v>
      </c>
    </row>
    <row r="57" customFormat="false" ht="15" hidden="false" customHeight="false" outlineLevel="0" collapsed="false">
      <c r="A57" s="23" t="n">
        <v>45672.8243055556</v>
      </c>
      <c r="B57" s="24" t="s">
        <v>167</v>
      </c>
      <c r="C57" s="24" t="s">
        <v>168</v>
      </c>
      <c r="D57" s="24" t="s">
        <v>53</v>
      </c>
      <c r="E57" s="24" t="n">
        <v>418</v>
      </c>
      <c r="F57" s="25" t="n">
        <v>7000</v>
      </c>
      <c r="G57" s="24" t="s">
        <v>59</v>
      </c>
      <c r="H57" s="24" t="s">
        <v>80</v>
      </c>
      <c r="I57" s="24" t="s">
        <v>61</v>
      </c>
      <c r="J57" s="26" t="n">
        <f aca="false">IF(A57="","",YEAR(A57))</f>
        <v>2025</v>
      </c>
      <c r="K57" s="26" t="n">
        <f aca="false">IF(A57="","",MONTH(A57))</f>
        <v>1</v>
      </c>
      <c r="L57" s="26" t="n">
        <f aca="false">IF(B57="","",VALUE(LEFT(B57,2)))</f>
        <v>12</v>
      </c>
      <c r="M57" s="26" t="n">
        <f aca="false">IF(A57="","",IF(COUNTIFS($C$2:$C$5001,C57,$J$2:$J$5001,J57,$A$2:$A$5001,"&lt;"&amp;A57)=0,1,0))</f>
        <v>1</v>
      </c>
    </row>
    <row r="58" customFormat="false" ht="15" hidden="false" customHeight="false" outlineLevel="0" collapsed="false">
      <c r="A58" s="23" t="n">
        <v>45672.9513888889</v>
      </c>
      <c r="B58" s="24" t="s">
        <v>169</v>
      </c>
      <c r="C58" s="24" t="s">
        <v>170</v>
      </c>
      <c r="D58" s="24" t="s">
        <v>53</v>
      </c>
      <c r="E58" s="24" t="n">
        <v>420</v>
      </c>
      <c r="F58" s="25" t="n">
        <v>7000</v>
      </c>
      <c r="G58" s="24" t="s">
        <v>59</v>
      </c>
      <c r="H58" s="24" t="s">
        <v>80</v>
      </c>
      <c r="I58" s="24" t="s">
        <v>61</v>
      </c>
      <c r="J58" s="26" t="n">
        <f aca="false">IF(A58="","",YEAR(A58))</f>
        <v>2025</v>
      </c>
      <c r="K58" s="26" t="n">
        <f aca="false">IF(A58="","",MONTH(A58))</f>
        <v>1</v>
      </c>
      <c r="L58" s="26" t="n">
        <f aca="false">IF(B58="","",VALUE(LEFT(B58,2)))</f>
        <v>15</v>
      </c>
      <c r="M58" s="26" t="n">
        <f aca="false">IF(A58="","",IF(COUNTIFS($C$2:$C$5001,C58,$J$2:$J$5001,J58,$A$2:$A$5001,"&lt;"&amp;A58)=0,1,0))</f>
        <v>1</v>
      </c>
    </row>
    <row r="59" customFormat="false" ht="15" hidden="false" customHeight="false" outlineLevel="0" collapsed="false">
      <c r="A59" s="23" t="n">
        <v>45673.3590277778</v>
      </c>
      <c r="B59" s="24" t="s">
        <v>171</v>
      </c>
      <c r="C59" s="24" t="s">
        <v>172</v>
      </c>
      <c r="D59" s="24" t="s">
        <v>53</v>
      </c>
      <c r="E59" s="24" t="n">
        <v>71</v>
      </c>
      <c r="F59" s="25" t="n">
        <v>1500</v>
      </c>
      <c r="G59" s="24" t="s">
        <v>59</v>
      </c>
      <c r="H59" s="24" t="s">
        <v>80</v>
      </c>
      <c r="I59" s="24" t="s">
        <v>61</v>
      </c>
      <c r="J59" s="26" t="n">
        <f aca="false">IF(A59="","",YEAR(A59))</f>
        <v>2025</v>
      </c>
      <c r="K59" s="26" t="n">
        <f aca="false">IF(A59="","",MONTH(A59))</f>
        <v>1</v>
      </c>
      <c r="L59" s="26" t="n">
        <f aca="false">IF(B59="","",VALUE(LEFT(B59,2)))</f>
        <v>7</v>
      </c>
      <c r="M59" s="26" t="n">
        <f aca="false">IF(A59="","",IF(COUNTIFS($C$2:$C$5001,C59,$J$2:$J$5001,J59,$A$2:$A$5001,"&lt;"&amp;A59)=0,1,0))</f>
        <v>1</v>
      </c>
    </row>
    <row r="60" customFormat="false" ht="15" hidden="false" customHeight="false" outlineLevel="0" collapsed="false">
      <c r="A60" s="23" t="n">
        <v>45673.5076388889</v>
      </c>
      <c r="B60" s="24" t="s">
        <v>173</v>
      </c>
      <c r="C60" s="24" t="s">
        <v>174</v>
      </c>
      <c r="D60" s="24" t="s">
        <v>66</v>
      </c>
      <c r="E60" s="24" t="n">
        <v>134</v>
      </c>
      <c r="F60" s="25" t="n">
        <v>0</v>
      </c>
      <c r="G60" s="24" t="s">
        <v>59</v>
      </c>
      <c r="H60" s="24" t="s">
        <v>60</v>
      </c>
      <c r="I60" s="24" t="s">
        <v>56</v>
      </c>
      <c r="J60" s="26" t="n">
        <f aca="false">IF(A60="","",YEAR(A60))</f>
        <v>2025</v>
      </c>
      <c r="K60" s="26" t="n">
        <f aca="false">IF(A60="","",MONTH(A60))</f>
        <v>1</v>
      </c>
      <c r="L60" s="26" t="n">
        <f aca="false">IF(B60="","",VALUE(LEFT(B60,2)))</f>
        <v>9</v>
      </c>
      <c r="M60" s="26" t="n">
        <f aca="false">IF(A60="","",IF(COUNTIFS($C$2:$C$5001,C60,$J$2:$J$5001,J60,$A$2:$A$5001,"&lt;"&amp;A60)=0,1,0))</f>
        <v>1</v>
      </c>
    </row>
    <row r="61" customFormat="false" ht="15" hidden="false" customHeight="false" outlineLevel="0" collapsed="false">
      <c r="A61" s="23" t="n">
        <v>45673.5409722222</v>
      </c>
      <c r="B61" s="24" t="s">
        <v>175</v>
      </c>
      <c r="C61" s="24" t="s">
        <v>82</v>
      </c>
      <c r="D61" s="24" t="s">
        <v>66</v>
      </c>
      <c r="E61" s="24" t="n">
        <v>301</v>
      </c>
      <c r="F61" s="25" t="n">
        <v>11000</v>
      </c>
      <c r="G61" s="24" t="s">
        <v>59</v>
      </c>
      <c r="H61" s="24" t="s">
        <v>55</v>
      </c>
      <c r="I61" s="24" t="s">
        <v>61</v>
      </c>
      <c r="J61" s="26" t="n">
        <f aca="false">IF(A61="","",YEAR(A61))</f>
        <v>2025</v>
      </c>
      <c r="K61" s="26" t="n">
        <f aca="false">IF(A61="","",MONTH(A61))</f>
        <v>1</v>
      </c>
      <c r="L61" s="26" t="n">
        <f aca="false">IF(B61="","",VALUE(LEFT(B61,2)))</f>
        <v>7</v>
      </c>
      <c r="M61" s="26" t="n">
        <f aca="false">IF(A61="","",IF(COUNTIFS($C$2:$C$5001,C61,$J$2:$J$5001,J61,$A$2:$A$5001,"&lt;"&amp;A61)=0,1,0))</f>
        <v>0</v>
      </c>
    </row>
    <row r="62" customFormat="false" ht="15" hidden="false" customHeight="false" outlineLevel="0" collapsed="false">
      <c r="A62" s="23" t="n">
        <v>45673.5784722222</v>
      </c>
      <c r="B62" s="24" t="s">
        <v>176</v>
      </c>
      <c r="C62" s="24" t="s">
        <v>177</v>
      </c>
      <c r="D62" s="24" t="s">
        <v>53</v>
      </c>
      <c r="E62" s="24" t="n">
        <v>70</v>
      </c>
      <c r="F62" s="25" t="n">
        <v>1500</v>
      </c>
      <c r="G62" s="24" t="s">
        <v>59</v>
      </c>
      <c r="H62" s="24" t="s">
        <v>60</v>
      </c>
      <c r="I62" s="24" t="s">
        <v>61</v>
      </c>
      <c r="J62" s="26" t="n">
        <f aca="false">IF(A62="","",YEAR(A62))</f>
        <v>2025</v>
      </c>
      <c r="K62" s="26" t="n">
        <f aca="false">IF(A62="","",MONTH(A62))</f>
        <v>1</v>
      </c>
      <c r="L62" s="26" t="n">
        <f aca="false">IF(B62="","",VALUE(LEFT(B62,2)))</f>
        <v>12</v>
      </c>
      <c r="M62" s="26" t="n">
        <f aca="false">IF(A62="","",IF(COUNTIFS($C$2:$C$5001,C62,$J$2:$J$5001,J62,$A$2:$A$5001,"&lt;"&amp;A62)=0,1,0))</f>
        <v>1</v>
      </c>
    </row>
    <row r="63" customFormat="false" ht="15" hidden="false" customHeight="false" outlineLevel="0" collapsed="false">
      <c r="A63" s="23" t="n">
        <v>45673.6208333333</v>
      </c>
      <c r="B63" s="24" t="s">
        <v>178</v>
      </c>
      <c r="C63" s="24" t="s">
        <v>170</v>
      </c>
      <c r="D63" s="24" t="s">
        <v>66</v>
      </c>
      <c r="E63" s="24" t="n">
        <v>323</v>
      </c>
      <c r="F63" s="25" t="n">
        <v>9350</v>
      </c>
      <c r="G63" s="24" t="s">
        <v>59</v>
      </c>
      <c r="H63" s="24" t="s">
        <v>80</v>
      </c>
      <c r="I63" s="24" t="s">
        <v>113</v>
      </c>
      <c r="J63" s="26" t="n">
        <f aca="false">IF(A63="","",YEAR(A63))</f>
        <v>2025</v>
      </c>
      <c r="K63" s="26" t="n">
        <f aca="false">IF(A63="","",MONTH(A63))</f>
        <v>1</v>
      </c>
      <c r="L63" s="26" t="n">
        <f aca="false">IF(B63="","",VALUE(LEFT(B63,2)))</f>
        <v>9</v>
      </c>
      <c r="M63" s="26" t="n">
        <f aca="false">IF(A63="","",IF(COUNTIFS($C$2:$C$5001,C63,$J$2:$J$5001,J63,$A$2:$A$5001,"&lt;"&amp;A63)=0,1,0))</f>
        <v>0</v>
      </c>
    </row>
    <row r="64" customFormat="false" ht="15" hidden="false" customHeight="false" outlineLevel="0" collapsed="false">
      <c r="A64" s="23" t="n">
        <v>45673.6388888889</v>
      </c>
      <c r="B64" s="24" t="s">
        <v>93</v>
      </c>
      <c r="C64" s="24" t="s">
        <v>179</v>
      </c>
      <c r="D64" s="24" t="s">
        <v>88</v>
      </c>
      <c r="E64" s="24" t="n">
        <v>297</v>
      </c>
      <c r="F64" s="25" t="n">
        <v>15000</v>
      </c>
      <c r="G64" s="24" t="s">
        <v>59</v>
      </c>
      <c r="H64" s="24" t="s">
        <v>60</v>
      </c>
      <c r="I64" s="24" t="s">
        <v>61</v>
      </c>
      <c r="J64" s="26" t="n">
        <f aca="false">IF(A64="","",YEAR(A64))</f>
        <v>2025</v>
      </c>
      <c r="K64" s="26" t="n">
        <f aca="false">IF(A64="","",MONTH(A64))</f>
        <v>1</v>
      </c>
      <c r="L64" s="26" t="n">
        <f aca="false">IF(B64="","",VALUE(LEFT(B64,2)))</f>
        <v>10</v>
      </c>
      <c r="M64" s="26" t="n">
        <f aca="false">IF(A64="","",IF(COUNTIFS($C$2:$C$5001,C64,$J$2:$J$5001,J64,$A$2:$A$5001,"&lt;"&amp;A64)=0,1,0))</f>
        <v>1</v>
      </c>
    </row>
    <row r="65" customFormat="false" ht="15" hidden="false" customHeight="false" outlineLevel="0" collapsed="false">
      <c r="A65" s="23" t="n">
        <v>45673.6513888889</v>
      </c>
      <c r="B65" s="24" t="s">
        <v>180</v>
      </c>
      <c r="C65" s="24" t="s">
        <v>123</v>
      </c>
      <c r="D65" s="24" t="s">
        <v>66</v>
      </c>
      <c r="E65" s="24" t="n">
        <v>398</v>
      </c>
      <c r="F65" s="25" t="n">
        <v>14000</v>
      </c>
      <c r="G65" s="24" t="s">
        <v>59</v>
      </c>
      <c r="H65" s="24" t="s">
        <v>60</v>
      </c>
      <c r="I65" s="24" t="s">
        <v>61</v>
      </c>
      <c r="J65" s="26" t="n">
        <f aca="false">IF(A65="","",YEAR(A65))</f>
        <v>2025</v>
      </c>
      <c r="K65" s="26" t="n">
        <f aca="false">IF(A65="","",MONTH(A65))</f>
        <v>1</v>
      </c>
      <c r="L65" s="26" t="n">
        <f aca="false">IF(B65="","",VALUE(LEFT(B65,2)))</f>
        <v>9</v>
      </c>
      <c r="M65" s="26" t="n">
        <f aca="false">IF(A65="","",IF(COUNTIFS($C$2:$C$5001,C65,$J$2:$J$5001,J65,$A$2:$A$5001,"&lt;"&amp;A65)=0,1,0))</f>
        <v>0</v>
      </c>
    </row>
    <row r="66" customFormat="false" ht="15" hidden="false" customHeight="false" outlineLevel="0" collapsed="false">
      <c r="A66" s="23" t="n">
        <v>45673.8166666667</v>
      </c>
      <c r="B66" s="24" t="s">
        <v>181</v>
      </c>
      <c r="C66" s="24" t="s">
        <v>182</v>
      </c>
      <c r="D66" s="24" t="s">
        <v>66</v>
      </c>
      <c r="E66" s="24" t="n">
        <v>151</v>
      </c>
      <c r="F66" s="25" t="n">
        <v>6000</v>
      </c>
      <c r="G66" s="24" t="s">
        <v>59</v>
      </c>
      <c r="H66" s="24" t="s">
        <v>60</v>
      </c>
      <c r="I66" s="24" t="s">
        <v>61</v>
      </c>
      <c r="J66" s="26" t="n">
        <f aca="false">IF(A66="","",YEAR(A66))</f>
        <v>2025</v>
      </c>
      <c r="K66" s="26" t="n">
        <f aca="false">IF(A66="","",MONTH(A66))</f>
        <v>1</v>
      </c>
      <c r="L66" s="26" t="n">
        <f aca="false">IF(B66="","",VALUE(LEFT(B66,2)))</f>
        <v>17</v>
      </c>
      <c r="M66" s="26" t="n">
        <f aca="false">IF(A66="","",IF(COUNTIFS($C$2:$C$5001,C66,$J$2:$J$5001,J66,$A$2:$A$5001,"&lt;"&amp;A66)=0,1,0))</f>
        <v>1</v>
      </c>
    </row>
    <row r="67" customFormat="false" ht="15" hidden="false" customHeight="false" outlineLevel="0" collapsed="false">
      <c r="A67" s="23" t="n">
        <v>45673.83125</v>
      </c>
      <c r="B67" s="24" t="s">
        <v>183</v>
      </c>
      <c r="C67" s="24" t="s">
        <v>184</v>
      </c>
      <c r="D67" s="24" t="s">
        <v>66</v>
      </c>
      <c r="E67" s="24" t="n">
        <v>32</v>
      </c>
      <c r="F67" s="25" t="n">
        <v>0</v>
      </c>
      <c r="G67" s="24" t="s">
        <v>59</v>
      </c>
      <c r="H67" s="24" t="s">
        <v>80</v>
      </c>
      <c r="I67" s="24" t="s">
        <v>56</v>
      </c>
      <c r="J67" s="26" t="n">
        <f aca="false">IF(A67="","",YEAR(A67))</f>
        <v>2025</v>
      </c>
      <c r="K67" s="26" t="n">
        <f aca="false">IF(A67="","",MONTH(A67))</f>
        <v>1</v>
      </c>
      <c r="L67" s="26" t="n">
        <f aca="false">IF(B67="","",VALUE(LEFT(B67,2)))</f>
        <v>19</v>
      </c>
      <c r="M67" s="26" t="n">
        <f aca="false">IF(A67="","",IF(COUNTIFS($C$2:$C$5001,C67,$J$2:$J$5001,J67,$A$2:$A$5001,"&lt;"&amp;A67)=0,1,0))</f>
        <v>1</v>
      </c>
    </row>
    <row r="68" customFormat="false" ht="15" hidden="false" customHeight="false" outlineLevel="0" collapsed="false">
      <c r="A68" s="23" t="n">
        <v>45673.8534722222</v>
      </c>
      <c r="B68" s="24" t="s">
        <v>185</v>
      </c>
      <c r="C68" s="24" t="s">
        <v>186</v>
      </c>
      <c r="D68" s="24" t="s">
        <v>88</v>
      </c>
      <c r="E68" s="24" t="n">
        <v>265</v>
      </c>
      <c r="F68" s="25" t="n">
        <v>13500</v>
      </c>
      <c r="G68" s="24" t="s">
        <v>69</v>
      </c>
      <c r="H68" s="24" t="s">
        <v>80</v>
      </c>
      <c r="I68" s="24" t="s">
        <v>61</v>
      </c>
      <c r="J68" s="26" t="n">
        <f aca="false">IF(A68="","",YEAR(A68))</f>
        <v>2025</v>
      </c>
      <c r="K68" s="26" t="n">
        <f aca="false">IF(A68="","",MONTH(A68))</f>
        <v>1</v>
      </c>
      <c r="L68" s="26" t="n">
        <f aca="false">IF(B68="","",VALUE(LEFT(B68,2)))</f>
        <v>16</v>
      </c>
      <c r="M68" s="26" t="n">
        <f aca="false">IF(A68="","",IF(COUNTIFS($C$2:$C$5001,C68,$J$2:$J$5001,J68,$A$2:$A$5001,"&lt;"&amp;A68)=0,1,0))</f>
        <v>1</v>
      </c>
    </row>
    <row r="69" customFormat="false" ht="15" hidden="false" customHeight="false" outlineLevel="0" collapsed="false">
      <c r="A69" s="23" t="n">
        <v>45674.51875</v>
      </c>
      <c r="B69" s="24" t="s">
        <v>187</v>
      </c>
      <c r="C69" s="24" t="s">
        <v>188</v>
      </c>
      <c r="D69" s="24" t="s">
        <v>66</v>
      </c>
      <c r="E69" s="24" t="n">
        <v>198</v>
      </c>
      <c r="F69" s="25" t="n">
        <v>7000</v>
      </c>
      <c r="G69" s="24" t="s">
        <v>59</v>
      </c>
      <c r="H69" s="24" t="s">
        <v>80</v>
      </c>
      <c r="I69" s="24" t="s">
        <v>61</v>
      </c>
      <c r="J69" s="26" t="n">
        <f aca="false">IF(A69="","",YEAR(A69))</f>
        <v>2025</v>
      </c>
      <c r="K69" s="26" t="n">
        <f aca="false">IF(A69="","",MONTH(A69))</f>
        <v>1</v>
      </c>
      <c r="L69" s="26" t="n">
        <f aca="false">IF(B69="","",VALUE(LEFT(B69,2)))</f>
        <v>9</v>
      </c>
      <c r="M69" s="26" t="n">
        <f aca="false">IF(A69="","",IF(COUNTIFS($C$2:$C$5001,C69,$J$2:$J$5001,J69,$A$2:$A$5001,"&lt;"&amp;A69)=0,1,0))</f>
        <v>1</v>
      </c>
    </row>
    <row r="70" customFormat="false" ht="15" hidden="false" customHeight="false" outlineLevel="0" collapsed="false">
      <c r="A70" s="23" t="n">
        <v>45674.9451388889</v>
      </c>
      <c r="B70" s="24" t="s">
        <v>189</v>
      </c>
      <c r="C70" s="24" t="s">
        <v>92</v>
      </c>
      <c r="D70" s="24" t="s">
        <v>53</v>
      </c>
      <c r="E70" s="24" t="n">
        <v>167</v>
      </c>
      <c r="F70" s="25" t="n">
        <v>3000</v>
      </c>
      <c r="G70" s="24" t="s">
        <v>59</v>
      </c>
      <c r="H70" s="24" t="s">
        <v>80</v>
      </c>
      <c r="I70" s="24" t="s">
        <v>61</v>
      </c>
      <c r="J70" s="26" t="n">
        <f aca="false">IF(A70="","",YEAR(A70))</f>
        <v>2025</v>
      </c>
      <c r="K70" s="26" t="n">
        <f aca="false">IF(A70="","",MONTH(A70))</f>
        <v>1</v>
      </c>
      <c r="L70" s="26" t="n">
        <f aca="false">IF(B70="","",VALUE(LEFT(B70,2)))</f>
        <v>19</v>
      </c>
      <c r="M70" s="26" t="n">
        <f aca="false">IF(A70="","",IF(COUNTIFS($C$2:$C$5001,C70,$J$2:$J$5001,J70,$A$2:$A$5001,"&lt;"&amp;A70)=0,1,0))</f>
        <v>0</v>
      </c>
    </row>
    <row r="71" customFormat="false" ht="15" hidden="false" customHeight="false" outlineLevel="0" collapsed="false">
      <c r="A71" s="23" t="n">
        <v>45676.4805555556</v>
      </c>
      <c r="B71" s="24" t="s">
        <v>190</v>
      </c>
      <c r="C71" s="24" t="s">
        <v>71</v>
      </c>
      <c r="D71" s="24" t="s">
        <v>53</v>
      </c>
      <c r="E71" s="24" t="n">
        <v>189</v>
      </c>
      <c r="F71" s="25" t="n">
        <v>3500</v>
      </c>
      <c r="G71" s="24" t="s">
        <v>59</v>
      </c>
      <c r="H71" s="24" t="s">
        <v>55</v>
      </c>
      <c r="I71" s="24" t="s">
        <v>61</v>
      </c>
      <c r="J71" s="26" t="n">
        <f aca="false">IF(A71="","",YEAR(A71))</f>
        <v>2025</v>
      </c>
      <c r="K71" s="26" t="n">
        <f aca="false">IF(A71="","",MONTH(A71))</f>
        <v>1</v>
      </c>
      <c r="L71" s="26" t="n">
        <f aca="false">IF(B71="","",VALUE(LEFT(B71,2)))</f>
        <v>8</v>
      </c>
      <c r="M71" s="26" t="n">
        <f aca="false">IF(A71="","",IF(COUNTIFS($C$2:$C$5001,C71,$J$2:$J$5001,J71,$A$2:$A$5001,"&lt;"&amp;A71)=0,1,0))</f>
        <v>0</v>
      </c>
    </row>
    <row r="72" customFormat="false" ht="15" hidden="false" customHeight="false" outlineLevel="0" collapsed="false">
      <c r="A72" s="23" t="n">
        <v>45677.3486111111</v>
      </c>
      <c r="B72" s="24" t="s">
        <v>191</v>
      </c>
      <c r="C72" s="24" t="s">
        <v>192</v>
      </c>
      <c r="D72" s="24" t="s">
        <v>66</v>
      </c>
      <c r="E72" s="24" t="n">
        <v>69</v>
      </c>
      <c r="F72" s="25" t="n">
        <v>0</v>
      </c>
      <c r="G72" s="24" t="s">
        <v>59</v>
      </c>
      <c r="H72" s="24" t="s">
        <v>60</v>
      </c>
      <c r="I72" s="24" t="s">
        <v>56</v>
      </c>
      <c r="J72" s="26" t="n">
        <f aca="false">IF(A72="","",YEAR(A72))</f>
        <v>2025</v>
      </c>
      <c r="K72" s="26" t="n">
        <f aca="false">IF(A72="","",MONTH(A72))</f>
        <v>1</v>
      </c>
      <c r="L72" s="26" t="n">
        <f aca="false">IF(B72="","",VALUE(LEFT(B72,2)))</f>
        <v>7</v>
      </c>
      <c r="M72" s="26" t="n">
        <f aca="false">IF(A72="","",IF(COUNTIFS($C$2:$C$5001,C72,$J$2:$J$5001,J72,$A$2:$A$5001,"&lt;"&amp;A72)=0,1,0))</f>
        <v>1</v>
      </c>
    </row>
    <row r="73" customFormat="false" ht="15" hidden="false" customHeight="false" outlineLevel="0" collapsed="false">
      <c r="A73" s="23" t="n">
        <v>45677.3909722222</v>
      </c>
      <c r="B73" s="24" t="s">
        <v>193</v>
      </c>
      <c r="C73" s="24" t="s">
        <v>170</v>
      </c>
      <c r="D73" s="24" t="s">
        <v>66</v>
      </c>
      <c r="E73" s="24" t="n">
        <v>107</v>
      </c>
      <c r="F73" s="25" t="n">
        <v>4000</v>
      </c>
      <c r="G73" s="24" t="s">
        <v>59</v>
      </c>
      <c r="H73" s="24" t="s">
        <v>80</v>
      </c>
      <c r="I73" s="24" t="s">
        <v>61</v>
      </c>
      <c r="J73" s="26" t="n">
        <f aca="false">IF(A73="","",YEAR(A73))</f>
        <v>2025</v>
      </c>
      <c r="K73" s="26" t="n">
        <f aca="false">IF(A73="","",MONTH(A73))</f>
        <v>1</v>
      </c>
      <c r="L73" s="26" t="n">
        <f aca="false">IF(B73="","",VALUE(LEFT(B73,2)))</f>
        <v>7</v>
      </c>
      <c r="M73" s="26" t="n">
        <f aca="false">IF(A73="","",IF(COUNTIFS($C$2:$C$5001,C73,$J$2:$J$5001,J73,$A$2:$A$5001,"&lt;"&amp;A73)=0,1,0))</f>
        <v>0</v>
      </c>
    </row>
    <row r="74" customFormat="false" ht="15" hidden="false" customHeight="false" outlineLevel="0" collapsed="false">
      <c r="A74" s="23" t="n">
        <v>45677.4520833333</v>
      </c>
      <c r="B74" s="24" t="s">
        <v>70</v>
      </c>
      <c r="C74" s="24" t="s">
        <v>194</v>
      </c>
      <c r="D74" s="24" t="s">
        <v>53</v>
      </c>
      <c r="E74" s="24" t="n">
        <v>150</v>
      </c>
      <c r="F74" s="25" t="n">
        <v>2500</v>
      </c>
      <c r="G74" s="24" t="s">
        <v>59</v>
      </c>
      <c r="H74" s="24" t="s">
        <v>80</v>
      </c>
      <c r="I74" s="24" t="s">
        <v>61</v>
      </c>
      <c r="J74" s="26" t="n">
        <f aca="false">IF(A74="","",YEAR(A74))</f>
        <v>2025</v>
      </c>
      <c r="K74" s="26" t="n">
        <f aca="false">IF(A74="","",MONTH(A74))</f>
        <v>1</v>
      </c>
      <c r="L74" s="26" t="n">
        <f aca="false">IF(B74="","",VALUE(LEFT(B74,2)))</f>
        <v>8</v>
      </c>
      <c r="M74" s="26" t="n">
        <f aca="false">IF(A74="","",IF(COUNTIFS($C$2:$C$5001,C74,$J$2:$J$5001,J74,$A$2:$A$5001,"&lt;"&amp;A74)=0,1,0))</f>
        <v>1</v>
      </c>
    </row>
    <row r="75" customFormat="false" ht="15" hidden="false" customHeight="false" outlineLevel="0" collapsed="false">
      <c r="A75" s="23" t="n">
        <v>45677.4951388889</v>
      </c>
      <c r="B75" s="24" t="s">
        <v>195</v>
      </c>
      <c r="C75" s="24" t="s">
        <v>179</v>
      </c>
      <c r="D75" s="24" t="s">
        <v>53</v>
      </c>
      <c r="E75" s="24" t="n">
        <v>133</v>
      </c>
      <c r="F75" s="25" t="n">
        <v>2500</v>
      </c>
      <c r="G75" s="24" t="s">
        <v>59</v>
      </c>
      <c r="H75" s="24" t="s">
        <v>80</v>
      </c>
      <c r="I75" s="24" t="s">
        <v>61</v>
      </c>
      <c r="J75" s="26" t="n">
        <f aca="false">IF(A75="","",YEAR(A75))</f>
        <v>2025</v>
      </c>
      <c r="K75" s="26" t="n">
        <f aca="false">IF(A75="","",MONTH(A75))</f>
        <v>1</v>
      </c>
      <c r="L75" s="26" t="n">
        <f aca="false">IF(B75="","",VALUE(LEFT(B75,2)))</f>
        <v>9</v>
      </c>
      <c r="M75" s="26" t="n">
        <f aca="false">IF(A75="","",IF(COUNTIFS($C$2:$C$5001,C75,$J$2:$J$5001,J75,$A$2:$A$5001,"&lt;"&amp;A75)=0,1,0))</f>
        <v>0</v>
      </c>
    </row>
    <row r="76" customFormat="false" ht="15" hidden="false" customHeight="false" outlineLevel="0" collapsed="false">
      <c r="A76" s="23" t="n">
        <v>45677.7097222222</v>
      </c>
      <c r="B76" s="24" t="s">
        <v>196</v>
      </c>
      <c r="C76" s="24" t="s">
        <v>197</v>
      </c>
      <c r="D76" s="24" t="s">
        <v>66</v>
      </c>
      <c r="E76" s="24" t="n">
        <v>159</v>
      </c>
      <c r="F76" s="25" t="n">
        <v>0</v>
      </c>
      <c r="G76" s="24" t="s">
        <v>59</v>
      </c>
      <c r="H76" s="24" t="s">
        <v>60</v>
      </c>
      <c r="I76" s="24" t="s">
        <v>56</v>
      </c>
      <c r="J76" s="26" t="n">
        <f aca="false">IF(A76="","",YEAR(A76))</f>
        <v>2025</v>
      </c>
      <c r="K76" s="26" t="n">
        <f aca="false">IF(A76="","",MONTH(A76))</f>
        <v>1</v>
      </c>
      <c r="L76" s="26" t="n">
        <f aca="false">IF(B76="","",VALUE(LEFT(B76,2)))</f>
        <v>14</v>
      </c>
      <c r="M76" s="26" t="n">
        <f aca="false">IF(A76="","",IF(COUNTIFS($C$2:$C$5001,C76,$J$2:$J$5001,J76,$A$2:$A$5001,"&lt;"&amp;A76)=0,1,0))</f>
        <v>1</v>
      </c>
    </row>
    <row r="77" customFormat="false" ht="15" hidden="false" customHeight="false" outlineLevel="0" collapsed="false">
      <c r="A77" s="23" t="n">
        <v>45677.9090277778</v>
      </c>
      <c r="B77" s="24" t="s">
        <v>198</v>
      </c>
      <c r="C77" s="24" t="s">
        <v>199</v>
      </c>
      <c r="D77" s="24" t="s">
        <v>66</v>
      </c>
      <c r="E77" s="24" t="n">
        <v>140</v>
      </c>
      <c r="F77" s="25" t="n">
        <v>5000</v>
      </c>
      <c r="G77" s="24" t="s">
        <v>79</v>
      </c>
      <c r="H77" s="24" t="s">
        <v>60</v>
      </c>
      <c r="I77" s="24" t="s">
        <v>61</v>
      </c>
      <c r="J77" s="26" t="n">
        <f aca="false">IF(A77="","",YEAR(A77))</f>
        <v>2025</v>
      </c>
      <c r="K77" s="26" t="n">
        <f aca="false">IF(A77="","",MONTH(A77))</f>
        <v>1</v>
      </c>
      <c r="L77" s="26" t="n">
        <f aca="false">IF(B77="","",VALUE(LEFT(B77,2)))</f>
        <v>19</v>
      </c>
      <c r="M77" s="26" t="n">
        <f aca="false">IF(A77="","",IF(COUNTIFS($C$2:$C$5001,C77,$J$2:$J$5001,J77,$A$2:$A$5001,"&lt;"&amp;A77)=0,1,0))</f>
        <v>1</v>
      </c>
    </row>
    <row r="78" customFormat="false" ht="15" hidden="false" customHeight="false" outlineLevel="0" collapsed="false">
      <c r="A78" s="23" t="n">
        <v>45677.9222222222</v>
      </c>
      <c r="B78" s="24" t="s">
        <v>200</v>
      </c>
      <c r="C78" s="24" t="s">
        <v>201</v>
      </c>
      <c r="D78" s="24" t="s">
        <v>66</v>
      </c>
      <c r="E78" s="24" t="n">
        <v>282</v>
      </c>
      <c r="F78" s="25" t="n">
        <v>10000</v>
      </c>
      <c r="G78" s="24" t="s">
        <v>69</v>
      </c>
      <c r="H78" s="24" t="s">
        <v>80</v>
      </c>
      <c r="I78" s="24" t="s">
        <v>61</v>
      </c>
      <c r="J78" s="26" t="n">
        <f aca="false">IF(A78="","",YEAR(A78))</f>
        <v>2025</v>
      </c>
      <c r="K78" s="26" t="n">
        <f aca="false">IF(A78="","",MONTH(A78))</f>
        <v>1</v>
      </c>
      <c r="L78" s="26" t="n">
        <f aca="false">IF(B78="","",VALUE(LEFT(B78,2)))</f>
        <v>17</v>
      </c>
      <c r="M78" s="26" t="n">
        <f aca="false">IF(A78="","",IF(COUNTIFS($C$2:$C$5001,C78,$J$2:$J$5001,J78,$A$2:$A$5001,"&lt;"&amp;A78)=0,1,0))</f>
        <v>1</v>
      </c>
    </row>
    <row r="79" customFormat="false" ht="15" hidden="false" customHeight="false" outlineLevel="0" collapsed="false">
      <c r="A79" s="23" t="n">
        <v>45678.5222222222</v>
      </c>
      <c r="B79" s="24" t="s">
        <v>202</v>
      </c>
      <c r="C79" s="24" t="s">
        <v>65</v>
      </c>
      <c r="D79" s="24" t="s">
        <v>66</v>
      </c>
      <c r="E79" s="24" t="n">
        <v>302</v>
      </c>
      <c r="F79" s="25" t="n">
        <v>11000</v>
      </c>
      <c r="G79" s="24" t="s">
        <v>83</v>
      </c>
      <c r="H79" s="24" t="s">
        <v>60</v>
      </c>
      <c r="I79" s="24" t="s">
        <v>61</v>
      </c>
      <c r="J79" s="26" t="n">
        <f aca="false">IF(A79="","",YEAR(A79))</f>
        <v>2025</v>
      </c>
      <c r="K79" s="26" t="n">
        <f aca="false">IF(A79="","",MONTH(A79))</f>
        <v>1</v>
      </c>
      <c r="L79" s="26" t="n">
        <f aca="false">IF(B79="","",VALUE(LEFT(B79,2)))</f>
        <v>7</v>
      </c>
      <c r="M79" s="26" t="n">
        <f aca="false">IF(A79="","",IF(COUNTIFS($C$2:$C$5001,C79,$J$2:$J$5001,J79,$A$2:$A$5001,"&lt;"&amp;A79)=0,1,0))</f>
        <v>0</v>
      </c>
    </row>
    <row r="80" customFormat="false" ht="15" hidden="false" customHeight="false" outlineLevel="0" collapsed="false">
      <c r="A80" s="23" t="n">
        <v>45678.6111111111</v>
      </c>
      <c r="B80" s="24" t="s">
        <v>132</v>
      </c>
      <c r="C80" s="24" t="s">
        <v>203</v>
      </c>
      <c r="D80" s="24" t="s">
        <v>66</v>
      </c>
      <c r="E80" s="24" t="n">
        <v>395</v>
      </c>
      <c r="F80" s="25" t="n">
        <v>14000</v>
      </c>
      <c r="G80" s="24" t="s">
        <v>54</v>
      </c>
      <c r="H80" s="24" t="s">
        <v>55</v>
      </c>
      <c r="I80" s="24" t="s">
        <v>61</v>
      </c>
      <c r="J80" s="26" t="n">
        <f aca="false">IF(A80="","",YEAR(A80))</f>
        <v>2025</v>
      </c>
      <c r="K80" s="26" t="n">
        <f aca="false">IF(A80="","",MONTH(A80))</f>
        <v>1</v>
      </c>
      <c r="L80" s="26" t="n">
        <f aca="false">IF(B80="","",VALUE(LEFT(B80,2)))</f>
        <v>8</v>
      </c>
      <c r="M80" s="26" t="n">
        <f aca="false">IF(A80="","",IF(COUNTIFS($C$2:$C$5001,C80,$J$2:$J$5001,J80,$A$2:$A$5001,"&lt;"&amp;A80)=0,1,0))</f>
        <v>1</v>
      </c>
    </row>
    <row r="81" customFormat="false" ht="15" hidden="false" customHeight="false" outlineLevel="0" collapsed="false">
      <c r="A81" s="23" t="n">
        <v>45678.6118055556</v>
      </c>
      <c r="B81" s="24" t="s">
        <v>204</v>
      </c>
      <c r="C81" s="24" t="s">
        <v>105</v>
      </c>
      <c r="D81" s="24" t="s">
        <v>66</v>
      </c>
      <c r="E81" s="24" t="n">
        <v>71</v>
      </c>
      <c r="F81" s="25" t="n">
        <v>3000</v>
      </c>
      <c r="G81" s="24" t="s">
        <v>59</v>
      </c>
      <c r="H81" s="24" t="s">
        <v>60</v>
      </c>
      <c r="I81" s="24" t="s">
        <v>61</v>
      </c>
      <c r="J81" s="26" t="n">
        <f aca="false">IF(A81="","",YEAR(A81))</f>
        <v>2025</v>
      </c>
      <c r="K81" s="26" t="n">
        <f aca="false">IF(A81="","",MONTH(A81))</f>
        <v>1</v>
      </c>
      <c r="L81" s="26" t="n">
        <f aca="false">IF(B81="","",VALUE(LEFT(B81,2)))</f>
        <v>13</v>
      </c>
      <c r="M81" s="26" t="n">
        <f aca="false">IF(A81="","",IF(COUNTIFS($C$2:$C$5001,C81,$J$2:$J$5001,J81,$A$2:$A$5001,"&lt;"&amp;A81)=0,1,0))</f>
        <v>0</v>
      </c>
    </row>
    <row r="82" customFormat="false" ht="15" hidden="false" customHeight="false" outlineLevel="0" collapsed="false">
      <c r="A82" s="23" t="n">
        <v>45678.6458333333</v>
      </c>
      <c r="B82" s="24" t="s">
        <v>205</v>
      </c>
      <c r="C82" s="24" t="s">
        <v>102</v>
      </c>
      <c r="D82" s="24" t="s">
        <v>66</v>
      </c>
      <c r="E82" s="24" t="n">
        <v>68</v>
      </c>
      <c r="F82" s="25" t="n">
        <v>3000</v>
      </c>
      <c r="G82" s="24" t="s">
        <v>59</v>
      </c>
      <c r="H82" s="24" t="s">
        <v>55</v>
      </c>
      <c r="I82" s="24" t="s">
        <v>61</v>
      </c>
      <c r="J82" s="26" t="n">
        <f aca="false">IF(A82="","",YEAR(A82))</f>
        <v>2025</v>
      </c>
      <c r="K82" s="26" t="n">
        <f aca="false">IF(A82="","",MONTH(A82))</f>
        <v>1</v>
      </c>
      <c r="L82" s="26" t="n">
        <f aca="false">IF(B82="","",VALUE(LEFT(B82,2)))</f>
        <v>14</v>
      </c>
      <c r="M82" s="26" t="n">
        <f aca="false">IF(A82="","",IF(COUNTIFS($C$2:$C$5001,C82,$J$2:$J$5001,J82,$A$2:$A$5001,"&lt;"&amp;A82)=0,1,0))</f>
        <v>0</v>
      </c>
    </row>
    <row r="83" customFormat="false" ht="15" hidden="false" customHeight="false" outlineLevel="0" collapsed="false">
      <c r="A83" s="23" t="n">
        <v>45678.7638888889</v>
      </c>
      <c r="B83" s="24" t="s">
        <v>206</v>
      </c>
      <c r="C83" s="24" t="s">
        <v>123</v>
      </c>
      <c r="D83" s="24" t="s">
        <v>66</v>
      </c>
      <c r="E83" s="24" t="n">
        <v>355</v>
      </c>
      <c r="F83" s="25" t="n">
        <v>12000</v>
      </c>
      <c r="G83" s="24" t="s">
        <v>59</v>
      </c>
      <c r="H83" s="24" t="s">
        <v>80</v>
      </c>
      <c r="I83" s="24" t="s">
        <v>61</v>
      </c>
      <c r="J83" s="26" t="n">
        <f aca="false">IF(A83="","",YEAR(A83))</f>
        <v>2025</v>
      </c>
      <c r="K83" s="26" t="n">
        <f aca="false">IF(A83="","",MONTH(A83))</f>
        <v>1</v>
      </c>
      <c r="L83" s="26" t="n">
        <f aca="false">IF(B83="","",VALUE(LEFT(B83,2)))</f>
        <v>12</v>
      </c>
      <c r="M83" s="26" t="n">
        <f aca="false">IF(A83="","",IF(COUNTIFS($C$2:$C$5001,C83,$J$2:$J$5001,J83,$A$2:$A$5001,"&lt;"&amp;A83)=0,1,0))</f>
        <v>0</v>
      </c>
    </row>
    <row r="84" customFormat="false" ht="15" hidden="false" customHeight="false" outlineLevel="0" collapsed="false">
      <c r="A84" s="23" t="n">
        <v>45678.8944444444</v>
      </c>
      <c r="B84" s="24" t="s">
        <v>207</v>
      </c>
      <c r="C84" s="24" t="s">
        <v>182</v>
      </c>
      <c r="D84" s="24" t="s">
        <v>53</v>
      </c>
      <c r="E84" s="24" t="n">
        <v>350</v>
      </c>
      <c r="F84" s="25" t="n">
        <v>6000</v>
      </c>
      <c r="G84" s="24" t="s">
        <v>59</v>
      </c>
      <c r="H84" s="24" t="s">
        <v>80</v>
      </c>
      <c r="I84" s="24" t="s">
        <v>61</v>
      </c>
      <c r="J84" s="26" t="n">
        <f aca="false">IF(A84="","",YEAR(A84))</f>
        <v>2025</v>
      </c>
      <c r="K84" s="26" t="n">
        <f aca="false">IF(A84="","",MONTH(A84))</f>
        <v>1</v>
      </c>
      <c r="L84" s="26" t="n">
        <f aca="false">IF(B84="","",VALUE(LEFT(B84,2)))</f>
        <v>15</v>
      </c>
      <c r="M84" s="26" t="n">
        <f aca="false">IF(A84="","",IF(COUNTIFS($C$2:$C$5001,C84,$J$2:$J$5001,J84,$A$2:$A$5001,"&lt;"&amp;A84)=0,1,0))</f>
        <v>0</v>
      </c>
    </row>
    <row r="85" customFormat="false" ht="15" hidden="false" customHeight="false" outlineLevel="0" collapsed="false">
      <c r="A85" s="23" t="n">
        <v>45679.5833333333</v>
      </c>
      <c r="B85" s="24" t="s">
        <v>208</v>
      </c>
      <c r="C85" s="24" t="s">
        <v>118</v>
      </c>
      <c r="D85" s="24" t="s">
        <v>66</v>
      </c>
      <c r="E85" s="24" t="n">
        <v>231</v>
      </c>
      <c r="F85" s="25" t="n">
        <v>8000</v>
      </c>
      <c r="G85" s="24" t="s">
        <v>59</v>
      </c>
      <c r="H85" s="24" t="s">
        <v>55</v>
      </c>
      <c r="I85" s="24" t="s">
        <v>61</v>
      </c>
      <c r="J85" s="26" t="n">
        <f aca="false">IF(A85="","",YEAR(A85))</f>
        <v>2025</v>
      </c>
      <c r="K85" s="26" t="n">
        <f aca="false">IF(A85="","",MONTH(A85))</f>
        <v>1</v>
      </c>
      <c r="L85" s="26" t="n">
        <f aca="false">IF(B85="","",VALUE(LEFT(B85,2)))</f>
        <v>10</v>
      </c>
      <c r="M85" s="26" t="n">
        <f aca="false">IF(A85="","",IF(COUNTIFS($C$2:$C$5001,C85,$J$2:$J$5001,J85,$A$2:$A$5001,"&lt;"&amp;A85)=0,1,0))</f>
        <v>0</v>
      </c>
    </row>
    <row r="86" customFormat="false" ht="15" hidden="false" customHeight="false" outlineLevel="0" collapsed="false">
      <c r="A86" s="23" t="n">
        <v>45679.8291666667</v>
      </c>
      <c r="B86" s="24" t="s">
        <v>209</v>
      </c>
      <c r="C86" s="24" t="s">
        <v>52</v>
      </c>
      <c r="D86" s="24" t="s">
        <v>53</v>
      </c>
      <c r="E86" s="24" t="n">
        <v>186</v>
      </c>
      <c r="F86" s="25" t="n">
        <v>3500</v>
      </c>
      <c r="G86" s="24" t="s">
        <v>69</v>
      </c>
      <c r="H86" s="24" t="s">
        <v>80</v>
      </c>
      <c r="I86" s="24" t="s">
        <v>61</v>
      </c>
      <c r="J86" s="26" t="n">
        <f aca="false">IF(A86="","",YEAR(A86))</f>
        <v>2025</v>
      </c>
      <c r="K86" s="26" t="n">
        <f aca="false">IF(A86="","",MONTH(A86))</f>
        <v>1</v>
      </c>
      <c r="L86" s="26" t="n">
        <f aca="false">IF(B86="","",VALUE(LEFT(B86,2)))</f>
        <v>16</v>
      </c>
      <c r="M86" s="26" t="n">
        <f aca="false">IF(A86="","",IF(COUNTIFS($C$2:$C$5001,C86,$J$2:$J$5001,J86,$A$2:$A$5001,"&lt;"&amp;A86)=0,1,0))</f>
        <v>0</v>
      </c>
    </row>
    <row r="87" customFormat="false" ht="15" hidden="false" customHeight="false" outlineLevel="0" collapsed="false">
      <c r="A87" s="23" t="n">
        <v>45679.9375</v>
      </c>
      <c r="B87" s="24" t="s">
        <v>210</v>
      </c>
      <c r="C87" s="24" t="s">
        <v>92</v>
      </c>
      <c r="D87" s="24" t="s">
        <v>127</v>
      </c>
      <c r="E87" s="24" t="n">
        <v>287</v>
      </c>
      <c r="F87" s="25" t="n">
        <v>17500</v>
      </c>
      <c r="G87" s="24" t="s">
        <v>59</v>
      </c>
      <c r="H87" s="24" t="s">
        <v>55</v>
      </c>
      <c r="I87" s="24" t="s">
        <v>61</v>
      </c>
      <c r="J87" s="26" t="n">
        <f aca="false">IF(A87="","",YEAR(A87))</f>
        <v>2025</v>
      </c>
      <c r="K87" s="26" t="n">
        <f aca="false">IF(A87="","",MONTH(A87))</f>
        <v>1</v>
      </c>
      <c r="L87" s="26" t="n">
        <f aca="false">IF(B87="","",VALUE(LEFT(B87,2)))</f>
        <v>17</v>
      </c>
      <c r="M87" s="26" t="n">
        <f aca="false">IF(A87="","",IF(COUNTIFS($C$2:$C$5001,C87,$J$2:$J$5001,J87,$A$2:$A$5001,"&lt;"&amp;A87)=0,1,0))</f>
        <v>0</v>
      </c>
    </row>
    <row r="88" customFormat="false" ht="15" hidden="false" customHeight="false" outlineLevel="0" collapsed="false">
      <c r="A88" s="23" t="n">
        <v>45680.2791666667</v>
      </c>
      <c r="B88" s="24" t="s">
        <v>211</v>
      </c>
      <c r="C88" s="24" t="s">
        <v>120</v>
      </c>
      <c r="D88" s="24" t="s">
        <v>66</v>
      </c>
      <c r="E88" s="24" t="n">
        <v>41</v>
      </c>
      <c r="F88" s="25" t="n">
        <v>2000</v>
      </c>
      <c r="G88" s="24" t="s">
        <v>69</v>
      </c>
      <c r="H88" s="24" t="s">
        <v>80</v>
      </c>
      <c r="I88" s="24" t="s">
        <v>61</v>
      </c>
      <c r="J88" s="26" t="n">
        <f aca="false">IF(A88="","",YEAR(A88))</f>
        <v>2025</v>
      </c>
      <c r="K88" s="26" t="n">
        <f aca="false">IF(A88="","",MONTH(A88))</f>
        <v>1</v>
      </c>
      <c r="L88" s="26" t="n">
        <f aca="false">IF(B88="","",VALUE(LEFT(B88,2)))</f>
        <v>6</v>
      </c>
      <c r="M88" s="26" t="n">
        <f aca="false">IF(A88="","",IF(COUNTIFS($C$2:$C$5001,C88,$J$2:$J$5001,J88,$A$2:$A$5001,"&lt;"&amp;A88)=0,1,0))</f>
        <v>0</v>
      </c>
    </row>
    <row r="89" customFormat="false" ht="15" hidden="false" customHeight="false" outlineLevel="0" collapsed="false">
      <c r="A89" s="23" t="n">
        <v>45680.3104166667</v>
      </c>
      <c r="B89" s="24" t="s">
        <v>212</v>
      </c>
      <c r="C89" s="24" t="s">
        <v>213</v>
      </c>
      <c r="D89" s="24" t="s">
        <v>66</v>
      </c>
      <c r="E89" s="24" t="n">
        <v>33</v>
      </c>
      <c r="F89" s="25" t="n">
        <v>2000</v>
      </c>
      <c r="G89" s="24" t="s">
        <v>69</v>
      </c>
      <c r="H89" s="24" t="s">
        <v>60</v>
      </c>
      <c r="I89" s="24" t="s">
        <v>61</v>
      </c>
      <c r="J89" s="26" t="n">
        <f aca="false">IF(A89="","",YEAR(A89))</f>
        <v>2025</v>
      </c>
      <c r="K89" s="26" t="n">
        <f aca="false">IF(A89="","",MONTH(A89))</f>
        <v>1</v>
      </c>
      <c r="L89" s="26" t="n">
        <f aca="false">IF(B89="","",VALUE(LEFT(B89,2)))</f>
        <v>6</v>
      </c>
      <c r="M89" s="26" t="n">
        <f aca="false">IF(A89="","",IF(COUNTIFS($C$2:$C$5001,C89,$J$2:$J$5001,J89,$A$2:$A$5001,"&lt;"&amp;A89)=0,1,0))</f>
        <v>1</v>
      </c>
    </row>
    <row r="90" customFormat="false" ht="15" hidden="false" customHeight="false" outlineLevel="0" collapsed="false">
      <c r="A90" s="23" t="n">
        <v>45680.5486111111</v>
      </c>
      <c r="B90" s="24" t="s">
        <v>214</v>
      </c>
      <c r="C90" s="24" t="s">
        <v>78</v>
      </c>
      <c r="D90" s="24" t="s">
        <v>53</v>
      </c>
      <c r="E90" s="24" t="n">
        <v>294</v>
      </c>
      <c r="F90" s="25" t="n">
        <v>5000</v>
      </c>
      <c r="G90" s="24" t="s">
        <v>59</v>
      </c>
      <c r="H90" s="24" t="s">
        <v>60</v>
      </c>
      <c r="I90" s="24" t="s">
        <v>61</v>
      </c>
      <c r="J90" s="26" t="n">
        <f aca="false">IF(A90="","",YEAR(A90))</f>
        <v>2025</v>
      </c>
      <c r="K90" s="26" t="n">
        <f aca="false">IF(A90="","",MONTH(A90))</f>
        <v>1</v>
      </c>
      <c r="L90" s="26" t="n">
        <f aca="false">IF(B90="","",VALUE(LEFT(B90,2)))</f>
        <v>8</v>
      </c>
      <c r="M90" s="26" t="n">
        <f aca="false">IF(A90="","",IF(COUNTIFS($C$2:$C$5001,C90,$J$2:$J$5001,J90,$A$2:$A$5001,"&lt;"&amp;A90)=0,1,0))</f>
        <v>0</v>
      </c>
    </row>
    <row r="91" customFormat="false" ht="15" hidden="false" customHeight="false" outlineLevel="0" collapsed="false">
      <c r="A91" s="23" t="n">
        <v>45680.5520833333</v>
      </c>
      <c r="B91" s="24" t="s">
        <v>215</v>
      </c>
      <c r="C91" s="24" t="s">
        <v>110</v>
      </c>
      <c r="D91" s="24" t="s">
        <v>66</v>
      </c>
      <c r="E91" s="24" t="n">
        <v>104</v>
      </c>
      <c r="F91" s="25" t="n">
        <v>4000</v>
      </c>
      <c r="G91" s="24" t="s">
        <v>69</v>
      </c>
      <c r="H91" s="24" t="s">
        <v>80</v>
      </c>
      <c r="I91" s="24" t="s">
        <v>61</v>
      </c>
      <c r="J91" s="26" t="n">
        <f aca="false">IF(A91="","",YEAR(A91))</f>
        <v>2025</v>
      </c>
      <c r="K91" s="26" t="n">
        <f aca="false">IF(A91="","",MONTH(A91))</f>
        <v>1</v>
      </c>
      <c r="L91" s="26" t="n">
        <f aca="false">IF(B91="","",VALUE(LEFT(B91,2)))</f>
        <v>11</v>
      </c>
      <c r="M91" s="26" t="n">
        <f aca="false">IF(A91="","",IF(COUNTIFS($C$2:$C$5001,C91,$J$2:$J$5001,J91,$A$2:$A$5001,"&lt;"&amp;A91)=0,1,0))</f>
        <v>0</v>
      </c>
    </row>
    <row r="92" customFormat="false" ht="15" hidden="false" customHeight="false" outlineLevel="0" collapsed="false">
      <c r="A92" s="23" t="n">
        <v>45680.9805555556</v>
      </c>
      <c r="B92" s="24" t="s">
        <v>216</v>
      </c>
      <c r="C92" s="24" t="s">
        <v>203</v>
      </c>
      <c r="D92" s="24" t="s">
        <v>66</v>
      </c>
      <c r="E92" s="24" t="n">
        <v>369</v>
      </c>
      <c r="F92" s="25" t="n">
        <v>13000</v>
      </c>
      <c r="G92" s="24" t="s">
        <v>59</v>
      </c>
      <c r="H92" s="24" t="s">
        <v>60</v>
      </c>
      <c r="I92" s="24" t="s">
        <v>61</v>
      </c>
      <c r="J92" s="26" t="n">
        <f aca="false">IF(A92="","",YEAR(A92))</f>
        <v>2025</v>
      </c>
      <c r="K92" s="26" t="n">
        <f aca="false">IF(A92="","",MONTH(A92))</f>
        <v>1</v>
      </c>
      <c r="L92" s="26" t="n">
        <f aca="false">IF(B92="","",VALUE(LEFT(B92,2)))</f>
        <v>17</v>
      </c>
      <c r="M92" s="26" t="n">
        <f aca="false">IF(A92="","",IF(COUNTIFS($C$2:$C$5001,C92,$J$2:$J$5001,J92,$A$2:$A$5001,"&lt;"&amp;A92)=0,1,0))</f>
        <v>0</v>
      </c>
    </row>
    <row r="93" customFormat="false" ht="15" hidden="false" customHeight="false" outlineLevel="0" collapsed="false">
      <c r="A93" s="23" t="n">
        <v>45681.0048611111</v>
      </c>
      <c r="B93" s="24" t="s">
        <v>217</v>
      </c>
      <c r="C93" s="24" t="s">
        <v>218</v>
      </c>
      <c r="D93" s="24" t="s">
        <v>66</v>
      </c>
      <c r="E93" s="24" t="n">
        <v>270</v>
      </c>
      <c r="F93" s="25" t="n">
        <v>9000</v>
      </c>
      <c r="G93" s="24" t="s">
        <v>79</v>
      </c>
      <c r="H93" s="24" t="s">
        <v>60</v>
      </c>
      <c r="I93" s="24" t="s">
        <v>61</v>
      </c>
      <c r="J93" s="26" t="n">
        <f aca="false">IF(A93="","",YEAR(A93))</f>
        <v>2025</v>
      </c>
      <c r="K93" s="26" t="n">
        <f aca="false">IF(A93="","",MONTH(A93))</f>
        <v>1</v>
      </c>
      <c r="L93" s="26" t="n">
        <f aca="false">IF(B93="","",VALUE(LEFT(B93,2)))</f>
        <v>19</v>
      </c>
      <c r="M93" s="26" t="n">
        <f aca="false">IF(A93="","",IF(COUNTIFS($C$2:$C$5001,C93,$J$2:$J$5001,J93,$A$2:$A$5001,"&lt;"&amp;A93)=0,1,0))</f>
        <v>1</v>
      </c>
    </row>
    <row r="94" customFormat="false" ht="15" hidden="false" customHeight="false" outlineLevel="0" collapsed="false">
      <c r="A94" s="23" t="n">
        <v>45681.8430555556</v>
      </c>
      <c r="B94" s="24" t="s">
        <v>219</v>
      </c>
      <c r="C94" s="24" t="s">
        <v>220</v>
      </c>
      <c r="D94" s="24" t="s">
        <v>53</v>
      </c>
      <c r="E94" s="24" t="n">
        <v>58</v>
      </c>
      <c r="F94" s="25" t="n">
        <v>1000</v>
      </c>
      <c r="G94" s="24" t="s">
        <v>69</v>
      </c>
      <c r="H94" s="24" t="s">
        <v>60</v>
      </c>
      <c r="I94" s="24" t="s">
        <v>61</v>
      </c>
      <c r="J94" s="26" t="n">
        <f aca="false">IF(A94="","",YEAR(A94))</f>
        <v>2025</v>
      </c>
      <c r="K94" s="26" t="n">
        <f aca="false">IF(A94="","",MONTH(A94))</f>
        <v>1</v>
      </c>
      <c r="L94" s="26" t="n">
        <f aca="false">IF(B94="","",VALUE(LEFT(B94,2)))</f>
        <v>19</v>
      </c>
      <c r="M94" s="26" t="n">
        <f aca="false">IF(A94="","",IF(COUNTIFS($C$2:$C$5001,C94,$J$2:$J$5001,J94,$A$2:$A$5001,"&lt;"&amp;A94)=0,1,0))</f>
        <v>1</v>
      </c>
    </row>
    <row r="95" customFormat="false" ht="15" hidden="false" customHeight="false" outlineLevel="0" collapsed="false">
      <c r="A95" s="23" t="n">
        <v>45681.85</v>
      </c>
      <c r="B95" s="24" t="s">
        <v>221</v>
      </c>
      <c r="C95" s="24" t="s">
        <v>222</v>
      </c>
      <c r="D95" s="24" t="s">
        <v>127</v>
      </c>
      <c r="E95" s="24" t="n">
        <v>211</v>
      </c>
      <c r="F95" s="25" t="n">
        <v>14000</v>
      </c>
      <c r="G95" s="24" t="s">
        <v>59</v>
      </c>
      <c r="H95" s="24" t="s">
        <v>60</v>
      </c>
      <c r="I95" s="24" t="s">
        <v>61</v>
      </c>
      <c r="J95" s="26" t="n">
        <f aca="false">IF(A95="","",YEAR(A95))</f>
        <v>2025</v>
      </c>
      <c r="K95" s="26" t="n">
        <f aca="false">IF(A95="","",MONTH(A95))</f>
        <v>1</v>
      </c>
      <c r="L95" s="26" t="n">
        <f aca="false">IF(B95="","",VALUE(LEFT(B95,2)))</f>
        <v>16</v>
      </c>
      <c r="M95" s="26" t="n">
        <f aca="false">IF(A95="","",IF(COUNTIFS($C$2:$C$5001,C95,$J$2:$J$5001,J95,$A$2:$A$5001,"&lt;"&amp;A95)=0,1,0))</f>
        <v>1</v>
      </c>
    </row>
    <row r="96" customFormat="false" ht="15" hidden="false" customHeight="false" outlineLevel="0" collapsed="false">
      <c r="A96" s="23" t="n">
        <v>45681.9861111111</v>
      </c>
      <c r="B96" s="24" t="s">
        <v>223</v>
      </c>
      <c r="C96" s="24" t="s">
        <v>224</v>
      </c>
      <c r="D96" s="24" t="s">
        <v>66</v>
      </c>
      <c r="E96" s="24" t="n">
        <v>204</v>
      </c>
      <c r="F96" s="25" t="n">
        <v>5950</v>
      </c>
      <c r="G96" s="24" t="s">
        <v>69</v>
      </c>
      <c r="H96" s="24" t="s">
        <v>80</v>
      </c>
      <c r="I96" s="24" t="s">
        <v>113</v>
      </c>
      <c r="J96" s="26" t="n">
        <f aca="false">IF(A96="","",YEAR(A96))</f>
        <v>2025</v>
      </c>
      <c r="K96" s="26" t="n">
        <f aca="false">IF(A96="","",MONTH(A96))</f>
        <v>1</v>
      </c>
      <c r="L96" s="26" t="n">
        <f aca="false">IF(B96="","",VALUE(LEFT(B96,2)))</f>
        <v>20</v>
      </c>
      <c r="M96" s="26" t="n">
        <f aca="false">IF(A96="","",IF(COUNTIFS($C$2:$C$5001,C96,$J$2:$J$5001,J96,$A$2:$A$5001,"&lt;"&amp;A96)=0,1,0))</f>
        <v>1</v>
      </c>
    </row>
    <row r="97" customFormat="false" ht="15" hidden="false" customHeight="false" outlineLevel="0" collapsed="false">
      <c r="A97" s="23" t="n">
        <v>45682.5680555556</v>
      </c>
      <c r="B97" s="24" t="s">
        <v>225</v>
      </c>
      <c r="C97" s="24" t="s">
        <v>82</v>
      </c>
      <c r="D97" s="24" t="s">
        <v>66</v>
      </c>
      <c r="E97" s="24" t="n">
        <v>44</v>
      </c>
      <c r="F97" s="25" t="n">
        <v>2000</v>
      </c>
      <c r="G97" s="24" t="s">
        <v>59</v>
      </c>
      <c r="H97" s="24" t="s">
        <v>60</v>
      </c>
      <c r="I97" s="24" t="s">
        <v>61</v>
      </c>
      <c r="J97" s="26" t="n">
        <f aca="false">IF(A97="","",YEAR(A97))</f>
        <v>2025</v>
      </c>
      <c r="K97" s="26" t="n">
        <f aca="false">IF(A97="","",MONTH(A97))</f>
        <v>1</v>
      </c>
      <c r="L97" s="26" t="n">
        <f aca="false">IF(B97="","",VALUE(LEFT(B97,2)))</f>
        <v>12</v>
      </c>
      <c r="M97" s="26" t="n">
        <f aca="false">IF(A97="","",IF(COUNTIFS($C$2:$C$5001,C97,$J$2:$J$5001,J97,$A$2:$A$5001,"&lt;"&amp;A97)=0,1,0))</f>
        <v>0</v>
      </c>
    </row>
    <row r="98" customFormat="false" ht="15" hidden="false" customHeight="false" outlineLevel="0" collapsed="false">
      <c r="A98" s="23" t="n">
        <v>45683.3708333333</v>
      </c>
      <c r="B98" s="24" t="s">
        <v>226</v>
      </c>
      <c r="C98" s="24" t="s">
        <v>227</v>
      </c>
      <c r="D98" s="24" t="s">
        <v>127</v>
      </c>
      <c r="E98" s="24" t="n">
        <v>53</v>
      </c>
      <c r="F98" s="25" t="n">
        <v>3500</v>
      </c>
      <c r="G98" s="24" t="s">
        <v>59</v>
      </c>
      <c r="H98" s="24" t="s">
        <v>60</v>
      </c>
      <c r="I98" s="24" t="s">
        <v>61</v>
      </c>
      <c r="J98" s="26" t="n">
        <f aca="false">IF(A98="","",YEAR(A98))</f>
        <v>2025</v>
      </c>
      <c r="K98" s="26" t="n">
        <f aca="false">IF(A98="","",MONTH(A98))</f>
        <v>1</v>
      </c>
      <c r="L98" s="26" t="n">
        <f aca="false">IF(B98="","",VALUE(LEFT(B98,2)))</f>
        <v>8</v>
      </c>
      <c r="M98" s="26" t="n">
        <f aca="false">IF(A98="","",IF(COUNTIFS($C$2:$C$5001,C98,$J$2:$J$5001,J98,$A$2:$A$5001,"&lt;"&amp;A98)=0,1,0))</f>
        <v>1</v>
      </c>
    </row>
    <row r="99" customFormat="false" ht="15" hidden="false" customHeight="false" outlineLevel="0" collapsed="false">
      <c r="A99" s="23" t="n">
        <v>45683.7916666667</v>
      </c>
      <c r="B99" s="24" t="s">
        <v>228</v>
      </c>
      <c r="C99" s="24" t="s">
        <v>85</v>
      </c>
      <c r="D99" s="24" t="s">
        <v>66</v>
      </c>
      <c r="E99" s="24" t="n">
        <v>413</v>
      </c>
      <c r="F99" s="25" t="n">
        <v>14000</v>
      </c>
      <c r="G99" s="24" t="s">
        <v>69</v>
      </c>
      <c r="H99" s="24" t="s">
        <v>55</v>
      </c>
      <c r="I99" s="24" t="s">
        <v>61</v>
      </c>
      <c r="J99" s="26" t="n">
        <f aca="false">IF(A99="","",YEAR(A99))</f>
        <v>2025</v>
      </c>
      <c r="K99" s="26" t="n">
        <f aca="false">IF(A99="","",MONTH(A99))</f>
        <v>1</v>
      </c>
      <c r="L99" s="26" t="n">
        <f aca="false">IF(B99="","",VALUE(LEFT(B99,2)))</f>
        <v>12</v>
      </c>
      <c r="M99" s="26" t="n">
        <f aca="false">IF(A99="","",IF(COUNTIFS($C$2:$C$5001,C99,$J$2:$J$5001,J99,$A$2:$A$5001,"&lt;"&amp;A99)=0,1,0))</f>
        <v>0</v>
      </c>
    </row>
    <row r="100" customFormat="false" ht="15" hidden="false" customHeight="false" outlineLevel="0" collapsed="false">
      <c r="A100" s="23" t="n">
        <v>45684.4493055556</v>
      </c>
      <c r="B100" s="24" t="s">
        <v>229</v>
      </c>
      <c r="C100" s="24" t="s">
        <v>186</v>
      </c>
      <c r="D100" s="24" t="s">
        <v>66</v>
      </c>
      <c r="E100" s="24" t="n">
        <v>185</v>
      </c>
      <c r="F100" s="25" t="n">
        <v>7000</v>
      </c>
      <c r="G100" s="24" t="s">
        <v>69</v>
      </c>
      <c r="H100" s="24" t="s">
        <v>55</v>
      </c>
      <c r="I100" s="24" t="s">
        <v>61</v>
      </c>
      <c r="J100" s="26" t="n">
        <f aca="false">IF(A100="","",YEAR(A100))</f>
        <v>2025</v>
      </c>
      <c r="K100" s="26" t="n">
        <f aca="false">IF(A100="","",MONTH(A100))</f>
        <v>1</v>
      </c>
      <c r="L100" s="26" t="n">
        <f aca="false">IF(B100="","",VALUE(LEFT(B100,2)))</f>
        <v>7</v>
      </c>
      <c r="M100" s="26" t="n">
        <f aca="false">IF(A100="","",IF(COUNTIFS($C$2:$C$5001,C100,$J$2:$J$5001,J100,$A$2:$A$5001,"&lt;"&amp;A100)=0,1,0))</f>
        <v>0</v>
      </c>
    </row>
    <row r="101" customFormat="false" ht="15" hidden="false" customHeight="false" outlineLevel="0" collapsed="false">
      <c r="A101" s="23" t="n">
        <v>45684.54375</v>
      </c>
      <c r="B101" s="24" t="s">
        <v>230</v>
      </c>
      <c r="C101" s="24" t="s">
        <v>231</v>
      </c>
      <c r="D101" s="24" t="s">
        <v>53</v>
      </c>
      <c r="E101" s="24" t="n">
        <v>371</v>
      </c>
      <c r="F101" s="25" t="n">
        <v>5525</v>
      </c>
      <c r="G101" s="24" t="s">
        <v>59</v>
      </c>
      <c r="H101" s="24" t="s">
        <v>80</v>
      </c>
      <c r="I101" s="24" t="s">
        <v>113</v>
      </c>
      <c r="J101" s="26" t="n">
        <f aca="false">IF(A101="","",YEAR(A101))</f>
        <v>2025</v>
      </c>
      <c r="K101" s="26" t="n">
        <f aca="false">IF(A101="","",MONTH(A101))</f>
        <v>1</v>
      </c>
      <c r="L101" s="26" t="n">
        <f aca="false">IF(B101="","",VALUE(LEFT(B101,2)))</f>
        <v>6</v>
      </c>
      <c r="M101" s="26" t="n">
        <f aca="false">IF(A101="","",IF(COUNTIFS($C$2:$C$5001,C101,$J$2:$J$5001,J101,$A$2:$A$5001,"&lt;"&amp;A101)=0,1,0))</f>
        <v>1</v>
      </c>
    </row>
    <row r="102" customFormat="false" ht="15" hidden="false" customHeight="false" outlineLevel="0" collapsed="false">
      <c r="A102" s="23" t="n">
        <v>45684.6798611111</v>
      </c>
      <c r="B102" s="24" t="s">
        <v>232</v>
      </c>
      <c r="C102" s="24" t="s">
        <v>201</v>
      </c>
      <c r="D102" s="24" t="s">
        <v>66</v>
      </c>
      <c r="E102" s="24" t="n">
        <v>289</v>
      </c>
      <c r="F102" s="25" t="n">
        <v>10000</v>
      </c>
      <c r="G102" s="24" t="s">
        <v>59</v>
      </c>
      <c r="H102" s="24" t="s">
        <v>80</v>
      </c>
      <c r="I102" s="24" t="s">
        <v>61</v>
      </c>
      <c r="J102" s="26" t="n">
        <f aca="false">IF(A102="","",YEAR(A102))</f>
        <v>2025</v>
      </c>
      <c r="K102" s="26" t="n">
        <f aca="false">IF(A102="","",MONTH(A102))</f>
        <v>1</v>
      </c>
      <c r="L102" s="26" t="n">
        <f aca="false">IF(B102="","",VALUE(LEFT(B102,2)))</f>
        <v>11</v>
      </c>
      <c r="M102" s="26" t="n">
        <f aca="false">IF(A102="","",IF(COUNTIFS($C$2:$C$5001,C102,$J$2:$J$5001,J102,$A$2:$A$5001,"&lt;"&amp;A102)=0,1,0))</f>
        <v>0</v>
      </c>
    </row>
    <row r="103" customFormat="false" ht="15" hidden="false" customHeight="false" outlineLevel="0" collapsed="false">
      <c r="A103" s="23" t="n">
        <v>45684.85625</v>
      </c>
      <c r="B103" s="24" t="s">
        <v>233</v>
      </c>
      <c r="C103" s="24" t="s">
        <v>164</v>
      </c>
      <c r="D103" s="24" t="s">
        <v>66</v>
      </c>
      <c r="E103" s="24" t="n">
        <v>367</v>
      </c>
      <c r="F103" s="25" t="n">
        <v>13000</v>
      </c>
      <c r="G103" s="24" t="s">
        <v>69</v>
      </c>
      <c r="H103" s="24" t="s">
        <v>55</v>
      </c>
      <c r="I103" s="24" t="s">
        <v>61</v>
      </c>
      <c r="J103" s="26" t="n">
        <f aca="false">IF(A103="","",YEAR(A103))</f>
        <v>2025</v>
      </c>
      <c r="K103" s="26" t="n">
        <f aca="false">IF(A103="","",MONTH(A103))</f>
        <v>1</v>
      </c>
      <c r="L103" s="26" t="n">
        <f aca="false">IF(B103="","",VALUE(LEFT(B103,2)))</f>
        <v>14</v>
      </c>
      <c r="M103" s="26" t="n">
        <f aca="false">IF(A103="","",IF(COUNTIFS($C$2:$C$5001,C103,$J$2:$J$5001,J103,$A$2:$A$5001,"&lt;"&amp;A103)=0,1,0))</f>
        <v>0</v>
      </c>
    </row>
    <row r="104" customFormat="false" ht="15" hidden="false" customHeight="false" outlineLevel="0" collapsed="false">
      <c r="A104" s="23" t="n">
        <v>45684.9618055556</v>
      </c>
      <c r="B104" s="24" t="s">
        <v>234</v>
      </c>
      <c r="C104" s="24" t="s">
        <v>235</v>
      </c>
      <c r="D104" s="24" t="s">
        <v>66</v>
      </c>
      <c r="E104" s="24" t="n">
        <v>157</v>
      </c>
      <c r="F104" s="25" t="n">
        <v>0</v>
      </c>
      <c r="G104" s="24" t="s">
        <v>69</v>
      </c>
      <c r="H104" s="24" t="s">
        <v>80</v>
      </c>
      <c r="I104" s="24" t="s">
        <v>56</v>
      </c>
      <c r="J104" s="26" t="n">
        <f aca="false">IF(A104="","",YEAR(A104))</f>
        <v>2025</v>
      </c>
      <c r="K104" s="26" t="n">
        <f aca="false">IF(A104="","",MONTH(A104))</f>
        <v>1</v>
      </c>
      <c r="L104" s="26" t="n">
        <f aca="false">IF(B104="","",VALUE(LEFT(B104,2)))</f>
        <v>20</v>
      </c>
      <c r="M104" s="26" t="n">
        <f aca="false">IF(A104="","",IF(COUNTIFS($C$2:$C$5001,C104,$J$2:$J$5001,J104,$A$2:$A$5001,"&lt;"&amp;A104)=0,1,0))</f>
        <v>1</v>
      </c>
    </row>
    <row r="105" customFormat="false" ht="15" hidden="false" customHeight="false" outlineLevel="0" collapsed="false">
      <c r="A105" s="23" t="n">
        <v>45685.0270833333</v>
      </c>
      <c r="B105" s="24" t="s">
        <v>124</v>
      </c>
      <c r="C105" s="24" t="s">
        <v>78</v>
      </c>
      <c r="D105" s="24" t="s">
        <v>53</v>
      </c>
      <c r="E105" s="24" t="n">
        <v>239</v>
      </c>
      <c r="F105" s="25" t="n">
        <v>3400</v>
      </c>
      <c r="G105" s="24" t="s">
        <v>69</v>
      </c>
      <c r="H105" s="24" t="s">
        <v>55</v>
      </c>
      <c r="I105" s="24" t="s">
        <v>113</v>
      </c>
      <c r="J105" s="26" t="n">
        <f aca="false">IF(A105="","",YEAR(A105))</f>
        <v>2025</v>
      </c>
      <c r="K105" s="26" t="n">
        <f aca="false">IF(A105="","",MONTH(A105))</f>
        <v>1</v>
      </c>
      <c r="L105" s="26" t="n">
        <f aca="false">IF(B105="","",VALUE(LEFT(B105,2)))</f>
        <v>20</v>
      </c>
      <c r="M105" s="26" t="n">
        <f aca="false">IF(A105="","",IF(COUNTIFS($C$2:$C$5001,C105,$J$2:$J$5001,J105,$A$2:$A$5001,"&lt;"&amp;A105)=0,1,0))</f>
        <v>0</v>
      </c>
    </row>
    <row r="106" customFormat="false" ht="15" hidden="false" customHeight="false" outlineLevel="0" collapsed="false">
      <c r="A106" s="23" t="n">
        <v>45685.8368055556</v>
      </c>
      <c r="B106" s="24" t="s">
        <v>236</v>
      </c>
      <c r="C106" s="24" t="s">
        <v>237</v>
      </c>
      <c r="D106" s="24" t="s">
        <v>88</v>
      </c>
      <c r="E106" s="24" t="n">
        <v>293</v>
      </c>
      <c r="F106" s="25" t="n">
        <v>15000</v>
      </c>
      <c r="G106" s="24" t="s">
        <v>59</v>
      </c>
      <c r="H106" s="24" t="s">
        <v>80</v>
      </c>
      <c r="I106" s="24" t="s">
        <v>61</v>
      </c>
      <c r="J106" s="26" t="n">
        <f aca="false">IF(A106="","",YEAR(A106))</f>
        <v>2025</v>
      </c>
      <c r="K106" s="26" t="n">
        <f aca="false">IF(A106="","",MONTH(A106))</f>
        <v>1</v>
      </c>
      <c r="L106" s="26" t="n">
        <f aca="false">IF(B106="","",VALUE(LEFT(B106,2)))</f>
        <v>15</v>
      </c>
      <c r="M106" s="26" t="n">
        <f aca="false">IF(A106="","",IF(COUNTIFS($C$2:$C$5001,C106,$J$2:$J$5001,J106,$A$2:$A$5001,"&lt;"&amp;A106)=0,1,0))</f>
        <v>1</v>
      </c>
    </row>
    <row r="107" customFormat="false" ht="15" hidden="false" customHeight="false" outlineLevel="0" collapsed="false">
      <c r="A107" s="23" t="n">
        <v>45689.3569444444</v>
      </c>
      <c r="B107" s="24" t="s">
        <v>238</v>
      </c>
      <c r="C107" s="24" t="s">
        <v>52</v>
      </c>
      <c r="D107" s="24" t="s">
        <v>53</v>
      </c>
      <c r="E107" s="24" t="n">
        <v>151</v>
      </c>
      <c r="F107" s="25" t="n">
        <v>3000</v>
      </c>
      <c r="G107" s="24" t="s">
        <v>59</v>
      </c>
      <c r="H107" s="24" t="s">
        <v>60</v>
      </c>
      <c r="I107" s="24" t="s">
        <v>61</v>
      </c>
      <c r="J107" s="26" t="n">
        <f aca="false">IF(A107="","",YEAR(A107))</f>
        <v>2025</v>
      </c>
      <c r="K107" s="26" t="n">
        <f aca="false">IF(A107="","",MONTH(A107))</f>
        <v>2</v>
      </c>
      <c r="L107" s="26" t="n">
        <f aca="false">IF(B107="","",VALUE(LEFT(B107,2)))</f>
        <v>6</v>
      </c>
      <c r="M107" s="26" t="n">
        <f aca="false">IF(A107="","",IF(COUNTIFS($C$2:$C$5001,C107,$J$2:$J$5001,J107,$A$2:$A$5001,"&lt;"&amp;A107)=0,1,0))</f>
        <v>0</v>
      </c>
    </row>
    <row r="108" customFormat="false" ht="15" hidden="false" customHeight="false" outlineLevel="0" collapsed="false">
      <c r="A108" s="23" t="n">
        <v>45689.3652777778</v>
      </c>
      <c r="B108" s="24" t="s">
        <v>239</v>
      </c>
      <c r="C108" s="24" t="s">
        <v>240</v>
      </c>
      <c r="D108" s="24" t="s">
        <v>66</v>
      </c>
      <c r="E108" s="24" t="n">
        <v>27</v>
      </c>
      <c r="F108" s="25" t="n">
        <v>1000</v>
      </c>
      <c r="G108" s="24" t="s">
        <v>59</v>
      </c>
      <c r="H108" s="24" t="s">
        <v>55</v>
      </c>
      <c r="I108" s="24" t="s">
        <v>61</v>
      </c>
      <c r="J108" s="26" t="n">
        <f aca="false">IF(A108="","",YEAR(A108))</f>
        <v>2025</v>
      </c>
      <c r="K108" s="26" t="n">
        <f aca="false">IF(A108="","",MONTH(A108))</f>
        <v>2</v>
      </c>
      <c r="L108" s="26" t="n">
        <f aca="false">IF(B108="","",VALUE(LEFT(B108,2)))</f>
        <v>8</v>
      </c>
      <c r="M108" s="26" t="n">
        <f aca="false">IF(A108="","",IF(COUNTIFS($C$2:$C$5001,C108,$J$2:$J$5001,J108,$A$2:$A$5001,"&lt;"&amp;A108)=0,1,0))</f>
        <v>1</v>
      </c>
    </row>
    <row r="109" customFormat="false" ht="15" hidden="false" customHeight="false" outlineLevel="0" collapsed="false">
      <c r="A109" s="23" t="n">
        <v>45689.4104166667</v>
      </c>
      <c r="B109" s="24" t="s">
        <v>241</v>
      </c>
      <c r="C109" s="24" t="s">
        <v>92</v>
      </c>
      <c r="D109" s="24" t="s">
        <v>72</v>
      </c>
      <c r="E109" s="24" t="n">
        <v>107</v>
      </c>
      <c r="F109" s="25" t="n">
        <v>8000</v>
      </c>
      <c r="G109" s="24" t="s">
        <v>79</v>
      </c>
      <c r="H109" s="24" t="s">
        <v>80</v>
      </c>
      <c r="I109" s="24" t="s">
        <v>61</v>
      </c>
      <c r="J109" s="26" t="n">
        <f aca="false">IF(A109="","",YEAR(A109))</f>
        <v>2025</v>
      </c>
      <c r="K109" s="26" t="n">
        <f aca="false">IF(A109="","",MONTH(A109))</f>
        <v>2</v>
      </c>
      <c r="L109" s="26" t="n">
        <f aca="false">IF(B109="","",VALUE(LEFT(B109,2)))</f>
        <v>8</v>
      </c>
      <c r="M109" s="26" t="n">
        <f aca="false">IF(A109="","",IF(COUNTIFS($C$2:$C$5001,C109,$J$2:$J$5001,J109,$A$2:$A$5001,"&lt;"&amp;A109)=0,1,0))</f>
        <v>0</v>
      </c>
    </row>
    <row r="110" customFormat="false" ht="15" hidden="false" customHeight="false" outlineLevel="0" collapsed="false">
      <c r="A110" s="23" t="n">
        <v>45689.53125</v>
      </c>
      <c r="B110" s="24" t="s">
        <v>242</v>
      </c>
      <c r="C110" s="24" t="s">
        <v>243</v>
      </c>
      <c r="D110" s="24" t="s">
        <v>66</v>
      </c>
      <c r="E110" s="24" t="n">
        <v>362</v>
      </c>
      <c r="F110" s="25" t="n">
        <v>0</v>
      </c>
      <c r="G110" s="24" t="s">
        <v>59</v>
      </c>
      <c r="H110" s="24" t="s">
        <v>80</v>
      </c>
      <c r="I110" s="24" t="s">
        <v>56</v>
      </c>
      <c r="J110" s="26" t="n">
        <f aca="false">IF(A110="","",YEAR(A110))</f>
        <v>2025</v>
      </c>
      <c r="K110" s="26" t="n">
        <f aca="false">IF(A110="","",MONTH(A110))</f>
        <v>2</v>
      </c>
      <c r="L110" s="26" t="n">
        <f aca="false">IF(B110="","",VALUE(LEFT(B110,2)))</f>
        <v>6</v>
      </c>
      <c r="M110" s="26" t="n">
        <f aca="false">IF(A110="","",IF(COUNTIFS($C$2:$C$5001,C110,$J$2:$J$5001,J110,$A$2:$A$5001,"&lt;"&amp;A110)=0,1,0))</f>
        <v>1</v>
      </c>
    </row>
    <row r="111" customFormat="false" ht="15" hidden="false" customHeight="false" outlineLevel="0" collapsed="false">
      <c r="A111" s="23" t="n">
        <v>45689.7263888889</v>
      </c>
      <c r="B111" s="24" t="s">
        <v>244</v>
      </c>
      <c r="C111" s="24" t="s">
        <v>82</v>
      </c>
      <c r="D111" s="24" t="s">
        <v>53</v>
      </c>
      <c r="E111" s="24" t="n">
        <v>91</v>
      </c>
      <c r="F111" s="25" t="n">
        <v>2000</v>
      </c>
      <c r="G111" s="24" t="s">
        <v>59</v>
      </c>
      <c r="H111" s="24" t="s">
        <v>80</v>
      </c>
      <c r="I111" s="24" t="s">
        <v>61</v>
      </c>
      <c r="J111" s="26" t="n">
        <f aca="false">IF(A111="","",YEAR(A111))</f>
        <v>2025</v>
      </c>
      <c r="K111" s="26" t="n">
        <f aca="false">IF(A111="","",MONTH(A111))</f>
        <v>2</v>
      </c>
      <c r="L111" s="26" t="n">
        <f aca="false">IF(B111="","",VALUE(LEFT(B111,2)))</f>
        <v>15</v>
      </c>
      <c r="M111" s="26" t="n">
        <f aca="false">IF(A111="","",IF(COUNTIFS($C$2:$C$5001,C111,$J$2:$J$5001,J111,$A$2:$A$5001,"&lt;"&amp;A111)=0,1,0))</f>
        <v>0</v>
      </c>
    </row>
    <row r="112" customFormat="false" ht="15" hidden="false" customHeight="false" outlineLevel="0" collapsed="false">
      <c r="A112" s="23" t="n">
        <v>45689.9041666667</v>
      </c>
      <c r="B112" s="24" t="s">
        <v>245</v>
      </c>
      <c r="C112" s="24" t="s">
        <v>110</v>
      </c>
      <c r="D112" s="24" t="s">
        <v>53</v>
      </c>
      <c r="E112" s="24" t="n">
        <v>359</v>
      </c>
      <c r="F112" s="25" t="n">
        <v>5100</v>
      </c>
      <c r="G112" s="24" t="s">
        <v>59</v>
      </c>
      <c r="H112" s="24" t="s">
        <v>60</v>
      </c>
      <c r="I112" s="24" t="s">
        <v>113</v>
      </c>
      <c r="J112" s="26" t="n">
        <f aca="false">IF(A112="","",YEAR(A112))</f>
        <v>2025</v>
      </c>
      <c r="K112" s="26" t="n">
        <f aca="false">IF(A112="","",MONTH(A112))</f>
        <v>2</v>
      </c>
      <c r="L112" s="26" t="n">
        <f aca="false">IF(B112="","",VALUE(LEFT(B112,2)))</f>
        <v>15</v>
      </c>
      <c r="M112" s="26" t="n">
        <f aca="false">IF(A112="","",IF(COUNTIFS($C$2:$C$5001,C112,$J$2:$J$5001,J112,$A$2:$A$5001,"&lt;"&amp;A112)=0,1,0))</f>
        <v>0</v>
      </c>
    </row>
    <row r="113" customFormat="false" ht="15" hidden="false" customHeight="false" outlineLevel="0" collapsed="false">
      <c r="A113" s="23" t="n">
        <v>45689.9256944444</v>
      </c>
      <c r="B113" s="24" t="s">
        <v>246</v>
      </c>
      <c r="C113" s="24" t="s">
        <v>120</v>
      </c>
      <c r="D113" s="24" t="s">
        <v>53</v>
      </c>
      <c r="E113" s="24" t="n">
        <v>234</v>
      </c>
      <c r="F113" s="25" t="n">
        <v>0</v>
      </c>
      <c r="G113" s="24" t="s">
        <v>59</v>
      </c>
      <c r="H113" s="24" t="s">
        <v>60</v>
      </c>
      <c r="I113" s="24" t="s">
        <v>56</v>
      </c>
      <c r="J113" s="26" t="n">
        <f aca="false">IF(A113="","",YEAR(A113))</f>
        <v>2025</v>
      </c>
      <c r="K113" s="26" t="n">
        <f aca="false">IF(A113="","",MONTH(A113))</f>
        <v>2</v>
      </c>
      <c r="L113" s="26" t="n">
        <f aca="false">IF(B113="","",VALUE(LEFT(B113,2)))</f>
        <v>18</v>
      </c>
      <c r="M113" s="26" t="n">
        <f aca="false">IF(A113="","",IF(COUNTIFS($C$2:$C$5001,C113,$J$2:$J$5001,J113,$A$2:$A$5001,"&lt;"&amp;A113)=0,1,0))</f>
        <v>0</v>
      </c>
    </row>
    <row r="114" customFormat="false" ht="15" hidden="false" customHeight="false" outlineLevel="0" collapsed="false">
      <c r="A114" s="23" t="n">
        <v>45689.9791666667</v>
      </c>
      <c r="B114" s="24" t="s">
        <v>247</v>
      </c>
      <c r="C114" s="24" t="s">
        <v>78</v>
      </c>
      <c r="D114" s="24" t="s">
        <v>66</v>
      </c>
      <c r="E114" s="24" t="n">
        <v>279</v>
      </c>
      <c r="F114" s="25" t="n">
        <v>10000</v>
      </c>
      <c r="G114" s="24" t="s">
        <v>59</v>
      </c>
      <c r="H114" s="24" t="s">
        <v>60</v>
      </c>
      <c r="I114" s="24" t="s">
        <v>61</v>
      </c>
      <c r="J114" s="26" t="n">
        <f aca="false">IF(A114="","",YEAR(A114))</f>
        <v>2025</v>
      </c>
      <c r="K114" s="26" t="n">
        <f aca="false">IF(A114="","",MONTH(A114))</f>
        <v>2</v>
      </c>
      <c r="L114" s="26" t="n">
        <f aca="false">IF(B114="","",VALUE(LEFT(B114,2)))</f>
        <v>18</v>
      </c>
      <c r="M114" s="26" t="n">
        <f aca="false">IF(A114="","",IF(COUNTIFS($C$2:$C$5001,C114,$J$2:$J$5001,J114,$A$2:$A$5001,"&lt;"&amp;A114)=0,1,0))</f>
        <v>0</v>
      </c>
    </row>
    <row r="115" customFormat="false" ht="15" hidden="false" customHeight="false" outlineLevel="0" collapsed="false">
      <c r="A115" s="23" t="n">
        <v>45690.5513888889</v>
      </c>
      <c r="B115" s="24" t="s">
        <v>248</v>
      </c>
      <c r="C115" s="24" t="s">
        <v>85</v>
      </c>
      <c r="D115" s="24" t="s">
        <v>53</v>
      </c>
      <c r="E115" s="24" t="n">
        <v>210</v>
      </c>
      <c r="F115" s="25" t="n">
        <v>2975</v>
      </c>
      <c r="G115" s="24" t="s">
        <v>83</v>
      </c>
      <c r="H115" s="24" t="s">
        <v>80</v>
      </c>
      <c r="I115" s="24" t="s">
        <v>113</v>
      </c>
      <c r="J115" s="26" t="n">
        <f aca="false">IF(A115="","",YEAR(A115))</f>
        <v>2025</v>
      </c>
      <c r="K115" s="26" t="n">
        <f aca="false">IF(A115="","",MONTH(A115))</f>
        <v>2</v>
      </c>
      <c r="L115" s="26" t="n">
        <f aca="false">IF(B115="","",VALUE(LEFT(B115,2)))</f>
        <v>9</v>
      </c>
      <c r="M115" s="26" t="n">
        <f aca="false">IF(A115="","",IF(COUNTIFS($C$2:$C$5001,C115,$J$2:$J$5001,J115,$A$2:$A$5001,"&lt;"&amp;A115)=0,1,0))</f>
        <v>0</v>
      </c>
    </row>
    <row r="116" customFormat="false" ht="15" hidden="false" customHeight="false" outlineLevel="0" collapsed="false">
      <c r="A116" s="23" t="n">
        <v>45690.6451388889</v>
      </c>
      <c r="B116" s="24" t="s">
        <v>134</v>
      </c>
      <c r="C116" s="24" t="s">
        <v>243</v>
      </c>
      <c r="D116" s="24" t="s">
        <v>53</v>
      </c>
      <c r="E116" s="24" t="n">
        <v>27</v>
      </c>
      <c r="F116" s="25" t="n">
        <v>0</v>
      </c>
      <c r="G116" s="24" t="s">
        <v>69</v>
      </c>
      <c r="H116" s="24" t="s">
        <v>60</v>
      </c>
      <c r="I116" s="24" t="s">
        <v>56</v>
      </c>
      <c r="J116" s="26" t="n">
        <f aca="false">IF(A116="","",YEAR(A116))</f>
        <v>2025</v>
      </c>
      <c r="K116" s="26" t="n">
        <f aca="false">IF(A116="","",MONTH(A116))</f>
        <v>2</v>
      </c>
      <c r="L116" s="26" t="n">
        <f aca="false">IF(B116="","",VALUE(LEFT(B116,2)))</f>
        <v>15</v>
      </c>
      <c r="M116" s="26" t="n">
        <f aca="false">IF(A116="","",IF(COUNTIFS($C$2:$C$5001,C116,$J$2:$J$5001,J116,$A$2:$A$5001,"&lt;"&amp;A116)=0,1,0))</f>
        <v>0</v>
      </c>
    </row>
    <row r="117" customFormat="false" ht="15" hidden="false" customHeight="false" outlineLevel="0" collapsed="false">
      <c r="A117" s="23" t="n">
        <v>45690.7152777778</v>
      </c>
      <c r="B117" s="24" t="s">
        <v>249</v>
      </c>
      <c r="C117" s="24" t="s">
        <v>87</v>
      </c>
      <c r="D117" s="24" t="s">
        <v>66</v>
      </c>
      <c r="E117" s="24" t="n">
        <v>299</v>
      </c>
      <c r="F117" s="25" t="n">
        <v>10000</v>
      </c>
      <c r="G117" s="24" t="s">
        <v>59</v>
      </c>
      <c r="H117" s="24" t="s">
        <v>80</v>
      </c>
      <c r="I117" s="24" t="s">
        <v>61</v>
      </c>
      <c r="J117" s="26" t="n">
        <f aca="false">IF(A117="","",YEAR(A117))</f>
        <v>2025</v>
      </c>
      <c r="K117" s="26" t="n">
        <f aca="false">IF(A117="","",MONTH(A117))</f>
        <v>2</v>
      </c>
      <c r="L117" s="26" t="n">
        <f aca="false">IF(B117="","",VALUE(LEFT(B117,2)))</f>
        <v>12</v>
      </c>
      <c r="M117" s="26" t="n">
        <f aca="false">IF(A117="","",IF(COUNTIFS($C$2:$C$5001,C117,$J$2:$J$5001,J117,$A$2:$A$5001,"&lt;"&amp;A117)=0,1,0))</f>
        <v>0</v>
      </c>
    </row>
    <row r="118" customFormat="false" ht="15" hidden="false" customHeight="false" outlineLevel="0" collapsed="false">
      <c r="A118" s="23" t="n">
        <v>45690.7409722222</v>
      </c>
      <c r="B118" s="24" t="s">
        <v>250</v>
      </c>
      <c r="C118" s="24" t="s">
        <v>94</v>
      </c>
      <c r="D118" s="24" t="s">
        <v>88</v>
      </c>
      <c r="E118" s="24" t="n">
        <v>185</v>
      </c>
      <c r="F118" s="25" t="n">
        <v>10500</v>
      </c>
      <c r="G118" s="24" t="s">
        <v>79</v>
      </c>
      <c r="H118" s="24" t="s">
        <v>60</v>
      </c>
      <c r="I118" s="24" t="s">
        <v>61</v>
      </c>
      <c r="J118" s="26" t="n">
        <f aca="false">IF(A118="","",YEAR(A118))</f>
        <v>2025</v>
      </c>
      <c r="K118" s="26" t="n">
        <f aca="false">IF(A118="","",MONTH(A118))</f>
        <v>2</v>
      </c>
      <c r="L118" s="26" t="n">
        <f aca="false">IF(B118="","",VALUE(LEFT(B118,2)))</f>
        <v>14</v>
      </c>
      <c r="M118" s="26" t="n">
        <f aca="false">IF(A118="","",IF(COUNTIFS($C$2:$C$5001,C118,$J$2:$J$5001,J118,$A$2:$A$5001,"&lt;"&amp;A118)=0,1,0))</f>
        <v>0</v>
      </c>
    </row>
    <row r="119" customFormat="false" ht="15" hidden="false" customHeight="false" outlineLevel="0" collapsed="false">
      <c r="A119" s="23" t="n">
        <v>45690.7958333333</v>
      </c>
      <c r="B119" s="24" t="s">
        <v>251</v>
      </c>
      <c r="C119" s="24" t="s">
        <v>143</v>
      </c>
      <c r="D119" s="24" t="s">
        <v>66</v>
      </c>
      <c r="E119" s="24" t="n">
        <v>225</v>
      </c>
      <c r="F119" s="25" t="n">
        <v>8000</v>
      </c>
      <c r="G119" s="24" t="s">
        <v>79</v>
      </c>
      <c r="H119" s="24" t="s">
        <v>60</v>
      </c>
      <c r="I119" s="24" t="s">
        <v>61</v>
      </c>
      <c r="J119" s="26" t="n">
        <f aca="false">IF(A119="","",YEAR(A119))</f>
        <v>2025</v>
      </c>
      <c r="K119" s="26" t="n">
        <f aca="false">IF(A119="","",MONTH(A119))</f>
        <v>2</v>
      </c>
      <c r="L119" s="26" t="n">
        <f aca="false">IF(B119="","",VALUE(LEFT(B119,2)))</f>
        <v>15</v>
      </c>
      <c r="M119" s="26" t="n">
        <f aca="false">IF(A119="","",IF(COUNTIFS($C$2:$C$5001,C119,$J$2:$J$5001,J119,$A$2:$A$5001,"&lt;"&amp;A119)=0,1,0))</f>
        <v>0</v>
      </c>
    </row>
    <row r="120" customFormat="false" ht="15" hidden="false" customHeight="false" outlineLevel="0" collapsed="false">
      <c r="A120" s="23" t="n">
        <v>45690.9819444444</v>
      </c>
      <c r="B120" s="24" t="s">
        <v>252</v>
      </c>
      <c r="C120" s="24" t="s">
        <v>253</v>
      </c>
      <c r="D120" s="24" t="s">
        <v>66</v>
      </c>
      <c r="E120" s="24" t="n">
        <v>157</v>
      </c>
      <c r="F120" s="25" t="n">
        <v>6000</v>
      </c>
      <c r="G120" s="24" t="s">
        <v>59</v>
      </c>
      <c r="H120" s="24" t="s">
        <v>80</v>
      </c>
      <c r="I120" s="24" t="s">
        <v>61</v>
      </c>
      <c r="J120" s="26" t="n">
        <f aca="false">IF(A120="","",YEAR(A120))</f>
        <v>2025</v>
      </c>
      <c r="K120" s="26" t="n">
        <f aca="false">IF(A120="","",MONTH(A120))</f>
        <v>2</v>
      </c>
      <c r="L120" s="26" t="n">
        <f aca="false">IF(B120="","",VALUE(LEFT(B120,2)))</f>
        <v>20</v>
      </c>
      <c r="M120" s="26" t="n">
        <f aca="false">IF(A120="","",IF(COUNTIFS($C$2:$C$5001,C120,$J$2:$J$5001,J120,$A$2:$A$5001,"&lt;"&amp;A120)=0,1,0))</f>
        <v>1</v>
      </c>
    </row>
    <row r="121" customFormat="false" ht="15" hidden="false" customHeight="false" outlineLevel="0" collapsed="false">
      <c r="A121" s="23" t="n">
        <v>45691.4840277778</v>
      </c>
      <c r="B121" s="24" t="s">
        <v>254</v>
      </c>
      <c r="C121" s="24" t="s">
        <v>220</v>
      </c>
      <c r="D121" s="24" t="s">
        <v>53</v>
      </c>
      <c r="E121" s="24" t="n">
        <v>60</v>
      </c>
      <c r="F121" s="25" t="n">
        <v>1000</v>
      </c>
      <c r="G121" s="24" t="s">
        <v>59</v>
      </c>
      <c r="H121" s="24" t="s">
        <v>55</v>
      </c>
      <c r="I121" s="24" t="s">
        <v>61</v>
      </c>
      <c r="J121" s="26" t="n">
        <f aca="false">IF(A121="","",YEAR(A121))</f>
        <v>2025</v>
      </c>
      <c r="K121" s="26" t="n">
        <f aca="false">IF(A121="","",MONTH(A121))</f>
        <v>2</v>
      </c>
      <c r="L121" s="26" t="n">
        <f aca="false">IF(B121="","",VALUE(LEFT(B121,2)))</f>
        <v>10</v>
      </c>
      <c r="M121" s="26" t="n">
        <f aca="false">IF(A121="","",IF(COUNTIFS($C$2:$C$5001,C121,$J$2:$J$5001,J121,$A$2:$A$5001,"&lt;"&amp;A121)=0,1,0))</f>
        <v>0</v>
      </c>
    </row>
    <row r="122" customFormat="false" ht="15" hidden="false" customHeight="false" outlineLevel="0" collapsed="false">
      <c r="A122" s="23" t="n">
        <v>45691.4958333333</v>
      </c>
      <c r="B122" s="24" t="s">
        <v>255</v>
      </c>
      <c r="C122" s="24" t="s">
        <v>158</v>
      </c>
      <c r="D122" s="24" t="s">
        <v>88</v>
      </c>
      <c r="E122" s="24" t="n">
        <v>78</v>
      </c>
      <c r="F122" s="25" t="n">
        <v>3825</v>
      </c>
      <c r="G122" s="24" t="s">
        <v>79</v>
      </c>
      <c r="H122" s="24" t="s">
        <v>55</v>
      </c>
      <c r="I122" s="24" t="s">
        <v>113</v>
      </c>
      <c r="J122" s="26" t="n">
        <f aca="false">IF(A122="","",YEAR(A122))</f>
        <v>2025</v>
      </c>
      <c r="K122" s="26" t="n">
        <f aca="false">IF(A122="","",MONTH(A122))</f>
        <v>2</v>
      </c>
      <c r="L122" s="26" t="n">
        <f aca="false">IF(B122="","",VALUE(LEFT(B122,2)))</f>
        <v>10</v>
      </c>
      <c r="M122" s="26" t="n">
        <f aca="false">IF(A122="","",IF(COUNTIFS($C$2:$C$5001,C122,$J$2:$J$5001,J122,$A$2:$A$5001,"&lt;"&amp;A122)=0,1,0))</f>
        <v>0</v>
      </c>
    </row>
    <row r="123" customFormat="false" ht="15" hidden="false" customHeight="false" outlineLevel="0" collapsed="false">
      <c r="A123" s="23" t="n">
        <v>45691.5527777778</v>
      </c>
      <c r="B123" s="24" t="s">
        <v>256</v>
      </c>
      <c r="C123" s="24" t="s">
        <v>138</v>
      </c>
      <c r="D123" s="24" t="s">
        <v>66</v>
      </c>
      <c r="E123" s="24" t="n">
        <v>410</v>
      </c>
      <c r="F123" s="25" t="n">
        <v>11900</v>
      </c>
      <c r="G123" s="24" t="s">
        <v>69</v>
      </c>
      <c r="H123" s="24" t="s">
        <v>60</v>
      </c>
      <c r="I123" s="24" t="s">
        <v>113</v>
      </c>
      <c r="J123" s="26" t="n">
        <f aca="false">IF(A123="","",YEAR(A123))</f>
        <v>2025</v>
      </c>
      <c r="K123" s="26" t="n">
        <f aca="false">IF(A123="","",MONTH(A123))</f>
        <v>2</v>
      </c>
      <c r="L123" s="26" t="n">
        <f aca="false">IF(B123="","",VALUE(LEFT(B123,2)))</f>
        <v>6</v>
      </c>
      <c r="M123" s="26" t="n">
        <f aca="false">IF(A123="","",IF(COUNTIFS($C$2:$C$5001,C123,$J$2:$J$5001,J123,$A$2:$A$5001,"&lt;"&amp;A123)=0,1,0))</f>
        <v>0</v>
      </c>
    </row>
    <row r="124" customFormat="false" ht="15" hidden="false" customHeight="false" outlineLevel="0" collapsed="false">
      <c r="A124" s="23" t="n">
        <v>45691.6354166667</v>
      </c>
      <c r="B124" s="24" t="s">
        <v>257</v>
      </c>
      <c r="C124" s="24" t="s">
        <v>123</v>
      </c>
      <c r="D124" s="24" t="s">
        <v>53</v>
      </c>
      <c r="E124" s="24" t="n">
        <v>298</v>
      </c>
      <c r="F124" s="25" t="n">
        <v>5000</v>
      </c>
      <c r="G124" s="24" t="s">
        <v>59</v>
      </c>
      <c r="H124" s="24" t="s">
        <v>60</v>
      </c>
      <c r="I124" s="24" t="s">
        <v>61</v>
      </c>
      <c r="J124" s="26" t="n">
        <f aca="false">IF(A124="","",YEAR(A124))</f>
        <v>2025</v>
      </c>
      <c r="K124" s="26" t="n">
        <f aca="false">IF(A124="","",MONTH(A124))</f>
        <v>2</v>
      </c>
      <c r="L124" s="26" t="n">
        <f aca="false">IF(B124="","",VALUE(LEFT(B124,2)))</f>
        <v>10</v>
      </c>
      <c r="M124" s="26" t="n">
        <f aca="false">IF(A124="","",IF(COUNTIFS($C$2:$C$5001,C124,$J$2:$J$5001,J124,$A$2:$A$5001,"&lt;"&amp;A124)=0,1,0))</f>
        <v>0</v>
      </c>
    </row>
    <row r="125" customFormat="false" ht="15" hidden="false" customHeight="false" outlineLevel="0" collapsed="false">
      <c r="A125" s="23" t="n">
        <v>45691.6451388889</v>
      </c>
      <c r="B125" s="24" t="s">
        <v>258</v>
      </c>
      <c r="C125" s="24" t="s">
        <v>170</v>
      </c>
      <c r="D125" s="24" t="s">
        <v>53</v>
      </c>
      <c r="E125" s="24" t="n">
        <v>350</v>
      </c>
      <c r="F125" s="25" t="n">
        <v>6000</v>
      </c>
      <c r="G125" s="24" t="s">
        <v>69</v>
      </c>
      <c r="H125" s="24" t="s">
        <v>60</v>
      </c>
      <c r="I125" s="24" t="s">
        <v>61</v>
      </c>
      <c r="J125" s="26" t="n">
        <f aca="false">IF(A125="","",YEAR(A125))</f>
        <v>2025</v>
      </c>
      <c r="K125" s="26" t="n">
        <f aca="false">IF(A125="","",MONTH(A125))</f>
        <v>2</v>
      </c>
      <c r="L125" s="26" t="n">
        <f aca="false">IF(B125="","",VALUE(LEFT(B125,2)))</f>
        <v>9</v>
      </c>
      <c r="M125" s="26" t="n">
        <f aca="false">IF(A125="","",IF(COUNTIFS($C$2:$C$5001,C125,$J$2:$J$5001,J125,$A$2:$A$5001,"&lt;"&amp;A125)=0,1,0))</f>
        <v>0</v>
      </c>
    </row>
    <row r="126" customFormat="false" ht="15" hidden="false" customHeight="false" outlineLevel="0" collapsed="false">
      <c r="A126" s="23" t="n">
        <v>45691.8298611111</v>
      </c>
      <c r="B126" s="24" t="s">
        <v>259</v>
      </c>
      <c r="C126" s="24" t="s">
        <v>260</v>
      </c>
      <c r="D126" s="24" t="s">
        <v>66</v>
      </c>
      <c r="E126" s="24" t="n">
        <v>308</v>
      </c>
      <c r="F126" s="25" t="n">
        <v>11000</v>
      </c>
      <c r="G126" s="24" t="s">
        <v>59</v>
      </c>
      <c r="H126" s="24" t="s">
        <v>55</v>
      </c>
      <c r="I126" s="24" t="s">
        <v>61</v>
      </c>
      <c r="J126" s="26" t="n">
        <f aca="false">IF(A126="","",YEAR(A126))</f>
        <v>2025</v>
      </c>
      <c r="K126" s="26" t="n">
        <f aca="false">IF(A126="","",MONTH(A126))</f>
        <v>2</v>
      </c>
      <c r="L126" s="26" t="n">
        <f aca="false">IF(B126="","",VALUE(LEFT(B126,2)))</f>
        <v>14</v>
      </c>
      <c r="M126" s="26" t="n">
        <f aca="false">IF(A126="","",IF(COUNTIFS($C$2:$C$5001,C126,$J$2:$J$5001,J126,$A$2:$A$5001,"&lt;"&amp;A126)=0,1,0))</f>
        <v>1</v>
      </c>
    </row>
    <row r="127" customFormat="false" ht="15" hidden="false" customHeight="false" outlineLevel="0" collapsed="false">
      <c r="A127" s="23" t="n">
        <v>45692.3326388889</v>
      </c>
      <c r="B127" s="24" t="s">
        <v>261</v>
      </c>
      <c r="C127" s="24" t="s">
        <v>243</v>
      </c>
      <c r="D127" s="24" t="s">
        <v>53</v>
      </c>
      <c r="E127" s="24" t="n">
        <v>117</v>
      </c>
      <c r="F127" s="25" t="n">
        <v>2000</v>
      </c>
      <c r="G127" s="24" t="s">
        <v>69</v>
      </c>
      <c r="H127" s="24" t="s">
        <v>55</v>
      </c>
      <c r="I127" s="24" t="s">
        <v>61</v>
      </c>
      <c r="J127" s="26" t="n">
        <f aca="false">IF(A127="","",YEAR(A127))</f>
        <v>2025</v>
      </c>
      <c r="K127" s="26" t="n">
        <f aca="false">IF(A127="","",MONTH(A127))</f>
        <v>2</v>
      </c>
      <c r="L127" s="26" t="n">
        <f aca="false">IF(B127="","",VALUE(LEFT(B127,2)))</f>
        <v>6</v>
      </c>
      <c r="M127" s="26" t="n">
        <f aca="false">IF(A127="","",IF(COUNTIFS($C$2:$C$5001,C127,$J$2:$J$5001,J127,$A$2:$A$5001,"&lt;"&amp;A127)=0,1,0))</f>
        <v>0</v>
      </c>
    </row>
    <row r="128" customFormat="false" ht="15" hidden="false" customHeight="false" outlineLevel="0" collapsed="false">
      <c r="A128" s="23" t="n">
        <v>45692.4131944445</v>
      </c>
      <c r="B128" s="24" t="s">
        <v>262</v>
      </c>
      <c r="C128" s="24" t="s">
        <v>263</v>
      </c>
      <c r="D128" s="24" t="s">
        <v>66</v>
      </c>
      <c r="E128" s="24" t="n">
        <v>90</v>
      </c>
      <c r="F128" s="25" t="n">
        <v>3000</v>
      </c>
      <c r="G128" s="24" t="s">
        <v>69</v>
      </c>
      <c r="H128" s="24" t="s">
        <v>55</v>
      </c>
      <c r="I128" s="24" t="s">
        <v>61</v>
      </c>
      <c r="J128" s="26" t="n">
        <f aca="false">IF(A128="","",YEAR(A128))</f>
        <v>2025</v>
      </c>
      <c r="K128" s="26" t="n">
        <f aca="false">IF(A128="","",MONTH(A128))</f>
        <v>2</v>
      </c>
      <c r="L128" s="26" t="n">
        <f aca="false">IF(B128="","",VALUE(LEFT(B128,2)))</f>
        <v>8</v>
      </c>
      <c r="M128" s="26" t="n">
        <f aca="false">IF(A128="","",IF(COUNTIFS($C$2:$C$5001,C128,$J$2:$J$5001,J128,$A$2:$A$5001,"&lt;"&amp;A128)=0,1,0))</f>
        <v>1</v>
      </c>
    </row>
    <row r="129" customFormat="false" ht="15" hidden="false" customHeight="false" outlineLevel="0" collapsed="false">
      <c r="A129" s="23" t="n">
        <v>45692.4583333333</v>
      </c>
      <c r="B129" s="24" t="s">
        <v>51</v>
      </c>
      <c r="C129" s="24" t="s">
        <v>213</v>
      </c>
      <c r="D129" s="24" t="s">
        <v>53</v>
      </c>
      <c r="E129" s="24" t="n">
        <v>205</v>
      </c>
      <c r="F129" s="25" t="n">
        <v>3500</v>
      </c>
      <c r="G129" s="24" t="s">
        <v>59</v>
      </c>
      <c r="H129" s="24" t="s">
        <v>60</v>
      </c>
      <c r="I129" s="24" t="s">
        <v>61</v>
      </c>
      <c r="J129" s="26" t="n">
        <f aca="false">IF(A129="","",YEAR(A129))</f>
        <v>2025</v>
      </c>
      <c r="K129" s="26" t="n">
        <f aca="false">IF(A129="","",MONTH(A129))</f>
        <v>2</v>
      </c>
      <c r="L129" s="26" t="n">
        <f aca="false">IF(B129="","",VALUE(LEFT(B129,2)))</f>
        <v>7</v>
      </c>
      <c r="M129" s="26" t="n">
        <f aca="false">IF(A129="","",IF(COUNTIFS($C$2:$C$5001,C129,$J$2:$J$5001,J129,$A$2:$A$5001,"&lt;"&amp;A129)=0,1,0))</f>
        <v>0</v>
      </c>
    </row>
    <row r="130" customFormat="false" ht="15" hidden="false" customHeight="false" outlineLevel="0" collapsed="false">
      <c r="A130" s="23" t="n">
        <v>45692.6097222222</v>
      </c>
      <c r="B130" s="24" t="s">
        <v>264</v>
      </c>
      <c r="C130" s="24" t="s">
        <v>265</v>
      </c>
      <c r="D130" s="24" t="s">
        <v>88</v>
      </c>
      <c r="E130" s="24" t="n">
        <v>41</v>
      </c>
      <c r="F130" s="25" t="n">
        <v>3000</v>
      </c>
      <c r="G130" s="24" t="s">
        <v>69</v>
      </c>
      <c r="H130" s="24" t="s">
        <v>80</v>
      </c>
      <c r="I130" s="24" t="s">
        <v>61</v>
      </c>
      <c r="J130" s="26" t="n">
        <f aca="false">IF(A130="","",YEAR(A130))</f>
        <v>2025</v>
      </c>
      <c r="K130" s="26" t="n">
        <f aca="false">IF(A130="","",MONTH(A130))</f>
        <v>2</v>
      </c>
      <c r="L130" s="26" t="n">
        <f aca="false">IF(B130="","",VALUE(LEFT(B130,2)))</f>
        <v>13</v>
      </c>
      <c r="M130" s="26" t="n">
        <f aca="false">IF(A130="","",IF(COUNTIFS($C$2:$C$5001,C130,$J$2:$J$5001,J130,$A$2:$A$5001,"&lt;"&amp;A130)=0,1,0))</f>
        <v>1</v>
      </c>
    </row>
    <row r="131" customFormat="false" ht="15" hidden="false" customHeight="false" outlineLevel="0" collapsed="false">
      <c r="A131" s="23" t="n">
        <v>45692.7569444445</v>
      </c>
      <c r="B131" s="24" t="s">
        <v>266</v>
      </c>
      <c r="C131" s="24" t="s">
        <v>267</v>
      </c>
      <c r="D131" s="24" t="s">
        <v>53</v>
      </c>
      <c r="E131" s="24" t="n">
        <v>145</v>
      </c>
      <c r="F131" s="25" t="n">
        <v>2125</v>
      </c>
      <c r="G131" s="24" t="s">
        <v>69</v>
      </c>
      <c r="H131" s="24" t="s">
        <v>80</v>
      </c>
      <c r="I131" s="24" t="s">
        <v>113</v>
      </c>
      <c r="J131" s="26" t="n">
        <f aca="false">IF(A131="","",YEAR(A131))</f>
        <v>2025</v>
      </c>
      <c r="K131" s="26" t="n">
        <f aca="false">IF(A131="","",MONTH(A131))</f>
        <v>2</v>
      </c>
      <c r="L131" s="26" t="n">
        <f aca="false">IF(B131="","",VALUE(LEFT(B131,2)))</f>
        <v>15</v>
      </c>
      <c r="M131" s="26" t="n">
        <f aca="false">IF(A131="","",IF(COUNTIFS($C$2:$C$5001,C131,$J$2:$J$5001,J131,$A$2:$A$5001,"&lt;"&amp;A131)=0,1,0))</f>
        <v>1</v>
      </c>
    </row>
    <row r="132" customFormat="false" ht="15" hidden="false" customHeight="false" outlineLevel="0" collapsed="false">
      <c r="A132" s="23" t="n">
        <v>45692.7736111111</v>
      </c>
      <c r="B132" s="24" t="s">
        <v>169</v>
      </c>
      <c r="C132" s="24" t="s">
        <v>268</v>
      </c>
      <c r="D132" s="24" t="s">
        <v>53</v>
      </c>
      <c r="E132" s="24" t="n">
        <v>164</v>
      </c>
      <c r="F132" s="25" t="n">
        <v>3000</v>
      </c>
      <c r="G132" s="24" t="s">
        <v>69</v>
      </c>
      <c r="H132" s="24" t="s">
        <v>60</v>
      </c>
      <c r="I132" s="24" t="s">
        <v>61</v>
      </c>
      <c r="J132" s="26" t="n">
        <f aca="false">IF(A132="","",YEAR(A132))</f>
        <v>2025</v>
      </c>
      <c r="K132" s="26" t="n">
        <f aca="false">IF(A132="","",MONTH(A132))</f>
        <v>2</v>
      </c>
      <c r="L132" s="26" t="n">
        <f aca="false">IF(B132="","",VALUE(LEFT(B132,2)))</f>
        <v>15</v>
      </c>
      <c r="M132" s="26" t="n">
        <f aca="false">IF(A132="","",IF(COUNTIFS($C$2:$C$5001,C132,$J$2:$J$5001,J132,$A$2:$A$5001,"&lt;"&amp;A132)=0,1,0))</f>
        <v>1</v>
      </c>
    </row>
    <row r="133" customFormat="false" ht="15" hidden="false" customHeight="false" outlineLevel="0" collapsed="false">
      <c r="A133" s="23" t="n">
        <v>45693.0013888889</v>
      </c>
      <c r="B133" s="24" t="s">
        <v>269</v>
      </c>
      <c r="C133" s="24" t="s">
        <v>192</v>
      </c>
      <c r="D133" s="24" t="s">
        <v>66</v>
      </c>
      <c r="E133" s="24" t="n">
        <v>242</v>
      </c>
      <c r="F133" s="25" t="n">
        <v>9000</v>
      </c>
      <c r="G133" s="24" t="s">
        <v>69</v>
      </c>
      <c r="H133" s="24" t="s">
        <v>80</v>
      </c>
      <c r="I133" s="24" t="s">
        <v>61</v>
      </c>
      <c r="J133" s="26" t="n">
        <f aca="false">IF(A133="","",YEAR(A133))</f>
        <v>2025</v>
      </c>
      <c r="K133" s="26" t="n">
        <f aca="false">IF(A133="","",MONTH(A133))</f>
        <v>2</v>
      </c>
      <c r="L133" s="26" t="n">
        <f aca="false">IF(B133="","",VALUE(LEFT(B133,2)))</f>
        <v>20</v>
      </c>
      <c r="M133" s="26" t="n">
        <f aca="false">IF(A133="","",IF(COUNTIFS($C$2:$C$5001,C133,$J$2:$J$5001,J133,$A$2:$A$5001,"&lt;"&amp;A133)=0,1,0))</f>
        <v>0</v>
      </c>
    </row>
    <row r="134" customFormat="false" ht="15" hidden="false" customHeight="false" outlineLevel="0" collapsed="false">
      <c r="A134" s="23" t="n">
        <v>45693.3583333333</v>
      </c>
      <c r="B134" s="24" t="s">
        <v>270</v>
      </c>
      <c r="C134" s="24" t="s">
        <v>74</v>
      </c>
      <c r="D134" s="24" t="s">
        <v>88</v>
      </c>
      <c r="E134" s="24" t="n">
        <v>23</v>
      </c>
      <c r="F134" s="25" t="n">
        <v>1500</v>
      </c>
      <c r="G134" s="24" t="s">
        <v>69</v>
      </c>
      <c r="H134" s="24" t="s">
        <v>60</v>
      </c>
      <c r="I134" s="24" t="s">
        <v>61</v>
      </c>
      <c r="J134" s="26" t="n">
        <f aca="false">IF(A134="","",YEAR(A134))</f>
        <v>2025</v>
      </c>
      <c r="K134" s="26" t="n">
        <f aca="false">IF(A134="","",MONTH(A134))</f>
        <v>2</v>
      </c>
      <c r="L134" s="26" t="n">
        <f aca="false">IF(B134="","",VALUE(LEFT(B134,2)))</f>
        <v>8</v>
      </c>
      <c r="M134" s="26" t="n">
        <f aca="false">IF(A134="","",IF(COUNTIFS($C$2:$C$5001,C134,$J$2:$J$5001,J134,$A$2:$A$5001,"&lt;"&amp;A134)=0,1,0))</f>
        <v>0</v>
      </c>
    </row>
    <row r="135" customFormat="false" ht="15" hidden="false" customHeight="false" outlineLevel="0" collapsed="false">
      <c r="A135" s="23" t="n">
        <v>45693.5395833333</v>
      </c>
      <c r="B135" s="24" t="s">
        <v>211</v>
      </c>
      <c r="C135" s="24" t="s">
        <v>126</v>
      </c>
      <c r="D135" s="24" t="s">
        <v>66</v>
      </c>
      <c r="E135" s="24" t="n">
        <v>416</v>
      </c>
      <c r="F135" s="25" t="n">
        <v>14000</v>
      </c>
      <c r="G135" s="24" t="s">
        <v>59</v>
      </c>
      <c r="H135" s="24" t="s">
        <v>55</v>
      </c>
      <c r="I135" s="24" t="s">
        <v>61</v>
      </c>
      <c r="J135" s="26" t="n">
        <f aca="false">IF(A135="","",YEAR(A135))</f>
        <v>2025</v>
      </c>
      <c r="K135" s="26" t="n">
        <f aca="false">IF(A135="","",MONTH(A135))</f>
        <v>2</v>
      </c>
      <c r="L135" s="26" t="n">
        <f aca="false">IF(B135="","",VALUE(LEFT(B135,2)))</f>
        <v>6</v>
      </c>
      <c r="M135" s="26" t="n">
        <f aca="false">IF(A135="","",IF(COUNTIFS($C$2:$C$5001,C135,$J$2:$J$5001,J135,$A$2:$A$5001,"&lt;"&amp;A135)=0,1,0))</f>
        <v>0</v>
      </c>
    </row>
    <row r="136" customFormat="false" ht="15" hidden="false" customHeight="false" outlineLevel="0" collapsed="false">
      <c r="A136" s="23" t="n">
        <v>45693.5451388889</v>
      </c>
      <c r="B136" s="24" t="s">
        <v>175</v>
      </c>
      <c r="C136" s="24" t="s">
        <v>271</v>
      </c>
      <c r="D136" s="24" t="s">
        <v>88</v>
      </c>
      <c r="E136" s="24" t="n">
        <v>307</v>
      </c>
      <c r="F136" s="25" t="n">
        <v>16500</v>
      </c>
      <c r="G136" s="24" t="s">
        <v>69</v>
      </c>
      <c r="H136" s="24" t="s">
        <v>55</v>
      </c>
      <c r="I136" s="24" t="s">
        <v>61</v>
      </c>
      <c r="J136" s="26" t="n">
        <f aca="false">IF(A136="","",YEAR(A136))</f>
        <v>2025</v>
      </c>
      <c r="K136" s="26" t="n">
        <f aca="false">IF(A136="","",MONTH(A136))</f>
        <v>2</v>
      </c>
      <c r="L136" s="26" t="n">
        <f aca="false">IF(B136="","",VALUE(LEFT(B136,2)))</f>
        <v>7</v>
      </c>
      <c r="M136" s="26" t="n">
        <f aca="false">IF(A136="","",IF(COUNTIFS($C$2:$C$5001,C136,$J$2:$J$5001,J136,$A$2:$A$5001,"&lt;"&amp;A136)=0,1,0))</f>
        <v>1</v>
      </c>
    </row>
    <row r="137" customFormat="false" ht="15" hidden="false" customHeight="false" outlineLevel="0" collapsed="false">
      <c r="A137" s="23" t="n">
        <v>45693.5729166667</v>
      </c>
      <c r="B137" s="24" t="s">
        <v>272</v>
      </c>
      <c r="C137" s="24" t="s">
        <v>271</v>
      </c>
      <c r="D137" s="24" t="s">
        <v>66</v>
      </c>
      <c r="E137" s="24" t="n">
        <v>308</v>
      </c>
      <c r="F137" s="25" t="n">
        <v>11000</v>
      </c>
      <c r="G137" s="24" t="s">
        <v>69</v>
      </c>
      <c r="H137" s="24" t="s">
        <v>80</v>
      </c>
      <c r="I137" s="24" t="s">
        <v>61</v>
      </c>
      <c r="J137" s="26" t="n">
        <f aca="false">IF(A137="","",YEAR(A137))</f>
        <v>2025</v>
      </c>
      <c r="K137" s="26" t="n">
        <f aca="false">IF(A137="","",MONTH(A137))</f>
        <v>2</v>
      </c>
      <c r="L137" s="26" t="n">
        <f aca="false">IF(B137="","",VALUE(LEFT(B137,2)))</f>
        <v>8</v>
      </c>
      <c r="M137" s="26" t="n">
        <f aca="false">IF(A137="","",IF(COUNTIFS($C$2:$C$5001,C137,$J$2:$J$5001,J137,$A$2:$A$5001,"&lt;"&amp;A137)=0,1,0))</f>
        <v>0</v>
      </c>
    </row>
    <row r="138" customFormat="false" ht="15" hidden="false" customHeight="false" outlineLevel="0" collapsed="false">
      <c r="A138" s="23" t="n">
        <v>45693.5923611111</v>
      </c>
      <c r="B138" s="24" t="s">
        <v>190</v>
      </c>
      <c r="C138" s="24" t="s">
        <v>85</v>
      </c>
      <c r="D138" s="24" t="s">
        <v>66</v>
      </c>
      <c r="E138" s="24" t="n">
        <v>350</v>
      </c>
      <c r="F138" s="25" t="n">
        <v>10200</v>
      </c>
      <c r="G138" s="24" t="s">
        <v>83</v>
      </c>
      <c r="H138" s="24" t="s">
        <v>55</v>
      </c>
      <c r="I138" s="24" t="s">
        <v>113</v>
      </c>
      <c r="J138" s="26" t="n">
        <f aca="false">IF(A138="","",YEAR(A138))</f>
        <v>2025</v>
      </c>
      <c r="K138" s="26" t="n">
        <f aca="false">IF(A138="","",MONTH(A138))</f>
        <v>2</v>
      </c>
      <c r="L138" s="26" t="n">
        <f aca="false">IF(B138="","",VALUE(LEFT(B138,2)))</f>
        <v>8</v>
      </c>
      <c r="M138" s="26" t="n">
        <f aca="false">IF(A138="","",IF(COUNTIFS($C$2:$C$5001,C138,$J$2:$J$5001,J138,$A$2:$A$5001,"&lt;"&amp;A138)=0,1,0))</f>
        <v>0</v>
      </c>
    </row>
    <row r="139" customFormat="false" ht="15" hidden="false" customHeight="false" outlineLevel="0" collapsed="false">
      <c r="A139" s="23" t="n">
        <v>45693.8194444445</v>
      </c>
      <c r="B139" s="24" t="s">
        <v>273</v>
      </c>
      <c r="C139" s="24" t="s">
        <v>87</v>
      </c>
      <c r="D139" s="24" t="s">
        <v>66</v>
      </c>
      <c r="E139" s="24" t="n">
        <v>202</v>
      </c>
      <c r="F139" s="25" t="n">
        <v>0</v>
      </c>
      <c r="G139" s="24" t="s">
        <v>54</v>
      </c>
      <c r="H139" s="24" t="s">
        <v>80</v>
      </c>
      <c r="I139" s="24" t="s">
        <v>56</v>
      </c>
      <c r="J139" s="26" t="n">
        <f aca="false">IF(A139="","",YEAR(A139))</f>
        <v>2025</v>
      </c>
      <c r="K139" s="26" t="n">
        <f aca="false">IF(A139="","",MONTH(A139))</f>
        <v>2</v>
      </c>
      <c r="L139" s="26" t="n">
        <f aca="false">IF(B139="","",VALUE(LEFT(B139,2)))</f>
        <v>16</v>
      </c>
      <c r="M139" s="26" t="n">
        <f aca="false">IF(A139="","",IF(COUNTIFS($C$2:$C$5001,C139,$J$2:$J$5001,J139,$A$2:$A$5001,"&lt;"&amp;A139)=0,1,0))</f>
        <v>0</v>
      </c>
    </row>
    <row r="140" customFormat="false" ht="15" hidden="false" customHeight="false" outlineLevel="0" collapsed="false">
      <c r="A140" s="23" t="n">
        <v>45693.8375</v>
      </c>
      <c r="B140" s="24" t="s">
        <v>274</v>
      </c>
      <c r="C140" s="24" t="s">
        <v>131</v>
      </c>
      <c r="D140" s="24" t="s">
        <v>53</v>
      </c>
      <c r="E140" s="24" t="n">
        <v>371</v>
      </c>
      <c r="F140" s="25" t="n">
        <v>5525</v>
      </c>
      <c r="G140" s="24" t="s">
        <v>59</v>
      </c>
      <c r="H140" s="24" t="s">
        <v>55</v>
      </c>
      <c r="I140" s="24" t="s">
        <v>113</v>
      </c>
      <c r="J140" s="26" t="n">
        <f aca="false">IF(A140="","",YEAR(A140))</f>
        <v>2025</v>
      </c>
      <c r="K140" s="26" t="n">
        <f aca="false">IF(A140="","",MONTH(A140))</f>
        <v>2</v>
      </c>
      <c r="L140" s="26" t="n">
        <f aca="false">IF(B140="","",VALUE(LEFT(B140,2)))</f>
        <v>13</v>
      </c>
      <c r="M140" s="26" t="n">
        <f aca="false">IF(A140="","",IF(COUNTIFS($C$2:$C$5001,C140,$J$2:$J$5001,J140,$A$2:$A$5001,"&lt;"&amp;A140)=0,1,0))</f>
        <v>0</v>
      </c>
    </row>
    <row r="141" customFormat="false" ht="15" hidden="false" customHeight="false" outlineLevel="0" collapsed="false">
      <c r="A141" s="23" t="n">
        <v>45693.8590277778</v>
      </c>
      <c r="B141" s="24" t="s">
        <v>275</v>
      </c>
      <c r="C141" s="24" t="s">
        <v>85</v>
      </c>
      <c r="D141" s="24" t="s">
        <v>88</v>
      </c>
      <c r="E141" s="24" t="n">
        <v>163</v>
      </c>
      <c r="F141" s="25" t="n">
        <v>9000</v>
      </c>
      <c r="G141" s="24" t="s">
        <v>69</v>
      </c>
      <c r="H141" s="24" t="s">
        <v>60</v>
      </c>
      <c r="I141" s="24" t="s">
        <v>61</v>
      </c>
      <c r="J141" s="26" t="n">
        <f aca="false">IF(A141="","",YEAR(A141))</f>
        <v>2025</v>
      </c>
      <c r="K141" s="26" t="n">
        <f aca="false">IF(A141="","",MONTH(A141))</f>
        <v>2</v>
      </c>
      <c r="L141" s="26" t="n">
        <f aca="false">IF(B141="","",VALUE(LEFT(B141,2)))</f>
        <v>17</v>
      </c>
      <c r="M141" s="26" t="n">
        <f aca="false">IF(A141="","",IF(COUNTIFS($C$2:$C$5001,C141,$J$2:$J$5001,J141,$A$2:$A$5001,"&lt;"&amp;A141)=0,1,0))</f>
        <v>0</v>
      </c>
    </row>
    <row r="142" customFormat="false" ht="15" hidden="false" customHeight="false" outlineLevel="0" collapsed="false">
      <c r="A142" s="23" t="n">
        <v>45693.8680555556</v>
      </c>
      <c r="B142" s="24" t="s">
        <v>276</v>
      </c>
      <c r="C142" s="24" t="s">
        <v>277</v>
      </c>
      <c r="D142" s="24" t="s">
        <v>66</v>
      </c>
      <c r="E142" s="24" t="n">
        <v>396</v>
      </c>
      <c r="F142" s="25" t="n">
        <v>14000</v>
      </c>
      <c r="G142" s="24" t="s">
        <v>59</v>
      </c>
      <c r="H142" s="24" t="s">
        <v>80</v>
      </c>
      <c r="I142" s="24" t="s">
        <v>61</v>
      </c>
      <c r="J142" s="26" t="n">
        <f aca="false">IF(A142="","",YEAR(A142))</f>
        <v>2025</v>
      </c>
      <c r="K142" s="26" t="n">
        <f aca="false">IF(A142="","",MONTH(A142))</f>
        <v>2</v>
      </c>
      <c r="L142" s="26" t="n">
        <f aca="false">IF(B142="","",VALUE(LEFT(B142,2)))</f>
        <v>14</v>
      </c>
      <c r="M142" s="26" t="n">
        <f aca="false">IF(A142="","",IF(COUNTIFS($C$2:$C$5001,C142,$J$2:$J$5001,J142,$A$2:$A$5001,"&lt;"&amp;A142)=0,1,0))</f>
        <v>1</v>
      </c>
    </row>
    <row r="143" customFormat="false" ht="15" hidden="false" customHeight="false" outlineLevel="0" collapsed="false">
      <c r="A143" s="23" t="n">
        <v>45693.9861111111</v>
      </c>
      <c r="B143" s="24" t="s">
        <v>278</v>
      </c>
      <c r="C143" s="24" t="s">
        <v>235</v>
      </c>
      <c r="D143" s="24" t="s">
        <v>66</v>
      </c>
      <c r="E143" s="24" t="n">
        <v>231</v>
      </c>
      <c r="F143" s="25" t="n">
        <v>8000</v>
      </c>
      <c r="G143" s="24" t="s">
        <v>69</v>
      </c>
      <c r="H143" s="24" t="s">
        <v>60</v>
      </c>
      <c r="I143" s="24" t="s">
        <v>61</v>
      </c>
      <c r="J143" s="26" t="n">
        <f aca="false">IF(A143="","",YEAR(A143))</f>
        <v>2025</v>
      </c>
      <c r="K143" s="26" t="n">
        <f aca="false">IF(A143="","",MONTH(A143))</f>
        <v>2</v>
      </c>
      <c r="L143" s="26" t="n">
        <f aca="false">IF(B143="","",VALUE(LEFT(B143,2)))</f>
        <v>19</v>
      </c>
      <c r="M143" s="26" t="n">
        <f aca="false">IF(A143="","",IF(COUNTIFS($C$2:$C$5001,C143,$J$2:$J$5001,J143,$A$2:$A$5001,"&lt;"&amp;A143)=0,1,0))</f>
        <v>0</v>
      </c>
    </row>
    <row r="144" customFormat="false" ht="15" hidden="false" customHeight="false" outlineLevel="0" collapsed="false">
      <c r="A144" s="23" t="n">
        <v>45694.0152777778</v>
      </c>
      <c r="B144" s="24" t="s">
        <v>279</v>
      </c>
      <c r="C144" s="24" t="s">
        <v>147</v>
      </c>
      <c r="D144" s="24" t="s">
        <v>127</v>
      </c>
      <c r="E144" s="24" t="n">
        <v>417</v>
      </c>
      <c r="F144" s="25" t="n">
        <v>24500</v>
      </c>
      <c r="G144" s="24" t="s">
        <v>59</v>
      </c>
      <c r="H144" s="24" t="s">
        <v>55</v>
      </c>
      <c r="I144" s="24" t="s">
        <v>61</v>
      </c>
      <c r="J144" s="26" t="n">
        <f aca="false">IF(A144="","",YEAR(A144))</f>
        <v>2025</v>
      </c>
      <c r="K144" s="26" t="n">
        <f aca="false">IF(A144="","",MONTH(A144))</f>
        <v>2</v>
      </c>
      <c r="L144" s="26" t="n">
        <f aca="false">IF(B144="","",VALUE(LEFT(B144,2)))</f>
        <v>17</v>
      </c>
      <c r="M144" s="26" t="n">
        <f aca="false">IF(A144="","",IF(COUNTIFS($C$2:$C$5001,C144,$J$2:$J$5001,J144,$A$2:$A$5001,"&lt;"&amp;A144)=0,1,0))</f>
        <v>0</v>
      </c>
    </row>
    <row r="145" customFormat="false" ht="15" hidden="false" customHeight="false" outlineLevel="0" collapsed="false">
      <c r="A145" s="23" t="n">
        <v>45694.41875</v>
      </c>
      <c r="B145" s="24" t="s">
        <v>280</v>
      </c>
      <c r="C145" s="24" t="s">
        <v>116</v>
      </c>
      <c r="D145" s="24" t="s">
        <v>53</v>
      </c>
      <c r="E145" s="24" t="n">
        <v>174</v>
      </c>
      <c r="F145" s="25" t="n">
        <v>3000</v>
      </c>
      <c r="G145" s="24" t="s">
        <v>54</v>
      </c>
      <c r="H145" s="24" t="s">
        <v>60</v>
      </c>
      <c r="I145" s="24" t="s">
        <v>61</v>
      </c>
      <c r="J145" s="26" t="n">
        <f aca="false">IF(A145="","",YEAR(A145))</f>
        <v>2025</v>
      </c>
      <c r="K145" s="26" t="n">
        <f aca="false">IF(A145="","",MONTH(A145))</f>
        <v>2</v>
      </c>
      <c r="L145" s="26" t="n">
        <f aca="false">IF(B145="","",VALUE(LEFT(B145,2)))</f>
        <v>7</v>
      </c>
      <c r="M145" s="26" t="n">
        <f aca="false">IF(A145="","",IF(COUNTIFS($C$2:$C$5001,C145,$J$2:$J$5001,J145,$A$2:$A$5001,"&lt;"&amp;A145)=0,1,0))</f>
        <v>0</v>
      </c>
    </row>
    <row r="146" customFormat="false" ht="15" hidden="false" customHeight="false" outlineLevel="0" collapsed="false">
      <c r="A146" s="23" t="n">
        <v>45694.4555555556</v>
      </c>
      <c r="B146" s="24" t="s">
        <v>281</v>
      </c>
      <c r="C146" s="24" t="s">
        <v>156</v>
      </c>
      <c r="D146" s="24" t="s">
        <v>66</v>
      </c>
      <c r="E146" s="24" t="n">
        <v>198</v>
      </c>
      <c r="F146" s="25" t="n">
        <v>7000</v>
      </c>
      <c r="G146" s="24" t="s">
        <v>59</v>
      </c>
      <c r="H146" s="24" t="s">
        <v>80</v>
      </c>
      <c r="I146" s="24" t="s">
        <v>61</v>
      </c>
      <c r="J146" s="26" t="n">
        <f aca="false">IF(A146="","",YEAR(A146))</f>
        <v>2025</v>
      </c>
      <c r="K146" s="26" t="n">
        <f aca="false">IF(A146="","",MONTH(A146))</f>
        <v>2</v>
      </c>
      <c r="L146" s="26" t="n">
        <f aca="false">IF(B146="","",VALUE(LEFT(B146,2)))</f>
        <v>7</v>
      </c>
      <c r="M146" s="26" t="n">
        <f aca="false">IF(A146="","",IF(COUNTIFS($C$2:$C$5001,C146,$J$2:$J$5001,J146,$A$2:$A$5001,"&lt;"&amp;A146)=0,1,0))</f>
        <v>0</v>
      </c>
    </row>
    <row r="147" customFormat="false" ht="15" hidden="false" customHeight="false" outlineLevel="0" collapsed="false">
      <c r="A147" s="23" t="n">
        <v>45694.6375</v>
      </c>
      <c r="B147" s="24" t="s">
        <v>282</v>
      </c>
      <c r="C147" s="24" t="s">
        <v>138</v>
      </c>
      <c r="D147" s="24" t="s">
        <v>53</v>
      </c>
      <c r="E147" s="24" t="n">
        <v>388</v>
      </c>
      <c r="F147" s="25" t="n">
        <v>6500</v>
      </c>
      <c r="G147" s="24" t="s">
        <v>69</v>
      </c>
      <c r="H147" s="24" t="s">
        <v>60</v>
      </c>
      <c r="I147" s="24" t="s">
        <v>61</v>
      </c>
      <c r="J147" s="26" t="n">
        <f aca="false">IF(A147="","",YEAR(A147))</f>
        <v>2025</v>
      </c>
      <c r="K147" s="26" t="n">
        <f aca="false">IF(A147="","",MONTH(A147))</f>
        <v>2</v>
      </c>
      <c r="L147" s="26" t="n">
        <f aca="false">IF(B147="","",VALUE(LEFT(B147,2)))</f>
        <v>8</v>
      </c>
      <c r="M147" s="26" t="n">
        <f aca="false">IF(A147="","",IF(COUNTIFS($C$2:$C$5001,C147,$J$2:$J$5001,J147,$A$2:$A$5001,"&lt;"&amp;A147)=0,1,0))</f>
        <v>0</v>
      </c>
    </row>
    <row r="148" customFormat="false" ht="15" hidden="false" customHeight="false" outlineLevel="0" collapsed="false">
      <c r="A148" s="23" t="n">
        <v>45694.6840277778</v>
      </c>
      <c r="B148" s="24" t="s">
        <v>283</v>
      </c>
      <c r="C148" s="24" t="s">
        <v>92</v>
      </c>
      <c r="D148" s="24" t="s">
        <v>66</v>
      </c>
      <c r="E148" s="24" t="n">
        <v>305</v>
      </c>
      <c r="F148" s="25" t="n">
        <v>11000</v>
      </c>
      <c r="G148" s="24" t="s">
        <v>59</v>
      </c>
      <c r="H148" s="24" t="s">
        <v>80</v>
      </c>
      <c r="I148" s="24" t="s">
        <v>61</v>
      </c>
      <c r="J148" s="26" t="n">
        <f aca="false">IF(A148="","",YEAR(A148))</f>
        <v>2025</v>
      </c>
      <c r="K148" s="26" t="n">
        <f aca="false">IF(A148="","",MONTH(A148))</f>
        <v>2</v>
      </c>
      <c r="L148" s="26" t="n">
        <f aca="false">IF(B148="","",VALUE(LEFT(B148,2)))</f>
        <v>11</v>
      </c>
      <c r="M148" s="26" t="n">
        <f aca="false">IF(A148="","",IF(COUNTIFS($C$2:$C$5001,C148,$J$2:$J$5001,J148,$A$2:$A$5001,"&lt;"&amp;A148)=0,1,0))</f>
        <v>0</v>
      </c>
    </row>
    <row r="149" customFormat="false" ht="15" hidden="false" customHeight="false" outlineLevel="0" collapsed="false">
      <c r="A149" s="23" t="n">
        <v>45694.7826388889</v>
      </c>
      <c r="B149" s="24" t="s">
        <v>284</v>
      </c>
      <c r="C149" s="24" t="s">
        <v>147</v>
      </c>
      <c r="D149" s="24" t="s">
        <v>53</v>
      </c>
      <c r="E149" s="24" t="n">
        <v>259</v>
      </c>
      <c r="F149" s="25" t="n">
        <v>4500</v>
      </c>
      <c r="G149" s="24" t="s">
        <v>59</v>
      </c>
      <c r="H149" s="24" t="s">
        <v>60</v>
      </c>
      <c r="I149" s="24" t="s">
        <v>61</v>
      </c>
      <c r="J149" s="26" t="n">
        <f aca="false">IF(A149="","",YEAR(A149))</f>
        <v>2025</v>
      </c>
      <c r="K149" s="26" t="n">
        <f aca="false">IF(A149="","",MONTH(A149))</f>
        <v>2</v>
      </c>
      <c r="L149" s="26" t="n">
        <f aca="false">IF(B149="","",VALUE(LEFT(B149,2)))</f>
        <v>14</v>
      </c>
      <c r="M149" s="26" t="n">
        <f aca="false">IF(A149="","",IF(COUNTIFS($C$2:$C$5001,C149,$J$2:$J$5001,J149,$A$2:$A$5001,"&lt;"&amp;A149)=0,1,0))</f>
        <v>0</v>
      </c>
    </row>
    <row r="150" customFormat="false" ht="15" hidden="false" customHeight="false" outlineLevel="0" collapsed="false">
      <c r="A150" s="23" t="n">
        <v>45694.8</v>
      </c>
      <c r="B150" s="24" t="s">
        <v>285</v>
      </c>
      <c r="C150" s="24" t="s">
        <v>286</v>
      </c>
      <c r="D150" s="24" t="s">
        <v>66</v>
      </c>
      <c r="E150" s="24" t="n">
        <v>230</v>
      </c>
      <c r="F150" s="25" t="n">
        <v>8000</v>
      </c>
      <c r="G150" s="24" t="s">
        <v>69</v>
      </c>
      <c r="H150" s="24" t="s">
        <v>55</v>
      </c>
      <c r="I150" s="24" t="s">
        <v>61</v>
      </c>
      <c r="J150" s="26" t="n">
        <f aca="false">IF(A150="","",YEAR(A150))</f>
        <v>2025</v>
      </c>
      <c r="K150" s="26" t="n">
        <f aca="false">IF(A150="","",MONTH(A150))</f>
        <v>2</v>
      </c>
      <c r="L150" s="26" t="n">
        <f aca="false">IF(B150="","",VALUE(LEFT(B150,2)))</f>
        <v>15</v>
      </c>
      <c r="M150" s="26" t="n">
        <f aca="false">IF(A150="","",IF(COUNTIFS($C$2:$C$5001,C150,$J$2:$J$5001,J150,$A$2:$A$5001,"&lt;"&amp;A150)=0,1,0))</f>
        <v>1</v>
      </c>
    </row>
    <row r="151" customFormat="false" ht="15" hidden="false" customHeight="false" outlineLevel="0" collapsed="false">
      <c r="A151" s="23" t="n">
        <v>45694.9993055556</v>
      </c>
      <c r="B151" s="24" t="s">
        <v>287</v>
      </c>
      <c r="C151" s="24" t="s">
        <v>213</v>
      </c>
      <c r="D151" s="24" t="s">
        <v>66</v>
      </c>
      <c r="E151" s="24" t="n">
        <v>407</v>
      </c>
      <c r="F151" s="25" t="n">
        <v>14000</v>
      </c>
      <c r="G151" s="24" t="s">
        <v>69</v>
      </c>
      <c r="H151" s="24" t="s">
        <v>80</v>
      </c>
      <c r="I151" s="24" t="s">
        <v>61</v>
      </c>
      <c r="J151" s="26" t="n">
        <f aca="false">IF(A151="","",YEAR(A151))</f>
        <v>2025</v>
      </c>
      <c r="K151" s="26" t="n">
        <f aca="false">IF(A151="","",MONTH(A151))</f>
        <v>2</v>
      </c>
      <c r="L151" s="26" t="n">
        <f aca="false">IF(B151="","",VALUE(LEFT(B151,2)))</f>
        <v>17</v>
      </c>
      <c r="M151" s="26" t="n">
        <f aca="false">IF(A151="","",IF(COUNTIFS($C$2:$C$5001,C151,$J$2:$J$5001,J151,$A$2:$A$5001,"&lt;"&amp;A151)=0,1,0))</f>
        <v>0</v>
      </c>
    </row>
    <row r="152" customFormat="false" ht="15" hidden="false" customHeight="false" outlineLevel="0" collapsed="false">
      <c r="A152" s="23" t="n">
        <v>45695.6118055556</v>
      </c>
      <c r="B152" s="24" t="s">
        <v>288</v>
      </c>
      <c r="C152" s="24" t="s">
        <v>289</v>
      </c>
      <c r="D152" s="24" t="s">
        <v>53</v>
      </c>
      <c r="E152" s="24" t="n">
        <v>362</v>
      </c>
      <c r="F152" s="25" t="n">
        <v>5525</v>
      </c>
      <c r="G152" s="24" t="s">
        <v>59</v>
      </c>
      <c r="H152" s="24" t="s">
        <v>55</v>
      </c>
      <c r="I152" s="24" t="s">
        <v>113</v>
      </c>
      <c r="J152" s="26" t="n">
        <f aca="false">IF(A152="","",YEAR(A152))</f>
        <v>2025</v>
      </c>
      <c r="K152" s="26" t="n">
        <f aca="false">IF(A152="","",MONTH(A152))</f>
        <v>2</v>
      </c>
      <c r="L152" s="26" t="n">
        <f aca="false">IF(B152="","",VALUE(LEFT(B152,2)))</f>
        <v>8</v>
      </c>
      <c r="M152" s="26" t="n">
        <f aca="false">IF(A152="","",IF(COUNTIFS($C$2:$C$5001,C152,$J$2:$J$5001,J152,$A$2:$A$5001,"&lt;"&amp;A152)=0,1,0))</f>
        <v>1</v>
      </c>
    </row>
    <row r="153" customFormat="false" ht="15" hidden="false" customHeight="false" outlineLevel="0" collapsed="false">
      <c r="A153" s="23" t="n">
        <v>45695.7909722222</v>
      </c>
      <c r="B153" s="24" t="s">
        <v>155</v>
      </c>
      <c r="C153" s="24" t="s">
        <v>290</v>
      </c>
      <c r="D153" s="24" t="s">
        <v>66</v>
      </c>
      <c r="E153" s="24" t="n">
        <v>322</v>
      </c>
      <c r="F153" s="25" t="n">
        <v>11000</v>
      </c>
      <c r="G153" s="24" t="s">
        <v>59</v>
      </c>
      <c r="H153" s="24" t="s">
        <v>80</v>
      </c>
      <c r="I153" s="24" t="s">
        <v>61</v>
      </c>
      <c r="J153" s="26" t="n">
        <f aca="false">IF(A153="","",YEAR(A153))</f>
        <v>2025</v>
      </c>
      <c r="K153" s="26" t="n">
        <f aca="false">IF(A153="","",MONTH(A153))</f>
        <v>2</v>
      </c>
      <c r="L153" s="26" t="n">
        <f aca="false">IF(B153="","",VALUE(LEFT(B153,2)))</f>
        <v>13</v>
      </c>
      <c r="M153" s="26" t="n">
        <f aca="false">IF(A153="","",IF(COUNTIFS($C$2:$C$5001,C153,$J$2:$J$5001,J153,$A$2:$A$5001,"&lt;"&amp;A153)=0,1,0))</f>
        <v>1</v>
      </c>
    </row>
    <row r="154" customFormat="false" ht="15" hidden="false" customHeight="false" outlineLevel="0" collapsed="false">
      <c r="A154" s="23" t="n">
        <v>45695.8861111111</v>
      </c>
      <c r="B154" s="24" t="s">
        <v>291</v>
      </c>
      <c r="C154" s="24" t="s">
        <v>286</v>
      </c>
      <c r="D154" s="24" t="s">
        <v>66</v>
      </c>
      <c r="E154" s="24" t="n">
        <v>225</v>
      </c>
      <c r="F154" s="25" t="n">
        <v>8000</v>
      </c>
      <c r="G154" s="24" t="s">
        <v>69</v>
      </c>
      <c r="H154" s="24" t="s">
        <v>55</v>
      </c>
      <c r="I154" s="24" t="s">
        <v>61</v>
      </c>
      <c r="J154" s="26" t="n">
        <f aca="false">IF(A154="","",YEAR(A154))</f>
        <v>2025</v>
      </c>
      <c r="K154" s="26" t="n">
        <f aca="false">IF(A154="","",MONTH(A154))</f>
        <v>2</v>
      </c>
      <c r="L154" s="26" t="n">
        <f aca="false">IF(B154="","",VALUE(LEFT(B154,2)))</f>
        <v>17</v>
      </c>
      <c r="M154" s="26" t="n">
        <f aca="false">IF(A154="","",IF(COUNTIFS($C$2:$C$5001,C154,$J$2:$J$5001,J154,$A$2:$A$5001,"&lt;"&amp;A154)=0,1,0))</f>
        <v>0</v>
      </c>
    </row>
    <row r="155" customFormat="false" ht="15" hidden="false" customHeight="false" outlineLevel="0" collapsed="false">
      <c r="A155" s="23" t="n">
        <v>45695.9208333333</v>
      </c>
      <c r="B155" s="24" t="s">
        <v>292</v>
      </c>
      <c r="C155" s="24" t="s">
        <v>293</v>
      </c>
      <c r="D155" s="24" t="s">
        <v>72</v>
      </c>
      <c r="E155" s="24" t="n">
        <v>342</v>
      </c>
      <c r="F155" s="25" t="n">
        <v>24000</v>
      </c>
      <c r="G155" s="24" t="s">
        <v>59</v>
      </c>
      <c r="H155" s="24" t="s">
        <v>60</v>
      </c>
      <c r="I155" s="24" t="s">
        <v>61</v>
      </c>
      <c r="J155" s="26" t="n">
        <f aca="false">IF(A155="","",YEAR(A155))</f>
        <v>2025</v>
      </c>
      <c r="K155" s="26" t="n">
        <f aca="false">IF(A155="","",MONTH(A155))</f>
        <v>2</v>
      </c>
      <c r="L155" s="26" t="n">
        <f aca="false">IF(B155="","",VALUE(LEFT(B155,2)))</f>
        <v>16</v>
      </c>
      <c r="M155" s="26" t="n">
        <f aca="false">IF(A155="","",IF(COUNTIFS($C$2:$C$5001,C155,$J$2:$J$5001,J155,$A$2:$A$5001,"&lt;"&amp;A155)=0,1,0))</f>
        <v>1</v>
      </c>
    </row>
    <row r="156" customFormat="false" ht="15" hidden="false" customHeight="false" outlineLevel="0" collapsed="false">
      <c r="A156" s="23" t="n">
        <v>45695.94375</v>
      </c>
      <c r="B156" s="24" t="s">
        <v>294</v>
      </c>
      <c r="C156" s="24" t="s">
        <v>154</v>
      </c>
      <c r="D156" s="24" t="s">
        <v>66</v>
      </c>
      <c r="E156" s="24" t="n">
        <v>166</v>
      </c>
      <c r="F156" s="25" t="n">
        <v>6000</v>
      </c>
      <c r="G156" s="24" t="s">
        <v>83</v>
      </c>
      <c r="H156" s="24" t="s">
        <v>80</v>
      </c>
      <c r="I156" s="24" t="s">
        <v>61</v>
      </c>
      <c r="J156" s="26" t="n">
        <f aca="false">IF(A156="","",YEAR(A156))</f>
        <v>2025</v>
      </c>
      <c r="K156" s="26" t="n">
        <f aca="false">IF(A156="","",MONTH(A156))</f>
        <v>2</v>
      </c>
      <c r="L156" s="26" t="n">
        <f aca="false">IF(B156="","",VALUE(LEFT(B156,2)))</f>
        <v>19</v>
      </c>
      <c r="M156" s="26" t="n">
        <f aca="false">IF(A156="","",IF(COUNTIFS($C$2:$C$5001,C156,$J$2:$J$5001,J156,$A$2:$A$5001,"&lt;"&amp;A156)=0,1,0))</f>
        <v>0</v>
      </c>
    </row>
    <row r="157" customFormat="false" ht="15" hidden="false" customHeight="false" outlineLevel="0" collapsed="false">
      <c r="A157" s="23" t="n">
        <v>45695.9708333333</v>
      </c>
      <c r="B157" s="24" t="s">
        <v>295</v>
      </c>
      <c r="C157" s="24" t="s">
        <v>112</v>
      </c>
      <c r="D157" s="24" t="s">
        <v>66</v>
      </c>
      <c r="E157" s="24" t="n">
        <v>317</v>
      </c>
      <c r="F157" s="25" t="n">
        <v>11000</v>
      </c>
      <c r="G157" s="24" t="s">
        <v>79</v>
      </c>
      <c r="H157" s="24" t="s">
        <v>80</v>
      </c>
      <c r="I157" s="24" t="s">
        <v>61</v>
      </c>
      <c r="J157" s="26" t="n">
        <f aca="false">IF(A157="","",YEAR(A157))</f>
        <v>2025</v>
      </c>
      <c r="K157" s="26" t="n">
        <f aca="false">IF(A157="","",MONTH(A157))</f>
        <v>2</v>
      </c>
      <c r="L157" s="26" t="n">
        <f aca="false">IF(B157="","",VALUE(LEFT(B157,2)))</f>
        <v>18</v>
      </c>
      <c r="M157" s="26" t="n">
        <f aca="false">IF(A157="","",IF(COUNTIFS($C$2:$C$5001,C157,$J$2:$J$5001,J157,$A$2:$A$5001,"&lt;"&amp;A157)=0,1,0))</f>
        <v>0</v>
      </c>
    </row>
    <row r="158" customFormat="false" ht="15" hidden="false" customHeight="false" outlineLevel="0" collapsed="false">
      <c r="A158" s="23" t="n">
        <v>45696.0013888889</v>
      </c>
      <c r="B158" s="24" t="s">
        <v>296</v>
      </c>
      <c r="C158" s="24" t="s">
        <v>213</v>
      </c>
      <c r="D158" s="24" t="s">
        <v>66</v>
      </c>
      <c r="E158" s="24" t="n">
        <v>297</v>
      </c>
      <c r="F158" s="25" t="n">
        <v>10000</v>
      </c>
      <c r="G158" s="24" t="s">
        <v>83</v>
      </c>
      <c r="H158" s="24" t="s">
        <v>55</v>
      </c>
      <c r="I158" s="24" t="s">
        <v>61</v>
      </c>
      <c r="J158" s="26" t="n">
        <f aca="false">IF(A158="","",YEAR(A158))</f>
        <v>2025</v>
      </c>
      <c r="K158" s="26" t="n">
        <f aca="false">IF(A158="","",MONTH(A158))</f>
        <v>2</v>
      </c>
      <c r="L158" s="26" t="n">
        <f aca="false">IF(B158="","",VALUE(LEFT(B158,2)))</f>
        <v>19</v>
      </c>
      <c r="M158" s="26" t="n">
        <f aca="false">IF(A158="","",IF(COUNTIFS($C$2:$C$5001,C158,$J$2:$J$5001,J158,$A$2:$A$5001,"&lt;"&amp;A158)=0,1,0))</f>
        <v>0</v>
      </c>
    </row>
    <row r="159" customFormat="false" ht="15" hidden="false" customHeight="false" outlineLevel="0" collapsed="false">
      <c r="A159" s="23" t="n">
        <v>45696.4319444444</v>
      </c>
      <c r="B159" s="24" t="s">
        <v>297</v>
      </c>
      <c r="C159" s="24" t="s">
        <v>164</v>
      </c>
      <c r="D159" s="24" t="s">
        <v>66</v>
      </c>
      <c r="E159" s="24" t="n">
        <v>72</v>
      </c>
      <c r="F159" s="25" t="n">
        <v>3000</v>
      </c>
      <c r="G159" s="24" t="s">
        <v>59</v>
      </c>
      <c r="H159" s="24" t="s">
        <v>55</v>
      </c>
      <c r="I159" s="24" t="s">
        <v>61</v>
      </c>
      <c r="J159" s="26" t="n">
        <f aca="false">IF(A159="","",YEAR(A159))</f>
        <v>2025</v>
      </c>
      <c r="K159" s="26" t="n">
        <f aca="false">IF(A159="","",MONTH(A159))</f>
        <v>2</v>
      </c>
      <c r="L159" s="26" t="n">
        <f aca="false">IF(B159="","",VALUE(LEFT(B159,2)))</f>
        <v>9</v>
      </c>
      <c r="M159" s="26" t="n">
        <f aca="false">IF(A159="","",IF(COUNTIFS($C$2:$C$5001,C159,$J$2:$J$5001,J159,$A$2:$A$5001,"&lt;"&amp;A159)=0,1,0))</f>
        <v>0</v>
      </c>
    </row>
    <row r="160" customFormat="false" ht="15" hidden="false" customHeight="false" outlineLevel="0" collapsed="false">
      <c r="A160" s="23" t="n">
        <v>45696.4590277778</v>
      </c>
      <c r="B160" s="24" t="s">
        <v>298</v>
      </c>
      <c r="C160" s="24" t="s">
        <v>108</v>
      </c>
      <c r="D160" s="24" t="s">
        <v>66</v>
      </c>
      <c r="E160" s="24" t="n">
        <v>189</v>
      </c>
      <c r="F160" s="25" t="n">
        <v>5950</v>
      </c>
      <c r="G160" s="24" t="s">
        <v>59</v>
      </c>
      <c r="H160" s="24" t="s">
        <v>60</v>
      </c>
      <c r="I160" s="24" t="s">
        <v>113</v>
      </c>
      <c r="J160" s="26" t="n">
        <f aca="false">IF(A160="","",YEAR(A160))</f>
        <v>2025</v>
      </c>
      <c r="K160" s="26" t="n">
        <f aca="false">IF(A160="","",MONTH(A160))</f>
        <v>2</v>
      </c>
      <c r="L160" s="26" t="n">
        <f aca="false">IF(B160="","",VALUE(LEFT(B160,2)))</f>
        <v>7</v>
      </c>
      <c r="M160" s="26" t="n">
        <f aca="false">IF(A160="","",IF(COUNTIFS($C$2:$C$5001,C160,$J$2:$J$5001,J160,$A$2:$A$5001,"&lt;"&amp;A160)=0,1,0))</f>
        <v>0</v>
      </c>
    </row>
    <row r="161" customFormat="false" ht="15" hidden="false" customHeight="false" outlineLevel="0" collapsed="false">
      <c r="A161" s="23" t="n">
        <v>45696.4666666667</v>
      </c>
      <c r="B161" s="24" t="s">
        <v>299</v>
      </c>
      <c r="C161" s="24" t="s">
        <v>105</v>
      </c>
      <c r="D161" s="24" t="s">
        <v>66</v>
      </c>
      <c r="E161" s="24" t="n">
        <v>168</v>
      </c>
      <c r="F161" s="25" t="n">
        <v>6000</v>
      </c>
      <c r="G161" s="24" t="s">
        <v>59</v>
      </c>
      <c r="H161" s="24" t="s">
        <v>55</v>
      </c>
      <c r="I161" s="24" t="s">
        <v>61</v>
      </c>
      <c r="J161" s="26" t="n">
        <f aca="false">IF(A161="","",YEAR(A161))</f>
        <v>2025</v>
      </c>
      <c r="K161" s="26" t="n">
        <f aca="false">IF(A161="","",MONTH(A161))</f>
        <v>2</v>
      </c>
      <c r="L161" s="26" t="n">
        <f aca="false">IF(B161="","",VALUE(LEFT(B161,2)))</f>
        <v>8</v>
      </c>
      <c r="M161" s="26" t="n">
        <f aca="false">IF(A161="","",IF(COUNTIFS($C$2:$C$5001,C161,$J$2:$J$5001,J161,$A$2:$A$5001,"&lt;"&amp;A161)=0,1,0))</f>
        <v>0</v>
      </c>
    </row>
    <row r="162" customFormat="false" ht="15" hidden="false" customHeight="false" outlineLevel="0" collapsed="false">
      <c r="A162" s="23" t="n">
        <v>45696.48125</v>
      </c>
      <c r="B162" s="24" t="s">
        <v>300</v>
      </c>
      <c r="C162" s="24" t="s">
        <v>160</v>
      </c>
      <c r="D162" s="24" t="s">
        <v>72</v>
      </c>
      <c r="E162" s="24" t="n">
        <v>151</v>
      </c>
      <c r="F162" s="25" t="n">
        <v>12000</v>
      </c>
      <c r="G162" s="24" t="s">
        <v>79</v>
      </c>
      <c r="H162" s="24" t="s">
        <v>80</v>
      </c>
      <c r="I162" s="24" t="s">
        <v>61</v>
      </c>
      <c r="J162" s="26" t="n">
        <f aca="false">IF(A162="","",YEAR(A162))</f>
        <v>2025</v>
      </c>
      <c r="K162" s="26" t="n">
        <f aca="false">IF(A162="","",MONTH(A162))</f>
        <v>2</v>
      </c>
      <c r="L162" s="26" t="n">
        <f aca="false">IF(B162="","",VALUE(LEFT(B162,2)))</f>
        <v>9</v>
      </c>
      <c r="M162" s="26" t="n">
        <f aca="false">IF(A162="","",IF(COUNTIFS($C$2:$C$5001,C162,$J$2:$J$5001,J162,$A$2:$A$5001,"&lt;"&amp;A162)=0,1,0))</f>
        <v>0</v>
      </c>
    </row>
    <row r="163" customFormat="false" ht="15" hidden="false" customHeight="false" outlineLevel="0" collapsed="false">
      <c r="A163" s="23" t="n">
        <v>45696.5833333333</v>
      </c>
      <c r="B163" s="24" t="s">
        <v>175</v>
      </c>
      <c r="C163" s="24" t="s">
        <v>301</v>
      </c>
      <c r="D163" s="24" t="s">
        <v>66</v>
      </c>
      <c r="E163" s="24" t="n">
        <v>362</v>
      </c>
      <c r="F163" s="25" t="n">
        <v>13000</v>
      </c>
      <c r="G163" s="24" t="s">
        <v>83</v>
      </c>
      <c r="H163" s="24" t="s">
        <v>55</v>
      </c>
      <c r="I163" s="24" t="s">
        <v>61</v>
      </c>
      <c r="J163" s="26" t="n">
        <f aca="false">IF(A163="","",YEAR(A163))</f>
        <v>2025</v>
      </c>
      <c r="K163" s="26" t="n">
        <f aca="false">IF(A163="","",MONTH(A163))</f>
        <v>2</v>
      </c>
      <c r="L163" s="26" t="n">
        <f aca="false">IF(B163="","",VALUE(LEFT(B163,2)))</f>
        <v>7</v>
      </c>
      <c r="M163" s="26" t="n">
        <f aca="false">IF(A163="","",IF(COUNTIFS($C$2:$C$5001,C163,$J$2:$J$5001,J163,$A$2:$A$5001,"&lt;"&amp;A163)=0,1,0))</f>
        <v>1</v>
      </c>
    </row>
    <row r="164" customFormat="false" ht="15" hidden="false" customHeight="false" outlineLevel="0" collapsed="false">
      <c r="A164" s="23" t="n">
        <v>45697.7520833333</v>
      </c>
      <c r="B164" s="24" t="s">
        <v>302</v>
      </c>
      <c r="C164" s="24" t="s">
        <v>197</v>
      </c>
      <c r="D164" s="24" t="s">
        <v>53</v>
      </c>
      <c r="E164" s="24" t="n">
        <v>395</v>
      </c>
      <c r="F164" s="25" t="n">
        <v>0</v>
      </c>
      <c r="G164" s="24" t="s">
        <v>79</v>
      </c>
      <c r="H164" s="24" t="s">
        <v>55</v>
      </c>
      <c r="I164" s="24" t="s">
        <v>56</v>
      </c>
      <c r="J164" s="26" t="n">
        <f aca="false">IF(A164="","",YEAR(A164))</f>
        <v>2025</v>
      </c>
      <c r="K164" s="26" t="n">
        <f aca="false">IF(A164="","",MONTH(A164))</f>
        <v>2</v>
      </c>
      <c r="L164" s="26" t="n">
        <f aca="false">IF(B164="","",VALUE(LEFT(B164,2)))</f>
        <v>11</v>
      </c>
      <c r="M164" s="26" t="n">
        <f aca="false">IF(A164="","",IF(COUNTIFS($C$2:$C$5001,C164,$J$2:$J$5001,J164,$A$2:$A$5001,"&lt;"&amp;A164)=0,1,0))</f>
        <v>0</v>
      </c>
    </row>
    <row r="165" customFormat="false" ht="15" hidden="false" customHeight="false" outlineLevel="0" collapsed="false">
      <c r="A165" s="23" t="n">
        <v>45697.8277777778</v>
      </c>
      <c r="B165" s="24" t="s">
        <v>200</v>
      </c>
      <c r="C165" s="24" t="s">
        <v>263</v>
      </c>
      <c r="D165" s="24" t="s">
        <v>66</v>
      </c>
      <c r="E165" s="24" t="n">
        <v>146</v>
      </c>
      <c r="F165" s="25" t="n">
        <v>5000</v>
      </c>
      <c r="G165" s="24" t="s">
        <v>79</v>
      </c>
      <c r="H165" s="24" t="s">
        <v>60</v>
      </c>
      <c r="I165" s="24" t="s">
        <v>61</v>
      </c>
      <c r="J165" s="26" t="n">
        <f aca="false">IF(A165="","",YEAR(A165))</f>
        <v>2025</v>
      </c>
      <c r="K165" s="26" t="n">
        <f aca="false">IF(A165="","",MONTH(A165))</f>
        <v>2</v>
      </c>
      <c r="L165" s="26" t="n">
        <f aca="false">IF(B165="","",VALUE(LEFT(B165,2)))</f>
        <v>17</v>
      </c>
      <c r="M165" s="26" t="n">
        <f aca="false">IF(A165="","",IF(COUNTIFS($C$2:$C$5001,C165,$J$2:$J$5001,J165,$A$2:$A$5001,"&lt;"&amp;A165)=0,1,0))</f>
        <v>0</v>
      </c>
    </row>
    <row r="166" customFormat="false" ht="15" hidden="false" customHeight="false" outlineLevel="0" collapsed="false">
      <c r="A166" s="23" t="n">
        <v>45698.1409722222</v>
      </c>
      <c r="B166" s="24" t="s">
        <v>303</v>
      </c>
      <c r="C166" s="24" t="s">
        <v>277</v>
      </c>
      <c r="D166" s="24" t="s">
        <v>53</v>
      </c>
      <c r="E166" s="24" t="n">
        <v>398</v>
      </c>
      <c r="F166" s="25" t="n">
        <v>0</v>
      </c>
      <c r="G166" s="24" t="s">
        <v>59</v>
      </c>
      <c r="H166" s="24" t="s">
        <v>80</v>
      </c>
      <c r="I166" s="24" t="s">
        <v>56</v>
      </c>
      <c r="J166" s="26" t="n">
        <f aca="false">IF(A166="","",YEAR(A166))</f>
        <v>2025</v>
      </c>
      <c r="K166" s="26" t="n">
        <f aca="false">IF(A166="","",MONTH(A166))</f>
        <v>2</v>
      </c>
      <c r="L166" s="26" t="n">
        <f aca="false">IF(B166="","",VALUE(LEFT(B166,2)))</f>
        <v>20</v>
      </c>
      <c r="M166" s="26" t="n">
        <f aca="false">IF(A166="","",IF(COUNTIFS($C$2:$C$5001,C166,$J$2:$J$5001,J166,$A$2:$A$5001,"&lt;"&amp;A166)=0,1,0))</f>
        <v>0</v>
      </c>
    </row>
    <row r="167" customFormat="false" ht="15" hidden="false" customHeight="false" outlineLevel="0" collapsed="false">
      <c r="A167" s="23" t="n">
        <v>45698.5548611111</v>
      </c>
      <c r="B167" s="24" t="s">
        <v>304</v>
      </c>
      <c r="C167" s="24" t="s">
        <v>194</v>
      </c>
      <c r="D167" s="24" t="s">
        <v>66</v>
      </c>
      <c r="E167" s="24" t="n">
        <v>273</v>
      </c>
      <c r="F167" s="25" t="n">
        <v>10000</v>
      </c>
      <c r="G167" s="24" t="s">
        <v>59</v>
      </c>
      <c r="H167" s="24" t="s">
        <v>80</v>
      </c>
      <c r="I167" s="24" t="s">
        <v>61</v>
      </c>
      <c r="J167" s="26" t="n">
        <f aca="false">IF(A167="","",YEAR(A167))</f>
        <v>2025</v>
      </c>
      <c r="K167" s="26" t="n">
        <f aca="false">IF(A167="","",MONTH(A167))</f>
        <v>2</v>
      </c>
      <c r="L167" s="26" t="n">
        <f aca="false">IF(B167="","",VALUE(LEFT(B167,2)))</f>
        <v>8</v>
      </c>
      <c r="M167" s="26" t="n">
        <f aca="false">IF(A167="","",IF(COUNTIFS($C$2:$C$5001,C167,$J$2:$J$5001,J167,$A$2:$A$5001,"&lt;"&amp;A167)=0,1,0))</f>
        <v>0</v>
      </c>
    </row>
    <row r="168" customFormat="false" ht="15" hidden="false" customHeight="false" outlineLevel="0" collapsed="false">
      <c r="A168" s="23" t="n">
        <v>45698.5854166667</v>
      </c>
      <c r="B168" s="24" t="s">
        <v>305</v>
      </c>
      <c r="C168" s="24" t="s">
        <v>306</v>
      </c>
      <c r="D168" s="24" t="s">
        <v>66</v>
      </c>
      <c r="E168" s="24" t="n">
        <v>312</v>
      </c>
      <c r="F168" s="25" t="n">
        <v>0</v>
      </c>
      <c r="G168" s="24" t="s">
        <v>69</v>
      </c>
      <c r="H168" s="24" t="s">
        <v>60</v>
      </c>
      <c r="I168" s="24" t="s">
        <v>56</v>
      </c>
      <c r="J168" s="26" t="n">
        <f aca="false">IF(A168="","",YEAR(A168))</f>
        <v>2025</v>
      </c>
      <c r="K168" s="26" t="n">
        <f aca="false">IF(A168="","",MONTH(A168))</f>
        <v>2</v>
      </c>
      <c r="L168" s="26" t="n">
        <f aca="false">IF(B168="","",VALUE(LEFT(B168,2)))</f>
        <v>8</v>
      </c>
      <c r="M168" s="26" t="n">
        <f aca="false">IF(A168="","",IF(COUNTIFS($C$2:$C$5001,C168,$J$2:$J$5001,J168,$A$2:$A$5001,"&lt;"&amp;A168)=0,1,0))</f>
        <v>1</v>
      </c>
    </row>
    <row r="169" customFormat="false" ht="15" hidden="false" customHeight="false" outlineLevel="0" collapsed="false">
      <c r="A169" s="23" t="n">
        <v>45698.8138888889</v>
      </c>
      <c r="B169" s="24" t="s">
        <v>307</v>
      </c>
      <c r="C169" s="24" t="s">
        <v>166</v>
      </c>
      <c r="D169" s="24" t="s">
        <v>88</v>
      </c>
      <c r="E169" s="24" t="n">
        <v>280</v>
      </c>
      <c r="F169" s="25" t="n">
        <v>15000</v>
      </c>
      <c r="G169" s="24" t="s">
        <v>79</v>
      </c>
      <c r="H169" s="24" t="s">
        <v>80</v>
      </c>
      <c r="I169" s="24" t="s">
        <v>61</v>
      </c>
      <c r="J169" s="26" t="n">
        <f aca="false">IF(A169="","",YEAR(A169))</f>
        <v>2025</v>
      </c>
      <c r="K169" s="26" t="n">
        <f aca="false">IF(A169="","",MONTH(A169))</f>
        <v>2</v>
      </c>
      <c r="L169" s="26" t="n">
        <f aca="false">IF(B169="","",VALUE(LEFT(B169,2)))</f>
        <v>14</v>
      </c>
      <c r="M169" s="26" t="n">
        <f aca="false">IF(A169="","",IF(COUNTIFS($C$2:$C$5001,C169,$J$2:$J$5001,J169,$A$2:$A$5001,"&lt;"&amp;A169)=0,1,0))</f>
        <v>0</v>
      </c>
    </row>
    <row r="170" customFormat="false" ht="15" hidden="false" customHeight="false" outlineLevel="0" collapsed="false">
      <c r="A170" s="23" t="n">
        <v>45698.8493055556</v>
      </c>
      <c r="B170" s="24" t="s">
        <v>308</v>
      </c>
      <c r="C170" s="24" t="s">
        <v>309</v>
      </c>
      <c r="D170" s="24" t="s">
        <v>66</v>
      </c>
      <c r="E170" s="24" t="n">
        <v>167</v>
      </c>
      <c r="F170" s="25" t="n">
        <v>6000</v>
      </c>
      <c r="G170" s="24" t="s">
        <v>79</v>
      </c>
      <c r="H170" s="24" t="s">
        <v>55</v>
      </c>
      <c r="I170" s="24" t="s">
        <v>61</v>
      </c>
      <c r="J170" s="26" t="n">
        <f aca="false">IF(A170="","",YEAR(A170))</f>
        <v>2025</v>
      </c>
      <c r="K170" s="26" t="n">
        <f aca="false">IF(A170="","",MONTH(A170))</f>
        <v>2</v>
      </c>
      <c r="L170" s="26" t="n">
        <f aca="false">IF(B170="","",VALUE(LEFT(B170,2)))</f>
        <v>17</v>
      </c>
      <c r="M170" s="26" t="n">
        <f aca="false">IF(A170="","",IF(COUNTIFS($C$2:$C$5001,C170,$J$2:$J$5001,J170,$A$2:$A$5001,"&lt;"&amp;A170)=0,1,0))</f>
        <v>1</v>
      </c>
    </row>
    <row r="171" customFormat="false" ht="15" hidden="false" customHeight="false" outlineLevel="0" collapsed="false">
      <c r="A171" s="23" t="n">
        <v>45699.3111111111</v>
      </c>
      <c r="B171" s="24" t="s">
        <v>117</v>
      </c>
      <c r="C171" s="24" t="s">
        <v>203</v>
      </c>
      <c r="D171" s="24" t="s">
        <v>53</v>
      </c>
      <c r="E171" s="24" t="n">
        <v>66</v>
      </c>
      <c r="F171" s="25" t="n">
        <v>1500</v>
      </c>
      <c r="G171" s="24" t="s">
        <v>69</v>
      </c>
      <c r="H171" s="24" t="s">
        <v>80</v>
      </c>
      <c r="I171" s="24" t="s">
        <v>61</v>
      </c>
      <c r="J171" s="26" t="n">
        <f aca="false">IF(A171="","",YEAR(A171))</f>
        <v>2025</v>
      </c>
      <c r="K171" s="26" t="n">
        <f aca="false">IF(A171="","",MONTH(A171))</f>
        <v>2</v>
      </c>
      <c r="L171" s="26" t="n">
        <f aca="false">IF(B171="","",VALUE(LEFT(B171,2)))</f>
        <v>6</v>
      </c>
      <c r="M171" s="26" t="n">
        <f aca="false">IF(A171="","",IF(COUNTIFS($C$2:$C$5001,C171,$J$2:$J$5001,J171,$A$2:$A$5001,"&lt;"&amp;A171)=0,1,0))</f>
        <v>0</v>
      </c>
    </row>
    <row r="172" customFormat="false" ht="15" hidden="false" customHeight="false" outlineLevel="0" collapsed="false">
      <c r="A172" s="23" t="n">
        <v>45699.4833333333</v>
      </c>
      <c r="B172" s="24" t="s">
        <v>310</v>
      </c>
      <c r="C172" s="24" t="s">
        <v>143</v>
      </c>
      <c r="D172" s="24" t="s">
        <v>53</v>
      </c>
      <c r="E172" s="24" t="n">
        <v>309</v>
      </c>
      <c r="F172" s="25" t="n">
        <v>0</v>
      </c>
      <c r="G172" s="24" t="s">
        <v>59</v>
      </c>
      <c r="H172" s="24" t="s">
        <v>80</v>
      </c>
      <c r="I172" s="24" t="s">
        <v>56</v>
      </c>
      <c r="J172" s="26" t="n">
        <f aca="false">IF(A172="","",YEAR(A172))</f>
        <v>2025</v>
      </c>
      <c r="K172" s="26" t="n">
        <f aca="false">IF(A172="","",MONTH(A172))</f>
        <v>2</v>
      </c>
      <c r="L172" s="26" t="n">
        <f aca="false">IF(B172="","",VALUE(LEFT(B172,2)))</f>
        <v>6</v>
      </c>
      <c r="M172" s="26" t="n">
        <f aca="false">IF(A172="","",IF(COUNTIFS($C$2:$C$5001,C172,$J$2:$J$5001,J172,$A$2:$A$5001,"&lt;"&amp;A172)=0,1,0))</f>
        <v>0</v>
      </c>
    </row>
    <row r="173" customFormat="false" ht="15" hidden="false" customHeight="false" outlineLevel="0" collapsed="false">
      <c r="A173" s="23" t="n">
        <v>45699.4840277778</v>
      </c>
      <c r="B173" s="24" t="s">
        <v>311</v>
      </c>
      <c r="C173" s="24" t="s">
        <v>312</v>
      </c>
      <c r="D173" s="24" t="s">
        <v>66</v>
      </c>
      <c r="E173" s="24" t="n">
        <v>316</v>
      </c>
      <c r="F173" s="25" t="n">
        <v>11000</v>
      </c>
      <c r="G173" s="24" t="s">
        <v>59</v>
      </c>
      <c r="H173" s="24" t="s">
        <v>80</v>
      </c>
      <c r="I173" s="24" t="s">
        <v>61</v>
      </c>
      <c r="J173" s="26" t="n">
        <f aca="false">IF(A173="","",YEAR(A173))</f>
        <v>2025</v>
      </c>
      <c r="K173" s="26" t="n">
        <f aca="false">IF(A173="","",MONTH(A173))</f>
        <v>2</v>
      </c>
      <c r="L173" s="26" t="n">
        <f aca="false">IF(B173="","",VALUE(LEFT(B173,2)))</f>
        <v>6</v>
      </c>
      <c r="M173" s="26" t="n">
        <f aca="false">IF(A173="","",IF(COUNTIFS($C$2:$C$5001,C173,$J$2:$J$5001,J173,$A$2:$A$5001,"&lt;"&amp;A173)=0,1,0))</f>
        <v>1</v>
      </c>
    </row>
    <row r="174" customFormat="false" ht="15" hidden="false" customHeight="false" outlineLevel="0" collapsed="false">
      <c r="A174" s="23" t="n">
        <v>45699.5361111111</v>
      </c>
      <c r="B174" s="24" t="s">
        <v>313</v>
      </c>
      <c r="C174" s="24" t="s">
        <v>314</v>
      </c>
      <c r="D174" s="24" t="s">
        <v>53</v>
      </c>
      <c r="E174" s="24" t="n">
        <v>89</v>
      </c>
      <c r="F174" s="25" t="n">
        <v>1500</v>
      </c>
      <c r="G174" s="24" t="s">
        <v>59</v>
      </c>
      <c r="H174" s="24" t="s">
        <v>80</v>
      </c>
      <c r="I174" s="24" t="s">
        <v>61</v>
      </c>
      <c r="J174" s="26" t="n">
        <f aca="false">IF(A174="","",YEAR(A174))</f>
        <v>2025</v>
      </c>
      <c r="K174" s="26" t="n">
        <f aca="false">IF(A174="","",MONTH(A174))</f>
        <v>2</v>
      </c>
      <c r="L174" s="26" t="n">
        <f aca="false">IF(B174="","",VALUE(LEFT(B174,2)))</f>
        <v>11</v>
      </c>
      <c r="M174" s="26" t="n">
        <f aca="false">IF(A174="","",IF(COUNTIFS($C$2:$C$5001,C174,$J$2:$J$5001,J174,$A$2:$A$5001,"&lt;"&amp;A174)=0,1,0))</f>
        <v>1</v>
      </c>
    </row>
    <row r="175" customFormat="false" ht="15" hidden="false" customHeight="false" outlineLevel="0" collapsed="false">
      <c r="A175" s="23" t="n">
        <v>45699.5888888889</v>
      </c>
      <c r="B175" s="24" t="s">
        <v>315</v>
      </c>
      <c r="C175" s="24" t="s">
        <v>316</v>
      </c>
      <c r="D175" s="24" t="s">
        <v>53</v>
      </c>
      <c r="E175" s="24" t="n">
        <v>51</v>
      </c>
      <c r="F175" s="25" t="n">
        <v>1000</v>
      </c>
      <c r="G175" s="24" t="s">
        <v>59</v>
      </c>
      <c r="H175" s="24" t="s">
        <v>55</v>
      </c>
      <c r="I175" s="24" t="s">
        <v>61</v>
      </c>
      <c r="J175" s="26" t="n">
        <f aca="false">IF(A175="","",YEAR(A175))</f>
        <v>2025</v>
      </c>
      <c r="K175" s="26" t="n">
        <f aca="false">IF(A175="","",MONTH(A175))</f>
        <v>2</v>
      </c>
      <c r="L175" s="26" t="n">
        <f aca="false">IF(B175="","",VALUE(LEFT(B175,2)))</f>
        <v>13</v>
      </c>
      <c r="M175" s="26" t="n">
        <f aca="false">IF(A175="","",IF(COUNTIFS($C$2:$C$5001,C175,$J$2:$J$5001,J175,$A$2:$A$5001,"&lt;"&amp;A175)=0,1,0))</f>
        <v>1</v>
      </c>
    </row>
    <row r="176" customFormat="false" ht="15" hidden="false" customHeight="false" outlineLevel="0" collapsed="false">
      <c r="A176" s="23" t="n">
        <v>45699.7319444444</v>
      </c>
      <c r="B176" s="24" t="s">
        <v>146</v>
      </c>
      <c r="C176" s="24" t="s">
        <v>317</v>
      </c>
      <c r="D176" s="24" t="s">
        <v>72</v>
      </c>
      <c r="E176" s="24" t="n">
        <v>53</v>
      </c>
      <c r="F176" s="25" t="n">
        <v>4000</v>
      </c>
      <c r="G176" s="24" t="s">
        <v>59</v>
      </c>
      <c r="H176" s="24" t="s">
        <v>80</v>
      </c>
      <c r="I176" s="24" t="s">
        <v>61</v>
      </c>
      <c r="J176" s="26" t="n">
        <f aca="false">IF(A176="","",YEAR(A176))</f>
        <v>2025</v>
      </c>
      <c r="K176" s="26" t="n">
        <f aca="false">IF(A176="","",MONTH(A176))</f>
        <v>2</v>
      </c>
      <c r="L176" s="26" t="n">
        <f aca="false">IF(B176="","",VALUE(LEFT(B176,2)))</f>
        <v>16</v>
      </c>
      <c r="M176" s="26" t="n">
        <f aca="false">IF(A176="","",IF(COUNTIFS($C$2:$C$5001,C176,$J$2:$J$5001,J176,$A$2:$A$5001,"&lt;"&amp;A176)=0,1,0))</f>
        <v>1</v>
      </c>
    </row>
    <row r="177" customFormat="false" ht="15" hidden="false" customHeight="false" outlineLevel="0" collapsed="false">
      <c r="A177" s="23" t="n">
        <v>45700.4416666667</v>
      </c>
      <c r="B177" s="24" t="s">
        <v>318</v>
      </c>
      <c r="C177" s="24" t="s">
        <v>203</v>
      </c>
      <c r="D177" s="24" t="s">
        <v>66</v>
      </c>
      <c r="E177" s="24" t="n">
        <v>111</v>
      </c>
      <c r="F177" s="25" t="n">
        <v>4000</v>
      </c>
      <c r="G177" s="24" t="s">
        <v>69</v>
      </c>
      <c r="H177" s="24" t="s">
        <v>80</v>
      </c>
      <c r="I177" s="24" t="s">
        <v>61</v>
      </c>
      <c r="J177" s="26" t="n">
        <f aca="false">IF(A177="","",YEAR(A177))</f>
        <v>2025</v>
      </c>
      <c r="K177" s="26" t="n">
        <f aca="false">IF(A177="","",MONTH(A177))</f>
        <v>2</v>
      </c>
      <c r="L177" s="26" t="n">
        <f aca="false">IF(B177="","",VALUE(LEFT(B177,2)))</f>
        <v>8</v>
      </c>
      <c r="M177" s="26" t="n">
        <f aca="false">IF(A177="","",IF(COUNTIFS($C$2:$C$5001,C177,$J$2:$J$5001,J177,$A$2:$A$5001,"&lt;"&amp;A177)=0,1,0))</f>
        <v>0</v>
      </c>
    </row>
    <row r="178" customFormat="false" ht="15" hidden="false" customHeight="false" outlineLevel="0" collapsed="false">
      <c r="A178" s="23" t="n">
        <v>45700.4583333333</v>
      </c>
      <c r="B178" s="24" t="s">
        <v>319</v>
      </c>
      <c r="C178" s="24" t="s">
        <v>222</v>
      </c>
      <c r="D178" s="24" t="s">
        <v>66</v>
      </c>
      <c r="E178" s="24" t="n">
        <v>169</v>
      </c>
      <c r="F178" s="25" t="n">
        <v>0</v>
      </c>
      <c r="G178" s="24" t="s">
        <v>59</v>
      </c>
      <c r="H178" s="24" t="s">
        <v>55</v>
      </c>
      <c r="I178" s="24" t="s">
        <v>56</v>
      </c>
      <c r="J178" s="26" t="n">
        <f aca="false">IF(A178="","",YEAR(A178))</f>
        <v>2025</v>
      </c>
      <c r="K178" s="26" t="n">
        <f aca="false">IF(A178="","",MONTH(A178))</f>
        <v>2</v>
      </c>
      <c r="L178" s="26" t="n">
        <f aca="false">IF(B178="","",VALUE(LEFT(B178,2)))</f>
        <v>8</v>
      </c>
      <c r="M178" s="26" t="n">
        <f aca="false">IF(A178="","",IF(COUNTIFS($C$2:$C$5001,C178,$J$2:$J$5001,J178,$A$2:$A$5001,"&lt;"&amp;A178)=0,1,0))</f>
        <v>0</v>
      </c>
    </row>
    <row r="179" customFormat="false" ht="15" hidden="false" customHeight="false" outlineLevel="0" collapsed="false">
      <c r="A179" s="23" t="n">
        <v>45700.5256944444</v>
      </c>
      <c r="B179" s="24" t="s">
        <v>64</v>
      </c>
      <c r="C179" s="24" t="s">
        <v>220</v>
      </c>
      <c r="D179" s="24" t="s">
        <v>66</v>
      </c>
      <c r="E179" s="24" t="n">
        <v>303</v>
      </c>
      <c r="F179" s="25" t="n">
        <v>11000</v>
      </c>
      <c r="G179" s="24" t="s">
        <v>59</v>
      </c>
      <c r="H179" s="24" t="s">
        <v>80</v>
      </c>
      <c r="I179" s="24" t="s">
        <v>61</v>
      </c>
      <c r="J179" s="26" t="n">
        <f aca="false">IF(A179="","",YEAR(A179))</f>
        <v>2025</v>
      </c>
      <c r="K179" s="26" t="n">
        <f aca="false">IF(A179="","",MONTH(A179))</f>
        <v>2</v>
      </c>
      <c r="L179" s="26" t="n">
        <f aca="false">IF(B179="","",VALUE(LEFT(B179,2)))</f>
        <v>7</v>
      </c>
      <c r="M179" s="26" t="n">
        <f aca="false">IF(A179="","",IF(COUNTIFS($C$2:$C$5001,C179,$J$2:$J$5001,J179,$A$2:$A$5001,"&lt;"&amp;A179)=0,1,0))</f>
        <v>0</v>
      </c>
    </row>
    <row r="180" customFormat="false" ht="15" hidden="false" customHeight="false" outlineLevel="0" collapsed="false">
      <c r="A180" s="23" t="n">
        <v>45700.6902777778</v>
      </c>
      <c r="B180" s="24" t="s">
        <v>320</v>
      </c>
      <c r="C180" s="24" t="s">
        <v>224</v>
      </c>
      <c r="D180" s="24" t="s">
        <v>127</v>
      </c>
      <c r="E180" s="24" t="n">
        <v>23</v>
      </c>
      <c r="F180" s="25" t="n">
        <v>1750</v>
      </c>
      <c r="G180" s="24" t="s">
        <v>59</v>
      </c>
      <c r="H180" s="24" t="s">
        <v>60</v>
      </c>
      <c r="I180" s="24" t="s">
        <v>61</v>
      </c>
      <c r="J180" s="26" t="n">
        <f aca="false">IF(A180="","",YEAR(A180))</f>
        <v>2025</v>
      </c>
      <c r="K180" s="26" t="n">
        <f aca="false">IF(A180="","",MONTH(A180))</f>
        <v>2</v>
      </c>
      <c r="L180" s="26" t="n">
        <f aca="false">IF(B180="","",VALUE(LEFT(B180,2)))</f>
        <v>16</v>
      </c>
      <c r="M180" s="26" t="n">
        <f aca="false">IF(A180="","",IF(COUNTIFS($C$2:$C$5001,C180,$J$2:$J$5001,J180,$A$2:$A$5001,"&lt;"&amp;A180)=0,1,0))</f>
        <v>0</v>
      </c>
    </row>
    <row r="181" customFormat="false" ht="15" hidden="false" customHeight="false" outlineLevel="0" collapsed="false">
      <c r="A181" s="23" t="n">
        <v>45700.8076388889</v>
      </c>
      <c r="B181" s="24" t="s">
        <v>321</v>
      </c>
      <c r="C181" s="24" t="s">
        <v>138</v>
      </c>
      <c r="D181" s="24" t="s">
        <v>88</v>
      </c>
      <c r="E181" s="24" t="n">
        <v>52</v>
      </c>
      <c r="F181" s="25" t="n">
        <v>3000</v>
      </c>
      <c r="G181" s="24" t="s">
        <v>59</v>
      </c>
      <c r="H181" s="24" t="s">
        <v>55</v>
      </c>
      <c r="I181" s="24" t="s">
        <v>61</v>
      </c>
      <c r="J181" s="26" t="n">
        <f aca="false">IF(A181="","",YEAR(A181))</f>
        <v>2025</v>
      </c>
      <c r="K181" s="26" t="n">
        <f aca="false">IF(A181="","",MONTH(A181))</f>
        <v>2</v>
      </c>
      <c r="L181" s="26" t="n">
        <f aca="false">IF(B181="","",VALUE(LEFT(B181,2)))</f>
        <v>18</v>
      </c>
      <c r="M181" s="26" t="n">
        <f aca="false">IF(A181="","",IF(COUNTIFS($C$2:$C$5001,C181,$J$2:$J$5001,J181,$A$2:$A$5001,"&lt;"&amp;A181)=0,1,0))</f>
        <v>0</v>
      </c>
    </row>
    <row r="182" customFormat="false" ht="15" hidden="false" customHeight="false" outlineLevel="0" collapsed="false">
      <c r="A182" s="23" t="n">
        <v>45700.8819444445</v>
      </c>
      <c r="B182" s="24" t="s">
        <v>322</v>
      </c>
      <c r="C182" s="24" t="s">
        <v>160</v>
      </c>
      <c r="D182" s="24" t="s">
        <v>66</v>
      </c>
      <c r="E182" s="24" t="n">
        <v>106</v>
      </c>
      <c r="F182" s="25" t="n">
        <v>3400</v>
      </c>
      <c r="G182" s="24" t="s">
        <v>59</v>
      </c>
      <c r="H182" s="24" t="s">
        <v>80</v>
      </c>
      <c r="I182" s="24" t="s">
        <v>113</v>
      </c>
      <c r="J182" s="26" t="n">
        <f aca="false">IF(A182="","",YEAR(A182))</f>
        <v>2025</v>
      </c>
      <c r="K182" s="26" t="n">
        <f aca="false">IF(A182="","",MONTH(A182))</f>
        <v>2</v>
      </c>
      <c r="L182" s="26" t="n">
        <f aca="false">IF(B182="","",VALUE(LEFT(B182,2)))</f>
        <v>19</v>
      </c>
      <c r="M182" s="26" t="n">
        <f aca="false">IF(A182="","",IF(COUNTIFS($C$2:$C$5001,C182,$J$2:$J$5001,J182,$A$2:$A$5001,"&lt;"&amp;A182)=0,1,0))</f>
        <v>0</v>
      </c>
    </row>
    <row r="183" customFormat="false" ht="15" hidden="false" customHeight="false" outlineLevel="0" collapsed="false">
      <c r="A183" s="23" t="n">
        <v>45701.3180555556</v>
      </c>
      <c r="B183" s="24" t="s">
        <v>323</v>
      </c>
      <c r="C183" s="24" t="s">
        <v>98</v>
      </c>
      <c r="D183" s="24" t="s">
        <v>66</v>
      </c>
      <c r="E183" s="24" t="n">
        <v>58</v>
      </c>
      <c r="F183" s="25" t="n">
        <v>2000</v>
      </c>
      <c r="G183" s="24" t="s">
        <v>59</v>
      </c>
      <c r="H183" s="24" t="s">
        <v>60</v>
      </c>
      <c r="I183" s="24" t="s">
        <v>61</v>
      </c>
      <c r="J183" s="26" t="n">
        <f aca="false">IF(A183="","",YEAR(A183))</f>
        <v>2025</v>
      </c>
      <c r="K183" s="26" t="n">
        <f aca="false">IF(A183="","",MONTH(A183))</f>
        <v>2</v>
      </c>
      <c r="L183" s="26" t="n">
        <f aca="false">IF(B183="","",VALUE(LEFT(B183,2)))</f>
        <v>6</v>
      </c>
      <c r="M183" s="26" t="n">
        <f aca="false">IF(A183="","",IF(COUNTIFS($C$2:$C$5001,C183,$J$2:$J$5001,J183,$A$2:$A$5001,"&lt;"&amp;A183)=0,1,0))</f>
        <v>0</v>
      </c>
    </row>
    <row r="184" customFormat="false" ht="15" hidden="false" customHeight="false" outlineLevel="0" collapsed="false">
      <c r="A184" s="23" t="n">
        <v>45701.3777777778</v>
      </c>
      <c r="B184" s="24" t="s">
        <v>272</v>
      </c>
      <c r="C184" s="24" t="s">
        <v>324</v>
      </c>
      <c r="D184" s="24" t="s">
        <v>53</v>
      </c>
      <c r="E184" s="24" t="n">
        <v>27</v>
      </c>
      <c r="F184" s="25" t="n">
        <v>500</v>
      </c>
      <c r="G184" s="24" t="s">
        <v>69</v>
      </c>
      <c r="H184" s="24" t="s">
        <v>55</v>
      </c>
      <c r="I184" s="24" t="s">
        <v>61</v>
      </c>
      <c r="J184" s="26" t="n">
        <f aca="false">IF(A184="","",YEAR(A184))</f>
        <v>2025</v>
      </c>
      <c r="K184" s="26" t="n">
        <f aca="false">IF(A184="","",MONTH(A184))</f>
        <v>2</v>
      </c>
      <c r="L184" s="26" t="n">
        <f aca="false">IF(B184="","",VALUE(LEFT(B184,2)))</f>
        <v>8</v>
      </c>
      <c r="M184" s="26" t="n">
        <f aca="false">IF(A184="","",IF(COUNTIFS($C$2:$C$5001,C184,$J$2:$J$5001,J184,$A$2:$A$5001,"&lt;"&amp;A184)=0,1,0))</f>
        <v>1</v>
      </c>
    </row>
    <row r="185" customFormat="false" ht="15" hidden="false" customHeight="false" outlineLevel="0" collapsed="false">
      <c r="A185" s="23" t="n">
        <v>45701.43125</v>
      </c>
      <c r="B185" s="24" t="s">
        <v>325</v>
      </c>
      <c r="C185" s="24" t="s">
        <v>312</v>
      </c>
      <c r="D185" s="24" t="s">
        <v>72</v>
      </c>
      <c r="E185" s="24" t="n">
        <v>29</v>
      </c>
      <c r="F185" s="25" t="n">
        <v>2000</v>
      </c>
      <c r="G185" s="24" t="s">
        <v>59</v>
      </c>
      <c r="H185" s="24" t="s">
        <v>60</v>
      </c>
      <c r="I185" s="24" t="s">
        <v>61</v>
      </c>
      <c r="J185" s="26" t="n">
        <f aca="false">IF(A185="","",YEAR(A185))</f>
        <v>2025</v>
      </c>
      <c r="K185" s="26" t="n">
        <f aca="false">IF(A185="","",MONTH(A185))</f>
        <v>2</v>
      </c>
      <c r="L185" s="26" t="n">
        <f aca="false">IF(B185="","",VALUE(LEFT(B185,2)))</f>
        <v>9</v>
      </c>
      <c r="M185" s="26" t="n">
        <f aca="false">IF(A185="","",IF(COUNTIFS($C$2:$C$5001,C185,$J$2:$J$5001,J185,$A$2:$A$5001,"&lt;"&amp;A185)=0,1,0))</f>
        <v>0</v>
      </c>
    </row>
    <row r="186" customFormat="false" ht="15" hidden="false" customHeight="false" outlineLevel="0" collapsed="false">
      <c r="A186" s="23" t="n">
        <v>45701.5972222222</v>
      </c>
      <c r="B186" s="24" t="s">
        <v>326</v>
      </c>
      <c r="C186" s="24" t="s">
        <v>52</v>
      </c>
      <c r="D186" s="24" t="s">
        <v>66</v>
      </c>
      <c r="E186" s="24" t="n">
        <v>308</v>
      </c>
      <c r="F186" s="25" t="n">
        <v>11000</v>
      </c>
      <c r="G186" s="24" t="s">
        <v>59</v>
      </c>
      <c r="H186" s="24" t="s">
        <v>80</v>
      </c>
      <c r="I186" s="24" t="s">
        <v>61</v>
      </c>
      <c r="J186" s="26" t="n">
        <f aca="false">IF(A186="","",YEAR(A186))</f>
        <v>2025</v>
      </c>
      <c r="K186" s="26" t="n">
        <f aca="false">IF(A186="","",MONTH(A186))</f>
        <v>2</v>
      </c>
      <c r="L186" s="26" t="n">
        <f aca="false">IF(B186="","",VALUE(LEFT(B186,2)))</f>
        <v>9</v>
      </c>
      <c r="M186" s="26" t="n">
        <f aca="false">IF(A186="","",IF(COUNTIFS($C$2:$C$5001,C186,$J$2:$J$5001,J186,$A$2:$A$5001,"&lt;"&amp;A186)=0,1,0))</f>
        <v>0</v>
      </c>
    </row>
    <row r="187" customFormat="false" ht="15" hidden="false" customHeight="false" outlineLevel="0" collapsed="false">
      <c r="A187" s="23" t="n">
        <v>45701.6680555556</v>
      </c>
      <c r="B187" s="24" t="s">
        <v>327</v>
      </c>
      <c r="C187" s="24" t="s">
        <v>271</v>
      </c>
      <c r="D187" s="24" t="s">
        <v>66</v>
      </c>
      <c r="E187" s="24" t="n">
        <v>251</v>
      </c>
      <c r="F187" s="25" t="n">
        <v>9000</v>
      </c>
      <c r="G187" s="24" t="s">
        <v>59</v>
      </c>
      <c r="H187" s="24" t="s">
        <v>80</v>
      </c>
      <c r="I187" s="24" t="s">
        <v>61</v>
      </c>
      <c r="J187" s="26" t="n">
        <f aca="false">IF(A187="","",YEAR(A187))</f>
        <v>2025</v>
      </c>
      <c r="K187" s="26" t="n">
        <f aca="false">IF(A187="","",MONTH(A187))</f>
        <v>2</v>
      </c>
      <c r="L187" s="26" t="n">
        <f aca="false">IF(B187="","",VALUE(LEFT(B187,2)))</f>
        <v>11</v>
      </c>
      <c r="M187" s="26" t="n">
        <f aca="false">IF(A187="","",IF(COUNTIFS($C$2:$C$5001,C187,$J$2:$J$5001,J187,$A$2:$A$5001,"&lt;"&amp;A187)=0,1,0))</f>
        <v>0</v>
      </c>
    </row>
    <row r="188" customFormat="false" ht="15" hidden="false" customHeight="false" outlineLevel="0" collapsed="false">
      <c r="A188" s="23" t="n">
        <v>45701.7270833333</v>
      </c>
      <c r="B188" s="24" t="s">
        <v>328</v>
      </c>
      <c r="C188" s="24" t="s">
        <v>213</v>
      </c>
      <c r="D188" s="24" t="s">
        <v>66</v>
      </c>
      <c r="E188" s="24" t="n">
        <v>332</v>
      </c>
      <c r="F188" s="25" t="n">
        <v>12000</v>
      </c>
      <c r="G188" s="24" t="s">
        <v>54</v>
      </c>
      <c r="H188" s="24" t="s">
        <v>55</v>
      </c>
      <c r="I188" s="24" t="s">
        <v>61</v>
      </c>
      <c r="J188" s="26" t="n">
        <f aca="false">IF(A188="","",YEAR(A188))</f>
        <v>2025</v>
      </c>
      <c r="K188" s="26" t="n">
        <f aca="false">IF(A188="","",MONTH(A188))</f>
        <v>2</v>
      </c>
      <c r="L188" s="26" t="n">
        <f aca="false">IF(B188="","",VALUE(LEFT(B188,2)))</f>
        <v>11</v>
      </c>
      <c r="M188" s="26" t="n">
        <f aca="false">IF(A188="","",IF(COUNTIFS($C$2:$C$5001,C188,$J$2:$J$5001,J188,$A$2:$A$5001,"&lt;"&amp;A188)=0,1,0))</f>
        <v>0</v>
      </c>
    </row>
    <row r="189" customFormat="false" ht="15" hidden="false" customHeight="false" outlineLevel="0" collapsed="false">
      <c r="A189" s="23" t="n">
        <v>45701.9375</v>
      </c>
      <c r="B189" s="24" t="s">
        <v>329</v>
      </c>
      <c r="C189" s="24" t="s">
        <v>65</v>
      </c>
      <c r="D189" s="24" t="s">
        <v>66</v>
      </c>
      <c r="E189" s="24" t="n">
        <v>96</v>
      </c>
      <c r="F189" s="25" t="n">
        <v>0</v>
      </c>
      <c r="G189" s="24" t="s">
        <v>59</v>
      </c>
      <c r="H189" s="24" t="s">
        <v>60</v>
      </c>
      <c r="I189" s="24" t="s">
        <v>56</v>
      </c>
      <c r="J189" s="26" t="n">
        <f aca="false">IF(A189="","",YEAR(A189))</f>
        <v>2025</v>
      </c>
      <c r="K189" s="26" t="n">
        <f aca="false">IF(A189="","",MONTH(A189))</f>
        <v>2</v>
      </c>
      <c r="L189" s="26" t="n">
        <f aca="false">IF(B189="","",VALUE(LEFT(B189,2)))</f>
        <v>20</v>
      </c>
      <c r="M189" s="26" t="n">
        <f aca="false">IF(A189="","",IF(COUNTIFS($C$2:$C$5001,C189,$J$2:$J$5001,J189,$A$2:$A$5001,"&lt;"&amp;A189)=0,1,0))</f>
        <v>0</v>
      </c>
    </row>
    <row r="190" customFormat="false" ht="15" hidden="false" customHeight="false" outlineLevel="0" collapsed="false">
      <c r="A190" s="23" t="n">
        <v>45702.3847222222</v>
      </c>
      <c r="B190" s="24" t="s">
        <v>330</v>
      </c>
      <c r="C190" s="24" t="s">
        <v>158</v>
      </c>
      <c r="D190" s="24" t="s">
        <v>53</v>
      </c>
      <c r="E190" s="24" t="n">
        <v>56</v>
      </c>
      <c r="F190" s="25" t="n">
        <v>1000</v>
      </c>
      <c r="G190" s="24" t="s">
        <v>59</v>
      </c>
      <c r="H190" s="24" t="s">
        <v>80</v>
      </c>
      <c r="I190" s="24" t="s">
        <v>61</v>
      </c>
      <c r="J190" s="26" t="n">
        <f aca="false">IF(A190="","",YEAR(A190))</f>
        <v>2025</v>
      </c>
      <c r="K190" s="26" t="n">
        <f aca="false">IF(A190="","",MONTH(A190))</f>
        <v>2</v>
      </c>
      <c r="L190" s="26" t="n">
        <f aca="false">IF(B190="","",VALUE(LEFT(B190,2)))</f>
        <v>8</v>
      </c>
      <c r="M190" s="26" t="n">
        <f aca="false">IF(A190="","",IF(COUNTIFS($C$2:$C$5001,C190,$J$2:$J$5001,J190,$A$2:$A$5001,"&lt;"&amp;A190)=0,1,0))</f>
        <v>0</v>
      </c>
    </row>
    <row r="191" customFormat="false" ht="15" hidden="false" customHeight="false" outlineLevel="0" collapsed="false">
      <c r="A191" s="23" t="n">
        <v>45702.4909722222</v>
      </c>
      <c r="B191" s="24" t="s">
        <v>175</v>
      </c>
      <c r="C191" s="24" t="s">
        <v>138</v>
      </c>
      <c r="D191" s="24" t="s">
        <v>66</v>
      </c>
      <c r="E191" s="24" t="n">
        <v>229</v>
      </c>
      <c r="F191" s="25" t="n">
        <v>8000</v>
      </c>
      <c r="G191" s="24" t="s">
        <v>59</v>
      </c>
      <c r="H191" s="24" t="s">
        <v>80</v>
      </c>
      <c r="I191" s="24" t="s">
        <v>61</v>
      </c>
      <c r="J191" s="26" t="n">
        <f aca="false">IF(A191="","",YEAR(A191))</f>
        <v>2025</v>
      </c>
      <c r="K191" s="26" t="n">
        <f aca="false">IF(A191="","",MONTH(A191))</f>
        <v>2</v>
      </c>
      <c r="L191" s="26" t="n">
        <f aca="false">IF(B191="","",VALUE(LEFT(B191,2)))</f>
        <v>7</v>
      </c>
      <c r="M191" s="26" t="n">
        <f aca="false">IF(A191="","",IF(COUNTIFS($C$2:$C$5001,C191,$J$2:$J$5001,J191,$A$2:$A$5001,"&lt;"&amp;A191)=0,1,0))</f>
        <v>0</v>
      </c>
    </row>
    <row r="192" customFormat="false" ht="15" hidden="false" customHeight="false" outlineLevel="0" collapsed="false">
      <c r="A192" s="23" t="n">
        <v>45702.5145833333</v>
      </c>
      <c r="B192" s="24" t="s">
        <v>331</v>
      </c>
      <c r="C192" s="24" t="s">
        <v>332</v>
      </c>
      <c r="D192" s="24" t="s">
        <v>66</v>
      </c>
      <c r="E192" s="24" t="n">
        <v>268</v>
      </c>
      <c r="F192" s="25" t="n">
        <v>9000</v>
      </c>
      <c r="G192" s="24" t="s">
        <v>59</v>
      </c>
      <c r="H192" s="24" t="s">
        <v>80</v>
      </c>
      <c r="I192" s="24" t="s">
        <v>61</v>
      </c>
      <c r="J192" s="26" t="n">
        <f aca="false">IF(A192="","",YEAR(A192))</f>
        <v>2025</v>
      </c>
      <c r="K192" s="26" t="n">
        <f aca="false">IF(A192="","",MONTH(A192))</f>
        <v>2</v>
      </c>
      <c r="L192" s="26" t="n">
        <f aca="false">IF(B192="","",VALUE(LEFT(B192,2)))</f>
        <v>7</v>
      </c>
      <c r="M192" s="26" t="n">
        <f aca="false">IF(A192="","",IF(COUNTIFS($C$2:$C$5001,C192,$J$2:$J$5001,J192,$A$2:$A$5001,"&lt;"&amp;A192)=0,1,0))</f>
        <v>1</v>
      </c>
    </row>
    <row r="193" customFormat="false" ht="15" hidden="false" customHeight="false" outlineLevel="0" collapsed="false">
      <c r="A193" s="23" t="n">
        <v>45703.6548611111</v>
      </c>
      <c r="B193" s="24" t="s">
        <v>333</v>
      </c>
      <c r="C193" s="24" t="s">
        <v>235</v>
      </c>
      <c r="D193" s="24" t="s">
        <v>66</v>
      </c>
      <c r="E193" s="24" t="n">
        <v>141</v>
      </c>
      <c r="F193" s="25" t="n">
        <v>5000</v>
      </c>
      <c r="G193" s="24" t="s">
        <v>59</v>
      </c>
      <c r="H193" s="24" t="s">
        <v>80</v>
      </c>
      <c r="I193" s="24" t="s">
        <v>61</v>
      </c>
      <c r="J193" s="26" t="n">
        <f aca="false">IF(A193="","",YEAR(A193))</f>
        <v>2025</v>
      </c>
      <c r="K193" s="26" t="n">
        <f aca="false">IF(A193="","",MONTH(A193))</f>
        <v>2</v>
      </c>
      <c r="L193" s="26" t="n">
        <f aca="false">IF(B193="","",VALUE(LEFT(B193,2)))</f>
        <v>13</v>
      </c>
      <c r="M193" s="26" t="n">
        <f aca="false">IF(A193="","",IF(COUNTIFS($C$2:$C$5001,C193,$J$2:$J$5001,J193,$A$2:$A$5001,"&lt;"&amp;A193)=0,1,0))</f>
        <v>0</v>
      </c>
    </row>
    <row r="194" customFormat="false" ht="15" hidden="false" customHeight="false" outlineLevel="0" collapsed="false">
      <c r="A194" s="23" t="n">
        <v>45703.7319444444</v>
      </c>
      <c r="B194" s="24" t="s">
        <v>334</v>
      </c>
      <c r="C194" s="24" t="s">
        <v>224</v>
      </c>
      <c r="D194" s="24" t="s">
        <v>66</v>
      </c>
      <c r="E194" s="24" t="n">
        <v>78</v>
      </c>
      <c r="F194" s="25" t="n">
        <v>0</v>
      </c>
      <c r="G194" s="24" t="s">
        <v>59</v>
      </c>
      <c r="H194" s="24" t="s">
        <v>60</v>
      </c>
      <c r="I194" s="24" t="s">
        <v>56</v>
      </c>
      <c r="J194" s="26" t="n">
        <f aca="false">IF(A194="","",YEAR(A194))</f>
        <v>2025</v>
      </c>
      <c r="K194" s="26" t="n">
        <f aca="false">IF(A194="","",MONTH(A194))</f>
        <v>2</v>
      </c>
      <c r="L194" s="26" t="n">
        <f aca="false">IF(B194="","",VALUE(LEFT(B194,2)))</f>
        <v>16</v>
      </c>
      <c r="M194" s="26" t="n">
        <f aca="false">IF(A194="","",IF(COUNTIFS($C$2:$C$5001,C194,$J$2:$J$5001,J194,$A$2:$A$5001,"&lt;"&amp;A194)=0,1,0))</f>
        <v>0</v>
      </c>
    </row>
    <row r="195" customFormat="false" ht="15" hidden="false" customHeight="false" outlineLevel="0" collapsed="false">
      <c r="A195" s="23" t="n">
        <v>45704.4527777778</v>
      </c>
      <c r="B195" s="24" t="s">
        <v>335</v>
      </c>
      <c r="C195" s="24" t="s">
        <v>213</v>
      </c>
      <c r="D195" s="24" t="s">
        <v>88</v>
      </c>
      <c r="E195" s="24" t="n">
        <v>50</v>
      </c>
      <c r="F195" s="25" t="n">
        <v>3000</v>
      </c>
      <c r="G195" s="24" t="s">
        <v>59</v>
      </c>
      <c r="H195" s="24" t="s">
        <v>80</v>
      </c>
      <c r="I195" s="24" t="s">
        <v>61</v>
      </c>
      <c r="J195" s="26" t="n">
        <f aca="false">IF(A195="","",YEAR(A195))</f>
        <v>2025</v>
      </c>
      <c r="K195" s="26" t="n">
        <f aca="false">IF(A195="","",MONTH(A195))</f>
        <v>2</v>
      </c>
      <c r="L195" s="26" t="n">
        <f aca="false">IF(B195="","",VALUE(LEFT(B195,2)))</f>
        <v>10</v>
      </c>
      <c r="M195" s="26" t="n">
        <f aca="false">IF(A195="","",IF(COUNTIFS($C$2:$C$5001,C195,$J$2:$J$5001,J195,$A$2:$A$5001,"&lt;"&amp;A195)=0,1,0))</f>
        <v>0</v>
      </c>
    </row>
    <row r="196" customFormat="false" ht="15" hidden="false" customHeight="false" outlineLevel="0" collapsed="false">
      <c r="A196" s="23" t="n">
        <v>45704.4819444444</v>
      </c>
      <c r="B196" s="24" t="s">
        <v>239</v>
      </c>
      <c r="C196" s="24" t="s">
        <v>156</v>
      </c>
      <c r="D196" s="24" t="s">
        <v>66</v>
      </c>
      <c r="E196" s="24" t="n">
        <v>195</v>
      </c>
      <c r="F196" s="25" t="n">
        <v>7000</v>
      </c>
      <c r="G196" s="24" t="s">
        <v>69</v>
      </c>
      <c r="H196" s="24" t="s">
        <v>60</v>
      </c>
      <c r="I196" s="24" t="s">
        <v>61</v>
      </c>
      <c r="J196" s="26" t="n">
        <f aca="false">IF(A196="","",YEAR(A196))</f>
        <v>2025</v>
      </c>
      <c r="K196" s="26" t="n">
        <f aca="false">IF(A196="","",MONTH(A196))</f>
        <v>2</v>
      </c>
      <c r="L196" s="26" t="n">
        <f aca="false">IF(B196="","",VALUE(LEFT(B196,2)))</f>
        <v>8</v>
      </c>
      <c r="M196" s="26" t="n">
        <f aca="false">IF(A196="","",IF(COUNTIFS($C$2:$C$5001,C196,$J$2:$J$5001,J196,$A$2:$A$5001,"&lt;"&amp;A196)=0,1,0))</f>
        <v>0</v>
      </c>
    </row>
    <row r="197" customFormat="false" ht="15" hidden="false" customHeight="false" outlineLevel="0" collapsed="false">
      <c r="A197" s="23" t="n">
        <v>45704.5229166667</v>
      </c>
      <c r="B197" s="24" t="s">
        <v>336</v>
      </c>
      <c r="C197" s="24" t="s">
        <v>224</v>
      </c>
      <c r="D197" s="24" t="s">
        <v>88</v>
      </c>
      <c r="E197" s="24" t="n">
        <v>253</v>
      </c>
      <c r="F197" s="25" t="n">
        <v>13500</v>
      </c>
      <c r="G197" s="24" t="s">
        <v>69</v>
      </c>
      <c r="H197" s="24" t="s">
        <v>55</v>
      </c>
      <c r="I197" s="24" t="s">
        <v>61</v>
      </c>
      <c r="J197" s="26" t="n">
        <f aca="false">IF(A197="","",YEAR(A197))</f>
        <v>2025</v>
      </c>
      <c r="K197" s="26" t="n">
        <f aca="false">IF(A197="","",MONTH(A197))</f>
        <v>2</v>
      </c>
      <c r="L197" s="26" t="n">
        <f aca="false">IF(B197="","",VALUE(LEFT(B197,2)))</f>
        <v>8</v>
      </c>
      <c r="M197" s="26" t="n">
        <f aca="false">IF(A197="","",IF(COUNTIFS($C$2:$C$5001,C197,$J$2:$J$5001,J197,$A$2:$A$5001,"&lt;"&amp;A197)=0,1,0))</f>
        <v>0</v>
      </c>
    </row>
    <row r="198" customFormat="false" ht="15" hidden="false" customHeight="false" outlineLevel="0" collapsed="false">
      <c r="A198" s="23" t="n">
        <v>45704.5888888889</v>
      </c>
      <c r="B198" s="24" t="s">
        <v>337</v>
      </c>
      <c r="C198" s="24" t="s">
        <v>118</v>
      </c>
      <c r="D198" s="24" t="s">
        <v>66</v>
      </c>
      <c r="E198" s="24" t="n">
        <v>143</v>
      </c>
      <c r="F198" s="25" t="n">
        <v>5000</v>
      </c>
      <c r="G198" s="24" t="s">
        <v>59</v>
      </c>
      <c r="H198" s="24" t="s">
        <v>60</v>
      </c>
      <c r="I198" s="24" t="s">
        <v>61</v>
      </c>
      <c r="J198" s="26" t="n">
        <f aca="false">IF(A198="","",YEAR(A198))</f>
        <v>2025</v>
      </c>
      <c r="K198" s="26" t="n">
        <f aca="false">IF(A198="","",MONTH(A198))</f>
        <v>2</v>
      </c>
      <c r="L198" s="26" t="n">
        <f aca="false">IF(B198="","",VALUE(LEFT(B198,2)))</f>
        <v>11</v>
      </c>
      <c r="M198" s="26" t="n">
        <f aca="false">IF(A198="","",IF(COUNTIFS($C$2:$C$5001,C198,$J$2:$J$5001,J198,$A$2:$A$5001,"&lt;"&amp;A198)=0,1,0))</f>
        <v>0</v>
      </c>
    </row>
    <row r="199" customFormat="false" ht="15" hidden="false" customHeight="false" outlineLevel="0" collapsed="false">
      <c r="A199" s="23" t="n">
        <v>45704.6423611111</v>
      </c>
      <c r="B199" s="24" t="s">
        <v>338</v>
      </c>
      <c r="C199" s="24" t="s">
        <v>339</v>
      </c>
      <c r="D199" s="24" t="s">
        <v>66</v>
      </c>
      <c r="E199" s="24" t="n">
        <v>144</v>
      </c>
      <c r="F199" s="25" t="n">
        <v>5000</v>
      </c>
      <c r="G199" s="24" t="s">
        <v>59</v>
      </c>
      <c r="H199" s="24" t="s">
        <v>60</v>
      </c>
      <c r="I199" s="24" t="s">
        <v>61</v>
      </c>
      <c r="J199" s="26" t="n">
        <f aca="false">IF(A199="","",YEAR(A199))</f>
        <v>2025</v>
      </c>
      <c r="K199" s="26" t="n">
        <f aca="false">IF(A199="","",MONTH(A199))</f>
        <v>2</v>
      </c>
      <c r="L199" s="26" t="n">
        <f aca="false">IF(B199="","",VALUE(LEFT(B199,2)))</f>
        <v>13</v>
      </c>
      <c r="M199" s="26" t="n">
        <f aca="false">IF(A199="","",IF(COUNTIFS($C$2:$C$5001,C199,$J$2:$J$5001,J199,$A$2:$A$5001,"&lt;"&amp;A199)=0,1,0))</f>
        <v>1</v>
      </c>
    </row>
    <row r="200" customFormat="false" ht="15" hidden="false" customHeight="false" outlineLevel="0" collapsed="false">
      <c r="A200" s="23" t="n">
        <v>45705.5131944444</v>
      </c>
      <c r="B200" s="24" t="s">
        <v>340</v>
      </c>
      <c r="C200" s="24" t="s">
        <v>143</v>
      </c>
      <c r="D200" s="24" t="s">
        <v>66</v>
      </c>
      <c r="E200" s="24" t="n">
        <v>113</v>
      </c>
      <c r="F200" s="25" t="n">
        <v>4000</v>
      </c>
      <c r="G200" s="24" t="s">
        <v>83</v>
      </c>
      <c r="H200" s="24" t="s">
        <v>55</v>
      </c>
      <c r="I200" s="24" t="s">
        <v>61</v>
      </c>
      <c r="J200" s="26" t="n">
        <f aca="false">IF(A200="","",YEAR(A200))</f>
        <v>2025</v>
      </c>
      <c r="K200" s="26" t="n">
        <f aca="false">IF(A200="","",MONTH(A200))</f>
        <v>2</v>
      </c>
      <c r="L200" s="26" t="n">
        <f aca="false">IF(B200="","",VALUE(LEFT(B200,2)))</f>
        <v>10</v>
      </c>
      <c r="M200" s="26" t="n">
        <f aca="false">IF(A200="","",IF(COUNTIFS($C$2:$C$5001,C200,$J$2:$J$5001,J200,$A$2:$A$5001,"&lt;"&amp;A200)=0,1,0))</f>
        <v>0</v>
      </c>
    </row>
    <row r="201" customFormat="false" ht="15" hidden="false" customHeight="false" outlineLevel="0" collapsed="false">
      <c r="A201" s="23" t="n">
        <v>45705.7027777778</v>
      </c>
      <c r="B201" s="24" t="s">
        <v>341</v>
      </c>
      <c r="C201" s="24" t="s">
        <v>194</v>
      </c>
      <c r="D201" s="24" t="s">
        <v>66</v>
      </c>
      <c r="E201" s="24" t="n">
        <v>404</v>
      </c>
      <c r="F201" s="25" t="n">
        <v>14000</v>
      </c>
      <c r="G201" s="24" t="s">
        <v>69</v>
      </c>
      <c r="H201" s="24" t="s">
        <v>60</v>
      </c>
      <c r="I201" s="24" t="s">
        <v>61</v>
      </c>
      <c r="J201" s="26" t="n">
        <f aca="false">IF(A201="","",YEAR(A201))</f>
        <v>2025</v>
      </c>
      <c r="K201" s="26" t="n">
        <f aca="false">IF(A201="","",MONTH(A201))</f>
        <v>2</v>
      </c>
      <c r="L201" s="26" t="n">
        <f aca="false">IF(B201="","",VALUE(LEFT(B201,2)))</f>
        <v>10</v>
      </c>
      <c r="M201" s="26" t="n">
        <f aca="false">IF(A201="","",IF(COUNTIFS($C$2:$C$5001,C201,$J$2:$J$5001,J201,$A$2:$A$5001,"&lt;"&amp;A201)=0,1,0))</f>
        <v>0</v>
      </c>
    </row>
    <row r="202" customFormat="false" ht="15" hidden="false" customHeight="false" outlineLevel="0" collapsed="false">
      <c r="A202" s="23" t="n">
        <v>45705.7645833333</v>
      </c>
      <c r="B202" s="24" t="s">
        <v>342</v>
      </c>
      <c r="C202" s="24" t="s">
        <v>343</v>
      </c>
      <c r="D202" s="24" t="s">
        <v>72</v>
      </c>
      <c r="E202" s="24" t="n">
        <v>398</v>
      </c>
      <c r="F202" s="25" t="n">
        <v>28000</v>
      </c>
      <c r="G202" s="24" t="s">
        <v>69</v>
      </c>
      <c r="H202" s="24" t="s">
        <v>55</v>
      </c>
      <c r="I202" s="24" t="s">
        <v>61</v>
      </c>
      <c r="J202" s="26" t="n">
        <f aca="false">IF(A202="","",YEAR(A202))</f>
        <v>2025</v>
      </c>
      <c r="K202" s="26" t="n">
        <f aca="false">IF(A202="","",MONTH(A202))</f>
        <v>2</v>
      </c>
      <c r="L202" s="26" t="n">
        <f aca="false">IF(B202="","",VALUE(LEFT(B202,2)))</f>
        <v>11</v>
      </c>
      <c r="M202" s="26" t="n">
        <f aca="false">IF(A202="","",IF(COUNTIFS($C$2:$C$5001,C202,$J$2:$J$5001,J202,$A$2:$A$5001,"&lt;"&amp;A202)=0,1,0))</f>
        <v>1</v>
      </c>
    </row>
    <row r="203" customFormat="false" ht="15" hidden="false" customHeight="false" outlineLevel="0" collapsed="false">
      <c r="A203" s="23" t="n">
        <v>45706.1222222222</v>
      </c>
      <c r="B203" s="24" t="s">
        <v>344</v>
      </c>
      <c r="C203" s="24" t="s">
        <v>345</v>
      </c>
      <c r="D203" s="24" t="s">
        <v>66</v>
      </c>
      <c r="E203" s="24" t="n">
        <v>370</v>
      </c>
      <c r="F203" s="25" t="n">
        <v>13000</v>
      </c>
      <c r="G203" s="24" t="s">
        <v>59</v>
      </c>
      <c r="H203" s="24" t="s">
        <v>80</v>
      </c>
      <c r="I203" s="24" t="s">
        <v>61</v>
      </c>
      <c r="J203" s="26" t="n">
        <f aca="false">IF(A203="","",YEAR(A203))</f>
        <v>2025</v>
      </c>
      <c r="K203" s="26" t="n">
        <f aca="false">IF(A203="","",MONTH(A203))</f>
        <v>2</v>
      </c>
      <c r="L203" s="26" t="n">
        <f aca="false">IF(B203="","",VALUE(LEFT(B203,2)))</f>
        <v>20</v>
      </c>
      <c r="M203" s="26" t="n">
        <f aca="false">IF(A203="","",IF(COUNTIFS($C$2:$C$5001,C203,$J$2:$J$5001,J203,$A$2:$A$5001,"&lt;"&amp;A203)=0,1,0))</f>
        <v>1</v>
      </c>
    </row>
    <row r="204" customFormat="false" ht="15" hidden="false" customHeight="false" outlineLevel="0" collapsed="false">
      <c r="A204" s="23" t="n">
        <v>45706.6951388889</v>
      </c>
      <c r="B204" s="24" t="s">
        <v>346</v>
      </c>
      <c r="C204" s="24" t="s">
        <v>347</v>
      </c>
      <c r="D204" s="24" t="s">
        <v>66</v>
      </c>
      <c r="E204" s="24" t="n">
        <v>52</v>
      </c>
      <c r="F204" s="25" t="n">
        <v>2000</v>
      </c>
      <c r="G204" s="24" t="s">
        <v>59</v>
      </c>
      <c r="H204" s="24" t="s">
        <v>55</v>
      </c>
      <c r="I204" s="24" t="s">
        <v>61</v>
      </c>
      <c r="J204" s="26" t="n">
        <f aca="false">IF(A204="","",YEAR(A204))</f>
        <v>2025</v>
      </c>
      <c r="K204" s="26" t="n">
        <f aca="false">IF(A204="","",MONTH(A204))</f>
        <v>2</v>
      </c>
      <c r="L204" s="26" t="n">
        <f aca="false">IF(B204="","",VALUE(LEFT(B204,2)))</f>
        <v>15</v>
      </c>
      <c r="M204" s="26" t="n">
        <f aca="false">IF(A204="","",IF(COUNTIFS($C$2:$C$5001,C204,$J$2:$J$5001,J204,$A$2:$A$5001,"&lt;"&amp;A204)=0,1,0))</f>
        <v>1</v>
      </c>
    </row>
    <row r="205" customFormat="false" ht="15" hidden="false" customHeight="false" outlineLevel="0" collapsed="false">
      <c r="A205" s="23" t="n">
        <v>45707.0576388889</v>
      </c>
      <c r="B205" s="24" t="s">
        <v>348</v>
      </c>
      <c r="C205" s="24" t="s">
        <v>177</v>
      </c>
      <c r="D205" s="24" t="s">
        <v>66</v>
      </c>
      <c r="E205" s="24" t="n">
        <v>314</v>
      </c>
      <c r="F205" s="25" t="n">
        <v>11000</v>
      </c>
      <c r="G205" s="24" t="s">
        <v>69</v>
      </c>
      <c r="H205" s="24" t="s">
        <v>80</v>
      </c>
      <c r="I205" s="24" t="s">
        <v>61</v>
      </c>
      <c r="J205" s="26" t="n">
        <f aca="false">IF(A205="","",YEAR(A205))</f>
        <v>2025</v>
      </c>
      <c r="K205" s="26" t="n">
        <f aca="false">IF(A205="","",MONTH(A205))</f>
        <v>2</v>
      </c>
      <c r="L205" s="26" t="n">
        <f aca="false">IF(B205="","",VALUE(LEFT(B205,2)))</f>
        <v>20</v>
      </c>
      <c r="M205" s="26" t="n">
        <f aca="false">IF(A205="","",IF(COUNTIFS($C$2:$C$5001,C205,$J$2:$J$5001,J205,$A$2:$A$5001,"&lt;"&amp;A205)=0,1,0))</f>
        <v>0</v>
      </c>
    </row>
    <row r="206" customFormat="false" ht="15" hidden="false" customHeight="false" outlineLevel="0" collapsed="false">
      <c r="A206" s="23" t="n">
        <v>45707.34375</v>
      </c>
      <c r="B206" s="24" t="s">
        <v>349</v>
      </c>
      <c r="C206" s="24" t="s">
        <v>105</v>
      </c>
      <c r="D206" s="24" t="s">
        <v>53</v>
      </c>
      <c r="E206" s="24" t="n">
        <v>47</v>
      </c>
      <c r="F206" s="25" t="n">
        <v>1000</v>
      </c>
      <c r="G206" s="24" t="s">
        <v>79</v>
      </c>
      <c r="H206" s="24" t="s">
        <v>60</v>
      </c>
      <c r="I206" s="24" t="s">
        <v>61</v>
      </c>
      <c r="J206" s="26" t="n">
        <f aca="false">IF(A206="","",YEAR(A206))</f>
        <v>2025</v>
      </c>
      <c r="K206" s="26" t="n">
        <f aca="false">IF(A206="","",MONTH(A206))</f>
        <v>2</v>
      </c>
      <c r="L206" s="26" t="n">
        <f aca="false">IF(B206="","",VALUE(LEFT(B206,2)))</f>
        <v>7</v>
      </c>
      <c r="M206" s="26" t="n">
        <f aca="false">IF(A206="","",IF(COUNTIFS($C$2:$C$5001,C206,$J$2:$J$5001,J206,$A$2:$A$5001,"&lt;"&amp;A206)=0,1,0))</f>
        <v>0</v>
      </c>
    </row>
    <row r="207" customFormat="false" ht="15" hidden="false" customHeight="false" outlineLevel="0" collapsed="false">
      <c r="A207" s="23" t="n">
        <v>45707.3541666667</v>
      </c>
      <c r="B207" s="24" t="s">
        <v>350</v>
      </c>
      <c r="C207" s="24" t="s">
        <v>309</v>
      </c>
      <c r="D207" s="24" t="s">
        <v>66</v>
      </c>
      <c r="E207" s="24" t="n">
        <v>40</v>
      </c>
      <c r="F207" s="25" t="n">
        <v>2000</v>
      </c>
      <c r="G207" s="24" t="s">
        <v>59</v>
      </c>
      <c r="H207" s="24" t="s">
        <v>60</v>
      </c>
      <c r="I207" s="24" t="s">
        <v>61</v>
      </c>
      <c r="J207" s="26" t="n">
        <f aca="false">IF(A207="","",YEAR(A207))</f>
        <v>2025</v>
      </c>
      <c r="K207" s="26" t="n">
        <f aca="false">IF(A207="","",MONTH(A207))</f>
        <v>2</v>
      </c>
      <c r="L207" s="26" t="n">
        <f aca="false">IF(B207="","",VALUE(LEFT(B207,2)))</f>
        <v>7</v>
      </c>
      <c r="M207" s="26" t="n">
        <f aca="false">IF(A207="","",IF(COUNTIFS($C$2:$C$5001,C207,$J$2:$J$5001,J207,$A$2:$A$5001,"&lt;"&amp;A207)=0,1,0))</f>
        <v>0</v>
      </c>
    </row>
    <row r="208" customFormat="false" ht="15" hidden="false" customHeight="false" outlineLevel="0" collapsed="false">
      <c r="A208" s="23" t="n">
        <v>45707.5138888889</v>
      </c>
      <c r="B208" s="24" t="s">
        <v>351</v>
      </c>
      <c r="C208" s="24" t="s">
        <v>352</v>
      </c>
      <c r="D208" s="24" t="s">
        <v>66</v>
      </c>
      <c r="E208" s="24" t="n">
        <v>128</v>
      </c>
      <c r="F208" s="25" t="n">
        <v>5000</v>
      </c>
      <c r="G208" s="24" t="s">
        <v>69</v>
      </c>
      <c r="H208" s="24" t="s">
        <v>60</v>
      </c>
      <c r="I208" s="24" t="s">
        <v>61</v>
      </c>
      <c r="J208" s="26" t="n">
        <f aca="false">IF(A208="","",YEAR(A208))</f>
        <v>2025</v>
      </c>
      <c r="K208" s="26" t="n">
        <f aca="false">IF(A208="","",MONTH(A208))</f>
        <v>2</v>
      </c>
      <c r="L208" s="26" t="n">
        <f aca="false">IF(B208="","",VALUE(LEFT(B208,2)))</f>
        <v>10</v>
      </c>
      <c r="M208" s="26" t="n">
        <f aca="false">IF(A208="","",IF(COUNTIFS($C$2:$C$5001,C208,$J$2:$J$5001,J208,$A$2:$A$5001,"&lt;"&amp;A208)=0,1,0))</f>
        <v>1</v>
      </c>
    </row>
    <row r="209" customFormat="false" ht="15" hidden="false" customHeight="false" outlineLevel="0" collapsed="false">
      <c r="A209" s="23" t="n">
        <v>45707.55625</v>
      </c>
      <c r="B209" s="24" t="s">
        <v>280</v>
      </c>
      <c r="C209" s="24" t="s">
        <v>353</v>
      </c>
      <c r="D209" s="24" t="s">
        <v>66</v>
      </c>
      <c r="E209" s="24" t="n">
        <v>372</v>
      </c>
      <c r="F209" s="25" t="n">
        <v>13000</v>
      </c>
      <c r="G209" s="24" t="s">
        <v>59</v>
      </c>
      <c r="H209" s="24" t="s">
        <v>80</v>
      </c>
      <c r="I209" s="24" t="s">
        <v>61</v>
      </c>
      <c r="J209" s="26" t="n">
        <f aca="false">IF(A209="","",YEAR(A209))</f>
        <v>2025</v>
      </c>
      <c r="K209" s="26" t="n">
        <f aca="false">IF(A209="","",MONTH(A209))</f>
        <v>2</v>
      </c>
      <c r="L209" s="26" t="n">
        <f aca="false">IF(B209="","",VALUE(LEFT(B209,2)))</f>
        <v>7</v>
      </c>
      <c r="M209" s="26" t="n">
        <f aca="false">IF(A209="","",IF(COUNTIFS($C$2:$C$5001,C209,$J$2:$J$5001,J209,$A$2:$A$5001,"&lt;"&amp;A209)=0,1,0))</f>
        <v>1</v>
      </c>
    </row>
    <row r="210" customFormat="false" ht="15" hidden="false" customHeight="false" outlineLevel="0" collapsed="false">
      <c r="A210" s="23" t="n">
        <v>45707.6736111111</v>
      </c>
      <c r="B210" s="24" t="s">
        <v>354</v>
      </c>
      <c r="C210" s="24" t="s">
        <v>286</v>
      </c>
      <c r="D210" s="24" t="s">
        <v>53</v>
      </c>
      <c r="E210" s="24" t="n">
        <v>274</v>
      </c>
      <c r="F210" s="25" t="n">
        <v>5000</v>
      </c>
      <c r="G210" s="24" t="s">
        <v>69</v>
      </c>
      <c r="H210" s="24" t="s">
        <v>80</v>
      </c>
      <c r="I210" s="24" t="s">
        <v>61</v>
      </c>
      <c r="J210" s="26" t="n">
        <f aca="false">IF(A210="","",YEAR(A210))</f>
        <v>2025</v>
      </c>
      <c r="K210" s="26" t="n">
        <f aca="false">IF(A210="","",MONTH(A210))</f>
        <v>2</v>
      </c>
      <c r="L210" s="26" t="n">
        <f aca="false">IF(B210="","",VALUE(LEFT(B210,2)))</f>
        <v>11</v>
      </c>
      <c r="M210" s="26" t="n">
        <f aca="false">IF(A210="","",IF(COUNTIFS($C$2:$C$5001,C210,$J$2:$J$5001,J210,$A$2:$A$5001,"&lt;"&amp;A210)=0,1,0))</f>
        <v>0</v>
      </c>
    </row>
    <row r="211" customFormat="false" ht="15" hidden="false" customHeight="false" outlineLevel="0" collapsed="false">
      <c r="A211" s="23" t="n">
        <v>45707.7375</v>
      </c>
      <c r="B211" s="24" t="s">
        <v>355</v>
      </c>
      <c r="C211" s="24" t="s">
        <v>170</v>
      </c>
      <c r="D211" s="24" t="s">
        <v>72</v>
      </c>
      <c r="E211" s="24" t="n">
        <v>45</v>
      </c>
      <c r="F211" s="25" t="n">
        <v>4000</v>
      </c>
      <c r="G211" s="24" t="s">
        <v>83</v>
      </c>
      <c r="H211" s="24" t="s">
        <v>55</v>
      </c>
      <c r="I211" s="24" t="s">
        <v>61</v>
      </c>
      <c r="J211" s="26" t="n">
        <f aca="false">IF(A211="","",YEAR(A211))</f>
        <v>2025</v>
      </c>
      <c r="K211" s="26" t="n">
        <f aca="false">IF(A211="","",MONTH(A211))</f>
        <v>2</v>
      </c>
      <c r="L211" s="26" t="n">
        <f aca="false">IF(B211="","",VALUE(LEFT(B211,2)))</f>
        <v>16</v>
      </c>
      <c r="M211" s="26" t="n">
        <f aca="false">IF(A211="","",IF(COUNTIFS($C$2:$C$5001,C211,$J$2:$J$5001,J211,$A$2:$A$5001,"&lt;"&amp;A211)=0,1,0))</f>
        <v>0</v>
      </c>
    </row>
    <row r="212" customFormat="false" ht="15" hidden="false" customHeight="false" outlineLevel="0" collapsed="false">
      <c r="A212" s="23" t="n">
        <v>45708.3618055556</v>
      </c>
      <c r="B212" s="24" t="s">
        <v>356</v>
      </c>
      <c r="C212" s="24" t="s">
        <v>357</v>
      </c>
      <c r="D212" s="24" t="s">
        <v>53</v>
      </c>
      <c r="E212" s="24" t="n">
        <v>50</v>
      </c>
      <c r="F212" s="25" t="n">
        <v>1000</v>
      </c>
      <c r="G212" s="24" t="s">
        <v>69</v>
      </c>
      <c r="H212" s="24" t="s">
        <v>60</v>
      </c>
      <c r="I212" s="24" t="s">
        <v>61</v>
      </c>
      <c r="J212" s="26" t="n">
        <f aca="false">IF(A212="","",YEAR(A212))</f>
        <v>2025</v>
      </c>
      <c r="K212" s="26" t="n">
        <f aca="false">IF(A212="","",MONTH(A212))</f>
        <v>2</v>
      </c>
      <c r="L212" s="26" t="n">
        <f aca="false">IF(B212="","",VALUE(LEFT(B212,2)))</f>
        <v>7</v>
      </c>
      <c r="M212" s="26" t="n">
        <f aca="false">IF(A212="","",IF(COUNTIFS($C$2:$C$5001,C212,$J$2:$J$5001,J212,$A$2:$A$5001,"&lt;"&amp;A212)=0,1,0))</f>
        <v>1</v>
      </c>
    </row>
    <row r="213" customFormat="false" ht="15" hidden="false" customHeight="false" outlineLevel="0" collapsed="false">
      <c r="A213" s="23" t="n">
        <v>45708.3743055556</v>
      </c>
      <c r="B213" s="24" t="s">
        <v>191</v>
      </c>
      <c r="C213" s="24" t="s">
        <v>220</v>
      </c>
      <c r="D213" s="24" t="s">
        <v>53</v>
      </c>
      <c r="E213" s="24" t="n">
        <v>106</v>
      </c>
      <c r="F213" s="25" t="n">
        <v>2000</v>
      </c>
      <c r="G213" s="24" t="s">
        <v>59</v>
      </c>
      <c r="H213" s="24" t="s">
        <v>60</v>
      </c>
      <c r="I213" s="24" t="s">
        <v>61</v>
      </c>
      <c r="J213" s="26" t="n">
        <f aca="false">IF(A213="","",YEAR(A213))</f>
        <v>2025</v>
      </c>
      <c r="K213" s="26" t="n">
        <f aca="false">IF(A213="","",MONTH(A213))</f>
        <v>2</v>
      </c>
      <c r="L213" s="26" t="n">
        <f aca="false">IF(B213="","",VALUE(LEFT(B213,2)))</f>
        <v>7</v>
      </c>
      <c r="M213" s="26" t="n">
        <f aca="false">IF(A213="","",IF(COUNTIFS($C$2:$C$5001,C213,$J$2:$J$5001,J213,$A$2:$A$5001,"&lt;"&amp;A213)=0,1,0))</f>
        <v>0</v>
      </c>
    </row>
    <row r="214" customFormat="false" ht="15" hidden="false" customHeight="false" outlineLevel="0" collapsed="false">
      <c r="A214" s="23" t="n">
        <v>45708.6708333333</v>
      </c>
      <c r="B214" s="24" t="s">
        <v>358</v>
      </c>
      <c r="C214" s="24" t="s">
        <v>158</v>
      </c>
      <c r="D214" s="24" t="s">
        <v>66</v>
      </c>
      <c r="E214" s="24" t="n">
        <v>289</v>
      </c>
      <c r="F214" s="25" t="n">
        <v>0</v>
      </c>
      <c r="G214" s="24" t="s">
        <v>69</v>
      </c>
      <c r="H214" s="24" t="s">
        <v>55</v>
      </c>
      <c r="I214" s="24" t="s">
        <v>56</v>
      </c>
      <c r="J214" s="26" t="n">
        <f aca="false">IF(A214="","",YEAR(A214))</f>
        <v>2025</v>
      </c>
      <c r="K214" s="26" t="n">
        <f aca="false">IF(A214="","",MONTH(A214))</f>
        <v>2</v>
      </c>
      <c r="L214" s="26" t="n">
        <f aca="false">IF(B214="","",VALUE(LEFT(B214,2)))</f>
        <v>11</v>
      </c>
      <c r="M214" s="26" t="n">
        <f aca="false">IF(A214="","",IF(COUNTIFS($C$2:$C$5001,C214,$J$2:$J$5001,J214,$A$2:$A$5001,"&lt;"&amp;A214)=0,1,0))</f>
        <v>0</v>
      </c>
    </row>
    <row r="215" customFormat="false" ht="15" hidden="false" customHeight="false" outlineLevel="0" collapsed="false">
      <c r="A215" s="23" t="n">
        <v>45708.7340277778</v>
      </c>
      <c r="B215" s="24" t="s">
        <v>359</v>
      </c>
      <c r="C215" s="24" t="s">
        <v>360</v>
      </c>
      <c r="D215" s="24" t="s">
        <v>66</v>
      </c>
      <c r="E215" s="24" t="n">
        <v>285</v>
      </c>
      <c r="F215" s="25" t="n">
        <v>8500</v>
      </c>
      <c r="G215" s="24" t="s">
        <v>59</v>
      </c>
      <c r="H215" s="24" t="s">
        <v>55</v>
      </c>
      <c r="I215" s="24" t="s">
        <v>113</v>
      </c>
      <c r="J215" s="26" t="n">
        <f aca="false">IF(A215="","",YEAR(A215))</f>
        <v>2025</v>
      </c>
      <c r="K215" s="26" t="n">
        <f aca="false">IF(A215="","",MONTH(A215))</f>
        <v>2</v>
      </c>
      <c r="L215" s="26" t="n">
        <f aca="false">IF(B215="","",VALUE(LEFT(B215,2)))</f>
        <v>12</v>
      </c>
      <c r="M215" s="26" t="n">
        <f aca="false">IF(A215="","",IF(COUNTIFS($C$2:$C$5001,C215,$J$2:$J$5001,J215,$A$2:$A$5001,"&lt;"&amp;A215)=0,1,0))</f>
        <v>1</v>
      </c>
    </row>
    <row r="216" customFormat="false" ht="15" hidden="false" customHeight="false" outlineLevel="0" collapsed="false">
      <c r="A216" s="23" t="n">
        <v>45708.7597222222</v>
      </c>
      <c r="B216" s="24" t="s">
        <v>361</v>
      </c>
      <c r="C216" s="24" t="s">
        <v>286</v>
      </c>
      <c r="D216" s="24" t="s">
        <v>53</v>
      </c>
      <c r="E216" s="24" t="n">
        <v>95</v>
      </c>
      <c r="F216" s="25" t="n">
        <v>2000</v>
      </c>
      <c r="G216" s="24" t="s">
        <v>59</v>
      </c>
      <c r="H216" s="24" t="s">
        <v>80</v>
      </c>
      <c r="I216" s="24" t="s">
        <v>61</v>
      </c>
      <c r="J216" s="26" t="n">
        <f aca="false">IF(A216="","",YEAR(A216))</f>
        <v>2025</v>
      </c>
      <c r="K216" s="26" t="n">
        <f aca="false">IF(A216="","",MONTH(A216))</f>
        <v>2</v>
      </c>
      <c r="L216" s="26" t="n">
        <f aca="false">IF(B216="","",VALUE(LEFT(B216,2)))</f>
        <v>16</v>
      </c>
      <c r="M216" s="26" t="n">
        <f aca="false">IF(A216="","",IF(COUNTIFS($C$2:$C$5001,C216,$J$2:$J$5001,J216,$A$2:$A$5001,"&lt;"&amp;A216)=0,1,0))</f>
        <v>0</v>
      </c>
    </row>
    <row r="217" customFormat="false" ht="15" hidden="false" customHeight="false" outlineLevel="0" collapsed="false">
      <c r="A217" s="23" t="n">
        <v>45708.7951388889</v>
      </c>
      <c r="B217" s="24" t="s">
        <v>362</v>
      </c>
      <c r="C217" s="24" t="s">
        <v>112</v>
      </c>
      <c r="D217" s="24" t="s">
        <v>53</v>
      </c>
      <c r="E217" s="24" t="n">
        <v>367</v>
      </c>
      <c r="F217" s="25" t="n">
        <v>6500</v>
      </c>
      <c r="G217" s="24" t="s">
        <v>69</v>
      </c>
      <c r="H217" s="24" t="s">
        <v>60</v>
      </c>
      <c r="I217" s="24" t="s">
        <v>61</v>
      </c>
      <c r="J217" s="26" t="n">
        <f aca="false">IF(A217="","",YEAR(A217))</f>
        <v>2025</v>
      </c>
      <c r="K217" s="26" t="n">
        <f aca="false">IF(A217="","",MONTH(A217))</f>
        <v>2</v>
      </c>
      <c r="L217" s="26" t="n">
        <f aca="false">IF(B217="","",VALUE(LEFT(B217,2)))</f>
        <v>12</v>
      </c>
      <c r="M217" s="26" t="n">
        <f aca="false">IF(A217="","",IF(COUNTIFS($C$2:$C$5001,C217,$J$2:$J$5001,J217,$A$2:$A$5001,"&lt;"&amp;A217)=0,1,0))</f>
        <v>0</v>
      </c>
    </row>
    <row r="218" customFormat="false" ht="15" hidden="false" customHeight="false" outlineLevel="0" collapsed="false">
      <c r="A218" s="23" t="n">
        <v>45709.4409722222</v>
      </c>
      <c r="B218" s="24" t="s">
        <v>363</v>
      </c>
      <c r="C218" s="24" t="s">
        <v>170</v>
      </c>
      <c r="D218" s="24" t="s">
        <v>53</v>
      </c>
      <c r="E218" s="24" t="n">
        <v>143</v>
      </c>
      <c r="F218" s="25" t="n">
        <v>0</v>
      </c>
      <c r="G218" s="24" t="s">
        <v>59</v>
      </c>
      <c r="H218" s="24" t="s">
        <v>55</v>
      </c>
      <c r="I218" s="24" t="s">
        <v>56</v>
      </c>
      <c r="J218" s="26" t="n">
        <f aca="false">IF(A218="","",YEAR(A218))</f>
        <v>2025</v>
      </c>
      <c r="K218" s="26" t="n">
        <f aca="false">IF(A218="","",MONTH(A218))</f>
        <v>2</v>
      </c>
      <c r="L218" s="26" t="n">
        <f aca="false">IF(B218="","",VALUE(LEFT(B218,2)))</f>
        <v>8</v>
      </c>
      <c r="M218" s="26" t="n">
        <f aca="false">IF(A218="","",IF(COUNTIFS($C$2:$C$5001,C218,$J$2:$J$5001,J218,$A$2:$A$5001,"&lt;"&amp;A218)=0,1,0))</f>
        <v>0</v>
      </c>
    </row>
    <row r="219" customFormat="false" ht="15" hidden="false" customHeight="false" outlineLevel="0" collapsed="false">
      <c r="A219" s="23" t="n">
        <v>45709.54375</v>
      </c>
      <c r="B219" s="24" t="s">
        <v>363</v>
      </c>
      <c r="C219" s="24" t="s">
        <v>231</v>
      </c>
      <c r="D219" s="24" t="s">
        <v>53</v>
      </c>
      <c r="E219" s="24" t="n">
        <v>291</v>
      </c>
      <c r="F219" s="25" t="n">
        <v>5000</v>
      </c>
      <c r="G219" s="24" t="s">
        <v>59</v>
      </c>
      <c r="H219" s="24" t="s">
        <v>55</v>
      </c>
      <c r="I219" s="24" t="s">
        <v>61</v>
      </c>
      <c r="J219" s="26" t="n">
        <f aca="false">IF(A219="","",YEAR(A219))</f>
        <v>2025</v>
      </c>
      <c r="K219" s="26" t="n">
        <f aca="false">IF(A219="","",MONTH(A219))</f>
        <v>2</v>
      </c>
      <c r="L219" s="26" t="n">
        <f aca="false">IF(B219="","",VALUE(LEFT(B219,2)))</f>
        <v>8</v>
      </c>
      <c r="M219" s="26" t="n">
        <f aca="false">IF(A219="","",IF(COUNTIFS($C$2:$C$5001,C219,$J$2:$J$5001,J219,$A$2:$A$5001,"&lt;"&amp;A219)=0,1,0))</f>
        <v>0</v>
      </c>
    </row>
    <row r="220" customFormat="false" ht="15" hidden="false" customHeight="false" outlineLevel="0" collapsed="false">
      <c r="A220" s="23" t="n">
        <v>45709.5673611111</v>
      </c>
      <c r="B220" s="24" t="s">
        <v>242</v>
      </c>
      <c r="C220" s="24" t="s">
        <v>343</v>
      </c>
      <c r="D220" s="24" t="s">
        <v>53</v>
      </c>
      <c r="E220" s="24" t="n">
        <v>414</v>
      </c>
      <c r="F220" s="25" t="n">
        <v>7000</v>
      </c>
      <c r="G220" s="24" t="s">
        <v>59</v>
      </c>
      <c r="H220" s="24" t="s">
        <v>60</v>
      </c>
      <c r="I220" s="24" t="s">
        <v>61</v>
      </c>
      <c r="J220" s="26" t="n">
        <f aca="false">IF(A220="","",YEAR(A220))</f>
        <v>2025</v>
      </c>
      <c r="K220" s="26" t="n">
        <f aca="false">IF(A220="","",MONTH(A220))</f>
        <v>2</v>
      </c>
      <c r="L220" s="26" t="n">
        <f aca="false">IF(B220="","",VALUE(LEFT(B220,2)))</f>
        <v>6</v>
      </c>
      <c r="M220" s="26" t="n">
        <f aca="false">IF(A220="","",IF(COUNTIFS($C$2:$C$5001,C220,$J$2:$J$5001,J220,$A$2:$A$5001,"&lt;"&amp;A220)=0,1,0))</f>
        <v>0</v>
      </c>
    </row>
    <row r="221" customFormat="false" ht="15" hidden="false" customHeight="false" outlineLevel="0" collapsed="false">
      <c r="A221" s="23" t="n">
        <v>45709.5916666667</v>
      </c>
      <c r="B221" s="24" t="s">
        <v>364</v>
      </c>
      <c r="C221" s="24" t="s">
        <v>147</v>
      </c>
      <c r="D221" s="24" t="s">
        <v>66</v>
      </c>
      <c r="E221" s="24" t="n">
        <v>318</v>
      </c>
      <c r="F221" s="25" t="n">
        <v>11000</v>
      </c>
      <c r="G221" s="24" t="s">
        <v>59</v>
      </c>
      <c r="H221" s="24" t="s">
        <v>60</v>
      </c>
      <c r="I221" s="24" t="s">
        <v>61</v>
      </c>
      <c r="J221" s="26" t="n">
        <f aca="false">IF(A221="","",YEAR(A221))</f>
        <v>2025</v>
      </c>
      <c r="K221" s="26" t="n">
        <f aca="false">IF(A221="","",MONTH(A221))</f>
        <v>2</v>
      </c>
      <c r="L221" s="26" t="n">
        <f aca="false">IF(B221="","",VALUE(LEFT(B221,2)))</f>
        <v>8</v>
      </c>
      <c r="M221" s="26" t="n">
        <f aca="false">IF(A221="","",IF(COUNTIFS($C$2:$C$5001,C221,$J$2:$J$5001,J221,$A$2:$A$5001,"&lt;"&amp;A221)=0,1,0))</f>
        <v>0</v>
      </c>
    </row>
    <row r="222" customFormat="false" ht="15" hidden="false" customHeight="false" outlineLevel="0" collapsed="false">
      <c r="A222" s="23" t="n">
        <v>45709.7743055556</v>
      </c>
      <c r="B222" s="24" t="s">
        <v>365</v>
      </c>
      <c r="C222" s="24" t="s">
        <v>312</v>
      </c>
      <c r="D222" s="24" t="s">
        <v>66</v>
      </c>
      <c r="E222" s="24" t="n">
        <v>380</v>
      </c>
      <c r="F222" s="25" t="n">
        <v>13000</v>
      </c>
      <c r="G222" s="24" t="s">
        <v>59</v>
      </c>
      <c r="H222" s="24" t="s">
        <v>55</v>
      </c>
      <c r="I222" s="24" t="s">
        <v>61</v>
      </c>
      <c r="J222" s="26" t="n">
        <f aca="false">IF(A222="","",YEAR(A222))</f>
        <v>2025</v>
      </c>
      <c r="K222" s="26" t="n">
        <f aca="false">IF(A222="","",MONTH(A222))</f>
        <v>2</v>
      </c>
      <c r="L222" s="26" t="n">
        <f aca="false">IF(B222="","",VALUE(LEFT(B222,2)))</f>
        <v>12</v>
      </c>
      <c r="M222" s="26" t="n">
        <f aca="false">IF(A222="","",IF(COUNTIFS($C$2:$C$5001,C222,$J$2:$J$5001,J222,$A$2:$A$5001,"&lt;"&amp;A222)=0,1,0))</f>
        <v>0</v>
      </c>
    </row>
    <row r="223" customFormat="false" ht="15" hidden="false" customHeight="false" outlineLevel="0" collapsed="false">
      <c r="A223" s="23" t="n">
        <v>45710.3180555556</v>
      </c>
      <c r="B223" s="24" t="s">
        <v>366</v>
      </c>
      <c r="C223" s="24" t="s">
        <v>203</v>
      </c>
      <c r="D223" s="24" t="s">
        <v>66</v>
      </c>
      <c r="E223" s="24" t="n">
        <v>75</v>
      </c>
      <c r="F223" s="25" t="n">
        <v>3000</v>
      </c>
      <c r="G223" s="24" t="s">
        <v>69</v>
      </c>
      <c r="H223" s="24" t="s">
        <v>80</v>
      </c>
      <c r="I223" s="24" t="s">
        <v>61</v>
      </c>
      <c r="J223" s="26" t="n">
        <f aca="false">IF(A223="","",YEAR(A223))</f>
        <v>2025</v>
      </c>
      <c r="K223" s="26" t="n">
        <f aca="false">IF(A223="","",MONTH(A223))</f>
        <v>2</v>
      </c>
      <c r="L223" s="26" t="n">
        <f aca="false">IF(B223="","",VALUE(LEFT(B223,2)))</f>
        <v>6</v>
      </c>
      <c r="M223" s="26" t="n">
        <f aca="false">IF(A223="","",IF(COUNTIFS($C$2:$C$5001,C223,$J$2:$J$5001,J223,$A$2:$A$5001,"&lt;"&amp;A223)=0,1,0))</f>
        <v>0</v>
      </c>
    </row>
    <row r="224" customFormat="false" ht="15" hidden="false" customHeight="false" outlineLevel="0" collapsed="false">
      <c r="A224" s="23" t="n">
        <v>45710.3902777778</v>
      </c>
      <c r="B224" s="24" t="s">
        <v>230</v>
      </c>
      <c r="C224" s="24" t="s">
        <v>367</v>
      </c>
      <c r="D224" s="24" t="s">
        <v>66</v>
      </c>
      <c r="E224" s="24" t="n">
        <v>150</v>
      </c>
      <c r="F224" s="25" t="n">
        <v>5000</v>
      </c>
      <c r="G224" s="24" t="s">
        <v>69</v>
      </c>
      <c r="H224" s="24" t="s">
        <v>80</v>
      </c>
      <c r="I224" s="24" t="s">
        <v>61</v>
      </c>
      <c r="J224" s="26" t="n">
        <f aca="false">IF(A224="","",YEAR(A224))</f>
        <v>2025</v>
      </c>
      <c r="K224" s="26" t="n">
        <f aca="false">IF(A224="","",MONTH(A224))</f>
        <v>2</v>
      </c>
      <c r="L224" s="26" t="n">
        <f aca="false">IF(B224="","",VALUE(LEFT(B224,2)))</f>
        <v>6</v>
      </c>
      <c r="M224" s="26" t="n">
        <f aca="false">IF(A224="","",IF(COUNTIFS($C$2:$C$5001,C224,$J$2:$J$5001,J224,$A$2:$A$5001,"&lt;"&amp;A224)=0,1,0))</f>
        <v>1</v>
      </c>
    </row>
    <row r="225" customFormat="false" ht="15" hidden="false" customHeight="false" outlineLevel="0" collapsed="false">
      <c r="A225" s="23" t="n">
        <v>45710.4097222222</v>
      </c>
      <c r="B225" s="24" t="s">
        <v>368</v>
      </c>
      <c r="C225" s="24" t="s">
        <v>145</v>
      </c>
      <c r="D225" s="24" t="s">
        <v>66</v>
      </c>
      <c r="E225" s="24" t="n">
        <v>137</v>
      </c>
      <c r="F225" s="25" t="n">
        <v>5000</v>
      </c>
      <c r="G225" s="24" t="s">
        <v>54</v>
      </c>
      <c r="H225" s="24" t="s">
        <v>80</v>
      </c>
      <c r="I225" s="24" t="s">
        <v>61</v>
      </c>
      <c r="J225" s="26" t="n">
        <f aca="false">IF(A225="","",YEAR(A225))</f>
        <v>2025</v>
      </c>
      <c r="K225" s="26" t="n">
        <f aca="false">IF(A225="","",MONTH(A225))</f>
        <v>2</v>
      </c>
      <c r="L225" s="26" t="n">
        <f aca="false">IF(B225="","",VALUE(LEFT(B225,2)))</f>
        <v>7</v>
      </c>
      <c r="M225" s="26" t="n">
        <f aca="false">IF(A225="","",IF(COUNTIFS($C$2:$C$5001,C225,$J$2:$J$5001,J225,$A$2:$A$5001,"&lt;"&amp;A225)=0,1,0))</f>
        <v>0</v>
      </c>
    </row>
    <row r="226" customFormat="false" ht="15" hidden="false" customHeight="false" outlineLevel="0" collapsed="false">
      <c r="A226" s="23" t="n">
        <v>45710.4708333333</v>
      </c>
      <c r="B226" s="24" t="s">
        <v>318</v>
      </c>
      <c r="C226" s="24" t="s">
        <v>96</v>
      </c>
      <c r="D226" s="24" t="s">
        <v>53</v>
      </c>
      <c r="E226" s="24" t="n">
        <v>153</v>
      </c>
      <c r="F226" s="25" t="n">
        <v>3000</v>
      </c>
      <c r="G226" s="24" t="s">
        <v>59</v>
      </c>
      <c r="H226" s="24" t="s">
        <v>55</v>
      </c>
      <c r="I226" s="24" t="s">
        <v>61</v>
      </c>
      <c r="J226" s="26" t="n">
        <f aca="false">IF(A226="","",YEAR(A226))</f>
        <v>2025</v>
      </c>
      <c r="K226" s="26" t="n">
        <f aca="false">IF(A226="","",MONTH(A226))</f>
        <v>2</v>
      </c>
      <c r="L226" s="26" t="n">
        <f aca="false">IF(B226="","",VALUE(LEFT(B226,2)))</f>
        <v>8</v>
      </c>
      <c r="M226" s="26" t="n">
        <f aca="false">IF(A226="","",IF(COUNTIFS($C$2:$C$5001,C226,$J$2:$J$5001,J226,$A$2:$A$5001,"&lt;"&amp;A226)=0,1,0))</f>
        <v>0</v>
      </c>
    </row>
    <row r="227" customFormat="false" ht="15" hidden="false" customHeight="false" outlineLevel="0" collapsed="false">
      <c r="A227" s="23" t="n">
        <v>45710.5375</v>
      </c>
      <c r="B227" s="24" t="s">
        <v>369</v>
      </c>
      <c r="C227" s="24" t="s">
        <v>197</v>
      </c>
      <c r="D227" s="24" t="s">
        <v>53</v>
      </c>
      <c r="E227" s="24" t="n">
        <v>256</v>
      </c>
      <c r="F227" s="25" t="n">
        <v>4500</v>
      </c>
      <c r="G227" s="24" t="s">
        <v>59</v>
      </c>
      <c r="H227" s="24" t="s">
        <v>60</v>
      </c>
      <c r="I227" s="24" t="s">
        <v>61</v>
      </c>
      <c r="J227" s="26" t="n">
        <f aca="false">IF(A227="","",YEAR(A227))</f>
        <v>2025</v>
      </c>
      <c r="K227" s="26" t="n">
        <f aca="false">IF(A227="","",MONTH(A227))</f>
        <v>2</v>
      </c>
      <c r="L227" s="26" t="n">
        <f aca="false">IF(B227="","",VALUE(LEFT(B227,2)))</f>
        <v>8</v>
      </c>
      <c r="M227" s="26" t="n">
        <f aca="false">IF(A227="","",IF(COUNTIFS($C$2:$C$5001,C227,$J$2:$J$5001,J227,$A$2:$A$5001,"&lt;"&amp;A227)=0,1,0))</f>
        <v>0</v>
      </c>
    </row>
    <row r="228" customFormat="false" ht="15" hidden="false" customHeight="false" outlineLevel="0" collapsed="false">
      <c r="A228" s="23" t="n">
        <v>45710.6</v>
      </c>
      <c r="B228" s="24" t="s">
        <v>370</v>
      </c>
      <c r="C228" s="24" t="s">
        <v>94</v>
      </c>
      <c r="D228" s="24" t="s">
        <v>66</v>
      </c>
      <c r="E228" s="24" t="n">
        <v>178</v>
      </c>
      <c r="F228" s="25" t="n">
        <v>6000</v>
      </c>
      <c r="G228" s="24" t="s">
        <v>59</v>
      </c>
      <c r="H228" s="24" t="s">
        <v>80</v>
      </c>
      <c r="I228" s="24" t="s">
        <v>61</v>
      </c>
      <c r="J228" s="26" t="n">
        <f aca="false">IF(A228="","",YEAR(A228))</f>
        <v>2025</v>
      </c>
      <c r="K228" s="26" t="n">
        <f aca="false">IF(A228="","",MONTH(A228))</f>
        <v>2</v>
      </c>
      <c r="L228" s="26" t="n">
        <f aca="false">IF(B228="","",VALUE(LEFT(B228,2)))</f>
        <v>11</v>
      </c>
      <c r="M228" s="26" t="n">
        <f aca="false">IF(A228="","",IF(COUNTIFS($C$2:$C$5001,C228,$J$2:$J$5001,J228,$A$2:$A$5001,"&lt;"&amp;A228)=0,1,0))</f>
        <v>0</v>
      </c>
    </row>
    <row r="229" customFormat="false" ht="15" hidden="false" customHeight="false" outlineLevel="0" collapsed="false">
      <c r="A229" s="23" t="n">
        <v>45710.6861111111</v>
      </c>
      <c r="B229" s="24" t="s">
        <v>173</v>
      </c>
      <c r="C229" s="24" t="s">
        <v>143</v>
      </c>
      <c r="D229" s="24" t="s">
        <v>66</v>
      </c>
      <c r="E229" s="24" t="n">
        <v>391</v>
      </c>
      <c r="F229" s="25" t="n">
        <v>14000</v>
      </c>
      <c r="G229" s="24" t="s">
        <v>69</v>
      </c>
      <c r="H229" s="24" t="s">
        <v>55</v>
      </c>
      <c r="I229" s="24" t="s">
        <v>61</v>
      </c>
      <c r="J229" s="26" t="n">
        <f aca="false">IF(A229="","",YEAR(A229))</f>
        <v>2025</v>
      </c>
      <c r="K229" s="26" t="n">
        <f aca="false">IF(A229="","",MONTH(A229))</f>
        <v>2</v>
      </c>
      <c r="L229" s="26" t="n">
        <f aca="false">IF(B229="","",VALUE(LEFT(B229,2)))</f>
        <v>9</v>
      </c>
      <c r="M229" s="26" t="n">
        <f aca="false">IF(A229="","",IF(COUNTIFS($C$2:$C$5001,C229,$J$2:$J$5001,J229,$A$2:$A$5001,"&lt;"&amp;A229)=0,1,0))</f>
        <v>0</v>
      </c>
    </row>
    <row r="230" customFormat="false" ht="15" hidden="false" customHeight="false" outlineLevel="0" collapsed="false">
      <c r="A230" s="23" t="n">
        <v>45710.9520833333</v>
      </c>
      <c r="B230" s="24" t="s">
        <v>371</v>
      </c>
      <c r="C230" s="24" t="s">
        <v>237</v>
      </c>
      <c r="D230" s="24" t="s">
        <v>66</v>
      </c>
      <c r="E230" s="24" t="n">
        <v>382</v>
      </c>
      <c r="F230" s="25" t="n">
        <v>13000</v>
      </c>
      <c r="G230" s="24" t="s">
        <v>59</v>
      </c>
      <c r="H230" s="24" t="s">
        <v>80</v>
      </c>
      <c r="I230" s="24" t="s">
        <v>61</v>
      </c>
      <c r="J230" s="26" t="n">
        <f aca="false">IF(A230="","",YEAR(A230))</f>
        <v>2025</v>
      </c>
      <c r="K230" s="26" t="n">
        <f aca="false">IF(A230="","",MONTH(A230))</f>
        <v>2</v>
      </c>
      <c r="L230" s="26" t="n">
        <f aca="false">IF(B230="","",VALUE(LEFT(B230,2)))</f>
        <v>16</v>
      </c>
      <c r="M230" s="26" t="n">
        <f aca="false">IF(A230="","",IF(COUNTIFS($C$2:$C$5001,C230,$J$2:$J$5001,J230,$A$2:$A$5001,"&lt;"&amp;A230)=0,1,0))</f>
        <v>0</v>
      </c>
    </row>
    <row r="231" customFormat="false" ht="15" hidden="false" customHeight="false" outlineLevel="0" collapsed="false">
      <c r="A231" s="23" t="n">
        <v>45711.0625</v>
      </c>
      <c r="B231" s="24" t="s">
        <v>372</v>
      </c>
      <c r="C231" s="24" t="s">
        <v>373</v>
      </c>
      <c r="D231" s="24" t="s">
        <v>66</v>
      </c>
      <c r="E231" s="24" t="n">
        <v>410</v>
      </c>
      <c r="F231" s="25" t="n">
        <v>14000</v>
      </c>
      <c r="G231" s="24" t="s">
        <v>69</v>
      </c>
      <c r="H231" s="24" t="s">
        <v>55</v>
      </c>
      <c r="I231" s="24" t="s">
        <v>61</v>
      </c>
      <c r="J231" s="26" t="n">
        <f aca="false">IF(A231="","",YEAR(A231))</f>
        <v>2025</v>
      </c>
      <c r="K231" s="26" t="n">
        <f aca="false">IF(A231="","",MONTH(A231))</f>
        <v>2</v>
      </c>
      <c r="L231" s="26" t="n">
        <f aca="false">IF(B231="","",VALUE(LEFT(B231,2)))</f>
        <v>18</v>
      </c>
      <c r="M231" s="26" t="n">
        <f aca="false">IF(A231="","",IF(COUNTIFS($C$2:$C$5001,C231,$J$2:$J$5001,J231,$A$2:$A$5001,"&lt;"&amp;A231)=0,1,0))</f>
        <v>1</v>
      </c>
    </row>
    <row r="232" customFormat="false" ht="15" hidden="false" customHeight="false" outlineLevel="0" collapsed="false">
      <c r="A232" s="23" t="n">
        <v>45711.3270833333</v>
      </c>
      <c r="B232" s="24" t="s">
        <v>81</v>
      </c>
      <c r="C232" s="24" t="s">
        <v>170</v>
      </c>
      <c r="D232" s="24" t="s">
        <v>66</v>
      </c>
      <c r="E232" s="24" t="n">
        <v>51</v>
      </c>
      <c r="F232" s="25" t="n">
        <v>2000</v>
      </c>
      <c r="G232" s="24" t="s">
        <v>59</v>
      </c>
      <c r="H232" s="24" t="s">
        <v>60</v>
      </c>
      <c r="I232" s="24" t="s">
        <v>61</v>
      </c>
      <c r="J232" s="26" t="n">
        <f aca="false">IF(A232="","",YEAR(A232))</f>
        <v>2025</v>
      </c>
      <c r="K232" s="26" t="n">
        <f aca="false">IF(A232="","",MONTH(A232))</f>
        <v>2</v>
      </c>
      <c r="L232" s="26" t="n">
        <f aca="false">IF(B232="","",VALUE(LEFT(B232,2)))</f>
        <v>7</v>
      </c>
      <c r="M232" s="26" t="n">
        <f aca="false">IF(A232="","",IF(COUNTIFS($C$2:$C$5001,C232,$J$2:$J$5001,J232,$A$2:$A$5001,"&lt;"&amp;A232)=0,1,0))</f>
        <v>0</v>
      </c>
    </row>
    <row r="233" customFormat="false" ht="15" hidden="false" customHeight="false" outlineLevel="0" collapsed="false">
      <c r="A233" s="23" t="n">
        <v>45711.4013888889</v>
      </c>
      <c r="B233" s="24" t="s">
        <v>374</v>
      </c>
      <c r="C233" s="24" t="s">
        <v>182</v>
      </c>
      <c r="D233" s="24" t="s">
        <v>66</v>
      </c>
      <c r="E233" s="24" t="n">
        <v>72</v>
      </c>
      <c r="F233" s="25" t="n">
        <v>3000</v>
      </c>
      <c r="G233" s="24" t="s">
        <v>59</v>
      </c>
      <c r="H233" s="24" t="s">
        <v>55</v>
      </c>
      <c r="I233" s="24" t="s">
        <v>61</v>
      </c>
      <c r="J233" s="26" t="n">
        <f aca="false">IF(A233="","",YEAR(A233))</f>
        <v>2025</v>
      </c>
      <c r="K233" s="26" t="n">
        <f aca="false">IF(A233="","",MONTH(A233))</f>
        <v>2</v>
      </c>
      <c r="L233" s="26" t="n">
        <f aca="false">IF(B233="","",VALUE(LEFT(B233,2)))</f>
        <v>8</v>
      </c>
      <c r="M233" s="26" t="n">
        <f aca="false">IF(A233="","",IF(COUNTIFS($C$2:$C$5001,C233,$J$2:$J$5001,J233,$A$2:$A$5001,"&lt;"&amp;A233)=0,1,0))</f>
        <v>0</v>
      </c>
    </row>
    <row r="234" customFormat="false" ht="15" hidden="false" customHeight="false" outlineLevel="0" collapsed="false">
      <c r="A234" s="23" t="n">
        <v>45711.5465277778</v>
      </c>
      <c r="B234" s="24" t="s">
        <v>280</v>
      </c>
      <c r="C234" s="24" t="s">
        <v>352</v>
      </c>
      <c r="D234" s="24" t="s">
        <v>53</v>
      </c>
      <c r="E234" s="24" t="n">
        <v>358</v>
      </c>
      <c r="F234" s="25" t="n">
        <v>6000</v>
      </c>
      <c r="G234" s="24" t="s">
        <v>59</v>
      </c>
      <c r="H234" s="24" t="s">
        <v>55</v>
      </c>
      <c r="I234" s="24" t="s">
        <v>61</v>
      </c>
      <c r="J234" s="26" t="n">
        <f aca="false">IF(A234="","",YEAR(A234))</f>
        <v>2025</v>
      </c>
      <c r="K234" s="26" t="n">
        <f aca="false">IF(A234="","",MONTH(A234))</f>
        <v>2</v>
      </c>
      <c r="L234" s="26" t="n">
        <f aca="false">IF(B234="","",VALUE(LEFT(B234,2)))</f>
        <v>7</v>
      </c>
      <c r="M234" s="26" t="n">
        <f aca="false">IF(A234="","",IF(COUNTIFS($C$2:$C$5001,C234,$J$2:$J$5001,J234,$A$2:$A$5001,"&lt;"&amp;A234)=0,1,0))</f>
        <v>0</v>
      </c>
    </row>
    <row r="235" customFormat="false" ht="15" hidden="false" customHeight="false" outlineLevel="0" collapsed="false">
      <c r="A235" s="23" t="n">
        <v>45711.5618055556</v>
      </c>
      <c r="B235" s="24" t="s">
        <v>375</v>
      </c>
      <c r="C235" s="24" t="s">
        <v>277</v>
      </c>
      <c r="D235" s="24" t="s">
        <v>88</v>
      </c>
      <c r="E235" s="24" t="n">
        <v>282</v>
      </c>
      <c r="F235" s="25" t="n">
        <v>15000</v>
      </c>
      <c r="G235" s="24" t="s">
        <v>79</v>
      </c>
      <c r="H235" s="24" t="s">
        <v>80</v>
      </c>
      <c r="I235" s="24" t="s">
        <v>61</v>
      </c>
      <c r="J235" s="26" t="n">
        <f aca="false">IF(A235="","",YEAR(A235))</f>
        <v>2025</v>
      </c>
      <c r="K235" s="26" t="n">
        <f aca="false">IF(A235="","",MONTH(A235))</f>
        <v>2</v>
      </c>
      <c r="L235" s="26" t="n">
        <f aca="false">IF(B235="","",VALUE(LEFT(B235,2)))</f>
        <v>8</v>
      </c>
      <c r="M235" s="26" t="n">
        <f aca="false">IF(A235="","",IF(COUNTIFS($C$2:$C$5001,C235,$J$2:$J$5001,J235,$A$2:$A$5001,"&lt;"&amp;A235)=0,1,0))</f>
        <v>0</v>
      </c>
    </row>
    <row r="236" customFormat="false" ht="15" hidden="false" customHeight="false" outlineLevel="0" collapsed="false">
      <c r="A236" s="23" t="n">
        <v>45711.6104166667</v>
      </c>
      <c r="B236" s="24" t="s">
        <v>326</v>
      </c>
      <c r="C236" s="24" t="s">
        <v>376</v>
      </c>
      <c r="D236" s="24" t="s">
        <v>66</v>
      </c>
      <c r="E236" s="24" t="n">
        <v>327</v>
      </c>
      <c r="F236" s="25" t="n">
        <v>11000</v>
      </c>
      <c r="G236" s="24" t="s">
        <v>69</v>
      </c>
      <c r="H236" s="24" t="s">
        <v>80</v>
      </c>
      <c r="I236" s="24" t="s">
        <v>61</v>
      </c>
      <c r="J236" s="26" t="n">
        <f aca="false">IF(A236="","",YEAR(A236))</f>
        <v>2025</v>
      </c>
      <c r="K236" s="26" t="n">
        <f aca="false">IF(A236="","",MONTH(A236))</f>
        <v>2</v>
      </c>
      <c r="L236" s="26" t="n">
        <f aca="false">IF(B236="","",VALUE(LEFT(B236,2)))</f>
        <v>9</v>
      </c>
      <c r="M236" s="26" t="n">
        <f aca="false">IF(A236="","",IF(COUNTIFS($C$2:$C$5001,C236,$J$2:$J$5001,J236,$A$2:$A$5001,"&lt;"&amp;A236)=0,1,0))</f>
        <v>1</v>
      </c>
    </row>
    <row r="237" customFormat="false" ht="15" hidden="false" customHeight="false" outlineLevel="0" collapsed="false">
      <c r="A237" s="23" t="n">
        <v>45711.6375</v>
      </c>
      <c r="B237" s="24" t="s">
        <v>377</v>
      </c>
      <c r="C237" s="24" t="s">
        <v>324</v>
      </c>
      <c r="D237" s="24" t="s">
        <v>66</v>
      </c>
      <c r="E237" s="24" t="n">
        <v>217</v>
      </c>
      <c r="F237" s="25" t="n">
        <v>8000</v>
      </c>
      <c r="G237" s="24" t="s">
        <v>59</v>
      </c>
      <c r="H237" s="24" t="s">
        <v>60</v>
      </c>
      <c r="I237" s="24" t="s">
        <v>61</v>
      </c>
      <c r="J237" s="26" t="n">
        <f aca="false">IF(A237="","",YEAR(A237))</f>
        <v>2025</v>
      </c>
      <c r="K237" s="26" t="n">
        <f aca="false">IF(A237="","",MONTH(A237))</f>
        <v>2</v>
      </c>
      <c r="L237" s="26" t="n">
        <f aca="false">IF(B237="","",VALUE(LEFT(B237,2)))</f>
        <v>11</v>
      </c>
      <c r="M237" s="26" t="n">
        <f aca="false">IF(A237="","",IF(COUNTIFS($C$2:$C$5001,C237,$J$2:$J$5001,J237,$A$2:$A$5001,"&lt;"&amp;A237)=0,1,0))</f>
        <v>0</v>
      </c>
    </row>
    <row r="238" customFormat="false" ht="15" hidden="false" customHeight="false" outlineLevel="0" collapsed="false">
      <c r="A238" s="23" t="n">
        <v>45711.8048611111</v>
      </c>
      <c r="B238" s="24" t="s">
        <v>378</v>
      </c>
      <c r="C238" s="24" t="s">
        <v>131</v>
      </c>
      <c r="D238" s="24" t="s">
        <v>53</v>
      </c>
      <c r="E238" s="24" t="n">
        <v>47</v>
      </c>
      <c r="F238" s="25" t="n">
        <v>1000</v>
      </c>
      <c r="G238" s="24" t="s">
        <v>59</v>
      </c>
      <c r="H238" s="24" t="s">
        <v>80</v>
      </c>
      <c r="I238" s="24" t="s">
        <v>61</v>
      </c>
      <c r="J238" s="26" t="n">
        <f aca="false">IF(A238="","",YEAR(A238))</f>
        <v>2025</v>
      </c>
      <c r="K238" s="26" t="n">
        <f aca="false">IF(A238="","",MONTH(A238))</f>
        <v>2</v>
      </c>
      <c r="L238" s="26" t="n">
        <f aca="false">IF(B238="","",VALUE(LEFT(B238,2)))</f>
        <v>18</v>
      </c>
      <c r="M238" s="26" t="n">
        <f aca="false">IF(A238="","",IF(COUNTIFS($C$2:$C$5001,C238,$J$2:$J$5001,J238,$A$2:$A$5001,"&lt;"&amp;A238)=0,1,0))</f>
        <v>0</v>
      </c>
    </row>
    <row r="239" customFormat="false" ht="15" hidden="false" customHeight="false" outlineLevel="0" collapsed="false">
      <c r="A239" s="23" t="n">
        <v>45712.3541666667</v>
      </c>
      <c r="B239" s="24" t="s">
        <v>379</v>
      </c>
      <c r="C239" s="24" t="s">
        <v>94</v>
      </c>
      <c r="D239" s="24" t="s">
        <v>53</v>
      </c>
      <c r="E239" s="24" t="n">
        <v>97</v>
      </c>
      <c r="F239" s="25" t="n">
        <v>2000</v>
      </c>
      <c r="G239" s="24" t="s">
        <v>59</v>
      </c>
      <c r="H239" s="24" t="s">
        <v>55</v>
      </c>
      <c r="I239" s="24" t="s">
        <v>61</v>
      </c>
      <c r="J239" s="26" t="n">
        <f aca="false">IF(A239="","",YEAR(A239))</f>
        <v>2025</v>
      </c>
      <c r="K239" s="26" t="n">
        <f aca="false">IF(A239="","",MONTH(A239))</f>
        <v>2</v>
      </c>
      <c r="L239" s="26" t="n">
        <f aca="false">IF(B239="","",VALUE(LEFT(B239,2)))</f>
        <v>6</v>
      </c>
      <c r="M239" s="26" t="n">
        <f aca="false">IF(A239="","",IF(COUNTIFS($C$2:$C$5001,C239,$J$2:$J$5001,J239,$A$2:$A$5001,"&lt;"&amp;A239)=0,1,0))</f>
        <v>0</v>
      </c>
    </row>
    <row r="240" customFormat="false" ht="15" hidden="false" customHeight="false" outlineLevel="0" collapsed="false">
      <c r="A240" s="23" t="n">
        <v>45712.4479166667</v>
      </c>
      <c r="B240" s="24" t="s">
        <v>380</v>
      </c>
      <c r="C240" s="24" t="s">
        <v>123</v>
      </c>
      <c r="D240" s="24" t="s">
        <v>53</v>
      </c>
      <c r="E240" s="24" t="n">
        <v>29</v>
      </c>
      <c r="F240" s="25" t="n">
        <v>500</v>
      </c>
      <c r="G240" s="24" t="s">
        <v>69</v>
      </c>
      <c r="H240" s="24" t="s">
        <v>80</v>
      </c>
      <c r="I240" s="24" t="s">
        <v>61</v>
      </c>
      <c r="J240" s="26" t="n">
        <f aca="false">IF(A240="","",YEAR(A240))</f>
        <v>2025</v>
      </c>
      <c r="K240" s="26" t="n">
        <f aca="false">IF(A240="","",MONTH(A240))</f>
        <v>2</v>
      </c>
      <c r="L240" s="26" t="n">
        <f aca="false">IF(B240="","",VALUE(LEFT(B240,2)))</f>
        <v>10</v>
      </c>
      <c r="M240" s="26" t="n">
        <f aca="false">IF(A240="","",IF(COUNTIFS($C$2:$C$5001,C240,$J$2:$J$5001,J240,$A$2:$A$5001,"&lt;"&amp;A240)=0,1,0))</f>
        <v>0</v>
      </c>
    </row>
    <row r="241" customFormat="false" ht="15" hidden="false" customHeight="false" outlineLevel="0" collapsed="false">
      <c r="A241" s="23" t="n">
        <v>45712.4819444444</v>
      </c>
      <c r="B241" s="24" t="s">
        <v>381</v>
      </c>
      <c r="C241" s="24" t="s">
        <v>317</v>
      </c>
      <c r="D241" s="24" t="s">
        <v>66</v>
      </c>
      <c r="E241" s="24" t="n">
        <v>230</v>
      </c>
      <c r="F241" s="25" t="n">
        <v>8000</v>
      </c>
      <c r="G241" s="24" t="s">
        <v>59</v>
      </c>
      <c r="H241" s="24" t="s">
        <v>60</v>
      </c>
      <c r="I241" s="24" t="s">
        <v>61</v>
      </c>
      <c r="J241" s="26" t="n">
        <f aca="false">IF(A241="","",YEAR(A241))</f>
        <v>2025</v>
      </c>
      <c r="K241" s="26" t="n">
        <f aca="false">IF(A241="","",MONTH(A241))</f>
        <v>2</v>
      </c>
      <c r="L241" s="26" t="n">
        <f aca="false">IF(B241="","",VALUE(LEFT(B241,2)))</f>
        <v>7</v>
      </c>
      <c r="M241" s="26" t="n">
        <f aca="false">IF(A241="","",IF(COUNTIFS($C$2:$C$5001,C241,$J$2:$J$5001,J241,$A$2:$A$5001,"&lt;"&amp;A241)=0,1,0))</f>
        <v>0</v>
      </c>
    </row>
    <row r="242" customFormat="false" ht="15" hidden="false" customHeight="false" outlineLevel="0" collapsed="false">
      <c r="A242" s="23" t="n">
        <v>45712.4951388889</v>
      </c>
      <c r="B242" s="24" t="s">
        <v>382</v>
      </c>
      <c r="C242" s="24" t="s">
        <v>143</v>
      </c>
      <c r="D242" s="24" t="s">
        <v>66</v>
      </c>
      <c r="E242" s="24" t="n">
        <v>216</v>
      </c>
      <c r="F242" s="25" t="n">
        <v>8000</v>
      </c>
      <c r="G242" s="24" t="s">
        <v>69</v>
      </c>
      <c r="H242" s="24" t="s">
        <v>55</v>
      </c>
      <c r="I242" s="24" t="s">
        <v>61</v>
      </c>
      <c r="J242" s="26" t="n">
        <f aca="false">IF(A242="","",YEAR(A242))</f>
        <v>2025</v>
      </c>
      <c r="K242" s="26" t="n">
        <f aca="false">IF(A242="","",MONTH(A242))</f>
        <v>2</v>
      </c>
      <c r="L242" s="26" t="n">
        <f aca="false">IF(B242="","",VALUE(LEFT(B242,2)))</f>
        <v>8</v>
      </c>
      <c r="M242" s="26" t="n">
        <f aca="false">IF(A242="","",IF(COUNTIFS($C$2:$C$5001,C242,$J$2:$J$5001,J242,$A$2:$A$5001,"&lt;"&amp;A242)=0,1,0))</f>
        <v>0</v>
      </c>
    </row>
    <row r="243" customFormat="false" ht="15" hidden="false" customHeight="false" outlineLevel="0" collapsed="false">
      <c r="A243" s="23" t="n">
        <v>45712.6</v>
      </c>
      <c r="B243" s="24" t="s">
        <v>383</v>
      </c>
      <c r="C243" s="24" t="s">
        <v>253</v>
      </c>
      <c r="D243" s="24" t="s">
        <v>53</v>
      </c>
      <c r="E243" s="24" t="n">
        <v>269</v>
      </c>
      <c r="F243" s="25" t="n">
        <v>4500</v>
      </c>
      <c r="G243" s="24" t="s">
        <v>59</v>
      </c>
      <c r="H243" s="24" t="s">
        <v>80</v>
      </c>
      <c r="I243" s="24" t="s">
        <v>61</v>
      </c>
      <c r="J243" s="26" t="n">
        <f aca="false">IF(A243="","",YEAR(A243))</f>
        <v>2025</v>
      </c>
      <c r="K243" s="26" t="n">
        <f aca="false">IF(A243="","",MONTH(A243))</f>
        <v>2</v>
      </c>
      <c r="L243" s="26" t="n">
        <f aca="false">IF(B243="","",VALUE(LEFT(B243,2)))</f>
        <v>9</v>
      </c>
      <c r="M243" s="26" t="n">
        <f aca="false">IF(A243="","",IF(COUNTIFS($C$2:$C$5001,C243,$J$2:$J$5001,J243,$A$2:$A$5001,"&lt;"&amp;A243)=0,1,0))</f>
        <v>0</v>
      </c>
    </row>
    <row r="244" customFormat="false" ht="15" hidden="false" customHeight="false" outlineLevel="0" collapsed="false">
      <c r="A244" s="23" t="n">
        <v>45712.7763888889</v>
      </c>
      <c r="B244" s="24" t="s">
        <v>384</v>
      </c>
      <c r="C244" s="24" t="s">
        <v>58</v>
      </c>
      <c r="D244" s="24" t="s">
        <v>66</v>
      </c>
      <c r="E244" s="24" t="n">
        <v>200</v>
      </c>
      <c r="F244" s="25" t="n">
        <v>7000</v>
      </c>
      <c r="G244" s="24" t="s">
        <v>59</v>
      </c>
      <c r="H244" s="24" t="s">
        <v>55</v>
      </c>
      <c r="I244" s="24" t="s">
        <v>61</v>
      </c>
      <c r="J244" s="26" t="n">
        <f aca="false">IF(A244="","",YEAR(A244))</f>
        <v>2025</v>
      </c>
      <c r="K244" s="26" t="n">
        <f aca="false">IF(A244="","",MONTH(A244))</f>
        <v>2</v>
      </c>
      <c r="L244" s="26" t="n">
        <f aca="false">IF(B244="","",VALUE(LEFT(B244,2)))</f>
        <v>15</v>
      </c>
      <c r="M244" s="26" t="n">
        <f aca="false">IF(A244="","",IF(COUNTIFS($C$2:$C$5001,C244,$J$2:$J$5001,J244,$A$2:$A$5001,"&lt;"&amp;A244)=0,1,0))</f>
        <v>0</v>
      </c>
    </row>
    <row r="245" customFormat="false" ht="15" hidden="false" customHeight="false" outlineLevel="0" collapsed="false">
      <c r="A245" s="23" t="n">
        <v>45713.1215277778</v>
      </c>
      <c r="B245" s="24" t="s">
        <v>385</v>
      </c>
      <c r="C245" s="24" t="s">
        <v>268</v>
      </c>
      <c r="D245" s="24" t="s">
        <v>88</v>
      </c>
      <c r="E245" s="24" t="n">
        <v>389</v>
      </c>
      <c r="F245" s="25" t="n">
        <v>19500</v>
      </c>
      <c r="G245" s="24" t="s">
        <v>79</v>
      </c>
      <c r="H245" s="24" t="s">
        <v>60</v>
      </c>
      <c r="I245" s="24" t="s">
        <v>61</v>
      </c>
      <c r="J245" s="26" t="n">
        <f aca="false">IF(A245="","",YEAR(A245))</f>
        <v>2025</v>
      </c>
      <c r="K245" s="26" t="n">
        <f aca="false">IF(A245="","",MONTH(A245))</f>
        <v>2</v>
      </c>
      <c r="L245" s="26" t="n">
        <f aca="false">IF(B245="","",VALUE(LEFT(B245,2)))</f>
        <v>20</v>
      </c>
      <c r="M245" s="26" t="n">
        <f aca="false">IF(A245="","",IF(COUNTIFS($C$2:$C$5001,C245,$J$2:$J$5001,J245,$A$2:$A$5001,"&lt;"&amp;A245)=0,1,0))</f>
        <v>0</v>
      </c>
    </row>
    <row r="246" customFormat="false" ht="15" hidden="false" customHeight="false" outlineLevel="0" collapsed="false">
      <c r="A246" s="23" t="n">
        <v>45713.5381944445</v>
      </c>
      <c r="B246" s="24" t="s">
        <v>386</v>
      </c>
      <c r="C246" s="24" t="s">
        <v>314</v>
      </c>
      <c r="D246" s="24" t="s">
        <v>66</v>
      </c>
      <c r="E246" s="24" t="n">
        <v>27</v>
      </c>
      <c r="F246" s="25" t="n">
        <v>0</v>
      </c>
      <c r="G246" s="24" t="s">
        <v>79</v>
      </c>
      <c r="H246" s="24" t="s">
        <v>80</v>
      </c>
      <c r="I246" s="24" t="s">
        <v>56</v>
      </c>
      <c r="J246" s="26" t="n">
        <f aca="false">IF(A246="","",YEAR(A246))</f>
        <v>2025</v>
      </c>
      <c r="K246" s="26" t="n">
        <f aca="false">IF(A246="","",MONTH(A246))</f>
        <v>2</v>
      </c>
      <c r="L246" s="26" t="n">
        <f aca="false">IF(B246="","",VALUE(LEFT(B246,2)))</f>
        <v>12</v>
      </c>
      <c r="M246" s="26" t="n">
        <f aca="false">IF(A246="","",IF(COUNTIFS($C$2:$C$5001,C246,$J$2:$J$5001,J246,$A$2:$A$5001,"&lt;"&amp;A246)=0,1,0))</f>
        <v>0</v>
      </c>
    </row>
    <row r="247" customFormat="false" ht="15" hidden="false" customHeight="false" outlineLevel="0" collapsed="false">
      <c r="A247" s="23" t="n">
        <v>45713.5409722222</v>
      </c>
      <c r="B247" s="24" t="s">
        <v>387</v>
      </c>
      <c r="C247" s="24" t="s">
        <v>90</v>
      </c>
      <c r="D247" s="24" t="s">
        <v>53</v>
      </c>
      <c r="E247" s="24" t="n">
        <v>341</v>
      </c>
      <c r="F247" s="25" t="n">
        <v>6000</v>
      </c>
      <c r="G247" s="24" t="s">
        <v>54</v>
      </c>
      <c r="H247" s="24" t="s">
        <v>80</v>
      </c>
      <c r="I247" s="24" t="s">
        <v>61</v>
      </c>
      <c r="J247" s="26" t="n">
        <f aca="false">IF(A247="","",YEAR(A247))</f>
        <v>2025</v>
      </c>
      <c r="K247" s="26" t="n">
        <f aca="false">IF(A247="","",MONTH(A247))</f>
        <v>2</v>
      </c>
      <c r="L247" s="26" t="n">
        <f aca="false">IF(B247="","",VALUE(LEFT(B247,2)))</f>
        <v>7</v>
      </c>
      <c r="M247" s="26" t="n">
        <f aca="false">IF(A247="","",IF(COUNTIFS($C$2:$C$5001,C247,$J$2:$J$5001,J247,$A$2:$A$5001,"&lt;"&amp;A247)=0,1,0))</f>
        <v>0</v>
      </c>
    </row>
    <row r="248" customFormat="false" ht="15" hidden="false" customHeight="false" outlineLevel="0" collapsed="false">
      <c r="A248" s="23" t="n">
        <v>45713.7583333333</v>
      </c>
      <c r="B248" s="24" t="s">
        <v>259</v>
      </c>
      <c r="C248" s="24" t="s">
        <v>324</v>
      </c>
      <c r="D248" s="24" t="s">
        <v>66</v>
      </c>
      <c r="E248" s="24" t="n">
        <v>205</v>
      </c>
      <c r="F248" s="25" t="n">
        <v>7000</v>
      </c>
      <c r="G248" s="24" t="s">
        <v>69</v>
      </c>
      <c r="H248" s="24" t="s">
        <v>60</v>
      </c>
      <c r="I248" s="24" t="s">
        <v>61</v>
      </c>
      <c r="J248" s="26" t="n">
        <f aca="false">IF(A248="","",YEAR(A248))</f>
        <v>2025</v>
      </c>
      <c r="K248" s="26" t="n">
        <f aca="false">IF(A248="","",MONTH(A248))</f>
        <v>2</v>
      </c>
      <c r="L248" s="26" t="n">
        <f aca="false">IF(B248="","",VALUE(LEFT(B248,2)))</f>
        <v>14</v>
      </c>
      <c r="M248" s="26" t="n">
        <f aca="false">IF(A248="","",IF(COUNTIFS($C$2:$C$5001,C248,$J$2:$J$5001,J248,$A$2:$A$5001,"&lt;"&amp;A248)=0,1,0))</f>
        <v>0</v>
      </c>
    </row>
    <row r="249" customFormat="false" ht="15" hidden="false" customHeight="false" outlineLevel="0" collapsed="false">
      <c r="A249" s="23" t="n">
        <v>45713.9944444444</v>
      </c>
      <c r="B249" s="24" t="s">
        <v>308</v>
      </c>
      <c r="C249" s="24" t="s">
        <v>227</v>
      </c>
      <c r="D249" s="24" t="s">
        <v>88</v>
      </c>
      <c r="E249" s="24" t="n">
        <v>376</v>
      </c>
      <c r="F249" s="25" t="n">
        <v>19500</v>
      </c>
      <c r="G249" s="24" t="s">
        <v>69</v>
      </c>
      <c r="H249" s="24" t="s">
        <v>55</v>
      </c>
      <c r="I249" s="24" t="s">
        <v>61</v>
      </c>
      <c r="J249" s="26" t="n">
        <f aca="false">IF(A249="","",YEAR(A249))</f>
        <v>2025</v>
      </c>
      <c r="K249" s="26" t="n">
        <f aca="false">IF(A249="","",MONTH(A249))</f>
        <v>2</v>
      </c>
      <c r="L249" s="26" t="n">
        <f aca="false">IF(B249="","",VALUE(LEFT(B249,2)))</f>
        <v>17</v>
      </c>
      <c r="M249" s="26" t="n">
        <f aca="false">IF(A249="","",IF(COUNTIFS($C$2:$C$5001,C249,$J$2:$J$5001,J249,$A$2:$A$5001,"&lt;"&amp;A249)=0,1,0))</f>
        <v>0</v>
      </c>
    </row>
    <row r="250" customFormat="false" ht="15" hidden="false" customHeight="false" outlineLevel="0" collapsed="false">
      <c r="A250" s="23" t="n">
        <v>45714.3902777778</v>
      </c>
      <c r="B250" s="24" t="s">
        <v>388</v>
      </c>
      <c r="C250" s="24" t="s">
        <v>141</v>
      </c>
      <c r="D250" s="24" t="s">
        <v>66</v>
      </c>
      <c r="E250" s="24" t="n">
        <v>132</v>
      </c>
      <c r="F250" s="25" t="n">
        <v>5000</v>
      </c>
      <c r="G250" s="24" t="s">
        <v>69</v>
      </c>
      <c r="H250" s="24" t="s">
        <v>80</v>
      </c>
      <c r="I250" s="24" t="s">
        <v>61</v>
      </c>
      <c r="J250" s="26" t="n">
        <f aca="false">IF(A250="","",YEAR(A250))</f>
        <v>2025</v>
      </c>
      <c r="K250" s="26" t="n">
        <f aca="false">IF(A250="","",MONTH(A250))</f>
        <v>2</v>
      </c>
      <c r="L250" s="26" t="n">
        <f aca="false">IF(B250="","",VALUE(LEFT(B250,2)))</f>
        <v>7</v>
      </c>
      <c r="M250" s="26" t="n">
        <f aca="false">IF(A250="","",IF(COUNTIFS($C$2:$C$5001,C250,$J$2:$J$5001,J250,$A$2:$A$5001,"&lt;"&amp;A250)=0,1,0))</f>
        <v>0</v>
      </c>
    </row>
    <row r="251" customFormat="false" ht="15" hidden="false" customHeight="false" outlineLevel="0" collapsed="false">
      <c r="A251" s="23" t="n">
        <v>45714.4236111111</v>
      </c>
      <c r="B251" s="24" t="s">
        <v>280</v>
      </c>
      <c r="C251" s="24" t="s">
        <v>389</v>
      </c>
      <c r="D251" s="24" t="s">
        <v>53</v>
      </c>
      <c r="E251" s="24" t="n">
        <v>181</v>
      </c>
      <c r="F251" s="25" t="n">
        <v>3500</v>
      </c>
      <c r="G251" s="24" t="s">
        <v>59</v>
      </c>
      <c r="H251" s="24" t="s">
        <v>80</v>
      </c>
      <c r="I251" s="24" t="s">
        <v>61</v>
      </c>
      <c r="J251" s="26" t="n">
        <f aca="false">IF(A251="","",YEAR(A251))</f>
        <v>2025</v>
      </c>
      <c r="K251" s="26" t="n">
        <f aca="false">IF(A251="","",MONTH(A251))</f>
        <v>2</v>
      </c>
      <c r="L251" s="26" t="n">
        <f aca="false">IF(B251="","",VALUE(LEFT(B251,2)))</f>
        <v>7</v>
      </c>
      <c r="M251" s="26" t="n">
        <f aca="false">IF(A251="","",IF(COUNTIFS($C$2:$C$5001,C251,$J$2:$J$5001,J251,$A$2:$A$5001,"&lt;"&amp;A251)=0,1,0))</f>
        <v>1</v>
      </c>
    </row>
    <row r="252" customFormat="false" ht="15" hidden="false" customHeight="false" outlineLevel="0" collapsed="false">
      <c r="A252" s="23" t="n">
        <v>45714.8819444445</v>
      </c>
      <c r="B252" s="24" t="s">
        <v>390</v>
      </c>
      <c r="C252" s="24" t="s">
        <v>197</v>
      </c>
      <c r="D252" s="24" t="s">
        <v>88</v>
      </c>
      <c r="E252" s="24" t="n">
        <v>417</v>
      </c>
      <c r="F252" s="25" t="n">
        <v>21000</v>
      </c>
      <c r="G252" s="24" t="s">
        <v>69</v>
      </c>
      <c r="H252" s="24" t="s">
        <v>55</v>
      </c>
      <c r="I252" s="24" t="s">
        <v>61</v>
      </c>
      <c r="J252" s="26" t="n">
        <f aca="false">IF(A252="","",YEAR(A252))</f>
        <v>2025</v>
      </c>
      <c r="K252" s="26" t="n">
        <f aca="false">IF(A252="","",MONTH(A252))</f>
        <v>2</v>
      </c>
      <c r="L252" s="26" t="n">
        <f aca="false">IF(B252="","",VALUE(LEFT(B252,2)))</f>
        <v>14</v>
      </c>
      <c r="M252" s="26" t="n">
        <f aca="false">IF(A252="","",IF(COUNTIFS($C$2:$C$5001,C252,$J$2:$J$5001,J252,$A$2:$A$5001,"&lt;"&amp;A252)=0,1,0))</f>
        <v>0</v>
      </c>
    </row>
    <row r="253" customFormat="false" ht="15" hidden="false" customHeight="false" outlineLevel="0" collapsed="false">
      <c r="A253" s="23" t="n">
        <v>45715.3715277778</v>
      </c>
      <c r="B253" s="24" t="s">
        <v>214</v>
      </c>
      <c r="C253" s="24" t="s">
        <v>160</v>
      </c>
      <c r="D253" s="24" t="s">
        <v>66</v>
      </c>
      <c r="E253" s="24" t="n">
        <v>39</v>
      </c>
      <c r="F253" s="25" t="n">
        <v>0</v>
      </c>
      <c r="G253" s="24" t="s">
        <v>59</v>
      </c>
      <c r="H253" s="24" t="s">
        <v>55</v>
      </c>
      <c r="I253" s="24" t="s">
        <v>56</v>
      </c>
      <c r="J253" s="26" t="n">
        <f aca="false">IF(A253="","",YEAR(A253))</f>
        <v>2025</v>
      </c>
      <c r="K253" s="26" t="n">
        <f aca="false">IF(A253="","",MONTH(A253))</f>
        <v>2</v>
      </c>
      <c r="L253" s="26" t="n">
        <f aca="false">IF(B253="","",VALUE(LEFT(B253,2)))</f>
        <v>8</v>
      </c>
      <c r="M253" s="26" t="n">
        <f aca="false">IF(A253="","",IF(COUNTIFS($C$2:$C$5001,C253,$J$2:$J$5001,J253,$A$2:$A$5001,"&lt;"&amp;A253)=0,1,0))</f>
        <v>0</v>
      </c>
    </row>
    <row r="254" customFormat="false" ht="15" hidden="false" customHeight="false" outlineLevel="0" collapsed="false">
      <c r="A254" s="23" t="n">
        <v>45715.4409722222</v>
      </c>
      <c r="B254" s="24" t="s">
        <v>388</v>
      </c>
      <c r="C254" s="24" t="s">
        <v>391</v>
      </c>
      <c r="D254" s="24" t="s">
        <v>66</v>
      </c>
      <c r="E254" s="24" t="n">
        <v>205</v>
      </c>
      <c r="F254" s="25" t="n">
        <v>0</v>
      </c>
      <c r="G254" s="24" t="s">
        <v>59</v>
      </c>
      <c r="H254" s="24" t="s">
        <v>55</v>
      </c>
      <c r="I254" s="24" t="s">
        <v>56</v>
      </c>
      <c r="J254" s="26" t="n">
        <f aca="false">IF(A254="","",YEAR(A254))</f>
        <v>2025</v>
      </c>
      <c r="K254" s="26" t="n">
        <f aca="false">IF(A254="","",MONTH(A254))</f>
        <v>2</v>
      </c>
      <c r="L254" s="26" t="n">
        <f aca="false">IF(B254="","",VALUE(LEFT(B254,2)))</f>
        <v>7</v>
      </c>
      <c r="M254" s="26" t="n">
        <f aca="false">IF(A254="","",IF(COUNTIFS($C$2:$C$5001,C254,$J$2:$J$5001,J254,$A$2:$A$5001,"&lt;"&amp;A254)=0,1,0))</f>
        <v>1</v>
      </c>
    </row>
    <row r="255" customFormat="false" ht="15" hidden="false" customHeight="false" outlineLevel="0" collapsed="false">
      <c r="A255" s="23" t="n">
        <v>45715.7694444444</v>
      </c>
      <c r="B255" s="24" t="s">
        <v>95</v>
      </c>
      <c r="C255" s="24" t="s">
        <v>345</v>
      </c>
      <c r="D255" s="24" t="s">
        <v>66</v>
      </c>
      <c r="E255" s="24" t="n">
        <v>202</v>
      </c>
      <c r="F255" s="25" t="n">
        <v>5950</v>
      </c>
      <c r="G255" s="24" t="s">
        <v>59</v>
      </c>
      <c r="H255" s="24" t="s">
        <v>60</v>
      </c>
      <c r="I255" s="24" t="s">
        <v>113</v>
      </c>
      <c r="J255" s="26" t="n">
        <f aca="false">IF(A255="","",YEAR(A255))</f>
        <v>2025</v>
      </c>
      <c r="K255" s="26" t="n">
        <f aca="false">IF(A255="","",MONTH(A255))</f>
        <v>2</v>
      </c>
      <c r="L255" s="26" t="n">
        <f aca="false">IF(B255="","",VALUE(LEFT(B255,2)))</f>
        <v>15</v>
      </c>
      <c r="M255" s="26" t="n">
        <f aca="false">IF(A255="","",IF(COUNTIFS($C$2:$C$5001,C255,$J$2:$J$5001,J255,$A$2:$A$5001,"&lt;"&amp;A255)=0,1,0))</f>
        <v>0</v>
      </c>
    </row>
    <row r="256" customFormat="false" ht="15" hidden="false" customHeight="false" outlineLevel="0" collapsed="false">
      <c r="A256" s="23" t="n">
        <v>45715.9173611111</v>
      </c>
      <c r="B256" s="24" t="s">
        <v>392</v>
      </c>
      <c r="C256" s="24" t="s">
        <v>393</v>
      </c>
      <c r="D256" s="24" t="s">
        <v>66</v>
      </c>
      <c r="E256" s="24" t="n">
        <v>307</v>
      </c>
      <c r="F256" s="25" t="n">
        <v>11000</v>
      </c>
      <c r="G256" s="24" t="s">
        <v>59</v>
      </c>
      <c r="H256" s="24" t="s">
        <v>60</v>
      </c>
      <c r="I256" s="24" t="s">
        <v>61</v>
      </c>
      <c r="J256" s="26" t="n">
        <f aca="false">IF(A256="","",YEAR(A256))</f>
        <v>2025</v>
      </c>
      <c r="K256" s="26" t="n">
        <f aca="false">IF(A256="","",MONTH(A256))</f>
        <v>2</v>
      </c>
      <c r="L256" s="26" t="n">
        <f aca="false">IF(B256="","",VALUE(LEFT(B256,2)))</f>
        <v>16</v>
      </c>
      <c r="M256" s="26" t="n">
        <f aca="false">IF(A256="","",IF(COUNTIFS($C$2:$C$5001,C256,$J$2:$J$5001,J256,$A$2:$A$5001,"&lt;"&amp;A256)=0,1,0))</f>
        <v>1</v>
      </c>
    </row>
    <row r="257" customFormat="false" ht="15" hidden="false" customHeight="false" outlineLevel="0" collapsed="false">
      <c r="A257" s="23" t="n">
        <v>45716.8520833333</v>
      </c>
      <c r="B257" s="24" t="s">
        <v>394</v>
      </c>
      <c r="C257" s="24" t="s">
        <v>201</v>
      </c>
      <c r="D257" s="24" t="s">
        <v>66</v>
      </c>
      <c r="E257" s="24" t="n">
        <v>117</v>
      </c>
      <c r="F257" s="25" t="n">
        <v>4000</v>
      </c>
      <c r="G257" s="24" t="s">
        <v>79</v>
      </c>
      <c r="H257" s="24" t="s">
        <v>55</v>
      </c>
      <c r="I257" s="24" t="s">
        <v>61</v>
      </c>
      <c r="J257" s="26" t="n">
        <f aca="false">IF(A257="","",YEAR(A257))</f>
        <v>2025</v>
      </c>
      <c r="K257" s="26" t="n">
        <f aca="false">IF(A257="","",MONTH(A257))</f>
        <v>2</v>
      </c>
      <c r="L257" s="26" t="n">
        <f aca="false">IF(B257="","",VALUE(LEFT(B257,2)))</f>
        <v>18</v>
      </c>
      <c r="M257" s="26" t="n">
        <f aca="false">IF(A257="","",IF(COUNTIFS($C$2:$C$5001,C257,$J$2:$J$5001,J257,$A$2:$A$5001,"&lt;"&amp;A257)=0,1,0))</f>
        <v>0</v>
      </c>
    </row>
    <row r="258" customFormat="false" ht="15" hidden="false" customHeight="false" outlineLevel="0" collapsed="false">
      <c r="A258" s="23" t="n">
        <v>45716.9347222222</v>
      </c>
      <c r="B258" s="24" t="s">
        <v>395</v>
      </c>
      <c r="C258" s="24" t="s">
        <v>396</v>
      </c>
      <c r="D258" s="24" t="s">
        <v>53</v>
      </c>
      <c r="E258" s="24" t="n">
        <v>124</v>
      </c>
      <c r="F258" s="25" t="n">
        <v>2500</v>
      </c>
      <c r="G258" s="24" t="s">
        <v>69</v>
      </c>
      <c r="H258" s="24" t="s">
        <v>80</v>
      </c>
      <c r="I258" s="24" t="s">
        <v>61</v>
      </c>
      <c r="J258" s="26" t="n">
        <f aca="false">IF(A258="","",YEAR(A258))</f>
        <v>2025</v>
      </c>
      <c r="K258" s="26" t="n">
        <f aca="false">IF(A258="","",MONTH(A258))</f>
        <v>2</v>
      </c>
      <c r="L258" s="26" t="n">
        <f aca="false">IF(B258="","",VALUE(LEFT(B258,2)))</f>
        <v>20</v>
      </c>
      <c r="M258" s="26" t="n">
        <f aca="false">IF(A258="","",IF(COUNTIFS($C$2:$C$5001,C258,$J$2:$J$5001,J258,$A$2:$A$5001,"&lt;"&amp;A258)=0,1,0))</f>
        <v>1</v>
      </c>
    </row>
    <row r="259" customFormat="false" ht="15" hidden="false" customHeight="false" outlineLevel="0" collapsed="false">
      <c r="A259" s="23" t="n">
        <v>45716.9798611111</v>
      </c>
      <c r="B259" s="24" t="s">
        <v>322</v>
      </c>
      <c r="C259" s="24" t="s">
        <v>397</v>
      </c>
      <c r="D259" s="24" t="s">
        <v>66</v>
      </c>
      <c r="E259" s="24" t="n">
        <v>247</v>
      </c>
      <c r="F259" s="25" t="n">
        <v>9000</v>
      </c>
      <c r="G259" s="24" t="s">
        <v>69</v>
      </c>
      <c r="H259" s="24" t="s">
        <v>55</v>
      </c>
      <c r="I259" s="24" t="s">
        <v>61</v>
      </c>
      <c r="J259" s="26" t="n">
        <f aca="false">IF(A259="","",YEAR(A259))</f>
        <v>2025</v>
      </c>
      <c r="K259" s="26" t="n">
        <f aca="false">IF(A259="","",MONTH(A259))</f>
        <v>2</v>
      </c>
      <c r="L259" s="26" t="n">
        <f aca="false">IF(B259="","",VALUE(LEFT(B259,2)))</f>
        <v>19</v>
      </c>
      <c r="M259" s="26" t="n">
        <f aca="false">IF(A259="","",IF(COUNTIFS($C$2:$C$5001,C259,$J$2:$J$5001,J259,$A$2:$A$5001,"&lt;"&amp;A259)=0,1,0))</f>
        <v>1</v>
      </c>
    </row>
    <row r="260" customFormat="false" ht="15" hidden="false" customHeight="false" outlineLevel="0" collapsed="false">
      <c r="A260" s="23" t="n">
        <v>45717.0326388889</v>
      </c>
      <c r="B260" s="24" t="s">
        <v>217</v>
      </c>
      <c r="C260" s="24" t="s">
        <v>398</v>
      </c>
      <c r="D260" s="24" t="s">
        <v>66</v>
      </c>
      <c r="E260" s="24" t="n">
        <v>310</v>
      </c>
      <c r="F260" s="25" t="n">
        <v>0</v>
      </c>
      <c r="G260" s="24" t="s">
        <v>83</v>
      </c>
      <c r="H260" s="24" t="s">
        <v>55</v>
      </c>
      <c r="I260" s="24" t="s">
        <v>56</v>
      </c>
      <c r="J260" s="26" t="n">
        <f aca="false">IF(A260="","",YEAR(A260))</f>
        <v>2025</v>
      </c>
      <c r="K260" s="26" t="n">
        <f aca="false">IF(A260="","",MONTH(A260))</f>
        <v>3</v>
      </c>
      <c r="L260" s="26" t="n">
        <f aca="false">IF(B260="","",VALUE(LEFT(B260,2)))</f>
        <v>19</v>
      </c>
      <c r="M260" s="26" t="n">
        <f aca="false">IF(A260="","",IF(COUNTIFS($C$2:$C$5001,C260,$J$2:$J$5001,J260,$A$2:$A$5001,"&lt;"&amp;A260)=0,1,0))</f>
        <v>1</v>
      </c>
    </row>
    <row r="261" customFormat="false" ht="15" hidden="false" customHeight="false" outlineLevel="0" collapsed="false">
      <c r="A261" s="23" t="n">
        <v>45717.0513888889</v>
      </c>
      <c r="B261" s="24" t="s">
        <v>399</v>
      </c>
      <c r="C261" s="24" t="s">
        <v>90</v>
      </c>
      <c r="D261" s="24" t="s">
        <v>53</v>
      </c>
      <c r="E261" s="24" t="n">
        <v>279</v>
      </c>
      <c r="F261" s="25" t="n">
        <v>5000</v>
      </c>
      <c r="G261" s="24" t="s">
        <v>59</v>
      </c>
      <c r="H261" s="24" t="s">
        <v>55</v>
      </c>
      <c r="I261" s="24" t="s">
        <v>61</v>
      </c>
      <c r="J261" s="26" t="n">
        <f aca="false">IF(A261="","",YEAR(A261))</f>
        <v>2025</v>
      </c>
      <c r="K261" s="26" t="n">
        <f aca="false">IF(A261="","",MONTH(A261))</f>
        <v>3</v>
      </c>
      <c r="L261" s="26" t="n">
        <f aca="false">IF(B261="","",VALUE(LEFT(B261,2)))</f>
        <v>20</v>
      </c>
      <c r="M261" s="26" t="n">
        <f aca="false">IF(A261="","",IF(COUNTIFS($C$2:$C$5001,C261,$J$2:$J$5001,J261,$A$2:$A$5001,"&lt;"&amp;A261)=0,1,0))</f>
        <v>0</v>
      </c>
    </row>
    <row r="262" customFormat="false" ht="15" hidden="false" customHeight="false" outlineLevel="0" collapsed="false">
      <c r="A262" s="23" t="n">
        <v>45717.5229166667</v>
      </c>
      <c r="B262" s="24" t="s">
        <v>111</v>
      </c>
      <c r="C262" s="24" t="s">
        <v>240</v>
      </c>
      <c r="D262" s="24" t="s">
        <v>53</v>
      </c>
      <c r="E262" s="24" t="n">
        <v>270</v>
      </c>
      <c r="F262" s="25" t="n">
        <v>4500</v>
      </c>
      <c r="G262" s="24" t="s">
        <v>59</v>
      </c>
      <c r="H262" s="24" t="s">
        <v>80</v>
      </c>
      <c r="I262" s="24" t="s">
        <v>61</v>
      </c>
      <c r="J262" s="26" t="n">
        <f aca="false">IF(A262="","",YEAR(A262))</f>
        <v>2025</v>
      </c>
      <c r="K262" s="26" t="n">
        <f aca="false">IF(A262="","",MONTH(A262))</f>
        <v>3</v>
      </c>
      <c r="L262" s="26" t="n">
        <f aca="false">IF(B262="","",VALUE(LEFT(B262,2)))</f>
        <v>8</v>
      </c>
      <c r="M262" s="26" t="n">
        <f aca="false">IF(A262="","",IF(COUNTIFS($C$2:$C$5001,C262,$J$2:$J$5001,J262,$A$2:$A$5001,"&lt;"&amp;A262)=0,1,0))</f>
        <v>0</v>
      </c>
    </row>
    <row r="263" customFormat="false" ht="15" hidden="false" customHeight="false" outlineLevel="0" collapsed="false">
      <c r="A263" s="23" t="n">
        <v>45717.6027777778</v>
      </c>
      <c r="B263" s="24" t="s">
        <v>400</v>
      </c>
      <c r="C263" s="24" t="s">
        <v>112</v>
      </c>
      <c r="D263" s="24" t="s">
        <v>66</v>
      </c>
      <c r="E263" s="24" t="n">
        <v>419</v>
      </c>
      <c r="F263" s="25" t="n">
        <v>11900</v>
      </c>
      <c r="G263" s="24" t="s">
        <v>79</v>
      </c>
      <c r="H263" s="24" t="s">
        <v>60</v>
      </c>
      <c r="I263" s="24" t="s">
        <v>113</v>
      </c>
      <c r="J263" s="26" t="n">
        <f aca="false">IF(A263="","",YEAR(A263))</f>
        <v>2025</v>
      </c>
      <c r="K263" s="26" t="n">
        <f aca="false">IF(A263="","",MONTH(A263))</f>
        <v>3</v>
      </c>
      <c r="L263" s="26" t="n">
        <f aca="false">IF(B263="","",VALUE(LEFT(B263,2)))</f>
        <v>7</v>
      </c>
      <c r="M263" s="26" t="n">
        <f aca="false">IF(A263="","",IF(COUNTIFS($C$2:$C$5001,C263,$J$2:$J$5001,J263,$A$2:$A$5001,"&lt;"&amp;A263)=0,1,0))</f>
        <v>0</v>
      </c>
    </row>
    <row r="264" customFormat="false" ht="15" hidden="false" customHeight="false" outlineLevel="0" collapsed="false">
      <c r="A264" s="23" t="n">
        <v>45717.8340277778</v>
      </c>
      <c r="B264" s="24" t="s">
        <v>401</v>
      </c>
      <c r="C264" s="24" t="s">
        <v>179</v>
      </c>
      <c r="D264" s="24" t="s">
        <v>66</v>
      </c>
      <c r="E264" s="24" t="n">
        <v>72</v>
      </c>
      <c r="F264" s="25" t="n">
        <v>2550</v>
      </c>
      <c r="G264" s="24" t="s">
        <v>59</v>
      </c>
      <c r="H264" s="24" t="s">
        <v>80</v>
      </c>
      <c r="I264" s="24" t="s">
        <v>113</v>
      </c>
      <c r="J264" s="26" t="n">
        <f aca="false">IF(A264="","",YEAR(A264))</f>
        <v>2025</v>
      </c>
      <c r="K264" s="26" t="n">
        <f aca="false">IF(A264="","",MONTH(A264))</f>
        <v>3</v>
      </c>
      <c r="L264" s="26" t="n">
        <f aca="false">IF(B264="","",VALUE(LEFT(B264,2)))</f>
        <v>18</v>
      </c>
      <c r="M264" s="26" t="n">
        <f aca="false">IF(A264="","",IF(COUNTIFS($C$2:$C$5001,C264,$J$2:$J$5001,J264,$A$2:$A$5001,"&lt;"&amp;A264)=0,1,0))</f>
        <v>0</v>
      </c>
    </row>
    <row r="265" customFormat="false" ht="15" hidden="false" customHeight="false" outlineLevel="0" collapsed="false">
      <c r="A265" s="23" t="n">
        <v>45717.8909722222</v>
      </c>
      <c r="B265" s="24" t="s">
        <v>402</v>
      </c>
      <c r="C265" s="24" t="s">
        <v>403</v>
      </c>
      <c r="D265" s="24" t="s">
        <v>53</v>
      </c>
      <c r="E265" s="24" t="n">
        <v>228</v>
      </c>
      <c r="F265" s="25" t="n">
        <v>3400</v>
      </c>
      <c r="G265" s="24" t="s">
        <v>59</v>
      </c>
      <c r="H265" s="24" t="s">
        <v>55</v>
      </c>
      <c r="I265" s="24" t="s">
        <v>113</v>
      </c>
      <c r="J265" s="26" t="n">
        <f aca="false">IF(A265="","",YEAR(A265))</f>
        <v>2025</v>
      </c>
      <c r="K265" s="26" t="n">
        <f aca="false">IF(A265="","",MONTH(A265))</f>
        <v>3</v>
      </c>
      <c r="L265" s="26" t="n">
        <f aca="false">IF(B265="","",VALUE(LEFT(B265,2)))</f>
        <v>17</v>
      </c>
      <c r="M265" s="26" t="n">
        <f aca="false">IF(A265="","",IF(COUNTIFS($C$2:$C$5001,C265,$J$2:$J$5001,J265,$A$2:$A$5001,"&lt;"&amp;A265)=0,1,0))</f>
        <v>1</v>
      </c>
    </row>
    <row r="266" customFormat="false" ht="15" hidden="false" customHeight="false" outlineLevel="0" collapsed="false">
      <c r="A266" s="23" t="n">
        <v>45718.4104166667</v>
      </c>
      <c r="B266" s="24" t="s">
        <v>404</v>
      </c>
      <c r="C266" s="24" t="s">
        <v>145</v>
      </c>
      <c r="D266" s="24" t="s">
        <v>53</v>
      </c>
      <c r="E266" s="24" t="n">
        <v>56</v>
      </c>
      <c r="F266" s="25" t="n">
        <v>1000</v>
      </c>
      <c r="G266" s="24" t="s">
        <v>69</v>
      </c>
      <c r="H266" s="24" t="s">
        <v>80</v>
      </c>
      <c r="I266" s="24" t="s">
        <v>61</v>
      </c>
      <c r="J266" s="26" t="n">
        <f aca="false">IF(A266="","",YEAR(A266))</f>
        <v>2025</v>
      </c>
      <c r="K266" s="26" t="n">
        <f aca="false">IF(A266="","",MONTH(A266))</f>
        <v>3</v>
      </c>
      <c r="L266" s="26" t="n">
        <f aca="false">IF(B266="","",VALUE(LEFT(B266,2)))</f>
        <v>8</v>
      </c>
      <c r="M266" s="26" t="n">
        <f aca="false">IF(A266="","",IF(COUNTIFS($C$2:$C$5001,C266,$J$2:$J$5001,J266,$A$2:$A$5001,"&lt;"&amp;A266)=0,1,0))</f>
        <v>0</v>
      </c>
    </row>
    <row r="267" customFormat="false" ht="15" hidden="false" customHeight="false" outlineLevel="0" collapsed="false">
      <c r="A267" s="23" t="n">
        <v>45718.4888888889</v>
      </c>
      <c r="B267" s="24" t="s">
        <v>405</v>
      </c>
      <c r="C267" s="24" t="s">
        <v>406</v>
      </c>
      <c r="D267" s="24" t="s">
        <v>53</v>
      </c>
      <c r="E267" s="24" t="n">
        <v>282</v>
      </c>
      <c r="F267" s="25" t="n">
        <v>5000</v>
      </c>
      <c r="G267" s="24" t="s">
        <v>69</v>
      </c>
      <c r="H267" s="24" t="s">
        <v>60</v>
      </c>
      <c r="I267" s="24" t="s">
        <v>61</v>
      </c>
      <c r="J267" s="26" t="n">
        <f aca="false">IF(A267="","",YEAR(A267))</f>
        <v>2025</v>
      </c>
      <c r="K267" s="26" t="n">
        <f aca="false">IF(A267="","",MONTH(A267))</f>
        <v>3</v>
      </c>
      <c r="L267" s="26" t="n">
        <f aca="false">IF(B267="","",VALUE(LEFT(B267,2)))</f>
        <v>7</v>
      </c>
      <c r="M267" s="26" t="n">
        <f aca="false">IF(A267="","",IF(COUNTIFS($C$2:$C$5001,C267,$J$2:$J$5001,J267,$A$2:$A$5001,"&lt;"&amp;A267)=0,1,0))</f>
        <v>1</v>
      </c>
    </row>
    <row r="268" customFormat="false" ht="15" hidden="false" customHeight="false" outlineLevel="0" collapsed="false">
      <c r="A268" s="23" t="n">
        <v>45718.9534722222</v>
      </c>
      <c r="B268" s="24" t="s">
        <v>320</v>
      </c>
      <c r="C268" s="24" t="s">
        <v>314</v>
      </c>
      <c r="D268" s="24" t="s">
        <v>53</v>
      </c>
      <c r="E268" s="24" t="n">
        <v>402</v>
      </c>
      <c r="F268" s="25" t="n">
        <v>0</v>
      </c>
      <c r="G268" s="24" t="s">
        <v>59</v>
      </c>
      <c r="H268" s="24" t="s">
        <v>55</v>
      </c>
      <c r="I268" s="24" t="s">
        <v>56</v>
      </c>
      <c r="J268" s="26" t="n">
        <f aca="false">IF(A268="","",YEAR(A268))</f>
        <v>2025</v>
      </c>
      <c r="K268" s="26" t="n">
        <f aca="false">IF(A268="","",MONTH(A268))</f>
        <v>3</v>
      </c>
      <c r="L268" s="26" t="n">
        <f aca="false">IF(B268="","",VALUE(LEFT(B268,2)))</f>
        <v>16</v>
      </c>
      <c r="M268" s="26" t="n">
        <f aca="false">IF(A268="","",IF(COUNTIFS($C$2:$C$5001,C268,$J$2:$J$5001,J268,$A$2:$A$5001,"&lt;"&amp;A268)=0,1,0))</f>
        <v>0</v>
      </c>
    </row>
    <row r="269" customFormat="false" ht="15" hidden="false" customHeight="false" outlineLevel="0" collapsed="false">
      <c r="A269" s="23" t="n">
        <v>45719.6909722222</v>
      </c>
      <c r="B269" s="24" t="s">
        <v>407</v>
      </c>
      <c r="C269" s="24" t="s">
        <v>108</v>
      </c>
      <c r="D269" s="24" t="s">
        <v>66</v>
      </c>
      <c r="E269" s="24" t="n">
        <v>340</v>
      </c>
      <c r="F269" s="25" t="n">
        <v>12000</v>
      </c>
      <c r="G269" s="24" t="s">
        <v>69</v>
      </c>
      <c r="H269" s="24" t="s">
        <v>60</v>
      </c>
      <c r="I269" s="24" t="s">
        <v>61</v>
      </c>
      <c r="J269" s="26" t="n">
        <f aca="false">IF(A269="","",YEAR(A269))</f>
        <v>2025</v>
      </c>
      <c r="K269" s="26" t="n">
        <f aca="false">IF(A269="","",MONTH(A269))</f>
        <v>3</v>
      </c>
      <c r="L269" s="26" t="n">
        <f aca="false">IF(B269="","",VALUE(LEFT(B269,2)))</f>
        <v>10</v>
      </c>
      <c r="M269" s="26" t="n">
        <f aca="false">IF(A269="","",IF(COUNTIFS($C$2:$C$5001,C269,$J$2:$J$5001,J269,$A$2:$A$5001,"&lt;"&amp;A269)=0,1,0))</f>
        <v>0</v>
      </c>
    </row>
    <row r="270" customFormat="false" ht="15" hidden="false" customHeight="false" outlineLevel="0" collapsed="false">
      <c r="A270" s="23" t="n">
        <v>45719.90625</v>
      </c>
      <c r="B270" s="24" t="s">
        <v>408</v>
      </c>
      <c r="C270" s="24" t="s">
        <v>138</v>
      </c>
      <c r="D270" s="24" t="s">
        <v>53</v>
      </c>
      <c r="E270" s="24" t="n">
        <v>359</v>
      </c>
      <c r="F270" s="25" t="n">
        <v>6000</v>
      </c>
      <c r="G270" s="24" t="s">
        <v>59</v>
      </c>
      <c r="H270" s="24" t="s">
        <v>55</v>
      </c>
      <c r="I270" s="24" t="s">
        <v>61</v>
      </c>
      <c r="J270" s="26" t="n">
        <f aca="false">IF(A270="","",YEAR(A270))</f>
        <v>2025</v>
      </c>
      <c r="K270" s="26" t="n">
        <f aca="false">IF(A270="","",MONTH(A270))</f>
        <v>3</v>
      </c>
      <c r="L270" s="26" t="n">
        <f aca="false">IF(B270="","",VALUE(LEFT(B270,2)))</f>
        <v>15</v>
      </c>
      <c r="M270" s="26" t="n">
        <f aca="false">IF(A270="","",IF(COUNTIFS($C$2:$C$5001,C270,$J$2:$J$5001,J270,$A$2:$A$5001,"&lt;"&amp;A270)=0,1,0))</f>
        <v>0</v>
      </c>
    </row>
    <row r="271" customFormat="false" ht="15" hidden="false" customHeight="false" outlineLevel="0" collapsed="false">
      <c r="A271" s="23" t="n">
        <v>45720.5340277778</v>
      </c>
      <c r="B271" s="24" t="s">
        <v>191</v>
      </c>
      <c r="C271" s="24" t="s">
        <v>222</v>
      </c>
      <c r="D271" s="24" t="s">
        <v>53</v>
      </c>
      <c r="E271" s="24" t="n">
        <v>336</v>
      </c>
      <c r="F271" s="25" t="n">
        <v>6000</v>
      </c>
      <c r="G271" s="24" t="s">
        <v>79</v>
      </c>
      <c r="H271" s="24" t="s">
        <v>60</v>
      </c>
      <c r="I271" s="24" t="s">
        <v>61</v>
      </c>
      <c r="J271" s="26" t="n">
        <f aca="false">IF(A271="","",YEAR(A271))</f>
        <v>2025</v>
      </c>
      <c r="K271" s="26" t="n">
        <f aca="false">IF(A271="","",MONTH(A271))</f>
        <v>3</v>
      </c>
      <c r="L271" s="26" t="n">
        <f aca="false">IF(B271="","",VALUE(LEFT(B271,2)))</f>
        <v>7</v>
      </c>
      <c r="M271" s="26" t="n">
        <f aca="false">IF(A271="","",IF(COUNTIFS($C$2:$C$5001,C271,$J$2:$J$5001,J271,$A$2:$A$5001,"&lt;"&amp;A271)=0,1,0))</f>
        <v>0</v>
      </c>
    </row>
    <row r="272" customFormat="false" ht="15" hidden="false" customHeight="false" outlineLevel="0" collapsed="false">
      <c r="A272" s="23" t="n">
        <v>45720.6451388889</v>
      </c>
      <c r="B272" s="24" t="s">
        <v>409</v>
      </c>
      <c r="C272" s="24" t="s">
        <v>182</v>
      </c>
      <c r="D272" s="24" t="s">
        <v>66</v>
      </c>
      <c r="E272" s="24" t="n">
        <v>288</v>
      </c>
      <c r="F272" s="25" t="n">
        <v>10000</v>
      </c>
      <c r="G272" s="24" t="s">
        <v>54</v>
      </c>
      <c r="H272" s="24" t="s">
        <v>80</v>
      </c>
      <c r="I272" s="24" t="s">
        <v>61</v>
      </c>
      <c r="J272" s="26" t="n">
        <f aca="false">IF(A272="","",YEAR(A272))</f>
        <v>2025</v>
      </c>
      <c r="K272" s="26" t="n">
        <f aca="false">IF(A272="","",MONTH(A272))</f>
        <v>3</v>
      </c>
      <c r="L272" s="26" t="n">
        <f aca="false">IF(B272="","",VALUE(LEFT(B272,2)))</f>
        <v>10</v>
      </c>
      <c r="M272" s="26" t="n">
        <f aca="false">IF(A272="","",IF(COUNTIFS($C$2:$C$5001,C272,$J$2:$J$5001,J272,$A$2:$A$5001,"&lt;"&amp;A272)=0,1,0))</f>
        <v>0</v>
      </c>
    </row>
    <row r="273" customFormat="false" ht="15" hidden="false" customHeight="false" outlineLevel="0" collapsed="false">
      <c r="A273" s="23" t="n">
        <v>45720.7875</v>
      </c>
      <c r="B273" s="24" t="s">
        <v>410</v>
      </c>
      <c r="C273" s="24" t="s">
        <v>164</v>
      </c>
      <c r="D273" s="24" t="s">
        <v>53</v>
      </c>
      <c r="E273" s="24" t="n">
        <v>164</v>
      </c>
      <c r="F273" s="25" t="n">
        <v>3000</v>
      </c>
      <c r="G273" s="24" t="s">
        <v>59</v>
      </c>
      <c r="H273" s="24" t="s">
        <v>80</v>
      </c>
      <c r="I273" s="24" t="s">
        <v>61</v>
      </c>
      <c r="J273" s="26" t="n">
        <f aca="false">IF(A273="","",YEAR(A273))</f>
        <v>2025</v>
      </c>
      <c r="K273" s="26" t="n">
        <f aca="false">IF(A273="","",MONTH(A273))</f>
        <v>3</v>
      </c>
      <c r="L273" s="26" t="n">
        <f aca="false">IF(B273="","",VALUE(LEFT(B273,2)))</f>
        <v>16</v>
      </c>
      <c r="M273" s="26" t="n">
        <f aca="false">IF(A273="","",IF(COUNTIFS($C$2:$C$5001,C273,$J$2:$J$5001,J273,$A$2:$A$5001,"&lt;"&amp;A273)=0,1,0))</f>
        <v>0</v>
      </c>
    </row>
    <row r="274" customFormat="false" ht="15" hidden="false" customHeight="false" outlineLevel="0" collapsed="false">
      <c r="A274" s="23" t="n">
        <v>45720.7916666667</v>
      </c>
      <c r="B274" s="24" t="s">
        <v>411</v>
      </c>
      <c r="C274" s="24" t="s">
        <v>123</v>
      </c>
      <c r="D274" s="24" t="s">
        <v>66</v>
      </c>
      <c r="E274" s="24" t="n">
        <v>350</v>
      </c>
      <c r="F274" s="25" t="n">
        <v>12000</v>
      </c>
      <c r="G274" s="24" t="s">
        <v>69</v>
      </c>
      <c r="H274" s="24" t="s">
        <v>60</v>
      </c>
      <c r="I274" s="24" t="s">
        <v>61</v>
      </c>
      <c r="J274" s="26" t="n">
        <f aca="false">IF(A274="","",YEAR(A274))</f>
        <v>2025</v>
      </c>
      <c r="K274" s="26" t="n">
        <f aca="false">IF(A274="","",MONTH(A274))</f>
        <v>3</v>
      </c>
      <c r="L274" s="26" t="n">
        <f aca="false">IF(B274="","",VALUE(LEFT(B274,2)))</f>
        <v>13</v>
      </c>
      <c r="M274" s="26" t="n">
        <f aca="false">IF(A274="","",IF(COUNTIFS($C$2:$C$5001,C274,$J$2:$J$5001,J274,$A$2:$A$5001,"&lt;"&amp;A274)=0,1,0))</f>
        <v>0</v>
      </c>
    </row>
    <row r="275" customFormat="false" ht="15" hidden="false" customHeight="false" outlineLevel="0" collapsed="false">
      <c r="A275" s="23" t="n">
        <v>45720.8069444444</v>
      </c>
      <c r="B275" s="24" t="s">
        <v>386</v>
      </c>
      <c r="C275" s="24" t="s">
        <v>201</v>
      </c>
      <c r="D275" s="24" t="s">
        <v>66</v>
      </c>
      <c r="E275" s="24" t="n">
        <v>414</v>
      </c>
      <c r="F275" s="25" t="n">
        <v>14000</v>
      </c>
      <c r="G275" s="24" t="s">
        <v>59</v>
      </c>
      <c r="H275" s="24" t="s">
        <v>60</v>
      </c>
      <c r="I275" s="24" t="s">
        <v>61</v>
      </c>
      <c r="J275" s="26" t="n">
        <f aca="false">IF(A275="","",YEAR(A275))</f>
        <v>2025</v>
      </c>
      <c r="K275" s="26" t="n">
        <f aca="false">IF(A275="","",MONTH(A275))</f>
        <v>3</v>
      </c>
      <c r="L275" s="26" t="n">
        <f aca="false">IF(B275="","",VALUE(LEFT(B275,2)))</f>
        <v>12</v>
      </c>
      <c r="M275" s="26" t="n">
        <f aca="false">IF(A275="","",IF(COUNTIFS($C$2:$C$5001,C275,$J$2:$J$5001,J275,$A$2:$A$5001,"&lt;"&amp;A275)=0,1,0))</f>
        <v>0</v>
      </c>
    </row>
    <row r="276" customFormat="false" ht="15" hidden="false" customHeight="false" outlineLevel="0" collapsed="false">
      <c r="A276" s="23" t="n">
        <v>45720.9194444444</v>
      </c>
      <c r="B276" s="24" t="s">
        <v>412</v>
      </c>
      <c r="C276" s="24" t="s">
        <v>143</v>
      </c>
      <c r="D276" s="24" t="s">
        <v>53</v>
      </c>
      <c r="E276" s="24" t="n">
        <v>170</v>
      </c>
      <c r="F276" s="25" t="n">
        <v>3000</v>
      </c>
      <c r="G276" s="24" t="s">
        <v>59</v>
      </c>
      <c r="H276" s="24" t="s">
        <v>55</v>
      </c>
      <c r="I276" s="24" t="s">
        <v>61</v>
      </c>
      <c r="J276" s="26" t="n">
        <f aca="false">IF(A276="","",YEAR(A276))</f>
        <v>2025</v>
      </c>
      <c r="K276" s="26" t="n">
        <f aca="false">IF(A276="","",MONTH(A276))</f>
        <v>3</v>
      </c>
      <c r="L276" s="26" t="n">
        <f aca="false">IF(B276="","",VALUE(LEFT(B276,2)))</f>
        <v>19</v>
      </c>
      <c r="M276" s="26" t="n">
        <f aca="false">IF(A276="","",IF(COUNTIFS($C$2:$C$5001,C276,$J$2:$J$5001,J276,$A$2:$A$5001,"&lt;"&amp;A276)=0,1,0))</f>
        <v>0</v>
      </c>
    </row>
    <row r="277" customFormat="false" ht="15" hidden="false" customHeight="false" outlineLevel="0" collapsed="false">
      <c r="A277" s="23" t="n">
        <v>45721.5048611111</v>
      </c>
      <c r="B277" s="24" t="s">
        <v>191</v>
      </c>
      <c r="C277" s="24" t="s">
        <v>413</v>
      </c>
      <c r="D277" s="24" t="s">
        <v>53</v>
      </c>
      <c r="E277" s="24" t="n">
        <v>294</v>
      </c>
      <c r="F277" s="25" t="n">
        <v>0</v>
      </c>
      <c r="G277" s="24" t="s">
        <v>59</v>
      </c>
      <c r="H277" s="24" t="s">
        <v>60</v>
      </c>
      <c r="I277" s="24" t="s">
        <v>56</v>
      </c>
      <c r="J277" s="26" t="n">
        <f aca="false">IF(A277="","",YEAR(A277))</f>
        <v>2025</v>
      </c>
      <c r="K277" s="26" t="n">
        <f aca="false">IF(A277="","",MONTH(A277))</f>
        <v>3</v>
      </c>
      <c r="L277" s="26" t="n">
        <f aca="false">IF(B277="","",VALUE(LEFT(B277,2)))</f>
        <v>7</v>
      </c>
      <c r="M277" s="26" t="n">
        <f aca="false">IF(A277="","",IF(COUNTIFS($C$2:$C$5001,C277,$J$2:$J$5001,J277,$A$2:$A$5001,"&lt;"&amp;A277)=0,1,0))</f>
        <v>1</v>
      </c>
    </row>
    <row r="278" customFormat="false" ht="15" hidden="false" customHeight="false" outlineLevel="0" collapsed="false">
      <c r="A278" s="23" t="n">
        <v>45721.6652777778</v>
      </c>
      <c r="B278" s="24" t="s">
        <v>414</v>
      </c>
      <c r="C278" s="24" t="s">
        <v>243</v>
      </c>
      <c r="D278" s="24" t="s">
        <v>66</v>
      </c>
      <c r="E278" s="24" t="n">
        <v>237</v>
      </c>
      <c r="F278" s="25" t="n">
        <v>8000</v>
      </c>
      <c r="G278" s="24" t="s">
        <v>59</v>
      </c>
      <c r="H278" s="24" t="s">
        <v>55</v>
      </c>
      <c r="I278" s="24" t="s">
        <v>61</v>
      </c>
      <c r="J278" s="26" t="n">
        <f aca="false">IF(A278="","",YEAR(A278))</f>
        <v>2025</v>
      </c>
      <c r="K278" s="26" t="n">
        <f aca="false">IF(A278="","",MONTH(A278))</f>
        <v>3</v>
      </c>
      <c r="L278" s="26" t="n">
        <f aca="false">IF(B278="","",VALUE(LEFT(B278,2)))</f>
        <v>12</v>
      </c>
      <c r="M278" s="26" t="n">
        <f aca="false">IF(A278="","",IF(COUNTIFS($C$2:$C$5001,C278,$J$2:$J$5001,J278,$A$2:$A$5001,"&lt;"&amp;A278)=0,1,0))</f>
        <v>0</v>
      </c>
    </row>
    <row r="279" customFormat="false" ht="15" hidden="false" customHeight="false" outlineLevel="0" collapsed="false">
      <c r="A279" s="23" t="n">
        <v>45721.7694444444</v>
      </c>
      <c r="B279" s="24" t="s">
        <v>415</v>
      </c>
      <c r="C279" s="24" t="s">
        <v>164</v>
      </c>
      <c r="D279" s="24" t="s">
        <v>66</v>
      </c>
      <c r="E279" s="24" t="n">
        <v>406</v>
      </c>
      <c r="F279" s="25" t="n">
        <v>14000</v>
      </c>
      <c r="G279" s="24" t="s">
        <v>69</v>
      </c>
      <c r="H279" s="24" t="s">
        <v>55</v>
      </c>
      <c r="I279" s="24" t="s">
        <v>61</v>
      </c>
      <c r="J279" s="26" t="n">
        <f aca="false">IF(A279="","",YEAR(A279))</f>
        <v>2025</v>
      </c>
      <c r="K279" s="26" t="n">
        <f aca="false">IF(A279="","",MONTH(A279))</f>
        <v>3</v>
      </c>
      <c r="L279" s="26" t="n">
        <f aca="false">IF(B279="","",VALUE(LEFT(B279,2)))</f>
        <v>11</v>
      </c>
      <c r="M279" s="26" t="n">
        <f aca="false">IF(A279="","",IF(COUNTIFS($C$2:$C$5001,C279,$J$2:$J$5001,J279,$A$2:$A$5001,"&lt;"&amp;A279)=0,1,0))</f>
        <v>0</v>
      </c>
    </row>
    <row r="280" customFormat="false" ht="15" hidden="false" customHeight="false" outlineLevel="0" collapsed="false">
      <c r="A280" s="23" t="n">
        <v>45722.7722222222</v>
      </c>
      <c r="B280" s="24" t="s">
        <v>205</v>
      </c>
      <c r="C280" s="24" t="s">
        <v>224</v>
      </c>
      <c r="D280" s="24" t="s">
        <v>66</v>
      </c>
      <c r="E280" s="24" t="n">
        <v>250</v>
      </c>
      <c r="F280" s="25" t="n">
        <v>9000</v>
      </c>
      <c r="G280" s="24" t="s">
        <v>69</v>
      </c>
      <c r="H280" s="24" t="s">
        <v>60</v>
      </c>
      <c r="I280" s="24" t="s">
        <v>61</v>
      </c>
      <c r="J280" s="26" t="n">
        <f aca="false">IF(A280="","",YEAR(A280))</f>
        <v>2025</v>
      </c>
      <c r="K280" s="26" t="n">
        <f aca="false">IF(A280="","",MONTH(A280))</f>
        <v>3</v>
      </c>
      <c r="L280" s="26" t="n">
        <f aca="false">IF(B280="","",VALUE(LEFT(B280,2)))</f>
        <v>14</v>
      </c>
      <c r="M280" s="26" t="n">
        <f aca="false">IF(A280="","",IF(COUNTIFS($C$2:$C$5001,C280,$J$2:$J$5001,J280,$A$2:$A$5001,"&lt;"&amp;A280)=0,1,0))</f>
        <v>0</v>
      </c>
    </row>
    <row r="281" customFormat="false" ht="15" hidden="false" customHeight="false" outlineLevel="0" collapsed="false">
      <c r="A281" s="23" t="n">
        <v>45723.69375</v>
      </c>
      <c r="B281" s="24" t="s">
        <v>416</v>
      </c>
      <c r="C281" s="24" t="s">
        <v>265</v>
      </c>
      <c r="D281" s="24" t="s">
        <v>53</v>
      </c>
      <c r="E281" s="24" t="n">
        <v>324</v>
      </c>
      <c r="F281" s="25" t="n">
        <v>5500</v>
      </c>
      <c r="G281" s="24" t="s">
        <v>59</v>
      </c>
      <c r="H281" s="24" t="s">
        <v>60</v>
      </c>
      <c r="I281" s="24" t="s">
        <v>61</v>
      </c>
      <c r="J281" s="26" t="n">
        <f aca="false">IF(A281="","",YEAR(A281))</f>
        <v>2025</v>
      </c>
      <c r="K281" s="26" t="n">
        <f aca="false">IF(A281="","",MONTH(A281))</f>
        <v>3</v>
      </c>
      <c r="L281" s="26" t="n">
        <f aca="false">IF(B281="","",VALUE(LEFT(B281,2)))</f>
        <v>11</v>
      </c>
      <c r="M281" s="26" t="n">
        <f aca="false">IF(A281="","",IF(COUNTIFS($C$2:$C$5001,C281,$J$2:$J$5001,J281,$A$2:$A$5001,"&lt;"&amp;A281)=0,1,0))</f>
        <v>0</v>
      </c>
    </row>
    <row r="282" customFormat="false" ht="15" hidden="false" customHeight="false" outlineLevel="0" collapsed="false">
      <c r="A282" s="23" t="n">
        <v>45723.9041666667</v>
      </c>
      <c r="B282" s="24" t="s">
        <v>417</v>
      </c>
      <c r="C282" s="24" t="s">
        <v>213</v>
      </c>
      <c r="D282" s="24" t="s">
        <v>66</v>
      </c>
      <c r="E282" s="24" t="n">
        <v>51</v>
      </c>
      <c r="F282" s="25" t="n">
        <v>2000</v>
      </c>
      <c r="G282" s="24" t="s">
        <v>54</v>
      </c>
      <c r="H282" s="24" t="s">
        <v>55</v>
      </c>
      <c r="I282" s="24" t="s">
        <v>61</v>
      </c>
      <c r="J282" s="26" t="n">
        <f aca="false">IF(A282="","",YEAR(A282))</f>
        <v>2025</v>
      </c>
      <c r="K282" s="26" t="n">
        <f aca="false">IF(A282="","",MONTH(A282))</f>
        <v>3</v>
      </c>
      <c r="L282" s="26" t="n">
        <f aca="false">IF(B282="","",VALUE(LEFT(B282,2)))</f>
        <v>20</v>
      </c>
      <c r="M282" s="26" t="n">
        <f aca="false">IF(A282="","",IF(COUNTIFS($C$2:$C$5001,C282,$J$2:$J$5001,J282,$A$2:$A$5001,"&lt;"&amp;A282)=0,1,0))</f>
        <v>0</v>
      </c>
    </row>
    <row r="283" customFormat="false" ht="15" hidden="false" customHeight="false" outlineLevel="0" collapsed="false">
      <c r="A283" s="23" t="n">
        <v>45723.925</v>
      </c>
      <c r="B283" s="24" t="s">
        <v>418</v>
      </c>
      <c r="C283" s="24" t="s">
        <v>141</v>
      </c>
      <c r="D283" s="24" t="s">
        <v>53</v>
      </c>
      <c r="E283" s="24" t="n">
        <v>175</v>
      </c>
      <c r="F283" s="25" t="n">
        <v>3000</v>
      </c>
      <c r="G283" s="24" t="s">
        <v>59</v>
      </c>
      <c r="H283" s="24" t="s">
        <v>80</v>
      </c>
      <c r="I283" s="24" t="s">
        <v>61</v>
      </c>
      <c r="J283" s="26" t="n">
        <f aca="false">IF(A283="","",YEAR(A283))</f>
        <v>2025</v>
      </c>
      <c r="K283" s="26" t="n">
        <f aca="false">IF(A283="","",MONTH(A283))</f>
        <v>3</v>
      </c>
      <c r="L283" s="26" t="n">
        <f aca="false">IF(B283="","",VALUE(LEFT(B283,2)))</f>
        <v>19</v>
      </c>
      <c r="M283" s="26" t="n">
        <f aca="false">IF(A283="","",IF(COUNTIFS($C$2:$C$5001,C283,$J$2:$J$5001,J283,$A$2:$A$5001,"&lt;"&amp;A283)=0,1,0))</f>
        <v>0</v>
      </c>
    </row>
    <row r="284" customFormat="false" ht="15" hidden="false" customHeight="false" outlineLevel="0" collapsed="false">
      <c r="A284" s="23" t="n">
        <v>45724.0166666667</v>
      </c>
      <c r="B284" s="24" t="s">
        <v>419</v>
      </c>
      <c r="C284" s="24" t="s">
        <v>406</v>
      </c>
      <c r="D284" s="24" t="s">
        <v>66</v>
      </c>
      <c r="E284" s="24" t="n">
        <v>258</v>
      </c>
      <c r="F284" s="25" t="n">
        <v>9000</v>
      </c>
      <c r="G284" s="24" t="s">
        <v>59</v>
      </c>
      <c r="H284" s="24" t="s">
        <v>60</v>
      </c>
      <c r="I284" s="24" t="s">
        <v>61</v>
      </c>
      <c r="J284" s="26" t="n">
        <f aca="false">IF(A284="","",YEAR(A284))</f>
        <v>2025</v>
      </c>
      <c r="K284" s="26" t="n">
        <f aca="false">IF(A284="","",MONTH(A284))</f>
        <v>3</v>
      </c>
      <c r="L284" s="26" t="n">
        <f aca="false">IF(B284="","",VALUE(LEFT(B284,2)))</f>
        <v>20</v>
      </c>
      <c r="M284" s="26" t="n">
        <f aca="false">IF(A284="","",IF(COUNTIFS($C$2:$C$5001,C284,$J$2:$J$5001,J284,$A$2:$A$5001,"&lt;"&amp;A284)=0,1,0))</f>
        <v>0</v>
      </c>
    </row>
    <row r="285" customFormat="false" ht="15" hidden="false" customHeight="false" outlineLevel="0" collapsed="false">
      <c r="A285" s="23" t="n">
        <v>45724.0548611111</v>
      </c>
      <c r="B285" s="24" t="s">
        <v>420</v>
      </c>
      <c r="C285" s="24" t="s">
        <v>172</v>
      </c>
      <c r="D285" s="24" t="s">
        <v>53</v>
      </c>
      <c r="E285" s="24" t="n">
        <v>381</v>
      </c>
      <c r="F285" s="25" t="n">
        <v>6500</v>
      </c>
      <c r="G285" s="24" t="s">
        <v>59</v>
      </c>
      <c r="H285" s="24" t="s">
        <v>55</v>
      </c>
      <c r="I285" s="24" t="s">
        <v>61</v>
      </c>
      <c r="J285" s="26" t="n">
        <f aca="false">IF(A285="","",YEAR(A285))</f>
        <v>2025</v>
      </c>
      <c r="K285" s="26" t="n">
        <f aca="false">IF(A285="","",MONTH(A285))</f>
        <v>3</v>
      </c>
      <c r="L285" s="26" t="n">
        <f aca="false">IF(B285="","",VALUE(LEFT(B285,2)))</f>
        <v>18</v>
      </c>
      <c r="M285" s="26" t="n">
        <f aca="false">IF(A285="","",IF(COUNTIFS($C$2:$C$5001,C285,$J$2:$J$5001,J285,$A$2:$A$5001,"&lt;"&amp;A285)=0,1,0))</f>
        <v>0</v>
      </c>
    </row>
    <row r="286" customFormat="false" ht="15" hidden="false" customHeight="false" outlineLevel="0" collapsed="false">
      <c r="A286" s="23" t="n">
        <v>45724.4784722222</v>
      </c>
      <c r="B286" s="24" t="s">
        <v>421</v>
      </c>
      <c r="C286" s="24" t="s">
        <v>152</v>
      </c>
      <c r="D286" s="24" t="s">
        <v>66</v>
      </c>
      <c r="E286" s="24" t="n">
        <v>257</v>
      </c>
      <c r="F286" s="25" t="n">
        <v>9000</v>
      </c>
      <c r="G286" s="24" t="s">
        <v>59</v>
      </c>
      <c r="H286" s="24" t="s">
        <v>60</v>
      </c>
      <c r="I286" s="24" t="s">
        <v>61</v>
      </c>
      <c r="J286" s="26" t="n">
        <f aca="false">IF(A286="","",YEAR(A286))</f>
        <v>2025</v>
      </c>
      <c r="K286" s="26" t="n">
        <f aca="false">IF(A286="","",MONTH(A286))</f>
        <v>3</v>
      </c>
      <c r="L286" s="26" t="n">
        <f aca="false">IF(B286="","",VALUE(LEFT(B286,2)))</f>
        <v>7</v>
      </c>
      <c r="M286" s="26" t="n">
        <f aca="false">IF(A286="","",IF(COUNTIFS($C$2:$C$5001,C286,$J$2:$J$5001,J286,$A$2:$A$5001,"&lt;"&amp;A286)=0,1,0))</f>
        <v>0</v>
      </c>
    </row>
    <row r="287" customFormat="false" ht="15" hidden="false" customHeight="false" outlineLevel="0" collapsed="false">
      <c r="A287" s="23" t="n">
        <v>45725.5354166667</v>
      </c>
      <c r="B287" s="24" t="s">
        <v>422</v>
      </c>
      <c r="C287" s="24" t="s">
        <v>423</v>
      </c>
      <c r="D287" s="24" t="s">
        <v>88</v>
      </c>
      <c r="E287" s="24" t="n">
        <v>55</v>
      </c>
      <c r="F287" s="25" t="n">
        <v>3000</v>
      </c>
      <c r="G287" s="24" t="s">
        <v>79</v>
      </c>
      <c r="H287" s="24" t="s">
        <v>55</v>
      </c>
      <c r="I287" s="24" t="s">
        <v>61</v>
      </c>
      <c r="J287" s="26" t="n">
        <f aca="false">IF(A287="","",YEAR(A287))</f>
        <v>2025</v>
      </c>
      <c r="K287" s="26" t="n">
        <f aca="false">IF(A287="","",MONTH(A287))</f>
        <v>3</v>
      </c>
      <c r="L287" s="26" t="n">
        <f aca="false">IF(B287="","",VALUE(LEFT(B287,2)))</f>
        <v>11</v>
      </c>
      <c r="M287" s="26" t="n">
        <f aca="false">IF(A287="","",IF(COUNTIFS($C$2:$C$5001,C287,$J$2:$J$5001,J287,$A$2:$A$5001,"&lt;"&amp;A287)=0,1,0))</f>
        <v>1</v>
      </c>
    </row>
    <row r="288" customFormat="false" ht="15" hidden="false" customHeight="false" outlineLevel="0" collapsed="false">
      <c r="A288" s="23" t="n">
        <v>45726.7173611111</v>
      </c>
      <c r="B288" s="24" t="s">
        <v>328</v>
      </c>
      <c r="C288" s="24" t="s">
        <v>52</v>
      </c>
      <c r="D288" s="24" t="s">
        <v>53</v>
      </c>
      <c r="E288" s="24" t="n">
        <v>318</v>
      </c>
      <c r="F288" s="25" t="n">
        <v>5500</v>
      </c>
      <c r="G288" s="24" t="s">
        <v>54</v>
      </c>
      <c r="H288" s="24" t="s">
        <v>60</v>
      </c>
      <c r="I288" s="24" t="s">
        <v>61</v>
      </c>
      <c r="J288" s="26" t="n">
        <f aca="false">IF(A288="","",YEAR(A288))</f>
        <v>2025</v>
      </c>
      <c r="K288" s="26" t="n">
        <f aca="false">IF(A288="","",MONTH(A288))</f>
        <v>3</v>
      </c>
      <c r="L288" s="26" t="n">
        <f aca="false">IF(B288="","",VALUE(LEFT(B288,2)))</f>
        <v>11</v>
      </c>
      <c r="M288" s="26" t="n">
        <f aca="false">IF(A288="","",IF(COUNTIFS($C$2:$C$5001,C288,$J$2:$J$5001,J288,$A$2:$A$5001,"&lt;"&amp;A288)=0,1,0))</f>
        <v>0</v>
      </c>
    </row>
    <row r="289" customFormat="false" ht="15" hidden="false" customHeight="false" outlineLevel="0" collapsed="false">
      <c r="A289" s="23" t="n">
        <v>45726.7770833333</v>
      </c>
      <c r="B289" s="24" t="s">
        <v>424</v>
      </c>
      <c r="C289" s="24" t="s">
        <v>96</v>
      </c>
      <c r="D289" s="24" t="s">
        <v>127</v>
      </c>
      <c r="E289" s="24" t="n">
        <v>124</v>
      </c>
      <c r="F289" s="25" t="n">
        <v>0</v>
      </c>
      <c r="G289" s="24" t="s">
        <v>59</v>
      </c>
      <c r="H289" s="24" t="s">
        <v>80</v>
      </c>
      <c r="I289" s="24" t="s">
        <v>56</v>
      </c>
      <c r="J289" s="26" t="n">
        <f aca="false">IF(A289="","",YEAR(A289))</f>
        <v>2025</v>
      </c>
      <c r="K289" s="26" t="n">
        <f aca="false">IF(A289="","",MONTH(A289))</f>
        <v>3</v>
      </c>
      <c r="L289" s="26" t="n">
        <f aca="false">IF(B289="","",VALUE(LEFT(B289,2)))</f>
        <v>16</v>
      </c>
      <c r="M289" s="26" t="n">
        <f aca="false">IF(A289="","",IF(COUNTIFS($C$2:$C$5001,C289,$J$2:$J$5001,J289,$A$2:$A$5001,"&lt;"&amp;A289)=0,1,0))</f>
        <v>0</v>
      </c>
    </row>
    <row r="290" customFormat="false" ht="15" hidden="false" customHeight="false" outlineLevel="0" collapsed="false">
      <c r="A290" s="23" t="n">
        <v>45726.8423611111</v>
      </c>
      <c r="B290" s="24" t="s">
        <v>425</v>
      </c>
      <c r="C290" s="24" t="s">
        <v>179</v>
      </c>
      <c r="D290" s="24" t="s">
        <v>72</v>
      </c>
      <c r="E290" s="24" t="n">
        <v>204</v>
      </c>
      <c r="F290" s="25" t="n">
        <v>14000</v>
      </c>
      <c r="G290" s="24" t="s">
        <v>59</v>
      </c>
      <c r="H290" s="24" t="s">
        <v>60</v>
      </c>
      <c r="I290" s="24" t="s">
        <v>61</v>
      </c>
      <c r="J290" s="26" t="n">
        <f aca="false">IF(A290="","",YEAR(A290))</f>
        <v>2025</v>
      </c>
      <c r="K290" s="26" t="n">
        <f aca="false">IF(A290="","",MONTH(A290))</f>
        <v>3</v>
      </c>
      <c r="L290" s="26" t="n">
        <f aca="false">IF(B290="","",VALUE(LEFT(B290,2)))</f>
        <v>16</v>
      </c>
      <c r="M290" s="26" t="n">
        <f aca="false">IF(A290="","",IF(COUNTIFS($C$2:$C$5001,C290,$J$2:$J$5001,J290,$A$2:$A$5001,"&lt;"&amp;A290)=0,1,0))</f>
        <v>0</v>
      </c>
    </row>
    <row r="291" customFormat="false" ht="15" hidden="false" customHeight="false" outlineLevel="0" collapsed="false">
      <c r="A291" s="23" t="n">
        <v>45726.8888888889</v>
      </c>
      <c r="B291" s="24" t="s">
        <v>121</v>
      </c>
      <c r="C291" s="24" t="s">
        <v>220</v>
      </c>
      <c r="D291" s="24" t="s">
        <v>66</v>
      </c>
      <c r="E291" s="24" t="n">
        <v>191</v>
      </c>
      <c r="F291" s="25" t="n">
        <v>7000</v>
      </c>
      <c r="G291" s="24" t="s">
        <v>69</v>
      </c>
      <c r="H291" s="24" t="s">
        <v>60</v>
      </c>
      <c r="I291" s="24" t="s">
        <v>61</v>
      </c>
      <c r="J291" s="26" t="n">
        <f aca="false">IF(A291="","",YEAR(A291))</f>
        <v>2025</v>
      </c>
      <c r="K291" s="26" t="n">
        <f aca="false">IF(A291="","",MONTH(A291))</f>
        <v>3</v>
      </c>
      <c r="L291" s="26" t="n">
        <f aca="false">IF(B291="","",VALUE(LEFT(B291,2)))</f>
        <v>18</v>
      </c>
      <c r="M291" s="26" t="n">
        <f aca="false">IF(A291="","",IF(COUNTIFS($C$2:$C$5001,C291,$J$2:$J$5001,J291,$A$2:$A$5001,"&lt;"&amp;A291)=0,1,0))</f>
        <v>0</v>
      </c>
    </row>
    <row r="292" customFormat="false" ht="15" hidden="false" customHeight="false" outlineLevel="0" collapsed="false">
      <c r="A292" s="23" t="n">
        <v>45727.3833333333</v>
      </c>
      <c r="B292" s="24" t="s">
        <v>426</v>
      </c>
      <c r="C292" s="24" t="s">
        <v>314</v>
      </c>
      <c r="D292" s="24" t="s">
        <v>53</v>
      </c>
      <c r="E292" s="24" t="n">
        <v>115</v>
      </c>
      <c r="F292" s="25" t="n">
        <v>2000</v>
      </c>
      <c r="G292" s="24" t="s">
        <v>59</v>
      </c>
      <c r="H292" s="24" t="s">
        <v>55</v>
      </c>
      <c r="I292" s="24" t="s">
        <v>61</v>
      </c>
      <c r="J292" s="26" t="n">
        <f aca="false">IF(A292="","",YEAR(A292))</f>
        <v>2025</v>
      </c>
      <c r="K292" s="26" t="n">
        <f aca="false">IF(A292="","",MONTH(A292))</f>
        <v>3</v>
      </c>
      <c r="L292" s="26" t="n">
        <f aca="false">IF(B292="","",VALUE(LEFT(B292,2)))</f>
        <v>7</v>
      </c>
      <c r="M292" s="26" t="n">
        <f aca="false">IF(A292="","",IF(COUNTIFS($C$2:$C$5001,C292,$J$2:$J$5001,J292,$A$2:$A$5001,"&lt;"&amp;A292)=0,1,0))</f>
        <v>0</v>
      </c>
    </row>
    <row r="293" customFormat="false" ht="15" hidden="false" customHeight="false" outlineLevel="0" collapsed="false">
      <c r="A293" s="23" t="n">
        <v>45727.4756944445</v>
      </c>
      <c r="B293" s="24" t="s">
        <v>81</v>
      </c>
      <c r="C293" s="24" t="s">
        <v>120</v>
      </c>
      <c r="D293" s="24" t="s">
        <v>66</v>
      </c>
      <c r="E293" s="24" t="n">
        <v>265</v>
      </c>
      <c r="F293" s="25" t="n">
        <v>9000</v>
      </c>
      <c r="G293" s="24" t="s">
        <v>69</v>
      </c>
      <c r="H293" s="24" t="s">
        <v>55</v>
      </c>
      <c r="I293" s="24" t="s">
        <v>61</v>
      </c>
      <c r="J293" s="26" t="n">
        <f aca="false">IF(A293="","",YEAR(A293))</f>
        <v>2025</v>
      </c>
      <c r="K293" s="26" t="n">
        <f aca="false">IF(A293="","",MONTH(A293))</f>
        <v>3</v>
      </c>
      <c r="L293" s="26" t="n">
        <f aca="false">IF(B293="","",VALUE(LEFT(B293,2)))</f>
        <v>7</v>
      </c>
      <c r="M293" s="26" t="n">
        <f aca="false">IF(A293="","",IF(COUNTIFS($C$2:$C$5001,C293,$J$2:$J$5001,J293,$A$2:$A$5001,"&lt;"&amp;A293)=0,1,0))</f>
        <v>0</v>
      </c>
    </row>
    <row r="294" customFormat="false" ht="15" hidden="false" customHeight="false" outlineLevel="0" collapsed="false">
      <c r="A294" s="23" t="n">
        <v>45727.6631944445</v>
      </c>
      <c r="B294" s="24" t="s">
        <v>427</v>
      </c>
      <c r="C294" s="24" t="s">
        <v>227</v>
      </c>
      <c r="D294" s="24" t="s">
        <v>53</v>
      </c>
      <c r="E294" s="24" t="n">
        <v>85</v>
      </c>
      <c r="F294" s="25" t="n">
        <v>1500</v>
      </c>
      <c r="G294" s="24" t="s">
        <v>59</v>
      </c>
      <c r="H294" s="24" t="s">
        <v>60</v>
      </c>
      <c r="I294" s="24" t="s">
        <v>61</v>
      </c>
      <c r="J294" s="26" t="n">
        <f aca="false">IF(A294="","",YEAR(A294))</f>
        <v>2025</v>
      </c>
      <c r="K294" s="26" t="n">
        <f aca="false">IF(A294="","",MONTH(A294))</f>
        <v>3</v>
      </c>
      <c r="L294" s="26" t="n">
        <f aca="false">IF(B294="","",VALUE(LEFT(B294,2)))</f>
        <v>14</v>
      </c>
      <c r="M294" s="26" t="n">
        <f aca="false">IF(A294="","",IF(COUNTIFS($C$2:$C$5001,C294,$J$2:$J$5001,J294,$A$2:$A$5001,"&lt;"&amp;A294)=0,1,0))</f>
        <v>0</v>
      </c>
    </row>
    <row r="295" customFormat="false" ht="15" hidden="false" customHeight="false" outlineLevel="0" collapsed="false">
      <c r="A295" s="23" t="n">
        <v>45727.8131944445</v>
      </c>
      <c r="B295" s="24" t="s">
        <v>428</v>
      </c>
      <c r="C295" s="24" t="s">
        <v>105</v>
      </c>
      <c r="D295" s="24" t="s">
        <v>72</v>
      </c>
      <c r="E295" s="24" t="n">
        <v>23</v>
      </c>
      <c r="F295" s="25" t="n">
        <v>1700</v>
      </c>
      <c r="G295" s="24" t="s">
        <v>54</v>
      </c>
      <c r="H295" s="24" t="s">
        <v>55</v>
      </c>
      <c r="I295" s="24" t="s">
        <v>113</v>
      </c>
      <c r="J295" s="26" t="n">
        <f aca="false">IF(A295="","",YEAR(A295))</f>
        <v>2025</v>
      </c>
      <c r="K295" s="26" t="n">
        <f aca="false">IF(A295="","",MONTH(A295))</f>
        <v>3</v>
      </c>
      <c r="L295" s="26" t="n">
        <f aca="false">IF(B295="","",VALUE(LEFT(B295,2)))</f>
        <v>19</v>
      </c>
      <c r="M295" s="26" t="n">
        <f aca="false">IF(A295="","",IF(COUNTIFS($C$2:$C$5001,C295,$J$2:$J$5001,J295,$A$2:$A$5001,"&lt;"&amp;A295)=0,1,0))</f>
        <v>0</v>
      </c>
    </row>
    <row r="296" customFormat="false" ht="15" hidden="false" customHeight="false" outlineLevel="0" collapsed="false">
      <c r="A296" s="23" t="n">
        <v>45728.4777777778</v>
      </c>
      <c r="B296" s="24" t="s">
        <v>429</v>
      </c>
      <c r="C296" s="24" t="s">
        <v>430</v>
      </c>
      <c r="D296" s="24" t="s">
        <v>66</v>
      </c>
      <c r="E296" s="24" t="n">
        <v>284</v>
      </c>
      <c r="F296" s="25" t="n">
        <v>8500</v>
      </c>
      <c r="G296" s="24" t="s">
        <v>59</v>
      </c>
      <c r="H296" s="24" t="s">
        <v>80</v>
      </c>
      <c r="I296" s="24" t="s">
        <v>113</v>
      </c>
      <c r="J296" s="26" t="n">
        <f aca="false">IF(A296="","",YEAR(A296))</f>
        <v>2025</v>
      </c>
      <c r="K296" s="26" t="n">
        <f aca="false">IF(A296="","",MONTH(A296))</f>
        <v>3</v>
      </c>
      <c r="L296" s="26" t="n">
        <f aca="false">IF(B296="","",VALUE(LEFT(B296,2)))</f>
        <v>6</v>
      </c>
      <c r="M296" s="26" t="n">
        <f aca="false">IF(A296="","",IF(COUNTIFS($C$2:$C$5001,C296,$J$2:$J$5001,J296,$A$2:$A$5001,"&lt;"&amp;A296)=0,1,0))</f>
        <v>1</v>
      </c>
    </row>
    <row r="297" customFormat="false" ht="15" hidden="false" customHeight="false" outlineLevel="0" collapsed="false">
      <c r="A297" s="23" t="n">
        <v>45728.5847222222</v>
      </c>
      <c r="B297" s="24" t="s">
        <v>431</v>
      </c>
      <c r="C297" s="24" t="s">
        <v>172</v>
      </c>
      <c r="D297" s="24" t="s">
        <v>53</v>
      </c>
      <c r="E297" s="24" t="n">
        <v>102</v>
      </c>
      <c r="F297" s="25" t="n">
        <v>2000</v>
      </c>
      <c r="G297" s="24" t="s">
        <v>59</v>
      </c>
      <c r="H297" s="24" t="s">
        <v>80</v>
      </c>
      <c r="I297" s="24" t="s">
        <v>61</v>
      </c>
      <c r="J297" s="26" t="n">
        <f aca="false">IF(A297="","",YEAR(A297))</f>
        <v>2025</v>
      </c>
      <c r="K297" s="26" t="n">
        <f aca="false">IF(A297="","",MONTH(A297))</f>
        <v>3</v>
      </c>
      <c r="L297" s="26" t="n">
        <f aca="false">IF(B297="","",VALUE(LEFT(B297,2)))</f>
        <v>12</v>
      </c>
      <c r="M297" s="26" t="n">
        <f aca="false">IF(A297="","",IF(COUNTIFS($C$2:$C$5001,C297,$J$2:$J$5001,J297,$A$2:$A$5001,"&lt;"&amp;A297)=0,1,0))</f>
        <v>0</v>
      </c>
    </row>
    <row r="298" customFormat="false" ht="15" hidden="false" customHeight="false" outlineLevel="0" collapsed="false">
      <c r="A298" s="23" t="n">
        <v>45729.5791666667</v>
      </c>
      <c r="B298" s="24" t="s">
        <v>432</v>
      </c>
      <c r="C298" s="24" t="s">
        <v>339</v>
      </c>
      <c r="D298" s="24" t="s">
        <v>66</v>
      </c>
      <c r="E298" s="24" t="n">
        <v>243</v>
      </c>
      <c r="F298" s="25" t="n">
        <v>9000</v>
      </c>
      <c r="G298" s="24" t="s">
        <v>59</v>
      </c>
      <c r="H298" s="24" t="s">
        <v>80</v>
      </c>
      <c r="I298" s="24" t="s">
        <v>61</v>
      </c>
      <c r="J298" s="26" t="n">
        <f aca="false">IF(A298="","",YEAR(A298))</f>
        <v>2025</v>
      </c>
      <c r="K298" s="26" t="n">
        <f aca="false">IF(A298="","",MONTH(A298))</f>
        <v>3</v>
      </c>
      <c r="L298" s="26" t="n">
        <f aca="false">IF(B298="","",VALUE(LEFT(B298,2)))</f>
        <v>9</v>
      </c>
      <c r="M298" s="26" t="n">
        <f aca="false">IF(A298="","",IF(COUNTIFS($C$2:$C$5001,C298,$J$2:$J$5001,J298,$A$2:$A$5001,"&lt;"&amp;A298)=0,1,0))</f>
        <v>0</v>
      </c>
    </row>
    <row r="299" customFormat="false" ht="15" hidden="false" customHeight="false" outlineLevel="0" collapsed="false">
      <c r="A299" s="23" t="n">
        <v>45729.6902777778</v>
      </c>
      <c r="B299" s="24" t="s">
        <v>433</v>
      </c>
      <c r="C299" s="24" t="s">
        <v>267</v>
      </c>
      <c r="D299" s="24" t="s">
        <v>72</v>
      </c>
      <c r="E299" s="24" t="n">
        <v>183</v>
      </c>
      <c r="F299" s="25" t="n">
        <v>14000</v>
      </c>
      <c r="G299" s="24" t="s">
        <v>79</v>
      </c>
      <c r="H299" s="24" t="s">
        <v>80</v>
      </c>
      <c r="I299" s="24" t="s">
        <v>61</v>
      </c>
      <c r="J299" s="26" t="n">
        <f aca="false">IF(A299="","",YEAR(A299))</f>
        <v>2025</v>
      </c>
      <c r="K299" s="26" t="n">
        <f aca="false">IF(A299="","",MONTH(A299))</f>
        <v>3</v>
      </c>
      <c r="L299" s="26" t="n">
        <f aca="false">IF(B299="","",VALUE(LEFT(B299,2)))</f>
        <v>13</v>
      </c>
      <c r="M299" s="26" t="n">
        <f aca="false">IF(A299="","",IF(COUNTIFS($C$2:$C$5001,C299,$J$2:$J$5001,J299,$A$2:$A$5001,"&lt;"&amp;A299)=0,1,0))</f>
        <v>0</v>
      </c>
    </row>
    <row r="300" customFormat="false" ht="15" hidden="false" customHeight="false" outlineLevel="0" collapsed="false">
      <c r="A300" s="23" t="n">
        <v>45729.7909722222</v>
      </c>
      <c r="B300" s="24" t="s">
        <v>434</v>
      </c>
      <c r="C300" s="24" t="s">
        <v>324</v>
      </c>
      <c r="D300" s="24" t="s">
        <v>53</v>
      </c>
      <c r="E300" s="24" t="n">
        <v>351</v>
      </c>
      <c r="F300" s="25" t="n">
        <v>6000</v>
      </c>
      <c r="G300" s="24" t="s">
        <v>69</v>
      </c>
      <c r="H300" s="24" t="s">
        <v>55</v>
      </c>
      <c r="I300" s="24" t="s">
        <v>61</v>
      </c>
      <c r="J300" s="26" t="n">
        <f aca="false">IF(A300="","",YEAR(A300))</f>
        <v>2025</v>
      </c>
      <c r="K300" s="26" t="n">
        <f aca="false">IF(A300="","",MONTH(A300))</f>
        <v>3</v>
      </c>
      <c r="L300" s="26" t="n">
        <f aca="false">IF(B300="","",VALUE(LEFT(B300,2)))</f>
        <v>13</v>
      </c>
      <c r="M300" s="26" t="n">
        <f aca="false">IF(A300="","",IF(COUNTIFS($C$2:$C$5001,C300,$J$2:$J$5001,J300,$A$2:$A$5001,"&lt;"&amp;A300)=0,1,0))</f>
        <v>0</v>
      </c>
    </row>
    <row r="301" customFormat="false" ht="15" hidden="false" customHeight="false" outlineLevel="0" collapsed="false">
      <c r="A301" s="23" t="n">
        <v>45729.8472222222</v>
      </c>
      <c r="B301" s="24" t="s">
        <v>269</v>
      </c>
      <c r="C301" s="24" t="s">
        <v>143</v>
      </c>
      <c r="D301" s="24" t="s">
        <v>88</v>
      </c>
      <c r="E301" s="24" t="n">
        <v>20</v>
      </c>
      <c r="F301" s="25" t="n">
        <v>1500</v>
      </c>
      <c r="G301" s="24" t="s">
        <v>79</v>
      </c>
      <c r="H301" s="24" t="s">
        <v>60</v>
      </c>
      <c r="I301" s="24" t="s">
        <v>61</v>
      </c>
      <c r="J301" s="26" t="n">
        <f aca="false">IF(A301="","",YEAR(A301))</f>
        <v>2025</v>
      </c>
      <c r="K301" s="26" t="n">
        <f aca="false">IF(A301="","",MONTH(A301))</f>
        <v>3</v>
      </c>
      <c r="L301" s="26" t="n">
        <f aca="false">IF(B301="","",VALUE(LEFT(B301,2)))</f>
        <v>20</v>
      </c>
      <c r="M301" s="26" t="n">
        <f aca="false">IF(A301="","",IF(COUNTIFS($C$2:$C$5001,C301,$J$2:$J$5001,J301,$A$2:$A$5001,"&lt;"&amp;A301)=0,1,0))</f>
        <v>0</v>
      </c>
    </row>
    <row r="302" customFormat="false" ht="15" hidden="false" customHeight="false" outlineLevel="0" collapsed="false">
      <c r="A302" s="23" t="n">
        <v>45730.4263888889</v>
      </c>
      <c r="B302" s="24" t="s">
        <v>435</v>
      </c>
      <c r="C302" s="24" t="s">
        <v>436</v>
      </c>
      <c r="D302" s="24" t="s">
        <v>66</v>
      </c>
      <c r="E302" s="24" t="n">
        <v>175</v>
      </c>
      <c r="F302" s="25" t="n">
        <v>6000</v>
      </c>
      <c r="G302" s="24" t="s">
        <v>59</v>
      </c>
      <c r="H302" s="24" t="s">
        <v>80</v>
      </c>
      <c r="I302" s="24" t="s">
        <v>61</v>
      </c>
      <c r="J302" s="26" t="n">
        <f aca="false">IF(A302="","",YEAR(A302))</f>
        <v>2025</v>
      </c>
      <c r="K302" s="26" t="n">
        <f aca="false">IF(A302="","",MONTH(A302))</f>
        <v>3</v>
      </c>
      <c r="L302" s="26" t="n">
        <f aca="false">IF(B302="","",VALUE(LEFT(B302,2)))</f>
        <v>7</v>
      </c>
      <c r="M302" s="26" t="n">
        <f aca="false">IF(A302="","",IF(COUNTIFS($C$2:$C$5001,C302,$J$2:$J$5001,J302,$A$2:$A$5001,"&lt;"&amp;A302)=0,1,0))</f>
        <v>1</v>
      </c>
    </row>
    <row r="303" customFormat="false" ht="15" hidden="false" customHeight="false" outlineLevel="0" collapsed="false">
      <c r="A303" s="23" t="n">
        <v>45730.5208333333</v>
      </c>
      <c r="B303" s="24" t="s">
        <v>415</v>
      </c>
      <c r="C303" s="24" t="s">
        <v>131</v>
      </c>
      <c r="D303" s="24" t="s">
        <v>53</v>
      </c>
      <c r="E303" s="24" t="n">
        <v>48</v>
      </c>
      <c r="F303" s="25" t="n">
        <v>0</v>
      </c>
      <c r="G303" s="24" t="s">
        <v>59</v>
      </c>
      <c r="H303" s="24" t="s">
        <v>60</v>
      </c>
      <c r="I303" s="24" t="s">
        <v>56</v>
      </c>
      <c r="J303" s="26" t="n">
        <f aca="false">IF(A303="","",YEAR(A303))</f>
        <v>2025</v>
      </c>
      <c r="K303" s="26" t="n">
        <f aca="false">IF(A303="","",MONTH(A303))</f>
        <v>3</v>
      </c>
      <c r="L303" s="26" t="n">
        <f aca="false">IF(B303="","",VALUE(LEFT(B303,2)))</f>
        <v>11</v>
      </c>
      <c r="M303" s="26" t="n">
        <f aca="false">IF(A303="","",IF(COUNTIFS($C$2:$C$5001,C303,$J$2:$J$5001,J303,$A$2:$A$5001,"&lt;"&amp;A303)=0,1,0))</f>
        <v>0</v>
      </c>
    </row>
    <row r="304" customFormat="false" ht="15" hidden="false" customHeight="false" outlineLevel="0" collapsed="false">
      <c r="A304" s="23" t="n">
        <v>45730.6368055556</v>
      </c>
      <c r="B304" s="24" t="s">
        <v>434</v>
      </c>
      <c r="C304" s="24" t="s">
        <v>203</v>
      </c>
      <c r="D304" s="24" t="s">
        <v>66</v>
      </c>
      <c r="E304" s="24" t="n">
        <v>129</v>
      </c>
      <c r="F304" s="25" t="n">
        <v>5000</v>
      </c>
      <c r="G304" s="24" t="s">
        <v>59</v>
      </c>
      <c r="H304" s="24" t="s">
        <v>55</v>
      </c>
      <c r="I304" s="24" t="s">
        <v>61</v>
      </c>
      <c r="J304" s="26" t="n">
        <f aca="false">IF(A304="","",YEAR(A304))</f>
        <v>2025</v>
      </c>
      <c r="K304" s="26" t="n">
        <f aca="false">IF(A304="","",MONTH(A304))</f>
        <v>3</v>
      </c>
      <c r="L304" s="26" t="n">
        <f aca="false">IF(B304="","",VALUE(LEFT(B304,2)))</f>
        <v>13</v>
      </c>
      <c r="M304" s="26" t="n">
        <f aca="false">IF(A304="","",IF(COUNTIFS($C$2:$C$5001,C304,$J$2:$J$5001,J304,$A$2:$A$5001,"&lt;"&amp;A304)=0,1,0))</f>
        <v>0</v>
      </c>
    </row>
    <row r="305" customFormat="false" ht="15" hidden="false" customHeight="false" outlineLevel="0" collapsed="false">
      <c r="A305" s="23" t="n">
        <v>45730.8652777778</v>
      </c>
      <c r="B305" s="24" t="s">
        <v>437</v>
      </c>
      <c r="C305" s="24" t="s">
        <v>227</v>
      </c>
      <c r="D305" s="24" t="s">
        <v>66</v>
      </c>
      <c r="E305" s="24" t="n">
        <v>342</v>
      </c>
      <c r="F305" s="25" t="n">
        <v>12000</v>
      </c>
      <c r="G305" s="24" t="s">
        <v>59</v>
      </c>
      <c r="H305" s="24" t="s">
        <v>55</v>
      </c>
      <c r="I305" s="24" t="s">
        <v>61</v>
      </c>
      <c r="J305" s="26" t="n">
        <f aca="false">IF(A305="","",YEAR(A305))</f>
        <v>2025</v>
      </c>
      <c r="K305" s="26" t="n">
        <f aca="false">IF(A305="","",MONTH(A305))</f>
        <v>3</v>
      </c>
      <c r="L305" s="26" t="n">
        <f aca="false">IF(B305="","",VALUE(LEFT(B305,2)))</f>
        <v>15</v>
      </c>
      <c r="M305" s="26" t="n">
        <f aca="false">IF(A305="","",IF(COUNTIFS($C$2:$C$5001,C305,$J$2:$J$5001,J305,$A$2:$A$5001,"&lt;"&amp;A305)=0,1,0))</f>
        <v>0</v>
      </c>
    </row>
    <row r="306" customFormat="false" ht="15" hidden="false" customHeight="false" outlineLevel="0" collapsed="false">
      <c r="A306" s="23" t="n">
        <v>45731.5569444444</v>
      </c>
      <c r="B306" s="24" t="s">
        <v>438</v>
      </c>
      <c r="C306" s="24" t="s">
        <v>164</v>
      </c>
      <c r="D306" s="24" t="s">
        <v>127</v>
      </c>
      <c r="E306" s="24" t="n">
        <v>50</v>
      </c>
      <c r="F306" s="25" t="n">
        <v>3500</v>
      </c>
      <c r="G306" s="24" t="s">
        <v>59</v>
      </c>
      <c r="H306" s="24" t="s">
        <v>60</v>
      </c>
      <c r="I306" s="24" t="s">
        <v>61</v>
      </c>
      <c r="J306" s="26" t="n">
        <f aca="false">IF(A306="","",YEAR(A306))</f>
        <v>2025</v>
      </c>
      <c r="K306" s="26" t="n">
        <f aca="false">IF(A306="","",MONTH(A306))</f>
        <v>3</v>
      </c>
      <c r="L306" s="26" t="n">
        <f aca="false">IF(B306="","",VALUE(LEFT(B306,2)))</f>
        <v>12</v>
      </c>
      <c r="M306" s="26" t="n">
        <f aca="false">IF(A306="","",IF(COUNTIFS($C$2:$C$5001,C306,$J$2:$J$5001,J306,$A$2:$A$5001,"&lt;"&amp;A306)=0,1,0))</f>
        <v>0</v>
      </c>
    </row>
    <row r="307" customFormat="false" ht="15" hidden="false" customHeight="false" outlineLevel="0" collapsed="false">
      <c r="A307" s="23" t="n">
        <v>45731.6861111111</v>
      </c>
      <c r="B307" s="24" t="s">
        <v>422</v>
      </c>
      <c r="C307" s="24" t="s">
        <v>398</v>
      </c>
      <c r="D307" s="24" t="s">
        <v>53</v>
      </c>
      <c r="E307" s="24" t="n">
        <v>272</v>
      </c>
      <c r="F307" s="25" t="n">
        <v>0</v>
      </c>
      <c r="G307" s="24" t="s">
        <v>59</v>
      </c>
      <c r="H307" s="24" t="s">
        <v>60</v>
      </c>
      <c r="I307" s="24" t="s">
        <v>56</v>
      </c>
      <c r="J307" s="26" t="n">
        <f aca="false">IF(A307="","",YEAR(A307))</f>
        <v>2025</v>
      </c>
      <c r="K307" s="26" t="n">
        <f aca="false">IF(A307="","",MONTH(A307))</f>
        <v>3</v>
      </c>
      <c r="L307" s="26" t="n">
        <f aca="false">IF(B307="","",VALUE(LEFT(B307,2)))</f>
        <v>11</v>
      </c>
      <c r="M307" s="26" t="n">
        <f aca="false">IF(A307="","",IF(COUNTIFS($C$2:$C$5001,C307,$J$2:$J$5001,J307,$A$2:$A$5001,"&lt;"&amp;A307)=0,1,0))</f>
        <v>0</v>
      </c>
    </row>
    <row r="308" customFormat="false" ht="15" hidden="false" customHeight="false" outlineLevel="0" collapsed="false">
      <c r="A308" s="23" t="n">
        <v>45731.9263888889</v>
      </c>
      <c r="B308" s="24" t="s">
        <v>439</v>
      </c>
      <c r="C308" s="24" t="s">
        <v>179</v>
      </c>
      <c r="D308" s="24" t="s">
        <v>66</v>
      </c>
      <c r="E308" s="24" t="n">
        <v>368</v>
      </c>
      <c r="F308" s="25" t="n">
        <v>13000</v>
      </c>
      <c r="G308" s="24" t="s">
        <v>59</v>
      </c>
      <c r="H308" s="24" t="s">
        <v>80</v>
      </c>
      <c r="I308" s="24" t="s">
        <v>61</v>
      </c>
      <c r="J308" s="26" t="n">
        <f aca="false">IF(A308="","",YEAR(A308))</f>
        <v>2025</v>
      </c>
      <c r="K308" s="26" t="n">
        <f aca="false">IF(A308="","",MONTH(A308))</f>
        <v>3</v>
      </c>
      <c r="L308" s="26" t="n">
        <f aca="false">IF(B308="","",VALUE(LEFT(B308,2)))</f>
        <v>16</v>
      </c>
      <c r="M308" s="26" t="n">
        <f aca="false">IF(A308="","",IF(COUNTIFS($C$2:$C$5001,C308,$J$2:$J$5001,J308,$A$2:$A$5001,"&lt;"&amp;A308)=0,1,0))</f>
        <v>0</v>
      </c>
    </row>
    <row r="309" customFormat="false" ht="15" hidden="false" customHeight="false" outlineLevel="0" collapsed="false">
      <c r="A309" s="23" t="n">
        <v>45732.7576388889</v>
      </c>
      <c r="B309" s="24" t="s">
        <v>342</v>
      </c>
      <c r="C309" s="24" t="s">
        <v>170</v>
      </c>
      <c r="D309" s="24" t="s">
        <v>53</v>
      </c>
      <c r="E309" s="24" t="n">
        <v>388</v>
      </c>
      <c r="F309" s="25" t="n">
        <v>6500</v>
      </c>
      <c r="G309" s="24" t="s">
        <v>59</v>
      </c>
      <c r="H309" s="24" t="s">
        <v>55</v>
      </c>
      <c r="I309" s="24" t="s">
        <v>61</v>
      </c>
      <c r="J309" s="26" t="n">
        <f aca="false">IF(A309="","",YEAR(A309))</f>
        <v>2025</v>
      </c>
      <c r="K309" s="26" t="n">
        <f aca="false">IF(A309="","",MONTH(A309))</f>
        <v>3</v>
      </c>
      <c r="L309" s="26" t="n">
        <f aca="false">IF(B309="","",VALUE(LEFT(B309,2)))</f>
        <v>11</v>
      </c>
      <c r="M309" s="26" t="n">
        <f aca="false">IF(A309="","",IF(COUNTIFS($C$2:$C$5001,C309,$J$2:$J$5001,J309,$A$2:$A$5001,"&lt;"&amp;A309)=0,1,0))</f>
        <v>0</v>
      </c>
    </row>
    <row r="310" customFormat="false" ht="15" hidden="false" customHeight="false" outlineLevel="0" collapsed="false">
      <c r="A310" s="23" t="n">
        <v>45732.7826388889</v>
      </c>
      <c r="B310" s="24" t="s">
        <v>440</v>
      </c>
      <c r="C310" s="24" t="s">
        <v>218</v>
      </c>
      <c r="D310" s="24" t="s">
        <v>66</v>
      </c>
      <c r="E310" s="24" t="n">
        <v>59</v>
      </c>
      <c r="F310" s="25" t="n">
        <v>2000</v>
      </c>
      <c r="G310" s="24" t="s">
        <v>79</v>
      </c>
      <c r="H310" s="24" t="s">
        <v>55</v>
      </c>
      <c r="I310" s="24" t="s">
        <v>61</v>
      </c>
      <c r="J310" s="26" t="n">
        <f aca="false">IF(A310="","",YEAR(A310))</f>
        <v>2025</v>
      </c>
      <c r="K310" s="26" t="n">
        <f aca="false">IF(A310="","",MONTH(A310))</f>
        <v>3</v>
      </c>
      <c r="L310" s="26" t="n">
        <f aca="false">IF(B310="","",VALUE(LEFT(B310,2)))</f>
        <v>17</v>
      </c>
      <c r="M310" s="26" t="n">
        <f aca="false">IF(A310="","",IF(COUNTIFS($C$2:$C$5001,C310,$J$2:$J$5001,J310,$A$2:$A$5001,"&lt;"&amp;A310)=0,1,0))</f>
        <v>0</v>
      </c>
    </row>
    <row r="311" customFormat="false" ht="15" hidden="false" customHeight="false" outlineLevel="0" collapsed="false">
      <c r="A311" s="23" t="n">
        <v>45734.5270833333</v>
      </c>
      <c r="B311" s="24" t="s">
        <v>336</v>
      </c>
      <c r="C311" s="24" t="s">
        <v>131</v>
      </c>
      <c r="D311" s="24" t="s">
        <v>66</v>
      </c>
      <c r="E311" s="24" t="n">
        <v>259</v>
      </c>
      <c r="F311" s="25" t="n">
        <v>9000</v>
      </c>
      <c r="G311" s="24" t="s">
        <v>59</v>
      </c>
      <c r="H311" s="24" t="s">
        <v>80</v>
      </c>
      <c r="I311" s="24" t="s">
        <v>61</v>
      </c>
      <c r="J311" s="26" t="n">
        <f aca="false">IF(A311="","",YEAR(A311))</f>
        <v>2025</v>
      </c>
      <c r="K311" s="26" t="n">
        <f aca="false">IF(A311="","",MONTH(A311))</f>
        <v>3</v>
      </c>
      <c r="L311" s="26" t="n">
        <f aca="false">IF(B311="","",VALUE(LEFT(B311,2)))</f>
        <v>8</v>
      </c>
      <c r="M311" s="26" t="n">
        <f aca="false">IF(A311="","",IF(COUNTIFS($C$2:$C$5001,C311,$J$2:$J$5001,J311,$A$2:$A$5001,"&lt;"&amp;A311)=0,1,0))</f>
        <v>0</v>
      </c>
    </row>
    <row r="312" customFormat="false" ht="15" hidden="false" customHeight="false" outlineLevel="0" collapsed="false">
      <c r="A312" s="23" t="n">
        <v>45734.6277777778</v>
      </c>
      <c r="B312" s="24" t="s">
        <v>241</v>
      </c>
      <c r="C312" s="24" t="s">
        <v>220</v>
      </c>
      <c r="D312" s="24" t="s">
        <v>53</v>
      </c>
      <c r="E312" s="24" t="n">
        <v>420</v>
      </c>
      <c r="F312" s="25" t="n">
        <v>7000</v>
      </c>
      <c r="G312" s="24" t="s">
        <v>59</v>
      </c>
      <c r="H312" s="24" t="s">
        <v>55</v>
      </c>
      <c r="I312" s="24" t="s">
        <v>61</v>
      </c>
      <c r="J312" s="26" t="n">
        <f aca="false">IF(A312="","",YEAR(A312))</f>
        <v>2025</v>
      </c>
      <c r="K312" s="26" t="n">
        <f aca="false">IF(A312="","",MONTH(A312))</f>
        <v>3</v>
      </c>
      <c r="L312" s="26" t="n">
        <f aca="false">IF(B312="","",VALUE(LEFT(B312,2)))</f>
        <v>8</v>
      </c>
      <c r="M312" s="26" t="n">
        <f aca="false">IF(A312="","",IF(COUNTIFS($C$2:$C$5001,C312,$J$2:$J$5001,J312,$A$2:$A$5001,"&lt;"&amp;A312)=0,1,0))</f>
        <v>0</v>
      </c>
    </row>
    <row r="313" customFormat="false" ht="15" hidden="false" customHeight="false" outlineLevel="0" collapsed="false">
      <c r="A313" s="23" t="n">
        <v>45734.6298611111</v>
      </c>
      <c r="B313" s="24" t="s">
        <v>441</v>
      </c>
      <c r="C313" s="24" t="s">
        <v>174</v>
      </c>
      <c r="D313" s="24" t="s">
        <v>66</v>
      </c>
      <c r="E313" s="24" t="n">
        <v>154</v>
      </c>
      <c r="F313" s="25" t="n">
        <v>6000</v>
      </c>
      <c r="G313" s="24" t="s">
        <v>69</v>
      </c>
      <c r="H313" s="24" t="s">
        <v>55</v>
      </c>
      <c r="I313" s="24" t="s">
        <v>61</v>
      </c>
      <c r="J313" s="26" t="n">
        <f aca="false">IF(A313="","",YEAR(A313))</f>
        <v>2025</v>
      </c>
      <c r="K313" s="26" t="n">
        <f aca="false">IF(A313="","",MONTH(A313))</f>
        <v>3</v>
      </c>
      <c r="L313" s="26" t="n">
        <f aca="false">IF(B313="","",VALUE(LEFT(B313,2)))</f>
        <v>12</v>
      </c>
      <c r="M313" s="26" t="n">
        <f aca="false">IF(A313="","",IF(COUNTIFS($C$2:$C$5001,C313,$J$2:$J$5001,J313,$A$2:$A$5001,"&lt;"&amp;A313)=0,1,0))</f>
        <v>0</v>
      </c>
    </row>
    <row r="314" customFormat="false" ht="15" hidden="false" customHeight="false" outlineLevel="0" collapsed="false">
      <c r="A314" s="23" t="n">
        <v>45734.6729166667</v>
      </c>
      <c r="B314" s="24" t="s">
        <v>208</v>
      </c>
      <c r="C314" s="24" t="s">
        <v>267</v>
      </c>
      <c r="D314" s="24" t="s">
        <v>127</v>
      </c>
      <c r="E314" s="24" t="n">
        <v>360</v>
      </c>
      <c r="F314" s="25" t="n">
        <v>21000</v>
      </c>
      <c r="G314" s="24" t="s">
        <v>59</v>
      </c>
      <c r="H314" s="24" t="s">
        <v>60</v>
      </c>
      <c r="I314" s="24" t="s">
        <v>61</v>
      </c>
      <c r="J314" s="26" t="n">
        <f aca="false">IF(A314="","",YEAR(A314))</f>
        <v>2025</v>
      </c>
      <c r="K314" s="26" t="n">
        <f aca="false">IF(A314="","",MONTH(A314))</f>
        <v>3</v>
      </c>
      <c r="L314" s="26" t="n">
        <f aca="false">IF(B314="","",VALUE(LEFT(B314,2)))</f>
        <v>10</v>
      </c>
      <c r="M314" s="26" t="n">
        <f aca="false">IF(A314="","",IF(COUNTIFS($C$2:$C$5001,C314,$J$2:$J$5001,J314,$A$2:$A$5001,"&lt;"&amp;A314)=0,1,0))</f>
        <v>0</v>
      </c>
    </row>
    <row r="315" customFormat="false" ht="15" hidden="false" customHeight="false" outlineLevel="0" collapsed="false">
      <c r="A315" s="23" t="n">
        <v>45735.5013888889</v>
      </c>
      <c r="B315" s="24" t="s">
        <v>180</v>
      </c>
      <c r="C315" s="24" t="s">
        <v>442</v>
      </c>
      <c r="D315" s="24" t="s">
        <v>72</v>
      </c>
      <c r="E315" s="24" t="n">
        <v>182</v>
      </c>
      <c r="F315" s="25" t="n">
        <v>14000</v>
      </c>
      <c r="G315" s="24" t="s">
        <v>69</v>
      </c>
      <c r="H315" s="24" t="s">
        <v>80</v>
      </c>
      <c r="I315" s="24" t="s">
        <v>61</v>
      </c>
      <c r="J315" s="26" t="n">
        <f aca="false">IF(A315="","",YEAR(A315))</f>
        <v>2025</v>
      </c>
      <c r="K315" s="26" t="n">
        <f aca="false">IF(A315="","",MONTH(A315))</f>
        <v>3</v>
      </c>
      <c r="L315" s="26" t="n">
        <f aca="false">IF(B315="","",VALUE(LEFT(B315,2)))</f>
        <v>9</v>
      </c>
      <c r="M315" s="26" t="n">
        <f aca="false">IF(A315="","",IF(COUNTIFS($C$2:$C$5001,C315,$J$2:$J$5001,J315,$A$2:$A$5001,"&lt;"&amp;A315)=0,1,0))</f>
        <v>1</v>
      </c>
    </row>
    <row r="316" customFormat="false" ht="15" hidden="false" customHeight="false" outlineLevel="0" collapsed="false">
      <c r="A316" s="23" t="n">
        <v>45735.5270833333</v>
      </c>
      <c r="B316" s="24" t="s">
        <v>443</v>
      </c>
      <c r="C316" s="24" t="s">
        <v>267</v>
      </c>
      <c r="D316" s="24" t="s">
        <v>72</v>
      </c>
      <c r="E316" s="24" t="n">
        <v>252</v>
      </c>
      <c r="F316" s="25" t="n">
        <v>15300</v>
      </c>
      <c r="G316" s="24" t="s">
        <v>59</v>
      </c>
      <c r="H316" s="24" t="s">
        <v>80</v>
      </c>
      <c r="I316" s="24" t="s">
        <v>113</v>
      </c>
      <c r="J316" s="26" t="n">
        <f aca="false">IF(A316="","",YEAR(A316))</f>
        <v>2025</v>
      </c>
      <c r="K316" s="26" t="n">
        <f aca="false">IF(A316="","",MONTH(A316))</f>
        <v>3</v>
      </c>
      <c r="L316" s="26" t="n">
        <f aca="false">IF(B316="","",VALUE(LEFT(B316,2)))</f>
        <v>8</v>
      </c>
      <c r="M316" s="26" t="n">
        <f aca="false">IF(A316="","",IF(COUNTIFS($C$2:$C$5001,C316,$J$2:$J$5001,J316,$A$2:$A$5001,"&lt;"&amp;A316)=0,1,0))</f>
        <v>0</v>
      </c>
    </row>
    <row r="317" customFormat="false" ht="15" hidden="false" customHeight="false" outlineLevel="0" collapsed="false">
      <c r="A317" s="23" t="n">
        <v>45735.5993055556</v>
      </c>
      <c r="B317" s="24" t="s">
        <v>432</v>
      </c>
      <c r="C317" s="24" t="s">
        <v>197</v>
      </c>
      <c r="D317" s="24" t="s">
        <v>53</v>
      </c>
      <c r="E317" s="24" t="n">
        <v>272</v>
      </c>
      <c r="F317" s="25" t="n">
        <v>5000</v>
      </c>
      <c r="G317" s="24" t="s">
        <v>54</v>
      </c>
      <c r="H317" s="24" t="s">
        <v>80</v>
      </c>
      <c r="I317" s="24" t="s">
        <v>61</v>
      </c>
      <c r="J317" s="26" t="n">
        <f aca="false">IF(A317="","",YEAR(A317))</f>
        <v>2025</v>
      </c>
      <c r="K317" s="26" t="n">
        <f aca="false">IF(A317="","",MONTH(A317))</f>
        <v>3</v>
      </c>
      <c r="L317" s="26" t="n">
        <f aca="false">IF(B317="","",VALUE(LEFT(B317,2)))</f>
        <v>9</v>
      </c>
      <c r="M317" s="26" t="n">
        <f aca="false">IF(A317="","",IF(COUNTIFS($C$2:$C$5001,C317,$J$2:$J$5001,J317,$A$2:$A$5001,"&lt;"&amp;A317)=0,1,0))</f>
        <v>0</v>
      </c>
    </row>
    <row r="318" customFormat="false" ht="15" hidden="false" customHeight="false" outlineLevel="0" collapsed="false">
      <c r="A318" s="23" t="n">
        <v>45735.7631944444</v>
      </c>
      <c r="B318" s="24" t="s">
        <v>444</v>
      </c>
      <c r="C318" s="24" t="s">
        <v>235</v>
      </c>
      <c r="D318" s="24" t="s">
        <v>53</v>
      </c>
      <c r="E318" s="24" t="n">
        <v>317</v>
      </c>
      <c r="F318" s="25" t="n">
        <v>0</v>
      </c>
      <c r="G318" s="24" t="s">
        <v>69</v>
      </c>
      <c r="H318" s="24" t="s">
        <v>80</v>
      </c>
      <c r="I318" s="24" t="s">
        <v>56</v>
      </c>
      <c r="J318" s="26" t="n">
        <f aca="false">IF(A318="","",YEAR(A318))</f>
        <v>2025</v>
      </c>
      <c r="K318" s="26" t="n">
        <f aca="false">IF(A318="","",MONTH(A318))</f>
        <v>3</v>
      </c>
      <c r="L318" s="26" t="n">
        <f aca="false">IF(B318="","",VALUE(LEFT(B318,2)))</f>
        <v>13</v>
      </c>
      <c r="M318" s="26" t="n">
        <f aca="false">IF(A318="","",IF(COUNTIFS($C$2:$C$5001,C318,$J$2:$J$5001,J318,$A$2:$A$5001,"&lt;"&amp;A318)=0,1,0))</f>
        <v>0</v>
      </c>
    </row>
    <row r="319" customFormat="false" ht="15" hidden="false" customHeight="false" outlineLevel="0" collapsed="false">
      <c r="A319" s="23" t="n">
        <v>45736.93125</v>
      </c>
      <c r="B319" s="24" t="s">
        <v>378</v>
      </c>
      <c r="C319" s="24" t="s">
        <v>235</v>
      </c>
      <c r="D319" s="24" t="s">
        <v>53</v>
      </c>
      <c r="E319" s="24" t="n">
        <v>229</v>
      </c>
      <c r="F319" s="25" t="n">
        <v>4000</v>
      </c>
      <c r="G319" s="24" t="s">
        <v>59</v>
      </c>
      <c r="H319" s="24" t="s">
        <v>55</v>
      </c>
      <c r="I319" s="24" t="s">
        <v>61</v>
      </c>
      <c r="J319" s="26" t="n">
        <f aca="false">IF(A319="","",YEAR(A319))</f>
        <v>2025</v>
      </c>
      <c r="K319" s="26" t="n">
        <f aca="false">IF(A319="","",MONTH(A319))</f>
        <v>3</v>
      </c>
      <c r="L319" s="26" t="n">
        <f aca="false">IF(B319="","",VALUE(LEFT(B319,2)))</f>
        <v>18</v>
      </c>
      <c r="M319" s="26" t="n">
        <f aca="false">IF(A319="","",IF(COUNTIFS($C$2:$C$5001,C319,$J$2:$J$5001,J319,$A$2:$A$5001,"&lt;"&amp;A319)=0,1,0))</f>
        <v>0</v>
      </c>
    </row>
    <row r="320" customFormat="false" ht="15" hidden="false" customHeight="false" outlineLevel="0" collapsed="false">
      <c r="A320" s="23" t="n">
        <v>45737.0395833333</v>
      </c>
      <c r="B320" s="24" t="s">
        <v>445</v>
      </c>
      <c r="C320" s="24" t="s">
        <v>92</v>
      </c>
      <c r="D320" s="24" t="s">
        <v>66</v>
      </c>
      <c r="E320" s="24" t="n">
        <v>392</v>
      </c>
      <c r="F320" s="25" t="n">
        <v>11900</v>
      </c>
      <c r="G320" s="24" t="s">
        <v>79</v>
      </c>
      <c r="H320" s="24" t="s">
        <v>80</v>
      </c>
      <c r="I320" s="24" t="s">
        <v>113</v>
      </c>
      <c r="J320" s="26" t="n">
        <f aca="false">IF(A320="","",YEAR(A320))</f>
        <v>2025</v>
      </c>
      <c r="K320" s="26" t="n">
        <f aca="false">IF(A320="","",MONTH(A320))</f>
        <v>3</v>
      </c>
      <c r="L320" s="26" t="n">
        <f aca="false">IF(B320="","",VALUE(LEFT(B320,2)))</f>
        <v>18</v>
      </c>
      <c r="M320" s="26" t="n">
        <f aca="false">IF(A320="","",IF(COUNTIFS($C$2:$C$5001,C320,$J$2:$J$5001,J320,$A$2:$A$5001,"&lt;"&amp;A320)=0,1,0))</f>
        <v>0</v>
      </c>
    </row>
    <row r="321" customFormat="false" ht="15" hidden="false" customHeight="false" outlineLevel="0" collapsed="false">
      <c r="A321" s="23" t="n">
        <v>45737.075</v>
      </c>
      <c r="B321" s="24" t="s">
        <v>446</v>
      </c>
      <c r="C321" s="24" t="s">
        <v>345</v>
      </c>
      <c r="D321" s="24" t="s">
        <v>66</v>
      </c>
      <c r="E321" s="24" t="n">
        <v>331</v>
      </c>
      <c r="F321" s="25" t="n">
        <v>12000</v>
      </c>
      <c r="G321" s="24" t="s">
        <v>69</v>
      </c>
      <c r="H321" s="24" t="s">
        <v>80</v>
      </c>
      <c r="I321" s="24" t="s">
        <v>61</v>
      </c>
      <c r="J321" s="26" t="n">
        <f aca="false">IF(A321="","",YEAR(A321))</f>
        <v>2025</v>
      </c>
      <c r="K321" s="26" t="n">
        <f aca="false">IF(A321="","",MONTH(A321))</f>
        <v>3</v>
      </c>
      <c r="L321" s="26" t="n">
        <f aca="false">IF(B321="","",VALUE(LEFT(B321,2)))</f>
        <v>20</v>
      </c>
      <c r="M321" s="26" t="n">
        <f aca="false">IF(A321="","",IF(COUNTIFS($C$2:$C$5001,C321,$J$2:$J$5001,J321,$A$2:$A$5001,"&lt;"&amp;A321)=0,1,0))</f>
        <v>0</v>
      </c>
    </row>
    <row r="322" customFormat="false" ht="15" hidden="false" customHeight="false" outlineLevel="0" collapsed="false">
      <c r="A322" s="23" t="n">
        <v>45737.3875</v>
      </c>
      <c r="B322" s="24" t="s">
        <v>447</v>
      </c>
      <c r="C322" s="24" t="s">
        <v>448</v>
      </c>
      <c r="D322" s="24" t="s">
        <v>66</v>
      </c>
      <c r="E322" s="24" t="n">
        <v>114</v>
      </c>
      <c r="F322" s="25" t="n">
        <v>4000</v>
      </c>
      <c r="G322" s="24" t="s">
        <v>59</v>
      </c>
      <c r="H322" s="24" t="s">
        <v>55</v>
      </c>
      <c r="I322" s="24" t="s">
        <v>61</v>
      </c>
      <c r="J322" s="26" t="n">
        <f aca="false">IF(A322="","",YEAR(A322))</f>
        <v>2025</v>
      </c>
      <c r="K322" s="26" t="n">
        <f aca="false">IF(A322="","",MONTH(A322))</f>
        <v>3</v>
      </c>
      <c r="L322" s="26" t="n">
        <f aca="false">IF(B322="","",VALUE(LEFT(B322,2)))</f>
        <v>7</v>
      </c>
      <c r="M322" s="26" t="n">
        <f aca="false">IF(A322="","",IF(COUNTIFS($C$2:$C$5001,C322,$J$2:$J$5001,J322,$A$2:$A$5001,"&lt;"&amp;A322)=0,1,0))</f>
        <v>1</v>
      </c>
    </row>
    <row r="323" customFormat="false" ht="15" hidden="false" customHeight="false" outlineLevel="0" collapsed="false">
      <c r="A323" s="23" t="n">
        <v>45737.6381944444</v>
      </c>
      <c r="B323" s="24" t="s">
        <v>449</v>
      </c>
      <c r="C323" s="24" t="s">
        <v>102</v>
      </c>
      <c r="D323" s="24" t="s">
        <v>66</v>
      </c>
      <c r="E323" s="24" t="n">
        <v>343</v>
      </c>
      <c r="F323" s="25" t="n">
        <v>12000</v>
      </c>
      <c r="G323" s="24" t="s">
        <v>69</v>
      </c>
      <c r="H323" s="24" t="s">
        <v>60</v>
      </c>
      <c r="I323" s="24" t="s">
        <v>61</v>
      </c>
      <c r="J323" s="26" t="n">
        <f aca="false">IF(A323="","",YEAR(A323))</f>
        <v>2025</v>
      </c>
      <c r="K323" s="26" t="n">
        <f aca="false">IF(A323="","",MONTH(A323))</f>
        <v>3</v>
      </c>
      <c r="L323" s="26" t="n">
        <f aca="false">IF(B323="","",VALUE(LEFT(B323,2)))</f>
        <v>9</v>
      </c>
      <c r="M323" s="26" t="n">
        <f aca="false">IF(A323="","",IF(COUNTIFS($C$2:$C$5001,C323,$J$2:$J$5001,J323,$A$2:$A$5001,"&lt;"&amp;A323)=0,1,0))</f>
        <v>0</v>
      </c>
    </row>
    <row r="324" customFormat="false" ht="15" hidden="false" customHeight="false" outlineLevel="0" collapsed="false">
      <c r="A324" s="23" t="n">
        <v>45737.94375</v>
      </c>
      <c r="B324" s="24" t="s">
        <v>75</v>
      </c>
      <c r="C324" s="24" t="s">
        <v>197</v>
      </c>
      <c r="D324" s="24" t="s">
        <v>66</v>
      </c>
      <c r="E324" s="24" t="n">
        <v>366</v>
      </c>
      <c r="F324" s="25" t="n">
        <v>13000</v>
      </c>
      <c r="G324" s="24" t="s">
        <v>83</v>
      </c>
      <c r="H324" s="24" t="s">
        <v>80</v>
      </c>
      <c r="I324" s="24" t="s">
        <v>61</v>
      </c>
      <c r="J324" s="26" t="n">
        <f aca="false">IF(A324="","",YEAR(A324))</f>
        <v>2025</v>
      </c>
      <c r="K324" s="26" t="n">
        <f aca="false">IF(A324="","",MONTH(A324))</f>
        <v>3</v>
      </c>
      <c r="L324" s="26" t="n">
        <f aca="false">IF(B324="","",VALUE(LEFT(B324,2)))</f>
        <v>16</v>
      </c>
      <c r="M324" s="26" t="n">
        <f aca="false">IF(A324="","",IF(COUNTIFS($C$2:$C$5001,C324,$J$2:$J$5001,J324,$A$2:$A$5001,"&lt;"&amp;A324)=0,1,0))</f>
        <v>0</v>
      </c>
    </row>
    <row r="325" customFormat="false" ht="15" hidden="false" customHeight="false" outlineLevel="0" collapsed="false">
      <c r="A325" s="23" t="n">
        <v>45738.3722222222</v>
      </c>
      <c r="B325" s="24" t="s">
        <v>450</v>
      </c>
      <c r="C325" s="24" t="s">
        <v>397</v>
      </c>
      <c r="D325" s="24" t="s">
        <v>53</v>
      </c>
      <c r="E325" s="24" t="n">
        <v>118</v>
      </c>
      <c r="F325" s="25" t="n">
        <v>0</v>
      </c>
      <c r="G325" s="24" t="s">
        <v>69</v>
      </c>
      <c r="H325" s="24" t="s">
        <v>55</v>
      </c>
      <c r="I325" s="24" t="s">
        <v>56</v>
      </c>
      <c r="J325" s="26" t="n">
        <f aca="false">IF(A325="","",YEAR(A325))</f>
        <v>2025</v>
      </c>
      <c r="K325" s="26" t="n">
        <f aca="false">IF(A325="","",MONTH(A325))</f>
        <v>3</v>
      </c>
      <c r="L325" s="26" t="n">
        <f aca="false">IF(B325="","",VALUE(LEFT(B325,2)))</f>
        <v>6</v>
      </c>
      <c r="M325" s="26" t="n">
        <f aca="false">IF(A325="","",IF(COUNTIFS($C$2:$C$5001,C325,$J$2:$J$5001,J325,$A$2:$A$5001,"&lt;"&amp;A325)=0,1,0))</f>
        <v>0</v>
      </c>
    </row>
    <row r="326" customFormat="false" ht="15" hidden="false" customHeight="false" outlineLevel="0" collapsed="false">
      <c r="A326" s="23" t="n">
        <v>45738.6506944444</v>
      </c>
      <c r="B326" s="24" t="s">
        <v>354</v>
      </c>
      <c r="C326" s="24" t="s">
        <v>345</v>
      </c>
      <c r="D326" s="24" t="s">
        <v>66</v>
      </c>
      <c r="E326" s="24" t="n">
        <v>241</v>
      </c>
      <c r="F326" s="25" t="n">
        <v>9000</v>
      </c>
      <c r="G326" s="24" t="s">
        <v>69</v>
      </c>
      <c r="H326" s="24" t="s">
        <v>80</v>
      </c>
      <c r="I326" s="24" t="s">
        <v>61</v>
      </c>
      <c r="J326" s="26" t="n">
        <f aca="false">IF(A326="","",YEAR(A326))</f>
        <v>2025</v>
      </c>
      <c r="K326" s="26" t="n">
        <f aca="false">IF(A326="","",MONTH(A326))</f>
        <v>3</v>
      </c>
      <c r="L326" s="26" t="n">
        <f aca="false">IF(B326="","",VALUE(LEFT(B326,2)))</f>
        <v>11</v>
      </c>
      <c r="M326" s="26" t="n">
        <f aca="false">IF(A326="","",IF(COUNTIFS($C$2:$C$5001,C326,$J$2:$J$5001,J326,$A$2:$A$5001,"&lt;"&amp;A326)=0,1,0))</f>
        <v>0</v>
      </c>
    </row>
    <row r="327" customFormat="false" ht="15" hidden="false" customHeight="false" outlineLevel="0" collapsed="false">
      <c r="A327" s="23" t="n">
        <v>45738.9076388889</v>
      </c>
      <c r="B327" s="24" t="s">
        <v>451</v>
      </c>
      <c r="C327" s="24" t="s">
        <v>352</v>
      </c>
      <c r="D327" s="24" t="s">
        <v>53</v>
      </c>
      <c r="E327" s="24" t="n">
        <v>283</v>
      </c>
      <c r="F327" s="25" t="n">
        <v>5000</v>
      </c>
      <c r="G327" s="24" t="s">
        <v>59</v>
      </c>
      <c r="H327" s="24" t="s">
        <v>55</v>
      </c>
      <c r="I327" s="24" t="s">
        <v>61</v>
      </c>
      <c r="J327" s="26" t="n">
        <f aca="false">IF(A327="","",YEAR(A327))</f>
        <v>2025</v>
      </c>
      <c r="K327" s="26" t="n">
        <f aca="false">IF(A327="","",MONTH(A327))</f>
        <v>3</v>
      </c>
      <c r="L327" s="26" t="n">
        <f aca="false">IF(B327="","",VALUE(LEFT(B327,2)))</f>
        <v>17</v>
      </c>
      <c r="M327" s="26" t="n">
        <f aca="false">IF(A327="","",IF(COUNTIFS($C$2:$C$5001,C327,$J$2:$J$5001,J327,$A$2:$A$5001,"&lt;"&amp;A327)=0,1,0))</f>
        <v>0</v>
      </c>
    </row>
    <row r="328" customFormat="false" ht="15" hidden="false" customHeight="false" outlineLevel="0" collapsed="false">
      <c r="A328" s="23" t="n">
        <v>45739.9444444445</v>
      </c>
      <c r="B328" s="24" t="s">
        <v>452</v>
      </c>
      <c r="C328" s="24" t="s">
        <v>222</v>
      </c>
      <c r="D328" s="24" t="s">
        <v>66</v>
      </c>
      <c r="E328" s="24" t="n">
        <v>237</v>
      </c>
      <c r="F328" s="25" t="n">
        <v>8000</v>
      </c>
      <c r="G328" s="24" t="s">
        <v>59</v>
      </c>
      <c r="H328" s="24" t="s">
        <v>60</v>
      </c>
      <c r="I328" s="24" t="s">
        <v>61</v>
      </c>
      <c r="J328" s="26" t="n">
        <f aca="false">IF(A328="","",YEAR(A328))</f>
        <v>2025</v>
      </c>
      <c r="K328" s="26" t="n">
        <f aca="false">IF(A328="","",MONTH(A328))</f>
        <v>3</v>
      </c>
      <c r="L328" s="26" t="n">
        <f aca="false">IF(B328="","",VALUE(LEFT(B328,2)))</f>
        <v>18</v>
      </c>
      <c r="M328" s="26" t="n">
        <f aca="false">IF(A328="","",IF(COUNTIFS($C$2:$C$5001,C328,$J$2:$J$5001,J328,$A$2:$A$5001,"&lt;"&amp;A328)=0,1,0))</f>
        <v>0</v>
      </c>
    </row>
    <row r="329" customFormat="false" ht="15" hidden="false" customHeight="false" outlineLevel="0" collapsed="false">
      <c r="A329" s="23" t="n">
        <v>45740.3923611111</v>
      </c>
      <c r="B329" s="24" t="s">
        <v>453</v>
      </c>
      <c r="C329" s="24" t="s">
        <v>136</v>
      </c>
      <c r="D329" s="24" t="s">
        <v>66</v>
      </c>
      <c r="E329" s="24" t="n">
        <v>201</v>
      </c>
      <c r="F329" s="25" t="n">
        <v>7000</v>
      </c>
      <c r="G329" s="24" t="s">
        <v>59</v>
      </c>
      <c r="H329" s="24" t="s">
        <v>60</v>
      </c>
      <c r="I329" s="24" t="s">
        <v>61</v>
      </c>
      <c r="J329" s="26" t="n">
        <f aca="false">IF(A329="","",YEAR(A329))</f>
        <v>2025</v>
      </c>
      <c r="K329" s="26" t="n">
        <f aca="false">IF(A329="","",MONTH(A329))</f>
        <v>3</v>
      </c>
      <c r="L329" s="26" t="n">
        <f aca="false">IF(B329="","",VALUE(LEFT(B329,2)))</f>
        <v>6</v>
      </c>
      <c r="M329" s="26" t="n">
        <f aca="false">IF(A329="","",IF(COUNTIFS($C$2:$C$5001,C329,$J$2:$J$5001,J329,$A$2:$A$5001,"&lt;"&amp;A329)=0,1,0))</f>
        <v>0</v>
      </c>
    </row>
    <row r="330" customFormat="false" ht="15" hidden="false" customHeight="false" outlineLevel="0" collapsed="false">
      <c r="A330" s="23" t="n">
        <v>45740.7041666667</v>
      </c>
      <c r="B330" s="24" t="s">
        <v>245</v>
      </c>
      <c r="C330" s="24" t="s">
        <v>454</v>
      </c>
      <c r="D330" s="24" t="s">
        <v>127</v>
      </c>
      <c r="E330" s="24" t="n">
        <v>71</v>
      </c>
      <c r="F330" s="25" t="n">
        <v>5250</v>
      </c>
      <c r="G330" s="24" t="s">
        <v>59</v>
      </c>
      <c r="H330" s="24" t="s">
        <v>60</v>
      </c>
      <c r="I330" s="24" t="s">
        <v>61</v>
      </c>
      <c r="J330" s="26" t="n">
        <f aca="false">IF(A330="","",YEAR(A330))</f>
        <v>2025</v>
      </c>
      <c r="K330" s="26" t="n">
        <f aca="false">IF(A330="","",MONTH(A330))</f>
        <v>3</v>
      </c>
      <c r="L330" s="26" t="n">
        <f aca="false">IF(B330="","",VALUE(LEFT(B330,2)))</f>
        <v>15</v>
      </c>
      <c r="M330" s="26" t="n">
        <f aca="false">IF(A330="","",IF(COUNTIFS($C$2:$C$5001,C330,$J$2:$J$5001,J330,$A$2:$A$5001,"&lt;"&amp;A330)=0,1,0))</f>
        <v>1</v>
      </c>
    </row>
    <row r="331" customFormat="false" ht="15" hidden="false" customHeight="false" outlineLevel="0" collapsed="false">
      <c r="A331" s="23" t="n">
        <v>45740.9361111111</v>
      </c>
      <c r="B331" s="24" t="s">
        <v>455</v>
      </c>
      <c r="C331" s="24" t="s">
        <v>289</v>
      </c>
      <c r="D331" s="24" t="s">
        <v>66</v>
      </c>
      <c r="E331" s="24" t="n">
        <v>105</v>
      </c>
      <c r="F331" s="25" t="n">
        <v>4000</v>
      </c>
      <c r="G331" s="24" t="s">
        <v>54</v>
      </c>
      <c r="H331" s="24" t="s">
        <v>55</v>
      </c>
      <c r="I331" s="24" t="s">
        <v>61</v>
      </c>
      <c r="J331" s="26" t="n">
        <f aca="false">IF(A331="","",YEAR(A331))</f>
        <v>2025</v>
      </c>
      <c r="K331" s="26" t="n">
        <f aca="false">IF(A331="","",MONTH(A331))</f>
        <v>3</v>
      </c>
      <c r="L331" s="26" t="n">
        <f aca="false">IF(B331="","",VALUE(LEFT(B331,2)))</f>
        <v>20</v>
      </c>
      <c r="M331" s="26" t="n">
        <f aca="false">IF(A331="","",IF(COUNTIFS($C$2:$C$5001,C331,$J$2:$J$5001,J331,$A$2:$A$5001,"&lt;"&amp;A331)=0,1,0))</f>
        <v>0</v>
      </c>
    </row>
    <row r="332" customFormat="false" ht="15" hidden="false" customHeight="false" outlineLevel="0" collapsed="false">
      <c r="A332" s="23" t="n">
        <v>45741.0423611111</v>
      </c>
      <c r="B332" s="24" t="s">
        <v>456</v>
      </c>
      <c r="C332" s="24" t="s">
        <v>391</v>
      </c>
      <c r="D332" s="24" t="s">
        <v>53</v>
      </c>
      <c r="E332" s="24" t="n">
        <v>368</v>
      </c>
      <c r="F332" s="25" t="n">
        <v>6500</v>
      </c>
      <c r="G332" s="24" t="s">
        <v>59</v>
      </c>
      <c r="H332" s="24" t="s">
        <v>55</v>
      </c>
      <c r="I332" s="24" t="s">
        <v>61</v>
      </c>
      <c r="J332" s="26" t="n">
        <f aca="false">IF(A332="","",YEAR(A332))</f>
        <v>2025</v>
      </c>
      <c r="K332" s="26" t="n">
        <f aca="false">IF(A332="","",MONTH(A332))</f>
        <v>3</v>
      </c>
      <c r="L332" s="26" t="n">
        <f aca="false">IF(B332="","",VALUE(LEFT(B332,2)))</f>
        <v>18</v>
      </c>
      <c r="M332" s="26" t="n">
        <f aca="false">IF(A332="","",IF(COUNTIFS($C$2:$C$5001,C332,$J$2:$J$5001,J332,$A$2:$A$5001,"&lt;"&amp;A332)=0,1,0))</f>
        <v>0</v>
      </c>
    </row>
    <row r="333" customFormat="false" ht="15" hidden="false" customHeight="false" outlineLevel="0" collapsed="false">
      <c r="A333" s="23" t="n">
        <v>45742.5361111111</v>
      </c>
      <c r="B333" s="24" t="s">
        <v>457</v>
      </c>
      <c r="C333" s="24" t="s">
        <v>170</v>
      </c>
      <c r="D333" s="24" t="s">
        <v>66</v>
      </c>
      <c r="E333" s="24" t="n">
        <v>306</v>
      </c>
      <c r="F333" s="25" t="n">
        <v>11000</v>
      </c>
      <c r="G333" s="24" t="s">
        <v>69</v>
      </c>
      <c r="H333" s="24" t="s">
        <v>60</v>
      </c>
      <c r="I333" s="24" t="s">
        <v>61</v>
      </c>
      <c r="J333" s="26" t="n">
        <f aca="false">IF(A333="","",YEAR(A333))</f>
        <v>2025</v>
      </c>
      <c r="K333" s="26" t="n">
        <f aca="false">IF(A333="","",MONTH(A333))</f>
        <v>3</v>
      </c>
      <c r="L333" s="26" t="n">
        <f aca="false">IF(B333="","",VALUE(LEFT(B333,2)))</f>
        <v>7</v>
      </c>
      <c r="M333" s="26" t="n">
        <f aca="false">IF(A333="","",IF(COUNTIFS($C$2:$C$5001,C333,$J$2:$J$5001,J333,$A$2:$A$5001,"&lt;"&amp;A333)=0,1,0))</f>
        <v>0</v>
      </c>
    </row>
    <row r="334" customFormat="false" ht="15" hidden="false" customHeight="false" outlineLevel="0" collapsed="false">
      <c r="A334" s="23" t="n">
        <v>45742.5583333333</v>
      </c>
      <c r="B334" s="24" t="s">
        <v>458</v>
      </c>
      <c r="C334" s="24" t="s">
        <v>105</v>
      </c>
      <c r="D334" s="24" t="s">
        <v>66</v>
      </c>
      <c r="E334" s="24" t="n">
        <v>155</v>
      </c>
      <c r="F334" s="25" t="n">
        <v>6000</v>
      </c>
      <c r="G334" s="24" t="s">
        <v>69</v>
      </c>
      <c r="H334" s="24" t="s">
        <v>80</v>
      </c>
      <c r="I334" s="24" t="s">
        <v>61</v>
      </c>
      <c r="J334" s="26" t="n">
        <f aca="false">IF(A334="","",YEAR(A334))</f>
        <v>2025</v>
      </c>
      <c r="K334" s="26" t="n">
        <f aca="false">IF(A334="","",MONTH(A334))</f>
        <v>3</v>
      </c>
      <c r="L334" s="26" t="n">
        <f aca="false">IF(B334="","",VALUE(LEFT(B334,2)))</f>
        <v>10</v>
      </c>
      <c r="M334" s="26" t="n">
        <f aca="false">IF(A334="","",IF(COUNTIFS($C$2:$C$5001,C334,$J$2:$J$5001,J334,$A$2:$A$5001,"&lt;"&amp;A334)=0,1,0))</f>
        <v>0</v>
      </c>
    </row>
    <row r="335" customFormat="false" ht="15" hidden="false" customHeight="false" outlineLevel="0" collapsed="false">
      <c r="A335" s="23" t="n">
        <v>45742.6479166667</v>
      </c>
      <c r="B335" s="24" t="s">
        <v>459</v>
      </c>
      <c r="C335" s="24" t="s">
        <v>63</v>
      </c>
      <c r="D335" s="24" t="s">
        <v>66</v>
      </c>
      <c r="E335" s="24" t="n">
        <v>315</v>
      </c>
      <c r="F335" s="25" t="n">
        <v>11000</v>
      </c>
      <c r="G335" s="24" t="s">
        <v>79</v>
      </c>
      <c r="H335" s="24" t="s">
        <v>60</v>
      </c>
      <c r="I335" s="24" t="s">
        <v>61</v>
      </c>
      <c r="J335" s="26" t="n">
        <f aca="false">IF(A335="","",YEAR(A335))</f>
        <v>2025</v>
      </c>
      <c r="K335" s="26" t="n">
        <f aca="false">IF(A335="","",MONTH(A335))</f>
        <v>3</v>
      </c>
      <c r="L335" s="26" t="n">
        <f aca="false">IF(B335="","",VALUE(LEFT(B335,2)))</f>
        <v>10</v>
      </c>
      <c r="M335" s="26" t="n">
        <f aca="false">IF(A335="","",IF(COUNTIFS($C$2:$C$5001,C335,$J$2:$J$5001,J335,$A$2:$A$5001,"&lt;"&amp;A335)=0,1,0))</f>
        <v>0</v>
      </c>
    </row>
    <row r="336" customFormat="false" ht="15" hidden="false" customHeight="false" outlineLevel="0" collapsed="false">
      <c r="A336" s="23" t="n">
        <v>45742.6618055556</v>
      </c>
      <c r="B336" s="24" t="s">
        <v>460</v>
      </c>
      <c r="C336" s="24" t="s">
        <v>179</v>
      </c>
      <c r="D336" s="24" t="s">
        <v>66</v>
      </c>
      <c r="E336" s="24" t="n">
        <v>173</v>
      </c>
      <c r="F336" s="25" t="n">
        <v>6000</v>
      </c>
      <c r="G336" s="24" t="s">
        <v>59</v>
      </c>
      <c r="H336" s="24" t="s">
        <v>55</v>
      </c>
      <c r="I336" s="24" t="s">
        <v>61</v>
      </c>
      <c r="J336" s="26" t="n">
        <f aca="false">IF(A336="","",YEAR(A336))</f>
        <v>2025</v>
      </c>
      <c r="K336" s="26" t="n">
        <f aca="false">IF(A336="","",MONTH(A336))</f>
        <v>3</v>
      </c>
      <c r="L336" s="26" t="n">
        <f aca="false">IF(B336="","",VALUE(LEFT(B336,2)))</f>
        <v>13</v>
      </c>
      <c r="M336" s="26" t="n">
        <f aca="false">IF(A336="","",IF(COUNTIFS($C$2:$C$5001,C336,$J$2:$J$5001,J336,$A$2:$A$5001,"&lt;"&amp;A336)=0,1,0))</f>
        <v>0</v>
      </c>
    </row>
    <row r="337" customFormat="false" ht="15" hidden="false" customHeight="false" outlineLevel="0" collapsed="false">
      <c r="A337" s="23" t="n">
        <v>45742.7680555556</v>
      </c>
      <c r="B337" s="24" t="s">
        <v>307</v>
      </c>
      <c r="C337" s="24" t="s">
        <v>345</v>
      </c>
      <c r="D337" s="24" t="s">
        <v>66</v>
      </c>
      <c r="E337" s="24" t="n">
        <v>214</v>
      </c>
      <c r="F337" s="25" t="n">
        <v>8000</v>
      </c>
      <c r="G337" s="24" t="s">
        <v>69</v>
      </c>
      <c r="H337" s="24" t="s">
        <v>60</v>
      </c>
      <c r="I337" s="24" t="s">
        <v>61</v>
      </c>
      <c r="J337" s="26" t="n">
        <f aca="false">IF(A337="","",YEAR(A337))</f>
        <v>2025</v>
      </c>
      <c r="K337" s="26" t="n">
        <f aca="false">IF(A337="","",MONTH(A337))</f>
        <v>3</v>
      </c>
      <c r="L337" s="26" t="n">
        <f aca="false">IF(B337="","",VALUE(LEFT(B337,2)))</f>
        <v>14</v>
      </c>
      <c r="M337" s="26" t="n">
        <f aca="false">IF(A337="","",IF(COUNTIFS($C$2:$C$5001,C337,$J$2:$J$5001,J337,$A$2:$A$5001,"&lt;"&amp;A337)=0,1,0))</f>
        <v>0</v>
      </c>
    </row>
    <row r="338" customFormat="false" ht="15" hidden="false" customHeight="false" outlineLevel="0" collapsed="false">
      <c r="A338" s="23" t="n">
        <v>45743.5055555556</v>
      </c>
      <c r="B338" s="24" t="s">
        <v>153</v>
      </c>
      <c r="C338" s="24" t="s">
        <v>461</v>
      </c>
      <c r="D338" s="24" t="s">
        <v>66</v>
      </c>
      <c r="E338" s="24" t="n">
        <v>213</v>
      </c>
      <c r="F338" s="25" t="n">
        <v>8000</v>
      </c>
      <c r="G338" s="24" t="s">
        <v>69</v>
      </c>
      <c r="H338" s="24" t="s">
        <v>80</v>
      </c>
      <c r="I338" s="24" t="s">
        <v>61</v>
      </c>
      <c r="J338" s="26" t="n">
        <f aca="false">IF(A338="","",YEAR(A338))</f>
        <v>2025</v>
      </c>
      <c r="K338" s="26" t="n">
        <f aca="false">IF(A338="","",MONTH(A338))</f>
        <v>3</v>
      </c>
      <c r="L338" s="26" t="n">
        <f aca="false">IF(B338="","",VALUE(LEFT(B338,2)))</f>
        <v>8</v>
      </c>
      <c r="M338" s="26" t="n">
        <f aca="false">IF(A338="","",IF(COUNTIFS($C$2:$C$5001,C338,$J$2:$J$5001,J338,$A$2:$A$5001,"&lt;"&amp;A338)=0,1,0))</f>
        <v>1</v>
      </c>
    </row>
    <row r="339" customFormat="false" ht="15" hidden="false" customHeight="false" outlineLevel="0" collapsed="false">
      <c r="A339" s="23" t="n">
        <v>45743.6958333333</v>
      </c>
      <c r="B339" s="24" t="s">
        <v>462</v>
      </c>
      <c r="C339" s="24" t="s">
        <v>463</v>
      </c>
      <c r="D339" s="24" t="s">
        <v>66</v>
      </c>
      <c r="E339" s="24" t="n">
        <v>160</v>
      </c>
      <c r="F339" s="25" t="n">
        <v>6000</v>
      </c>
      <c r="G339" s="24" t="s">
        <v>79</v>
      </c>
      <c r="H339" s="24" t="s">
        <v>55</v>
      </c>
      <c r="I339" s="24" t="s">
        <v>61</v>
      </c>
      <c r="J339" s="26" t="n">
        <f aca="false">IF(A339="","",YEAR(A339))</f>
        <v>2025</v>
      </c>
      <c r="K339" s="26" t="n">
        <f aca="false">IF(A339="","",MONTH(A339))</f>
        <v>3</v>
      </c>
      <c r="L339" s="26" t="n">
        <f aca="false">IF(B339="","",VALUE(LEFT(B339,2)))</f>
        <v>14</v>
      </c>
      <c r="M339" s="26" t="n">
        <f aca="false">IF(A339="","",IF(COUNTIFS($C$2:$C$5001,C339,$J$2:$J$5001,J339,$A$2:$A$5001,"&lt;"&amp;A339)=0,1,0))</f>
        <v>1</v>
      </c>
    </row>
    <row r="340" customFormat="false" ht="15" hidden="false" customHeight="false" outlineLevel="0" collapsed="false">
      <c r="A340" s="23" t="n">
        <v>45743.7534722222</v>
      </c>
      <c r="B340" s="24" t="s">
        <v>464</v>
      </c>
      <c r="C340" s="24" t="s">
        <v>268</v>
      </c>
      <c r="D340" s="24" t="s">
        <v>66</v>
      </c>
      <c r="E340" s="24" t="n">
        <v>220</v>
      </c>
      <c r="F340" s="25" t="n">
        <v>8000</v>
      </c>
      <c r="G340" s="24" t="s">
        <v>59</v>
      </c>
      <c r="H340" s="24" t="s">
        <v>55</v>
      </c>
      <c r="I340" s="24" t="s">
        <v>61</v>
      </c>
      <c r="J340" s="26" t="n">
        <f aca="false">IF(A340="","",YEAR(A340))</f>
        <v>2025</v>
      </c>
      <c r="K340" s="26" t="n">
        <f aca="false">IF(A340="","",MONTH(A340))</f>
        <v>3</v>
      </c>
      <c r="L340" s="26" t="n">
        <f aca="false">IF(B340="","",VALUE(LEFT(B340,2)))</f>
        <v>14</v>
      </c>
      <c r="M340" s="26" t="n">
        <f aca="false">IF(A340="","",IF(COUNTIFS($C$2:$C$5001,C340,$J$2:$J$5001,J340,$A$2:$A$5001,"&lt;"&amp;A340)=0,1,0))</f>
        <v>0</v>
      </c>
    </row>
    <row r="341" customFormat="false" ht="15" hidden="false" customHeight="false" outlineLevel="0" collapsed="false">
      <c r="A341" s="23" t="n">
        <v>45744.8715277778</v>
      </c>
      <c r="B341" s="24" t="s">
        <v>465</v>
      </c>
      <c r="C341" s="24" t="s">
        <v>235</v>
      </c>
      <c r="D341" s="24" t="s">
        <v>66</v>
      </c>
      <c r="E341" s="24" t="n">
        <v>96</v>
      </c>
      <c r="F341" s="25" t="n">
        <v>4000</v>
      </c>
      <c r="G341" s="24" t="s">
        <v>59</v>
      </c>
      <c r="H341" s="24" t="s">
        <v>55</v>
      </c>
      <c r="I341" s="24" t="s">
        <v>61</v>
      </c>
      <c r="J341" s="26" t="n">
        <f aca="false">IF(A341="","",YEAR(A341))</f>
        <v>2025</v>
      </c>
      <c r="K341" s="26" t="n">
        <f aca="false">IF(A341="","",MONTH(A341))</f>
        <v>3</v>
      </c>
      <c r="L341" s="26" t="n">
        <f aca="false">IF(B341="","",VALUE(LEFT(B341,2)))</f>
        <v>19</v>
      </c>
      <c r="M341" s="26" t="n">
        <f aca="false">IF(A341="","",IF(COUNTIFS($C$2:$C$5001,C341,$J$2:$J$5001,J341,$A$2:$A$5001,"&lt;"&amp;A341)=0,1,0))</f>
        <v>0</v>
      </c>
    </row>
    <row r="342" customFormat="false" ht="15" hidden="false" customHeight="false" outlineLevel="0" collapsed="false">
      <c r="A342" s="23" t="n">
        <v>45748.4604166667</v>
      </c>
      <c r="B342" s="24" t="s">
        <v>466</v>
      </c>
      <c r="C342" s="24" t="s">
        <v>164</v>
      </c>
      <c r="D342" s="24" t="s">
        <v>66</v>
      </c>
      <c r="E342" s="24" t="n">
        <v>109</v>
      </c>
      <c r="F342" s="25" t="n">
        <v>4000</v>
      </c>
      <c r="G342" s="24" t="s">
        <v>59</v>
      </c>
      <c r="H342" s="24" t="s">
        <v>80</v>
      </c>
      <c r="I342" s="24" t="s">
        <v>61</v>
      </c>
      <c r="J342" s="26" t="n">
        <f aca="false">IF(A342="","",YEAR(A342))</f>
        <v>2025</v>
      </c>
      <c r="K342" s="26" t="n">
        <f aca="false">IF(A342="","",MONTH(A342))</f>
        <v>4</v>
      </c>
      <c r="L342" s="26" t="n">
        <f aca="false">IF(B342="","",VALUE(LEFT(B342,2)))</f>
        <v>9</v>
      </c>
      <c r="M342" s="26" t="n">
        <f aca="false">IF(A342="","",IF(COUNTIFS($C$2:$C$5001,C342,$J$2:$J$5001,J342,$A$2:$A$5001,"&lt;"&amp;A342)=0,1,0))</f>
        <v>0</v>
      </c>
    </row>
    <row r="343" customFormat="false" ht="15" hidden="false" customHeight="false" outlineLevel="0" collapsed="false">
      <c r="A343" s="23" t="n">
        <v>45748.5076388889</v>
      </c>
      <c r="B343" s="24" t="s">
        <v>369</v>
      </c>
      <c r="C343" s="24" t="s">
        <v>467</v>
      </c>
      <c r="D343" s="24" t="s">
        <v>127</v>
      </c>
      <c r="E343" s="24" t="n">
        <v>213</v>
      </c>
      <c r="F343" s="25" t="n">
        <v>14000</v>
      </c>
      <c r="G343" s="24" t="s">
        <v>59</v>
      </c>
      <c r="H343" s="24" t="s">
        <v>55</v>
      </c>
      <c r="I343" s="24" t="s">
        <v>61</v>
      </c>
      <c r="J343" s="26" t="n">
        <f aca="false">IF(A343="","",YEAR(A343))</f>
        <v>2025</v>
      </c>
      <c r="K343" s="26" t="n">
        <f aca="false">IF(A343="","",MONTH(A343))</f>
        <v>4</v>
      </c>
      <c r="L343" s="26" t="n">
        <f aca="false">IF(B343="","",VALUE(LEFT(B343,2)))</f>
        <v>8</v>
      </c>
      <c r="M343" s="26" t="n">
        <f aca="false">IF(A343="","",IF(COUNTIFS($C$2:$C$5001,C343,$J$2:$J$5001,J343,$A$2:$A$5001,"&lt;"&amp;A343)=0,1,0))</f>
        <v>1</v>
      </c>
    </row>
    <row r="344" customFormat="false" ht="15" hidden="false" customHeight="false" outlineLevel="0" collapsed="false">
      <c r="A344" s="23" t="n">
        <v>45748.5173611111</v>
      </c>
      <c r="B344" s="24" t="s">
        <v>468</v>
      </c>
      <c r="C344" s="24" t="s">
        <v>90</v>
      </c>
      <c r="D344" s="24" t="s">
        <v>66</v>
      </c>
      <c r="E344" s="24" t="n">
        <v>134</v>
      </c>
      <c r="F344" s="25" t="n">
        <v>0</v>
      </c>
      <c r="G344" s="24" t="s">
        <v>83</v>
      </c>
      <c r="H344" s="24" t="s">
        <v>55</v>
      </c>
      <c r="I344" s="24" t="s">
        <v>56</v>
      </c>
      <c r="J344" s="26" t="n">
        <f aca="false">IF(A344="","",YEAR(A344))</f>
        <v>2025</v>
      </c>
      <c r="K344" s="26" t="n">
        <f aca="false">IF(A344="","",MONTH(A344))</f>
        <v>4</v>
      </c>
      <c r="L344" s="26" t="n">
        <f aca="false">IF(B344="","",VALUE(LEFT(B344,2)))</f>
        <v>10</v>
      </c>
      <c r="M344" s="26" t="n">
        <f aca="false">IF(A344="","",IF(COUNTIFS($C$2:$C$5001,C344,$J$2:$J$5001,J344,$A$2:$A$5001,"&lt;"&amp;A344)=0,1,0))</f>
        <v>0</v>
      </c>
    </row>
    <row r="345" customFormat="false" ht="15" hidden="false" customHeight="false" outlineLevel="0" collapsed="false">
      <c r="A345" s="23" t="n">
        <v>45748.6069444444</v>
      </c>
      <c r="B345" s="24" t="s">
        <v>469</v>
      </c>
      <c r="C345" s="24" t="s">
        <v>461</v>
      </c>
      <c r="D345" s="24" t="s">
        <v>66</v>
      </c>
      <c r="E345" s="24" t="n">
        <v>417</v>
      </c>
      <c r="F345" s="25" t="n">
        <v>14000</v>
      </c>
      <c r="G345" s="24" t="s">
        <v>79</v>
      </c>
      <c r="H345" s="24" t="s">
        <v>60</v>
      </c>
      <c r="I345" s="24" t="s">
        <v>61</v>
      </c>
      <c r="J345" s="26" t="n">
        <f aca="false">IF(A345="","",YEAR(A345))</f>
        <v>2025</v>
      </c>
      <c r="K345" s="26" t="n">
        <f aca="false">IF(A345="","",MONTH(A345))</f>
        <v>4</v>
      </c>
      <c r="L345" s="26" t="n">
        <f aca="false">IF(B345="","",VALUE(LEFT(B345,2)))</f>
        <v>7</v>
      </c>
      <c r="M345" s="26" t="n">
        <f aca="false">IF(A345="","",IF(COUNTIFS($C$2:$C$5001,C345,$J$2:$J$5001,J345,$A$2:$A$5001,"&lt;"&amp;A345)=0,1,0))</f>
        <v>0</v>
      </c>
    </row>
    <row r="346" customFormat="false" ht="15" hidden="false" customHeight="false" outlineLevel="0" collapsed="false">
      <c r="A346" s="23" t="n">
        <v>45748.7027777778</v>
      </c>
      <c r="B346" s="24" t="s">
        <v>438</v>
      </c>
      <c r="C346" s="24" t="s">
        <v>470</v>
      </c>
      <c r="D346" s="24" t="s">
        <v>53</v>
      </c>
      <c r="E346" s="24" t="n">
        <v>260</v>
      </c>
      <c r="F346" s="25" t="n">
        <v>4500</v>
      </c>
      <c r="G346" s="24" t="s">
        <v>59</v>
      </c>
      <c r="H346" s="24" t="s">
        <v>80</v>
      </c>
      <c r="I346" s="24" t="s">
        <v>61</v>
      </c>
      <c r="J346" s="26" t="n">
        <f aca="false">IF(A346="","",YEAR(A346))</f>
        <v>2025</v>
      </c>
      <c r="K346" s="26" t="n">
        <f aca="false">IF(A346="","",MONTH(A346))</f>
        <v>4</v>
      </c>
      <c r="L346" s="26" t="n">
        <f aca="false">IF(B346="","",VALUE(LEFT(B346,2)))</f>
        <v>12</v>
      </c>
      <c r="M346" s="26" t="n">
        <f aca="false">IF(A346="","",IF(COUNTIFS($C$2:$C$5001,C346,$J$2:$J$5001,J346,$A$2:$A$5001,"&lt;"&amp;A346)=0,1,0))</f>
        <v>1</v>
      </c>
    </row>
    <row r="347" customFormat="false" ht="15" hidden="false" customHeight="false" outlineLevel="0" collapsed="false">
      <c r="A347" s="23" t="n">
        <v>45748.8118055556</v>
      </c>
      <c r="B347" s="24" t="s">
        <v>471</v>
      </c>
      <c r="C347" s="24" t="s">
        <v>160</v>
      </c>
      <c r="D347" s="24" t="s">
        <v>66</v>
      </c>
      <c r="E347" s="24" t="n">
        <v>218</v>
      </c>
      <c r="F347" s="25" t="n">
        <v>6800</v>
      </c>
      <c r="G347" s="24" t="s">
        <v>59</v>
      </c>
      <c r="H347" s="24" t="s">
        <v>60</v>
      </c>
      <c r="I347" s="24" t="s">
        <v>113</v>
      </c>
      <c r="J347" s="26" t="n">
        <f aca="false">IF(A347="","",YEAR(A347))</f>
        <v>2025</v>
      </c>
      <c r="K347" s="26" t="n">
        <f aca="false">IF(A347="","",MONTH(A347))</f>
        <v>4</v>
      </c>
      <c r="L347" s="26" t="n">
        <f aca="false">IF(B347="","",VALUE(LEFT(B347,2)))</f>
        <v>15</v>
      </c>
      <c r="M347" s="26" t="n">
        <f aca="false">IF(A347="","",IF(COUNTIFS($C$2:$C$5001,C347,$J$2:$J$5001,J347,$A$2:$A$5001,"&lt;"&amp;A347)=0,1,0))</f>
        <v>0</v>
      </c>
    </row>
    <row r="348" customFormat="false" ht="15" hidden="false" customHeight="false" outlineLevel="0" collapsed="false">
      <c r="A348" s="23" t="n">
        <v>45749.9923611111</v>
      </c>
      <c r="B348" s="24" t="s">
        <v>472</v>
      </c>
      <c r="C348" s="24" t="s">
        <v>126</v>
      </c>
      <c r="D348" s="24" t="s">
        <v>66</v>
      </c>
      <c r="E348" s="24" t="n">
        <v>314</v>
      </c>
      <c r="F348" s="25" t="n">
        <v>11000</v>
      </c>
      <c r="G348" s="24" t="s">
        <v>59</v>
      </c>
      <c r="H348" s="24" t="s">
        <v>60</v>
      </c>
      <c r="I348" s="24" t="s">
        <v>61</v>
      </c>
      <c r="J348" s="26" t="n">
        <f aca="false">IF(A348="","",YEAR(A348))</f>
        <v>2025</v>
      </c>
      <c r="K348" s="26" t="n">
        <f aca="false">IF(A348="","",MONTH(A348))</f>
        <v>4</v>
      </c>
      <c r="L348" s="26" t="n">
        <f aca="false">IF(B348="","",VALUE(LEFT(B348,2)))</f>
        <v>18</v>
      </c>
      <c r="M348" s="26" t="n">
        <f aca="false">IF(A348="","",IF(COUNTIFS($C$2:$C$5001,C348,$J$2:$J$5001,J348,$A$2:$A$5001,"&lt;"&amp;A348)=0,1,0))</f>
        <v>0</v>
      </c>
    </row>
    <row r="349" customFormat="false" ht="15" hidden="false" customHeight="false" outlineLevel="0" collapsed="false">
      <c r="A349" s="23" t="n">
        <v>45750.4201388889</v>
      </c>
      <c r="B349" s="24" t="s">
        <v>473</v>
      </c>
      <c r="C349" s="24" t="s">
        <v>136</v>
      </c>
      <c r="D349" s="24" t="s">
        <v>88</v>
      </c>
      <c r="E349" s="24" t="n">
        <v>194</v>
      </c>
      <c r="F349" s="25" t="n">
        <v>10500</v>
      </c>
      <c r="G349" s="24" t="s">
        <v>59</v>
      </c>
      <c r="H349" s="24" t="s">
        <v>55</v>
      </c>
      <c r="I349" s="24" t="s">
        <v>61</v>
      </c>
      <c r="J349" s="26" t="n">
        <f aca="false">IF(A349="","",YEAR(A349))</f>
        <v>2025</v>
      </c>
      <c r="K349" s="26" t="n">
        <f aca="false">IF(A349="","",MONTH(A349))</f>
        <v>4</v>
      </c>
      <c r="L349" s="26" t="n">
        <f aca="false">IF(B349="","",VALUE(LEFT(B349,2)))</f>
        <v>6</v>
      </c>
      <c r="M349" s="26" t="n">
        <f aca="false">IF(A349="","",IF(COUNTIFS($C$2:$C$5001,C349,$J$2:$J$5001,J349,$A$2:$A$5001,"&lt;"&amp;A349)=0,1,0))</f>
        <v>0</v>
      </c>
    </row>
    <row r="350" customFormat="false" ht="15" hidden="false" customHeight="false" outlineLevel="0" collapsed="false">
      <c r="A350" s="23" t="n">
        <v>45750.4972222222</v>
      </c>
      <c r="B350" s="24" t="s">
        <v>474</v>
      </c>
      <c r="C350" s="24" t="s">
        <v>393</v>
      </c>
      <c r="D350" s="24" t="s">
        <v>66</v>
      </c>
      <c r="E350" s="24" t="n">
        <v>53</v>
      </c>
      <c r="F350" s="25" t="n">
        <v>2000</v>
      </c>
      <c r="G350" s="24" t="s">
        <v>59</v>
      </c>
      <c r="H350" s="24" t="s">
        <v>55</v>
      </c>
      <c r="I350" s="24" t="s">
        <v>61</v>
      </c>
      <c r="J350" s="26" t="n">
        <f aca="false">IF(A350="","",YEAR(A350))</f>
        <v>2025</v>
      </c>
      <c r="K350" s="26" t="n">
        <f aca="false">IF(A350="","",MONTH(A350))</f>
        <v>4</v>
      </c>
      <c r="L350" s="26" t="n">
        <f aca="false">IF(B350="","",VALUE(LEFT(B350,2)))</f>
        <v>11</v>
      </c>
      <c r="M350" s="26" t="n">
        <f aca="false">IF(A350="","",IF(COUNTIFS($C$2:$C$5001,C350,$J$2:$J$5001,J350,$A$2:$A$5001,"&lt;"&amp;A350)=0,1,0))</f>
        <v>0</v>
      </c>
    </row>
    <row r="351" customFormat="false" ht="15" hidden="false" customHeight="false" outlineLevel="0" collapsed="false">
      <c r="A351" s="23" t="n">
        <v>45750.6034722222</v>
      </c>
      <c r="B351" s="24" t="s">
        <v>208</v>
      </c>
      <c r="C351" s="24" t="s">
        <v>475</v>
      </c>
      <c r="D351" s="24" t="s">
        <v>66</v>
      </c>
      <c r="E351" s="24" t="n">
        <v>260</v>
      </c>
      <c r="F351" s="25" t="n">
        <v>9000</v>
      </c>
      <c r="G351" s="24" t="s">
        <v>69</v>
      </c>
      <c r="H351" s="24" t="s">
        <v>60</v>
      </c>
      <c r="I351" s="24" t="s">
        <v>61</v>
      </c>
      <c r="J351" s="26" t="n">
        <f aca="false">IF(A351="","",YEAR(A351))</f>
        <v>2025</v>
      </c>
      <c r="K351" s="26" t="n">
        <f aca="false">IF(A351="","",MONTH(A351))</f>
        <v>4</v>
      </c>
      <c r="L351" s="26" t="n">
        <f aca="false">IF(B351="","",VALUE(LEFT(B351,2)))</f>
        <v>10</v>
      </c>
      <c r="M351" s="26" t="n">
        <f aca="false">IF(A351="","",IF(COUNTIFS($C$2:$C$5001,C351,$J$2:$J$5001,J351,$A$2:$A$5001,"&lt;"&amp;A351)=0,1,0))</f>
        <v>1</v>
      </c>
    </row>
    <row r="352" customFormat="false" ht="15" hidden="false" customHeight="false" outlineLevel="0" collapsed="false">
      <c r="A352" s="23" t="n">
        <v>45750.7298611111</v>
      </c>
      <c r="B352" s="24" t="s">
        <v>431</v>
      </c>
      <c r="C352" s="24" t="s">
        <v>105</v>
      </c>
      <c r="D352" s="24" t="s">
        <v>53</v>
      </c>
      <c r="E352" s="24" t="n">
        <v>311</v>
      </c>
      <c r="F352" s="25" t="n">
        <v>5500</v>
      </c>
      <c r="G352" s="24" t="s">
        <v>59</v>
      </c>
      <c r="H352" s="24" t="s">
        <v>80</v>
      </c>
      <c r="I352" s="24" t="s">
        <v>61</v>
      </c>
      <c r="J352" s="26" t="n">
        <f aca="false">IF(A352="","",YEAR(A352))</f>
        <v>2025</v>
      </c>
      <c r="K352" s="26" t="n">
        <f aca="false">IF(A352="","",MONTH(A352))</f>
        <v>4</v>
      </c>
      <c r="L352" s="26" t="n">
        <f aca="false">IF(B352="","",VALUE(LEFT(B352,2)))</f>
        <v>12</v>
      </c>
      <c r="M352" s="26" t="n">
        <f aca="false">IF(A352="","",IF(COUNTIFS($C$2:$C$5001,C352,$J$2:$J$5001,J352,$A$2:$A$5001,"&lt;"&amp;A352)=0,1,0))</f>
        <v>0</v>
      </c>
    </row>
    <row r="353" customFormat="false" ht="15" hidden="false" customHeight="false" outlineLevel="0" collapsed="false">
      <c r="A353" s="23" t="n">
        <v>45750.7854166667</v>
      </c>
      <c r="B353" s="24" t="s">
        <v>476</v>
      </c>
      <c r="C353" s="24" t="s">
        <v>312</v>
      </c>
      <c r="D353" s="24" t="s">
        <v>66</v>
      </c>
      <c r="E353" s="24" t="n">
        <v>38</v>
      </c>
      <c r="F353" s="25" t="n">
        <v>0</v>
      </c>
      <c r="G353" s="24" t="s">
        <v>69</v>
      </c>
      <c r="H353" s="24" t="s">
        <v>55</v>
      </c>
      <c r="I353" s="24" t="s">
        <v>56</v>
      </c>
      <c r="J353" s="26" t="n">
        <f aca="false">IF(A353="","",YEAR(A353))</f>
        <v>2025</v>
      </c>
      <c r="K353" s="26" t="n">
        <f aca="false">IF(A353="","",MONTH(A353))</f>
        <v>4</v>
      </c>
      <c r="L353" s="26" t="n">
        <f aca="false">IF(B353="","",VALUE(LEFT(B353,2)))</f>
        <v>18</v>
      </c>
      <c r="M353" s="26" t="n">
        <f aca="false">IF(A353="","",IF(COUNTIFS($C$2:$C$5001,C353,$J$2:$J$5001,J353,$A$2:$A$5001,"&lt;"&amp;A353)=0,1,0))</f>
        <v>0</v>
      </c>
    </row>
    <row r="354" customFormat="false" ht="15" hidden="false" customHeight="false" outlineLevel="0" collapsed="false">
      <c r="A354" s="23" t="n">
        <v>45750.7965277778</v>
      </c>
      <c r="B354" s="24" t="s">
        <v>99</v>
      </c>
      <c r="C354" s="24" t="s">
        <v>243</v>
      </c>
      <c r="D354" s="24" t="s">
        <v>53</v>
      </c>
      <c r="E354" s="24" t="n">
        <v>127</v>
      </c>
      <c r="F354" s="25" t="n">
        <v>2500</v>
      </c>
      <c r="G354" s="24" t="s">
        <v>69</v>
      </c>
      <c r="H354" s="24" t="s">
        <v>80</v>
      </c>
      <c r="I354" s="24" t="s">
        <v>61</v>
      </c>
      <c r="J354" s="26" t="n">
        <f aca="false">IF(A354="","",YEAR(A354))</f>
        <v>2025</v>
      </c>
      <c r="K354" s="26" t="n">
        <f aca="false">IF(A354="","",MONTH(A354))</f>
        <v>4</v>
      </c>
      <c r="L354" s="26" t="n">
        <f aca="false">IF(B354="","",VALUE(LEFT(B354,2)))</f>
        <v>17</v>
      </c>
      <c r="M354" s="26" t="n">
        <f aca="false">IF(A354="","",IF(COUNTIFS($C$2:$C$5001,C354,$J$2:$J$5001,J354,$A$2:$A$5001,"&lt;"&amp;A354)=0,1,0))</f>
        <v>0</v>
      </c>
    </row>
    <row r="355" customFormat="false" ht="15" hidden="false" customHeight="false" outlineLevel="0" collapsed="false">
      <c r="A355" s="23" t="n">
        <v>45750.8055555556</v>
      </c>
      <c r="B355" s="24" t="s">
        <v>477</v>
      </c>
      <c r="C355" s="24" t="s">
        <v>271</v>
      </c>
      <c r="D355" s="24" t="s">
        <v>72</v>
      </c>
      <c r="E355" s="24" t="n">
        <v>216</v>
      </c>
      <c r="F355" s="25" t="n">
        <v>16000</v>
      </c>
      <c r="G355" s="24" t="s">
        <v>59</v>
      </c>
      <c r="H355" s="24" t="s">
        <v>55</v>
      </c>
      <c r="I355" s="24" t="s">
        <v>61</v>
      </c>
      <c r="J355" s="26" t="n">
        <f aca="false">IF(A355="","",YEAR(A355))</f>
        <v>2025</v>
      </c>
      <c r="K355" s="26" t="n">
        <f aca="false">IF(A355="","",MONTH(A355))</f>
        <v>4</v>
      </c>
      <c r="L355" s="26" t="n">
        <f aca="false">IF(B355="","",VALUE(LEFT(B355,2)))</f>
        <v>15</v>
      </c>
      <c r="M355" s="26" t="n">
        <f aca="false">IF(A355="","",IF(COUNTIFS($C$2:$C$5001,C355,$J$2:$J$5001,J355,$A$2:$A$5001,"&lt;"&amp;A355)=0,1,0))</f>
        <v>0</v>
      </c>
    </row>
    <row r="356" customFormat="false" ht="15" hidden="false" customHeight="false" outlineLevel="0" collapsed="false">
      <c r="A356" s="23" t="n">
        <v>45750.85625</v>
      </c>
      <c r="B356" s="24" t="s">
        <v>478</v>
      </c>
      <c r="C356" s="24" t="s">
        <v>314</v>
      </c>
      <c r="D356" s="24" t="s">
        <v>66</v>
      </c>
      <c r="E356" s="24" t="n">
        <v>46</v>
      </c>
      <c r="F356" s="25" t="n">
        <v>2000</v>
      </c>
      <c r="G356" s="24" t="s">
        <v>83</v>
      </c>
      <c r="H356" s="24" t="s">
        <v>60</v>
      </c>
      <c r="I356" s="24" t="s">
        <v>61</v>
      </c>
      <c r="J356" s="26" t="n">
        <f aca="false">IF(A356="","",YEAR(A356))</f>
        <v>2025</v>
      </c>
      <c r="K356" s="26" t="n">
        <f aca="false">IF(A356="","",MONTH(A356))</f>
        <v>4</v>
      </c>
      <c r="L356" s="26" t="n">
        <f aca="false">IF(B356="","",VALUE(LEFT(B356,2)))</f>
        <v>19</v>
      </c>
      <c r="M356" s="26" t="n">
        <f aca="false">IF(A356="","",IF(COUNTIFS($C$2:$C$5001,C356,$J$2:$J$5001,J356,$A$2:$A$5001,"&lt;"&amp;A356)=0,1,0))</f>
        <v>0</v>
      </c>
    </row>
    <row r="357" customFormat="false" ht="15" hidden="false" customHeight="false" outlineLevel="0" collapsed="false">
      <c r="A357" s="23" t="n">
        <v>45751.5902777778</v>
      </c>
      <c r="B357" s="24" t="s">
        <v>479</v>
      </c>
      <c r="C357" s="24" t="s">
        <v>76</v>
      </c>
      <c r="D357" s="24" t="s">
        <v>53</v>
      </c>
      <c r="E357" s="24" t="n">
        <v>199</v>
      </c>
      <c r="F357" s="25" t="n">
        <v>3500</v>
      </c>
      <c r="G357" s="24" t="s">
        <v>59</v>
      </c>
      <c r="H357" s="24" t="s">
        <v>80</v>
      </c>
      <c r="I357" s="24" t="s">
        <v>61</v>
      </c>
      <c r="J357" s="26" t="n">
        <f aca="false">IF(A357="","",YEAR(A357))</f>
        <v>2025</v>
      </c>
      <c r="K357" s="26" t="n">
        <f aca="false">IF(A357="","",MONTH(A357))</f>
        <v>4</v>
      </c>
      <c r="L357" s="26" t="n">
        <f aca="false">IF(B357="","",VALUE(LEFT(B357,2)))</f>
        <v>10</v>
      </c>
      <c r="M357" s="26" t="n">
        <f aca="false">IF(A357="","",IF(COUNTIFS($C$2:$C$5001,C357,$J$2:$J$5001,J357,$A$2:$A$5001,"&lt;"&amp;A357)=0,1,0))</f>
        <v>0</v>
      </c>
    </row>
    <row r="358" customFormat="false" ht="15" hidden="false" customHeight="false" outlineLevel="0" collapsed="false">
      <c r="A358" s="23" t="n">
        <v>45751.7715277778</v>
      </c>
      <c r="B358" s="24" t="s">
        <v>480</v>
      </c>
      <c r="C358" s="24" t="s">
        <v>92</v>
      </c>
      <c r="D358" s="24" t="s">
        <v>53</v>
      </c>
      <c r="E358" s="24" t="n">
        <v>401</v>
      </c>
      <c r="F358" s="25" t="n">
        <v>7000</v>
      </c>
      <c r="G358" s="24" t="s">
        <v>59</v>
      </c>
      <c r="H358" s="24" t="s">
        <v>55</v>
      </c>
      <c r="I358" s="24" t="s">
        <v>61</v>
      </c>
      <c r="J358" s="26" t="n">
        <f aca="false">IF(A358="","",YEAR(A358))</f>
        <v>2025</v>
      </c>
      <c r="K358" s="26" t="n">
        <f aca="false">IF(A358="","",MONTH(A358))</f>
        <v>4</v>
      </c>
      <c r="L358" s="26" t="n">
        <f aca="false">IF(B358="","",VALUE(LEFT(B358,2)))</f>
        <v>11</v>
      </c>
      <c r="M358" s="26" t="n">
        <f aca="false">IF(A358="","",IF(COUNTIFS($C$2:$C$5001,C358,$J$2:$J$5001,J358,$A$2:$A$5001,"&lt;"&amp;A358)=0,1,0))</f>
        <v>0</v>
      </c>
    </row>
    <row r="359" customFormat="false" ht="15" hidden="false" customHeight="false" outlineLevel="0" collapsed="false">
      <c r="A359" s="23" t="n">
        <v>45752.56875</v>
      </c>
      <c r="B359" s="24" t="s">
        <v>400</v>
      </c>
      <c r="C359" s="24" t="s">
        <v>116</v>
      </c>
      <c r="D359" s="24" t="s">
        <v>53</v>
      </c>
      <c r="E359" s="24" t="n">
        <v>370</v>
      </c>
      <c r="F359" s="25" t="n">
        <v>6500</v>
      </c>
      <c r="G359" s="24" t="s">
        <v>69</v>
      </c>
      <c r="H359" s="24" t="s">
        <v>60</v>
      </c>
      <c r="I359" s="24" t="s">
        <v>61</v>
      </c>
      <c r="J359" s="26" t="n">
        <f aca="false">IF(A359="","",YEAR(A359))</f>
        <v>2025</v>
      </c>
      <c r="K359" s="26" t="n">
        <f aca="false">IF(A359="","",MONTH(A359))</f>
        <v>4</v>
      </c>
      <c r="L359" s="26" t="n">
        <f aca="false">IF(B359="","",VALUE(LEFT(B359,2)))</f>
        <v>7</v>
      </c>
      <c r="M359" s="26" t="n">
        <f aca="false">IF(A359="","",IF(COUNTIFS($C$2:$C$5001,C359,$J$2:$J$5001,J359,$A$2:$A$5001,"&lt;"&amp;A359)=0,1,0))</f>
        <v>0</v>
      </c>
    </row>
    <row r="360" customFormat="false" ht="15" hidden="false" customHeight="false" outlineLevel="0" collapsed="false">
      <c r="A360" s="23" t="n">
        <v>45752.7166666667</v>
      </c>
      <c r="B360" s="24" t="s">
        <v>481</v>
      </c>
      <c r="C360" s="24" t="s">
        <v>482</v>
      </c>
      <c r="D360" s="24" t="s">
        <v>66</v>
      </c>
      <c r="E360" s="24" t="n">
        <v>382</v>
      </c>
      <c r="F360" s="25" t="n">
        <v>13000</v>
      </c>
      <c r="G360" s="24" t="s">
        <v>59</v>
      </c>
      <c r="H360" s="24" t="s">
        <v>55</v>
      </c>
      <c r="I360" s="24" t="s">
        <v>61</v>
      </c>
      <c r="J360" s="26" t="n">
        <f aca="false">IF(A360="","",YEAR(A360))</f>
        <v>2025</v>
      </c>
      <c r="K360" s="26" t="n">
        <f aca="false">IF(A360="","",MONTH(A360))</f>
        <v>4</v>
      </c>
      <c r="L360" s="26" t="n">
        <f aca="false">IF(B360="","",VALUE(LEFT(B360,2)))</f>
        <v>10</v>
      </c>
      <c r="M360" s="26" t="n">
        <f aca="false">IF(A360="","",IF(COUNTIFS($C$2:$C$5001,C360,$J$2:$J$5001,J360,$A$2:$A$5001,"&lt;"&amp;A360)=0,1,0))</f>
        <v>1</v>
      </c>
    </row>
    <row r="361" customFormat="false" ht="15" hidden="false" customHeight="false" outlineLevel="0" collapsed="false">
      <c r="A361" s="23" t="n">
        <v>45752.7493055556</v>
      </c>
      <c r="B361" s="24" t="s">
        <v>313</v>
      </c>
      <c r="C361" s="24" t="s">
        <v>467</v>
      </c>
      <c r="D361" s="24" t="s">
        <v>53</v>
      </c>
      <c r="E361" s="24" t="n">
        <v>396</v>
      </c>
      <c r="F361" s="25" t="n">
        <v>7000</v>
      </c>
      <c r="G361" s="24" t="s">
        <v>59</v>
      </c>
      <c r="H361" s="24" t="s">
        <v>80</v>
      </c>
      <c r="I361" s="24" t="s">
        <v>61</v>
      </c>
      <c r="J361" s="26" t="n">
        <f aca="false">IF(A361="","",YEAR(A361))</f>
        <v>2025</v>
      </c>
      <c r="K361" s="26" t="n">
        <f aca="false">IF(A361="","",MONTH(A361))</f>
        <v>4</v>
      </c>
      <c r="L361" s="26" t="n">
        <f aca="false">IF(B361="","",VALUE(LEFT(B361,2)))</f>
        <v>11</v>
      </c>
      <c r="M361" s="26" t="n">
        <f aca="false">IF(A361="","",IF(COUNTIFS($C$2:$C$5001,C361,$J$2:$J$5001,J361,$A$2:$A$5001,"&lt;"&amp;A361)=0,1,0))</f>
        <v>0</v>
      </c>
    </row>
    <row r="362" customFormat="false" ht="15" hidden="false" customHeight="false" outlineLevel="0" collapsed="false">
      <c r="A362" s="23" t="n">
        <v>45752.7895833333</v>
      </c>
      <c r="B362" s="24" t="s">
        <v>483</v>
      </c>
      <c r="C362" s="24" t="s">
        <v>484</v>
      </c>
      <c r="D362" s="24" t="s">
        <v>66</v>
      </c>
      <c r="E362" s="24" t="n">
        <v>276</v>
      </c>
      <c r="F362" s="25" t="n">
        <v>10000</v>
      </c>
      <c r="G362" s="24" t="s">
        <v>79</v>
      </c>
      <c r="H362" s="24" t="s">
        <v>80</v>
      </c>
      <c r="I362" s="24" t="s">
        <v>61</v>
      </c>
      <c r="J362" s="26" t="n">
        <f aca="false">IF(A362="","",YEAR(A362))</f>
        <v>2025</v>
      </c>
      <c r="K362" s="26" t="n">
        <f aca="false">IF(A362="","",MONTH(A362))</f>
        <v>4</v>
      </c>
      <c r="L362" s="26" t="n">
        <f aca="false">IF(B362="","",VALUE(LEFT(B362,2)))</f>
        <v>14</v>
      </c>
      <c r="M362" s="26" t="n">
        <f aca="false">IF(A362="","",IF(COUNTIFS($C$2:$C$5001,C362,$J$2:$J$5001,J362,$A$2:$A$5001,"&lt;"&amp;A362)=0,1,0))</f>
        <v>1</v>
      </c>
    </row>
    <row r="363" customFormat="false" ht="15" hidden="false" customHeight="false" outlineLevel="0" collapsed="false">
      <c r="A363" s="23" t="n">
        <v>45753.1</v>
      </c>
      <c r="B363" s="24" t="s">
        <v>419</v>
      </c>
      <c r="C363" s="24" t="s">
        <v>68</v>
      </c>
      <c r="D363" s="24" t="s">
        <v>66</v>
      </c>
      <c r="E363" s="24" t="n">
        <v>378</v>
      </c>
      <c r="F363" s="25" t="n">
        <v>13000</v>
      </c>
      <c r="G363" s="24" t="s">
        <v>59</v>
      </c>
      <c r="H363" s="24" t="s">
        <v>80</v>
      </c>
      <c r="I363" s="24" t="s">
        <v>61</v>
      </c>
      <c r="J363" s="26" t="n">
        <f aca="false">IF(A363="","",YEAR(A363))</f>
        <v>2025</v>
      </c>
      <c r="K363" s="26" t="n">
        <f aca="false">IF(A363="","",MONTH(A363))</f>
        <v>4</v>
      </c>
      <c r="L363" s="26" t="n">
        <f aca="false">IF(B363="","",VALUE(LEFT(B363,2)))</f>
        <v>20</v>
      </c>
      <c r="M363" s="26" t="n">
        <f aca="false">IF(A363="","",IF(COUNTIFS($C$2:$C$5001,C363,$J$2:$J$5001,J363,$A$2:$A$5001,"&lt;"&amp;A363)=0,1,0))</f>
        <v>0</v>
      </c>
    </row>
    <row r="364" customFormat="false" ht="15" hidden="false" customHeight="false" outlineLevel="0" collapsed="false">
      <c r="A364" s="23" t="n">
        <v>45753.4798611111</v>
      </c>
      <c r="B364" s="24" t="s">
        <v>485</v>
      </c>
      <c r="C364" s="24" t="s">
        <v>52</v>
      </c>
      <c r="D364" s="24" t="s">
        <v>53</v>
      </c>
      <c r="E364" s="24" t="n">
        <v>257</v>
      </c>
      <c r="F364" s="25" t="n">
        <v>3825</v>
      </c>
      <c r="G364" s="24" t="s">
        <v>59</v>
      </c>
      <c r="H364" s="24" t="s">
        <v>55</v>
      </c>
      <c r="I364" s="24" t="s">
        <v>113</v>
      </c>
      <c r="J364" s="26" t="n">
        <f aca="false">IF(A364="","",YEAR(A364))</f>
        <v>2025</v>
      </c>
      <c r="K364" s="26" t="n">
        <f aca="false">IF(A364="","",MONTH(A364))</f>
        <v>4</v>
      </c>
      <c r="L364" s="26" t="n">
        <f aca="false">IF(B364="","",VALUE(LEFT(B364,2)))</f>
        <v>7</v>
      </c>
      <c r="M364" s="26" t="n">
        <f aca="false">IF(A364="","",IF(COUNTIFS($C$2:$C$5001,C364,$J$2:$J$5001,J364,$A$2:$A$5001,"&lt;"&amp;A364)=0,1,0))</f>
        <v>0</v>
      </c>
    </row>
    <row r="365" customFormat="false" ht="15" hidden="false" customHeight="false" outlineLevel="0" collapsed="false">
      <c r="A365" s="23" t="n">
        <v>45753.4819444444</v>
      </c>
      <c r="B365" s="24" t="s">
        <v>173</v>
      </c>
      <c r="C365" s="24" t="s">
        <v>486</v>
      </c>
      <c r="D365" s="24" t="s">
        <v>53</v>
      </c>
      <c r="E365" s="24" t="n">
        <v>97</v>
      </c>
      <c r="F365" s="25" t="n">
        <v>2000</v>
      </c>
      <c r="G365" s="24" t="s">
        <v>59</v>
      </c>
      <c r="H365" s="24" t="s">
        <v>55</v>
      </c>
      <c r="I365" s="24" t="s">
        <v>61</v>
      </c>
      <c r="J365" s="26" t="n">
        <f aca="false">IF(A365="","",YEAR(A365))</f>
        <v>2025</v>
      </c>
      <c r="K365" s="26" t="n">
        <f aca="false">IF(A365="","",MONTH(A365))</f>
        <v>4</v>
      </c>
      <c r="L365" s="26" t="n">
        <f aca="false">IF(B365="","",VALUE(LEFT(B365,2)))</f>
        <v>9</v>
      </c>
      <c r="M365" s="26" t="n">
        <f aca="false">IF(A365="","",IF(COUNTIFS($C$2:$C$5001,C365,$J$2:$J$5001,J365,$A$2:$A$5001,"&lt;"&amp;A365)=0,1,0))</f>
        <v>1</v>
      </c>
    </row>
    <row r="366" customFormat="false" ht="15" hidden="false" customHeight="false" outlineLevel="0" collapsed="false">
      <c r="A366" s="23" t="n">
        <v>45753.625</v>
      </c>
      <c r="B366" s="24" t="s">
        <v>190</v>
      </c>
      <c r="C366" s="24" t="s">
        <v>224</v>
      </c>
      <c r="D366" s="24" t="s">
        <v>66</v>
      </c>
      <c r="E366" s="24" t="n">
        <v>397</v>
      </c>
      <c r="F366" s="25" t="n">
        <v>14000</v>
      </c>
      <c r="G366" s="24" t="s">
        <v>79</v>
      </c>
      <c r="H366" s="24" t="s">
        <v>80</v>
      </c>
      <c r="I366" s="24" t="s">
        <v>61</v>
      </c>
      <c r="J366" s="26" t="n">
        <f aca="false">IF(A366="","",YEAR(A366))</f>
        <v>2025</v>
      </c>
      <c r="K366" s="26" t="n">
        <f aca="false">IF(A366="","",MONTH(A366))</f>
        <v>4</v>
      </c>
      <c r="L366" s="26" t="n">
        <f aca="false">IF(B366="","",VALUE(LEFT(B366,2)))</f>
        <v>8</v>
      </c>
      <c r="M366" s="26" t="n">
        <f aca="false">IF(A366="","",IF(COUNTIFS($C$2:$C$5001,C366,$J$2:$J$5001,J366,$A$2:$A$5001,"&lt;"&amp;A366)=0,1,0))</f>
        <v>0</v>
      </c>
    </row>
    <row r="367" customFormat="false" ht="15" hidden="false" customHeight="false" outlineLevel="0" collapsed="false">
      <c r="A367" s="23" t="n">
        <v>45753.6777777778</v>
      </c>
      <c r="B367" s="24" t="s">
        <v>487</v>
      </c>
      <c r="C367" s="24" t="s">
        <v>63</v>
      </c>
      <c r="D367" s="24" t="s">
        <v>66</v>
      </c>
      <c r="E367" s="24" t="n">
        <v>154</v>
      </c>
      <c r="F367" s="25" t="n">
        <v>6000</v>
      </c>
      <c r="G367" s="24" t="s">
        <v>59</v>
      </c>
      <c r="H367" s="24" t="s">
        <v>55</v>
      </c>
      <c r="I367" s="24" t="s">
        <v>61</v>
      </c>
      <c r="J367" s="26" t="n">
        <f aca="false">IF(A367="","",YEAR(A367))</f>
        <v>2025</v>
      </c>
      <c r="K367" s="26" t="n">
        <f aca="false">IF(A367="","",MONTH(A367))</f>
        <v>4</v>
      </c>
      <c r="L367" s="26" t="n">
        <f aca="false">IF(B367="","",VALUE(LEFT(B367,2)))</f>
        <v>13</v>
      </c>
      <c r="M367" s="26" t="n">
        <f aca="false">IF(A367="","",IF(COUNTIFS($C$2:$C$5001,C367,$J$2:$J$5001,J367,$A$2:$A$5001,"&lt;"&amp;A367)=0,1,0))</f>
        <v>0</v>
      </c>
    </row>
    <row r="368" customFormat="false" ht="15" hidden="false" customHeight="false" outlineLevel="0" collapsed="false">
      <c r="A368" s="23" t="n">
        <v>45753.8291666667</v>
      </c>
      <c r="B368" s="24" t="s">
        <v>488</v>
      </c>
      <c r="C368" s="24" t="s">
        <v>463</v>
      </c>
      <c r="D368" s="24" t="s">
        <v>88</v>
      </c>
      <c r="E368" s="24" t="n">
        <v>68</v>
      </c>
      <c r="F368" s="25" t="n">
        <v>4500</v>
      </c>
      <c r="G368" s="24" t="s">
        <v>59</v>
      </c>
      <c r="H368" s="24" t="s">
        <v>80</v>
      </c>
      <c r="I368" s="24" t="s">
        <v>61</v>
      </c>
      <c r="J368" s="26" t="n">
        <f aca="false">IF(A368="","",YEAR(A368))</f>
        <v>2025</v>
      </c>
      <c r="K368" s="26" t="n">
        <f aca="false">IF(A368="","",MONTH(A368))</f>
        <v>4</v>
      </c>
      <c r="L368" s="26" t="n">
        <f aca="false">IF(B368="","",VALUE(LEFT(B368,2)))</f>
        <v>18</v>
      </c>
      <c r="M368" s="26" t="n">
        <f aca="false">IF(A368="","",IF(COUNTIFS($C$2:$C$5001,C368,$J$2:$J$5001,J368,$A$2:$A$5001,"&lt;"&amp;A368)=0,1,0))</f>
        <v>0</v>
      </c>
    </row>
    <row r="369" customFormat="false" ht="15" hidden="false" customHeight="false" outlineLevel="0" collapsed="false">
      <c r="A369" s="23" t="n">
        <v>45754.33125</v>
      </c>
      <c r="B369" s="24" t="s">
        <v>489</v>
      </c>
      <c r="C369" s="24" t="s">
        <v>220</v>
      </c>
      <c r="D369" s="24" t="s">
        <v>53</v>
      </c>
      <c r="E369" s="24" t="n">
        <v>32</v>
      </c>
      <c r="F369" s="25" t="n">
        <v>1000</v>
      </c>
      <c r="G369" s="24" t="s">
        <v>59</v>
      </c>
      <c r="H369" s="24" t="s">
        <v>60</v>
      </c>
      <c r="I369" s="24" t="s">
        <v>61</v>
      </c>
      <c r="J369" s="26" t="n">
        <f aca="false">IF(A369="","",YEAR(A369))</f>
        <v>2025</v>
      </c>
      <c r="K369" s="26" t="n">
        <f aca="false">IF(A369="","",MONTH(A369))</f>
        <v>4</v>
      </c>
      <c r="L369" s="26" t="n">
        <f aca="false">IF(B369="","",VALUE(LEFT(B369,2)))</f>
        <v>7</v>
      </c>
      <c r="M369" s="26" t="n">
        <f aca="false">IF(A369="","",IF(COUNTIFS($C$2:$C$5001,C369,$J$2:$J$5001,J369,$A$2:$A$5001,"&lt;"&amp;A369)=0,1,0))</f>
        <v>0</v>
      </c>
    </row>
    <row r="370" customFormat="false" ht="15" hidden="false" customHeight="false" outlineLevel="0" collapsed="false">
      <c r="A370" s="23" t="n">
        <v>45754.6284722222</v>
      </c>
      <c r="B370" s="24" t="s">
        <v>490</v>
      </c>
      <c r="C370" s="24" t="s">
        <v>491</v>
      </c>
      <c r="D370" s="24" t="s">
        <v>53</v>
      </c>
      <c r="E370" s="24" t="n">
        <v>128</v>
      </c>
      <c r="F370" s="25" t="n">
        <v>2500</v>
      </c>
      <c r="G370" s="24" t="s">
        <v>69</v>
      </c>
      <c r="H370" s="24" t="s">
        <v>60</v>
      </c>
      <c r="I370" s="24" t="s">
        <v>61</v>
      </c>
      <c r="J370" s="26" t="n">
        <f aca="false">IF(A370="","",YEAR(A370))</f>
        <v>2025</v>
      </c>
      <c r="K370" s="26" t="n">
        <f aca="false">IF(A370="","",MONTH(A370))</f>
        <v>4</v>
      </c>
      <c r="L370" s="26" t="n">
        <f aca="false">IF(B370="","",VALUE(LEFT(B370,2)))</f>
        <v>12</v>
      </c>
      <c r="M370" s="26" t="n">
        <f aca="false">IF(A370="","",IF(COUNTIFS($C$2:$C$5001,C370,$J$2:$J$5001,J370,$A$2:$A$5001,"&lt;"&amp;A370)=0,1,0))</f>
        <v>1</v>
      </c>
    </row>
    <row r="371" customFormat="false" ht="15" hidden="false" customHeight="false" outlineLevel="0" collapsed="false">
      <c r="A371" s="23" t="n">
        <v>45754.8590277778</v>
      </c>
      <c r="B371" s="24" t="s">
        <v>492</v>
      </c>
      <c r="C371" s="24" t="s">
        <v>116</v>
      </c>
      <c r="D371" s="24" t="s">
        <v>88</v>
      </c>
      <c r="E371" s="24" t="n">
        <v>118</v>
      </c>
      <c r="F371" s="25" t="n">
        <v>6000</v>
      </c>
      <c r="G371" s="24" t="s">
        <v>54</v>
      </c>
      <c r="H371" s="24" t="s">
        <v>80</v>
      </c>
      <c r="I371" s="24" t="s">
        <v>61</v>
      </c>
      <c r="J371" s="26" t="n">
        <f aca="false">IF(A371="","",YEAR(A371))</f>
        <v>2025</v>
      </c>
      <c r="K371" s="26" t="n">
        <f aca="false">IF(A371="","",MONTH(A371))</f>
        <v>4</v>
      </c>
      <c r="L371" s="26" t="n">
        <f aca="false">IF(B371="","",VALUE(LEFT(B371,2)))</f>
        <v>18</v>
      </c>
      <c r="M371" s="26" t="n">
        <f aca="false">IF(A371="","",IF(COUNTIFS($C$2:$C$5001,C371,$J$2:$J$5001,J371,$A$2:$A$5001,"&lt;"&amp;A371)=0,1,0))</f>
        <v>0</v>
      </c>
    </row>
    <row r="372" customFormat="false" ht="15" hidden="false" customHeight="false" outlineLevel="0" collapsed="false">
      <c r="A372" s="23" t="n">
        <v>45755.3513888889</v>
      </c>
      <c r="B372" s="24" t="s">
        <v>161</v>
      </c>
      <c r="C372" s="24" t="s">
        <v>231</v>
      </c>
      <c r="D372" s="24" t="s">
        <v>66</v>
      </c>
      <c r="E372" s="24" t="n">
        <v>80</v>
      </c>
      <c r="F372" s="25" t="n">
        <v>3000</v>
      </c>
      <c r="G372" s="24" t="s">
        <v>59</v>
      </c>
      <c r="H372" s="24" t="s">
        <v>55</v>
      </c>
      <c r="I372" s="24" t="s">
        <v>61</v>
      </c>
      <c r="J372" s="26" t="n">
        <f aca="false">IF(A372="","",YEAR(A372))</f>
        <v>2025</v>
      </c>
      <c r="K372" s="26" t="n">
        <f aca="false">IF(A372="","",MONTH(A372))</f>
        <v>4</v>
      </c>
      <c r="L372" s="26" t="n">
        <f aca="false">IF(B372="","",VALUE(LEFT(B372,2)))</f>
        <v>7</v>
      </c>
      <c r="M372" s="26" t="n">
        <f aca="false">IF(A372="","",IF(COUNTIFS($C$2:$C$5001,C372,$J$2:$J$5001,J372,$A$2:$A$5001,"&lt;"&amp;A372)=0,1,0))</f>
        <v>0</v>
      </c>
    </row>
    <row r="373" customFormat="false" ht="15" hidden="false" customHeight="false" outlineLevel="0" collapsed="false">
      <c r="A373" s="23" t="n">
        <v>45755.4180555556</v>
      </c>
      <c r="B373" s="24" t="s">
        <v>493</v>
      </c>
      <c r="C373" s="24" t="s">
        <v>188</v>
      </c>
      <c r="D373" s="24" t="s">
        <v>66</v>
      </c>
      <c r="E373" s="24" t="n">
        <v>155</v>
      </c>
      <c r="F373" s="25" t="n">
        <v>0</v>
      </c>
      <c r="G373" s="24" t="s">
        <v>83</v>
      </c>
      <c r="H373" s="24" t="s">
        <v>55</v>
      </c>
      <c r="I373" s="24" t="s">
        <v>56</v>
      </c>
      <c r="J373" s="26" t="n">
        <f aca="false">IF(A373="","",YEAR(A373))</f>
        <v>2025</v>
      </c>
      <c r="K373" s="26" t="n">
        <f aca="false">IF(A373="","",MONTH(A373))</f>
        <v>4</v>
      </c>
      <c r="L373" s="26" t="n">
        <f aca="false">IF(B373="","",VALUE(LEFT(B373,2)))</f>
        <v>7</v>
      </c>
      <c r="M373" s="26" t="n">
        <f aca="false">IF(A373="","",IF(COUNTIFS($C$2:$C$5001,C373,$J$2:$J$5001,J373,$A$2:$A$5001,"&lt;"&amp;A373)=0,1,0))</f>
        <v>0</v>
      </c>
    </row>
    <row r="374" customFormat="false" ht="15" hidden="false" customHeight="false" outlineLevel="0" collapsed="false">
      <c r="A374" s="23" t="n">
        <v>45755.4861111111</v>
      </c>
      <c r="B374" s="24" t="s">
        <v>494</v>
      </c>
      <c r="C374" s="24" t="s">
        <v>324</v>
      </c>
      <c r="D374" s="24" t="s">
        <v>53</v>
      </c>
      <c r="E374" s="24" t="n">
        <v>331</v>
      </c>
      <c r="F374" s="25" t="n">
        <v>6000</v>
      </c>
      <c r="G374" s="24" t="s">
        <v>69</v>
      </c>
      <c r="H374" s="24" t="s">
        <v>80</v>
      </c>
      <c r="I374" s="24" t="s">
        <v>61</v>
      </c>
      <c r="J374" s="26" t="n">
        <f aca="false">IF(A374="","",YEAR(A374))</f>
        <v>2025</v>
      </c>
      <c r="K374" s="26" t="n">
        <f aca="false">IF(A374="","",MONTH(A374))</f>
        <v>4</v>
      </c>
      <c r="L374" s="26" t="n">
        <f aca="false">IF(B374="","",VALUE(LEFT(B374,2)))</f>
        <v>6</v>
      </c>
      <c r="M374" s="26" t="n">
        <f aca="false">IF(A374="","",IF(COUNTIFS($C$2:$C$5001,C374,$J$2:$J$5001,J374,$A$2:$A$5001,"&lt;"&amp;A374)=0,1,0))</f>
        <v>0</v>
      </c>
    </row>
    <row r="375" customFormat="false" ht="15" hidden="false" customHeight="false" outlineLevel="0" collapsed="false">
      <c r="A375" s="23" t="n">
        <v>45755.4972222222</v>
      </c>
      <c r="B375" s="24" t="s">
        <v>495</v>
      </c>
      <c r="C375" s="24" t="s">
        <v>213</v>
      </c>
      <c r="D375" s="24" t="s">
        <v>88</v>
      </c>
      <c r="E375" s="24" t="n">
        <v>102</v>
      </c>
      <c r="F375" s="25" t="n">
        <v>6000</v>
      </c>
      <c r="G375" s="24" t="s">
        <v>59</v>
      </c>
      <c r="H375" s="24" t="s">
        <v>80</v>
      </c>
      <c r="I375" s="24" t="s">
        <v>61</v>
      </c>
      <c r="J375" s="26" t="n">
        <f aca="false">IF(A375="","",YEAR(A375))</f>
        <v>2025</v>
      </c>
      <c r="K375" s="26" t="n">
        <f aca="false">IF(A375="","",MONTH(A375))</f>
        <v>4</v>
      </c>
      <c r="L375" s="26" t="n">
        <f aca="false">IF(B375="","",VALUE(LEFT(B375,2)))</f>
        <v>10</v>
      </c>
      <c r="M375" s="26" t="n">
        <f aca="false">IF(A375="","",IF(COUNTIFS($C$2:$C$5001,C375,$J$2:$J$5001,J375,$A$2:$A$5001,"&lt;"&amp;A375)=0,1,0))</f>
        <v>0</v>
      </c>
    </row>
    <row r="376" customFormat="false" ht="15" hidden="false" customHeight="false" outlineLevel="0" collapsed="false">
      <c r="A376" s="23" t="n">
        <v>45755.6881944445</v>
      </c>
      <c r="B376" s="24" t="s">
        <v>496</v>
      </c>
      <c r="C376" s="24" t="s">
        <v>224</v>
      </c>
      <c r="D376" s="24" t="s">
        <v>66</v>
      </c>
      <c r="E376" s="24" t="n">
        <v>100</v>
      </c>
      <c r="F376" s="25" t="n">
        <v>4000</v>
      </c>
      <c r="G376" s="24" t="s">
        <v>59</v>
      </c>
      <c r="H376" s="24" t="s">
        <v>80</v>
      </c>
      <c r="I376" s="24" t="s">
        <v>61</v>
      </c>
      <c r="J376" s="26" t="n">
        <f aca="false">IF(A376="","",YEAR(A376))</f>
        <v>2025</v>
      </c>
      <c r="K376" s="26" t="n">
        <f aca="false">IF(A376="","",MONTH(A376))</f>
        <v>4</v>
      </c>
      <c r="L376" s="26" t="n">
        <f aca="false">IF(B376="","",VALUE(LEFT(B376,2)))</f>
        <v>14</v>
      </c>
      <c r="M376" s="26" t="n">
        <f aca="false">IF(A376="","",IF(COUNTIFS($C$2:$C$5001,C376,$J$2:$J$5001,J376,$A$2:$A$5001,"&lt;"&amp;A376)=0,1,0))</f>
        <v>0</v>
      </c>
    </row>
    <row r="377" customFormat="false" ht="15" hidden="false" customHeight="false" outlineLevel="0" collapsed="false">
      <c r="A377" s="23" t="n">
        <v>45755.7631944444</v>
      </c>
      <c r="B377" s="24" t="s">
        <v>497</v>
      </c>
      <c r="C377" s="24" t="s">
        <v>179</v>
      </c>
      <c r="D377" s="24" t="s">
        <v>66</v>
      </c>
      <c r="E377" s="24" t="n">
        <v>51</v>
      </c>
      <c r="F377" s="25" t="n">
        <v>2000</v>
      </c>
      <c r="G377" s="24" t="s">
        <v>59</v>
      </c>
      <c r="H377" s="24" t="s">
        <v>60</v>
      </c>
      <c r="I377" s="24" t="s">
        <v>61</v>
      </c>
      <c r="J377" s="26" t="n">
        <f aca="false">IF(A377="","",YEAR(A377))</f>
        <v>2025</v>
      </c>
      <c r="K377" s="26" t="n">
        <f aca="false">IF(A377="","",MONTH(A377))</f>
        <v>4</v>
      </c>
      <c r="L377" s="26" t="n">
        <f aca="false">IF(B377="","",VALUE(LEFT(B377,2)))</f>
        <v>17</v>
      </c>
      <c r="M377" s="26" t="n">
        <f aca="false">IF(A377="","",IF(COUNTIFS($C$2:$C$5001,C377,$J$2:$J$5001,J377,$A$2:$A$5001,"&lt;"&amp;A377)=0,1,0))</f>
        <v>0</v>
      </c>
    </row>
    <row r="378" customFormat="false" ht="15" hidden="false" customHeight="false" outlineLevel="0" collapsed="false">
      <c r="A378" s="23" t="n">
        <v>45756.5388888889</v>
      </c>
      <c r="B378" s="24" t="s">
        <v>498</v>
      </c>
      <c r="C378" s="24" t="s">
        <v>347</v>
      </c>
      <c r="D378" s="24" t="s">
        <v>66</v>
      </c>
      <c r="E378" s="24" t="n">
        <v>81</v>
      </c>
      <c r="F378" s="25" t="n">
        <v>3000</v>
      </c>
      <c r="G378" s="24" t="s">
        <v>59</v>
      </c>
      <c r="H378" s="24" t="s">
        <v>60</v>
      </c>
      <c r="I378" s="24" t="s">
        <v>61</v>
      </c>
      <c r="J378" s="26" t="n">
        <f aca="false">IF(A378="","",YEAR(A378))</f>
        <v>2025</v>
      </c>
      <c r="K378" s="26" t="n">
        <f aca="false">IF(A378="","",MONTH(A378))</f>
        <v>4</v>
      </c>
      <c r="L378" s="26" t="n">
        <f aca="false">IF(B378="","",VALUE(LEFT(B378,2)))</f>
        <v>11</v>
      </c>
      <c r="M378" s="26" t="n">
        <f aca="false">IF(A378="","",IF(COUNTIFS($C$2:$C$5001,C378,$J$2:$J$5001,J378,$A$2:$A$5001,"&lt;"&amp;A378)=0,1,0))</f>
        <v>0</v>
      </c>
    </row>
    <row r="379" customFormat="false" ht="15" hidden="false" customHeight="false" outlineLevel="0" collapsed="false">
      <c r="A379" s="23" t="n">
        <v>45756.5756944444</v>
      </c>
      <c r="B379" s="24" t="s">
        <v>362</v>
      </c>
      <c r="C379" s="24" t="s">
        <v>129</v>
      </c>
      <c r="D379" s="24" t="s">
        <v>66</v>
      </c>
      <c r="E379" s="24" t="n">
        <v>51</v>
      </c>
      <c r="F379" s="25" t="n">
        <v>0</v>
      </c>
      <c r="G379" s="24" t="s">
        <v>69</v>
      </c>
      <c r="H379" s="24" t="s">
        <v>55</v>
      </c>
      <c r="I379" s="24" t="s">
        <v>56</v>
      </c>
      <c r="J379" s="26" t="n">
        <f aca="false">IF(A379="","",YEAR(A379))</f>
        <v>2025</v>
      </c>
      <c r="K379" s="26" t="n">
        <f aca="false">IF(A379="","",MONTH(A379))</f>
        <v>4</v>
      </c>
      <c r="L379" s="26" t="n">
        <f aca="false">IF(B379="","",VALUE(LEFT(B379,2)))</f>
        <v>12</v>
      </c>
      <c r="M379" s="26" t="n">
        <f aca="false">IF(A379="","",IF(COUNTIFS($C$2:$C$5001,C379,$J$2:$J$5001,J379,$A$2:$A$5001,"&lt;"&amp;A379)=0,1,0))</f>
        <v>0</v>
      </c>
    </row>
    <row r="380" customFormat="false" ht="15" hidden="false" customHeight="false" outlineLevel="0" collapsed="false">
      <c r="A380" s="23" t="n">
        <v>45756.6194444444</v>
      </c>
      <c r="B380" s="24" t="s">
        <v>499</v>
      </c>
      <c r="C380" s="24" t="s">
        <v>389</v>
      </c>
      <c r="D380" s="24" t="s">
        <v>66</v>
      </c>
      <c r="E380" s="24" t="n">
        <v>184</v>
      </c>
      <c r="F380" s="25" t="n">
        <v>7000</v>
      </c>
      <c r="G380" s="24" t="s">
        <v>69</v>
      </c>
      <c r="H380" s="24" t="s">
        <v>80</v>
      </c>
      <c r="I380" s="24" t="s">
        <v>61</v>
      </c>
      <c r="J380" s="26" t="n">
        <f aca="false">IF(A380="","",YEAR(A380))</f>
        <v>2025</v>
      </c>
      <c r="K380" s="26" t="n">
        <f aca="false">IF(A380="","",MONTH(A380))</f>
        <v>4</v>
      </c>
      <c r="L380" s="26" t="n">
        <f aca="false">IF(B380="","",VALUE(LEFT(B380,2)))</f>
        <v>11</v>
      </c>
      <c r="M380" s="26" t="n">
        <f aca="false">IF(A380="","",IF(COUNTIFS($C$2:$C$5001,C380,$J$2:$J$5001,J380,$A$2:$A$5001,"&lt;"&amp;A380)=0,1,0))</f>
        <v>0</v>
      </c>
    </row>
    <row r="381" customFormat="false" ht="15" hidden="false" customHeight="false" outlineLevel="0" collapsed="false">
      <c r="A381" s="23" t="n">
        <v>45756.6798611111</v>
      </c>
      <c r="B381" s="24" t="s">
        <v>500</v>
      </c>
      <c r="C381" s="24" t="s">
        <v>78</v>
      </c>
      <c r="D381" s="24" t="s">
        <v>66</v>
      </c>
      <c r="E381" s="24" t="n">
        <v>209</v>
      </c>
      <c r="F381" s="25" t="n">
        <v>7000</v>
      </c>
      <c r="G381" s="24" t="s">
        <v>59</v>
      </c>
      <c r="H381" s="24" t="s">
        <v>55</v>
      </c>
      <c r="I381" s="24" t="s">
        <v>61</v>
      </c>
      <c r="J381" s="26" t="n">
        <f aca="false">IF(A381="","",YEAR(A381))</f>
        <v>2025</v>
      </c>
      <c r="K381" s="26" t="n">
        <f aca="false">IF(A381="","",MONTH(A381))</f>
        <v>4</v>
      </c>
      <c r="L381" s="26" t="n">
        <f aca="false">IF(B381="","",VALUE(LEFT(B381,2)))</f>
        <v>12</v>
      </c>
      <c r="M381" s="26" t="n">
        <f aca="false">IF(A381="","",IF(COUNTIFS($C$2:$C$5001,C381,$J$2:$J$5001,J381,$A$2:$A$5001,"&lt;"&amp;A381)=0,1,0))</f>
        <v>0</v>
      </c>
    </row>
    <row r="382" customFormat="false" ht="15" hidden="false" customHeight="false" outlineLevel="0" collapsed="false">
      <c r="A382" s="23" t="n">
        <v>45757.0166666667</v>
      </c>
      <c r="B382" s="24" t="s">
        <v>501</v>
      </c>
      <c r="C382" s="24" t="s">
        <v>162</v>
      </c>
      <c r="D382" s="24" t="s">
        <v>66</v>
      </c>
      <c r="E382" s="24" t="n">
        <v>250</v>
      </c>
      <c r="F382" s="25" t="n">
        <v>9000</v>
      </c>
      <c r="G382" s="24" t="s">
        <v>59</v>
      </c>
      <c r="H382" s="24" t="s">
        <v>55</v>
      </c>
      <c r="I382" s="24" t="s">
        <v>61</v>
      </c>
      <c r="J382" s="26" t="n">
        <f aca="false">IF(A382="","",YEAR(A382))</f>
        <v>2025</v>
      </c>
      <c r="K382" s="26" t="n">
        <f aca="false">IF(A382="","",MONTH(A382))</f>
        <v>4</v>
      </c>
      <c r="L382" s="26" t="n">
        <f aca="false">IF(B382="","",VALUE(LEFT(B382,2)))</f>
        <v>20</v>
      </c>
      <c r="M382" s="26" t="n">
        <f aca="false">IF(A382="","",IF(COUNTIFS($C$2:$C$5001,C382,$J$2:$J$5001,J382,$A$2:$A$5001,"&lt;"&amp;A382)=0,1,0))</f>
        <v>0</v>
      </c>
    </row>
    <row r="383" customFormat="false" ht="15" hidden="false" customHeight="false" outlineLevel="0" collapsed="false">
      <c r="A383" s="23" t="n">
        <v>45757.9930555556</v>
      </c>
      <c r="B383" s="24" t="s">
        <v>502</v>
      </c>
      <c r="C383" s="24" t="s">
        <v>237</v>
      </c>
      <c r="D383" s="24" t="s">
        <v>66</v>
      </c>
      <c r="E383" s="24" t="n">
        <v>411</v>
      </c>
      <c r="F383" s="25" t="n">
        <v>14000</v>
      </c>
      <c r="G383" s="24" t="s">
        <v>79</v>
      </c>
      <c r="H383" s="24" t="s">
        <v>80</v>
      </c>
      <c r="I383" s="24" t="s">
        <v>61</v>
      </c>
      <c r="J383" s="26" t="n">
        <f aca="false">IF(A383="","",YEAR(A383))</f>
        <v>2025</v>
      </c>
      <c r="K383" s="26" t="n">
        <f aca="false">IF(A383="","",MONTH(A383))</f>
        <v>4</v>
      </c>
      <c r="L383" s="26" t="n">
        <f aca="false">IF(B383="","",VALUE(LEFT(B383,2)))</f>
        <v>16</v>
      </c>
      <c r="M383" s="26" t="n">
        <f aca="false">IF(A383="","",IF(COUNTIFS($C$2:$C$5001,C383,$J$2:$J$5001,J383,$A$2:$A$5001,"&lt;"&amp;A383)=0,1,0))</f>
        <v>0</v>
      </c>
    </row>
    <row r="384" customFormat="false" ht="15" hidden="false" customHeight="false" outlineLevel="0" collapsed="false">
      <c r="A384" s="23" t="n">
        <v>45758.0576388889</v>
      </c>
      <c r="B384" s="24" t="s">
        <v>503</v>
      </c>
      <c r="C384" s="24" t="s">
        <v>141</v>
      </c>
      <c r="D384" s="24" t="s">
        <v>66</v>
      </c>
      <c r="E384" s="24" t="n">
        <v>373</v>
      </c>
      <c r="F384" s="25" t="n">
        <v>13000</v>
      </c>
      <c r="G384" s="24" t="s">
        <v>59</v>
      </c>
      <c r="H384" s="24" t="s">
        <v>80</v>
      </c>
      <c r="I384" s="24" t="s">
        <v>61</v>
      </c>
      <c r="J384" s="26" t="n">
        <f aca="false">IF(A384="","",YEAR(A384))</f>
        <v>2025</v>
      </c>
      <c r="K384" s="26" t="n">
        <f aca="false">IF(A384="","",MONTH(A384))</f>
        <v>4</v>
      </c>
      <c r="L384" s="26" t="n">
        <f aca="false">IF(B384="","",VALUE(LEFT(B384,2)))</f>
        <v>19</v>
      </c>
      <c r="M384" s="26" t="n">
        <f aca="false">IF(A384="","",IF(COUNTIFS($C$2:$C$5001,C384,$J$2:$J$5001,J384,$A$2:$A$5001,"&lt;"&amp;A384)=0,1,0))</f>
        <v>0</v>
      </c>
    </row>
    <row r="385" customFormat="false" ht="15" hidden="false" customHeight="false" outlineLevel="0" collapsed="false">
      <c r="A385" s="23" t="n">
        <v>45758.3756944445</v>
      </c>
      <c r="B385" s="24" t="s">
        <v>504</v>
      </c>
      <c r="C385" s="24" t="s">
        <v>71</v>
      </c>
      <c r="D385" s="24" t="s">
        <v>66</v>
      </c>
      <c r="E385" s="24" t="n">
        <v>62</v>
      </c>
      <c r="F385" s="25" t="n">
        <v>3000</v>
      </c>
      <c r="G385" s="24" t="s">
        <v>69</v>
      </c>
      <c r="H385" s="24" t="s">
        <v>60</v>
      </c>
      <c r="I385" s="24" t="s">
        <v>61</v>
      </c>
      <c r="J385" s="26" t="n">
        <f aca="false">IF(A385="","",YEAR(A385))</f>
        <v>2025</v>
      </c>
      <c r="K385" s="26" t="n">
        <f aca="false">IF(A385="","",MONTH(A385))</f>
        <v>4</v>
      </c>
      <c r="L385" s="26" t="n">
        <f aca="false">IF(B385="","",VALUE(LEFT(B385,2)))</f>
        <v>7</v>
      </c>
      <c r="M385" s="26" t="n">
        <f aca="false">IF(A385="","",IF(COUNTIFS($C$2:$C$5001,C385,$J$2:$J$5001,J385,$A$2:$A$5001,"&lt;"&amp;A385)=0,1,0))</f>
        <v>0</v>
      </c>
    </row>
    <row r="386" customFormat="false" ht="15" hidden="false" customHeight="false" outlineLevel="0" collapsed="false">
      <c r="A386" s="23" t="n">
        <v>45758.5826388889</v>
      </c>
      <c r="B386" s="24" t="s">
        <v>161</v>
      </c>
      <c r="C386" s="24" t="s">
        <v>164</v>
      </c>
      <c r="D386" s="24" t="s">
        <v>66</v>
      </c>
      <c r="E386" s="24" t="n">
        <v>413</v>
      </c>
      <c r="F386" s="25" t="n">
        <v>14000</v>
      </c>
      <c r="G386" s="24" t="s">
        <v>79</v>
      </c>
      <c r="H386" s="24" t="s">
        <v>55</v>
      </c>
      <c r="I386" s="24" t="s">
        <v>61</v>
      </c>
      <c r="J386" s="26" t="n">
        <f aca="false">IF(A386="","",YEAR(A386))</f>
        <v>2025</v>
      </c>
      <c r="K386" s="26" t="n">
        <f aca="false">IF(A386="","",MONTH(A386))</f>
        <v>4</v>
      </c>
      <c r="L386" s="26" t="n">
        <f aca="false">IF(B386="","",VALUE(LEFT(B386,2)))</f>
        <v>7</v>
      </c>
      <c r="M386" s="26" t="n">
        <f aca="false">IF(A386="","",IF(COUNTIFS($C$2:$C$5001,C386,$J$2:$J$5001,J386,$A$2:$A$5001,"&lt;"&amp;A386)=0,1,0))</f>
        <v>0</v>
      </c>
    </row>
    <row r="387" customFormat="false" ht="15" hidden="false" customHeight="false" outlineLevel="0" collapsed="false">
      <c r="A387" s="23" t="n">
        <v>45758.7881944445</v>
      </c>
      <c r="B387" s="24" t="s">
        <v>505</v>
      </c>
      <c r="C387" s="24" t="s">
        <v>345</v>
      </c>
      <c r="D387" s="24" t="s">
        <v>66</v>
      </c>
      <c r="E387" s="24" t="n">
        <v>149</v>
      </c>
      <c r="F387" s="25" t="n">
        <v>5000</v>
      </c>
      <c r="G387" s="24" t="s">
        <v>69</v>
      </c>
      <c r="H387" s="24" t="s">
        <v>80</v>
      </c>
      <c r="I387" s="24" t="s">
        <v>61</v>
      </c>
      <c r="J387" s="26" t="n">
        <f aca="false">IF(A387="","",YEAR(A387))</f>
        <v>2025</v>
      </c>
      <c r="K387" s="26" t="n">
        <f aca="false">IF(A387="","",MONTH(A387))</f>
        <v>4</v>
      </c>
      <c r="L387" s="26" t="n">
        <f aca="false">IF(B387="","",VALUE(LEFT(B387,2)))</f>
        <v>16</v>
      </c>
      <c r="M387" s="26" t="n">
        <f aca="false">IF(A387="","",IF(COUNTIFS($C$2:$C$5001,C387,$J$2:$J$5001,J387,$A$2:$A$5001,"&lt;"&amp;A387)=0,1,0))</f>
        <v>0</v>
      </c>
    </row>
    <row r="388" customFormat="false" ht="15" hidden="false" customHeight="false" outlineLevel="0" collapsed="false">
      <c r="A388" s="23" t="n">
        <v>45758.9</v>
      </c>
      <c r="B388" s="24" t="s">
        <v>506</v>
      </c>
      <c r="C388" s="24" t="s">
        <v>231</v>
      </c>
      <c r="D388" s="24" t="s">
        <v>66</v>
      </c>
      <c r="E388" s="24" t="n">
        <v>300</v>
      </c>
      <c r="F388" s="25" t="n">
        <v>10000</v>
      </c>
      <c r="G388" s="24" t="s">
        <v>59</v>
      </c>
      <c r="H388" s="24" t="s">
        <v>60</v>
      </c>
      <c r="I388" s="24" t="s">
        <v>61</v>
      </c>
      <c r="J388" s="26" t="n">
        <f aca="false">IF(A388="","",YEAR(A388))</f>
        <v>2025</v>
      </c>
      <c r="K388" s="26" t="n">
        <f aca="false">IF(A388="","",MONTH(A388))</f>
        <v>4</v>
      </c>
      <c r="L388" s="26" t="n">
        <f aca="false">IF(B388="","",VALUE(LEFT(B388,2)))</f>
        <v>16</v>
      </c>
      <c r="M388" s="26" t="n">
        <f aca="false">IF(A388="","",IF(COUNTIFS($C$2:$C$5001,C388,$J$2:$J$5001,J388,$A$2:$A$5001,"&lt;"&amp;A388)=0,1,0))</f>
        <v>0</v>
      </c>
    </row>
    <row r="389" customFormat="false" ht="15" hidden="false" customHeight="false" outlineLevel="0" collapsed="false">
      <c r="A389" s="23" t="n">
        <v>45759.5395833333</v>
      </c>
      <c r="B389" s="24" t="s">
        <v>507</v>
      </c>
      <c r="C389" s="24" t="s">
        <v>508</v>
      </c>
      <c r="D389" s="24" t="s">
        <v>88</v>
      </c>
      <c r="E389" s="24" t="n">
        <v>183</v>
      </c>
      <c r="F389" s="25" t="n">
        <v>10500</v>
      </c>
      <c r="G389" s="24" t="s">
        <v>69</v>
      </c>
      <c r="H389" s="24" t="s">
        <v>80</v>
      </c>
      <c r="I389" s="24" t="s">
        <v>61</v>
      </c>
      <c r="J389" s="26" t="n">
        <f aca="false">IF(A389="","",YEAR(A389))</f>
        <v>2025</v>
      </c>
      <c r="K389" s="26" t="n">
        <f aca="false">IF(A389="","",MONTH(A389))</f>
        <v>4</v>
      </c>
      <c r="L389" s="26" t="n">
        <f aca="false">IF(B389="","",VALUE(LEFT(B389,2)))</f>
        <v>9</v>
      </c>
      <c r="M389" s="26" t="n">
        <f aca="false">IF(A389="","",IF(COUNTIFS($C$2:$C$5001,C389,$J$2:$J$5001,J389,$A$2:$A$5001,"&lt;"&amp;A389)=0,1,0))</f>
        <v>1</v>
      </c>
    </row>
    <row r="390" customFormat="false" ht="15" hidden="false" customHeight="false" outlineLevel="0" collapsed="false">
      <c r="A390" s="23" t="n">
        <v>45759.7909722222</v>
      </c>
      <c r="B390" s="24" t="s">
        <v>509</v>
      </c>
      <c r="C390" s="24" t="s">
        <v>240</v>
      </c>
      <c r="D390" s="24" t="s">
        <v>66</v>
      </c>
      <c r="E390" s="24" t="n">
        <v>336</v>
      </c>
      <c r="F390" s="25" t="n">
        <v>12000</v>
      </c>
      <c r="G390" s="24" t="s">
        <v>59</v>
      </c>
      <c r="H390" s="24" t="s">
        <v>55</v>
      </c>
      <c r="I390" s="24" t="s">
        <v>61</v>
      </c>
      <c r="J390" s="26" t="n">
        <f aca="false">IF(A390="","",YEAR(A390))</f>
        <v>2025</v>
      </c>
      <c r="K390" s="26" t="n">
        <f aca="false">IF(A390="","",MONTH(A390))</f>
        <v>4</v>
      </c>
      <c r="L390" s="26" t="n">
        <f aca="false">IF(B390="","",VALUE(LEFT(B390,2)))</f>
        <v>13</v>
      </c>
      <c r="M390" s="26" t="n">
        <f aca="false">IF(A390="","",IF(COUNTIFS($C$2:$C$5001,C390,$J$2:$J$5001,J390,$A$2:$A$5001,"&lt;"&amp;A390)=0,1,0))</f>
        <v>0</v>
      </c>
    </row>
    <row r="391" customFormat="false" ht="15" hidden="false" customHeight="false" outlineLevel="0" collapsed="false">
      <c r="A391" s="23" t="n">
        <v>45760.4777777778</v>
      </c>
      <c r="B391" s="24" t="s">
        <v>510</v>
      </c>
      <c r="C391" s="24" t="s">
        <v>357</v>
      </c>
      <c r="D391" s="24" t="s">
        <v>88</v>
      </c>
      <c r="E391" s="24" t="n">
        <v>90</v>
      </c>
      <c r="F391" s="25" t="n">
        <v>4500</v>
      </c>
      <c r="G391" s="24" t="s">
        <v>59</v>
      </c>
      <c r="H391" s="24" t="s">
        <v>55</v>
      </c>
      <c r="I391" s="24" t="s">
        <v>61</v>
      </c>
      <c r="J391" s="26" t="n">
        <f aca="false">IF(A391="","",YEAR(A391))</f>
        <v>2025</v>
      </c>
      <c r="K391" s="26" t="n">
        <f aca="false">IF(A391="","",MONTH(A391))</f>
        <v>4</v>
      </c>
      <c r="L391" s="26" t="n">
        <f aca="false">IF(B391="","",VALUE(LEFT(B391,2)))</f>
        <v>9</v>
      </c>
      <c r="M391" s="26" t="n">
        <f aca="false">IF(A391="","",IF(COUNTIFS($C$2:$C$5001,C391,$J$2:$J$5001,J391,$A$2:$A$5001,"&lt;"&amp;A391)=0,1,0))</f>
        <v>0</v>
      </c>
    </row>
    <row r="392" customFormat="false" ht="15" hidden="false" customHeight="false" outlineLevel="0" collapsed="false">
      <c r="A392" s="23" t="n">
        <v>45760.7201388889</v>
      </c>
      <c r="B392" s="24" t="s">
        <v>511</v>
      </c>
      <c r="C392" s="24" t="s">
        <v>512</v>
      </c>
      <c r="D392" s="24" t="s">
        <v>66</v>
      </c>
      <c r="E392" s="24" t="n">
        <v>33</v>
      </c>
      <c r="F392" s="25" t="n">
        <v>1700</v>
      </c>
      <c r="G392" s="24" t="s">
        <v>79</v>
      </c>
      <c r="H392" s="24" t="s">
        <v>60</v>
      </c>
      <c r="I392" s="24" t="s">
        <v>113</v>
      </c>
      <c r="J392" s="26" t="n">
        <f aca="false">IF(A392="","",YEAR(A392))</f>
        <v>2025</v>
      </c>
      <c r="K392" s="26" t="n">
        <f aca="false">IF(A392="","",MONTH(A392))</f>
        <v>4</v>
      </c>
      <c r="L392" s="26" t="n">
        <f aca="false">IF(B392="","",VALUE(LEFT(B392,2)))</f>
        <v>16</v>
      </c>
      <c r="M392" s="26" t="n">
        <f aca="false">IF(A392="","",IF(COUNTIFS($C$2:$C$5001,C392,$J$2:$J$5001,J392,$A$2:$A$5001,"&lt;"&amp;A392)=0,1,0))</f>
        <v>1</v>
      </c>
    </row>
    <row r="393" customFormat="false" ht="15" hidden="false" customHeight="false" outlineLevel="0" collapsed="false">
      <c r="A393" s="23" t="n">
        <v>45760.8263888889</v>
      </c>
      <c r="B393" s="24" t="s">
        <v>513</v>
      </c>
      <c r="C393" s="24" t="s">
        <v>94</v>
      </c>
      <c r="D393" s="24" t="s">
        <v>53</v>
      </c>
      <c r="E393" s="24" t="n">
        <v>359</v>
      </c>
      <c r="F393" s="25" t="n">
        <v>6000</v>
      </c>
      <c r="G393" s="24" t="s">
        <v>59</v>
      </c>
      <c r="H393" s="24" t="s">
        <v>55</v>
      </c>
      <c r="I393" s="24" t="s">
        <v>61</v>
      </c>
      <c r="J393" s="26" t="n">
        <f aca="false">IF(A393="","",YEAR(A393))</f>
        <v>2025</v>
      </c>
      <c r="K393" s="26" t="n">
        <f aca="false">IF(A393="","",MONTH(A393))</f>
        <v>4</v>
      </c>
      <c r="L393" s="26" t="n">
        <f aca="false">IF(B393="","",VALUE(LEFT(B393,2)))</f>
        <v>13</v>
      </c>
      <c r="M393" s="26" t="n">
        <f aca="false">IF(A393="","",IF(COUNTIFS($C$2:$C$5001,C393,$J$2:$J$5001,J393,$A$2:$A$5001,"&lt;"&amp;A393)=0,1,0))</f>
        <v>0</v>
      </c>
    </row>
    <row r="394" customFormat="false" ht="15" hidden="false" customHeight="false" outlineLevel="0" collapsed="false">
      <c r="A394" s="23" t="n">
        <v>45760.8736111111</v>
      </c>
      <c r="B394" s="24" t="s">
        <v>514</v>
      </c>
      <c r="C394" s="24" t="s">
        <v>324</v>
      </c>
      <c r="D394" s="24" t="s">
        <v>66</v>
      </c>
      <c r="E394" s="24" t="n">
        <v>193</v>
      </c>
      <c r="F394" s="25" t="n">
        <v>5950</v>
      </c>
      <c r="G394" s="24" t="s">
        <v>59</v>
      </c>
      <c r="H394" s="24" t="s">
        <v>60</v>
      </c>
      <c r="I394" s="24" t="s">
        <v>113</v>
      </c>
      <c r="J394" s="26" t="n">
        <f aca="false">IF(A394="","",YEAR(A394))</f>
        <v>2025</v>
      </c>
      <c r="K394" s="26" t="n">
        <f aca="false">IF(A394="","",MONTH(A394))</f>
        <v>4</v>
      </c>
      <c r="L394" s="26" t="n">
        <f aca="false">IF(B394="","",VALUE(LEFT(B394,2)))</f>
        <v>17</v>
      </c>
      <c r="M394" s="26" t="n">
        <f aca="false">IF(A394="","",IF(COUNTIFS($C$2:$C$5001,C394,$J$2:$J$5001,J394,$A$2:$A$5001,"&lt;"&amp;A394)=0,1,0))</f>
        <v>0</v>
      </c>
    </row>
    <row r="395" customFormat="false" ht="15" hidden="false" customHeight="false" outlineLevel="0" collapsed="false">
      <c r="A395" s="23" t="n">
        <v>45761.3416666667</v>
      </c>
      <c r="B395" s="24" t="s">
        <v>515</v>
      </c>
      <c r="C395" s="24" t="s">
        <v>90</v>
      </c>
      <c r="D395" s="24" t="s">
        <v>66</v>
      </c>
      <c r="E395" s="24" t="n">
        <v>87</v>
      </c>
      <c r="F395" s="25" t="n">
        <v>3000</v>
      </c>
      <c r="G395" s="24" t="s">
        <v>69</v>
      </c>
      <c r="H395" s="24" t="s">
        <v>60</v>
      </c>
      <c r="I395" s="24" t="s">
        <v>61</v>
      </c>
      <c r="J395" s="26" t="n">
        <f aca="false">IF(A395="","",YEAR(A395))</f>
        <v>2025</v>
      </c>
      <c r="K395" s="26" t="n">
        <f aca="false">IF(A395="","",MONTH(A395))</f>
        <v>4</v>
      </c>
      <c r="L395" s="26" t="n">
        <f aca="false">IF(B395="","",VALUE(LEFT(B395,2)))</f>
        <v>6</v>
      </c>
      <c r="M395" s="26" t="n">
        <f aca="false">IF(A395="","",IF(COUNTIFS($C$2:$C$5001,C395,$J$2:$J$5001,J395,$A$2:$A$5001,"&lt;"&amp;A395)=0,1,0))</f>
        <v>0</v>
      </c>
    </row>
    <row r="396" customFormat="false" ht="15" hidden="false" customHeight="false" outlineLevel="0" collapsed="false">
      <c r="A396" s="23" t="n">
        <v>45761.6180555556</v>
      </c>
      <c r="B396" s="24" t="s">
        <v>369</v>
      </c>
      <c r="C396" s="24" t="s">
        <v>90</v>
      </c>
      <c r="D396" s="24" t="s">
        <v>66</v>
      </c>
      <c r="E396" s="24" t="n">
        <v>372</v>
      </c>
      <c r="F396" s="25" t="n">
        <v>13000</v>
      </c>
      <c r="G396" s="24" t="s">
        <v>69</v>
      </c>
      <c r="H396" s="24" t="s">
        <v>80</v>
      </c>
      <c r="I396" s="24" t="s">
        <v>61</v>
      </c>
      <c r="J396" s="26" t="n">
        <f aca="false">IF(A396="","",YEAR(A396))</f>
        <v>2025</v>
      </c>
      <c r="K396" s="26" t="n">
        <f aca="false">IF(A396="","",MONTH(A396))</f>
        <v>4</v>
      </c>
      <c r="L396" s="26" t="n">
        <f aca="false">IF(B396="","",VALUE(LEFT(B396,2)))</f>
        <v>8</v>
      </c>
      <c r="M396" s="26" t="n">
        <f aca="false">IF(A396="","",IF(COUNTIFS($C$2:$C$5001,C396,$J$2:$J$5001,J396,$A$2:$A$5001,"&lt;"&amp;A396)=0,1,0))</f>
        <v>0</v>
      </c>
    </row>
    <row r="397" customFormat="false" ht="15" hidden="false" customHeight="false" outlineLevel="0" collapsed="false">
      <c r="A397" s="23" t="n">
        <v>45761.7368055556</v>
      </c>
      <c r="B397" s="24" t="s">
        <v>516</v>
      </c>
      <c r="C397" s="24" t="s">
        <v>82</v>
      </c>
      <c r="D397" s="24" t="s">
        <v>53</v>
      </c>
      <c r="E397" s="24" t="n">
        <v>349</v>
      </c>
      <c r="F397" s="25" t="n">
        <v>0</v>
      </c>
      <c r="G397" s="24" t="s">
        <v>79</v>
      </c>
      <c r="H397" s="24" t="s">
        <v>60</v>
      </c>
      <c r="I397" s="24" t="s">
        <v>56</v>
      </c>
      <c r="J397" s="26" t="n">
        <f aca="false">IF(A397="","",YEAR(A397))</f>
        <v>2025</v>
      </c>
      <c r="K397" s="26" t="n">
        <f aca="false">IF(A397="","",MONTH(A397))</f>
        <v>4</v>
      </c>
      <c r="L397" s="26" t="n">
        <f aca="false">IF(B397="","",VALUE(LEFT(B397,2)))</f>
        <v>11</v>
      </c>
      <c r="M397" s="26" t="n">
        <f aca="false">IF(A397="","",IF(COUNTIFS($C$2:$C$5001,C397,$J$2:$J$5001,J397,$A$2:$A$5001,"&lt;"&amp;A397)=0,1,0))</f>
        <v>0</v>
      </c>
    </row>
    <row r="398" customFormat="false" ht="15" hidden="false" customHeight="false" outlineLevel="0" collapsed="false">
      <c r="A398" s="23" t="n">
        <v>45762.3798611111</v>
      </c>
      <c r="B398" s="24" t="s">
        <v>280</v>
      </c>
      <c r="C398" s="24" t="s">
        <v>475</v>
      </c>
      <c r="D398" s="24" t="s">
        <v>53</v>
      </c>
      <c r="E398" s="24" t="n">
        <v>118</v>
      </c>
      <c r="F398" s="25" t="n">
        <v>2000</v>
      </c>
      <c r="G398" s="24" t="s">
        <v>59</v>
      </c>
      <c r="H398" s="24" t="s">
        <v>60</v>
      </c>
      <c r="I398" s="24" t="s">
        <v>61</v>
      </c>
      <c r="J398" s="26" t="n">
        <f aca="false">IF(A398="","",YEAR(A398))</f>
        <v>2025</v>
      </c>
      <c r="K398" s="26" t="n">
        <f aca="false">IF(A398="","",MONTH(A398))</f>
        <v>4</v>
      </c>
      <c r="L398" s="26" t="n">
        <f aca="false">IF(B398="","",VALUE(LEFT(B398,2)))</f>
        <v>7</v>
      </c>
      <c r="M398" s="26" t="n">
        <f aca="false">IF(A398="","",IF(COUNTIFS($C$2:$C$5001,C398,$J$2:$J$5001,J398,$A$2:$A$5001,"&lt;"&amp;A398)=0,1,0))</f>
        <v>0</v>
      </c>
    </row>
    <row r="399" customFormat="false" ht="15" hidden="false" customHeight="false" outlineLevel="0" collapsed="false">
      <c r="A399" s="23" t="n">
        <v>45762.5104166667</v>
      </c>
      <c r="B399" s="24" t="s">
        <v>241</v>
      </c>
      <c r="C399" s="24" t="s">
        <v>467</v>
      </c>
      <c r="D399" s="24" t="s">
        <v>53</v>
      </c>
      <c r="E399" s="24" t="n">
        <v>251</v>
      </c>
      <c r="F399" s="25" t="n">
        <v>4500</v>
      </c>
      <c r="G399" s="24" t="s">
        <v>59</v>
      </c>
      <c r="H399" s="24" t="s">
        <v>55</v>
      </c>
      <c r="I399" s="24" t="s">
        <v>61</v>
      </c>
      <c r="J399" s="26" t="n">
        <f aca="false">IF(A399="","",YEAR(A399))</f>
        <v>2025</v>
      </c>
      <c r="K399" s="26" t="n">
        <f aca="false">IF(A399="","",MONTH(A399))</f>
        <v>4</v>
      </c>
      <c r="L399" s="26" t="n">
        <f aca="false">IF(B399="","",VALUE(LEFT(B399,2)))</f>
        <v>8</v>
      </c>
      <c r="M399" s="26" t="n">
        <f aca="false">IF(A399="","",IF(COUNTIFS($C$2:$C$5001,C399,$J$2:$J$5001,J399,$A$2:$A$5001,"&lt;"&amp;A399)=0,1,0))</f>
        <v>0</v>
      </c>
    </row>
    <row r="400" customFormat="false" ht="15" hidden="false" customHeight="false" outlineLevel="0" collapsed="false">
      <c r="A400" s="23" t="n">
        <v>45762.8493055556</v>
      </c>
      <c r="B400" s="24" t="s">
        <v>517</v>
      </c>
      <c r="C400" s="24" t="s">
        <v>243</v>
      </c>
      <c r="D400" s="24" t="s">
        <v>66</v>
      </c>
      <c r="E400" s="24" t="n">
        <v>76</v>
      </c>
      <c r="F400" s="25" t="n">
        <v>3000</v>
      </c>
      <c r="G400" s="24" t="s">
        <v>59</v>
      </c>
      <c r="H400" s="24" t="s">
        <v>80</v>
      </c>
      <c r="I400" s="24" t="s">
        <v>61</v>
      </c>
      <c r="J400" s="26" t="n">
        <f aca="false">IF(A400="","",YEAR(A400))</f>
        <v>2025</v>
      </c>
      <c r="K400" s="26" t="n">
        <f aca="false">IF(A400="","",MONTH(A400))</f>
        <v>4</v>
      </c>
      <c r="L400" s="26" t="n">
        <f aca="false">IF(B400="","",VALUE(LEFT(B400,2)))</f>
        <v>19</v>
      </c>
      <c r="M400" s="26" t="n">
        <f aca="false">IF(A400="","",IF(COUNTIFS($C$2:$C$5001,C400,$J$2:$J$5001,J400,$A$2:$A$5001,"&lt;"&amp;A400)=0,1,0))</f>
        <v>0</v>
      </c>
    </row>
    <row r="401" customFormat="false" ht="15" hidden="false" customHeight="false" outlineLevel="0" collapsed="false">
      <c r="A401" s="23" t="n">
        <v>45762.9402777778</v>
      </c>
      <c r="B401" s="24" t="s">
        <v>518</v>
      </c>
      <c r="C401" s="24" t="s">
        <v>126</v>
      </c>
      <c r="D401" s="24" t="s">
        <v>72</v>
      </c>
      <c r="E401" s="24" t="n">
        <v>418</v>
      </c>
      <c r="F401" s="25" t="n">
        <v>28000</v>
      </c>
      <c r="G401" s="24" t="s">
        <v>59</v>
      </c>
      <c r="H401" s="24" t="s">
        <v>55</v>
      </c>
      <c r="I401" s="24" t="s">
        <v>61</v>
      </c>
      <c r="J401" s="26" t="n">
        <f aca="false">IF(A401="","",YEAR(A401))</f>
        <v>2025</v>
      </c>
      <c r="K401" s="26" t="n">
        <f aca="false">IF(A401="","",MONTH(A401))</f>
        <v>4</v>
      </c>
      <c r="L401" s="26" t="n">
        <f aca="false">IF(B401="","",VALUE(LEFT(B401,2)))</f>
        <v>15</v>
      </c>
      <c r="M401" s="26" t="n">
        <f aca="false">IF(A401="","",IF(COUNTIFS($C$2:$C$5001,C401,$J$2:$J$5001,J401,$A$2:$A$5001,"&lt;"&amp;A401)=0,1,0))</f>
        <v>0</v>
      </c>
    </row>
    <row r="402" customFormat="false" ht="15" hidden="false" customHeight="false" outlineLevel="0" collapsed="false">
      <c r="A402" s="23" t="n">
        <v>45763.4402777778</v>
      </c>
      <c r="B402" s="24" t="s">
        <v>457</v>
      </c>
      <c r="C402" s="24" t="s">
        <v>141</v>
      </c>
      <c r="D402" s="24" t="s">
        <v>66</v>
      </c>
      <c r="E402" s="24" t="n">
        <v>168</v>
      </c>
      <c r="F402" s="25" t="n">
        <v>0</v>
      </c>
      <c r="G402" s="24" t="s">
        <v>69</v>
      </c>
      <c r="H402" s="24" t="s">
        <v>80</v>
      </c>
      <c r="I402" s="24" t="s">
        <v>56</v>
      </c>
      <c r="J402" s="26" t="n">
        <f aca="false">IF(A402="","",YEAR(A402))</f>
        <v>2025</v>
      </c>
      <c r="K402" s="26" t="n">
        <f aca="false">IF(A402="","",MONTH(A402))</f>
        <v>4</v>
      </c>
      <c r="L402" s="26" t="n">
        <f aca="false">IF(B402="","",VALUE(LEFT(B402,2)))</f>
        <v>7</v>
      </c>
      <c r="M402" s="26" t="n">
        <f aca="false">IF(A402="","",IF(COUNTIFS($C$2:$C$5001,C402,$J$2:$J$5001,J402,$A$2:$A$5001,"&lt;"&amp;A402)=0,1,0))</f>
        <v>0</v>
      </c>
    </row>
    <row r="403" customFormat="false" ht="15" hidden="false" customHeight="false" outlineLevel="0" collapsed="false">
      <c r="A403" s="23" t="n">
        <v>45763.4638888889</v>
      </c>
      <c r="B403" s="24" t="s">
        <v>280</v>
      </c>
      <c r="C403" s="24" t="s">
        <v>519</v>
      </c>
      <c r="D403" s="24" t="s">
        <v>53</v>
      </c>
      <c r="E403" s="24" t="n">
        <v>239</v>
      </c>
      <c r="F403" s="25" t="n">
        <v>4000</v>
      </c>
      <c r="G403" s="24" t="s">
        <v>59</v>
      </c>
      <c r="H403" s="24" t="s">
        <v>55</v>
      </c>
      <c r="I403" s="24" t="s">
        <v>61</v>
      </c>
      <c r="J403" s="26" t="n">
        <f aca="false">IF(A403="","",YEAR(A403))</f>
        <v>2025</v>
      </c>
      <c r="K403" s="26" t="n">
        <f aca="false">IF(A403="","",MONTH(A403))</f>
        <v>4</v>
      </c>
      <c r="L403" s="26" t="n">
        <f aca="false">IF(B403="","",VALUE(LEFT(B403,2)))</f>
        <v>7</v>
      </c>
      <c r="M403" s="26" t="n">
        <f aca="false">IF(A403="","",IF(COUNTIFS($C$2:$C$5001,C403,$J$2:$J$5001,J403,$A$2:$A$5001,"&lt;"&amp;A403)=0,1,0))</f>
        <v>1</v>
      </c>
    </row>
    <row r="404" customFormat="false" ht="15" hidden="false" customHeight="false" outlineLevel="0" collapsed="false">
      <c r="A404" s="23" t="n">
        <v>45763.7256944445</v>
      </c>
      <c r="B404" s="24" t="s">
        <v>520</v>
      </c>
      <c r="C404" s="24" t="s">
        <v>343</v>
      </c>
      <c r="D404" s="24" t="s">
        <v>88</v>
      </c>
      <c r="E404" s="24" t="n">
        <v>195</v>
      </c>
      <c r="F404" s="25" t="n">
        <v>10500</v>
      </c>
      <c r="G404" s="24" t="s">
        <v>59</v>
      </c>
      <c r="H404" s="24" t="s">
        <v>60</v>
      </c>
      <c r="I404" s="24" t="s">
        <v>61</v>
      </c>
      <c r="J404" s="26" t="n">
        <f aca="false">IF(A404="","",YEAR(A404))</f>
        <v>2025</v>
      </c>
      <c r="K404" s="26" t="n">
        <f aca="false">IF(A404="","",MONTH(A404))</f>
        <v>4</v>
      </c>
      <c r="L404" s="26" t="n">
        <f aca="false">IF(B404="","",VALUE(LEFT(B404,2)))</f>
        <v>14</v>
      </c>
      <c r="M404" s="26" t="n">
        <f aca="false">IF(A404="","",IF(COUNTIFS($C$2:$C$5001,C404,$J$2:$J$5001,J404,$A$2:$A$5001,"&lt;"&amp;A404)=0,1,0))</f>
        <v>0</v>
      </c>
    </row>
    <row r="405" customFormat="false" ht="15" hidden="false" customHeight="false" outlineLevel="0" collapsed="false">
      <c r="A405" s="23" t="n">
        <v>45763.7319444444</v>
      </c>
      <c r="B405" s="24" t="s">
        <v>521</v>
      </c>
      <c r="C405" s="24" t="s">
        <v>126</v>
      </c>
      <c r="D405" s="24" t="s">
        <v>66</v>
      </c>
      <c r="E405" s="24" t="n">
        <v>26</v>
      </c>
      <c r="F405" s="25" t="n">
        <v>1000</v>
      </c>
      <c r="G405" s="24" t="s">
        <v>59</v>
      </c>
      <c r="H405" s="24" t="s">
        <v>60</v>
      </c>
      <c r="I405" s="24" t="s">
        <v>61</v>
      </c>
      <c r="J405" s="26" t="n">
        <f aca="false">IF(A405="","",YEAR(A405))</f>
        <v>2025</v>
      </c>
      <c r="K405" s="26" t="n">
        <f aca="false">IF(A405="","",MONTH(A405))</f>
        <v>4</v>
      </c>
      <c r="L405" s="26" t="n">
        <f aca="false">IF(B405="","",VALUE(LEFT(B405,2)))</f>
        <v>17</v>
      </c>
      <c r="M405" s="26" t="n">
        <f aca="false">IF(A405="","",IF(COUNTIFS($C$2:$C$5001,C405,$J$2:$J$5001,J405,$A$2:$A$5001,"&lt;"&amp;A405)=0,1,0))</f>
        <v>0</v>
      </c>
    </row>
    <row r="406" customFormat="false" ht="15" hidden="false" customHeight="false" outlineLevel="0" collapsed="false">
      <c r="A406" s="23" t="n">
        <v>45763.8805555556</v>
      </c>
      <c r="B406" s="24" t="s">
        <v>219</v>
      </c>
      <c r="C406" s="24" t="s">
        <v>71</v>
      </c>
      <c r="D406" s="24" t="s">
        <v>66</v>
      </c>
      <c r="E406" s="24" t="n">
        <v>112</v>
      </c>
      <c r="F406" s="25" t="n">
        <v>4000</v>
      </c>
      <c r="G406" s="24" t="s">
        <v>69</v>
      </c>
      <c r="H406" s="24" t="s">
        <v>55</v>
      </c>
      <c r="I406" s="24" t="s">
        <v>61</v>
      </c>
      <c r="J406" s="26" t="n">
        <f aca="false">IF(A406="","",YEAR(A406))</f>
        <v>2025</v>
      </c>
      <c r="K406" s="26" t="n">
        <f aca="false">IF(A406="","",MONTH(A406))</f>
        <v>4</v>
      </c>
      <c r="L406" s="26" t="n">
        <f aca="false">IF(B406="","",VALUE(LEFT(B406,2)))</f>
        <v>19</v>
      </c>
      <c r="M406" s="26" t="n">
        <f aca="false">IF(A406="","",IF(COUNTIFS($C$2:$C$5001,C406,$J$2:$J$5001,J406,$A$2:$A$5001,"&lt;"&amp;A406)=0,1,0))</f>
        <v>0</v>
      </c>
    </row>
    <row r="407" customFormat="false" ht="15" hidden="false" customHeight="false" outlineLevel="0" collapsed="false">
      <c r="A407" s="23" t="n">
        <v>45763.8847222222</v>
      </c>
      <c r="B407" s="24" t="s">
        <v>522</v>
      </c>
      <c r="C407" s="24" t="s">
        <v>168</v>
      </c>
      <c r="D407" s="24" t="s">
        <v>53</v>
      </c>
      <c r="E407" s="24" t="n">
        <v>342</v>
      </c>
      <c r="F407" s="25" t="n">
        <v>6000</v>
      </c>
      <c r="G407" s="24" t="s">
        <v>59</v>
      </c>
      <c r="H407" s="24" t="s">
        <v>55</v>
      </c>
      <c r="I407" s="24" t="s">
        <v>61</v>
      </c>
      <c r="J407" s="26" t="n">
        <f aca="false">IF(A407="","",YEAR(A407))</f>
        <v>2025</v>
      </c>
      <c r="K407" s="26" t="n">
        <f aca="false">IF(A407="","",MONTH(A407))</f>
        <v>4</v>
      </c>
      <c r="L407" s="26" t="n">
        <f aca="false">IF(B407="","",VALUE(LEFT(B407,2)))</f>
        <v>15</v>
      </c>
      <c r="M407" s="26" t="n">
        <f aca="false">IF(A407="","",IF(COUNTIFS($C$2:$C$5001,C407,$J$2:$J$5001,J407,$A$2:$A$5001,"&lt;"&amp;A407)=0,1,0))</f>
        <v>0</v>
      </c>
    </row>
    <row r="408" customFormat="false" ht="15" hidden="false" customHeight="false" outlineLevel="0" collapsed="false">
      <c r="A408" s="23" t="n">
        <v>45763.9833333333</v>
      </c>
      <c r="B408" s="24" t="s">
        <v>523</v>
      </c>
      <c r="C408" s="24" t="s">
        <v>186</v>
      </c>
      <c r="D408" s="24" t="s">
        <v>66</v>
      </c>
      <c r="E408" s="24" t="n">
        <v>315</v>
      </c>
      <c r="F408" s="25" t="n">
        <v>11000</v>
      </c>
      <c r="G408" s="24" t="s">
        <v>59</v>
      </c>
      <c r="H408" s="24" t="s">
        <v>60</v>
      </c>
      <c r="I408" s="24" t="s">
        <v>61</v>
      </c>
      <c r="J408" s="26" t="n">
        <f aca="false">IF(A408="","",YEAR(A408))</f>
        <v>2025</v>
      </c>
      <c r="K408" s="26" t="n">
        <f aca="false">IF(A408="","",MONTH(A408))</f>
        <v>4</v>
      </c>
      <c r="L408" s="26" t="n">
        <f aca="false">IF(B408="","",VALUE(LEFT(B408,2)))</f>
        <v>18</v>
      </c>
      <c r="M408" s="26" t="n">
        <f aca="false">IF(A408="","",IF(COUNTIFS($C$2:$C$5001,C408,$J$2:$J$5001,J408,$A$2:$A$5001,"&lt;"&amp;A408)=0,1,0))</f>
        <v>0</v>
      </c>
    </row>
    <row r="409" customFormat="false" ht="15" hidden="false" customHeight="false" outlineLevel="0" collapsed="false">
      <c r="A409" s="23" t="n">
        <v>45764.4020833333</v>
      </c>
      <c r="B409" s="24" t="s">
        <v>404</v>
      </c>
      <c r="C409" s="24" t="s">
        <v>102</v>
      </c>
      <c r="D409" s="24" t="s">
        <v>88</v>
      </c>
      <c r="E409" s="24" t="n">
        <v>44</v>
      </c>
      <c r="F409" s="25" t="n">
        <v>3000</v>
      </c>
      <c r="G409" s="24" t="s">
        <v>69</v>
      </c>
      <c r="H409" s="24" t="s">
        <v>80</v>
      </c>
      <c r="I409" s="24" t="s">
        <v>61</v>
      </c>
      <c r="J409" s="26" t="n">
        <f aca="false">IF(A409="","",YEAR(A409))</f>
        <v>2025</v>
      </c>
      <c r="K409" s="26" t="n">
        <f aca="false">IF(A409="","",MONTH(A409))</f>
        <v>4</v>
      </c>
      <c r="L409" s="26" t="n">
        <f aca="false">IF(B409="","",VALUE(LEFT(B409,2)))</f>
        <v>8</v>
      </c>
      <c r="M409" s="26" t="n">
        <f aca="false">IF(A409="","",IF(COUNTIFS($C$2:$C$5001,C409,$J$2:$J$5001,J409,$A$2:$A$5001,"&lt;"&amp;A409)=0,1,0))</f>
        <v>0</v>
      </c>
    </row>
    <row r="410" customFormat="false" ht="15" hidden="false" customHeight="false" outlineLevel="0" collapsed="false">
      <c r="A410" s="23" t="n">
        <v>45764.4513888889</v>
      </c>
      <c r="B410" s="24" t="s">
        <v>280</v>
      </c>
      <c r="C410" s="24" t="s">
        <v>120</v>
      </c>
      <c r="D410" s="24" t="s">
        <v>53</v>
      </c>
      <c r="E410" s="24" t="n">
        <v>221</v>
      </c>
      <c r="F410" s="25" t="n">
        <v>4000</v>
      </c>
      <c r="G410" s="24" t="s">
        <v>59</v>
      </c>
      <c r="H410" s="24" t="s">
        <v>55</v>
      </c>
      <c r="I410" s="24" t="s">
        <v>61</v>
      </c>
      <c r="J410" s="26" t="n">
        <f aca="false">IF(A410="","",YEAR(A410))</f>
        <v>2025</v>
      </c>
      <c r="K410" s="26" t="n">
        <f aca="false">IF(A410="","",MONTH(A410))</f>
        <v>4</v>
      </c>
      <c r="L410" s="26" t="n">
        <f aca="false">IF(B410="","",VALUE(LEFT(B410,2)))</f>
        <v>7</v>
      </c>
      <c r="M410" s="26" t="n">
        <f aca="false">IF(A410="","",IF(COUNTIFS($C$2:$C$5001,C410,$J$2:$J$5001,J410,$A$2:$A$5001,"&lt;"&amp;A410)=0,1,0))</f>
        <v>0</v>
      </c>
    </row>
    <row r="411" customFormat="false" ht="15" hidden="false" customHeight="false" outlineLevel="0" collapsed="false">
      <c r="A411" s="23" t="n">
        <v>45764.4951388889</v>
      </c>
      <c r="B411" s="24" t="s">
        <v>443</v>
      </c>
      <c r="C411" s="24" t="s">
        <v>71</v>
      </c>
      <c r="D411" s="24" t="s">
        <v>88</v>
      </c>
      <c r="E411" s="24" t="n">
        <v>206</v>
      </c>
      <c r="F411" s="25" t="n">
        <v>10500</v>
      </c>
      <c r="G411" s="24" t="s">
        <v>83</v>
      </c>
      <c r="H411" s="24" t="s">
        <v>55</v>
      </c>
      <c r="I411" s="24" t="s">
        <v>61</v>
      </c>
      <c r="J411" s="26" t="n">
        <f aca="false">IF(A411="","",YEAR(A411))</f>
        <v>2025</v>
      </c>
      <c r="K411" s="26" t="n">
        <f aca="false">IF(A411="","",MONTH(A411))</f>
        <v>4</v>
      </c>
      <c r="L411" s="26" t="n">
        <f aca="false">IF(B411="","",VALUE(LEFT(B411,2)))</f>
        <v>8</v>
      </c>
      <c r="M411" s="26" t="n">
        <f aca="false">IF(A411="","",IF(COUNTIFS($C$2:$C$5001,C411,$J$2:$J$5001,J411,$A$2:$A$5001,"&lt;"&amp;A411)=0,1,0))</f>
        <v>0</v>
      </c>
    </row>
    <row r="412" customFormat="false" ht="15" hidden="false" customHeight="false" outlineLevel="0" collapsed="false">
      <c r="A412" s="23" t="n">
        <v>45764.5013888889</v>
      </c>
      <c r="B412" s="24" t="s">
        <v>524</v>
      </c>
      <c r="C412" s="24" t="s">
        <v>222</v>
      </c>
      <c r="D412" s="24" t="s">
        <v>66</v>
      </c>
      <c r="E412" s="24" t="n">
        <v>287</v>
      </c>
      <c r="F412" s="25" t="n">
        <v>8500</v>
      </c>
      <c r="G412" s="24" t="s">
        <v>59</v>
      </c>
      <c r="H412" s="24" t="s">
        <v>60</v>
      </c>
      <c r="I412" s="24" t="s">
        <v>113</v>
      </c>
      <c r="J412" s="26" t="n">
        <f aca="false">IF(A412="","",YEAR(A412))</f>
        <v>2025</v>
      </c>
      <c r="K412" s="26" t="n">
        <f aca="false">IF(A412="","",MONTH(A412))</f>
        <v>4</v>
      </c>
      <c r="L412" s="26" t="n">
        <f aca="false">IF(B412="","",VALUE(LEFT(B412,2)))</f>
        <v>7</v>
      </c>
      <c r="M412" s="26" t="n">
        <f aca="false">IF(A412="","",IF(COUNTIFS($C$2:$C$5001,C412,$J$2:$J$5001,J412,$A$2:$A$5001,"&lt;"&amp;A412)=0,1,0))</f>
        <v>0</v>
      </c>
    </row>
    <row r="413" customFormat="false" ht="15" hidden="false" customHeight="false" outlineLevel="0" collapsed="false">
      <c r="A413" s="23" t="n">
        <v>45764.76875</v>
      </c>
      <c r="B413" s="24" t="s">
        <v>525</v>
      </c>
      <c r="C413" s="24" t="s">
        <v>158</v>
      </c>
      <c r="D413" s="24" t="s">
        <v>53</v>
      </c>
      <c r="E413" s="24" t="n">
        <v>243</v>
      </c>
      <c r="F413" s="25" t="n">
        <v>4500</v>
      </c>
      <c r="G413" s="24" t="s">
        <v>69</v>
      </c>
      <c r="H413" s="24" t="s">
        <v>80</v>
      </c>
      <c r="I413" s="24" t="s">
        <v>61</v>
      </c>
      <c r="J413" s="26" t="n">
        <f aca="false">IF(A413="","",YEAR(A413))</f>
        <v>2025</v>
      </c>
      <c r="K413" s="26" t="n">
        <f aca="false">IF(A413="","",MONTH(A413))</f>
        <v>4</v>
      </c>
      <c r="L413" s="26" t="n">
        <f aca="false">IF(B413="","",VALUE(LEFT(B413,2)))</f>
        <v>14</v>
      </c>
      <c r="M413" s="26" t="n">
        <f aca="false">IF(A413="","",IF(COUNTIFS($C$2:$C$5001,C413,$J$2:$J$5001,J413,$A$2:$A$5001,"&lt;"&amp;A413)=0,1,0))</f>
        <v>0</v>
      </c>
    </row>
    <row r="414" customFormat="false" ht="15" hidden="false" customHeight="false" outlineLevel="0" collapsed="false">
      <c r="A414" s="23" t="n">
        <v>45764.9104166667</v>
      </c>
      <c r="B414" s="24" t="s">
        <v>526</v>
      </c>
      <c r="C414" s="24" t="s">
        <v>152</v>
      </c>
      <c r="D414" s="24" t="s">
        <v>53</v>
      </c>
      <c r="E414" s="24" t="n">
        <v>128</v>
      </c>
      <c r="F414" s="25" t="n">
        <v>2500</v>
      </c>
      <c r="G414" s="24" t="s">
        <v>59</v>
      </c>
      <c r="H414" s="24" t="s">
        <v>60</v>
      </c>
      <c r="I414" s="24" t="s">
        <v>61</v>
      </c>
      <c r="J414" s="26" t="n">
        <f aca="false">IF(A414="","",YEAR(A414))</f>
        <v>2025</v>
      </c>
      <c r="K414" s="26" t="n">
        <f aca="false">IF(A414="","",MONTH(A414))</f>
        <v>4</v>
      </c>
      <c r="L414" s="26" t="n">
        <f aca="false">IF(B414="","",VALUE(LEFT(B414,2)))</f>
        <v>19</v>
      </c>
      <c r="M414" s="26" t="n">
        <f aca="false">IF(A414="","",IF(COUNTIFS($C$2:$C$5001,C414,$J$2:$J$5001,J414,$A$2:$A$5001,"&lt;"&amp;A414)=0,1,0))</f>
        <v>0</v>
      </c>
    </row>
    <row r="415" customFormat="false" ht="15" hidden="false" customHeight="false" outlineLevel="0" collapsed="false">
      <c r="A415" s="23" t="n">
        <v>45764.9340277778</v>
      </c>
      <c r="B415" s="24" t="s">
        <v>527</v>
      </c>
      <c r="C415" s="24" t="s">
        <v>160</v>
      </c>
      <c r="D415" s="24" t="s">
        <v>66</v>
      </c>
      <c r="E415" s="24" t="n">
        <v>292</v>
      </c>
      <c r="F415" s="25" t="n">
        <v>10000</v>
      </c>
      <c r="G415" s="24" t="s">
        <v>59</v>
      </c>
      <c r="H415" s="24" t="s">
        <v>60</v>
      </c>
      <c r="I415" s="24" t="s">
        <v>61</v>
      </c>
      <c r="J415" s="26" t="n">
        <f aca="false">IF(A415="","",YEAR(A415))</f>
        <v>2025</v>
      </c>
      <c r="K415" s="26" t="n">
        <f aca="false">IF(A415="","",MONTH(A415))</f>
        <v>4</v>
      </c>
      <c r="L415" s="26" t="n">
        <f aca="false">IF(B415="","",VALUE(LEFT(B415,2)))</f>
        <v>17</v>
      </c>
      <c r="M415" s="26" t="n">
        <f aca="false">IF(A415="","",IF(COUNTIFS($C$2:$C$5001,C415,$J$2:$J$5001,J415,$A$2:$A$5001,"&lt;"&amp;A415)=0,1,0))</f>
        <v>0</v>
      </c>
    </row>
    <row r="416" customFormat="false" ht="15" hidden="false" customHeight="false" outlineLevel="0" collapsed="false">
      <c r="A416" s="23" t="n">
        <v>45765.3923611111</v>
      </c>
      <c r="B416" s="24" t="s">
        <v>528</v>
      </c>
      <c r="C416" s="24" t="s">
        <v>237</v>
      </c>
      <c r="D416" s="24" t="s">
        <v>66</v>
      </c>
      <c r="E416" s="24" t="n">
        <v>96</v>
      </c>
      <c r="F416" s="25" t="n">
        <v>4000</v>
      </c>
      <c r="G416" s="24" t="s">
        <v>59</v>
      </c>
      <c r="H416" s="24" t="s">
        <v>55</v>
      </c>
      <c r="I416" s="24" t="s">
        <v>61</v>
      </c>
      <c r="J416" s="26" t="n">
        <f aca="false">IF(A416="","",YEAR(A416))</f>
        <v>2025</v>
      </c>
      <c r="K416" s="26" t="n">
        <f aca="false">IF(A416="","",MONTH(A416))</f>
        <v>4</v>
      </c>
      <c r="L416" s="26" t="n">
        <f aca="false">IF(B416="","",VALUE(LEFT(B416,2)))</f>
        <v>7</v>
      </c>
      <c r="M416" s="26" t="n">
        <f aca="false">IF(A416="","",IF(COUNTIFS($C$2:$C$5001,C416,$J$2:$J$5001,J416,$A$2:$A$5001,"&lt;"&amp;A416)=0,1,0))</f>
        <v>0</v>
      </c>
    </row>
    <row r="417" customFormat="false" ht="15" hidden="false" customHeight="false" outlineLevel="0" collapsed="false">
      <c r="A417" s="23" t="n">
        <v>45765.4888888889</v>
      </c>
      <c r="B417" s="24" t="s">
        <v>529</v>
      </c>
      <c r="C417" s="24" t="s">
        <v>267</v>
      </c>
      <c r="D417" s="24" t="s">
        <v>66</v>
      </c>
      <c r="E417" s="24" t="n">
        <v>280</v>
      </c>
      <c r="F417" s="25" t="n">
        <v>10000</v>
      </c>
      <c r="G417" s="24" t="s">
        <v>59</v>
      </c>
      <c r="H417" s="24" t="s">
        <v>60</v>
      </c>
      <c r="I417" s="24" t="s">
        <v>61</v>
      </c>
      <c r="J417" s="26" t="n">
        <f aca="false">IF(A417="","",YEAR(A417))</f>
        <v>2025</v>
      </c>
      <c r="K417" s="26" t="n">
        <f aca="false">IF(A417="","",MONTH(A417))</f>
        <v>4</v>
      </c>
      <c r="L417" s="26" t="n">
        <f aca="false">IF(B417="","",VALUE(LEFT(B417,2)))</f>
        <v>7</v>
      </c>
      <c r="M417" s="26" t="n">
        <f aca="false">IF(A417="","",IF(COUNTIFS($C$2:$C$5001,C417,$J$2:$J$5001,J417,$A$2:$A$5001,"&lt;"&amp;A417)=0,1,0))</f>
        <v>0</v>
      </c>
    </row>
    <row r="418" customFormat="false" ht="15" hidden="false" customHeight="false" outlineLevel="0" collapsed="false">
      <c r="A418" s="23" t="n">
        <v>45765.5875</v>
      </c>
      <c r="B418" s="24" t="s">
        <v>404</v>
      </c>
      <c r="C418" s="24" t="s">
        <v>389</v>
      </c>
      <c r="D418" s="24" t="s">
        <v>66</v>
      </c>
      <c r="E418" s="24" t="n">
        <v>311</v>
      </c>
      <c r="F418" s="25" t="n">
        <v>0</v>
      </c>
      <c r="G418" s="24" t="s">
        <v>54</v>
      </c>
      <c r="H418" s="24" t="s">
        <v>55</v>
      </c>
      <c r="I418" s="24" t="s">
        <v>56</v>
      </c>
      <c r="J418" s="26" t="n">
        <f aca="false">IF(A418="","",YEAR(A418))</f>
        <v>2025</v>
      </c>
      <c r="K418" s="26" t="n">
        <f aca="false">IF(A418="","",MONTH(A418))</f>
        <v>4</v>
      </c>
      <c r="L418" s="26" t="n">
        <f aca="false">IF(B418="","",VALUE(LEFT(B418,2)))</f>
        <v>8</v>
      </c>
      <c r="M418" s="26" t="n">
        <f aca="false">IF(A418="","",IF(COUNTIFS($C$2:$C$5001,C418,$J$2:$J$5001,J418,$A$2:$A$5001,"&lt;"&amp;A418)=0,1,0))</f>
        <v>0</v>
      </c>
    </row>
    <row r="419" customFormat="false" ht="15" hidden="false" customHeight="false" outlineLevel="0" collapsed="false">
      <c r="A419" s="23" t="n">
        <v>45765.8194444445</v>
      </c>
      <c r="B419" s="24" t="s">
        <v>410</v>
      </c>
      <c r="C419" s="24" t="s">
        <v>290</v>
      </c>
      <c r="D419" s="24" t="s">
        <v>53</v>
      </c>
      <c r="E419" s="24" t="n">
        <v>210</v>
      </c>
      <c r="F419" s="25" t="n">
        <v>3500</v>
      </c>
      <c r="G419" s="24" t="s">
        <v>59</v>
      </c>
      <c r="H419" s="24" t="s">
        <v>80</v>
      </c>
      <c r="I419" s="24" t="s">
        <v>61</v>
      </c>
      <c r="J419" s="26" t="n">
        <f aca="false">IF(A419="","",YEAR(A419))</f>
        <v>2025</v>
      </c>
      <c r="K419" s="26" t="n">
        <f aca="false">IF(A419="","",MONTH(A419))</f>
        <v>4</v>
      </c>
      <c r="L419" s="26" t="n">
        <f aca="false">IF(B419="","",VALUE(LEFT(B419,2)))</f>
        <v>16</v>
      </c>
      <c r="M419" s="26" t="n">
        <f aca="false">IF(A419="","",IF(COUNTIFS($C$2:$C$5001,C419,$J$2:$J$5001,J419,$A$2:$A$5001,"&lt;"&amp;A419)=0,1,0))</f>
        <v>0</v>
      </c>
    </row>
    <row r="420" customFormat="false" ht="15" hidden="false" customHeight="false" outlineLevel="0" collapsed="false">
      <c r="A420" s="23" t="n">
        <v>45765.9138888889</v>
      </c>
      <c r="B420" s="24" t="s">
        <v>530</v>
      </c>
      <c r="C420" s="24" t="s">
        <v>120</v>
      </c>
      <c r="D420" s="24" t="s">
        <v>53</v>
      </c>
      <c r="E420" s="24" t="n">
        <v>357</v>
      </c>
      <c r="F420" s="25" t="n">
        <v>6000</v>
      </c>
      <c r="G420" s="24" t="s">
        <v>59</v>
      </c>
      <c r="H420" s="24" t="s">
        <v>55</v>
      </c>
      <c r="I420" s="24" t="s">
        <v>61</v>
      </c>
      <c r="J420" s="26" t="n">
        <f aca="false">IF(A420="","",YEAR(A420))</f>
        <v>2025</v>
      </c>
      <c r="K420" s="26" t="n">
        <f aca="false">IF(A420="","",MONTH(A420))</f>
        <v>4</v>
      </c>
      <c r="L420" s="26" t="n">
        <f aca="false">IF(B420="","",VALUE(LEFT(B420,2)))</f>
        <v>15</v>
      </c>
      <c r="M420" s="26" t="n">
        <f aca="false">IF(A420="","",IF(COUNTIFS($C$2:$C$5001,C420,$J$2:$J$5001,J420,$A$2:$A$5001,"&lt;"&amp;A420)=0,1,0))</f>
        <v>0</v>
      </c>
    </row>
    <row r="421" customFormat="false" ht="15" hidden="false" customHeight="false" outlineLevel="0" collapsed="false">
      <c r="A421" s="23" t="n">
        <v>45765.9534722222</v>
      </c>
      <c r="B421" s="24" t="s">
        <v>531</v>
      </c>
      <c r="C421" s="24" t="s">
        <v>102</v>
      </c>
      <c r="D421" s="24" t="s">
        <v>66</v>
      </c>
      <c r="E421" s="24" t="n">
        <v>307</v>
      </c>
      <c r="F421" s="25" t="n">
        <v>11000</v>
      </c>
      <c r="G421" s="24" t="s">
        <v>59</v>
      </c>
      <c r="H421" s="24" t="s">
        <v>80</v>
      </c>
      <c r="I421" s="24" t="s">
        <v>61</v>
      </c>
      <c r="J421" s="26" t="n">
        <f aca="false">IF(A421="","",YEAR(A421))</f>
        <v>2025</v>
      </c>
      <c r="K421" s="26" t="n">
        <f aca="false">IF(A421="","",MONTH(A421))</f>
        <v>4</v>
      </c>
      <c r="L421" s="26" t="n">
        <f aca="false">IF(B421="","",VALUE(LEFT(B421,2)))</f>
        <v>17</v>
      </c>
      <c r="M421" s="26" t="n">
        <f aca="false">IF(A421="","",IF(COUNTIFS($C$2:$C$5001,C421,$J$2:$J$5001,J421,$A$2:$A$5001,"&lt;"&amp;A421)=0,1,0))</f>
        <v>0</v>
      </c>
    </row>
    <row r="422" customFormat="false" ht="15" hidden="false" customHeight="false" outlineLevel="0" collapsed="false">
      <c r="A422" s="23" t="n">
        <v>45766.8638888889</v>
      </c>
      <c r="B422" s="24" t="s">
        <v>532</v>
      </c>
      <c r="C422" s="24" t="s">
        <v>131</v>
      </c>
      <c r="D422" s="24" t="s">
        <v>72</v>
      </c>
      <c r="E422" s="24" t="n">
        <v>287</v>
      </c>
      <c r="F422" s="25" t="n">
        <v>20000</v>
      </c>
      <c r="G422" s="24" t="s">
        <v>69</v>
      </c>
      <c r="H422" s="24" t="s">
        <v>80</v>
      </c>
      <c r="I422" s="24" t="s">
        <v>61</v>
      </c>
      <c r="J422" s="26" t="n">
        <f aca="false">IF(A422="","",YEAR(A422))</f>
        <v>2025</v>
      </c>
      <c r="K422" s="26" t="n">
        <f aca="false">IF(A422="","",MONTH(A422))</f>
        <v>4</v>
      </c>
      <c r="L422" s="26" t="n">
        <f aca="false">IF(B422="","",VALUE(LEFT(B422,2)))</f>
        <v>15</v>
      </c>
      <c r="M422" s="26" t="n">
        <f aca="false">IF(A422="","",IF(COUNTIFS($C$2:$C$5001,C422,$J$2:$J$5001,J422,$A$2:$A$5001,"&lt;"&amp;A422)=0,1,0))</f>
        <v>0</v>
      </c>
    </row>
    <row r="423" customFormat="false" ht="15" hidden="false" customHeight="false" outlineLevel="0" collapsed="false">
      <c r="A423" s="23" t="n">
        <v>45766.9479166667</v>
      </c>
      <c r="B423" s="24" t="s">
        <v>533</v>
      </c>
      <c r="C423" s="24" t="s">
        <v>470</v>
      </c>
      <c r="D423" s="24" t="s">
        <v>66</v>
      </c>
      <c r="E423" s="24" t="n">
        <v>359</v>
      </c>
      <c r="F423" s="25" t="n">
        <v>0</v>
      </c>
      <c r="G423" s="24" t="s">
        <v>59</v>
      </c>
      <c r="H423" s="24" t="s">
        <v>60</v>
      </c>
      <c r="I423" s="24" t="s">
        <v>56</v>
      </c>
      <c r="J423" s="26" t="n">
        <f aca="false">IF(A423="","",YEAR(A423))</f>
        <v>2025</v>
      </c>
      <c r="K423" s="26" t="n">
        <f aca="false">IF(A423="","",MONTH(A423))</f>
        <v>4</v>
      </c>
      <c r="L423" s="26" t="n">
        <f aca="false">IF(B423="","",VALUE(LEFT(B423,2)))</f>
        <v>16</v>
      </c>
      <c r="M423" s="26" t="n">
        <f aca="false">IF(A423="","",IF(COUNTIFS($C$2:$C$5001,C423,$J$2:$J$5001,J423,$A$2:$A$5001,"&lt;"&amp;A423)=0,1,0))</f>
        <v>0</v>
      </c>
    </row>
    <row r="424" customFormat="false" ht="15" hidden="false" customHeight="false" outlineLevel="0" collapsed="false">
      <c r="A424" s="23" t="n">
        <v>45767.0215277778</v>
      </c>
      <c r="B424" s="24" t="s">
        <v>534</v>
      </c>
      <c r="C424" s="24" t="s">
        <v>231</v>
      </c>
      <c r="D424" s="24" t="s">
        <v>66</v>
      </c>
      <c r="E424" s="24" t="n">
        <v>267</v>
      </c>
      <c r="F424" s="25" t="n">
        <v>9000</v>
      </c>
      <c r="G424" s="24" t="s">
        <v>59</v>
      </c>
      <c r="H424" s="24" t="s">
        <v>60</v>
      </c>
      <c r="I424" s="24" t="s">
        <v>61</v>
      </c>
      <c r="J424" s="26" t="n">
        <f aca="false">IF(A424="","",YEAR(A424))</f>
        <v>2025</v>
      </c>
      <c r="K424" s="26" t="n">
        <f aca="false">IF(A424="","",MONTH(A424))</f>
        <v>4</v>
      </c>
      <c r="L424" s="26" t="n">
        <f aca="false">IF(B424="","",VALUE(LEFT(B424,2)))</f>
        <v>20</v>
      </c>
      <c r="M424" s="26" t="n">
        <f aca="false">IF(A424="","",IF(COUNTIFS($C$2:$C$5001,C424,$J$2:$J$5001,J424,$A$2:$A$5001,"&lt;"&amp;A424)=0,1,0))</f>
        <v>0</v>
      </c>
    </row>
    <row r="425" customFormat="false" ht="15" hidden="false" customHeight="false" outlineLevel="0" collapsed="false">
      <c r="A425" s="23" t="n">
        <v>45767.5930555556</v>
      </c>
      <c r="B425" s="24" t="s">
        <v>257</v>
      </c>
      <c r="C425" s="24" t="s">
        <v>535</v>
      </c>
      <c r="D425" s="24" t="s">
        <v>72</v>
      </c>
      <c r="E425" s="24" t="n">
        <v>237</v>
      </c>
      <c r="F425" s="25" t="n">
        <v>16000</v>
      </c>
      <c r="G425" s="24" t="s">
        <v>79</v>
      </c>
      <c r="H425" s="24" t="s">
        <v>80</v>
      </c>
      <c r="I425" s="24" t="s">
        <v>61</v>
      </c>
      <c r="J425" s="26" t="n">
        <f aca="false">IF(A425="","",YEAR(A425))</f>
        <v>2025</v>
      </c>
      <c r="K425" s="26" t="n">
        <f aca="false">IF(A425="","",MONTH(A425))</f>
        <v>4</v>
      </c>
      <c r="L425" s="26" t="n">
        <f aca="false">IF(B425="","",VALUE(LEFT(B425,2)))</f>
        <v>10</v>
      </c>
      <c r="M425" s="26" t="n">
        <f aca="false">IF(A425="","",IF(COUNTIFS($C$2:$C$5001,C425,$J$2:$J$5001,J425,$A$2:$A$5001,"&lt;"&amp;A425)=0,1,0))</f>
        <v>1</v>
      </c>
    </row>
    <row r="426" customFormat="false" ht="15" hidden="false" customHeight="false" outlineLevel="0" collapsed="false">
      <c r="A426" s="23" t="n">
        <v>45767.8027777778</v>
      </c>
      <c r="B426" s="24" t="s">
        <v>496</v>
      </c>
      <c r="C426" s="24" t="s">
        <v>389</v>
      </c>
      <c r="D426" s="24" t="s">
        <v>66</v>
      </c>
      <c r="E426" s="24" t="n">
        <v>265</v>
      </c>
      <c r="F426" s="25" t="n">
        <v>9000</v>
      </c>
      <c r="G426" s="24" t="s">
        <v>59</v>
      </c>
      <c r="H426" s="24" t="s">
        <v>55</v>
      </c>
      <c r="I426" s="24" t="s">
        <v>61</v>
      </c>
      <c r="J426" s="26" t="n">
        <f aca="false">IF(A426="","",YEAR(A426))</f>
        <v>2025</v>
      </c>
      <c r="K426" s="26" t="n">
        <f aca="false">IF(A426="","",MONTH(A426))</f>
        <v>4</v>
      </c>
      <c r="L426" s="26" t="n">
        <f aca="false">IF(B426="","",VALUE(LEFT(B426,2)))</f>
        <v>14</v>
      </c>
      <c r="M426" s="26" t="n">
        <f aca="false">IF(A426="","",IF(COUNTIFS($C$2:$C$5001,C426,$J$2:$J$5001,J426,$A$2:$A$5001,"&lt;"&amp;A426)=0,1,0))</f>
        <v>0</v>
      </c>
    </row>
    <row r="427" customFormat="false" ht="15" hidden="false" customHeight="false" outlineLevel="0" collapsed="false">
      <c r="A427" s="23" t="n">
        <v>45767.8076388889</v>
      </c>
      <c r="B427" s="24" t="s">
        <v>476</v>
      </c>
      <c r="C427" s="24" t="s">
        <v>63</v>
      </c>
      <c r="D427" s="24" t="s">
        <v>66</v>
      </c>
      <c r="E427" s="24" t="n">
        <v>70</v>
      </c>
      <c r="F427" s="25" t="n">
        <v>3000</v>
      </c>
      <c r="G427" s="24" t="s">
        <v>69</v>
      </c>
      <c r="H427" s="24" t="s">
        <v>80</v>
      </c>
      <c r="I427" s="24" t="s">
        <v>61</v>
      </c>
      <c r="J427" s="26" t="n">
        <f aca="false">IF(A427="","",YEAR(A427))</f>
        <v>2025</v>
      </c>
      <c r="K427" s="26" t="n">
        <f aca="false">IF(A427="","",MONTH(A427))</f>
        <v>4</v>
      </c>
      <c r="L427" s="26" t="n">
        <f aca="false">IF(B427="","",VALUE(LEFT(B427,2)))</f>
        <v>18</v>
      </c>
      <c r="M427" s="26" t="n">
        <f aca="false">IF(A427="","",IF(COUNTIFS($C$2:$C$5001,C427,$J$2:$J$5001,J427,$A$2:$A$5001,"&lt;"&amp;A427)=0,1,0))</f>
        <v>0</v>
      </c>
    </row>
    <row r="428" customFormat="false" ht="15" hidden="false" customHeight="false" outlineLevel="0" collapsed="false">
      <c r="A428" s="23" t="n">
        <v>45768.0534722222</v>
      </c>
      <c r="B428" s="24" t="s">
        <v>536</v>
      </c>
      <c r="C428" s="24" t="s">
        <v>158</v>
      </c>
      <c r="D428" s="24" t="s">
        <v>66</v>
      </c>
      <c r="E428" s="24" t="n">
        <v>364</v>
      </c>
      <c r="F428" s="25" t="n">
        <v>0</v>
      </c>
      <c r="G428" s="24" t="s">
        <v>69</v>
      </c>
      <c r="H428" s="24" t="s">
        <v>55</v>
      </c>
      <c r="I428" s="24" t="s">
        <v>56</v>
      </c>
      <c r="J428" s="26" t="n">
        <f aca="false">IF(A428="","",YEAR(A428))</f>
        <v>2025</v>
      </c>
      <c r="K428" s="26" t="n">
        <f aca="false">IF(A428="","",MONTH(A428))</f>
        <v>4</v>
      </c>
      <c r="L428" s="26" t="n">
        <f aca="false">IF(B428="","",VALUE(LEFT(B428,2)))</f>
        <v>19</v>
      </c>
      <c r="M428" s="26" t="n">
        <f aca="false">IF(A428="","",IF(COUNTIFS($C$2:$C$5001,C428,$J$2:$J$5001,J428,$A$2:$A$5001,"&lt;"&amp;A428)=0,1,0))</f>
        <v>0</v>
      </c>
    </row>
    <row r="429" customFormat="false" ht="15" hidden="false" customHeight="false" outlineLevel="0" collapsed="false">
      <c r="A429" s="23" t="n">
        <v>45768.3451388889</v>
      </c>
      <c r="B429" s="24" t="s">
        <v>242</v>
      </c>
      <c r="C429" s="24" t="s">
        <v>58</v>
      </c>
      <c r="D429" s="24" t="s">
        <v>53</v>
      </c>
      <c r="E429" s="24" t="n">
        <v>94</v>
      </c>
      <c r="F429" s="25" t="n">
        <v>2000</v>
      </c>
      <c r="G429" s="24" t="s">
        <v>69</v>
      </c>
      <c r="H429" s="24" t="s">
        <v>55</v>
      </c>
      <c r="I429" s="24" t="s">
        <v>61</v>
      </c>
      <c r="J429" s="26" t="n">
        <f aca="false">IF(A429="","",YEAR(A429))</f>
        <v>2025</v>
      </c>
      <c r="K429" s="26" t="n">
        <f aca="false">IF(A429="","",MONTH(A429))</f>
        <v>4</v>
      </c>
      <c r="L429" s="26" t="n">
        <f aca="false">IF(B429="","",VALUE(LEFT(B429,2)))</f>
        <v>6</v>
      </c>
      <c r="M429" s="26" t="n">
        <f aca="false">IF(A429="","",IF(COUNTIFS($C$2:$C$5001,C429,$J$2:$J$5001,J429,$A$2:$A$5001,"&lt;"&amp;A429)=0,1,0))</f>
        <v>0</v>
      </c>
    </row>
    <row r="430" customFormat="false" ht="15" hidden="false" customHeight="false" outlineLevel="0" collapsed="false">
      <c r="A430" s="23" t="n">
        <v>45768.5027777778</v>
      </c>
      <c r="B430" s="24" t="s">
        <v>537</v>
      </c>
      <c r="C430" s="24" t="s">
        <v>177</v>
      </c>
      <c r="D430" s="24" t="s">
        <v>66</v>
      </c>
      <c r="E430" s="24" t="n">
        <v>35</v>
      </c>
      <c r="F430" s="25" t="n">
        <v>2000</v>
      </c>
      <c r="G430" s="24" t="s">
        <v>79</v>
      </c>
      <c r="H430" s="24" t="s">
        <v>55</v>
      </c>
      <c r="I430" s="24" t="s">
        <v>61</v>
      </c>
      <c r="J430" s="26" t="n">
        <f aca="false">IF(A430="","",YEAR(A430))</f>
        <v>2025</v>
      </c>
      <c r="K430" s="26" t="n">
        <f aca="false">IF(A430="","",MONTH(A430))</f>
        <v>4</v>
      </c>
      <c r="L430" s="26" t="n">
        <f aca="false">IF(B430="","",VALUE(LEFT(B430,2)))</f>
        <v>11</v>
      </c>
      <c r="M430" s="26" t="n">
        <f aca="false">IF(A430="","",IF(COUNTIFS($C$2:$C$5001,C430,$J$2:$J$5001,J430,$A$2:$A$5001,"&lt;"&amp;A430)=0,1,0))</f>
        <v>0</v>
      </c>
    </row>
    <row r="431" customFormat="false" ht="15" hidden="false" customHeight="false" outlineLevel="0" collapsed="false">
      <c r="A431" s="23" t="n">
        <v>45768.5243055556</v>
      </c>
      <c r="B431" s="24" t="s">
        <v>538</v>
      </c>
      <c r="C431" s="24" t="s">
        <v>463</v>
      </c>
      <c r="D431" s="24" t="s">
        <v>53</v>
      </c>
      <c r="E431" s="24" t="n">
        <v>186</v>
      </c>
      <c r="F431" s="25" t="n">
        <v>3500</v>
      </c>
      <c r="G431" s="24" t="s">
        <v>59</v>
      </c>
      <c r="H431" s="24" t="s">
        <v>60</v>
      </c>
      <c r="I431" s="24" t="s">
        <v>61</v>
      </c>
      <c r="J431" s="26" t="n">
        <f aca="false">IF(A431="","",YEAR(A431))</f>
        <v>2025</v>
      </c>
      <c r="K431" s="26" t="n">
        <f aca="false">IF(A431="","",MONTH(A431))</f>
        <v>4</v>
      </c>
      <c r="L431" s="26" t="n">
        <f aca="false">IF(B431="","",VALUE(LEFT(B431,2)))</f>
        <v>9</v>
      </c>
      <c r="M431" s="26" t="n">
        <f aca="false">IF(A431="","",IF(COUNTIFS($C$2:$C$5001,C431,$J$2:$J$5001,J431,$A$2:$A$5001,"&lt;"&amp;A431)=0,1,0))</f>
        <v>0</v>
      </c>
    </row>
    <row r="432" customFormat="false" ht="15" hidden="false" customHeight="false" outlineLevel="0" collapsed="false">
      <c r="A432" s="23" t="n">
        <v>45768.5465277778</v>
      </c>
      <c r="B432" s="24" t="s">
        <v>539</v>
      </c>
      <c r="C432" s="24" t="s">
        <v>82</v>
      </c>
      <c r="D432" s="24" t="s">
        <v>53</v>
      </c>
      <c r="E432" s="24" t="n">
        <v>147</v>
      </c>
      <c r="F432" s="25" t="n">
        <v>0</v>
      </c>
      <c r="G432" s="24" t="s">
        <v>69</v>
      </c>
      <c r="H432" s="24" t="s">
        <v>80</v>
      </c>
      <c r="I432" s="24" t="s">
        <v>56</v>
      </c>
      <c r="J432" s="26" t="n">
        <f aca="false">IF(A432="","",YEAR(A432))</f>
        <v>2025</v>
      </c>
      <c r="K432" s="26" t="n">
        <f aca="false">IF(A432="","",MONTH(A432))</f>
        <v>4</v>
      </c>
      <c r="L432" s="26" t="n">
        <f aca="false">IF(B432="","",VALUE(LEFT(B432,2)))</f>
        <v>10</v>
      </c>
      <c r="M432" s="26" t="n">
        <f aca="false">IF(A432="","",IF(COUNTIFS($C$2:$C$5001,C432,$J$2:$J$5001,J432,$A$2:$A$5001,"&lt;"&amp;A432)=0,1,0))</f>
        <v>0</v>
      </c>
    </row>
    <row r="433" customFormat="false" ht="15" hidden="false" customHeight="false" outlineLevel="0" collapsed="false">
      <c r="A433" s="23" t="n">
        <v>45768.5638888889</v>
      </c>
      <c r="B433" s="24" t="s">
        <v>540</v>
      </c>
      <c r="C433" s="24" t="s">
        <v>470</v>
      </c>
      <c r="D433" s="24" t="s">
        <v>66</v>
      </c>
      <c r="E433" s="24" t="n">
        <v>156</v>
      </c>
      <c r="F433" s="25" t="n">
        <v>6000</v>
      </c>
      <c r="G433" s="24" t="s">
        <v>59</v>
      </c>
      <c r="H433" s="24" t="s">
        <v>80</v>
      </c>
      <c r="I433" s="24" t="s">
        <v>61</v>
      </c>
      <c r="J433" s="26" t="n">
        <f aca="false">IF(A433="","",YEAR(A433))</f>
        <v>2025</v>
      </c>
      <c r="K433" s="26" t="n">
        <f aca="false">IF(A433="","",MONTH(A433))</f>
        <v>4</v>
      </c>
      <c r="L433" s="26" t="n">
        <f aca="false">IF(B433="","",VALUE(LEFT(B433,2)))</f>
        <v>10</v>
      </c>
      <c r="M433" s="26" t="n">
        <f aca="false">IF(A433="","",IF(COUNTIFS($C$2:$C$5001,C433,$J$2:$J$5001,J433,$A$2:$A$5001,"&lt;"&amp;A433)=0,1,0))</f>
        <v>0</v>
      </c>
    </row>
    <row r="434" customFormat="false" ht="15" hidden="false" customHeight="false" outlineLevel="0" collapsed="false">
      <c r="A434" s="23" t="n">
        <v>45768.6034722222</v>
      </c>
      <c r="B434" s="24" t="s">
        <v>541</v>
      </c>
      <c r="C434" s="24" t="s">
        <v>85</v>
      </c>
      <c r="D434" s="24" t="s">
        <v>66</v>
      </c>
      <c r="E434" s="24" t="n">
        <v>276</v>
      </c>
      <c r="F434" s="25" t="n">
        <v>10000</v>
      </c>
      <c r="G434" s="24" t="s">
        <v>59</v>
      </c>
      <c r="H434" s="24" t="s">
        <v>80</v>
      </c>
      <c r="I434" s="24" t="s">
        <v>61</v>
      </c>
      <c r="J434" s="26" t="n">
        <f aca="false">IF(A434="","",YEAR(A434))</f>
        <v>2025</v>
      </c>
      <c r="K434" s="26" t="n">
        <f aca="false">IF(A434="","",MONTH(A434))</f>
        <v>4</v>
      </c>
      <c r="L434" s="26" t="n">
        <f aca="false">IF(B434="","",VALUE(LEFT(B434,2)))</f>
        <v>9</v>
      </c>
      <c r="M434" s="26" t="n">
        <f aca="false">IF(A434="","",IF(COUNTIFS($C$2:$C$5001,C434,$J$2:$J$5001,J434,$A$2:$A$5001,"&lt;"&amp;A434)=0,1,0))</f>
        <v>0</v>
      </c>
    </row>
    <row r="435" customFormat="false" ht="15" hidden="false" customHeight="false" outlineLevel="0" collapsed="false">
      <c r="A435" s="23" t="n">
        <v>45768.7659722222</v>
      </c>
      <c r="B435" s="24" t="s">
        <v>542</v>
      </c>
      <c r="C435" s="24" t="s">
        <v>343</v>
      </c>
      <c r="D435" s="24" t="s">
        <v>66</v>
      </c>
      <c r="E435" s="24" t="n">
        <v>332</v>
      </c>
      <c r="F435" s="25" t="n">
        <v>12000</v>
      </c>
      <c r="G435" s="24" t="s">
        <v>79</v>
      </c>
      <c r="H435" s="24" t="s">
        <v>80</v>
      </c>
      <c r="I435" s="24" t="s">
        <v>61</v>
      </c>
      <c r="J435" s="26" t="n">
        <f aca="false">IF(A435="","",YEAR(A435))</f>
        <v>2025</v>
      </c>
      <c r="K435" s="26" t="n">
        <f aca="false">IF(A435="","",MONTH(A435))</f>
        <v>4</v>
      </c>
      <c r="L435" s="26" t="n">
        <f aca="false">IF(B435="","",VALUE(LEFT(B435,2)))</f>
        <v>12</v>
      </c>
      <c r="M435" s="26" t="n">
        <f aca="false">IF(A435="","",IF(COUNTIFS($C$2:$C$5001,C435,$J$2:$J$5001,J435,$A$2:$A$5001,"&lt;"&amp;A435)=0,1,0))</f>
        <v>0</v>
      </c>
    </row>
    <row r="436" customFormat="false" ht="15" hidden="false" customHeight="false" outlineLevel="0" collapsed="false">
      <c r="A436" s="23" t="n">
        <v>45768.81875</v>
      </c>
      <c r="B436" s="24" t="s">
        <v>219</v>
      </c>
      <c r="C436" s="24" t="s">
        <v>179</v>
      </c>
      <c r="D436" s="24" t="s">
        <v>66</v>
      </c>
      <c r="E436" s="24" t="n">
        <v>23</v>
      </c>
      <c r="F436" s="25" t="n">
        <v>1000</v>
      </c>
      <c r="G436" s="24" t="s">
        <v>59</v>
      </c>
      <c r="H436" s="24" t="s">
        <v>60</v>
      </c>
      <c r="I436" s="24" t="s">
        <v>61</v>
      </c>
      <c r="J436" s="26" t="n">
        <f aca="false">IF(A436="","",YEAR(A436))</f>
        <v>2025</v>
      </c>
      <c r="K436" s="26" t="n">
        <f aca="false">IF(A436="","",MONTH(A436))</f>
        <v>4</v>
      </c>
      <c r="L436" s="26" t="n">
        <f aca="false">IF(B436="","",VALUE(LEFT(B436,2)))</f>
        <v>19</v>
      </c>
      <c r="M436" s="26" t="n">
        <f aca="false">IF(A436="","",IF(COUNTIFS($C$2:$C$5001,C436,$J$2:$J$5001,J436,$A$2:$A$5001,"&lt;"&amp;A436)=0,1,0))</f>
        <v>0</v>
      </c>
    </row>
    <row r="437" customFormat="false" ht="15" hidden="false" customHeight="false" outlineLevel="0" collapsed="false">
      <c r="A437" s="23" t="n">
        <v>45768.9416666667</v>
      </c>
      <c r="B437" s="24" t="s">
        <v>543</v>
      </c>
      <c r="C437" s="24" t="s">
        <v>544</v>
      </c>
      <c r="D437" s="24" t="s">
        <v>53</v>
      </c>
      <c r="E437" s="24" t="n">
        <v>196</v>
      </c>
      <c r="F437" s="25" t="n">
        <v>3500</v>
      </c>
      <c r="G437" s="24" t="s">
        <v>54</v>
      </c>
      <c r="H437" s="24" t="s">
        <v>55</v>
      </c>
      <c r="I437" s="24" t="s">
        <v>61</v>
      </c>
      <c r="J437" s="26" t="n">
        <f aca="false">IF(A437="","",YEAR(A437))</f>
        <v>2025</v>
      </c>
      <c r="K437" s="26" t="n">
        <f aca="false">IF(A437="","",MONTH(A437))</f>
        <v>4</v>
      </c>
      <c r="L437" s="26" t="n">
        <f aca="false">IF(B437="","",VALUE(LEFT(B437,2)))</f>
        <v>19</v>
      </c>
      <c r="M437" s="26" t="n">
        <f aca="false">IF(A437="","",IF(COUNTIFS($C$2:$C$5001,C437,$J$2:$J$5001,J437,$A$2:$A$5001,"&lt;"&amp;A437)=0,1,0))</f>
        <v>1</v>
      </c>
    </row>
    <row r="438" customFormat="false" ht="15" hidden="false" customHeight="false" outlineLevel="0" collapsed="false">
      <c r="A438" s="23" t="n">
        <v>45768.9729166667</v>
      </c>
      <c r="B438" s="24" t="s">
        <v>394</v>
      </c>
      <c r="C438" s="24" t="s">
        <v>286</v>
      </c>
      <c r="D438" s="24" t="s">
        <v>72</v>
      </c>
      <c r="E438" s="24" t="n">
        <v>291</v>
      </c>
      <c r="F438" s="25" t="n">
        <v>0</v>
      </c>
      <c r="G438" s="24" t="s">
        <v>59</v>
      </c>
      <c r="H438" s="24" t="s">
        <v>60</v>
      </c>
      <c r="I438" s="24" t="s">
        <v>56</v>
      </c>
      <c r="J438" s="26" t="n">
        <f aca="false">IF(A438="","",YEAR(A438))</f>
        <v>2025</v>
      </c>
      <c r="K438" s="26" t="n">
        <f aca="false">IF(A438="","",MONTH(A438))</f>
        <v>4</v>
      </c>
      <c r="L438" s="26" t="n">
        <f aca="false">IF(B438="","",VALUE(LEFT(B438,2)))</f>
        <v>18</v>
      </c>
      <c r="M438" s="26" t="n">
        <f aca="false">IF(A438="","",IF(COUNTIFS($C$2:$C$5001,C438,$J$2:$J$5001,J438,$A$2:$A$5001,"&lt;"&amp;A438)=0,1,0))</f>
        <v>0</v>
      </c>
    </row>
    <row r="439" customFormat="false" ht="15" hidden="false" customHeight="false" outlineLevel="0" collapsed="false">
      <c r="A439" s="23" t="n">
        <v>45769.4715277778</v>
      </c>
      <c r="B439" s="24" t="s">
        <v>545</v>
      </c>
      <c r="C439" s="24" t="s">
        <v>265</v>
      </c>
      <c r="D439" s="24" t="s">
        <v>53</v>
      </c>
      <c r="E439" s="24" t="n">
        <v>116</v>
      </c>
      <c r="F439" s="25" t="n">
        <v>2000</v>
      </c>
      <c r="G439" s="24" t="s">
        <v>69</v>
      </c>
      <c r="H439" s="24" t="s">
        <v>55</v>
      </c>
      <c r="I439" s="24" t="s">
        <v>61</v>
      </c>
      <c r="J439" s="26" t="n">
        <f aca="false">IF(A439="","",YEAR(A439))</f>
        <v>2025</v>
      </c>
      <c r="K439" s="26" t="n">
        <f aca="false">IF(A439="","",MONTH(A439))</f>
        <v>4</v>
      </c>
      <c r="L439" s="26" t="n">
        <f aca="false">IF(B439="","",VALUE(LEFT(B439,2)))</f>
        <v>9</v>
      </c>
      <c r="M439" s="26" t="n">
        <f aca="false">IF(A439="","",IF(COUNTIFS($C$2:$C$5001,C439,$J$2:$J$5001,J439,$A$2:$A$5001,"&lt;"&amp;A439)=0,1,0))</f>
        <v>0</v>
      </c>
    </row>
    <row r="440" customFormat="false" ht="15" hidden="false" customHeight="false" outlineLevel="0" collapsed="false">
      <c r="A440" s="23" t="n">
        <v>45769.4784722222</v>
      </c>
      <c r="B440" s="24" t="s">
        <v>137</v>
      </c>
      <c r="C440" s="24" t="s">
        <v>430</v>
      </c>
      <c r="D440" s="24" t="s">
        <v>72</v>
      </c>
      <c r="E440" s="24" t="n">
        <v>166</v>
      </c>
      <c r="F440" s="25" t="n">
        <v>0</v>
      </c>
      <c r="G440" s="24" t="s">
        <v>59</v>
      </c>
      <c r="H440" s="24" t="s">
        <v>60</v>
      </c>
      <c r="I440" s="24" t="s">
        <v>56</v>
      </c>
      <c r="J440" s="26" t="n">
        <f aca="false">IF(A440="","",YEAR(A440))</f>
        <v>2025</v>
      </c>
      <c r="K440" s="26" t="n">
        <f aca="false">IF(A440="","",MONTH(A440))</f>
        <v>4</v>
      </c>
      <c r="L440" s="26" t="n">
        <f aca="false">IF(B440="","",VALUE(LEFT(B440,2)))</f>
        <v>8</v>
      </c>
      <c r="M440" s="26" t="n">
        <f aca="false">IF(A440="","",IF(COUNTIFS($C$2:$C$5001,C440,$J$2:$J$5001,J440,$A$2:$A$5001,"&lt;"&amp;A440)=0,1,0))</f>
        <v>0</v>
      </c>
    </row>
    <row r="441" customFormat="false" ht="15" hidden="false" customHeight="false" outlineLevel="0" collapsed="false">
      <c r="A441" s="23" t="n">
        <v>45769.5638888889</v>
      </c>
      <c r="B441" s="24" t="s">
        <v>328</v>
      </c>
      <c r="C441" s="24" t="s">
        <v>546</v>
      </c>
      <c r="D441" s="24" t="s">
        <v>72</v>
      </c>
      <c r="E441" s="24" t="n">
        <v>97</v>
      </c>
      <c r="F441" s="25" t="n">
        <v>8000</v>
      </c>
      <c r="G441" s="24" t="s">
        <v>59</v>
      </c>
      <c r="H441" s="24" t="s">
        <v>60</v>
      </c>
      <c r="I441" s="24" t="s">
        <v>61</v>
      </c>
      <c r="J441" s="26" t="n">
        <f aca="false">IF(A441="","",YEAR(A441))</f>
        <v>2025</v>
      </c>
      <c r="K441" s="26" t="n">
        <f aca="false">IF(A441="","",MONTH(A441))</f>
        <v>4</v>
      </c>
      <c r="L441" s="26" t="n">
        <f aca="false">IF(B441="","",VALUE(LEFT(B441,2)))</f>
        <v>11</v>
      </c>
      <c r="M441" s="26" t="n">
        <f aca="false">IF(A441="","",IF(COUNTIFS($C$2:$C$5001,C441,$J$2:$J$5001,J441,$A$2:$A$5001,"&lt;"&amp;A441)=0,1,0))</f>
        <v>1</v>
      </c>
    </row>
    <row r="442" customFormat="false" ht="15" hidden="false" customHeight="false" outlineLevel="0" collapsed="false">
      <c r="A442" s="23" t="n">
        <v>45770.4944444444</v>
      </c>
      <c r="B442" s="24" t="s">
        <v>504</v>
      </c>
      <c r="C442" s="24" t="s">
        <v>138</v>
      </c>
      <c r="D442" s="24" t="s">
        <v>66</v>
      </c>
      <c r="E442" s="24" t="n">
        <v>233</v>
      </c>
      <c r="F442" s="25" t="n">
        <v>8000</v>
      </c>
      <c r="G442" s="24" t="s">
        <v>59</v>
      </c>
      <c r="H442" s="24" t="s">
        <v>55</v>
      </c>
      <c r="I442" s="24" t="s">
        <v>61</v>
      </c>
      <c r="J442" s="26" t="n">
        <f aca="false">IF(A442="","",YEAR(A442))</f>
        <v>2025</v>
      </c>
      <c r="K442" s="26" t="n">
        <f aca="false">IF(A442="","",MONTH(A442))</f>
        <v>4</v>
      </c>
      <c r="L442" s="26" t="n">
        <f aca="false">IF(B442="","",VALUE(LEFT(B442,2)))</f>
        <v>7</v>
      </c>
      <c r="M442" s="26" t="n">
        <f aca="false">IF(A442="","",IF(COUNTIFS($C$2:$C$5001,C442,$J$2:$J$5001,J442,$A$2:$A$5001,"&lt;"&amp;A442)=0,1,0))</f>
        <v>0</v>
      </c>
    </row>
    <row r="443" customFormat="false" ht="15" hidden="false" customHeight="false" outlineLevel="0" collapsed="false">
      <c r="A443" s="23" t="n">
        <v>45770.5340277778</v>
      </c>
      <c r="B443" s="24" t="s">
        <v>242</v>
      </c>
      <c r="C443" s="24" t="s">
        <v>186</v>
      </c>
      <c r="D443" s="24" t="s">
        <v>53</v>
      </c>
      <c r="E443" s="24" t="n">
        <v>366</v>
      </c>
      <c r="F443" s="25" t="n">
        <v>6500</v>
      </c>
      <c r="G443" s="24" t="s">
        <v>69</v>
      </c>
      <c r="H443" s="24" t="s">
        <v>55</v>
      </c>
      <c r="I443" s="24" t="s">
        <v>61</v>
      </c>
      <c r="J443" s="26" t="n">
        <f aca="false">IF(A443="","",YEAR(A443))</f>
        <v>2025</v>
      </c>
      <c r="K443" s="26" t="n">
        <f aca="false">IF(A443="","",MONTH(A443))</f>
        <v>4</v>
      </c>
      <c r="L443" s="26" t="n">
        <f aca="false">IF(B443="","",VALUE(LEFT(B443,2)))</f>
        <v>6</v>
      </c>
      <c r="M443" s="26" t="n">
        <f aca="false">IF(A443="","",IF(COUNTIFS($C$2:$C$5001,C443,$J$2:$J$5001,J443,$A$2:$A$5001,"&lt;"&amp;A443)=0,1,0))</f>
        <v>0</v>
      </c>
    </row>
    <row r="444" customFormat="false" ht="15" hidden="false" customHeight="false" outlineLevel="0" collapsed="false">
      <c r="A444" s="23" t="n">
        <v>45770.5354166667</v>
      </c>
      <c r="B444" s="24" t="s">
        <v>547</v>
      </c>
      <c r="C444" s="24" t="s">
        <v>406</v>
      </c>
      <c r="D444" s="24" t="s">
        <v>66</v>
      </c>
      <c r="E444" s="24" t="n">
        <v>379</v>
      </c>
      <c r="F444" s="25" t="n">
        <v>13000</v>
      </c>
      <c r="G444" s="24" t="s">
        <v>69</v>
      </c>
      <c r="H444" s="24" t="s">
        <v>80</v>
      </c>
      <c r="I444" s="24" t="s">
        <v>61</v>
      </c>
      <c r="J444" s="26" t="n">
        <f aca="false">IF(A444="","",YEAR(A444))</f>
        <v>2025</v>
      </c>
      <c r="K444" s="26" t="n">
        <f aca="false">IF(A444="","",MONTH(A444))</f>
        <v>4</v>
      </c>
      <c r="L444" s="26" t="n">
        <f aca="false">IF(B444="","",VALUE(LEFT(B444,2)))</f>
        <v>6</v>
      </c>
      <c r="M444" s="26" t="n">
        <f aca="false">IF(A444="","",IF(COUNTIFS($C$2:$C$5001,C444,$J$2:$J$5001,J444,$A$2:$A$5001,"&lt;"&amp;A444)=0,1,0))</f>
        <v>0</v>
      </c>
    </row>
    <row r="445" customFormat="false" ht="15" hidden="false" customHeight="false" outlineLevel="0" collapsed="false">
      <c r="A445" s="23" t="n">
        <v>45770.5583333333</v>
      </c>
      <c r="B445" s="24" t="s">
        <v>548</v>
      </c>
      <c r="C445" s="24" t="s">
        <v>74</v>
      </c>
      <c r="D445" s="24" t="s">
        <v>66</v>
      </c>
      <c r="E445" s="24" t="n">
        <v>257</v>
      </c>
      <c r="F445" s="25" t="n">
        <v>9000</v>
      </c>
      <c r="G445" s="24" t="s">
        <v>59</v>
      </c>
      <c r="H445" s="24" t="s">
        <v>60</v>
      </c>
      <c r="I445" s="24" t="s">
        <v>61</v>
      </c>
      <c r="J445" s="26" t="n">
        <f aca="false">IF(A445="","",YEAR(A445))</f>
        <v>2025</v>
      </c>
      <c r="K445" s="26" t="n">
        <f aca="false">IF(A445="","",MONTH(A445))</f>
        <v>4</v>
      </c>
      <c r="L445" s="26" t="n">
        <f aca="false">IF(B445="","",VALUE(LEFT(B445,2)))</f>
        <v>9</v>
      </c>
      <c r="M445" s="26" t="n">
        <f aca="false">IF(A445="","",IF(COUNTIFS($C$2:$C$5001,C445,$J$2:$J$5001,J445,$A$2:$A$5001,"&lt;"&amp;A445)=0,1,0))</f>
        <v>0</v>
      </c>
    </row>
    <row r="446" customFormat="false" ht="15" hidden="false" customHeight="false" outlineLevel="0" collapsed="false">
      <c r="A446" s="23" t="n">
        <v>45770.6166666667</v>
      </c>
      <c r="B446" s="24" t="s">
        <v>84</v>
      </c>
      <c r="C446" s="24" t="s">
        <v>186</v>
      </c>
      <c r="D446" s="24" t="s">
        <v>72</v>
      </c>
      <c r="E446" s="24" t="n">
        <v>256</v>
      </c>
      <c r="F446" s="25" t="n">
        <v>18000</v>
      </c>
      <c r="G446" s="24" t="s">
        <v>59</v>
      </c>
      <c r="H446" s="24" t="s">
        <v>80</v>
      </c>
      <c r="I446" s="24" t="s">
        <v>61</v>
      </c>
      <c r="J446" s="26" t="n">
        <f aca="false">IF(A446="","",YEAR(A446))</f>
        <v>2025</v>
      </c>
      <c r="K446" s="26" t="n">
        <f aca="false">IF(A446="","",MONTH(A446))</f>
        <v>4</v>
      </c>
      <c r="L446" s="26" t="n">
        <f aca="false">IF(B446="","",VALUE(LEFT(B446,2)))</f>
        <v>10</v>
      </c>
      <c r="M446" s="26" t="n">
        <f aca="false">IF(A446="","",IF(COUNTIFS($C$2:$C$5001,C446,$J$2:$J$5001,J446,$A$2:$A$5001,"&lt;"&amp;A446)=0,1,0))</f>
        <v>0</v>
      </c>
    </row>
    <row r="447" customFormat="false" ht="15" hidden="false" customHeight="false" outlineLevel="0" collapsed="false">
      <c r="A447" s="23" t="n">
        <v>45770.7625</v>
      </c>
      <c r="B447" s="24" t="s">
        <v>146</v>
      </c>
      <c r="C447" s="24" t="s">
        <v>147</v>
      </c>
      <c r="D447" s="24" t="s">
        <v>66</v>
      </c>
      <c r="E447" s="24" t="n">
        <v>97</v>
      </c>
      <c r="F447" s="25" t="n">
        <v>3400</v>
      </c>
      <c r="G447" s="24" t="s">
        <v>79</v>
      </c>
      <c r="H447" s="24" t="s">
        <v>55</v>
      </c>
      <c r="I447" s="24" t="s">
        <v>113</v>
      </c>
      <c r="J447" s="26" t="n">
        <f aca="false">IF(A447="","",YEAR(A447))</f>
        <v>2025</v>
      </c>
      <c r="K447" s="26" t="n">
        <f aca="false">IF(A447="","",MONTH(A447))</f>
        <v>4</v>
      </c>
      <c r="L447" s="26" t="n">
        <f aca="false">IF(B447="","",VALUE(LEFT(B447,2)))</f>
        <v>16</v>
      </c>
      <c r="M447" s="26" t="n">
        <f aca="false">IF(A447="","",IF(COUNTIFS($C$2:$C$5001,C447,$J$2:$J$5001,J447,$A$2:$A$5001,"&lt;"&amp;A447)=0,1,0))</f>
        <v>0</v>
      </c>
    </row>
    <row r="448" customFormat="false" ht="15" hidden="false" customHeight="false" outlineLevel="0" collapsed="false">
      <c r="A448" s="23" t="n">
        <v>45770.7625</v>
      </c>
      <c r="B448" s="24" t="s">
        <v>549</v>
      </c>
      <c r="C448" s="24" t="s">
        <v>360</v>
      </c>
      <c r="D448" s="24" t="s">
        <v>88</v>
      </c>
      <c r="E448" s="24" t="n">
        <v>349</v>
      </c>
      <c r="F448" s="25" t="n">
        <v>18000</v>
      </c>
      <c r="G448" s="24" t="s">
        <v>83</v>
      </c>
      <c r="H448" s="24" t="s">
        <v>80</v>
      </c>
      <c r="I448" s="24" t="s">
        <v>61</v>
      </c>
      <c r="J448" s="26" t="n">
        <f aca="false">IF(A448="","",YEAR(A448))</f>
        <v>2025</v>
      </c>
      <c r="K448" s="26" t="n">
        <f aca="false">IF(A448="","",MONTH(A448))</f>
        <v>4</v>
      </c>
      <c r="L448" s="26" t="n">
        <f aca="false">IF(B448="","",VALUE(LEFT(B448,2)))</f>
        <v>12</v>
      </c>
      <c r="M448" s="26" t="n">
        <f aca="false">IF(A448="","",IF(COUNTIFS($C$2:$C$5001,C448,$J$2:$J$5001,J448,$A$2:$A$5001,"&lt;"&amp;A448)=0,1,0))</f>
        <v>0</v>
      </c>
    </row>
    <row r="449" customFormat="false" ht="15" hidden="false" customHeight="false" outlineLevel="0" collapsed="false">
      <c r="A449" s="23" t="n">
        <v>45770.8270833333</v>
      </c>
      <c r="B449" s="24" t="s">
        <v>362</v>
      </c>
      <c r="C449" s="24" t="s">
        <v>74</v>
      </c>
      <c r="D449" s="24" t="s">
        <v>66</v>
      </c>
      <c r="E449" s="24" t="n">
        <v>413</v>
      </c>
      <c r="F449" s="25" t="n">
        <v>11900</v>
      </c>
      <c r="G449" s="24" t="s">
        <v>59</v>
      </c>
      <c r="H449" s="24" t="s">
        <v>55</v>
      </c>
      <c r="I449" s="24" t="s">
        <v>113</v>
      </c>
      <c r="J449" s="26" t="n">
        <f aca="false">IF(A449="","",YEAR(A449))</f>
        <v>2025</v>
      </c>
      <c r="K449" s="26" t="n">
        <f aca="false">IF(A449="","",MONTH(A449))</f>
        <v>4</v>
      </c>
      <c r="L449" s="26" t="n">
        <f aca="false">IF(B449="","",VALUE(LEFT(B449,2)))</f>
        <v>12</v>
      </c>
      <c r="M449" s="26" t="n">
        <f aca="false">IF(A449="","",IF(COUNTIFS($C$2:$C$5001,C449,$J$2:$J$5001,J449,$A$2:$A$5001,"&lt;"&amp;A449)=0,1,0))</f>
        <v>0</v>
      </c>
    </row>
    <row r="450" customFormat="false" ht="15" hidden="false" customHeight="false" outlineLevel="0" collapsed="false">
      <c r="A450" s="23" t="n">
        <v>45770.9388888889</v>
      </c>
      <c r="B450" s="24" t="s">
        <v>550</v>
      </c>
      <c r="C450" s="24" t="s">
        <v>227</v>
      </c>
      <c r="D450" s="24" t="s">
        <v>53</v>
      </c>
      <c r="E450" s="24" t="n">
        <v>179</v>
      </c>
      <c r="F450" s="25" t="n">
        <v>3000</v>
      </c>
      <c r="G450" s="24" t="s">
        <v>59</v>
      </c>
      <c r="H450" s="24" t="s">
        <v>80</v>
      </c>
      <c r="I450" s="24" t="s">
        <v>61</v>
      </c>
      <c r="J450" s="26" t="n">
        <f aca="false">IF(A450="","",YEAR(A450))</f>
        <v>2025</v>
      </c>
      <c r="K450" s="26" t="n">
        <f aca="false">IF(A450="","",MONTH(A450))</f>
        <v>4</v>
      </c>
      <c r="L450" s="26" t="n">
        <f aca="false">IF(B450="","",VALUE(LEFT(B450,2)))</f>
        <v>19</v>
      </c>
      <c r="M450" s="26" t="n">
        <f aca="false">IF(A450="","",IF(COUNTIFS($C$2:$C$5001,C450,$J$2:$J$5001,J450,$A$2:$A$5001,"&lt;"&amp;A450)=0,1,0))</f>
        <v>0</v>
      </c>
    </row>
    <row r="451" customFormat="false" ht="15" hidden="false" customHeight="false" outlineLevel="0" collapsed="false">
      <c r="A451" s="23" t="n">
        <v>45771.4486111111</v>
      </c>
      <c r="B451" s="24" t="s">
        <v>375</v>
      </c>
      <c r="C451" s="24" t="s">
        <v>391</v>
      </c>
      <c r="D451" s="24" t="s">
        <v>88</v>
      </c>
      <c r="E451" s="24" t="n">
        <v>119</v>
      </c>
      <c r="F451" s="25" t="n">
        <v>6000</v>
      </c>
      <c r="G451" s="24" t="s">
        <v>59</v>
      </c>
      <c r="H451" s="24" t="s">
        <v>80</v>
      </c>
      <c r="I451" s="24" t="s">
        <v>61</v>
      </c>
      <c r="J451" s="26" t="n">
        <f aca="false">IF(A451="","",YEAR(A451))</f>
        <v>2025</v>
      </c>
      <c r="K451" s="26" t="n">
        <f aca="false">IF(A451="","",MONTH(A451))</f>
        <v>4</v>
      </c>
      <c r="L451" s="26" t="n">
        <f aca="false">IF(B451="","",VALUE(LEFT(B451,2)))</f>
        <v>8</v>
      </c>
      <c r="M451" s="26" t="n">
        <f aca="false">IF(A451="","",IF(COUNTIFS($C$2:$C$5001,C451,$J$2:$J$5001,J451,$A$2:$A$5001,"&lt;"&amp;A451)=0,1,0))</f>
        <v>0</v>
      </c>
    </row>
    <row r="452" customFormat="false" ht="15" hidden="false" customHeight="false" outlineLevel="0" collapsed="false">
      <c r="A452" s="23" t="n">
        <v>45771.4736111111</v>
      </c>
      <c r="B452" s="24" t="s">
        <v>551</v>
      </c>
      <c r="C452" s="24" t="s">
        <v>164</v>
      </c>
      <c r="D452" s="24" t="s">
        <v>53</v>
      </c>
      <c r="E452" s="24" t="n">
        <v>208</v>
      </c>
      <c r="F452" s="25" t="n">
        <v>3500</v>
      </c>
      <c r="G452" s="24" t="s">
        <v>69</v>
      </c>
      <c r="H452" s="24" t="s">
        <v>55</v>
      </c>
      <c r="I452" s="24" t="s">
        <v>61</v>
      </c>
      <c r="J452" s="26" t="n">
        <f aca="false">IF(A452="","",YEAR(A452))</f>
        <v>2025</v>
      </c>
      <c r="K452" s="26" t="n">
        <f aca="false">IF(A452="","",MONTH(A452))</f>
        <v>4</v>
      </c>
      <c r="L452" s="26" t="n">
        <f aca="false">IF(B452="","",VALUE(LEFT(B452,2)))</f>
        <v>7</v>
      </c>
      <c r="M452" s="26" t="n">
        <f aca="false">IF(A452="","",IF(COUNTIFS($C$2:$C$5001,C452,$J$2:$J$5001,J452,$A$2:$A$5001,"&lt;"&amp;A452)=0,1,0))</f>
        <v>0</v>
      </c>
    </row>
    <row r="453" customFormat="false" ht="15" hidden="false" customHeight="false" outlineLevel="0" collapsed="false">
      <c r="A453" s="23" t="n">
        <v>45771.5590277778</v>
      </c>
      <c r="B453" s="24" t="s">
        <v>64</v>
      </c>
      <c r="C453" s="24" t="s">
        <v>552</v>
      </c>
      <c r="D453" s="24" t="s">
        <v>66</v>
      </c>
      <c r="E453" s="24" t="n">
        <v>351</v>
      </c>
      <c r="F453" s="25" t="n">
        <v>12000</v>
      </c>
      <c r="G453" s="24" t="s">
        <v>59</v>
      </c>
      <c r="H453" s="24" t="s">
        <v>60</v>
      </c>
      <c r="I453" s="24" t="s">
        <v>61</v>
      </c>
      <c r="J453" s="26" t="n">
        <f aca="false">IF(A453="","",YEAR(A453))</f>
        <v>2025</v>
      </c>
      <c r="K453" s="26" t="n">
        <f aca="false">IF(A453="","",MONTH(A453))</f>
        <v>4</v>
      </c>
      <c r="L453" s="26" t="n">
        <f aca="false">IF(B453="","",VALUE(LEFT(B453,2)))</f>
        <v>7</v>
      </c>
      <c r="M453" s="26" t="n">
        <f aca="false">IF(A453="","",IF(COUNTIFS($C$2:$C$5001,C453,$J$2:$J$5001,J453,$A$2:$A$5001,"&lt;"&amp;A453)=0,1,0))</f>
        <v>1</v>
      </c>
    </row>
    <row r="454" customFormat="false" ht="15" hidden="false" customHeight="false" outlineLevel="0" collapsed="false">
      <c r="A454" s="23" t="n">
        <v>45771.6236111111</v>
      </c>
      <c r="B454" s="24" t="s">
        <v>305</v>
      </c>
      <c r="C454" s="24" t="s">
        <v>87</v>
      </c>
      <c r="D454" s="24" t="s">
        <v>66</v>
      </c>
      <c r="E454" s="24" t="n">
        <v>367</v>
      </c>
      <c r="F454" s="25" t="n">
        <v>13000</v>
      </c>
      <c r="G454" s="24" t="s">
        <v>59</v>
      </c>
      <c r="H454" s="24" t="s">
        <v>60</v>
      </c>
      <c r="I454" s="24" t="s">
        <v>61</v>
      </c>
      <c r="J454" s="26" t="n">
        <f aca="false">IF(A454="","",YEAR(A454))</f>
        <v>2025</v>
      </c>
      <c r="K454" s="26" t="n">
        <f aca="false">IF(A454="","",MONTH(A454))</f>
        <v>4</v>
      </c>
      <c r="L454" s="26" t="n">
        <f aca="false">IF(B454="","",VALUE(LEFT(B454,2)))</f>
        <v>8</v>
      </c>
      <c r="M454" s="26" t="n">
        <f aca="false">IF(A454="","",IF(COUNTIFS($C$2:$C$5001,C454,$J$2:$J$5001,J454,$A$2:$A$5001,"&lt;"&amp;A454)=0,1,0))</f>
        <v>0</v>
      </c>
    </row>
    <row r="455" customFormat="false" ht="15" hidden="false" customHeight="false" outlineLevel="0" collapsed="false">
      <c r="A455" s="23" t="n">
        <v>45771.69375</v>
      </c>
      <c r="B455" s="24" t="s">
        <v>553</v>
      </c>
      <c r="C455" s="24" t="s">
        <v>240</v>
      </c>
      <c r="D455" s="24" t="s">
        <v>53</v>
      </c>
      <c r="E455" s="24" t="n">
        <v>116</v>
      </c>
      <c r="F455" s="25" t="n">
        <v>2000</v>
      </c>
      <c r="G455" s="24" t="s">
        <v>69</v>
      </c>
      <c r="H455" s="24" t="s">
        <v>80</v>
      </c>
      <c r="I455" s="24" t="s">
        <v>61</v>
      </c>
      <c r="J455" s="26" t="n">
        <f aca="false">IF(A455="","",YEAR(A455))</f>
        <v>2025</v>
      </c>
      <c r="K455" s="26" t="n">
        <f aca="false">IF(A455="","",MONTH(A455))</f>
        <v>4</v>
      </c>
      <c r="L455" s="26" t="n">
        <f aca="false">IF(B455="","",VALUE(LEFT(B455,2)))</f>
        <v>14</v>
      </c>
      <c r="M455" s="26" t="n">
        <f aca="false">IF(A455="","",IF(COUNTIFS($C$2:$C$5001,C455,$J$2:$J$5001,J455,$A$2:$A$5001,"&lt;"&amp;A455)=0,1,0))</f>
        <v>0</v>
      </c>
    </row>
    <row r="456" customFormat="false" ht="15" hidden="false" customHeight="false" outlineLevel="0" collapsed="false">
      <c r="A456" s="23" t="n">
        <v>45771.7763888889</v>
      </c>
      <c r="B456" s="24" t="s">
        <v>554</v>
      </c>
      <c r="C456" s="24" t="s">
        <v>82</v>
      </c>
      <c r="D456" s="24" t="s">
        <v>66</v>
      </c>
      <c r="E456" s="24" t="n">
        <v>393</v>
      </c>
      <c r="F456" s="25" t="n">
        <v>14000</v>
      </c>
      <c r="G456" s="24" t="s">
        <v>59</v>
      </c>
      <c r="H456" s="24" t="s">
        <v>55</v>
      </c>
      <c r="I456" s="24" t="s">
        <v>61</v>
      </c>
      <c r="J456" s="26" t="n">
        <f aca="false">IF(A456="","",YEAR(A456))</f>
        <v>2025</v>
      </c>
      <c r="K456" s="26" t="n">
        <f aca="false">IF(A456="","",MONTH(A456))</f>
        <v>4</v>
      </c>
      <c r="L456" s="26" t="n">
        <f aca="false">IF(B456="","",VALUE(LEFT(B456,2)))</f>
        <v>12</v>
      </c>
      <c r="M456" s="26" t="n">
        <f aca="false">IF(A456="","",IF(COUNTIFS($C$2:$C$5001,C456,$J$2:$J$5001,J456,$A$2:$A$5001,"&lt;"&amp;A456)=0,1,0))</f>
        <v>0</v>
      </c>
    </row>
    <row r="457" customFormat="false" ht="15" hidden="false" customHeight="false" outlineLevel="0" collapsed="false">
      <c r="A457" s="23" t="n">
        <v>45771.78125</v>
      </c>
      <c r="B457" s="24" t="s">
        <v>555</v>
      </c>
      <c r="C457" s="24" t="s">
        <v>220</v>
      </c>
      <c r="D457" s="24" t="s">
        <v>72</v>
      </c>
      <c r="E457" s="24" t="n">
        <v>135</v>
      </c>
      <c r="F457" s="25" t="n">
        <v>10000</v>
      </c>
      <c r="G457" s="24" t="s">
        <v>59</v>
      </c>
      <c r="H457" s="24" t="s">
        <v>80</v>
      </c>
      <c r="I457" s="24" t="s">
        <v>61</v>
      </c>
      <c r="J457" s="26" t="n">
        <f aca="false">IF(A457="","",YEAR(A457))</f>
        <v>2025</v>
      </c>
      <c r="K457" s="26" t="n">
        <f aca="false">IF(A457="","",MONTH(A457))</f>
        <v>4</v>
      </c>
      <c r="L457" s="26" t="n">
        <f aca="false">IF(B457="","",VALUE(LEFT(B457,2)))</f>
        <v>16</v>
      </c>
      <c r="M457" s="26" t="n">
        <f aca="false">IF(A457="","",IF(COUNTIFS($C$2:$C$5001,C457,$J$2:$J$5001,J457,$A$2:$A$5001,"&lt;"&amp;A457)=0,1,0))</f>
        <v>0</v>
      </c>
    </row>
    <row r="458" customFormat="false" ht="15" hidden="false" customHeight="false" outlineLevel="0" collapsed="false">
      <c r="A458" s="23" t="n">
        <v>45771.8326388889</v>
      </c>
      <c r="B458" s="24" t="s">
        <v>556</v>
      </c>
      <c r="C458" s="24" t="s">
        <v>90</v>
      </c>
      <c r="D458" s="24" t="s">
        <v>53</v>
      </c>
      <c r="E458" s="24" t="n">
        <v>416</v>
      </c>
      <c r="F458" s="25" t="n">
        <v>7000</v>
      </c>
      <c r="G458" s="24" t="s">
        <v>59</v>
      </c>
      <c r="H458" s="24" t="s">
        <v>80</v>
      </c>
      <c r="I458" s="24" t="s">
        <v>61</v>
      </c>
      <c r="J458" s="26" t="n">
        <f aca="false">IF(A458="","",YEAR(A458))</f>
        <v>2025</v>
      </c>
      <c r="K458" s="26" t="n">
        <f aca="false">IF(A458="","",MONTH(A458))</f>
        <v>4</v>
      </c>
      <c r="L458" s="26" t="n">
        <f aca="false">IF(B458="","",VALUE(LEFT(B458,2)))</f>
        <v>13</v>
      </c>
      <c r="M458" s="26" t="n">
        <f aca="false">IF(A458="","",IF(COUNTIFS($C$2:$C$5001,C458,$J$2:$J$5001,J458,$A$2:$A$5001,"&lt;"&amp;A458)=0,1,0))</f>
        <v>0</v>
      </c>
    </row>
    <row r="459" customFormat="false" ht="15" hidden="false" customHeight="false" outlineLevel="0" collapsed="false">
      <c r="A459" s="23" t="n">
        <v>45772.3951388889</v>
      </c>
      <c r="B459" s="24" t="s">
        <v>388</v>
      </c>
      <c r="C459" s="24" t="s">
        <v>546</v>
      </c>
      <c r="D459" s="24" t="s">
        <v>66</v>
      </c>
      <c r="E459" s="24" t="n">
        <v>139</v>
      </c>
      <c r="F459" s="25" t="n">
        <v>5000</v>
      </c>
      <c r="G459" s="24" t="s">
        <v>59</v>
      </c>
      <c r="H459" s="24" t="s">
        <v>55</v>
      </c>
      <c r="I459" s="24" t="s">
        <v>61</v>
      </c>
      <c r="J459" s="26" t="n">
        <f aca="false">IF(A459="","",YEAR(A459))</f>
        <v>2025</v>
      </c>
      <c r="K459" s="26" t="n">
        <f aca="false">IF(A459="","",MONTH(A459))</f>
        <v>4</v>
      </c>
      <c r="L459" s="26" t="n">
        <f aca="false">IF(B459="","",VALUE(LEFT(B459,2)))</f>
        <v>7</v>
      </c>
      <c r="M459" s="26" t="n">
        <f aca="false">IF(A459="","",IF(COUNTIFS($C$2:$C$5001,C459,$J$2:$J$5001,J459,$A$2:$A$5001,"&lt;"&amp;A459)=0,1,0))</f>
        <v>0</v>
      </c>
    </row>
    <row r="460" customFormat="false" ht="15" hidden="false" customHeight="false" outlineLevel="0" collapsed="false">
      <c r="A460" s="23" t="n">
        <v>45772.9243055556</v>
      </c>
      <c r="B460" s="24" t="s">
        <v>557</v>
      </c>
      <c r="C460" s="24" t="s">
        <v>277</v>
      </c>
      <c r="D460" s="24" t="s">
        <v>66</v>
      </c>
      <c r="E460" s="24" t="n">
        <v>161</v>
      </c>
      <c r="F460" s="25" t="n">
        <v>6000</v>
      </c>
      <c r="G460" s="24" t="s">
        <v>59</v>
      </c>
      <c r="H460" s="24" t="s">
        <v>80</v>
      </c>
      <c r="I460" s="24" t="s">
        <v>61</v>
      </c>
      <c r="J460" s="26" t="n">
        <f aca="false">IF(A460="","",YEAR(A460))</f>
        <v>2025</v>
      </c>
      <c r="K460" s="26" t="n">
        <f aca="false">IF(A460="","",MONTH(A460))</f>
        <v>4</v>
      </c>
      <c r="L460" s="26" t="n">
        <f aca="false">IF(B460="","",VALUE(LEFT(B460,2)))</f>
        <v>19</v>
      </c>
      <c r="M460" s="26" t="n">
        <f aca="false">IF(A460="","",IF(COUNTIFS($C$2:$C$5001,C460,$J$2:$J$5001,J460,$A$2:$A$5001,"&lt;"&amp;A460)=0,1,0))</f>
        <v>0</v>
      </c>
    </row>
    <row r="461" customFormat="false" ht="15" hidden="false" customHeight="false" outlineLevel="0" collapsed="false">
      <c r="A461" s="23" t="n">
        <v>45773.5541666667</v>
      </c>
      <c r="B461" s="24" t="s">
        <v>558</v>
      </c>
      <c r="C461" s="24" t="s">
        <v>396</v>
      </c>
      <c r="D461" s="24" t="s">
        <v>88</v>
      </c>
      <c r="E461" s="24" t="n">
        <v>40</v>
      </c>
      <c r="F461" s="25" t="n">
        <v>0</v>
      </c>
      <c r="G461" s="24" t="s">
        <v>79</v>
      </c>
      <c r="H461" s="24" t="s">
        <v>60</v>
      </c>
      <c r="I461" s="24" t="s">
        <v>56</v>
      </c>
      <c r="J461" s="26" t="n">
        <f aca="false">IF(A461="","",YEAR(A461))</f>
        <v>2025</v>
      </c>
      <c r="K461" s="26" t="n">
        <f aca="false">IF(A461="","",MONTH(A461))</f>
        <v>4</v>
      </c>
      <c r="L461" s="26" t="n">
        <f aca="false">IF(B461="","",VALUE(LEFT(B461,2)))</f>
        <v>12</v>
      </c>
      <c r="M461" s="26" t="n">
        <f aca="false">IF(A461="","",IF(COUNTIFS($C$2:$C$5001,C461,$J$2:$J$5001,J461,$A$2:$A$5001,"&lt;"&amp;A461)=0,1,0))</f>
        <v>0</v>
      </c>
    </row>
    <row r="462" customFormat="false" ht="15" hidden="false" customHeight="false" outlineLevel="0" collapsed="false">
      <c r="A462" s="23" t="n">
        <v>45773.7944444444</v>
      </c>
      <c r="B462" s="24" t="s">
        <v>559</v>
      </c>
      <c r="C462" s="24" t="s">
        <v>357</v>
      </c>
      <c r="D462" s="24" t="s">
        <v>66</v>
      </c>
      <c r="E462" s="24" t="n">
        <v>264</v>
      </c>
      <c r="F462" s="25" t="n">
        <v>9000</v>
      </c>
      <c r="G462" s="24" t="s">
        <v>69</v>
      </c>
      <c r="H462" s="24" t="s">
        <v>60</v>
      </c>
      <c r="I462" s="24" t="s">
        <v>61</v>
      </c>
      <c r="J462" s="26" t="n">
        <f aca="false">IF(A462="","",YEAR(A462))</f>
        <v>2025</v>
      </c>
      <c r="K462" s="26" t="n">
        <f aca="false">IF(A462="","",MONTH(A462))</f>
        <v>4</v>
      </c>
      <c r="L462" s="26" t="n">
        <f aca="false">IF(B462="","",VALUE(LEFT(B462,2)))</f>
        <v>14</v>
      </c>
      <c r="M462" s="26" t="n">
        <f aca="false">IF(A462="","",IF(COUNTIFS($C$2:$C$5001,C462,$J$2:$J$5001,J462,$A$2:$A$5001,"&lt;"&amp;A462)=0,1,0))</f>
        <v>0</v>
      </c>
    </row>
    <row r="463" customFormat="false" ht="15" hidden="false" customHeight="false" outlineLevel="0" collapsed="false">
      <c r="A463" s="23" t="n">
        <v>45773.8416666667</v>
      </c>
      <c r="B463" s="24" t="s">
        <v>560</v>
      </c>
      <c r="C463" s="24" t="s">
        <v>345</v>
      </c>
      <c r="D463" s="24" t="s">
        <v>66</v>
      </c>
      <c r="E463" s="24" t="n">
        <v>183</v>
      </c>
      <c r="F463" s="25" t="n">
        <v>7000</v>
      </c>
      <c r="G463" s="24" t="s">
        <v>59</v>
      </c>
      <c r="H463" s="24" t="s">
        <v>55</v>
      </c>
      <c r="I463" s="24" t="s">
        <v>61</v>
      </c>
      <c r="J463" s="26" t="n">
        <f aca="false">IF(A463="","",YEAR(A463))</f>
        <v>2025</v>
      </c>
      <c r="K463" s="26" t="n">
        <f aca="false">IF(A463="","",MONTH(A463))</f>
        <v>4</v>
      </c>
      <c r="L463" s="26" t="n">
        <f aca="false">IF(B463="","",VALUE(LEFT(B463,2)))</f>
        <v>17</v>
      </c>
      <c r="M463" s="26" t="n">
        <f aca="false">IF(A463="","",IF(COUNTIFS($C$2:$C$5001,C463,$J$2:$J$5001,J463,$A$2:$A$5001,"&lt;"&amp;A463)=0,1,0))</f>
        <v>0</v>
      </c>
    </row>
    <row r="464" customFormat="false" ht="15" hidden="false" customHeight="false" outlineLevel="0" collapsed="false">
      <c r="A464" s="23" t="n">
        <v>45773.9451388889</v>
      </c>
      <c r="B464" s="24" t="s">
        <v>523</v>
      </c>
      <c r="C464" s="24" t="s">
        <v>271</v>
      </c>
      <c r="D464" s="24" t="s">
        <v>53</v>
      </c>
      <c r="E464" s="24" t="n">
        <v>260</v>
      </c>
      <c r="F464" s="25" t="n">
        <v>4500</v>
      </c>
      <c r="G464" s="24" t="s">
        <v>69</v>
      </c>
      <c r="H464" s="24" t="s">
        <v>60</v>
      </c>
      <c r="I464" s="24" t="s">
        <v>61</v>
      </c>
      <c r="J464" s="26" t="n">
        <f aca="false">IF(A464="","",YEAR(A464))</f>
        <v>2025</v>
      </c>
      <c r="K464" s="26" t="n">
        <f aca="false">IF(A464="","",MONTH(A464))</f>
        <v>4</v>
      </c>
      <c r="L464" s="26" t="n">
        <f aca="false">IF(B464="","",VALUE(LEFT(B464,2)))</f>
        <v>18</v>
      </c>
      <c r="M464" s="26" t="n">
        <f aca="false">IF(A464="","",IF(COUNTIFS($C$2:$C$5001,C464,$J$2:$J$5001,J464,$A$2:$A$5001,"&lt;"&amp;A464)=0,1,0))</f>
        <v>0</v>
      </c>
    </row>
    <row r="465" customFormat="false" ht="15" hidden="false" customHeight="false" outlineLevel="0" collapsed="false">
      <c r="A465" s="23" t="n">
        <v>45774.4506944444</v>
      </c>
      <c r="B465" s="24" t="s">
        <v>226</v>
      </c>
      <c r="C465" s="24" t="s">
        <v>141</v>
      </c>
      <c r="D465" s="24" t="s">
        <v>66</v>
      </c>
      <c r="E465" s="24" t="n">
        <v>168</v>
      </c>
      <c r="F465" s="25" t="n">
        <v>6000</v>
      </c>
      <c r="G465" s="24" t="s">
        <v>59</v>
      </c>
      <c r="H465" s="24" t="s">
        <v>55</v>
      </c>
      <c r="I465" s="24" t="s">
        <v>61</v>
      </c>
      <c r="J465" s="26" t="n">
        <f aca="false">IF(A465="","",YEAR(A465))</f>
        <v>2025</v>
      </c>
      <c r="K465" s="26" t="n">
        <f aca="false">IF(A465="","",MONTH(A465))</f>
        <v>4</v>
      </c>
      <c r="L465" s="26" t="n">
        <f aca="false">IF(B465="","",VALUE(LEFT(B465,2)))</f>
        <v>8</v>
      </c>
      <c r="M465" s="26" t="n">
        <f aca="false">IF(A465="","",IF(COUNTIFS($C$2:$C$5001,C465,$J$2:$J$5001,J465,$A$2:$A$5001,"&lt;"&amp;A465)=0,1,0))</f>
        <v>0</v>
      </c>
    </row>
    <row r="466" customFormat="false" ht="15" hidden="false" customHeight="false" outlineLevel="0" collapsed="false">
      <c r="A466" s="23" t="n">
        <v>45774.4930555556</v>
      </c>
      <c r="B466" s="24" t="s">
        <v>281</v>
      </c>
      <c r="C466" s="24" t="s">
        <v>289</v>
      </c>
      <c r="D466" s="24" t="s">
        <v>53</v>
      </c>
      <c r="E466" s="24" t="n">
        <v>252</v>
      </c>
      <c r="F466" s="25" t="n">
        <v>3825</v>
      </c>
      <c r="G466" s="24" t="s">
        <v>54</v>
      </c>
      <c r="H466" s="24" t="s">
        <v>55</v>
      </c>
      <c r="I466" s="24" t="s">
        <v>113</v>
      </c>
      <c r="J466" s="26" t="n">
        <f aca="false">IF(A466="","",YEAR(A466))</f>
        <v>2025</v>
      </c>
      <c r="K466" s="26" t="n">
        <f aca="false">IF(A466="","",MONTH(A466))</f>
        <v>4</v>
      </c>
      <c r="L466" s="26" t="n">
        <f aca="false">IF(B466="","",VALUE(LEFT(B466,2)))</f>
        <v>7</v>
      </c>
      <c r="M466" s="26" t="n">
        <f aca="false">IF(A466="","",IF(COUNTIFS($C$2:$C$5001,C466,$J$2:$J$5001,J466,$A$2:$A$5001,"&lt;"&amp;A466)=0,1,0))</f>
        <v>0</v>
      </c>
    </row>
    <row r="467" customFormat="false" ht="15" hidden="false" customHeight="false" outlineLevel="0" collapsed="false">
      <c r="A467" s="23" t="n">
        <v>45774.6125</v>
      </c>
      <c r="B467" s="24" t="s">
        <v>466</v>
      </c>
      <c r="C467" s="24" t="s">
        <v>512</v>
      </c>
      <c r="D467" s="24" t="s">
        <v>66</v>
      </c>
      <c r="E467" s="24" t="n">
        <v>328</v>
      </c>
      <c r="F467" s="25" t="n">
        <v>9350</v>
      </c>
      <c r="G467" s="24" t="s">
        <v>69</v>
      </c>
      <c r="H467" s="24" t="s">
        <v>55</v>
      </c>
      <c r="I467" s="24" t="s">
        <v>113</v>
      </c>
      <c r="J467" s="26" t="n">
        <f aca="false">IF(A467="","",YEAR(A467))</f>
        <v>2025</v>
      </c>
      <c r="K467" s="26" t="n">
        <f aca="false">IF(A467="","",MONTH(A467))</f>
        <v>4</v>
      </c>
      <c r="L467" s="26" t="n">
        <f aca="false">IF(B467="","",VALUE(LEFT(B467,2)))</f>
        <v>9</v>
      </c>
      <c r="M467" s="26" t="n">
        <f aca="false">IF(A467="","",IF(COUNTIFS($C$2:$C$5001,C467,$J$2:$J$5001,J467,$A$2:$A$5001,"&lt;"&amp;A467)=0,1,0))</f>
        <v>0</v>
      </c>
    </row>
    <row r="468" customFormat="false" ht="15" hidden="false" customHeight="false" outlineLevel="0" collapsed="false">
      <c r="A468" s="23" t="n">
        <v>45774.84375</v>
      </c>
      <c r="B468" s="24" t="s">
        <v>62</v>
      </c>
      <c r="C468" s="24" t="s">
        <v>561</v>
      </c>
      <c r="D468" s="24" t="s">
        <v>53</v>
      </c>
      <c r="E468" s="24" t="n">
        <v>171</v>
      </c>
      <c r="F468" s="25" t="n">
        <v>3000</v>
      </c>
      <c r="G468" s="24" t="s">
        <v>59</v>
      </c>
      <c r="H468" s="24" t="s">
        <v>55</v>
      </c>
      <c r="I468" s="24" t="s">
        <v>61</v>
      </c>
      <c r="J468" s="26" t="n">
        <f aca="false">IF(A468="","",YEAR(A468))</f>
        <v>2025</v>
      </c>
      <c r="K468" s="26" t="n">
        <f aca="false">IF(A468="","",MONTH(A468))</f>
        <v>4</v>
      </c>
      <c r="L468" s="26" t="n">
        <f aca="false">IF(B468="","",VALUE(LEFT(B468,2)))</f>
        <v>17</v>
      </c>
      <c r="M468" s="26" t="n">
        <f aca="false">IF(A468="","",IF(COUNTIFS($C$2:$C$5001,C468,$J$2:$J$5001,J468,$A$2:$A$5001,"&lt;"&amp;A468)=0,1,0))</f>
        <v>1</v>
      </c>
    </row>
    <row r="469" customFormat="false" ht="15" hidden="false" customHeight="false" outlineLevel="0" collapsed="false">
      <c r="A469" s="23" t="n">
        <v>45775.4597222222</v>
      </c>
      <c r="B469" s="24" t="s">
        <v>562</v>
      </c>
      <c r="C469" s="24" t="s">
        <v>243</v>
      </c>
      <c r="D469" s="24" t="s">
        <v>127</v>
      </c>
      <c r="E469" s="24" t="n">
        <v>84</v>
      </c>
      <c r="F469" s="25" t="n">
        <v>5250</v>
      </c>
      <c r="G469" s="24" t="s">
        <v>59</v>
      </c>
      <c r="H469" s="24" t="s">
        <v>60</v>
      </c>
      <c r="I469" s="24" t="s">
        <v>61</v>
      </c>
      <c r="J469" s="26" t="n">
        <f aca="false">IF(A469="","",YEAR(A469))</f>
        <v>2025</v>
      </c>
      <c r="K469" s="26" t="n">
        <f aca="false">IF(A469="","",MONTH(A469))</f>
        <v>4</v>
      </c>
      <c r="L469" s="26" t="n">
        <f aca="false">IF(B469="","",VALUE(LEFT(B469,2)))</f>
        <v>9</v>
      </c>
      <c r="M469" s="26" t="n">
        <f aca="false">IF(A469="","",IF(COUNTIFS($C$2:$C$5001,C469,$J$2:$J$5001,J469,$A$2:$A$5001,"&lt;"&amp;A469)=0,1,0))</f>
        <v>0</v>
      </c>
    </row>
    <row r="470" customFormat="false" ht="15" hidden="false" customHeight="false" outlineLevel="0" collapsed="false">
      <c r="A470" s="23" t="n">
        <v>45775.6263888889</v>
      </c>
      <c r="B470" s="24" t="s">
        <v>563</v>
      </c>
      <c r="C470" s="24" t="s">
        <v>112</v>
      </c>
      <c r="D470" s="24" t="s">
        <v>66</v>
      </c>
      <c r="E470" s="24" t="n">
        <v>141</v>
      </c>
      <c r="F470" s="25" t="n">
        <v>0</v>
      </c>
      <c r="G470" s="24" t="s">
        <v>69</v>
      </c>
      <c r="H470" s="24" t="s">
        <v>80</v>
      </c>
      <c r="I470" s="24" t="s">
        <v>56</v>
      </c>
      <c r="J470" s="26" t="n">
        <f aca="false">IF(A470="","",YEAR(A470))</f>
        <v>2025</v>
      </c>
      <c r="K470" s="26" t="n">
        <f aca="false">IF(A470="","",MONTH(A470))</f>
        <v>4</v>
      </c>
      <c r="L470" s="26" t="n">
        <f aca="false">IF(B470="","",VALUE(LEFT(B470,2)))</f>
        <v>12</v>
      </c>
      <c r="M470" s="26" t="n">
        <f aca="false">IF(A470="","",IF(COUNTIFS($C$2:$C$5001,C470,$J$2:$J$5001,J470,$A$2:$A$5001,"&lt;"&amp;A470)=0,1,0))</f>
        <v>0</v>
      </c>
    </row>
    <row r="471" customFormat="false" ht="15" hidden="false" customHeight="false" outlineLevel="0" collapsed="false">
      <c r="A471" s="23" t="n">
        <v>45775.6631944445</v>
      </c>
      <c r="B471" s="24" t="s">
        <v>564</v>
      </c>
      <c r="C471" s="24" t="s">
        <v>164</v>
      </c>
      <c r="D471" s="24" t="s">
        <v>66</v>
      </c>
      <c r="E471" s="24" t="n">
        <v>279</v>
      </c>
      <c r="F471" s="25" t="n">
        <v>10000</v>
      </c>
      <c r="G471" s="24" t="s">
        <v>59</v>
      </c>
      <c r="H471" s="24" t="s">
        <v>55</v>
      </c>
      <c r="I471" s="24" t="s">
        <v>61</v>
      </c>
      <c r="J471" s="26" t="n">
        <f aca="false">IF(A471="","",YEAR(A471))</f>
        <v>2025</v>
      </c>
      <c r="K471" s="26" t="n">
        <f aca="false">IF(A471="","",MONTH(A471))</f>
        <v>4</v>
      </c>
      <c r="L471" s="26" t="n">
        <f aca="false">IF(B471="","",VALUE(LEFT(B471,2)))</f>
        <v>11</v>
      </c>
      <c r="M471" s="26" t="n">
        <f aca="false">IF(A471="","",IF(COUNTIFS($C$2:$C$5001,C471,$J$2:$J$5001,J471,$A$2:$A$5001,"&lt;"&amp;A471)=0,1,0))</f>
        <v>0</v>
      </c>
    </row>
    <row r="472" customFormat="false" ht="15" hidden="false" customHeight="false" outlineLevel="0" collapsed="false">
      <c r="A472" s="23" t="n">
        <v>45779.5034722222</v>
      </c>
      <c r="B472" s="24" t="s">
        <v>565</v>
      </c>
      <c r="C472" s="24" t="s">
        <v>343</v>
      </c>
      <c r="D472" s="24" t="s">
        <v>66</v>
      </c>
      <c r="E472" s="24" t="n">
        <v>239</v>
      </c>
      <c r="F472" s="25" t="n">
        <v>8000</v>
      </c>
      <c r="G472" s="24" t="s">
        <v>69</v>
      </c>
      <c r="H472" s="24" t="s">
        <v>60</v>
      </c>
      <c r="I472" s="24" t="s">
        <v>61</v>
      </c>
      <c r="J472" s="26" t="n">
        <f aca="false">IF(A472="","",YEAR(A472))</f>
        <v>2025</v>
      </c>
      <c r="K472" s="26" t="n">
        <f aca="false">IF(A472="","",MONTH(A472))</f>
        <v>5</v>
      </c>
      <c r="L472" s="26" t="n">
        <f aca="false">IF(B472="","",VALUE(LEFT(B472,2)))</f>
        <v>8</v>
      </c>
      <c r="M472" s="26" t="n">
        <f aca="false">IF(A472="","",IF(COUNTIFS($C$2:$C$5001,C472,$J$2:$J$5001,J472,$A$2:$A$5001,"&lt;"&amp;A472)=0,1,0))</f>
        <v>0</v>
      </c>
    </row>
    <row r="473" customFormat="false" ht="15" hidden="false" customHeight="false" outlineLevel="0" collapsed="false">
      <c r="A473" s="23" t="n">
        <v>45779.9965277778</v>
      </c>
      <c r="B473" s="24" t="s">
        <v>566</v>
      </c>
      <c r="C473" s="24" t="s">
        <v>102</v>
      </c>
      <c r="D473" s="24" t="s">
        <v>53</v>
      </c>
      <c r="E473" s="24" t="n">
        <v>261</v>
      </c>
      <c r="F473" s="25" t="n">
        <v>4500</v>
      </c>
      <c r="G473" s="24" t="s">
        <v>69</v>
      </c>
      <c r="H473" s="24" t="s">
        <v>60</v>
      </c>
      <c r="I473" s="24" t="s">
        <v>61</v>
      </c>
      <c r="J473" s="26" t="n">
        <f aca="false">IF(A473="","",YEAR(A473))</f>
        <v>2025</v>
      </c>
      <c r="K473" s="26" t="n">
        <f aca="false">IF(A473="","",MONTH(A473))</f>
        <v>5</v>
      </c>
      <c r="L473" s="26" t="n">
        <f aca="false">IF(B473="","",VALUE(LEFT(B473,2)))</f>
        <v>19</v>
      </c>
      <c r="M473" s="26" t="n">
        <f aca="false">IF(A473="","",IF(COUNTIFS($C$2:$C$5001,C473,$J$2:$J$5001,J473,$A$2:$A$5001,"&lt;"&amp;A473)=0,1,0))</f>
        <v>0</v>
      </c>
    </row>
    <row r="474" customFormat="false" ht="15" hidden="false" customHeight="false" outlineLevel="0" collapsed="false">
      <c r="A474" s="23" t="n">
        <v>45781.9895833333</v>
      </c>
      <c r="B474" s="24" t="s">
        <v>567</v>
      </c>
      <c r="C474" s="24" t="s">
        <v>203</v>
      </c>
      <c r="D474" s="24" t="s">
        <v>66</v>
      </c>
      <c r="E474" s="24" t="n">
        <v>194</v>
      </c>
      <c r="F474" s="25" t="n">
        <v>7000</v>
      </c>
      <c r="G474" s="24" t="s">
        <v>59</v>
      </c>
      <c r="H474" s="24" t="s">
        <v>60</v>
      </c>
      <c r="I474" s="24" t="s">
        <v>61</v>
      </c>
      <c r="J474" s="26" t="n">
        <f aca="false">IF(A474="","",YEAR(A474))</f>
        <v>2025</v>
      </c>
      <c r="K474" s="26" t="n">
        <f aca="false">IF(A474="","",MONTH(A474))</f>
        <v>5</v>
      </c>
      <c r="L474" s="26" t="n">
        <f aca="false">IF(B474="","",VALUE(LEFT(B474,2)))</f>
        <v>20</v>
      </c>
      <c r="M474" s="26" t="n">
        <f aca="false">IF(A474="","",IF(COUNTIFS($C$2:$C$5001,C474,$J$2:$J$5001,J474,$A$2:$A$5001,"&lt;"&amp;A474)=0,1,0))</f>
        <v>0</v>
      </c>
    </row>
    <row r="475" customFormat="false" ht="15" hidden="false" customHeight="false" outlineLevel="0" collapsed="false">
      <c r="A475" s="23" t="n">
        <v>45782.5736111111</v>
      </c>
      <c r="B475" s="24" t="s">
        <v>542</v>
      </c>
      <c r="C475" s="24" t="s">
        <v>389</v>
      </c>
      <c r="D475" s="24" t="s">
        <v>66</v>
      </c>
      <c r="E475" s="24" t="n">
        <v>55</v>
      </c>
      <c r="F475" s="25" t="n">
        <v>1700</v>
      </c>
      <c r="G475" s="24" t="s">
        <v>69</v>
      </c>
      <c r="H475" s="24" t="s">
        <v>80</v>
      </c>
      <c r="I475" s="24" t="s">
        <v>113</v>
      </c>
      <c r="J475" s="26" t="n">
        <f aca="false">IF(A475="","",YEAR(A475))</f>
        <v>2025</v>
      </c>
      <c r="K475" s="26" t="n">
        <f aca="false">IF(A475="","",MONTH(A475))</f>
        <v>5</v>
      </c>
      <c r="L475" s="26" t="n">
        <f aca="false">IF(B475="","",VALUE(LEFT(B475,2)))</f>
        <v>12</v>
      </c>
      <c r="M475" s="26" t="n">
        <f aca="false">IF(A475="","",IF(COUNTIFS($C$2:$C$5001,C475,$J$2:$J$5001,J475,$A$2:$A$5001,"&lt;"&amp;A475)=0,1,0))</f>
        <v>0</v>
      </c>
    </row>
    <row r="476" customFormat="false" ht="15" hidden="false" customHeight="false" outlineLevel="0" collapsed="false">
      <c r="A476" s="23" t="n">
        <v>45782.6375</v>
      </c>
      <c r="B476" s="24" t="s">
        <v>490</v>
      </c>
      <c r="C476" s="24" t="s">
        <v>201</v>
      </c>
      <c r="D476" s="24" t="s">
        <v>66</v>
      </c>
      <c r="E476" s="24" t="n">
        <v>141</v>
      </c>
      <c r="F476" s="25" t="n">
        <v>5000</v>
      </c>
      <c r="G476" s="24" t="s">
        <v>59</v>
      </c>
      <c r="H476" s="24" t="s">
        <v>60</v>
      </c>
      <c r="I476" s="24" t="s">
        <v>61</v>
      </c>
      <c r="J476" s="26" t="n">
        <f aca="false">IF(A476="","",YEAR(A476))</f>
        <v>2025</v>
      </c>
      <c r="K476" s="26" t="n">
        <f aca="false">IF(A476="","",MONTH(A476))</f>
        <v>5</v>
      </c>
      <c r="L476" s="26" t="n">
        <f aca="false">IF(B476="","",VALUE(LEFT(B476,2)))</f>
        <v>12</v>
      </c>
      <c r="M476" s="26" t="n">
        <f aca="false">IF(A476="","",IF(COUNTIFS($C$2:$C$5001,C476,$J$2:$J$5001,J476,$A$2:$A$5001,"&lt;"&amp;A476)=0,1,0))</f>
        <v>0</v>
      </c>
    </row>
    <row r="477" customFormat="false" ht="15" hidden="false" customHeight="false" outlineLevel="0" collapsed="false">
      <c r="A477" s="23" t="n">
        <v>45783.05625</v>
      </c>
      <c r="B477" s="24" t="s">
        <v>568</v>
      </c>
      <c r="C477" s="24" t="s">
        <v>289</v>
      </c>
      <c r="D477" s="24" t="s">
        <v>66</v>
      </c>
      <c r="E477" s="24" t="n">
        <v>335</v>
      </c>
      <c r="F477" s="25" t="n">
        <v>12000</v>
      </c>
      <c r="G477" s="24" t="s">
        <v>59</v>
      </c>
      <c r="H477" s="24" t="s">
        <v>55</v>
      </c>
      <c r="I477" s="24" t="s">
        <v>61</v>
      </c>
      <c r="J477" s="26" t="n">
        <f aca="false">IF(A477="","",YEAR(A477))</f>
        <v>2025</v>
      </c>
      <c r="K477" s="26" t="n">
        <f aca="false">IF(A477="","",MONTH(A477))</f>
        <v>5</v>
      </c>
      <c r="L477" s="26" t="n">
        <f aca="false">IF(B477="","",VALUE(LEFT(B477,2)))</f>
        <v>19</v>
      </c>
      <c r="M477" s="26" t="n">
        <f aca="false">IF(A477="","",IF(COUNTIFS($C$2:$C$5001,C477,$J$2:$J$5001,J477,$A$2:$A$5001,"&lt;"&amp;A477)=0,1,0))</f>
        <v>0</v>
      </c>
    </row>
    <row r="478" customFormat="false" ht="15" hidden="false" customHeight="false" outlineLevel="0" collapsed="false">
      <c r="A478" s="23" t="n">
        <v>45783.3715277778</v>
      </c>
      <c r="B478" s="24" t="s">
        <v>569</v>
      </c>
      <c r="C478" s="24" t="s">
        <v>197</v>
      </c>
      <c r="D478" s="24" t="s">
        <v>66</v>
      </c>
      <c r="E478" s="24" t="n">
        <v>74</v>
      </c>
      <c r="F478" s="25" t="n">
        <v>3000</v>
      </c>
      <c r="G478" s="24" t="s">
        <v>83</v>
      </c>
      <c r="H478" s="24" t="s">
        <v>55</v>
      </c>
      <c r="I478" s="24" t="s">
        <v>61</v>
      </c>
      <c r="J478" s="26" t="n">
        <f aca="false">IF(A478="","",YEAR(A478))</f>
        <v>2025</v>
      </c>
      <c r="K478" s="26" t="n">
        <f aca="false">IF(A478="","",MONTH(A478))</f>
        <v>5</v>
      </c>
      <c r="L478" s="26" t="n">
        <f aca="false">IF(B478="","",VALUE(LEFT(B478,2)))</f>
        <v>7</v>
      </c>
      <c r="M478" s="26" t="n">
        <f aca="false">IF(A478="","",IF(COUNTIFS($C$2:$C$5001,C478,$J$2:$J$5001,J478,$A$2:$A$5001,"&lt;"&amp;A478)=0,1,0))</f>
        <v>0</v>
      </c>
    </row>
    <row r="479" customFormat="false" ht="15" hidden="false" customHeight="false" outlineLevel="0" collapsed="false">
      <c r="A479" s="23" t="n">
        <v>45783.8229166667</v>
      </c>
      <c r="B479" s="24" t="s">
        <v>570</v>
      </c>
      <c r="C479" s="24" t="s">
        <v>126</v>
      </c>
      <c r="D479" s="24" t="s">
        <v>66</v>
      </c>
      <c r="E479" s="24" t="n">
        <v>164</v>
      </c>
      <c r="F479" s="25" t="n">
        <v>6000</v>
      </c>
      <c r="G479" s="24" t="s">
        <v>69</v>
      </c>
      <c r="H479" s="24" t="s">
        <v>80</v>
      </c>
      <c r="I479" s="24" t="s">
        <v>61</v>
      </c>
      <c r="J479" s="26" t="n">
        <f aca="false">IF(A479="","",YEAR(A479))</f>
        <v>2025</v>
      </c>
      <c r="K479" s="26" t="n">
        <f aca="false">IF(A479="","",MONTH(A479))</f>
        <v>5</v>
      </c>
      <c r="L479" s="26" t="n">
        <f aca="false">IF(B479="","",VALUE(LEFT(B479,2)))</f>
        <v>17</v>
      </c>
      <c r="M479" s="26" t="n">
        <f aca="false">IF(A479="","",IF(COUNTIFS($C$2:$C$5001,C479,$J$2:$J$5001,J479,$A$2:$A$5001,"&lt;"&amp;A479)=0,1,0))</f>
        <v>0</v>
      </c>
    </row>
    <row r="480" customFormat="false" ht="15" hidden="false" customHeight="false" outlineLevel="0" collapsed="false">
      <c r="A480" s="23" t="n">
        <v>45783.8951388889</v>
      </c>
      <c r="B480" s="24" t="s">
        <v>122</v>
      </c>
      <c r="C480" s="24" t="s">
        <v>108</v>
      </c>
      <c r="D480" s="24" t="s">
        <v>53</v>
      </c>
      <c r="E480" s="24" t="n">
        <v>373</v>
      </c>
      <c r="F480" s="25" t="n">
        <v>6500</v>
      </c>
      <c r="G480" s="24" t="s">
        <v>59</v>
      </c>
      <c r="H480" s="24" t="s">
        <v>55</v>
      </c>
      <c r="I480" s="24" t="s">
        <v>61</v>
      </c>
      <c r="J480" s="26" t="n">
        <f aca="false">IF(A480="","",YEAR(A480))</f>
        <v>2025</v>
      </c>
      <c r="K480" s="26" t="n">
        <f aca="false">IF(A480="","",MONTH(A480))</f>
        <v>5</v>
      </c>
      <c r="L480" s="26" t="n">
        <f aca="false">IF(B480="","",VALUE(LEFT(B480,2)))</f>
        <v>15</v>
      </c>
      <c r="M480" s="26" t="n">
        <f aca="false">IF(A480="","",IF(COUNTIFS($C$2:$C$5001,C480,$J$2:$J$5001,J480,$A$2:$A$5001,"&lt;"&amp;A480)=0,1,0))</f>
        <v>0</v>
      </c>
    </row>
    <row r="481" customFormat="false" ht="15" hidden="false" customHeight="false" outlineLevel="0" collapsed="false">
      <c r="A481" s="23" t="n">
        <v>45783.9034722222</v>
      </c>
      <c r="B481" s="24" t="s">
        <v>571</v>
      </c>
      <c r="C481" s="24" t="s">
        <v>58</v>
      </c>
      <c r="D481" s="24" t="s">
        <v>53</v>
      </c>
      <c r="E481" s="24" t="n">
        <v>211</v>
      </c>
      <c r="F481" s="25" t="n">
        <v>4000</v>
      </c>
      <c r="G481" s="24" t="s">
        <v>69</v>
      </c>
      <c r="H481" s="24" t="s">
        <v>55</v>
      </c>
      <c r="I481" s="24" t="s">
        <v>61</v>
      </c>
      <c r="J481" s="26" t="n">
        <f aca="false">IF(A481="","",YEAR(A481))</f>
        <v>2025</v>
      </c>
      <c r="K481" s="26" t="n">
        <f aca="false">IF(A481="","",MONTH(A481))</f>
        <v>5</v>
      </c>
      <c r="L481" s="26" t="n">
        <f aca="false">IF(B481="","",VALUE(LEFT(B481,2)))</f>
        <v>18</v>
      </c>
      <c r="M481" s="26" t="n">
        <f aca="false">IF(A481="","",IF(COUNTIFS($C$2:$C$5001,C481,$J$2:$J$5001,J481,$A$2:$A$5001,"&lt;"&amp;A481)=0,1,0))</f>
        <v>0</v>
      </c>
    </row>
    <row r="482" customFormat="false" ht="15" hidden="false" customHeight="false" outlineLevel="0" collapsed="false">
      <c r="A482" s="23" t="n">
        <v>45784.5111111111</v>
      </c>
      <c r="B482" s="24" t="s">
        <v>572</v>
      </c>
      <c r="C482" s="24" t="s">
        <v>138</v>
      </c>
      <c r="D482" s="24" t="s">
        <v>66</v>
      </c>
      <c r="E482" s="24" t="n">
        <v>63</v>
      </c>
      <c r="F482" s="25" t="n">
        <v>2550</v>
      </c>
      <c r="G482" s="24" t="s">
        <v>59</v>
      </c>
      <c r="H482" s="24" t="s">
        <v>60</v>
      </c>
      <c r="I482" s="24" t="s">
        <v>113</v>
      </c>
      <c r="J482" s="26" t="n">
        <f aca="false">IF(A482="","",YEAR(A482))</f>
        <v>2025</v>
      </c>
      <c r="K482" s="26" t="n">
        <f aca="false">IF(A482="","",MONTH(A482))</f>
        <v>5</v>
      </c>
      <c r="L482" s="26" t="n">
        <f aca="false">IF(B482="","",VALUE(LEFT(B482,2)))</f>
        <v>11</v>
      </c>
      <c r="M482" s="26" t="n">
        <f aca="false">IF(A482="","",IF(COUNTIFS($C$2:$C$5001,C482,$J$2:$J$5001,J482,$A$2:$A$5001,"&lt;"&amp;A482)=0,1,0))</f>
        <v>0</v>
      </c>
    </row>
    <row r="483" customFormat="false" ht="15" hidden="false" customHeight="false" outlineLevel="0" collapsed="false">
      <c r="A483" s="23" t="n">
        <v>45785.6506944444</v>
      </c>
      <c r="B483" s="24" t="s">
        <v>573</v>
      </c>
      <c r="C483" s="24" t="s">
        <v>116</v>
      </c>
      <c r="D483" s="24" t="s">
        <v>53</v>
      </c>
      <c r="E483" s="24" t="n">
        <v>44</v>
      </c>
      <c r="F483" s="25" t="n">
        <v>0</v>
      </c>
      <c r="G483" s="24" t="s">
        <v>59</v>
      </c>
      <c r="H483" s="24" t="s">
        <v>55</v>
      </c>
      <c r="I483" s="24" t="s">
        <v>56</v>
      </c>
      <c r="J483" s="26" t="n">
        <f aca="false">IF(A483="","",YEAR(A483))</f>
        <v>2025</v>
      </c>
      <c r="K483" s="26" t="n">
        <f aca="false">IF(A483="","",MONTH(A483))</f>
        <v>5</v>
      </c>
      <c r="L483" s="26" t="n">
        <f aca="false">IF(B483="","",VALUE(LEFT(B483,2)))</f>
        <v>14</v>
      </c>
      <c r="M483" s="26" t="n">
        <f aca="false">IF(A483="","",IF(COUNTIFS($C$2:$C$5001,C483,$J$2:$J$5001,J483,$A$2:$A$5001,"&lt;"&amp;A483)=0,1,0))</f>
        <v>0</v>
      </c>
    </row>
    <row r="484" customFormat="false" ht="15" hidden="false" customHeight="false" outlineLevel="0" collapsed="false">
      <c r="A484" s="23" t="n">
        <v>45785.7375</v>
      </c>
      <c r="B484" s="24" t="s">
        <v>574</v>
      </c>
      <c r="C484" s="24" t="s">
        <v>467</v>
      </c>
      <c r="D484" s="24" t="s">
        <v>127</v>
      </c>
      <c r="E484" s="24" t="n">
        <v>102</v>
      </c>
      <c r="F484" s="25" t="n">
        <v>7000</v>
      </c>
      <c r="G484" s="24" t="s">
        <v>59</v>
      </c>
      <c r="H484" s="24" t="s">
        <v>80</v>
      </c>
      <c r="I484" s="24" t="s">
        <v>61</v>
      </c>
      <c r="J484" s="26" t="n">
        <f aca="false">IF(A484="","",YEAR(A484))</f>
        <v>2025</v>
      </c>
      <c r="K484" s="26" t="n">
        <f aca="false">IF(A484="","",MONTH(A484))</f>
        <v>5</v>
      </c>
      <c r="L484" s="26" t="n">
        <f aca="false">IF(B484="","",VALUE(LEFT(B484,2)))</f>
        <v>16</v>
      </c>
      <c r="M484" s="26" t="n">
        <f aca="false">IF(A484="","",IF(COUNTIFS($C$2:$C$5001,C484,$J$2:$J$5001,J484,$A$2:$A$5001,"&lt;"&amp;A484)=0,1,0))</f>
        <v>0</v>
      </c>
    </row>
    <row r="485" customFormat="false" ht="15" hidden="false" customHeight="false" outlineLevel="0" collapsed="false">
      <c r="A485" s="23" t="n">
        <v>45786.5673611111</v>
      </c>
      <c r="B485" s="24" t="s">
        <v>153</v>
      </c>
      <c r="C485" s="24" t="s">
        <v>448</v>
      </c>
      <c r="D485" s="24" t="s">
        <v>53</v>
      </c>
      <c r="E485" s="24" t="n">
        <v>302</v>
      </c>
      <c r="F485" s="25" t="n">
        <v>5500</v>
      </c>
      <c r="G485" s="24" t="s">
        <v>59</v>
      </c>
      <c r="H485" s="24" t="s">
        <v>80</v>
      </c>
      <c r="I485" s="24" t="s">
        <v>61</v>
      </c>
      <c r="J485" s="26" t="n">
        <f aca="false">IF(A485="","",YEAR(A485))</f>
        <v>2025</v>
      </c>
      <c r="K485" s="26" t="n">
        <f aca="false">IF(A485="","",MONTH(A485))</f>
        <v>5</v>
      </c>
      <c r="L485" s="26" t="n">
        <f aca="false">IF(B485="","",VALUE(LEFT(B485,2)))</f>
        <v>8</v>
      </c>
      <c r="M485" s="26" t="n">
        <f aca="false">IF(A485="","",IF(COUNTIFS($C$2:$C$5001,C485,$J$2:$J$5001,J485,$A$2:$A$5001,"&lt;"&amp;A485)=0,1,0))</f>
        <v>0</v>
      </c>
    </row>
    <row r="486" customFormat="false" ht="15" hidden="false" customHeight="false" outlineLevel="0" collapsed="false">
      <c r="A486" s="23" t="n">
        <v>45786.7277777778</v>
      </c>
      <c r="B486" s="24" t="s">
        <v>575</v>
      </c>
      <c r="C486" s="24" t="s">
        <v>512</v>
      </c>
      <c r="D486" s="24" t="s">
        <v>66</v>
      </c>
      <c r="E486" s="24" t="n">
        <v>281</v>
      </c>
      <c r="F486" s="25" t="n">
        <v>10000</v>
      </c>
      <c r="G486" s="24" t="s">
        <v>59</v>
      </c>
      <c r="H486" s="24" t="s">
        <v>60</v>
      </c>
      <c r="I486" s="24" t="s">
        <v>61</v>
      </c>
      <c r="J486" s="26" t="n">
        <f aca="false">IF(A486="","",YEAR(A486))</f>
        <v>2025</v>
      </c>
      <c r="K486" s="26" t="n">
        <f aca="false">IF(A486="","",MONTH(A486))</f>
        <v>5</v>
      </c>
      <c r="L486" s="26" t="n">
        <f aca="false">IF(B486="","",VALUE(LEFT(B486,2)))</f>
        <v>12</v>
      </c>
      <c r="M486" s="26" t="n">
        <f aca="false">IF(A486="","",IF(COUNTIFS($C$2:$C$5001,C486,$J$2:$J$5001,J486,$A$2:$A$5001,"&lt;"&amp;A486)=0,1,0))</f>
        <v>0</v>
      </c>
    </row>
    <row r="487" customFormat="false" ht="15" hidden="false" customHeight="false" outlineLevel="0" collapsed="false">
      <c r="A487" s="23" t="n">
        <v>45787.7881944445</v>
      </c>
      <c r="B487" s="24" t="s">
        <v>576</v>
      </c>
      <c r="C487" s="24" t="s">
        <v>253</v>
      </c>
      <c r="D487" s="24" t="s">
        <v>88</v>
      </c>
      <c r="E487" s="24" t="n">
        <v>396</v>
      </c>
      <c r="F487" s="25" t="n">
        <v>17850</v>
      </c>
      <c r="G487" s="24" t="s">
        <v>69</v>
      </c>
      <c r="H487" s="24" t="s">
        <v>60</v>
      </c>
      <c r="I487" s="24" t="s">
        <v>113</v>
      </c>
      <c r="J487" s="26" t="n">
        <f aca="false">IF(A487="","",YEAR(A487))</f>
        <v>2025</v>
      </c>
      <c r="K487" s="26" t="n">
        <f aca="false">IF(A487="","",MONTH(A487))</f>
        <v>5</v>
      </c>
      <c r="L487" s="26" t="n">
        <f aca="false">IF(B487="","",VALUE(LEFT(B487,2)))</f>
        <v>12</v>
      </c>
      <c r="M487" s="26" t="n">
        <f aca="false">IF(A487="","",IF(COUNTIFS($C$2:$C$5001,C487,$J$2:$J$5001,J487,$A$2:$A$5001,"&lt;"&amp;A487)=0,1,0))</f>
        <v>0</v>
      </c>
    </row>
    <row r="488" customFormat="false" ht="15" hidden="false" customHeight="false" outlineLevel="0" collapsed="false">
      <c r="A488" s="23" t="n">
        <v>45788.6138888889</v>
      </c>
      <c r="B488" s="24" t="s">
        <v>577</v>
      </c>
      <c r="C488" s="24" t="s">
        <v>192</v>
      </c>
      <c r="D488" s="24" t="s">
        <v>66</v>
      </c>
      <c r="E488" s="24" t="n">
        <v>376</v>
      </c>
      <c r="F488" s="25" t="n">
        <v>13000</v>
      </c>
      <c r="G488" s="24" t="s">
        <v>59</v>
      </c>
      <c r="H488" s="24" t="s">
        <v>60</v>
      </c>
      <c r="I488" s="24" t="s">
        <v>61</v>
      </c>
      <c r="J488" s="26" t="n">
        <f aca="false">IF(A488="","",YEAR(A488))</f>
        <v>2025</v>
      </c>
      <c r="K488" s="26" t="n">
        <f aca="false">IF(A488="","",MONTH(A488))</f>
        <v>5</v>
      </c>
      <c r="L488" s="26" t="n">
        <f aca="false">IF(B488="","",VALUE(LEFT(B488,2)))</f>
        <v>8</v>
      </c>
      <c r="M488" s="26" t="n">
        <f aca="false">IF(A488="","",IF(COUNTIFS($C$2:$C$5001,C488,$J$2:$J$5001,J488,$A$2:$A$5001,"&lt;"&amp;A488)=0,1,0))</f>
        <v>0</v>
      </c>
    </row>
    <row r="489" customFormat="false" ht="15" hidden="false" customHeight="false" outlineLevel="0" collapsed="false">
      <c r="A489" s="23" t="n">
        <v>45789.6722222222</v>
      </c>
      <c r="B489" s="24" t="s">
        <v>370</v>
      </c>
      <c r="C489" s="24" t="s">
        <v>397</v>
      </c>
      <c r="D489" s="24" t="s">
        <v>66</v>
      </c>
      <c r="E489" s="24" t="n">
        <v>282</v>
      </c>
      <c r="F489" s="25" t="n">
        <v>0</v>
      </c>
      <c r="G489" s="24" t="s">
        <v>83</v>
      </c>
      <c r="H489" s="24" t="s">
        <v>60</v>
      </c>
      <c r="I489" s="24" t="s">
        <v>56</v>
      </c>
      <c r="J489" s="26" t="n">
        <f aca="false">IF(A489="","",YEAR(A489))</f>
        <v>2025</v>
      </c>
      <c r="K489" s="26" t="n">
        <f aca="false">IF(A489="","",MONTH(A489))</f>
        <v>5</v>
      </c>
      <c r="L489" s="26" t="n">
        <f aca="false">IF(B489="","",VALUE(LEFT(B489,2)))</f>
        <v>11</v>
      </c>
      <c r="M489" s="26" t="n">
        <f aca="false">IF(A489="","",IF(COUNTIFS($C$2:$C$5001,C489,$J$2:$J$5001,J489,$A$2:$A$5001,"&lt;"&amp;A489)=0,1,0))</f>
        <v>0</v>
      </c>
    </row>
    <row r="490" customFormat="false" ht="15" hidden="false" customHeight="false" outlineLevel="0" collapsed="false">
      <c r="A490" s="23" t="n">
        <v>45790.0708333333</v>
      </c>
      <c r="B490" s="24" t="s">
        <v>568</v>
      </c>
      <c r="C490" s="24" t="s">
        <v>578</v>
      </c>
      <c r="D490" s="24" t="s">
        <v>72</v>
      </c>
      <c r="E490" s="24" t="n">
        <v>356</v>
      </c>
      <c r="F490" s="25" t="n">
        <v>24000</v>
      </c>
      <c r="G490" s="24" t="s">
        <v>54</v>
      </c>
      <c r="H490" s="24" t="s">
        <v>60</v>
      </c>
      <c r="I490" s="24" t="s">
        <v>61</v>
      </c>
      <c r="J490" s="26" t="n">
        <f aca="false">IF(A490="","",YEAR(A490))</f>
        <v>2025</v>
      </c>
      <c r="K490" s="26" t="n">
        <f aca="false">IF(A490="","",MONTH(A490))</f>
        <v>5</v>
      </c>
      <c r="L490" s="26" t="n">
        <f aca="false">IF(B490="","",VALUE(LEFT(B490,2)))</f>
        <v>19</v>
      </c>
      <c r="M490" s="26" t="n">
        <f aca="false">IF(A490="","",IF(COUNTIFS($C$2:$C$5001,C490,$J$2:$J$5001,J490,$A$2:$A$5001,"&lt;"&amp;A490)=0,1,0))</f>
        <v>1</v>
      </c>
    </row>
    <row r="491" customFormat="false" ht="15" hidden="false" customHeight="false" outlineLevel="0" collapsed="false">
      <c r="A491" s="23" t="n">
        <v>45790.8631944444</v>
      </c>
      <c r="B491" s="24" t="s">
        <v>287</v>
      </c>
      <c r="C491" s="24" t="s">
        <v>309</v>
      </c>
      <c r="D491" s="24" t="s">
        <v>53</v>
      </c>
      <c r="E491" s="24" t="n">
        <v>211</v>
      </c>
      <c r="F491" s="25" t="n">
        <v>4000</v>
      </c>
      <c r="G491" s="24" t="s">
        <v>59</v>
      </c>
      <c r="H491" s="24" t="s">
        <v>55</v>
      </c>
      <c r="I491" s="24" t="s">
        <v>61</v>
      </c>
      <c r="J491" s="26" t="n">
        <f aca="false">IF(A491="","",YEAR(A491))</f>
        <v>2025</v>
      </c>
      <c r="K491" s="26" t="n">
        <f aca="false">IF(A491="","",MONTH(A491))</f>
        <v>5</v>
      </c>
      <c r="L491" s="26" t="n">
        <f aca="false">IF(B491="","",VALUE(LEFT(B491,2)))</f>
        <v>17</v>
      </c>
      <c r="M491" s="26" t="n">
        <f aca="false">IF(A491="","",IF(COUNTIFS($C$2:$C$5001,C491,$J$2:$J$5001,J491,$A$2:$A$5001,"&lt;"&amp;A491)=0,1,0))</f>
        <v>0</v>
      </c>
    </row>
    <row r="492" customFormat="false" ht="15" hidden="false" customHeight="false" outlineLevel="0" collapsed="false">
      <c r="A492" s="23" t="n">
        <v>45790.93125</v>
      </c>
      <c r="B492" s="24" t="s">
        <v>579</v>
      </c>
      <c r="C492" s="24" t="s">
        <v>158</v>
      </c>
      <c r="D492" s="24" t="s">
        <v>66</v>
      </c>
      <c r="E492" s="24" t="n">
        <v>116</v>
      </c>
      <c r="F492" s="25" t="n">
        <v>4000</v>
      </c>
      <c r="G492" s="24" t="s">
        <v>83</v>
      </c>
      <c r="H492" s="24" t="s">
        <v>60</v>
      </c>
      <c r="I492" s="24" t="s">
        <v>61</v>
      </c>
      <c r="J492" s="26" t="n">
        <f aca="false">IF(A492="","",YEAR(A492))</f>
        <v>2025</v>
      </c>
      <c r="K492" s="26" t="n">
        <f aca="false">IF(A492="","",MONTH(A492))</f>
        <v>5</v>
      </c>
      <c r="L492" s="26" t="n">
        <f aca="false">IF(B492="","",VALUE(LEFT(B492,2)))</f>
        <v>20</v>
      </c>
      <c r="M492" s="26" t="n">
        <f aca="false">IF(A492="","",IF(COUNTIFS($C$2:$C$5001,C492,$J$2:$J$5001,J492,$A$2:$A$5001,"&lt;"&amp;A492)=0,1,0))</f>
        <v>0</v>
      </c>
    </row>
    <row r="493" customFormat="false" ht="15" hidden="false" customHeight="false" outlineLevel="0" collapsed="false">
      <c r="A493" s="23" t="n">
        <v>45791.3555555556</v>
      </c>
      <c r="B493" s="24" t="s">
        <v>580</v>
      </c>
      <c r="C493" s="24" t="s">
        <v>561</v>
      </c>
      <c r="D493" s="24" t="s">
        <v>53</v>
      </c>
      <c r="E493" s="24" t="n">
        <v>152</v>
      </c>
      <c r="F493" s="25" t="n">
        <v>3000</v>
      </c>
      <c r="G493" s="24" t="s">
        <v>79</v>
      </c>
      <c r="H493" s="24" t="s">
        <v>60</v>
      </c>
      <c r="I493" s="24" t="s">
        <v>61</v>
      </c>
      <c r="J493" s="26" t="n">
        <f aca="false">IF(A493="","",YEAR(A493))</f>
        <v>2025</v>
      </c>
      <c r="K493" s="26" t="n">
        <f aca="false">IF(A493="","",MONTH(A493))</f>
        <v>5</v>
      </c>
      <c r="L493" s="26" t="n">
        <f aca="false">IF(B493="","",VALUE(LEFT(B493,2)))</f>
        <v>6</v>
      </c>
      <c r="M493" s="26" t="n">
        <f aca="false">IF(A493="","",IF(COUNTIFS($C$2:$C$5001,C493,$J$2:$J$5001,J493,$A$2:$A$5001,"&lt;"&amp;A493)=0,1,0))</f>
        <v>0</v>
      </c>
    </row>
    <row r="494" customFormat="false" ht="15" hidden="false" customHeight="false" outlineLevel="0" collapsed="false">
      <c r="A494" s="23" t="n">
        <v>45791.4638888889</v>
      </c>
      <c r="B494" s="24" t="s">
        <v>581</v>
      </c>
      <c r="C494" s="24" t="s">
        <v>343</v>
      </c>
      <c r="D494" s="24" t="s">
        <v>66</v>
      </c>
      <c r="E494" s="24" t="n">
        <v>96</v>
      </c>
      <c r="F494" s="25" t="n">
        <v>4000</v>
      </c>
      <c r="G494" s="24" t="s">
        <v>59</v>
      </c>
      <c r="H494" s="24" t="s">
        <v>80</v>
      </c>
      <c r="I494" s="24" t="s">
        <v>61</v>
      </c>
      <c r="J494" s="26" t="n">
        <f aca="false">IF(A494="","",YEAR(A494))</f>
        <v>2025</v>
      </c>
      <c r="K494" s="26" t="n">
        <f aca="false">IF(A494="","",MONTH(A494))</f>
        <v>5</v>
      </c>
      <c r="L494" s="26" t="n">
        <f aca="false">IF(B494="","",VALUE(LEFT(B494,2)))</f>
        <v>9</v>
      </c>
      <c r="M494" s="26" t="n">
        <f aca="false">IF(A494="","",IF(COUNTIFS($C$2:$C$5001,C494,$J$2:$J$5001,J494,$A$2:$A$5001,"&lt;"&amp;A494)=0,1,0))</f>
        <v>0</v>
      </c>
    </row>
    <row r="495" customFormat="false" ht="15" hidden="false" customHeight="false" outlineLevel="0" collapsed="false">
      <c r="A495" s="23" t="n">
        <v>45791.6652777778</v>
      </c>
      <c r="B495" s="24" t="s">
        <v>208</v>
      </c>
      <c r="C495" s="24" t="s">
        <v>267</v>
      </c>
      <c r="D495" s="24" t="s">
        <v>66</v>
      </c>
      <c r="E495" s="24" t="n">
        <v>349</v>
      </c>
      <c r="F495" s="25" t="n">
        <v>12000</v>
      </c>
      <c r="G495" s="24" t="s">
        <v>59</v>
      </c>
      <c r="H495" s="24" t="s">
        <v>60</v>
      </c>
      <c r="I495" s="24" t="s">
        <v>61</v>
      </c>
      <c r="J495" s="26" t="n">
        <f aca="false">IF(A495="","",YEAR(A495))</f>
        <v>2025</v>
      </c>
      <c r="K495" s="26" t="n">
        <f aca="false">IF(A495="","",MONTH(A495))</f>
        <v>5</v>
      </c>
      <c r="L495" s="26" t="n">
        <f aca="false">IF(B495="","",VALUE(LEFT(B495,2)))</f>
        <v>10</v>
      </c>
      <c r="M495" s="26" t="n">
        <f aca="false">IF(A495="","",IF(COUNTIFS($C$2:$C$5001,C495,$J$2:$J$5001,J495,$A$2:$A$5001,"&lt;"&amp;A495)=0,1,0))</f>
        <v>0</v>
      </c>
    </row>
    <row r="496" customFormat="false" ht="15" hidden="false" customHeight="false" outlineLevel="0" collapsed="false">
      <c r="A496" s="23" t="n">
        <v>45791.8006944444</v>
      </c>
      <c r="B496" s="24" t="s">
        <v>582</v>
      </c>
      <c r="C496" s="24" t="s">
        <v>253</v>
      </c>
      <c r="D496" s="24" t="s">
        <v>66</v>
      </c>
      <c r="E496" s="24" t="n">
        <v>179</v>
      </c>
      <c r="F496" s="25" t="n">
        <v>6000</v>
      </c>
      <c r="G496" s="24" t="s">
        <v>69</v>
      </c>
      <c r="H496" s="24" t="s">
        <v>55</v>
      </c>
      <c r="I496" s="24" t="s">
        <v>61</v>
      </c>
      <c r="J496" s="26" t="n">
        <f aca="false">IF(A496="","",YEAR(A496))</f>
        <v>2025</v>
      </c>
      <c r="K496" s="26" t="n">
        <f aca="false">IF(A496="","",MONTH(A496))</f>
        <v>5</v>
      </c>
      <c r="L496" s="26" t="n">
        <f aca="false">IF(B496="","",VALUE(LEFT(B496,2)))</f>
        <v>16</v>
      </c>
      <c r="M496" s="26" t="n">
        <f aca="false">IF(A496="","",IF(COUNTIFS($C$2:$C$5001,C496,$J$2:$J$5001,J496,$A$2:$A$5001,"&lt;"&amp;A496)=0,1,0))</f>
        <v>0</v>
      </c>
    </row>
    <row r="497" customFormat="false" ht="15" hidden="false" customHeight="false" outlineLevel="0" collapsed="false">
      <c r="A497" s="23" t="n">
        <v>45792.5743055556</v>
      </c>
      <c r="B497" s="24" t="s">
        <v>313</v>
      </c>
      <c r="C497" s="24" t="s">
        <v>512</v>
      </c>
      <c r="D497" s="24" t="s">
        <v>53</v>
      </c>
      <c r="E497" s="24" t="n">
        <v>144</v>
      </c>
      <c r="F497" s="25" t="n">
        <v>2500</v>
      </c>
      <c r="G497" s="24" t="s">
        <v>79</v>
      </c>
      <c r="H497" s="24" t="s">
        <v>80</v>
      </c>
      <c r="I497" s="24" t="s">
        <v>61</v>
      </c>
      <c r="J497" s="26" t="n">
        <f aca="false">IF(A497="","",YEAR(A497))</f>
        <v>2025</v>
      </c>
      <c r="K497" s="26" t="n">
        <f aca="false">IF(A497="","",MONTH(A497))</f>
        <v>5</v>
      </c>
      <c r="L497" s="26" t="n">
        <f aca="false">IF(B497="","",VALUE(LEFT(B497,2)))</f>
        <v>11</v>
      </c>
      <c r="M497" s="26" t="n">
        <f aca="false">IF(A497="","",IF(COUNTIFS($C$2:$C$5001,C497,$J$2:$J$5001,J497,$A$2:$A$5001,"&lt;"&amp;A497)=0,1,0))</f>
        <v>0</v>
      </c>
    </row>
    <row r="498" customFormat="false" ht="15" hidden="false" customHeight="false" outlineLevel="0" collapsed="false">
      <c r="A498" s="23" t="n">
        <v>45792.5868055556</v>
      </c>
      <c r="B498" s="24" t="s">
        <v>331</v>
      </c>
      <c r="C498" s="24" t="s">
        <v>396</v>
      </c>
      <c r="D498" s="24" t="s">
        <v>66</v>
      </c>
      <c r="E498" s="24" t="n">
        <v>372</v>
      </c>
      <c r="F498" s="25" t="n">
        <v>13000</v>
      </c>
      <c r="G498" s="24" t="s">
        <v>54</v>
      </c>
      <c r="H498" s="24" t="s">
        <v>60</v>
      </c>
      <c r="I498" s="24" t="s">
        <v>61</v>
      </c>
      <c r="J498" s="26" t="n">
        <f aca="false">IF(A498="","",YEAR(A498))</f>
        <v>2025</v>
      </c>
      <c r="K498" s="26" t="n">
        <f aca="false">IF(A498="","",MONTH(A498))</f>
        <v>5</v>
      </c>
      <c r="L498" s="26" t="n">
        <f aca="false">IF(B498="","",VALUE(LEFT(B498,2)))</f>
        <v>7</v>
      </c>
      <c r="M498" s="26" t="n">
        <f aca="false">IF(A498="","",IF(COUNTIFS($C$2:$C$5001,C498,$J$2:$J$5001,J498,$A$2:$A$5001,"&lt;"&amp;A498)=0,1,0))</f>
        <v>0</v>
      </c>
    </row>
    <row r="499" customFormat="false" ht="15" hidden="false" customHeight="false" outlineLevel="0" collapsed="false">
      <c r="A499" s="23" t="n">
        <v>45793.8180555556</v>
      </c>
      <c r="B499" s="24" t="s">
        <v>583</v>
      </c>
      <c r="C499" s="24" t="s">
        <v>118</v>
      </c>
      <c r="D499" s="24" t="s">
        <v>66</v>
      </c>
      <c r="E499" s="24" t="n">
        <v>74</v>
      </c>
      <c r="F499" s="25" t="n">
        <v>3000</v>
      </c>
      <c r="G499" s="24" t="s">
        <v>59</v>
      </c>
      <c r="H499" s="24" t="s">
        <v>55</v>
      </c>
      <c r="I499" s="24" t="s">
        <v>61</v>
      </c>
      <c r="J499" s="26" t="n">
        <f aca="false">IF(A499="","",YEAR(A499))</f>
        <v>2025</v>
      </c>
      <c r="K499" s="26" t="n">
        <f aca="false">IF(A499="","",MONTH(A499))</f>
        <v>5</v>
      </c>
      <c r="L499" s="26" t="n">
        <f aca="false">IF(B499="","",VALUE(LEFT(B499,2)))</f>
        <v>18</v>
      </c>
      <c r="M499" s="26" t="n">
        <f aca="false">IF(A499="","",IF(COUNTIFS($C$2:$C$5001,C499,$J$2:$J$5001,J499,$A$2:$A$5001,"&lt;"&amp;A499)=0,1,0))</f>
        <v>0</v>
      </c>
    </row>
    <row r="500" customFormat="false" ht="15" hidden="false" customHeight="false" outlineLevel="0" collapsed="false">
      <c r="A500" s="23" t="n">
        <v>45794.5104166667</v>
      </c>
      <c r="B500" s="24" t="s">
        <v>584</v>
      </c>
      <c r="C500" s="24" t="s">
        <v>166</v>
      </c>
      <c r="D500" s="24" t="s">
        <v>66</v>
      </c>
      <c r="E500" s="24" t="n">
        <v>54</v>
      </c>
      <c r="F500" s="25" t="n">
        <v>2000</v>
      </c>
      <c r="G500" s="24" t="s">
        <v>59</v>
      </c>
      <c r="H500" s="24" t="s">
        <v>55</v>
      </c>
      <c r="I500" s="24" t="s">
        <v>61</v>
      </c>
      <c r="J500" s="26" t="n">
        <f aca="false">IF(A500="","",YEAR(A500))</f>
        <v>2025</v>
      </c>
      <c r="K500" s="26" t="n">
        <f aca="false">IF(A500="","",MONTH(A500))</f>
        <v>5</v>
      </c>
      <c r="L500" s="26" t="n">
        <f aca="false">IF(B500="","",VALUE(LEFT(B500,2)))</f>
        <v>11</v>
      </c>
      <c r="M500" s="26" t="n">
        <f aca="false">IF(A500="","",IF(COUNTIFS($C$2:$C$5001,C500,$J$2:$J$5001,J500,$A$2:$A$5001,"&lt;"&amp;A500)=0,1,0))</f>
        <v>0</v>
      </c>
    </row>
    <row r="501" customFormat="false" ht="15" hidden="false" customHeight="false" outlineLevel="0" collapsed="false">
      <c r="A501" s="23" t="n">
        <v>45794.5354166667</v>
      </c>
      <c r="B501" s="24" t="s">
        <v>481</v>
      </c>
      <c r="C501" s="24" t="s">
        <v>398</v>
      </c>
      <c r="D501" s="24" t="s">
        <v>53</v>
      </c>
      <c r="E501" s="24" t="n">
        <v>121</v>
      </c>
      <c r="F501" s="25" t="n">
        <v>2500</v>
      </c>
      <c r="G501" s="24" t="s">
        <v>59</v>
      </c>
      <c r="H501" s="24" t="s">
        <v>60</v>
      </c>
      <c r="I501" s="24" t="s">
        <v>61</v>
      </c>
      <c r="J501" s="26" t="n">
        <f aca="false">IF(A501="","",YEAR(A501))</f>
        <v>2025</v>
      </c>
      <c r="K501" s="26" t="n">
        <f aca="false">IF(A501="","",MONTH(A501))</f>
        <v>5</v>
      </c>
      <c r="L501" s="26" t="n">
        <f aca="false">IF(B501="","",VALUE(LEFT(B501,2)))</f>
        <v>10</v>
      </c>
      <c r="M501" s="26" t="n">
        <f aca="false">IF(A501="","",IF(COUNTIFS($C$2:$C$5001,C501,$J$2:$J$5001,J501,$A$2:$A$5001,"&lt;"&amp;A501)=0,1,0))</f>
        <v>0</v>
      </c>
    </row>
    <row r="502" customFormat="false" ht="15" hidden="false" customHeight="false" outlineLevel="0" collapsed="false">
      <c r="A502" s="23" t="n">
        <v>45795.3201388889</v>
      </c>
      <c r="B502" s="24" t="s">
        <v>473</v>
      </c>
      <c r="C502" s="24" t="s">
        <v>116</v>
      </c>
      <c r="D502" s="24" t="s">
        <v>53</v>
      </c>
      <c r="E502" s="24" t="n">
        <v>50</v>
      </c>
      <c r="F502" s="25" t="n">
        <v>1000</v>
      </c>
      <c r="G502" s="24" t="s">
        <v>69</v>
      </c>
      <c r="H502" s="24" t="s">
        <v>55</v>
      </c>
      <c r="I502" s="24" t="s">
        <v>61</v>
      </c>
      <c r="J502" s="26" t="n">
        <f aca="false">IF(A502="","",YEAR(A502))</f>
        <v>2025</v>
      </c>
      <c r="K502" s="26" t="n">
        <f aca="false">IF(A502="","",MONTH(A502))</f>
        <v>5</v>
      </c>
      <c r="L502" s="26" t="n">
        <f aca="false">IF(B502="","",VALUE(LEFT(B502,2)))</f>
        <v>6</v>
      </c>
      <c r="M502" s="26" t="n">
        <f aca="false">IF(A502="","",IF(COUNTIFS($C$2:$C$5001,C502,$J$2:$J$5001,J502,$A$2:$A$5001,"&lt;"&amp;A502)=0,1,0))</f>
        <v>0</v>
      </c>
    </row>
    <row r="503" customFormat="false" ht="15" hidden="false" customHeight="false" outlineLevel="0" collapsed="false">
      <c r="A503" s="23" t="n">
        <v>45795.6548611111</v>
      </c>
      <c r="B503" s="24" t="s">
        <v>585</v>
      </c>
      <c r="C503" s="24" t="s">
        <v>243</v>
      </c>
      <c r="D503" s="24" t="s">
        <v>88</v>
      </c>
      <c r="E503" s="24" t="n">
        <v>314</v>
      </c>
      <c r="F503" s="25" t="n">
        <v>0</v>
      </c>
      <c r="G503" s="24" t="s">
        <v>59</v>
      </c>
      <c r="H503" s="24" t="s">
        <v>60</v>
      </c>
      <c r="I503" s="24" t="s">
        <v>56</v>
      </c>
      <c r="J503" s="26" t="n">
        <f aca="false">IF(A503="","",YEAR(A503))</f>
        <v>2025</v>
      </c>
      <c r="K503" s="26" t="n">
        <f aca="false">IF(A503="","",MONTH(A503))</f>
        <v>5</v>
      </c>
      <c r="L503" s="26" t="n">
        <f aca="false">IF(B503="","",VALUE(LEFT(B503,2)))</f>
        <v>10</v>
      </c>
      <c r="M503" s="26" t="n">
        <f aca="false">IF(A503="","",IF(COUNTIFS($C$2:$C$5001,C503,$J$2:$J$5001,J503,$A$2:$A$5001,"&lt;"&amp;A503)=0,1,0))</f>
        <v>0</v>
      </c>
    </row>
    <row r="504" customFormat="false" ht="15" hidden="false" customHeight="false" outlineLevel="0" collapsed="false">
      <c r="A504" s="23" t="n">
        <v>45797.0659722222</v>
      </c>
      <c r="B504" s="24" t="s">
        <v>586</v>
      </c>
      <c r="C504" s="24" t="s">
        <v>82</v>
      </c>
      <c r="D504" s="24" t="s">
        <v>66</v>
      </c>
      <c r="E504" s="24" t="n">
        <v>410</v>
      </c>
      <c r="F504" s="25" t="n">
        <v>0</v>
      </c>
      <c r="G504" s="24" t="s">
        <v>59</v>
      </c>
      <c r="H504" s="24" t="s">
        <v>80</v>
      </c>
      <c r="I504" s="24" t="s">
        <v>56</v>
      </c>
      <c r="J504" s="26" t="n">
        <f aca="false">IF(A504="","",YEAR(A504))</f>
        <v>2025</v>
      </c>
      <c r="K504" s="26" t="n">
        <f aca="false">IF(A504="","",MONTH(A504))</f>
        <v>5</v>
      </c>
      <c r="L504" s="26" t="n">
        <f aca="false">IF(B504="","",VALUE(LEFT(B504,2)))</f>
        <v>18</v>
      </c>
      <c r="M504" s="26" t="n">
        <f aca="false">IF(A504="","",IF(COUNTIFS($C$2:$C$5001,C504,$J$2:$J$5001,J504,$A$2:$A$5001,"&lt;"&amp;A504)=0,1,0))</f>
        <v>0</v>
      </c>
    </row>
    <row r="505" customFormat="false" ht="15" hidden="false" customHeight="false" outlineLevel="0" collapsed="false">
      <c r="A505" s="23" t="n">
        <v>45797.3888888889</v>
      </c>
      <c r="B505" s="24" t="s">
        <v>587</v>
      </c>
      <c r="C505" s="24" t="s">
        <v>243</v>
      </c>
      <c r="D505" s="24" t="s">
        <v>66</v>
      </c>
      <c r="E505" s="24" t="n">
        <v>192</v>
      </c>
      <c r="F505" s="25" t="n">
        <v>0</v>
      </c>
      <c r="G505" s="24" t="s">
        <v>59</v>
      </c>
      <c r="H505" s="24" t="s">
        <v>55</v>
      </c>
      <c r="I505" s="24" t="s">
        <v>56</v>
      </c>
      <c r="J505" s="26" t="n">
        <f aca="false">IF(A505="","",YEAR(A505))</f>
        <v>2025</v>
      </c>
      <c r="K505" s="26" t="n">
        <f aca="false">IF(A505="","",MONTH(A505))</f>
        <v>5</v>
      </c>
      <c r="L505" s="26" t="n">
        <f aca="false">IF(B505="","",VALUE(LEFT(B505,2)))</f>
        <v>6</v>
      </c>
      <c r="M505" s="26" t="n">
        <f aca="false">IF(A505="","",IF(COUNTIFS($C$2:$C$5001,C505,$J$2:$J$5001,J505,$A$2:$A$5001,"&lt;"&amp;A505)=0,1,0))</f>
        <v>0</v>
      </c>
    </row>
    <row r="506" customFormat="false" ht="15" hidden="false" customHeight="false" outlineLevel="0" collapsed="false">
      <c r="A506" s="23" t="n">
        <v>45797.6125</v>
      </c>
      <c r="B506" s="24" t="s">
        <v>299</v>
      </c>
      <c r="C506" s="24" t="s">
        <v>74</v>
      </c>
      <c r="D506" s="24" t="s">
        <v>66</v>
      </c>
      <c r="E506" s="24" t="n">
        <v>378</v>
      </c>
      <c r="F506" s="25" t="n">
        <v>13000</v>
      </c>
      <c r="G506" s="24" t="s">
        <v>54</v>
      </c>
      <c r="H506" s="24" t="s">
        <v>80</v>
      </c>
      <c r="I506" s="24" t="s">
        <v>61</v>
      </c>
      <c r="J506" s="26" t="n">
        <f aca="false">IF(A506="","",YEAR(A506))</f>
        <v>2025</v>
      </c>
      <c r="K506" s="26" t="n">
        <f aca="false">IF(A506="","",MONTH(A506))</f>
        <v>5</v>
      </c>
      <c r="L506" s="26" t="n">
        <f aca="false">IF(B506="","",VALUE(LEFT(B506,2)))</f>
        <v>8</v>
      </c>
      <c r="M506" s="26" t="n">
        <f aca="false">IF(A506="","",IF(COUNTIFS($C$2:$C$5001,C506,$J$2:$J$5001,J506,$A$2:$A$5001,"&lt;"&amp;A506)=0,1,0))</f>
        <v>0</v>
      </c>
    </row>
    <row r="507" customFormat="false" ht="15" hidden="false" customHeight="false" outlineLevel="0" collapsed="false">
      <c r="A507" s="23" t="n">
        <v>45797.7965277778</v>
      </c>
      <c r="B507" s="24" t="s">
        <v>588</v>
      </c>
      <c r="C507" s="24" t="s">
        <v>224</v>
      </c>
      <c r="D507" s="24" t="s">
        <v>66</v>
      </c>
      <c r="E507" s="24" t="n">
        <v>409</v>
      </c>
      <c r="F507" s="25" t="n">
        <v>0</v>
      </c>
      <c r="G507" s="24" t="s">
        <v>59</v>
      </c>
      <c r="H507" s="24" t="s">
        <v>55</v>
      </c>
      <c r="I507" s="24" t="s">
        <v>56</v>
      </c>
      <c r="J507" s="26" t="n">
        <f aca="false">IF(A507="","",YEAR(A507))</f>
        <v>2025</v>
      </c>
      <c r="K507" s="26" t="n">
        <f aca="false">IF(A507="","",MONTH(A507))</f>
        <v>5</v>
      </c>
      <c r="L507" s="26" t="n">
        <f aca="false">IF(B507="","",VALUE(LEFT(B507,2)))</f>
        <v>12</v>
      </c>
      <c r="M507" s="26" t="n">
        <f aca="false">IF(A507="","",IF(COUNTIFS($C$2:$C$5001,C507,$J$2:$J$5001,J507,$A$2:$A$5001,"&lt;"&amp;A507)=0,1,0))</f>
        <v>0</v>
      </c>
    </row>
    <row r="508" customFormat="false" ht="15" hidden="false" customHeight="false" outlineLevel="0" collapsed="false">
      <c r="A508" s="23" t="n">
        <v>45798.4680555556</v>
      </c>
      <c r="B508" s="24" t="s">
        <v>589</v>
      </c>
      <c r="C508" s="24" t="s">
        <v>92</v>
      </c>
      <c r="D508" s="24" t="s">
        <v>66</v>
      </c>
      <c r="E508" s="24" t="n">
        <v>164</v>
      </c>
      <c r="F508" s="25" t="n">
        <v>6000</v>
      </c>
      <c r="G508" s="24" t="s">
        <v>79</v>
      </c>
      <c r="H508" s="24" t="s">
        <v>60</v>
      </c>
      <c r="I508" s="24" t="s">
        <v>61</v>
      </c>
      <c r="J508" s="26" t="n">
        <f aca="false">IF(A508="","",YEAR(A508))</f>
        <v>2025</v>
      </c>
      <c r="K508" s="26" t="n">
        <f aca="false">IF(A508="","",MONTH(A508))</f>
        <v>5</v>
      </c>
      <c r="L508" s="26" t="n">
        <f aca="false">IF(B508="","",VALUE(LEFT(B508,2)))</f>
        <v>8</v>
      </c>
      <c r="M508" s="26" t="n">
        <f aca="false">IF(A508="","",IF(COUNTIFS($C$2:$C$5001,C508,$J$2:$J$5001,J508,$A$2:$A$5001,"&lt;"&amp;A508)=0,1,0))</f>
        <v>0</v>
      </c>
    </row>
    <row r="509" customFormat="false" ht="15" hidden="false" customHeight="false" outlineLevel="0" collapsed="false">
      <c r="A509" s="23" t="n">
        <v>45798.5583333333</v>
      </c>
      <c r="B509" s="24" t="s">
        <v>354</v>
      </c>
      <c r="C509" s="24" t="s">
        <v>120</v>
      </c>
      <c r="D509" s="24" t="s">
        <v>53</v>
      </c>
      <c r="E509" s="24" t="n">
        <v>108</v>
      </c>
      <c r="F509" s="25" t="n">
        <v>2000</v>
      </c>
      <c r="G509" s="24" t="s">
        <v>83</v>
      </c>
      <c r="H509" s="24" t="s">
        <v>80</v>
      </c>
      <c r="I509" s="24" t="s">
        <v>61</v>
      </c>
      <c r="J509" s="26" t="n">
        <f aca="false">IF(A509="","",YEAR(A509))</f>
        <v>2025</v>
      </c>
      <c r="K509" s="26" t="n">
        <f aca="false">IF(A509="","",MONTH(A509))</f>
        <v>5</v>
      </c>
      <c r="L509" s="26" t="n">
        <f aca="false">IF(B509="","",VALUE(LEFT(B509,2)))</f>
        <v>11</v>
      </c>
      <c r="M509" s="26" t="n">
        <f aca="false">IF(A509="","",IF(COUNTIFS($C$2:$C$5001,C509,$J$2:$J$5001,J509,$A$2:$A$5001,"&lt;"&amp;A509)=0,1,0))</f>
        <v>0</v>
      </c>
    </row>
    <row r="510" customFormat="false" ht="15" hidden="false" customHeight="false" outlineLevel="0" collapsed="false">
      <c r="A510" s="23" t="n">
        <v>45798.7194444445</v>
      </c>
      <c r="B510" s="24" t="s">
        <v>590</v>
      </c>
      <c r="C510" s="24" t="s">
        <v>389</v>
      </c>
      <c r="D510" s="24" t="s">
        <v>53</v>
      </c>
      <c r="E510" s="24" t="n">
        <v>188</v>
      </c>
      <c r="F510" s="25" t="n">
        <v>3500</v>
      </c>
      <c r="G510" s="24" t="s">
        <v>83</v>
      </c>
      <c r="H510" s="24" t="s">
        <v>60</v>
      </c>
      <c r="I510" s="24" t="s">
        <v>61</v>
      </c>
      <c r="J510" s="26" t="n">
        <f aca="false">IF(A510="","",YEAR(A510))</f>
        <v>2025</v>
      </c>
      <c r="K510" s="26" t="n">
        <f aca="false">IF(A510="","",MONTH(A510))</f>
        <v>5</v>
      </c>
      <c r="L510" s="26" t="n">
        <f aca="false">IF(B510="","",VALUE(LEFT(B510,2)))</f>
        <v>14</v>
      </c>
      <c r="M510" s="26" t="n">
        <f aca="false">IF(A510="","",IF(COUNTIFS($C$2:$C$5001,C510,$J$2:$J$5001,J510,$A$2:$A$5001,"&lt;"&amp;A510)=0,1,0))</f>
        <v>0</v>
      </c>
    </row>
    <row r="511" customFormat="false" ht="15" hidden="false" customHeight="false" outlineLevel="0" collapsed="false">
      <c r="A511" s="23" t="n">
        <v>45800.4256944444</v>
      </c>
      <c r="B511" s="24" t="s">
        <v>548</v>
      </c>
      <c r="C511" s="24" t="s">
        <v>71</v>
      </c>
      <c r="D511" s="24" t="s">
        <v>53</v>
      </c>
      <c r="E511" s="24" t="n">
        <v>66</v>
      </c>
      <c r="F511" s="25" t="n">
        <v>1500</v>
      </c>
      <c r="G511" s="24" t="s">
        <v>69</v>
      </c>
      <c r="H511" s="24" t="s">
        <v>60</v>
      </c>
      <c r="I511" s="24" t="s">
        <v>61</v>
      </c>
      <c r="J511" s="26" t="n">
        <f aca="false">IF(A511="","",YEAR(A511))</f>
        <v>2025</v>
      </c>
      <c r="K511" s="26" t="n">
        <f aca="false">IF(A511="","",MONTH(A511))</f>
        <v>5</v>
      </c>
      <c r="L511" s="26" t="n">
        <f aca="false">IF(B511="","",VALUE(LEFT(B511,2)))</f>
        <v>9</v>
      </c>
      <c r="M511" s="26" t="n">
        <f aca="false">IF(A511="","",IF(COUNTIFS($C$2:$C$5001,C511,$J$2:$J$5001,J511,$A$2:$A$5001,"&lt;"&amp;A511)=0,1,0))</f>
        <v>0</v>
      </c>
    </row>
    <row r="512" customFormat="false" ht="15" hidden="false" customHeight="false" outlineLevel="0" collapsed="false">
      <c r="A512" s="23" t="n">
        <v>45800.55625</v>
      </c>
      <c r="B512" s="24" t="s">
        <v>258</v>
      </c>
      <c r="C512" s="24" t="s">
        <v>123</v>
      </c>
      <c r="D512" s="24" t="s">
        <v>53</v>
      </c>
      <c r="E512" s="24" t="n">
        <v>222</v>
      </c>
      <c r="F512" s="25" t="n">
        <v>4000</v>
      </c>
      <c r="G512" s="24" t="s">
        <v>59</v>
      </c>
      <c r="H512" s="24" t="s">
        <v>60</v>
      </c>
      <c r="I512" s="24" t="s">
        <v>61</v>
      </c>
      <c r="J512" s="26" t="n">
        <f aca="false">IF(A512="","",YEAR(A512))</f>
        <v>2025</v>
      </c>
      <c r="K512" s="26" t="n">
        <f aca="false">IF(A512="","",MONTH(A512))</f>
        <v>5</v>
      </c>
      <c r="L512" s="26" t="n">
        <f aca="false">IF(B512="","",VALUE(LEFT(B512,2)))</f>
        <v>9</v>
      </c>
      <c r="M512" s="26" t="n">
        <f aca="false">IF(A512="","",IF(COUNTIFS($C$2:$C$5001,C512,$J$2:$J$5001,J512,$A$2:$A$5001,"&lt;"&amp;A512)=0,1,0))</f>
        <v>0</v>
      </c>
    </row>
    <row r="513" customFormat="false" ht="15" hidden="false" customHeight="false" outlineLevel="0" collapsed="false">
      <c r="A513" s="23" t="n">
        <v>45800.6513888889</v>
      </c>
      <c r="B513" s="24" t="s">
        <v>591</v>
      </c>
      <c r="C513" s="24" t="s">
        <v>309</v>
      </c>
      <c r="D513" s="24" t="s">
        <v>53</v>
      </c>
      <c r="E513" s="24" t="n">
        <v>149</v>
      </c>
      <c r="F513" s="25" t="n">
        <v>2500</v>
      </c>
      <c r="G513" s="24" t="s">
        <v>79</v>
      </c>
      <c r="H513" s="24" t="s">
        <v>80</v>
      </c>
      <c r="I513" s="24" t="s">
        <v>61</v>
      </c>
      <c r="J513" s="26" t="n">
        <f aca="false">IF(A513="","",YEAR(A513))</f>
        <v>2025</v>
      </c>
      <c r="K513" s="26" t="n">
        <f aca="false">IF(A513="","",MONTH(A513))</f>
        <v>5</v>
      </c>
      <c r="L513" s="26" t="n">
        <f aca="false">IF(B513="","",VALUE(LEFT(B513,2)))</f>
        <v>13</v>
      </c>
      <c r="M513" s="26" t="n">
        <f aca="false">IF(A513="","",IF(COUNTIFS($C$2:$C$5001,C513,$J$2:$J$5001,J513,$A$2:$A$5001,"&lt;"&amp;A513)=0,1,0))</f>
        <v>0</v>
      </c>
    </row>
    <row r="514" customFormat="false" ht="15" hidden="false" customHeight="false" outlineLevel="0" collapsed="false">
      <c r="A514" s="23" t="n">
        <v>45801.60625</v>
      </c>
      <c r="B514" s="24" t="s">
        <v>592</v>
      </c>
      <c r="C514" s="24" t="s">
        <v>593</v>
      </c>
      <c r="D514" s="24" t="s">
        <v>53</v>
      </c>
      <c r="E514" s="24" t="n">
        <v>263</v>
      </c>
      <c r="F514" s="25" t="n">
        <v>4500</v>
      </c>
      <c r="G514" s="24" t="s">
        <v>79</v>
      </c>
      <c r="H514" s="24" t="s">
        <v>80</v>
      </c>
      <c r="I514" s="24" t="s">
        <v>61</v>
      </c>
      <c r="J514" s="26" t="n">
        <f aca="false">IF(A514="","",YEAR(A514))</f>
        <v>2025</v>
      </c>
      <c r="K514" s="26" t="n">
        <f aca="false">IF(A514="","",MONTH(A514))</f>
        <v>5</v>
      </c>
      <c r="L514" s="26" t="n">
        <f aca="false">IF(B514="","",VALUE(LEFT(B514,2)))</f>
        <v>10</v>
      </c>
      <c r="M514" s="26" t="n">
        <f aca="false">IF(A514="","",IF(COUNTIFS($C$2:$C$5001,C514,$J$2:$J$5001,J514,$A$2:$A$5001,"&lt;"&amp;A514)=0,1,0))</f>
        <v>1</v>
      </c>
    </row>
    <row r="515" customFormat="false" ht="15" hidden="false" customHeight="false" outlineLevel="0" collapsed="false">
      <c r="A515" s="23" t="n">
        <v>45803.1527777778</v>
      </c>
      <c r="B515" s="24" t="s">
        <v>594</v>
      </c>
      <c r="C515" s="24" t="s">
        <v>68</v>
      </c>
      <c r="D515" s="24" t="s">
        <v>66</v>
      </c>
      <c r="E515" s="24" t="n">
        <v>407</v>
      </c>
      <c r="F515" s="25" t="n">
        <v>14000</v>
      </c>
      <c r="G515" s="24" t="s">
        <v>59</v>
      </c>
      <c r="H515" s="24" t="s">
        <v>80</v>
      </c>
      <c r="I515" s="24" t="s">
        <v>61</v>
      </c>
      <c r="J515" s="26" t="n">
        <f aca="false">IF(A515="","",YEAR(A515))</f>
        <v>2025</v>
      </c>
      <c r="K515" s="26" t="n">
        <f aca="false">IF(A515="","",MONTH(A515))</f>
        <v>5</v>
      </c>
      <c r="L515" s="26" t="n">
        <f aca="false">IF(B515="","",VALUE(LEFT(B515,2)))</f>
        <v>20</v>
      </c>
      <c r="M515" s="26" t="n">
        <f aca="false">IF(A515="","",IF(COUNTIFS($C$2:$C$5001,C515,$J$2:$J$5001,J515,$A$2:$A$5001,"&lt;"&amp;A515)=0,1,0))</f>
        <v>0</v>
      </c>
    </row>
    <row r="516" customFormat="false" ht="15" hidden="false" customHeight="false" outlineLevel="0" collapsed="false">
      <c r="A516" s="23" t="n">
        <v>45803.5236111111</v>
      </c>
      <c r="B516" s="24" t="s">
        <v>319</v>
      </c>
      <c r="C516" s="24" t="s">
        <v>76</v>
      </c>
      <c r="D516" s="24" t="s">
        <v>53</v>
      </c>
      <c r="E516" s="24" t="n">
        <v>263</v>
      </c>
      <c r="F516" s="25" t="n">
        <v>4500</v>
      </c>
      <c r="G516" s="24" t="s">
        <v>83</v>
      </c>
      <c r="H516" s="24" t="s">
        <v>60</v>
      </c>
      <c r="I516" s="24" t="s">
        <v>61</v>
      </c>
      <c r="J516" s="26" t="n">
        <f aca="false">IF(A516="","",YEAR(A516))</f>
        <v>2025</v>
      </c>
      <c r="K516" s="26" t="n">
        <f aca="false">IF(A516="","",MONTH(A516))</f>
        <v>5</v>
      </c>
      <c r="L516" s="26" t="n">
        <f aca="false">IF(B516="","",VALUE(LEFT(B516,2)))</f>
        <v>8</v>
      </c>
      <c r="M516" s="26" t="n">
        <f aca="false">IF(A516="","",IF(COUNTIFS($C$2:$C$5001,C516,$J$2:$J$5001,J516,$A$2:$A$5001,"&lt;"&amp;A516)=0,1,0))</f>
        <v>0</v>
      </c>
    </row>
    <row r="517" customFormat="false" ht="15" hidden="false" customHeight="false" outlineLevel="0" collapsed="false">
      <c r="A517" s="23" t="n">
        <v>45803.6583333333</v>
      </c>
      <c r="B517" s="24" t="s">
        <v>415</v>
      </c>
      <c r="C517" s="24" t="s">
        <v>467</v>
      </c>
      <c r="D517" s="24" t="s">
        <v>53</v>
      </c>
      <c r="E517" s="24" t="n">
        <v>246</v>
      </c>
      <c r="F517" s="25" t="n">
        <v>4500</v>
      </c>
      <c r="G517" s="24" t="s">
        <v>59</v>
      </c>
      <c r="H517" s="24" t="s">
        <v>55</v>
      </c>
      <c r="I517" s="24" t="s">
        <v>61</v>
      </c>
      <c r="J517" s="26" t="n">
        <f aca="false">IF(A517="","",YEAR(A517))</f>
        <v>2025</v>
      </c>
      <c r="K517" s="26" t="n">
        <f aca="false">IF(A517="","",MONTH(A517))</f>
        <v>5</v>
      </c>
      <c r="L517" s="26" t="n">
        <f aca="false">IF(B517="","",VALUE(LEFT(B517,2)))</f>
        <v>11</v>
      </c>
      <c r="M517" s="26" t="n">
        <f aca="false">IF(A517="","",IF(COUNTIFS($C$2:$C$5001,C517,$J$2:$J$5001,J517,$A$2:$A$5001,"&lt;"&amp;A517)=0,1,0))</f>
        <v>0</v>
      </c>
    </row>
    <row r="518" customFormat="false" ht="15" hidden="false" customHeight="false" outlineLevel="0" collapsed="false">
      <c r="A518" s="23" t="n">
        <v>45803.7409722222</v>
      </c>
      <c r="B518" s="24" t="s">
        <v>595</v>
      </c>
      <c r="C518" s="24" t="s">
        <v>203</v>
      </c>
      <c r="D518" s="24" t="s">
        <v>53</v>
      </c>
      <c r="E518" s="24" t="n">
        <v>84</v>
      </c>
      <c r="F518" s="25" t="n">
        <v>1500</v>
      </c>
      <c r="G518" s="24" t="s">
        <v>59</v>
      </c>
      <c r="H518" s="24" t="s">
        <v>80</v>
      </c>
      <c r="I518" s="24" t="s">
        <v>61</v>
      </c>
      <c r="J518" s="26" t="n">
        <f aca="false">IF(A518="","",YEAR(A518))</f>
        <v>2025</v>
      </c>
      <c r="K518" s="26" t="n">
        <f aca="false">IF(A518="","",MONTH(A518))</f>
        <v>5</v>
      </c>
      <c r="L518" s="26" t="n">
        <f aca="false">IF(B518="","",VALUE(LEFT(B518,2)))</f>
        <v>16</v>
      </c>
      <c r="M518" s="26" t="n">
        <f aca="false">IF(A518="","",IF(COUNTIFS($C$2:$C$5001,C518,$J$2:$J$5001,J518,$A$2:$A$5001,"&lt;"&amp;A518)=0,1,0))</f>
        <v>0</v>
      </c>
    </row>
    <row r="519" customFormat="false" ht="15" hidden="false" customHeight="false" outlineLevel="0" collapsed="false">
      <c r="A519" s="23" t="n">
        <v>45803.8402777778</v>
      </c>
      <c r="B519" s="24" t="s">
        <v>596</v>
      </c>
      <c r="C519" s="24" t="s">
        <v>367</v>
      </c>
      <c r="D519" s="24" t="s">
        <v>66</v>
      </c>
      <c r="E519" s="24" t="n">
        <v>281</v>
      </c>
      <c r="F519" s="25" t="n">
        <v>10000</v>
      </c>
      <c r="G519" s="24" t="s">
        <v>59</v>
      </c>
      <c r="H519" s="24" t="s">
        <v>80</v>
      </c>
      <c r="I519" s="24" t="s">
        <v>61</v>
      </c>
      <c r="J519" s="26" t="n">
        <f aca="false">IF(A519="","",YEAR(A519))</f>
        <v>2025</v>
      </c>
      <c r="K519" s="26" t="n">
        <f aca="false">IF(A519="","",MONTH(A519))</f>
        <v>5</v>
      </c>
      <c r="L519" s="26" t="n">
        <f aca="false">IF(B519="","",VALUE(LEFT(B519,2)))</f>
        <v>15</v>
      </c>
      <c r="M519" s="26" t="n">
        <f aca="false">IF(A519="","",IF(COUNTIFS($C$2:$C$5001,C519,$J$2:$J$5001,J519,$A$2:$A$5001,"&lt;"&amp;A519)=0,1,0))</f>
        <v>0</v>
      </c>
    </row>
    <row r="520" customFormat="false" ht="15" hidden="false" customHeight="false" outlineLevel="0" collapsed="false">
      <c r="A520" s="23" t="n">
        <v>45803.9243055556</v>
      </c>
      <c r="B520" s="24" t="s">
        <v>597</v>
      </c>
      <c r="C520" s="24" t="s">
        <v>267</v>
      </c>
      <c r="D520" s="24" t="s">
        <v>66</v>
      </c>
      <c r="E520" s="24" t="n">
        <v>259</v>
      </c>
      <c r="F520" s="25" t="n">
        <v>9000</v>
      </c>
      <c r="G520" s="24" t="s">
        <v>79</v>
      </c>
      <c r="H520" s="24" t="s">
        <v>80</v>
      </c>
      <c r="I520" s="24" t="s">
        <v>61</v>
      </c>
      <c r="J520" s="26" t="n">
        <f aca="false">IF(A520="","",YEAR(A520))</f>
        <v>2025</v>
      </c>
      <c r="K520" s="26" t="n">
        <f aca="false">IF(A520="","",MONTH(A520))</f>
        <v>5</v>
      </c>
      <c r="L520" s="26" t="n">
        <f aca="false">IF(B520="","",VALUE(LEFT(B520,2)))</f>
        <v>17</v>
      </c>
      <c r="M520" s="26" t="n">
        <f aca="false">IF(A520="","",IF(COUNTIFS($C$2:$C$5001,C520,$J$2:$J$5001,J520,$A$2:$A$5001,"&lt;"&amp;A520)=0,1,0))</f>
        <v>0</v>
      </c>
    </row>
    <row r="521" customFormat="false" ht="15" hidden="false" customHeight="false" outlineLevel="0" collapsed="false">
      <c r="A521" s="23" t="n">
        <v>45804.1020833333</v>
      </c>
      <c r="B521" s="24" t="s">
        <v>598</v>
      </c>
      <c r="C521" s="24" t="s">
        <v>396</v>
      </c>
      <c r="D521" s="24" t="s">
        <v>53</v>
      </c>
      <c r="E521" s="24" t="n">
        <v>379</v>
      </c>
      <c r="F521" s="25" t="n">
        <v>6500</v>
      </c>
      <c r="G521" s="24" t="s">
        <v>59</v>
      </c>
      <c r="H521" s="24" t="s">
        <v>55</v>
      </c>
      <c r="I521" s="24" t="s">
        <v>61</v>
      </c>
      <c r="J521" s="26" t="n">
        <f aca="false">IF(A521="","",YEAR(A521))</f>
        <v>2025</v>
      </c>
      <c r="K521" s="26" t="n">
        <f aca="false">IF(A521="","",MONTH(A521))</f>
        <v>5</v>
      </c>
      <c r="L521" s="26" t="n">
        <f aca="false">IF(B521="","",VALUE(LEFT(B521,2)))</f>
        <v>20</v>
      </c>
      <c r="M521" s="26" t="n">
        <f aca="false">IF(A521="","",IF(COUNTIFS($C$2:$C$5001,C521,$J$2:$J$5001,J521,$A$2:$A$5001,"&lt;"&amp;A521)=0,1,0))</f>
        <v>0</v>
      </c>
    </row>
    <row r="522" customFormat="false" ht="15" hidden="false" customHeight="false" outlineLevel="0" collapsed="false">
      <c r="A522" s="23" t="n">
        <v>45804.3986111111</v>
      </c>
      <c r="B522" s="24" t="s">
        <v>51</v>
      </c>
      <c r="C522" s="24" t="s">
        <v>475</v>
      </c>
      <c r="D522" s="24" t="s">
        <v>53</v>
      </c>
      <c r="E522" s="24" t="n">
        <v>119</v>
      </c>
      <c r="F522" s="25" t="n">
        <v>2000</v>
      </c>
      <c r="G522" s="24" t="s">
        <v>59</v>
      </c>
      <c r="H522" s="24" t="s">
        <v>55</v>
      </c>
      <c r="I522" s="24" t="s">
        <v>61</v>
      </c>
      <c r="J522" s="26" t="n">
        <f aca="false">IF(A522="","",YEAR(A522))</f>
        <v>2025</v>
      </c>
      <c r="K522" s="26" t="n">
        <f aca="false">IF(A522="","",MONTH(A522))</f>
        <v>5</v>
      </c>
      <c r="L522" s="26" t="n">
        <f aca="false">IF(B522="","",VALUE(LEFT(B522,2)))</f>
        <v>7</v>
      </c>
      <c r="M522" s="26" t="n">
        <f aca="false">IF(A522="","",IF(COUNTIFS($C$2:$C$5001,C522,$J$2:$J$5001,J522,$A$2:$A$5001,"&lt;"&amp;A522)=0,1,0))</f>
        <v>0</v>
      </c>
    </row>
    <row r="523" customFormat="false" ht="15" hidden="false" customHeight="false" outlineLevel="0" collapsed="false">
      <c r="A523" s="23" t="n">
        <v>45804.6305555556</v>
      </c>
      <c r="B523" s="24" t="s">
        <v>341</v>
      </c>
      <c r="C523" s="24" t="s">
        <v>222</v>
      </c>
      <c r="D523" s="24" t="s">
        <v>53</v>
      </c>
      <c r="E523" s="24" t="n">
        <v>300</v>
      </c>
      <c r="F523" s="25" t="n">
        <v>4250</v>
      </c>
      <c r="G523" s="24" t="s">
        <v>59</v>
      </c>
      <c r="H523" s="24" t="s">
        <v>55</v>
      </c>
      <c r="I523" s="24" t="s">
        <v>113</v>
      </c>
      <c r="J523" s="26" t="n">
        <f aca="false">IF(A523="","",YEAR(A523))</f>
        <v>2025</v>
      </c>
      <c r="K523" s="26" t="n">
        <f aca="false">IF(A523="","",MONTH(A523))</f>
        <v>5</v>
      </c>
      <c r="L523" s="26" t="n">
        <f aca="false">IF(B523="","",VALUE(LEFT(B523,2)))</f>
        <v>10</v>
      </c>
      <c r="M523" s="26" t="n">
        <f aca="false">IF(A523="","",IF(COUNTIFS($C$2:$C$5001,C523,$J$2:$J$5001,J523,$A$2:$A$5001,"&lt;"&amp;A523)=0,1,0))</f>
        <v>0</v>
      </c>
    </row>
    <row r="524" customFormat="false" ht="15" hidden="false" customHeight="false" outlineLevel="0" collapsed="false">
      <c r="A524" s="23" t="n">
        <v>45804.8819444445</v>
      </c>
      <c r="B524" s="24" t="s">
        <v>599</v>
      </c>
      <c r="C524" s="24" t="s">
        <v>147</v>
      </c>
      <c r="D524" s="24" t="s">
        <v>53</v>
      </c>
      <c r="E524" s="24" t="n">
        <v>285</v>
      </c>
      <c r="F524" s="25" t="n">
        <v>5000</v>
      </c>
      <c r="G524" s="24" t="s">
        <v>69</v>
      </c>
      <c r="H524" s="24" t="s">
        <v>60</v>
      </c>
      <c r="I524" s="24" t="s">
        <v>61</v>
      </c>
      <c r="J524" s="26" t="n">
        <f aca="false">IF(A524="","",YEAR(A524))</f>
        <v>2025</v>
      </c>
      <c r="K524" s="26" t="n">
        <f aca="false">IF(A524="","",MONTH(A524))</f>
        <v>5</v>
      </c>
      <c r="L524" s="26" t="n">
        <f aca="false">IF(B524="","",VALUE(LEFT(B524,2)))</f>
        <v>16</v>
      </c>
      <c r="M524" s="26" t="n">
        <f aca="false">IF(A524="","",IF(COUNTIFS($C$2:$C$5001,C524,$J$2:$J$5001,J524,$A$2:$A$5001,"&lt;"&amp;A524)=0,1,0))</f>
        <v>0</v>
      </c>
    </row>
    <row r="525" customFormat="false" ht="15" hidden="false" customHeight="false" outlineLevel="0" collapsed="false">
      <c r="A525" s="23" t="n">
        <v>45805.4631944444</v>
      </c>
      <c r="B525" s="24" t="s">
        <v>600</v>
      </c>
      <c r="C525" s="24" t="s">
        <v>92</v>
      </c>
      <c r="D525" s="24" t="s">
        <v>88</v>
      </c>
      <c r="E525" s="24" t="n">
        <v>39</v>
      </c>
      <c r="F525" s="25" t="n">
        <v>3000</v>
      </c>
      <c r="G525" s="24" t="s">
        <v>59</v>
      </c>
      <c r="H525" s="24" t="s">
        <v>60</v>
      </c>
      <c r="I525" s="24" t="s">
        <v>61</v>
      </c>
      <c r="J525" s="26" t="n">
        <f aca="false">IF(A525="","",YEAR(A525))</f>
        <v>2025</v>
      </c>
      <c r="K525" s="26" t="n">
        <f aca="false">IF(A525="","",MONTH(A525))</f>
        <v>5</v>
      </c>
      <c r="L525" s="26" t="n">
        <f aca="false">IF(B525="","",VALUE(LEFT(B525,2)))</f>
        <v>10</v>
      </c>
      <c r="M525" s="26" t="n">
        <f aca="false">IF(A525="","",IF(COUNTIFS($C$2:$C$5001,C525,$J$2:$J$5001,J525,$A$2:$A$5001,"&lt;"&amp;A525)=0,1,0))</f>
        <v>0</v>
      </c>
    </row>
    <row r="526" customFormat="false" ht="15" hidden="false" customHeight="false" outlineLevel="0" collapsed="false">
      <c r="A526" s="23" t="n">
        <v>45805.5930555556</v>
      </c>
      <c r="B526" s="24" t="s">
        <v>208</v>
      </c>
      <c r="C526" s="24" t="s">
        <v>312</v>
      </c>
      <c r="D526" s="24" t="s">
        <v>66</v>
      </c>
      <c r="E526" s="24" t="n">
        <v>245</v>
      </c>
      <c r="F526" s="25" t="n">
        <v>9000</v>
      </c>
      <c r="G526" s="24" t="s">
        <v>59</v>
      </c>
      <c r="H526" s="24" t="s">
        <v>60</v>
      </c>
      <c r="I526" s="24" t="s">
        <v>61</v>
      </c>
      <c r="J526" s="26" t="n">
        <f aca="false">IF(A526="","",YEAR(A526))</f>
        <v>2025</v>
      </c>
      <c r="K526" s="26" t="n">
        <f aca="false">IF(A526="","",MONTH(A526))</f>
        <v>5</v>
      </c>
      <c r="L526" s="26" t="n">
        <f aca="false">IF(B526="","",VALUE(LEFT(B526,2)))</f>
        <v>10</v>
      </c>
      <c r="M526" s="26" t="n">
        <f aca="false">IF(A526="","",IF(COUNTIFS($C$2:$C$5001,C526,$J$2:$J$5001,J526,$A$2:$A$5001,"&lt;"&amp;A526)=0,1,0))</f>
        <v>0</v>
      </c>
    </row>
    <row r="527" customFormat="false" ht="15" hidden="false" customHeight="false" outlineLevel="0" collapsed="false">
      <c r="A527" s="23" t="n">
        <v>45809.5916666667</v>
      </c>
      <c r="B527" s="24" t="s">
        <v>304</v>
      </c>
      <c r="C527" s="24" t="s">
        <v>312</v>
      </c>
      <c r="D527" s="24" t="s">
        <v>66</v>
      </c>
      <c r="E527" s="24" t="n">
        <v>326</v>
      </c>
      <c r="F527" s="25" t="n">
        <v>11000</v>
      </c>
      <c r="G527" s="24" t="s">
        <v>59</v>
      </c>
      <c r="H527" s="24" t="s">
        <v>60</v>
      </c>
      <c r="I527" s="24" t="s">
        <v>61</v>
      </c>
      <c r="J527" s="26" t="n">
        <f aca="false">IF(A527="","",YEAR(A527))</f>
        <v>2025</v>
      </c>
      <c r="K527" s="26" t="n">
        <f aca="false">IF(A527="","",MONTH(A527))</f>
        <v>6</v>
      </c>
      <c r="L527" s="26" t="n">
        <f aca="false">IF(B527="","",VALUE(LEFT(B527,2)))</f>
        <v>8</v>
      </c>
      <c r="M527" s="26" t="n">
        <f aca="false">IF(A527="","",IF(COUNTIFS($C$2:$C$5001,C527,$J$2:$J$5001,J527,$A$2:$A$5001,"&lt;"&amp;A527)=0,1,0))</f>
        <v>0</v>
      </c>
    </row>
    <row r="528" customFormat="false" ht="15" hidden="false" customHeight="false" outlineLevel="0" collapsed="false">
      <c r="A528" s="23" t="n">
        <v>45809.7659722222</v>
      </c>
      <c r="B528" s="24" t="s">
        <v>601</v>
      </c>
      <c r="C528" s="24" t="s">
        <v>602</v>
      </c>
      <c r="D528" s="24" t="s">
        <v>66</v>
      </c>
      <c r="E528" s="24" t="n">
        <v>122</v>
      </c>
      <c r="F528" s="25" t="n">
        <v>5000</v>
      </c>
      <c r="G528" s="24" t="s">
        <v>59</v>
      </c>
      <c r="H528" s="24" t="s">
        <v>55</v>
      </c>
      <c r="I528" s="24" t="s">
        <v>61</v>
      </c>
      <c r="J528" s="26" t="n">
        <f aca="false">IF(A528="","",YEAR(A528))</f>
        <v>2025</v>
      </c>
      <c r="K528" s="26" t="n">
        <f aca="false">IF(A528="","",MONTH(A528))</f>
        <v>6</v>
      </c>
      <c r="L528" s="26" t="n">
        <f aca="false">IF(B528="","",VALUE(LEFT(B528,2)))</f>
        <v>16</v>
      </c>
      <c r="M528" s="26" t="n">
        <f aca="false">IF(A528="","",IF(COUNTIFS($C$2:$C$5001,C528,$J$2:$J$5001,J528,$A$2:$A$5001,"&lt;"&amp;A528)=0,1,0))</f>
        <v>1</v>
      </c>
    </row>
    <row r="529" customFormat="false" ht="15" hidden="false" customHeight="false" outlineLevel="0" collapsed="false">
      <c r="A529" s="23" t="n">
        <v>45809.9381944445</v>
      </c>
      <c r="B529" s="24" t="s">
        <v>603</v>
      </c>
      <c r="C529" s="24" t="s">
        <v>314</v>
      </c>
      <c r="D529" s="24" t="s">
        <v>53</v>
      </c>
      <c r="E529" s="24" t="n">
        <v>302</v>
      </c>
      <c r="F529" s="25" t="n">
        <v>5500</v>
      </c>
      <c r="G529" s="24" t="s">
        <v>59</v>
      </c>
      <c r="H529" s="24" t="s">
        <v>55</v>
      </c>
      <c r="I529" s="24" t="s">
        <v>61</v>
      </c>
      <c r="J529" s="26" t="n">
        <f aca="false">IF(A529="","",YEAR(A529))</f>
        <v>2025</v>
      </c>
      <c r="K529" s="26" t="n">
        <f aca="false">IF(A529="","",MONTH(A529))</f>
        <v>6</v>
      </c>
      <c r="L529" s="26" t="n">
        <f aca="false">IF(B529="","",VALUE(LEFT(B529,2)))</f>
        <v>17</v>
      </c>
      <c r="M529" s="26" t="n">
        <f aca="false">IF(A529="","",IF(COUNTIFS($C$2:$C$5001,C529,$J$2:$J$5001,J529,$A$2:$A$5001,"&lt;"&amp;A529)=0,1,0))</f>
        <v>0</v>
      </c>
    </row>
    <row r="530" customFormat="false" ht="15" hidden="false" customHeight="false" outlineLevel="0" collapsed="false">
      <c r="A530" s="23" t="n">
        <v>45810.3541666667</v>
      </c>
      <c r="B530" s="24" t="s">
        <v>604</v>
      </c>
      <c r="C530" s="24" t="s">
        <v>129</v>
      </c>
      <c r="D530" s="24" t="s">
        <v>66</v>
      </c>
      <c r="E530" s="24" t="n">
        <v>20</v>
      </c>
      <c r="F530" s="25" t="n">
        <v>1000</v>
      </c>
      <c r="G530" s="24" t="s">
        <v>59</v>
      </c>
      <c r="H530" s="24" t="s">
        <v>80</v>
      </c>
      <c r="I530" s="24" t="s">
        <v>61</v>
      </c>
      <c r="J530" s="26" t="n">
        <f aca="false">IF(A530="","",YEAR(A530))</f>
        <v>2025</v>
      </c>
      <c r="K530" s="26" t="n">
        <f aca="false">IF(A530="","",MONTH(A530))</f>
        <v>6</v>
      </c>
      <c r="L530" s="26" t="n">
        <f aca="false">IF(B530="","",VALUE(LEFT(B530,2)))</f>
        <v>8</v>
      </c>
      <c r="M530" s="26" t="n">
        <f aca="false">IF(A530="","",IF(COUNTIFS($C$2:$C$5001,C530,$J$2:$J$5001,J530,$A$2:$A$5001,"&lt;"&amp;A530)=0,1,0))</f>
        <v>0</v>
      </c>
    </row>
    <row r="531" customFormat="false" ht="15" hidden="false" customHeight="false" outlineLevel="0" collapsed="false">
      <c r="A531" s="23" t="n">
        <v>45810.5020833333</v>
      </c>
      <c r="B531" s="24" t="s">
        <v>354</v>
      </c>
      <c r="C531" s="24" t="s">
        <v>133</v>
      </c>
      <c r="D531" s="24" t="s">
        <v>66</v>
      </c>
      <c r="E531" s="24" t="n">
        <v>27</v>
      </c>
      <c r="F531" s="25" t="n">
        <v>1000</v>
      </c>
      <c r="G531" s="24" t="s">
        <v>69</v>
      </c>
      <c r="H531" s="24" t="s">
        <v>80</v>
      </c>
      <c r="I531" s="24" t="s">
        <v>61</v>
      </c>
      <c r="J531" s="26" t="n">
        <f aca="false">IF(A531="","",YEAR(A531))</f>
        <v>2025</v>
      </c>
      <c r="K531" s="26" t="n">
        <f aca="false">IF(A531="","",MONTH(A531))</f>
        <v>6</v>
      </c>
      <c r="L531" s="26" t="n">
        <f aca="false">IF(B531="","",VALUE(LEFT(B531,2)))</f>
        <v>11</v>
      </c>
      <c r="M531" s="26" t="n">
        <f aca="false">IF(A531="","",IF(COUNTIFS($C$2:$C$5001,C531,$J$2:$J$5001,J531,$A$2:$A$5001,"&lt;"&amp;A531)=0,1,0))</f>
        <v>0</v>
      </c>
    </row>
    <row r="532" customFormat="false" ht="15" hidden="false" customHeight="false" outlineLevel="0" collapsed="false">
      <c r="A532" s="23" t="n">
        <v>45810.5347222222</v>
      </c>
      <c r="B532" s="24" t="s">
        <v>226</v>
      </c>
      <c r="C532" s="24" t="s">
        <v>131</v>
      </c>
      <c r="D532" s="24" t="s">
        <v>72</v>
      </c>
      <c r="E532" s="24" t="n">
        <v>289</v>
      </c>
      <c r="F532" s="25" t="n">
        <v>20000</v>
      </c>
      <c r="G532" s="24" t="s">
        <v>59</v>
      </c>
      <c r="H532" s="24" t="s">
        <v>80</v>
      </c>
      <c r="I532" s="24" t="s">
        <v>61</v>
      </c>
      <c r="J532" s="26" t="n">
        <f aca="false">IF(A532="","",YEAR(A532))</f>
        <v>2025</v>
      </c>
      <c r="K532" s="26" t="n">
        <f aca="false">IF(A532="","",MONTH(A532))</f>
        <v>6</v>
      </c>
      <c r="L532" s="26" t="n">
        <f aca="false">IF(B532="","",VALUE(LEFT(B532,2)))</f>
        <v>8</v>
      </c>
      <c r="M532" s="26" t="n">
        <f aca="false">IF(A532="","",IF(COUNTIFS($C$2:$C$5001,C532,$J$2:$J$5001,J532,$A$2:$A$5001,"&lt;"&amp;A532)=0,1,0))</f>
        <v>0</v>
      </c>
    </row>
    <row r="533" customFormat="false" ht="15" hidden="false" customHeight="false" outlineLevel="0" collapsed="false">
      <c r="A533" s="23" t="n">
        <v>45810.5895833333</v>
      </c>
      <c r="B533" s="24" t="s">
        <v>487</v>
      </c>
      <c r="C533" s="24" t="s">
        <v>265</v>
      </c>
      <c r="D533" s="24" t="s">
        <v>66</v>
      </c>
      <c r="E533" s="24" t="n">
        <v>27</v>
      </c>
      <c r="F533" s="25" t="n">
        <v>1000</v>
      </c>
      <c r="G533" s="24" t="s">
        <v>59</v>
      </c>
      <c r="H533" s="24" t="s">
        <v>55</v>
      </c>
      <c r="I533" s="24" t="s">
        <v>61</v>
      </c>
      <c r="J533" s="26" t="n">
        <f aca="false">IF(A533="","",YEAR(A533))</f>
        <v>2025</v>
      </c>
      <c r="K533" s="26" t="n">
        <f aca="false">IF(A533="","",MONTH(A533))</f>
        <v>6</v>
      </c>
      <c r="L533" s="26" t="n">
        <f aca="false">IF(B533="","",VALUE(LEFT(B533,2)))</f>
        <v>13</v>
      </c>
      <c r="M533" s="26" t="n">
        <f aca="false">IF(A533="","",IF(COUNTIFS($C$2:$C$5001,C533,$J$2:$J$5001,J533,$A$2:$A$5001,"&lt;"&amp;A533)=0,1,0))</f>
        <v>0</v>
      </c>
    </row>
    <row r="534" customFormat="false" ht="15" hidden="false" customHeight="false" outlineLevel="0" collapsed="false">
      <c r="A534" s="23" t="n">
        <v>45811.7284722222</v>
      </c>
      <c r="B534" s="24" t="s">
        <v>605</v>
      </c>
      <c r="C534" s="24" t="s">
        <v>546</v>
      </c>
      <c r="D534" s="24" t="s">
        <v>66</v>
      </c>
      <c r="E534" s="24" t="n">
        <v>84</v>
      </c>
      <c r="F534" s="25" t="n">
        <v>3000</v>
      </c>
      <c r="G534" s="24" t="s">
        <v>69</v>
      </c>
      <c r="H534" s="24" t="s">
        <v>80</v>
      </c>
      <c r="I534" s="24" t="s">
        <v>61</v>
      </c>
      <c r="J534" s="26" t="n">
        <f aca="false">IF(A534="","",YEAR(A534))</f>
        <v>2025</v>
      </c>
      <c r="K534" s="26" t="n">
        <f aca="false">IF(A534="","",MONTH(A534))</f>
        <v>6</v>
      </c>
      <c r="L534" s="26" t="n">
        <f aca="false">IF(B534="","",VALUE(LEFT(B534,2)))</f>
        <v>16</v>
      </c>
      <c r="M534" s="26" t="n">
        <f aca="false">IF(A534="","",IF(COUNTIFS($C$2:$C$5001,C534,$J$2:$J$5001,J534,$A$2:$A$5001,"&lt;"&amp;A534)=0,1,0))</f>
        <v>0</v>
      </c>
    </row>
    <row r="535" customFormat="false" ht="15" hidden="false" customHeight="false" outlineLevel="0" collapsed="false">
      <c r="A535" s="23" t="n">
        <v>45811.8506944445</v>
      </c>
      <c r="B535" s="24" t="s">
        <v>606</v>
      </c>
      <c r="C535" s="24" t="s">
        <v>192</v>
      </c>
      <c r="D535" s="24" t="s">
        <v>66</v>
      </c>
      <c r="E535" s="24" t="n">
        <v>330</v>
      </c>
      <c r="F535" s="25" t="n">
        <v>11000</v>
      </c>
      <c r="G535" s="24" t="s">
        <v>69</v>
      </c>
      <c r="H535" s="24" t="s">
        <v>60</v>
      </c>
      <c r="I535" s="24" t="s">
        <v>61</v>
      </c>
      <c r="J535" s="26" t="n">
        <f aca="false">IF(A535="","",YEAR(A535))</f>
        <v>2025</v>
      </c>
      <c r="K535" s="26" t="n">
        <f aca="false">IF(A535="","",MONTH(A535))</f>
        <v>6</v>
      </c>
      <c r="L535" s="26" t="n">
        <f aca="false">IF(B535="","",VALUE(LEFT(B535,2)))</f>
        <v>14</v>
      </c>
      <c r="M535" s="26" t="n">
        <f aca="false">IF(A535="","",IF(COUNTIFS($C$2:$C$5001,C535,$J$2:$J$5001,J535,$A$2:$A$5001,"&lt;"&amp;A535)=0,1,0))</f>
        <v>0</v>
      </c>
    </row>
    <row r="536" customFormat="false" ht="15" hidden="false" customHeight="false" outlineLevel="0" collapsed="false">
      <c r="A536" s="23" t="n">
        <v>45811.9534722222</v>
      </c>
      <c r="B536" s="24" t="s">
        <v>607</v>
      </c>
      <c r="C536" s="24" t="s">
        <v>203</v>
      </c>
      <c r="D536" s="24" t="s">
        <v>66</v>
      </c>
      <c r="E536" s="24" t="n">
        <v>238</v>
      </c>
      <c r="F536" s="25" t="n">
        <v>8000</v>
      </c>
      <c r="G536" s="24" t="s">
        <v>69</v>
      </c>
      <c r="H536" s="24" t="s">
        <v>55</v>
      </c>
      <c r="I536" s="24" t="s">
        <v>61</v>
      </c>
      <c r="J536" s="26" t="n">
        <f aca="false">IF(A536="","",YEAR(A536))</f>
        <v>2025</v>
      </c>
      <c r="K536" s="26" t="n">
        <f aca="false">IF(A536="","",MONTH(A536))</f>
        <v>6</v>
      </c>
      <c r="L536" s="26" t="n">
        <f aca="false">IF(B536="","",VALUE(LEFT(B536,2)))</f>
        <v>18</v>
      </c>
      <c r="M536" s="26" t="n">
        <f aca="false">IF(A536="","",IF(COUNTIFS($C$2:$C$5001,C536,$J$2:$J$5001,J536,$A$2:$A$5001,"&lt;"&amp;A536)=0,1,0))</f>
        <v>0</v>
      </c>
    </row>
    <row r="537" customFormat="false" ht="15" hidden="false" customHeight="false" outlineLevel="0" collapsed="false">
      <c r="A537" s="23" t="n">
        <v>45812.5694444445</v>
      </c>
      <c r="B537" s="24" t="s">
        <v>608</v>
      </c>
      <c r="C537" s="24" t="s">
        <v>277</v>
      </c>
      <c r="D537" s="24" t="s">
        <v>53</v>
      </c>
      <c r="E537" s="24" t="n">
        <v>235</v>
      </c>
      <c r="F537" s="25" t="n">
        <v>3400</v>
      </c>
      <c r="G537" s="24" t="s">
        <v>69</v>
      </c>
      <c r="H537" s="24" t="s">
        <v>60</v>
      </c>
      <c r="I537" s="24" t="s">
        <v>113</v>
      </c>
      <c r="J537" s="26" t="n">
        <f aca="false">IF(A537="","",YEAR(A537))</f>
        <v>2025</v>
      </c>
      <c r="K537" s="26" t="n">
        <f aca="false">IF(A537="","",MONTH(A537))</f>
        <v>6</v>
      </c>
      <c r="L537" s="26" t="n">
        <f aca="false">IF(B537="","",VALUE(LEFT(B537,2)))</f>
        <v>9</v>
      </c>
      <c r="M537" s="26" t="n">
        <f aca="false">IF(A537="","",IF(COUNTIFS($C$2:$C$5001,C537,$J$2:$J$5001,J537,$A$2:$A$5001,"&lt;"&amp;A537)=0,1,0))</f>
        <v>0</v>
      </c>
    </row>
    <row r="538" customFormat="false" ht="15" hidden="false" customHeight="false" outlineLevel="0" collapsed="false">
      <c r="A538" s="23" t="n">
        <v>45812.6444444444</v>
      </c>
      <c r="B538" s="24" t="s">
        <v>304</v>
      </c>
      <c r="C538" s="24" t="s">
        <v>609</v>
      </c>
      <c r="D538" s="24" t="s">
        <v>53</v>
      </c>
      <c r="E538" s="24" t="n">
        <v>402</v>
      </c>
      <c r="F538" s="25" t="n">
        <v>7000</v>
      </c>
      <c r="G538" s="24" t="s">
        <v>69</v>
      </c>
      <c r="H538" s="24" t="s">
        <v>80</v>
      </c>
      <c r="I538" s="24" t="s">
        <v>61</v>
      </c>
      <c r="J538" s="26" t="n">
        <f aca="false">IF(A538="","",YEAR(A538))</f>
        <v>2025</v>
      </c>
      <c r="K538" s="26" t="n">
        <f aca="false">IF(A538="","",MONTH(A538))</f>
        <v>6</v>
      </c>
      <c r="L538" s="26" t="n">
        <f aca="false">IF(B538="","",VALUE(LEFT(B538,2)))</f>
        <v>8</v>
      </c>
      <c r="M538" s="26" t="n">
        <f aca="false">IF(A538="","",IF(COUNTIFS($C$2:$C$5001,C538,$J$2:$J$5001,J538,$A$2:$A$5001,"&lt;"&amp;A538)=0,1,0))</f>
        <v>1</v>
      </c>
    </row>
    <row r="539" customFormat="false" ht="15" hidden="false" customHeight="false" outlineLevel="0" collapsed="false">
      <c r="A539" s="23" t="n">
        <v>45812.99375</v>
      </c>
      <c r="B539" s="24" t="s">
        <v>610</v>
      </c>
      <c r="C539" s="24" t="s">
        <v>76</v>
      </c>
      <c r="D539" s="24" t="s">
        <v>66</v>
      </c>
      <c r="E539" s="24" t="n">
        <v>282</v>
      </c>
      <c r="F539" s="25" t="n">
        <v>10000</v>
      </c>
      <c r="G539" s="24" t="s">
        <v>59</v>
      </c>
      <c r="H539" s="24" t="s">
        <v>80</v>
      </c>
      <c r="I539" s="24" t="s">
        <v>61</v>
      </c>
      <c r="J539" s="26" t="n">
        <f aca="false">IF(A539="","",YEAR(A539))</f>
        <v>2025</v>
      </c>
      <c r="K539" s="26" t="n">
        <f aca="false">IF(A539="","",MONTH(A539))</f>
        <v>6</v>
      </c>
      <c r="L539" s="26" t="n">
        <f aca="false">IF(B539="","",VALUE(LEFT(B539,2)))</f>
        <v>19</v>
      </c>
      <c r="M539" s="26" t="n">
        <f aca="false">IF(A539="","",IF(COUNTIFS($C$2:$C$5001,C539,$J$2:$J$5001,J539,$A$2:$A$5001,"&lt;"&amp;A539)=0,1,0))</f>
        <v>0</v>
      </c>
    </row>
    <row r="540" customFormat="false" ht="15" hidden="false" customHeight="false" outlineLevel="0" collapsed="false">
      <c r="A540" s="23" t="n">
        <v>45813.0909722222</v>
      </c>
      <c r="B540" s="24" t="s">
        <v>217</v>
      </c>
      <c r="C540" s="24" t="s">
        <v>265</v>
      </c>
      <c r="D540" s="24" t="s">
        <v>88</v>
      </c>
      <c r="E540" s="24" t="n">
        <v>394</v>
      </c>
      <c r="F540" s="25" t="n">
        <v>21000</v>
      </c>
      <c r="G540" s="24" t="s">
        <v>59</v>
      </c>
      <c r="H540" s="24" t="s">
        <v>55</v>
      </c>
      <c r="I540" s="24" t="s">
        <v>61</v>
      </c>
      <c r="J540" s="26" t="n">
        <f aca="false">IF(A540="","",YEAR(A540))</f>
        <v>2025</v>
      </c>
      <c r="K540" s="26" t="n">
        <f aca="false">IF(A540="","",MONTH(A540))</f>
        <v>6</v>
      </c>
      <c r="L540" s="26" t="n">
        <f aca="false">IF(B540="","",VALUE(LEFT(B540,2)))</f>
        <v>19</v>
      </c>
      <c r="M540" s="26" t="n">
        <f aca="false">IF(A540="","",IF(COUNTIFS($C$2:$C$5001,C540,$J$2:$J$5001,J540,$A$2:$A$5001,"&lt;"&amp;A540)=0,1,0))</f>
        <v>0</v>
      </c>
    </row>
    <row r="541" customFormat="false" ht="15" hidden="false" customHeight="false" outlineLevel="0" collapsed="false">
      <c r="A541" s="23" t="n">
        <v>45813.73125</v>
      </c>
      <c r="B541" s="24" t="s">
        <v>611</v>
      </c>
      <c r="C541" s="24" t="s">
        <v>94</v>
      </c>
      <c r="D541" s="24" t="s">
        <v>66</v>
      </c>
      <c r="E541" s="24" t="n">
        <v>97</v>
      </c>
      <c r="F541" s="25" t="n">
        <v>4000</v>
      </c>
      <c r="G541" s="24" t="s">
        <v>59</v>
      </c>
      <c r="H541" s="24" t="s">
        <v>60</v>
      </c>
      <c r="I541" s="24" t="s">
        <v>61</v>
      </c>
      <c r="J541" s="26" t="n">
        <f aca="false">IF(A541="","",YEAR(A541))</f>
        <v>2025</v>
      </c>
      <c r="K541" s="26" t="n">
        <f aca="false">IF(A541="","",MONTH(A541))</f>
        <v>6</v>
      </c>
      <c r="L541" s="26" t="n">
        <f aca="false">IF(B541="","",VALUE(LEFT(B541,2)))</f>
        <v>15</v>
      </c>
      <c r="M541" s="26" t="n">
        <f aca="false">IF(A541="","",IF(COUNTIFS($C$2:$C$5001,C541,$J$2:$J$5001,J541,$A$2:$A$5001,"&lt;"&amp;A541)=0,1,0))</f>
        <v>0</v>
      </c>
    </row>
    <row r="542" customFormat="false" ht="15" hidden="false" customHeight="false" outlineLevel="0" collapsed="false">
      <c r="A542" s="23" t="n">
        <v>45813.79375</v>
      </c>
      <c r="B542" s="24" t="s">
        <v>612</v>
      </c>
      <c r="C542" s="24" t="s">
        <v>150</v>
      </c>
      <c r="D542" s="24" t="s">
        <v>66</v>
      </c>
      <c r="E542" s="24" t="n">
        <v>175</v>
      </c>
      <c r="F542" s="25" t="n">
        <v>6000</v>
      </c>
      <c r="G542" s="24" t="s">
        <v>59</v>
      </c>
      <c r="H542" s="24" t="s">
        <v>80</v>
      </c>
      <c r="I542" s="24" t="s">
        <v>61</v>
      </c>
      <c r="J542" s="26" t="n">
        <f aca="false">IF(A542="","",YEAR(A542))</f>
        <v>2025</v>
      </c>
      <c r="K542" s="26" t="n">
        <f aca="false">IF(A542="","",MONTH(A542))</f>
        <v>6</v>
      </c>
      <c r="L542" s="26" t="n">
        <f aca="false">IF(B542="","",VALUE(LEFT(B542,2)))</f>
        <v>16</v>
      </c>
      <c r="M542" s="26" t="n">
        <f aca="false">IF(A542="","",IF(COUNTIFS($C$2:$C$5001,C542,$J$2:$J$5001,J542,$A$2:$A$5001,"&lt;"&amp;A542)=0,1,0))</f>
        <v>0</v>
      </c>
    </row>
    <row r="543" customFormat="false" ht="15" hidden="false" customHeight="false" outlineLevel="0" collapsed="false">
      <c r="A543" s="23" t="n">
        <v>45814.4972222222</v>
      </c>
      <c r="B543" s="24" t="s">
        <v>239</v>
      </c>
      <c r="C543" s="24" t="s">
        <v>290</v>
      </c>
      <c r="D543" s="24" t="s">
        <v>66</v>
      </c>
      <c r="E543" s="24" t="n">
        <v>217</v>
      </c>
      <c r="F543" s="25" t="n">
        <v>8000</v>
      </c>
      <c r="G543" s="24" t="s">
        <v>79</v>
      </c>
      <c r="H543" s="24" t="s">
        <v>80</v>
      </c>
      <c r="I543" s="24" t="s">
        <v>61</v>
      </c>
      <c r="J543" s="26" t="n">
        <f aca="false">IF(A543="","",YEAR(A543))</f>
        <v>2025</v>
      </c>
      <c r="K543" s="26" t="n">
        <f aca="false">IF(A543="","",MONTH(A543))</f>
        <v>6</v>
      </c>
      <c r="L543" s="26" t="n">
        <f aca="false">IF(B543="","",VALUE(LEFT(B543,2)))</f>
        <v>8</v>
      </c>
      <c r="M543" s="26" t="n">
        <f aca="false">IF(A543="","",IF(COUNTIFS($C$2:$C$5001,C543,$J$2:$J$5001,J543,$A$2:$A$5001,"&lt;"&amp;A543)=0,1,0))</f>
        <v>0</v>
      </c>
    </row>
    <row r="544" customFormat="false" ht="15" hidden="false" customHeight="false" outlineLevel="0" collapsed="false">
      <c r="A544" s="23" t="n">
        <v>45814.5180555556</v>
      </c>
      <c r="B544" s="24" t="s">
        <v>613</v>
      </c>
      <c r="C544" s="24" t="s">
        <v>123</v>
      </c>
      <c r="D544" s="24" t="s">
        <v>53</v>
      </c>
      <c r="E544" s="24" t="n">
        <v>304</v>
      </c>
      <c r="F544" s="25" t="n">
        <v>4675</v>
      </c>
      <c r="G544" s="24" t="s">
        <v>69</v>
      </c>
      <c r="H544" s="24" t="s">
        <v>60</v>
      </c>
      <c r="I544" s="24" t="s">
        <v>113</v>
      </c>
      <c r="J544" s="26" t="n">
        <f aca="false">IF(A544="","",YEAR(A544))</f>
        <v>2025</v>
      </c>
      <c r="K544" s="26" t="n">
        <f aca="false">IF(A544="","",MONTH(A544))</f>
        <v>6</v>
      </c>
      <c r="L544" s="26" t="n">
        <f aca="false">IF(B544="","",VALUE(LEFT(B544,2)))</f>
        <v>7</v>
      </c>
      <c r="M544" s="26" t="n">
        <f aca="false">IF(A544="","",IF(COUNTIFS($C$2:$C$5001,C544,$J$2:$J$5001,J544,$A$2:$A$5001,"&lt;"&amp;A544)=0,1,0))</f>
        <v>0</v>
      </c>
    </row>
    <row r="545" customFormat="false" ht="15" hidden="false" customHeight="false" outlineLevel="0" collapsed="false">
      <c r="A545" s="23" t="n">
        <v>45814.6958333333</v>
      </c>
      <c r="B545" s="24" t="s">
        <v>325</v>
      </c>
      <c r="C545" s="24" t="s">
        <v>141</v>
      </c>
      <c r="D545" s="24" t="s">
        <v>66</v>
      </c>
      <c r="E545" s="24" t="n">
        <v>410</v>
      </c>
      <c r="F545" s="25" t="n">
        <v>14000</v>
      </c>
      <c r="G545" s="24" t="s">
        <v>69</v>
      </c>
      <c r="H545" s="24" t="s">
        <v>55</v>
      </c>
      <c r="I545" s="24" t="s">
        <v>61</v>
      </c>
      <c r="J545" s="26" t="n">
        <f aca="false">IF(A545="","",YEAR(A545))</f>
        <v>2025</v>
      </c>
      <c r="K545" s="26" t="n">
        <f aca="false">IF(A545="","",MONTH(A545))</f>
        <v>6</v>
      </c>
      <c r="L545" s="26" t="n">
        <f aca="false">IF(B545="","",VALUE(LEFT(B545,2)))</f>
        <v>9</v>
      </c>
      <c r="M545" s="26" t="n">
        <f aca="false">IF(A545="","",IF(COUNTIFS($C$2:$C$5001,C545,$J$2:$J$5001,J545,$A$2:$A$5001,"&lt;"&amp;A545)=0,1,0))</f>
        <v>0</v>
      </c>
    </row>
    <row r="546" customFormat="false" ht="15" hidden="false" customHeight="false" outlineLevel="0" collapsed="false">
      <c r="A546" s="23" t="n">
        <v>45814.7673611111</v>
      </c>
      <c r="B546" s="24" t="s">
        <v>614</v>
      </c>
      <c r="C546" s="24" t="s">
        <v>150</v>
      </c>
      <c r="D546" s="24" t="s">
        <v>53</v>
      </c>
      <c r="E546" s="24" t="n">
        <v>198</v>
      </c>
      <c r="F546" s="25" t="n">
        <v>0</v>
      </c>
      <c r="G546" s="24" t="s">
        <v>54</v>
      </c>
      <c r="H546" s="24" t="s">
        <v>80</v>
      </c>
      <c r="I546" s="24" t="s">
        <v>56</v>
      </c>
      <c r="J546" s="26" t="n">
        <f aca="false">IF(A546="","",YEAR(A546))</f>
        <v>2025</v>
      </c>
      <c r="K546" s="26" t="n">
        <f aca="false">IF(A546="","",MONTH(A546))</f>
        <v>6</v>
      </c>
      <c r="L546" s="26" t="n">
        <f aca="false">IF(B546="","",VALUE(LEFT(B546,2)))</f>
        <v>15</v>
      </c>
      <c r="M546" s="26" t="n">
        <f aca="false">IF(A546="","",IF(COUNTIFS($C$2:$C$5001,C546,$J$2:$J$5001,J546,$A$2:$A$5001,"&lt;"&amp;A546)=0,1,0))</f>
        <v>0</v>
      </c>
    </row>
    <row r="547" customFormat="false" ht="15" hidden="false" customHeight="false" outlineLevel="0" collapsed="false">
      <c r="A547" s="23" t="n">
        <v>45814.7847222222</v>
      </c>
      <c r="B547" s="24" t="s">
        <v>365</v>
      </c>
      <c r="C547" s="24" t="s">
        <v>218</v>
      </c>
      <c r="D547" s="24" t="s">
        <v>66</v>
      </c>
      <c r="E547" s="24" t="n">
        <v>395</v>
      </c>
      <c r="F547" s="25" t="n">
        <v>14000</v>
      </c>
      <c r="G547" s="24" t="s">
        <v>83</v>
      </c>
      <c r="H547" s="24" t="s">
        <v>60</v>
      </c>
      <c r="I547" s="24" t="s">
        <v>61</v>
      </c>
      <c r="J547" s="26" t="n">
        <f aca="false">IF(A547="","",YEAR(A547))</f>
        <v>2025</v>
      </c>
      <c r="K547" s="26" t="n">
        <f aca="false">IF(A547="","",MONTH(A547))</f>
        <v>6</v>
      </c>
      <c r="L547" s="26" t="n">
        <f aca="false">IF(B547="","",VALUE(LEFT(B547,2)))</f>
        <v>12</v>
      </c>
      <c r="M547" s="26" t="n">
        <f aca="false">IF(A547="","",IF(COUNTIFS($C$2:$C$5001,C547,$J$2:$J$5001,J547,$A$2:$A$5001,"&lt;"&amp;A547)=0,1,0))</f>
        <v>0</v>
      </c>
    </row>
    <row r="548" customFormat="false" ht="15" hidden="false" customHeight="false" outlineLevel="0" collapsed="false">
      <c r="A548" s="23" t="n">
        <v>45814.8006944444</v>
      </c>
      <c r="B548" s="24" t="s">
        <v>615</v>
      </c>
      <c r="C548" s="24" t="s">
        <v>112</v>
      </c>
      <c r="D548" s="24" t="s">
        <v>66</v>
      </c>
      <c r="E548" s="24" t="n">
        <v>67</v>
      </c>
      <c r="F548" s="25" t="n">
        <v>2550</v>
      </c>
      <c r="G548" s="24" t="s">
        <v>54</v>
      </c>
      <c r="H548" s="24" t="s">
        <v>80</v>
      </c>
      <c r="I548" s="24" t="s">
        <v>113</v>
      </c>
      <c r="J548" s="26" t="n">
        <f aca="false">IF(A548="","",YEAR(A548))</f>
        <v>2025</v>
      </c>
      <c r="K548" s="26" t="n">
        <f aca="false">IF(A548="","",MONTH(A548))</f>
        <v>6</v>
      </c>
      <c r="L548" s="26" t="n">
        <f aca="false">IF(B548="","",VALUE(LEFT(B548,2)))</f>
        <v>18</v>
      </c>
      <c r="M548" s="26" t="n">
        <f aca="false">IF(A548="","",IF(COUNTIFS($C$2:$C$5001,C548,$J$2:$J$5001,J548,$A$2:$A$5001,"&lt;"&amp;A548)=0,1,0))</f>
        <v>0</v>
      </c>
    </row>
    <row r="549" customFormat="false" ht="15" hidden="false" customHeight="false" outlineLevel="0" collapsed="false">
      <c r="A549" s="23" t="n">
        <v>45814.9333333333</v>
      </c>
      <c r="B549" s="24" t="s">
        <v>616</v>
      </c>
      <c r="C549" s="24" t="s">
        <v>158</v>
      </c>
      <c r="D549" s="24" t="s">
        <v>127</v>
      </c>
      <c r="E549" s="24" t="n">
        <v>117</v>
      </c>
      <c r="F549" s="25" t="n">
        <v>7000</v>
      </c>
      <c r="G549" s="24" t="s">
        <v>59</v>
      </c>
      <c r="H549" s="24" t="s">
        <v>80</v>
      </c>
      <c r="I549" s="24" t="s">
        <v>61</v>
      </c>
      <c r="J549" s="26" t="n">
        <f aca="false">IF(A549="","",YEAR(A549))</f>
        <v>2025</v>
      </c>
      <c r="K549" s="26" t="n">
        <f aca="false">IF(A549="","",MONTH(A549))</f>
        <v>6</v>
      </c>
      <c r="L549" s="26" t="n">
        <f aca="false">IF(B549="","",VALUE(LEFT(B549,2)))</f>
        <v>20</v>
      </c>
      <c r="M549" s="26" t="n">
        <f aca="false">IF(A549="","",IF(COUNTIFS($C$2:$C$5001,C549,$J$2:$J$5001,J549,$A$2:$A$5001,"&lt;"&amp;A549)=0,1,0))</f>
        <v>0</v>
      </c>
    </row>
    <row r="550" customFormat="false" ht="15" hidden="false" customHeight="false" outlineLevel="0" collapsed="false">
      <c r="A550" s="23" t="n">
        <v>45815.4826388889</v>
      </c>
      <c r="B550" s="24" t="s">
        <v>617</v>
      </c>
      <c r="C550" s="24" t="s">
        <v>192</v>
      </c>
      <c r="D550" s="24" t="s">
        <v>66</v>
      </c>
      <c r="E550" s="24" t="n">
        <v>118</v>
      </c>
      <c r="F550" s="25" t="n">
        <v>3400</v>
      </c>
      <c r="G550" s="24" t="s">
        <v>59</v>
      </c>
      <c r="H550" s="24" t="s">
        <v>60</v>
      </c>
      <c r="I550" s="24" t="s">
        <v>113</v>
      </c>
      <c r="J550" s="26" t="n">
        <f aca="false">IF(A550="","",YEAR(A550))</f>
        <v>2025</v>
      </c>
      <c r="K550" s="26" t="n">
        <f aca="false">IF(A550="","",MONTH(A550))</f>
        <v>6</v>
      </c>
      <c r="L550" s="26" t="n">
        <f aca="false">IF(B550="","",VALUE(LEFT(B550,2)))</f>
        <v>9</v>
      </c>
      <c r="M550" s="26" t="n">
        <f aca="false">IF(A550="","",IF(COUNTIFS($C$2:$C$5001,C550,$J$2:$J$5001,J550,$A$2:$A$5001,"&lt;"&amp;A550)=0,1,0))</f>
        <v>0</v>
      </c>
    </row>
    <row r="551" customFormat="false" ht="15" hidden="false" customHeight="false" outlineLevel="0" collapsed="false">
      <c r="A551" s="23" t="n">
        <v>45815.5013888889</v>
      </c>
      <c r="B551" s="24" t="s">
        <v>319</v>
      </c>
      <c r="C551" s="24" t="s">
        <v>166</v>
      </c>
      <c r="D551" s="24" t="s">
        <v>53</v>
      </c>
      <c r="E551" s="24" t="n">
        <v>231</v>
      </c>
      <c r="F551" s="25" t="n">
        <v>4000</v>
      </c>
      <c r="G551" s="24" t="s">
        <v>83</v>
      </c>
      <c r="H551" s="24" t="s">
        <v>60</v>
      </c>
      <c r="I551" s="24" t="s">
        <v>61</v>
      </c>
      <c r="J551" s="26" t="n">
        <f aca="false">IF(A551="","",YEAR(A551))</f>
        <v>2025</v>
      </c>
      <c r="K551" s="26" t="n">
        <f aca="false">IF(A551="","",MONTH(A551))</f>
        <v>6</v>
      </c>
      <c r="L551" s="26" t="n">
        <f aca="false">IF(B551="","",VALUE(LEFT(B551,2)))</f>
        <v>8</v>
      </c>
      <c r="M551" s="26" t="n">
        <f aca="false">IF(A551="","",IF(COUNTIFS($C$2:$C$5001,C551,$J$2:$J$5001,J551,$A$2:$A$5001,"&lt;"&amp;A551)=0,1,0))</f>
        <v>0</v>
      </c>
    </row>
    <row r="552" customFormat="false" ht="15" hidden="false" customHeight="false" outlineLevel="0" collapsed="false">
      <c r="A552" s="23" t="n">
        <v>45815.5833333333</v>
      </c>
      <c r="B552" s="24" t="s">
        <v>319</v>
      </c>
      <c r="C552" s="24" t="s">
        <v>430</v>
      </c>
      <c r="D552" s="24" t="s">
        <v>66</v>
      </c>
      <c r="E552" s="24" t="n">
        <v>349</v>
      </c>
      <c r="F552" s="25" t="n">
        <v>12000</v>
      </c>
      <c r="G552" s="24" t="s">
        <v>69</v>
      </c>
      <c r="H552" s="24" t="s">
        <v>55</v>
      </c>
      <c r="I552" s="24" t="s">
        <v>61</v>
      </c>
      <c r="J552" s="26" t="n">
        <f aca="false">IF(A552="","",YEAR(A552))</f>
        <v>2025</v>
      </c>
      <c r="K552" s="26" t="n">
        <f aca="false">IF(A552="","",MONTH(A552))</f>
        <v>6</v>
      </c>
      <c r="L552" s="26" t="n">
        <f aca="false">IF(B552="","",VALUE(LEFT(B552,2)))</f>
        <v>8</v>
      </c>
      <c r="M552" s="26" t="n">
        <f aca="false">IF(A552="","",IF(COUNTIFS($C$2:$C$5001,C552,$J$2:$J$5001,J552,$A$2:$A$5001,"&lt;"&amp;A552)=0,1,0))</f>
        <v>0</v>
      </c>
    </row>
    <row r="553" customFormat="false" ht="15" hidden="false" customHeight="false" outlineLevel="0" collapsed="false">
      <c r="A553" s="23" t="n">
        <v>45815.6868055556</v>
      </c>
      <c r="B553" s="24" t="s">
        <v>215</v>
      </c>
      <c r="C553" s="24" t="s">
        <v>213</v>
      </c>
      <c r="D553" s="24" t="s">
        <v>53</v>
      </c>
      <c r="E553" s="24" t="n">
        <v>298</v>
      </c>
      <c r="F553" s="25" t="n">
        <v>5000</v>
      </c>
      <c r="G553" s="24" t="s">
        <v>59</v>
      </c>
      <c r="H553" s="24" t="s">
        <v>80</v>
      </c>
      <c r="I553" s="24" t="s">
        <v>61</v>
      </c>
      <c r="J553" s="26" t="n">
        <f aca="false">IF(A553="","",YEAR(A553))</f>
        <v>2025</v>
      </c>
      <c r="K553" s="26" t="n">
        <f aca="false">IF(A553="","",MONTH(A553))</f>
        <v>6</v>
      </c>
      <c r="L553" s="26" t="n">
        <f aca="false">IF(B553="","",VALUE(LEFT(B553,2)))</f>
        <v>11</v>
      </c>
      <c r="M553" s="26" t="n">
        <f aca="false">IF(A553="","",IF(COUNTIFS($C$2:$C$5001,C553,$J$2:$J$5001,J553,$A$2:$A$5001,"&lt;"&amp;A553)=0,1,0))</f>
        <v>0</v>
      </c>
    </row>
    <row r="554" customFormat="false" ht="15" hidden="false" customHeight="false" outlineLevel="0" collapsed="false">
      <c r="A554" s="23" t="n">
        <v>45815.8138888889</v>
      </c>
      <c r="B554" s="24" t="s">
        <v>618</v>
      </c>
      <c r="C554" s="24" t="s">
        <v>243</v>
      </c>
      <c r="D554" s="24" t="s">
        <v>88</v>
      </c>
      <c r="E554" s="24" t="n">
        <v>271</v>
      </c>
      <c r="F554" s="25" t="n">
        <v>15000</v>
      </c>
      <c r="G554" s="24" t="s">
        <v>69</v>
      </c>
      <c r="H554" s="24" t="s">
        <v>60</v>
      </c>
      <c r="I554" s="24" t="s">
        <v>61</v>
      </c>
      <c r="J554" s="26" t="n">
        <f aca="false">IF(A554="","",YEAR(A554))</f>
        <v>2025</v>
      </c>
      <c r="K554" s="26" t="n">
        <f aca="false">IF(A554="","",MONTH(A554))</f>
        <v>6</v>
      </c>
      <c r="L554" s="26" t="n">
        <f aca="false">IF(B554="","",VALUE(LEFT(B554,2)))</f>
        <v>15</v>
      </c>
      <c r="M554" s="26" t="n">
        <f aca="false">IF(A554="","",IF(COUNTIFS($C$2:$C$5001,C554,$J$2:$J$5001,J554,$A$2:$A$5001,"&lt;"&amp;A554)=0,1,0))</f>
        <v>0</v>
      </c>
    </row>
    <row r="555" customFormat="false" ht="15" hidden="false" customHeight="false" outlineLevel="0" collapsed="false">
      <c r="A555" s="23" t="n">
        <v>45816.0020833333</v>
      </c>
      <c r="B555" s="24" t="s">
        <v>619</v>
      </c>
      <c r="C555" s="24" t="s">
        <v>174</v>
      </c>
      <c r="D555" s="24" t="s">
        <v>53</v>
      </c>
      <c r="E555" s="24" t="n">
        <v>404</v>
      </c>
      <c r="F555" s="25" t="n">
        <v>7000</v>
      </c>
      <c r="G555" s="24" t="s">
        <v>59</v>
      </c>
      <c r="H555" s="24" t="s">
        <v>60</v>
      </c>
      <c r="I555" s="24" t="s">
        <v>61</v>
      </c>
      <c r="J555" s="26" t="n">
        <f aca="false">IF(A555="","",YEAR(A555))</f>
        <v>2025</v>
      </c>
      <c r="K555" s="26" t="n">
        <f aca="false">IF(A555="","",MONTH(A555))</f>
        <v>6</v>
      </c>
      <c r="L555" s="26" t="n">
        <f aca="false">IF(B555="","",VALUE(LEFT(B555,2)))</f>
        <v>17</v>
      </c>
      <c r="M555" s="26" t="n">
        <f aca="false">IF(A555="","",IF(COUNTIFS($C$2:$C$5001,C555,$J$2:$J$5001,J555,$A$2:$A$5001,"&lt;"&amp;A555)=0,1,0))</f>
        <v>0</v>
      </c>
    </row>
    <row r="556" customFormat="false" ht="15" hidden="false" customHeight="false" outlineLevel="0" collapsed="false">
      <c r="A556" s="23" t="n">
        <v>45816.4979166667</v>
      </c>
      <c r="B556" s="24" t="s">
        <v>111</v>
      </c>
      <c r="C556" s="24" t="s">
        <v>116</v>
      </c>
      <c r="D556" s="24" t="s">
        <v>66</v>
      </c>
      <c r="E556" s="24" t="n">
        <v>234</v>
      </c>
      <c r="F556" s="25" t="n">
        <v>8000</v>
      </c>
      <c r="G556" s="24" t="s">
        <v>69</v>
      </c>
      <c r="H556" s="24" t="s">
        <v>55</v>
      </c>
      <c r="I556" s="24" t="s">
        <v>61</v>
      </c>
      <c r="J556" s="26" t="n">
        <f aca="false">IF(A556="","",YEAR(A556))</f>
        <v>2025</v>
      </c>
      <c r="K556" s="26" t="n">
        <f aca="false">IF(A556="","",MONTH(A556))</f>
        <v>6</v>
      </c>
      <c r="L556" s="26" t="n">
        <f aca="false">IF(B556="","",VALUE(LEFT(B556,2)))</f>
        <v>8</v>
      </c>
      <c r="M556" s="26" t="n">
        <f aca="false">IF(A556="","",IF(COUNTIFS($C$2:$C$5001,C556,$J$2:$J$5001,J556,$A$2:$A$5001,"&lt;"&amp;A556)=0,1,0))</f>
        <v>0</v>
      </c>
    </row>
    <row r="557" customFormat="false" ht="15" hidden="false" customHeight="false" outlineLevel="0" collapsed="false">
      <c r="A557" s="23" t="n">
        <v>45816.5819444444</v>
      </c>
      <c r="B557" s="24" t="s">
        <v>302</v>
      </c>
      <c r="C557" s="24" t="s">
        <v>535</v>
      </c>
      <c r="D557" s="24" t="s">
        <v>53</v>
      </c>
      <c r="E557" s="24" t="n">
        <v>150</v>
      </c>
      <c r="F557" s="25" t="n">
        <v>2125</v>
      </c>
      <c r="G557" s="24" t="s">
        <v>59</v>
      </c>
      <c r="H557" s="24" t="s">
        <v>80</v>
      </c>
      <c r="I557" s="24" t="s">
        <v>113</v>
      </c>
      <c r="J557" s="26" t="n">
        <f aca="false">IF(A557="","",YEAR(A557))</f>
        <v>2025</v>
      </c>
      <c r="K557" s="26" t="n">
        <f aca="false">IF(A557="","",MONTH(A557))</f>
        <v>6</v>
      </c>
      <c r="L557" s="26" t="n">
        <f aca="false">IF(B557="","",VALUE(LEFT(B557,2)))</f>
        <v>11</v>
      </c>
      <c r="M557" s="26" t="n">
        <f aca="false">IF(A557="","",IF(COUNTIFS($C$2:$C$5001,C557,$J$2:$J$5001,J557,$A$2:$A$5001,"&lt;"&amp;A557)=0,1,0))</f>
        <v>0</v>
      </c>
    </row>
    <row r="558" customFormat="false" ht="15" hidden="false" customHeight="false" outlineLevel="0" collapsed="false">
      <c r="A558" s="23" t="n">
        <v>45816.6125</v>
      </c>
      <c r="B558" s="24" t="s">
        <v>620</v>
      </c>
      <c r="C558" s="24" t="s">
        <v>263</v>
      </c>
      <c r="D558" s="24" t="s">
        <v>53</v>
      </c>
      <c r="E558" s="24" t="n">
        <v>368</v>
      </c>
      <c r="F558" s="25" t="n">
        <v>6500</v>
      </c>
      <c r="G558" s="24" t="s">
        <v>59</v>
      </c>
      <c r="H558" s="24" t="s">
        <v>55</v>
      </c>
      <c r="I558" s="24" t="s">
        <v>61</v>
      </c>
      <c r="J558" s="26" t="n">
        <f aca="false">IF(A558="","",YEAR(A558))</f>
        <v>2025</v>
      </c>
      <c r="K558" s="26" t="n">
        <f aca="false">IF(A558="","",MONTH(A558))</f>
        <v>6</v>
      </c>
      <c r="L558" s="26" t="n">
        <f aca="false">IF(B558="","",VALUE(LEFT(B558,2)))</f>
        <v>8</v>
      </c>
      <c r="M558" s="26" t="n">
        <f aca="false">IF(A558="","",IF(COUNTIFS($C$2:$C$5001,C558,$J$2:$J$5001,J558,$A$2:$A$5001,"&lt;"&amp;A558)=0,1,0))</f>
        <v>0</v>
      </c>
    </row>
    <row r="559" customFormat="false" ht="15" hidden="false" customHeight="false" outlineLevel="0" collapsed="false">
      <c r="A559" s="23" t="n">
        <v>45816.7854166667</v>
      </c>
      <c r="B559" s="24" t="s">
        <v>558</v>
      </c>
      <c r="C559" s="24" t="s">
        <v>120</v>
      </c>
      <c r="D559" s="24" t="s">
        <v>66</v>
      </c>
      <c r="E559" s="24" t="n">
        <v>373</v>
      </c>
      <c r="F559" s="25" t="n">
        <v>0</v>
      </c>
      <c r="G559" s="24" t="s">
        <v>59</v>
      </c>
      <c r="H559" s="24" t="s">
        <v>55</v>
      </c>
      <c r="I559" s="24" t="s">
        <v>56</v>
      </c>
      <c r="J559" s="26" t="n">
        <f aca="false">IF(A559="","",YEAR(A559))</f>
        <v>2025</v>
      </c>
      <c r="K559" s="26" t="n">
        <f aca="false">IF(A559="","",MONTH(A559))</f>
        <v>6</v>
      </c>
      <c r="L559" s="26" t="n">
        <f aca="false">IF(B559="","",VALUE(LEFT(B559,2)))</f>
        <v>12</v>
      </c>
      <c r="M559" s="26" t="n">
        <f aca="false">IF(A559="","",IF(COUNTIFS($C$2:$C$5001,C559,$J$2:$J$5001,J559,$A$2:$A$5001,"&lt;"&amp;A559)=0,1,0))</f>
        <v>0</v>
      </c>
    </row>
    <row r="560" customFormat="false" ht="15" hidden="false" customHeight="false" outlineLevel="0" collapsed="false">
      <c r="A560" s="23" t="n">
        <v>45817.7618055556</v>
      </c>
      <c r="B560" s="24" t="s">
        <v>362</v>
      </c>
      <c r="C560" s="24" t="s">
        <v>105</v>
      </c>
      <c r="D560" s="24" t="s">
        <v>53</v>
      </c>
      <c r="E560" s="24" t="n">
        <v>319</v>
      </c>
      <c r="F560" s="25" t="n">
        <v>5500</v>
      </c>
      <c r="G560" s="24" t="s">
        <v>59</v>
      </c>
      <c r="H560" s="24" t="s">
        <v>60</v>
      </c>
      <c r="I560" s="24" t="s">
        <v>61</v>
      </c>
      <c r="J560" s="26" t="n">
        <f aca="false">IF(A560="","",YEAR(A560))</f>
        <v>2025</v>
      </c>
      <c r="K560" s="26" t="n">
        <f aca="false">IF(A560="","",MONTH(A560))</f>
        <v>6</v>
      </c>
      <c r="L560" s="26" t="n">
        <f aca="false">IF(B560="","",VALUE(LEFT(B560,2)))</f>
        <v>12</v>
      </c>
      <c r="M560" s="26" t="n">
        <f aca="false">IF(A560="","",IF(COUNTIFS($C$2:$C$5001,C560,$J$2:$J$5001,J560,$A$2:$A$5001,"&lt;"&amp;A560)=0,1,0))</f>
        <v>0</v>
      </c>
    </row>
    <row r="561" customFormat="false" ht="15" hidden="false" customHeight="false" outlineLevel="0" collapsed="false">
      <c r="A561" s="23" t="n">
        <v>45817.8972222222</v>
      </c>
      <c r="B561" s="24" t="s">
        <v>621</v>
      </c>
      <c r="C561" s="24" t="s">
        <v>74</v>
      </c>
      <c r="D561" s="24" t="s">
        <v>66</v>
      </c>
      <c r="E561" s="24" t="n">
        <v>129</v>
      </c>
      <c r="F561" s="25" t="n">
        <v>5000</v>
      </c>
      <c r="G561" s="24" t="s">
        <v>69</v>
      </c>
      <c r="H561" s="24" t="s">
        <v>55</v>
      </c>
      <c r="I561" s="24" t="s">
        <v>61</v>
      </c>
      <c r="J561" s="26" t="n">
        <f aca="false">IF(A561="","",YEAR(A561))</f>
        <v>2025</v>
      </c>
      <c r="K561" s="26" t="n">
        <f aca="false">IF(A561="","",MONTH(A561))</f>
        <v>6</v>
      </c>
      <c r="L561" s="26" t="n">
        <f aca="false">IF(B561="","",VALUE(LEFT(B561,2)))</f>
        <v>19</v>
      </c>
      <c r="M561" s="26" t="n">
        <f aca="false">IF(A561="","",IF(COUNTIFS($C$2:$C$5001,C561,$J$2:$J$5001,J561,$A$2:$A$5001,"&lt;"&amp;A561)=0,1,0))</f>
        <v>0</v>
      </c>
    </row>
    <row r="562" customFormat="false" ht="15" hidden="false" customHeight="false" outlineLevel="0" collapsed="false">
      <c r="A562" s="23" t="n">
        <v>45817.9611111111</v>
      </c>
      <c r="B562" s="24" t="s">
        <v>385</v>
      </c>
      <c r="C562" s="24" t="s">
        <v>484</v>
      </c>
      <c r="D562" s="24" t="s">
        <v>53</v>
      </c>
      <c r="E562" s="24" t="n">
        <v>158</v>
      </c>
      <c r="F562" s="25" t="n">
        <v>3000</v>
      </c>
      <c r="G562" s="24" t="s">
        <v>59</v>
      </c>
      <c r="H562" s="24" t="s">
        <v>55</v>
      </c>
      <c r="I562" s="24" t="s">
        <v>61</v>
      </c>
      <c r="J562" s="26" t="n">
        <f aca="false">IF(A562="","",YEAR(A562))</f>
        <v>2025</v>
      </c>
      <c r="K562" s="26" t="n">
        <f aca="false">IF(A562="","",MONTH(A562))</f>
        <v>6</v>
      </c>
      <c r="L562" s="26" t="n">
        <f aca="false">IF(B562="","",VALUE(LEFT(B562,2)))</f>
        <v>20</v>
      </c>
      <c r="M562" s="26" t="n">
        <f aca="false">IF(A562="","",IF(COUNTIFS($C$2:$C$5001,C562,$J$2:$J$5001,J562,$A$2:$A$5001,"&lt;"&amp;A562)=0,1,0))</f>
        <v>0</v>
      </c>
    </row>
    <row r="563" customFormat="false" ht="15" hidden="false" customHeight="false" outlineLevel="0" collapsed="false">
      <c r="A563" s="23" t="n">
        <v>45818.3305555556</v>
      </c>
      <c r="B563" s="24" t="s">
        <v>349</v>
      </c>
      <c r="C563" s="24" t="s">
        <v>102</v>
      </c>
      <c r="D563" s="24" t="s">
        <v>66</v>
      </c>
      <c r="E563" s="24" t="n">
        <v>28</v>
      </c>
      <c r="F563" s="25" t="n">
        <v>1000</v>
      </c>
      <c r="G563" s="24" t="s">
        <v>69</v>
      </c>
      <c r="H563" s="24" t="s">
        <v>60</v>
      </c>
      <c r="I563" s="24" t="s">
        <v>61</v>
      </c>
      <c r="J563" s="26" t="n">
        <f aca="false">IF(A563="","",YEAR(A563))</f>
        <v>2025</v>
      </c>
      <c r="K563" s="26" t="n">
        <f aca="false">IF(A563="","",MONTH(A563))</f>
        <v>6</v>
      </c>
      <c r="L563" s="26" t="n">
        <f aca="false">IF(B563="","",VALUE(LEFT(B563,2)))</f>
        <v>7</v>
      </c>
      <c r="M563" s="26" t="n">
        <f aca="false">IF(A563="","",IF(COUNTIFS($C$2:$C$5001,C563,$J$2:$J$5001,J563,$A$2:$A$5001,"&lt;"&amp;A563)=0,1,0))</f>
        <v>0</v>
      </c>
    </row>
    <row r="564" customFormat="false" ht="15" hidden="false" customHeight="false" outlineLevel="0" collapsed="false">
      <c r="A564" s="23" t="n">
        <v>45818.4291666667</v>
      </c>
      <c r="B564" s="24" t="s">
        <v>622</v>
      </c>
      <c r="C564" s="24" t="s">
        <v>143</v>
      </c>
      <c r="D564" s="24" t="s">
        <v>66</v>
      </c>
      <c r="E564" s="24" t="n">
        <v>177</v>
      </c>
      <c r="F564" s="25" t="n">
        <v>0</v>
      </c>
      <c r="G564" s="24" t="s">
        <v>69</v>
      </c>
      <c r="H564" s="24" t="s">
        <v>55</v>
      </c>
      <c r="I564" s="24" t="s">
        <v>56</v>
      </c>
      <c r="J564" s="26" t="n">
        <f aca="false">IF(A564="","",YEAR(A564))</f>
        <v>2025</v>
      </c>
      <c r="K564" s="26" t="n">
        <f aca="false">IF(A564="","",MONTH(A564))</f>
        <v>6</v>
      </c>
      <c r="L564" s="26" t="n">
        <f aca="false">IF(B564="","",VALUE(LEFT(B564,2)))</f>
        <v>7</v>
      </c>
      <c r="M564" s="26" t="n">
        <f aca="false">IF(A564="","",IF(COUNTIFS($C$2:$C$5001,C564,$J$2:$J$5001,J564,$A$2:$A$5001,"&lt;"&amp;A564)=0,1,0))</f>
        <v>0</v>
      </c>
    </row>
    <row r="565" customFormat="false" ht="15" hidden="false" customHeight="false" outlineLevel="0" collapsed="false">
      <c r="A565" s="23" t="n">
        <v>45818.6715277778</v>
      </c>
      <c r="B565" s="24" t="s">
        <v>500</v>
      </c>
      <c r="C565" s="24" t="s">
        <v>143</v>
      </c>
      <c r="D565" s="24" t="s">
        <v>53</v>
      </c>
      <c r="E565" s="24" t="n">
        <v>197</v>
      </c>
      <c r="F565" s="25" t="n">
        <v>3500</v>
      </c>
      <c r="G565" s="24" t="s">
        <v>69</v>
      </c>
      <c r="H565" s="24" t="s">
        <v>80</v>
      </c>
      <c r="I565" s="24" t="s">
        <v>61</v>
      </c>
      <c r="J565" s="26" t="n">
        <f aca="false">IF(A565="","",YEAR(A565))</f>
        <v>2025</v>
      </c>
      <c r="K565" s="26" t="n">
        <f aca="false">IF(A565="","",MONTH(A565))</f>
        <v>6</v>
      </c>
      <c r="L565" s="26" t="n">
        <f aca="false">IF(B565="","",VALUE(LEFT(B565,2)))</f>
        <v>12</v>
      </c>
      <c r="M565" s="26" t="n">
        <f aca="false">IF(A565="","",IF(COUNTIFS($C$2:$C$5001,C565,$J$2:$J$5001,J565,$A$2:$A$5001,"&lt;"&amp;A565)=0,1,0))</f>
        <v>0</v>
      </c>
    </row>
    <row r="566" customFormat="false" ht="15" hidden="false" customHeight="false" outlineLevel="0" collapsed="false">
      <c r="A566" s="23" t="n">
        <v>45819.0534722222</v>
      </c>
      <c r="B566" s="24" t="s">
        <v>623</v>
      </c>
      <c r="C566" s="24" t="s">
        <v>164</v>
      </c>
      <c r="D566" s="24" t="s">
        <v>66</v>
      </c>
      <c r="E566" s="24" t="n">
        <v>338</v>
      </c>
      <c r="F566" s="25" t="n">
        <v>0</v>
      </c>
      <c r="G566" s="24" t="s">
        <v>59</v>
      </c>
      <c r="H566" s="24" t="s">
        <v>80</v>
      </c>
      <c r="I566" s="24" t="s">
        <v>56</v>
      </c>
      <c r="J566" s="26" t="n">
        <f aca="false">IF(A566="","",YEAR(A566))</f>
        <v>2025</v>
      </c>
      <c r="K566" s="26" t="n">
        <f aca="false">IF(A566="","",MONTH(A566))</f>
        <v>6</v>
      </c>
      <c r="L566" s="26" t="n">
        <f aca="false">IF(B566="","",VALUE(LEFT(B566,2)))</f>
        <v>19</v>
      </c>
      <c r="M566" s="26" t="n">
        <f aca="false">IF(A566="","",IF(COUNTIFS($C$2:$C$5001,C566,$J$2:$J$5001,J566,$A$2:$A$5001,"&lt;"&amp;A566)=0,1,0))</f>
        <v>0</v>
      </c>
    </row>
    <row r="567" customFormat="false" ht="15" hidden="false" customHeight="false" outlineLevel="0" collapsed="false">
      <c r="A567" s="23" t="n">
        <v>45819.4333333333</v>
      </c>
      <c r="B567" s="24" t="s">
        <v>624</v>
      </c>
      <c r="C567" s="24" t="s">
        <v>625</v>
      </c>
      <c r="D567" s="24" t="s">
        <v>66</v>
      </c>
      <c r="E567" s="24" t="n">
        <v>112</v>
      </c>
      <c r="F567" s="25" t="n">
        <v>4000</v>
      </c>
      <c r="G567" s="24" t="s">
        <v>59</v>
      </c>
      <c r="H567" s="24" t="s">
        <v>55</v>
      </c>
      <c r="I567" s="24" t="s">
        <v>61</v>
      </c>
      <c r="J567" s="26" t="n">
        <f aca="false">IF(A567="","",YEAR(A567))</f>
        <v>2025</v>
      </c>
      <c r="K567" s="26" t="n">
        <f aca="false">IF(A567="","",MONTH(A567))</f>
        <v>6</v>
      </c>
      <c r="L567" s="26" t="n">
        <f aca="false">IF(B567="","",VALUE(LEFT(B567,2)))</f>
        <v>8</v>
      </c>
      <c r="M567" s="26" t="n">
        <f aca="false">IF(A567="","",IF(COUNTIFS($C$2:$C$5001,C567,$J$2:$J$5001,J567,$A$2:$A$5001,"&lt;"&amp;A567)=0,1,0))</f>
        <v>1</v>
      </c>
    </row>
    <row r="568" customFormat="false" ht="15" hidden="false" customHeight="false" outlineLevel="0" collapsed="false">
      <c r="A568" s="23" t="n">
        <v>45819.54375</v>
      </c>
      <c r="B568" s="24" t="s">
        <v>626</v>
      </c>
      <c r="C568" s="24" t="s">
        <v>150</v>
      </c>
      <c r="D568" s="24" t="s">
        <v>53</v>
      </c>
      <c r="E568" s="24" t="n">
        <v>159</v>
      </c>
      <c r="F568" s="25" t="n">
        <v>3000</v>
      </c>
      <c r="G568" s="24" t="s">
        <v>59</v>
      </c>
      <c r="H568" s="24" t="s">
        <v>55</v>
      </c>
      <c r="I568" s="24" t="s">
        <v>61</v>
      </c>
      <c r="J568" s="26" t="n">
        <f aca="false">IF(A568="","",YEAR(A568))</f>
        <v>2025</v>
      </c>
      <c r="K568" s="26" t="n">
        <f aca="false">IF(A568="","",MONTH(A568))</f>
        <v>6</v>
      </c>
      <c r="L568" s="26" t="n">
        <f aca="false">IF(B568="","",VALUE(LEFT(B568,2)))</f>
        <v>10</v>
      </c>
      <c r="M568" s="26" t="n">
        <f aca="false">IF(A568="","",IF(COUNTIFS($C$2:$C$5001,C568,$J$2:$J$5001,J568,$A$2:$A$5001,"&lt;"&amp;A568)=0,1,0))</f>
        <v>0</v>
      </c>
    </row>
    <row r="569" customFormat="false" ht="15" hidden="false" customHeight="false" outlineLevel="0" collapsed="false">
      <c r="A569" s="23" t="n">
        <v>45819.5708333333</v>
      </c>
      <c r="B569" s="24" t="s">
        <v>255</v>
      </c>
      <c r="C569" s="24" t="s">
        <v>609</v>
      </c>
      <c r="D569" s="24" t="s">
        <v>66</v>
      </c>
      <c r="E569" s="24" t="n">
        <v>186</v>
      </c>
      <c r="F569" s="25" t="n">
        <v>7000</v>
      </c>
      <c r="G569" s="24" t="s">
        <v>59</v>
      </c>
      <c r="H569" s="24" t="s">
        <v>55</v>
      </c>
      <c r="I569" s="24" t="s">
        <v>61</v>
      </c>
      <c r="J569" s="26" t="n">
        <f aca="false">IF(A569="","",YEAR(A569))</f>
        <v>2025</v>
      </c>
      <c r="K569" s="26" t="n">
        <f aca="false">IF(A569="","",MONTH(A569))</f>
        <v>6</v>
      </c>
      <c r="L569" s="26" t="n">
        <f aca="false">IF(B569="","",VALUE(LEFT(B569,2)))</f>
        <v>10</v>
      </c>
      <c r="M569" s="26" t="n">
        <f aca="false">IF(A569="","",IF(COUNTIFS($C$2:$C$5001,C569,$J$2:$J$5001,J569,$A$2:$A$5001,"&lt;"&amp;A569)=0,1,0))</f>
        <v>0</v>
      </c>
    </row>
    <row r="570" customFormat="false" ht="15" hidden="false" customHeight="false" outlineLevel="0" collapsed="false">
      <c r="A570" s="23" t="n">
        <v>45819.6055555556</v>
      </c>
      <c r="B570" s="24" t="s">
        <v>627</v>
      </c>
      <c r="C570" s="24" t="s">
        <v>240</v>
      </c>
      <c r="D570" s="24" t="s">
        <v>66</v>
      </c>
      <c r="E570" s="24" t="n">
        <v>397</v>
      </c>
      <c r="F570" s="25" t="n">
        <v>14000</v>
      </c>
      <c r="G570" s="24" t="s">
        <v>59</v>
      </c>
      <c r="H570" s="24" t="s">
        <v>60</v>
      </c>
      <c r="I570" s="24" t="s">
        <v>61</v>
      </c>
      <c r="J570" s="26" t="n">
        <f aca="false">IF(A570="","",YEAR(A570))</f>
        <v>2025</v>
      </c>
      <c r="K570" s="26" t="n">
        <f aca="false">IF(A570="","",MONTH(A570))</f>
        <v>6</v>
      </c>
      <c r="L570" s="26" t="n">
        <f aca="false">IF(B570="","",VALUE(LEFT(B570,2)))</f>
        <v>7</v>
      </c>
      <c r="M570" s="26" t="n">
        <f aca="false">IF(A570="","",IF(COUNTIFS($C$2:$C$5001,C570,$J$2:$J$5001,J570,$A$2:$A$5001,"&lt;"&amp;A570)=0,1,0))</f>
        <v>0</v>
      </c>
    </row>
    <row r="571" customFormat="false" ht="15" hidden="false" customHeight="false" outlineLevel="0" collapsed="false">
      <c r="A571" s="23" t="n">
        <v>45819.6638888889</v>
      </c>
      <c r="B571" s="24" t="s">
        <v>315</v>
      </c>
      <c r="C571" s="24" t="s">
        <v>448</v>
      </c>
      <c r="D571" s="24" t="s">
        <v>53</v>
      </c>
      <c r="E571" s="24" t="n">
        <v>159</v>
      </c>
      <c r="F571" s="25" t="n">
        <v>3000</v>
      </c>
      <c r="G571" s="24" t="s">
        <v>69</v>
      </c>
      <c r="H571" s="24" t="s">
        <v>60</v>
      </c>
      <c r="I571" s="24" t="s">
        <v>61</v>
      </c>
      <c r="J571" s="26" t="n">
        <f aca="false">IF(A571="","",YEAR(A571))</f>
        <v>2025</v>
      </c>
      <c r="K571" s="26" t="n">
        <f aca="false">IF(A571="","",MONTH(A571))</f>
        <v>6</v>
      </c>
      <c r="L571" s="26" t="n">
        <f aca="false">IF(B571="","",VALUE(LEFT(B571,2)))</f>
        <v>13</v>
      </c>
      <c r="M571" s="26" t="n">
        <f aca="false">IF(A571="","",IF(COUNTIFS($C$2:$C$5001,C571,$J$2:$J$5001,J571,$A$2:$A$5001,"&lt;"&amp;A571)=0,1,0))</f>
        <v>0</v>
      </c>
    </row>
    <row r="572" customFormat="false" ht="15" hidden="false" customHeight="false" outlineLevel="0" collapsed="false">
      <c r="A572" s="23" t="n">
        <v>45819.8215277778</v>
      </c>
      <c r="B572" s="24" t="s">
        <v>628</v>
      </c>
      <c r="C572" s="24" t="s">
        <v>393</v>
      </c>
      <c r="D572" s="24" t="s">
        <v>66</v>
      </c>
      <c r="E572" s="24" t="n">
        <v>383</v>
      </c>
      <c r="F572" s="25" t="n">
        <v>13000</v>
      </c>
      <c r="G572" s="24" t="s">
        <v>69</v>
      </c>
      <c r="H572" s="24" t="s">
        <v>55</v>
      </c>
      <c r="I572" s="24" t="s">
        <v>61</v>
      </c>
      <c r="J572" s="26" t="n">
        <f aca="false">IF(A572="","",YEAR(A572))</f>
        <v>2025</v>
      </c>
      <c r="K572" s="26" t="n">
        <f aca="false">IF(A572="","",MONTH(A572))</f>
        <v>6</v>
      </c>
      <c r="L572" s="26" t="n">
        <f aca="false">IF(B572="","",VALUE(LEFT(B572,2)))</f>
        <v>13</v>
      </c>
      <c r="M572" s="26" t="n">
        <f aca="false">IF(A572="","",IF(COUNTIFS($C$2:$C$5001,C572,$J$2:$J$5001,J572,$A$2:$A$5001,"&lt;"&amp;A572)=0,1,0))</f>
        <v>0</v>
      </c>
    </row>
    <row r="573" customFormat="false" ht="15" hidden="false" customHeight="false" outlineLevel="0" collapsed="false">
      <c r="A573" s="23" t="n">
        <v>45820.3604166667</v>
      </c>
      <c r="B573" s="24" t="s">
        <v>171</v>
      </c>
      <c r="C573" s="24" t="s">
        <v>237</v>
      </c>
      <c r="D573" s="24" t="s">
        <v>53</v>
      </c>
      <c r="E573" s="24" t="n">
        <v>73</v>
      </c>
      <c r="F573" s="25" t="n">
        <v>1500</v>
      </c>
      <c r="G573" s="24" t="s">
        <v>79</v>
      </c>
      <c r="H573" s="24" t="s">
        <v>60</v>
      </c>
      <c r="I573" s="24" t="s">
        <v>61</v>
      </c>
      <c r="J573" s="26" t="n">
        <f aca="false">IF(A573="","",YEAR(A573))</f>
        <v>2025</v>
      </c>
      <c r="K573" s="26" t="n">
        <f aca="false">IF(A573="","",MONTH(A573))</f>
        <v>6</v>
      </c>
      <c r="L573" s="26" t="n">
        <f aca="false">IF(B573="","",VALUE(LEFT(B573,2)))</f>
        <v>7</v>
      </c>
      <c r="M573" s="26" t="n">
        <f aca="false">IF(A573="","",IF(COUNTIFS($C$2:$C$5001,C573,$J$2:$J$5001,J573,$A$2:$A$5001,"&lt;"&amp;A573)=0,1,0))</f>
        <v>0</v>
      </c>
    </row>
    <row r="574" customFormat="false" ht="15" hidden="false" customHeight="false" outlineLevel="0" collapsed="false">
      <c r="A574" s="23" t="n">
        <v>45821.51875</v>
      </c>
      <c r="B574" s="24" t="s">
        <v>624</v>
      </c>
      <c r="C574" s="24" t="s">
        <v>118</v>
      </c>
      <c r="D574" s="24" t="s">
        <v>66</v>
      </c>
      <c r="E574" s="24" t="n">
        <v>235</v>
      </c>
      <c r="F574" s="25" t="n">
        <v>8000</v>
      </c>
      <c r="G574" s="24" t="s">
        <v>59</v>
      </c>
      <c r="H574" s="24" t="s">
        <v>80</v>
      </c>
      <c r="I574" s="24" t="s">
        <v>61</v>
      </c>
      <c r="J574" s="26" t="n">
        <f aca="false">IF(A574="","",YEAR(A574))</f>
        <v>2025</v>
      </c>
      <c r="K574" s="26" t="n">
        <f aca="false">IF(A574="","",MONTH(A574))</f>
        <v>6</v>
      </c>
      <c r="L574" s="26" t="n">
        <f aca="false">IF(B574="","",VALUE(LEFT(B574,2)))</f>
        <v>8</v>
      </c>
      <c r="M574" s="26" t="n">
        <f aca="false">IF(A574="","",IF(COUNTIFS($C$2:$C$5001,C574,$J$2:$J$5001,J574,$A$2:$A$5001,"&lt;"&amp;A574)=0,1,0))</f>
        <v>0</v>
      </c>
    </row>
    <row r="575" customFormat="false" ht="15" hidden="false" customHeight="false" outlineLevel="0" collapsed="false">
      <c r="A575" s="23" t="n">
        <v>45821.86875</v>
      </c>
      <c r="B575" s="24" t="s">
        <v>629</v>
      </c>
      <c r="C575" s="24" t="s">
        <v>112</v>
      </c>
      <c r="D575" s="24" t="s">
        <v>53</v>
      </c>
      <c r="E575" s="24" t="n">
        <v>303</v>
      </c>
      <c r="F575" s="25" t="n">
        <v>5500</v>
      </c>
      <c r="G575" s="24" t="s">
        <v>79</v>
      </c>
      <c r="H575" s="24" t="s">
        <v>60</v>
      </c>
      <c r="I575" s="24" t="s">
        <v>61</v>
      </c>
      <c r="J575" s="26" t="n">
        <f aca="false">IF(A575="","",YEAR(A575))</f>
        <v>2025</v>
      </c>
      <c r="K575" s="26" t="n">
        <f aca="false">IF(A575="","",MONTH(A575))</f>
        <v>6</v>
      </c>
      <c r="L575" s="26" t="n">
        <f aca="false">IF(B575="","",VALUE(LEFT(B575,2)))</f>
        <v>15</v>
      </c>
      <c r="M575" s="26" t="n">
        <f aca="false">IF(A575="","",IF(COUNTIFS($C$2:$C$5001,C575,$J$2:$J$5001,J575,$A$2:$A$5001,"&lt;"&amp;A575)=0,1,0))</f>
        <v>0</v>
      </c>
    </row>
    <row r="576" customFormat="false" ht="15" hidden="false" customHeight="false" outlineLevel="0" collapsed="false">
      <c r="A576" s="23" t="n">
        <v>45821.8701388889</v>
      </c>
      <c r="B576" s="24" t="s">
        <v>169</v>
      </c>
      <c r="C576" s="24" t="s">
        <v>312</v>
      </c>
      <c r="D576" s="24" t="s">
        <v>66</v>
      </c>
      <c r="E576" s="24" t="n">
        <v>303</v>
      </c>
      <c r="F576" s="25" t="n">
        <v>11000</v>
      </c>
      <c r="G576" s="24" t="s">
        <v>69</v>
      </c>
      <c r="H576" s="24" t="s">
        <v>55</v>
      </c>
      <c r="I576" s="24" t="s">
        <v>61</v>
      </c>
      <c r="J576" s="26" t="n">
        <f aca="false">IF(A576="","",YEAR(A576))</f>
        <v>2025</v>
      </c>
      <c r="K576" s="26" t="n">
        <f aca="false">IF(A576="","",MONTH(A576))</f>
        <v>6</v>
      </c>
      <c r="L576" s="26" t="n">
        <f aca="false">IF(B576="","",VALUE(LEFT(B576,2)))</f>
        <v>15</v>
      </c>
      <c r="M576" s="26" t="n">
        <f aca="false">IF(A576="","",IF(COUNTIFS($C$2:$C$5001,C576,$J$2:$J$5001,J576,$A$2:$A$5001,"&lt;"&amp;A576)=0,1,0))</f>
        <v>0</v>
      </c>
    </row>
    <row r="577" customFormat="false" ht="15" hidden="false" customHeight="false" outlineLevel="0" collapsed="false">
      <c r="A577" s="23" t="n">
        <v>45821.8777777778</v>
      </c>
      <c r="B577" s="24" t="s">
        <v>183</v>
      </c>
      <c r="C577" s="24" t="s">
        <v>118</v>
      </c>
      <c r="D577" s="24" t="s">
        <v>53</v>
      </c>
      <c r="E577" s="24" t="n">
        <v>99</v>
      </c>
      <c r="F577" s="25" t="n">
        <v>0</v>
      </c>
      <c r="G577" s="24" t="s">
        <v>59</v>
      </c>
      <c r="H577" s="24" t="s">
        <v>55</v>
      </c>
      <c r="I577" s="24" t="s">
        <v>56</v>
      </c>
      <c r="J577" s="26" t="n">
        <f aca="false">IF(A577="","",YEAR(A577))</f>
        <v>2025</v>
      </c>
      <c r="K577" s="26" t="n">
        <f aca="false">IF(A577="","",MONTH(A577))</f>
        <v>6</v>
      </c>
      <c r="L577" s="26" t="n">
        <f aca="false">IF(B577="","",VALUE(LEFT(B577,2)))</f>
        <v>19</v>
      </c>
      <c r="M577" s="26" t="n">
        <f aca="false">IF(A577="","",IF(COUNTIFS($C$2:$C$5001,C577,$J$2:$J$5001,J577,$A$2:$A$5001,"&lt;"&amp;A577)=0,1,0))</f>
        <v>0</v>
      </c>
    </row>
    <row r="578" customFormat="false" ht="15" hidden="false" customHeight="false" outlineLevel="0" collapsed="false">
      <c r="A578" s="23" t="n">
        <v>45822.4840277778</v>
      </c>
      <c r="B578" s="24" t="s">
        <v>630</v>
      </c>
      <c r="C578" s="24" t="s">
        <v>182</v>
      </c>
      <c r="D578" s="24" t="s">
        <v>66</v>
      </c>
      <c r="E578" s="24" t="n">
        <v>153</v>
      </c>
      <c r="F578" s="25" t="n">
        <v>6000</v>
      </c>
      <c r="G578" s="24" t="s">
        <v>59</v>
      </c>
      <c r="H578" s="24" t="s">
        <v>80</v>
      </c>
      <c r="I578" s="24" t="s">
        <v>61</v>
      </c>
      <c r="J578" s="26" t="n">
        <f aca="false">IF(A578="","",YEAR(A578))</f>
        <v>2025</v>
      </c>
      <c r="K578" s="26" t="n">
        <f aca="false">IF(A578="","",MONTH(A578))</f>
        <v>6</v>
      </c>
      <c r="L578" s="26" t="n">
        <f aca="false">IF(B578="","",VALUE(LEFT(B578,2)))</f>
        <v>9</v>
      </c>
      <c r="M578" s="26" t="n">
        <f aca="false">IF(A578="","",IF(COUNTIFS($C$2:$C$5001,C578,$J$2:$J$5001,J578,$A$2:$A$5001,"&lt;"&amp;A578)=0,1,0))</f>
        <v>0</v>
      </c>
    </row>
    <row r="579" customFormat="false" ht="15" hidden="false" customHeight="false" outlineLevel="0" collapsed="false">
      <c r="A579" s="23" t="n">
        <v>45822.5513888889</v>
      </c>
      <c r="B579" s="24" t="s">
        <v>441</v>
      </c>
      <c r="C579" s="24" t="s">
        <v>463</v>
      </c>
      <c r="D579" s="24" t="s">
        <v>66</v>
      </c>
      <c r="E579" s="24" t="n">
        <v>41</v>
      </c>
      <c r="F579" s="25" t="n">
        <v>2000</v>
      </c>
      <c r="G579" s="24" t="s">
        <v>59</v>
      </c>
      <c r="H579" s="24" t="s">
        <v>80</v>
      </c>
      <c r="I579" s="24" t="s">
        <v>61</v>
      </c>
      <c r="J579" s="26" t="n">
        <f aca="false">IF(A579="","",YEAR(A579))</f>
        <v>2025</v>
      </c>
      <c r="K579" s="26" t="n">
        <f aca="false">IF(A579="","",MONTH(A579))</f>
        <v>6</v>
      </c>
      <c r="L579" s="26" t="n">
        <f aca="false">IF(B579="","",VALUE(LEFT(B579,2)))</f>
        <v>12</v>
      </c>
      <c r="M579" s="26" t="n">
        <f aca="false">IF(A579="","",IF(COUNTIFS($C$2:$C$5001,C579,$J$2:$J$5001,J579,$A$2:$A$5001,"&lt;"&amp;A579)=0,1,0))</f>
        <v>0</v>
      </c>
    </row>
    <row r="580" customFormat="false" ht="15" hidden="false" customHeight="false" outlineLevel="0" collapsed="false">
      <c r="A580" s="23" t="n">
        <v>45822.6902777778</v>
      </c>
      <c r="B580" s="24" t="s">
        <v>631</v>
      </c>
      <c r="C580" s="24" t="s">
        <v>201</v>
      </c>
      <c r="D580" s="24" t="s">
        <v>53</v>
      </c>
      <c r="E580" s="24" t="n">
        <v>390</v>
      </c>
      <c r="F580" s="25" t="n">
        <v>6500</v>
      </c>
      <c r="G580" s="24" t="s">
        <v>59</v>
      </c>
      <c r="H580" s="24" t="s">
        <v>55</v>
      </c>
      <c r="I580" s="24" t="s">
        <v>61</v>
      </c>
      <c r="J580" s="26" t="n">
        <f aca="false">IF(A580="","",YEAR(A580))</f>
        <v>2025</v>
      </c>
      <c r="K580" s="26" t="n">
        <f aca="false">IF(A580="","",MONTH(A580))</f>
        <v>6</v>
      </c>
      <c r="L580" s="26" t="n">
        <f aca="false">IF(B580="","",VALUE(LEFT(B580,2)))</f>
        <v>10</v>
      </c>
      <c r="M580" s="26" t="n">
        <f aca="false">IF(A580="","",IF(COUNTIFS($C$2:$C$5001,C580,$J$2:$J$5001,J580,$A$2:$A$5001,"&lt;"&amp;A580)=0,1,0))</f>
        <v>0</v>
      </c>
    </row>
    <row r="581" customFormat="false" ht="15" hidden="false" customHeight="false" outlineLevel="0" collapsed="false">
      <c r="A581" s="23" t="n">
        <v>45822.7451388889</v>
      </c>
      <c r="B581" s="24" t="s">
        <v>632</v>
      </c>
      <c r="C581" s="24" t="s">
        <v>182</v>
      </c>
      <c r="D581" s="24" t="s">
        <v>66</v>
      </c>
      <c r="E581" s="24" t="n">
        <v>217</v>
      </c>
      <c r="F581" s="25" t="n">
        <v>8000</v>
      </c>
      <c r="G581" s="24" t="s">
        <v>69</v>
      </c>
      <c r="H581" s="24" t="s">
        <v>80</v>
      </c>
      <c r="I581" s="24" t="s">
        <v>61</v>
      </c>
      <c r="J581" s="26" t="n">
        <f aca="false">IF(A581="","",YEAR(A581))</f>
        <v>2025</v>
      </c>
      <c r="K581" s="26" t="n">
        <f aca="false">IF(A581="","",MONTH(A581))</f>
        <v>6</v>
      </c>
      <c r="L581" s="26" t="n">
        <f aca="false">IF(B581="","",VALUE(LEFT(B581,2)))</f>
        <v>14</v>
      </c>
      <c r="M581" s="26" t="n">
        <f aca="false">IF(A581="","",IF(COUNTIFS($C$2:$C$5001,C581,$J$2:$J$5001,J581,$A$2:$A$5001,"&lt;"&amp;A581)=0,1,0))</f>
        <v>0</v>
      </c>
    </row>
    <row r="582" customFormat="false" ht="15" hidden="false" customHeight="false" outlineLevel="0" collapsed="false">
      <c r="A582" s="23" t="n">
        <v>45822.7854166667</v>
      </c>
      <c r="B582" s="24" t="s">
        <v>571</v>
      </c>
      <c r="C582" s="24" t="s">
        <v>268</v>
      </c>
      <c r="D582" s="24" t="s">
        <v>66</v>
      </c>
      <c r="E582" s="24" t="n">
        <v>41</v>
      </c>
      <c r="F582" s="25" t="n">
        <v>2000</v>
      </c>
      <c r="G582" s="24" t="s">
        <v>59</v>
      </c>
      <c r="H582" s="24" t="s">
        <v>80</v>
      </c>
      <c r="I582" s="24" t="s">
        <v>61</v>
      </c>
      <c r="J582" s="26" t="n">
        <f aca="false">IF(A582="","",YEAR(A582))</f>
        <v>2025</v>
      </c>
      <c r="K582" s="26" t="n">
        <f aca="false">IF(A582="","",MONTH(A582))</f>
        <v>6</v>
      </c>
      <c r="L582" s="26" t="n">
        <f aca="false">IF(B582="","",VALUE(LEFT(B582,2)))</f>
        <v>18</v>
      </c>
      <c r="M582" s="26" t="n">
        <f aca="false">IF(A582="","",IF(COUNTIFS($C$2:$C$5001,C582,$J$2:$J$5001,J582,$A$2:$A$5001,"&lt;"&amp;A582)=0,1,0))</f>
        <v>0</v>
      </c>
    </row>
    <row r="583" customFormat="false" ht="15" hidden="false" customHeight="false" outlineLevel="0" collapsed="false">
      <c r="A583" s="23" t="n">
        <v>45822.8784722222</v>
      </c>
      <c r="B583" s="24" t="s">
        <v>451</v>
      </c>
      <c r="C583" s="24" t="s">
        <v>277</v>
      </c>
      <c r="D583" s="24" t="s">
        <v>66</v>
      </c>
      <c r="E583" s="24" t="n">
        <v>241</v>
      </c>
      <c r="F583" s="25" t="n">
        <v>9000</v>
      </c>
      <c r="G583" s="24" t="s">
        <v>59</v>
      </c>
      <c r="H583" s="24" t="s">
        <v>60</v>
      </c>
      <c r="I583" s="24" t="s">
        <v>61</v>
      </c>
      <c r="J583" s="26" t="n">
        <f aca="false">IF(A583="","",YEAR(A583))</f>
        <v>2025</v>
      </c>
      <c r="K583" s="26" t="n">
        <f aca="false">IF(A583="","",MONTH(A583))</f>
        <v>6</v>
      </c>
      <c r="L583" s="26" t="n">
        <f aca="false">IF(B583="","",VALUE(LEFT(B583,2)))</f>
        <v>17</v>
      </c>
      <c r="M583" s="26" t="n">
        <f aca="false">IF(A583="","",IF(COUNTIFS($C$2:$C$5001,C583,$J$2:$J$5001,J583,$A$2:$A$5001,"&lt;"&amp;A583)=0,1,0))</f>
        <v>0</v>
      </c>
    </row>
    <row r="584" customFormat="false" ht="15" hidden="false" customHeight="false" outlineLevel="0" collapsed="false">
      <c r="A584" s="23" t="n">
        <v>45823.7729166667</v>
      </c>
      <c r="B584" s="24" t="s">
        <v>633</v>
      </c>
      <c r="C584" s="24" t="s">
        <v>138</v>
      </c>
      <c r="D584" s="24" t="s">
        <v>66</v>
      </c>
      <c r="E584" s="24" t="n">
        <v>59</v>
      </c>
      <c r="F584" s="25" t="n">
        <v>2000</v>
      </c>
      <c r="G584" s="24" t="s">
        <v>59</v>
      </c>
      <c r="H584" s="24" t="s">
        <v>55</v>
      </c>
      <c r="I584" s="24" t="s">
        <v>61</v>
      </c>
      <c r="J584" s="26" t="n">
        <f aca="false">IF(A584="","",YEAR(A584))</f>
        <v>2025</v>
      </c>
      <c r="K584" s="26" t="n">
        <f aca="false">IF(A584="","",MONTH(A584))</f>
        <v>6</v>
      </c>
      <c r="L584" s="26" t="n">
        <f aca="false">IF(B584="","",VALUE(LEFT(B584,2)))</f>
        <v>17</v>
      </c>
      <c r="M584" s="26" t="n">
        <f aca="false">IF(A584="","",IF(COUNTIFS($C$2:$C$5001,C584,$J$2:$J$5001,J584,$A$2:$A$5001,"&lt;"&amp;A584)=0,1,0))</f>
        <v>0</v>
      </c>
    </row>
    <row r="585" customFormat="false" ht="15" hidden="false" customHeight="false" outlineLevel="0" collapsed="false">
      <c r="A585" s="23" t="n">
        <v>45823.7902777778</v>
      </c>
      <c r="B585" s="24" t="s">
        <v>634</v>
      </c>
      <c r="C585" s="24" t="s">
        <v>102</v>
      </c>
      <c r="D585" s="24" t="s">
        <v>53</v>
      </c>
      <c r="E585" s="24" t="n">
        <v>346</v>
      </c>
      <c r="F585" s="25" t="n">
        <v>6000</v>
      </c>
      <c r="G585" s="24" t="s">
        <v>54</v>
      </c>
      <c r="H585" s="24" t="s">
        <v>60</v>
      </c>
      <c r="I585" s="24" t="s">
        <v>61</v>
      </c>
      <c r="J585" s="26" t="n">
        <f aca="false">IF(A585="","",YEAR(A585))</f>
        <v>2025</v>
      </c>
      <c r="K585" s="26" t="n">
        <f aca="false">IF(A585="","",MONTH(A585))</f>
        <v>6</v>
      </c>
      <c r="L585" s="26" t="n">
        <f aca="false">IF(B585="","",VALUE(LEFT(B585,2)))</f>
        <v>13</v>
      </c>
      <c r="M585" s="26" t="n">
        <f aca="false">IF(A585="","",IF(COUNTIFS($C$2:$C$5001,C585,$J$2:$J$5001,J585,$A$2:$A$5001,"&lt;"&amp;A585)=0,1,0))</f>
        <v>0</v>
      </c>
    </row>
    <row r="586" customFormat="false" ht="15" hidden="false" customHeight="false" outlineLevel="0" collapsed="false">
      <c r="A586" s="23" t="n">
        <v>45823.8756944445</v>
      </c>
      <c r="B586" s="24" t="s">
        <v>635</v>
      </c>
      <c r="C586" s="24" t="s">
        <v>186</v>
      </c>
      <c r="D586" s="24" t="s">
        <v>53</v>
      </c>
      <c r="E586" s="24" t="n">
        <v>199</v>
      </c>
      <c r="F586" s="25" t="n">
        <v>3500</v>
      </c>
      <c r="G586" s="24" t="s">
        <v>69</v>
      </c>
      <c r="H586" s="24" t="s">
        <v>55</v>
      </c>
      <c r="I586" s="24" t="s">
        <v>61</v>
      </c>
      <c r="J586" s="26" t="n">
        <f aca="false">IF(A586="","",YEAR(A586))</f>
        <v>2025</v>
      </c>
      <c r="K586" s="26" t="n">
        <f aca="false">IF(A586="","",MONTH(A586))</f>
        <v>6</v>
      </c>
      <c r="L586" s="26" t="n">
        <f aca="false">IF(B586="","",VALUE(LEFT(B586,2)))</f>
        <v>17</v>
      </c>
      <c r="M586" s="26" t="n">
        <f aca="false">IF(A586="","",IF(COUNTIFS($C$2:$C$5001,C586,$J$2:$J$5001,J586,$A$2:$A$5001,"&lt;"&amp;A586)=0,1,0))</f>
        <v>0</v>
      </c>
    </row>
    <row r="587" customFormat="false" ht="15" hidden="false" customHeight="false" outlineLevel="0" collapsed="false">
      <c r="A587" s="23" t="n">
        <v>45824.4104166667</v>
      </c>
      <c r="B587" s="24" t="s">
        <v>270</v>
      </c>
      <c r="C587" s="24" t="s">
        <v>87</v>
      </c>
      <c r="D587" s="24" t="s">
        <v>53</v>
      </c>
      <c r="E587" s="24" t="n">
        <v>98</v>
      </c>
      <c r="F587" s="25" t="n">
        <v>2000</v>
      </c>
      <c r="G587" s="24" t="s">
        <v>59</v>
      </c>
      <c r="H587" s="24" t="s">
        <v>80</v>
      </c>
      <c r="I587" s="24" t="s">
        <v>61</v>
      </c>
      <c r="J587" s="26" t="n">
        <f aca="false">IF(A587="","",YEAR(A587))</f>
        <v>2025</v>
      </c>
      <c r="K587" s="26" t="n">
        <f aca="false">IF(A587="","",MONTH(A587))</f>
        <v>6</v>
      </c>
      <c r="L587" s="26" t="n">
        <f aca="false">IF(B587="","",VALUE(LEFT(B587,2)))</f>
        <v>8</v>
      </c>
      <c r="M587" s="26" t="n">
        <f aca="false">IF(A587="","",IF(COUNTIFS($C$2:$C$5001,C587,$J$2:$J$5001,J587,$A$2:$A$5001,"&lt;"&amp;A587)=0,1,0))</f>
        <v>0</v>
      </c>
    </row>
    <row r="588" customFormat="false" ht="15" hidden="false" customHeight="false" outlineLevel="0" collapsed="false">
      <c r="A588" s="23" t="n">
        <v>45824.6</v>
      </c>
      <c r="B588" s="24" t="s">
        <v>202</v>
      </c>
      <c r="C588" s="24" t="s">
        <v>177</v>
      </c>
      <c r="D588" s="24" t="s">
        <v>88</v>
      </c>
      <c r="E588" s="24" t="n">
        <v>414</v>
      </c>
      <c r="F588" s="25" t="n">
        <v>21000</v>
      </c>
      <c r="G588" s="24" t="s">
        <v>59</v>
      </c>
      <c r="H588" s="24" t="s">
        <v>55</v>
      </c>
      <c r="I588" s="24" t="s">
        <v>61</v>
      </c>
      <c r="J588" s="26" t="n">
        <f aca="false">IF(A588="","",YEAR(A588))</f>
        <v>2025</v>
      </c>
      <c r="K588" s="26" t="n">
        <f aca="false">IF(A588="","",MONTH(A588))</f>
        <v>6</v>
      </c>
      <c r="L588" s="26" t="n">
        <f aca="false">IF(B588="","",VALUE(LEFT(B588,2)))</f>
        <v>7</v>
      </c>
      <c r="M588" s="26" t="n">
        <f aca="false">IF(A588="","",IF(COUNTIFS($C$2:$C$5001,C588,$J$2:$J$5001,J588,$A$2:$A$5001,"&lt;"&amp;A588)=0,1,0))</f>
        <v>0</v>
      </c>
    </row>
    <row r="589" customFormat="false" ht="15" hidden="false" customHeight="false" outlineLevel="0" collapsed="false">
      <c r="A589" s="23" t="n">
        <v>45824.6708333333</v>
      </c>
      <c r="B589" s="24" t="s">
        <v>542</v>
      </c>
      <c r="C589" s="24" t="s">
        <v>265</v>
      </c>
      <c r="D589" s="24" t="s">
        <v>66</v>
      </c>
      <c r="E589" s="24" t="n">
        <v>195</v>
      </c>
      <c r="F589" s="25" t="n">
        <v>7000</v>
      </c>
      <c r="G589" s="24" t="s">
        <v>59</v>
      </c>
      <c r="H589" s="24" t="s">
        <v>80</v>
      </c>
      <c r="I589" s="24" t="s">
        <v>61</v>
      </c>
      <c r="J589" s="26" t="n">
        <f aca="false">IF(A589="","",YEAR(A589))</f>
        <v>2025</v>
      </c>
      <c r="K589" s="26" t="n">
        <f aca="false">IF(A589="","",MONTH(A589))</f>
        <v>6</v>
      </c>
      <c r="L589" s="26" t="n">
        <f aca="false">IF(B589="","",VALUE(LEFT(B589,2)))</f>
        <v>12</v>
      </c>
      <c r="M589" s="26" t="n">
        <f aca="false">IF(A589="","",IF(COUNTIFS($C$2:$C$5001,C589,$J$2:$J$5001,J589,$A$2:$A$5001,"&lt;"&amp;A589)=0,1,0))</f>
        <v>0</v>
      </c>
    </row>
    <row r="590" customFormat="false" ht="15" hidden="false" customHeight="false" outlineLevel="0" collapsed="false">
      <c r="A590" s="23" t="n">
        <v>45825.4694444445</v>
      </c>
      <c r="B590" s="24" t="s">
        <v>622</v>
      </c>
      <c r="C590" s="24" t="s">
        <v>179</v>
      </c>
      <c r="D590" s="24" t="s">
        <v>88</v>
      </c>
      <c r="E590" s="24" t="n">
        <v>235</v>
      </c>
      <c r="F590" s="25" t="n">
        <v>12000</v>
      </c>
      <c r="G590" s="24" t="s">
        <v>59</v>
      </c>
      <c r="H590" s="24" t="s">
        <v>80</v>
      </c>
      <c r="I590" s="24" t="s">
        <v>61</v>
      </c>
      <c r="J590" s="26" t="n">
        <f aca="false">IF(A590="","",YEAR(A590))</f>
        <v>2025</v>
      </c>
      <c r="K590" s="26" t="n">
        <f aca="false">IF(A590="","",MONTH(A590))</f>
        <v>6</v>
      </c>
      <c r="L590" s="26" t="n">
        <f aca="false">IF(B590="","",VALUE(LEFT(B590,2)))</f>
        <v>7</v>
      </c>
      <c r="M590" s="26" t="n">
        <f aca="false">IF(A590="","",IF(COUNTIFS($C$2:$C$5001,C590,$J$2:$J$5001,J590,$A$2:$A$5001,"&lt;"&amp;A590)=0,1,0))</f>
        <v>0</v>
      </c>
    </row>
    <row r="591" customFormat="false" ht="15" hidden="false" customHeight="false" outlineLevel="0" collapsed="false">
      <c r="A591" s="23" t="n">
        <v>45825.7854166667</v>
      </c>
      <c r="B591" s="24" t="s">
        <v>636</v>
      </c>
      <c r="C591" s="24" t="s">
        <v>136</v>
      </c>
      <c r="D591" s="24" t="s">
        <v>88</v>
      </c>
      <c r="E591" s="24" t="n">
        <v>253</v>
      </c>
      <c r="F591" s="25" t="n">
        <v>0</v>
      </c>
      <c r="G591" s="24" t="s">
        <v>69</v>
      </c>
      <c r="H591" s="24" t="s">
        <v>55</v>
      </c>
      <c r="I591" s="24" t="s">
        <v>56</v>
      </c>
      <c r="J591" s="26" t="n">
        <f aca="false">IF(A591="","",YEAR(A591))</f>
        <v>2025</v>
      </c>
      <c r="K591" s="26" t="n">
        <f aca="false">IF(A591="","",MONTH(A591))</f>
        <v>6</v>
      </c>
      <c r="L591" s="26" t="n">
        <f aca="false">IF(B591="","",VALUE(LEFT(B591,2)))</f>
        <v>14</v>
      </c>
      <c r="M591" s="26" t="n">
        <f aca="false">IF(A591="","",IF(COUNTIFS($C$2:$C$5001,C591,$J$2:$J$5001,J591,$A$2:$A$5001,"&lt;"&amp;A591)=0,1,0))</f>
        <v>0</v>
      </c>
    </row>
    <row r="592" customFormat="false" ht="15" hidden="false" customHeight="false" outlineLevel="0" collapsed="false">
      <c r="A592" s="23" t="n">
        <v>45826.4854166667</v>
      </c>
      <c r="B592" s="24" t="s">
        <v>504</v>
      </c>
      <c r="C592" s="24" t="s">
        <v>268</v>
      </c>
      <c r="D592" s="24" t="s">
        <v>53</v>
      </c>
      <c r="E592" s="24" t="n">
        <v>220</v>
      </c>
      <c r="F592" s="25" t="n">
        <v>4000</v>
      </c>
      <c r="G592" s="24" t="s">
        <v>59</v>
      </c>
      <c r="H592" s="24" t="s">
        <v>60</v>
      </c>
      <c r="I592" s="24" t="s">
        <v>61</v>
      </c>
      <c r="J592" s="26" t="n">
        <f aca="false">IF(A592="","",YEAR(A592))</f>
        <v>2025</v>
      </c>
      <c r="K592" s="26" t="n">
        <f aca="false">IF(A592="","",MONTH(A592))</f>
        <v>6</v>
      </c>
      <c r="L592" s="26" t="n">
        <f aca="false">IF(B592="","",VALUE(LEFT(B592,2)))</f>
        <v>7</v>
      </c>
      <c r="M592" s="26" t="n">
        <f aca="false">IF(A592="","",IF(COUNTIFS($C$2:$C$5001,C592,$J$2:$J$5001,J592,$A$2:$A$5001,"&lt;"&amp;A592)=0,1,0))</f>
        <v>0</v>
      </c>
    </row>
    <row r="593" customFormat="false" ht="15" hidden="false" customHeight="false" outlineLevel="0" collapsed="false">
      <c r="A593" s="23" t="n">
        <v>45826.9006944444</v>
      </c>
      <c r="B593" s="24" t="s">
        <v>637</v>
      </c>
      <c r="C593" s="24" t="s">
        <v>92</v>
      </c>
      <c r="D593" s="24" t="s">
        <v>66</v>
      </c>
      <c r="E593" s="24" t="n">
        <v>73</v>
      </c>
      <c r="F593" s="25" t="n">
        <v>3000</v>
      </c>
      <c r="G593" s="24" t="s">
        <v>79</v>
      </c>
      <c r="H593" s="24" t="s">
        <v>55</v>
      </c>
      <c r="I593" s="24" t="s">
        <v>61</v>
      </c>
      <c r="J593" s="26" t="n">
        <f aca="false">IF(A593="","",YEAR(A593))</f>
        <v>2025</v>
      </c>
      <c r="K593" s="26" t="n">
        <f aca="false">IF(A593="","",MONTH(A593))</f>
        <v>6</v>
      </c>
      <c r="L593" s="26" t="n">
        <f aca="false">IF(B593="","",VALUE(LEFT(B593,2)))</f>
        <v>20</v>
      </c>
      <c r="M593" s="26" t="n">
        <f aca="false">IF(A593="","",IF(COUNTIFS($C$2:$C$5001,C593,$J$2:$J$5001,J593,$A$2:$A$5001,"&lt;"&amp;A593)=0,1,0))</f>
        <v>0</v>
      </c>
    </row>
    <row r="594" customFormat="false" ht="15" hidden="false" customHeight="false" outlineLevel="0" collapsed="false">
      <c r="A594" s="23" t="n">
        <v>45827.3645833333</v>
      </c>
      <c r="B594" s="24" t="s">
        <v>638</v>
      </c>
      <c r="C594" s="24" t="s">
        <v>186</v>
      </c>
      <c r="D594" s="24" t="s">
        <v>53</v>
      </c>
      <c r="E594" s="24" t="n">
        <v>104</v>
      </c>
      <c r="F594" s="25" t="n">
        <v>1700</v>
      </c>
      <c r="G594" s="24" t="s">
        <v>69</v>
      </c>
      <c r="H594" s="24" t="s">
        <v>60</v>
      </c>
      <c r="I594" s="24" t="s">
        <v>113</v>
      </c>
      <c r="J594" s="26" t="n">
        <f aca="false">IF(A594="","",YEAR(A594))</f>
        <v>2025</v>
      </c>
      <c r="K594" s="26" t="n">
        <f aca="false">IF(A594="","",MONTH(A594))</f>
        <v>6</v>
      </c>
      <c r="L594" s="26" t="n">
        <f aca="false">IF(B594="","",VALUE(LEFT(B594,2)))</f>
        <v>7</v>
      </c>
      <c r="M594" s="26" t="n">
        <f aca="false">IF(A594="","",IF(COUNTIFS($C$2:$C$5001,C594,$J$2:$J$5001,J594,$A$2:$A$5001,"&lt;"&amp;A594)=0,1,0))</f>
        <v>0</v>
      </c>
    </row>
    <row r="595" customFormat="false" ht="15" hidden="false" customHeight="false" outlineLevel="0" collapsed="false">
      <c r="A595" s="23" t="n">
        <v>45827.4270833333</v>
      </c>
      <c r="B595" s="24" t="s">
        <v>256</v>
      </c>
      <c r="C595" s="24" t="s">
        <v>94</v>
      </c>
      <c r="D595" s="24" t="s">
        <v>66</v>
      </c>
      <c r="E595" s="24" t="n">
        <v>229</v>
      </c>
      <c r="F595" s="25" t="n">
        <v>0</v>
      </c>
      <c r="G595" s="24" t="s">
        <v>69</v>
      </c>
      <c r="H595" s="24" t="s">
        <v>60</v>
      </c>
      <c r="I595" s="24" t="s">
        <v>56</v>
      </c>
      <c r="J595" s="26" t="n">
        <f aca="false">IF(A595="","",YEAR(A595))</f>
        <v>2025</v>
      </c>
      <c r="K595" s="26" t="n">
        <f aca="false">IF(A595="","",MONTH(A595))</f>
        <v>6</v>
      </c>
      <c r="L595" s="26" t="n">
        <f aca="false">IF(B595="","",VALUE(LEFT(B595,2)))</f>
        <v>6</v>
      </c>
      <c r="M595" s="26" t="n">
        <f aca="false">IF(A595="","",IF(COUNTIFS($C$2:$C$5001,C595,$J$2:$J$5001,J595,$A$2:$A$5001,"&lt;"&amp;A595)=0,1,0))</f>
        <v>0</v>
      </c>
    </row>
    <row r="596" customFormat="false" ht="15" hidden="false" customHeight="false" outlineLevel="0" collapsed="false">
      <c r="A596" s="23" t="n">
        <v>45827.4333333333</v>
      </c>
      <c r="B596" s="24" t="s">
        <v>153</v>
      </c>
      <c r="C596" s="24" t="s">
        <v>141</v>
      </c>
      <c r="D596" s="24" t="s">
        <v>66</v>
      </c>
      <c r="E596" s="24" t="n">
        <v>109</v>
      </c>
      <c r="F596" s="25" t="n">
        <v>4000</v>
      </c>
      <c r="G596" s="24" t="s">
        <v>69</v>
      </c>
      <c r="H596" s="24" t="s">
        <v>55</v>
      </c>
      <c r="I596" s="24" t="s">
        <v>61</v>
      </c>
      <c r="J596" s="26" t="n">
        <f aca="false">IF(A596="","",YEAR(A596))</f>
        <v>2025</v>
      </c>
      <c r="K596" s="26" t="n">
        <f aca="false">IF(A596="","",MONTH(A596))</f>
        <v>6</v>
      </c>
      <c r="L596" s="26" t="n">
        <f aca="false">IF(B596="","",VALUE(LEFT(B596,2)))</f>
        <v>8</v>
      </c>
      <c r="M596" s="26" t="n">
        <f aca="false">IF(A596="","",IF(COUNTIFS($C$2:$C$5001,C596,$J$2:$J$5001,J596,$A$2:$A$5001,"&lt;"&amp;A596)=0,1,0))</f>
        <v>0</v>
      </c>
    </row>
    <row r="597" customFormat="false" ht="15" hidden="false" customHeight="false" outlineLevel="0" collapsed="false">
      <c r="A597" s="23" t="n">
        <v>45827.4625</v>
      </c>
      <c r="B597" s="24" t="s">
        <v>639</v>
      </c>
      <c r="C597" s="24" t="s">
        <v>68</v>
      </c>
      <c r="D597" s="24" t="s">
        <v>53</v>
      </c>
      <c r="E597" s="24" t="n">
        <v>150</v>
      </c>
      <c r="F597" s="25" t="n">
        <v>2500</v>
      </c>
      <c r="G597" s="24" t="s">
        <v>59</v>
      </c>
      <c r="H597" s="24" t="s">
        <v>80</v>
      </c>
      <c r="I597" s="24" t="s">
        <v>61</v>
      </c>
      <c r="J597" s="26" t="n">
        <f aca="false">IF(A597="","",YEAR(A597))</f>
        <v>2025</v>
      </c>
      <c r="K597" s="26" t="n">
        <f aca="false">IF(A597="","",MONTH(A597))</f>
        <v>6</v>
      </c>
      <c r="L597" s="26" t="n">
        <f aca="false">IF(B597="","",VALUE(LEFT(B597,2)))</f>
        <v>8</v>
      </c>
      <c r="M597" s="26" t="n">
        <f aca="false">IF(A597="","",IF(COUNTIFS($C$2:$C$5001,C597,$J$2:$J$5001,J597,$A$2:$A$5001,"&lt;"&amp;A597)=0,1,0))</f>
        <v>0</v>
      </c>
    </row>
    <row r="598" customFormat="false" ht="15" hidden="false" customHeight="false" outlineLevel="0" collapsed="false">
      <c r="A598" s="23" t="n">
        <v>45827.5722222222</v>
      </c>
      <c r="B598" s="24" t="s">
        <v>640</v>
      </c>
      <c r="C598" s="24" t="s">
        <v>609</v>
      </c>
      <c r="D598" s="24" t="s">
        <v>66</v>
      </c>
      <c r="E598" s="24" t="n">
        <v>243</v>
      </c>
      <c r="F598" s="25" t="n">
        <v>9000</v>
      </c>
      <c r="G598" s="24" t="s">
        <v>59</v>
      </c>
      <c r="H598" s="24" t="s">
        <v>80</v>
      </c>
      <c r="I598" s="24" t="s">
        <v>61</v>
      </c>
      <c r="J598" s="26" t="n">
        <f aca="false">IF(A598="","",YEAR(A598))</f>
        <v>2025</v>
      </c>
      <c r="K598" s="26" t="n">
        <f aca="false">IF(A598="","",MONTH(A598))</f>
        <v>6</v>
      </c>
      <c r="L598" s="26" t="n">
        <f aca="false">IF(B598="","",VALUE(LEFT(B598,2)))</f>
        <v>9</v>
      </c>
      <c r="M598" s="26" t="n">
        <f aca="false">IF(A598="","",IF(COUNTIFS($C$2:$C$5001,C598,$J$2:$J$5001,J598,$A$2:$A$5001,"&lt;"&amp;A598)=0,1,0))</f>
        <v>0</v>
      </c>
    </row>
    <row r="599" customFormat="false" ht="15" hidden="false" customHeight="false" outlineLevel="0" collapsed="false">
      <c r="A599" s="23" t="n">
        <v>45827.8180555556</v>
      </c>
      <c r="B599" s="24" t="s">
        <v>641</v>
      </c>
      <c r="C599" s="24" t="s">
        <v>52</v>
      </c>
      <c r="D599" s="24" t="s">
        <v>66</v>
      </c>
      <c r="E599" s="24" t="n">
        <v>181</v>
      </c>
      <c r="F599" s="25" t="n">
        <v>7000</v>
      </c>
      <c r="G599" s="24" t="s">
        <v>83</v>
      </c>
      <c r="H599" s="24" t="s">
        <v>60</v>
      </c>
      <c r="I599" s="24" t="s">
        <v>61</v>
      </c>
      <c r="J599" s="26" t="n">
        <f aca="false">IF(A599="","",YEAR(A599))</f>
        <v>2025</v>
      </c>
      <c r="K599" s="26" t="n">
        <f aca="false">IF(A599="","",MONTH(A599))</f>
        <v>6</v>
      </c>
      <c r="L599" s="26" t="n">
        <f aca="false">IF(B599="","",VALUE(LEFT(B599,2)))</f>
        <v>16</v>
      </c>
      <c r="M599" s="26" t="n">
        <f aca="false">IF(A599="","",IF(COUNTIFS($C$2:$C$5001,C599,$J$2:$J$5001,J599,$A$2:$A$5001,"&lt;"&amp;A599)=0,1,0))</f>
        <v>0</v>
      </c>
    </row>
    <row r="600" customFormat="false" ht="15" hidden="false" customHeight="false" outlineLevel="0" collapsed="false">
      <c r="A600" s="23" t="n">
        <v>45827.9222222222</v>
      </c>
      <c r="B600" s="24" t="s">
        <v>642</v>
      </c>
      <c r="C600" s="24" t="s">
        <v>389</v>
      </c>
      <c r="D600" s="24" t="s">
        <v>127</v>
      </c>
      <c r="E600" s="24" t="n">
        <v>376</v>
      </c>
      <c r="F600" s="25" t="n">
        <v>22750</v>
      </c>
      <c r="G600" s="24" t="s">
        <v>69</v>
      </c>
      <c r="H600" s="24" t="s">
        <v>80</v>
      </c>
      <c r="I600" s="24" t="s">
        <v>61</v>
      </c>
      <c r="J600" s="26" t="n">
        <f aca="false">IF(A600="","",YEAR(A600))</f>
        <v>2025</v>
      </c>
      <c r="K600" s="26" t="n">
        <f aca="false">IF(A600="","",MONTH(A600))</f>
        <v>6</v>
      </c>
      <c r="L600" s="26" t="n">
        <f aca="false">IF(B600="","",VALUE(LEFT(B600,2)))</f>
        <v>15</v>
      </c>
      <c r="M600" s="26" t="n">
        <f aca="false">IF(A600="","",IF(COUNTIFS($C$2:$C$5001,C600,$J$2:$J$5001,J600,$A$2:$A$5001,"&lt;"&amp;A600)=0,1,0))</f>
        <v>0</v>
      </c>
    </row>
    <row r="601" customFormat="false" ht="15" hidden="false" customHeight="false" outlineLevel="0" collapsed="false">
      <c r="A601" s="23" t="n">
        <v>45827.9819444444</v>
      </c>
      <c r="B601" s="24" t="s">
        <v>643</v>
      </c>
      <c r="C601" s="24" t="s">
        <v>108</v>
      </c>
      <c r="D601" s="24" t="s">
        <v>53</v>
      </c>
      <c r="E601" s="24" t="n">
        <v>414</v>
      </c>
      <c r="F601" s="25" t="n">
        <v>7000</v>
      </c>
      <c r="G601" s="24" t="s">
        <v>69</v>
      </c>
      <c r="H601" s="24" t="s">
        <v>80</v>
      </c>
      <c r="I601" s="24" t="s">
        <v>61</v>
      </c>
      <c r="J601" s="26" t="n">
        <f aca="false">IF(A601="","",YEAR(A601))</f>
        <v>2025</v>
      </c>
      <c r="K601" s="26" t="n">
        <f aca="false">IF(A601="","",MONTH(A601))</f>
        <v>6</v>
      </c>
      <c r="L601" s="26" t="n">
        <f aca="false">IF(B601="","",VALUE(LEFT(B601,2)))</f>
        <v>16</v>
      </c>
      <c r="M601" s="26" t="n">
        <f aca="false">IF(A601="","",IF(COUNTIFS($C$2:$C$5001,C601,$J$2:$J$5001,J601,$A$2:$A$5001,"&lt;"&amp;A601)=0,1,0))</f>
        <v>0</v>
      </c>
    </row>
    <row r="602" customFormat="false" ht="15" hidden="false" customHeight="false" outlineLevel="0" collapsed="false">
      <c r="A602" s="23" t="n">
        <v>45828.4909722222</v>
      </c>
      <c r="B602" s="24" t="s">
        <v>644</v>
      </c>
      <c r="C602" s="24" t="s">
        <v>166</v>
      </c>
      <c r="D602" s="24" t="s">
        <v>127</v>
      </c>
      <c r="E602" s="24" t="n">
        <v>121</v>
      </c>
      <c r="F602" s="25" t="n">
        <v>8750</v>
      </c>
      <c r="G602" s="24" t="s">
        <v>59</v>
      </c>
      <c r="H602" s="24" t="s">
        <v>55</v>
      </c>
      <c r="I602" s="24" t="s">
        <v>61</v>
      </c>
      <c r="J602" s="26" t="n">
        <f aca="false">IF(A602="","",YEAR(A602))</f>
        <v>2025</v>
      </c>
      <c r="K602" s="26" t="n">
        <f aca="false">IF(A602="","",MONTH(A602))</f>
        <v>6</v>
      </c>
      <c r="L602" s="26" t="n">
        <f aca="false">IF(B602="","",VALUE(LEFT(B602,2)))</f>
        <v>9</v>
      </c>
      <c r="M602" s="26" t="n">
        <f aca="false">IF(A602="","",IF(COUNTIFS($C$2:$C$5001,C602,$J$2:$J$5001,J602,$A$2:$A$5001,"&lt;"&amp;A602)=0,1,0))</f>
        <v>0</v>
      </c>
    </row>
    <row r="603" customFormat="false" ht="15" hidden="false" customHeight="false" outlineLevel="0" collapsed="false">
      <c r="A603" s="23" t="n">
        <v>45828.6590277778</v>
      </c>
      <c r="B603" s="24" t="s">
        <v>305</v>
      </c>
      <c r="C603" s="24" t="s">
        <v>227</v>
      </c>
      <c r="D603" s="24" t="s">
        <v>53</v>
      </c>
      <c r="E603" s="24" t="n">
        <v>418</v>
      </c>
      <c r="F603" s="25" t="n">
        <v>7000</v>
      </c>
      <c r="G603" s="24" t="s">
        <v>83</v>
      </c>
      <c r="H603" s="24" t="s">
        <v>80</v>
      </c>
      <c r="I603" s="24" t="s">
        <v>61</v>
      </c>
      <c r="J603" s="26" t="n">
        <f aca="false">IF(A603="","",YEAR(A603))</f>
        <v>2025</v>
      </c>
      <c r="K603" s="26" t="n">
        <f aca="false">IF(A603="","",MONTH(A603))</f>
        <v>6</v>
      </c>
      <c r="L603" s="26" t="n">
        <f aca="false">IF(B603="","",VALUE(LEFT(B603,2)))</f>
        <v>8</v>
      </c>
      <c r="M603" s="26" t="n">
        <f aca="false">IF(A603="","",IF(COUNTIFS($C$2:$C$5001,C603,$J$2:$J$5001,J603,$A$2:$A$5001,"&lt;"&amp;A603)=0,1,0))</f>
        <v>0</v>
      </c>
    </row>
    <row r="604" customFormat="false" ht="15" hidden="false" customHeight="false" outlineLevel="0" collapsed="false">
      <c r="A604" s="23" t="n">
        <v>45829.4048611111</v>
      </c>
      <c r="B604" s="24" t="s">
        <v>381</v>
      </c>
      <c r="C604" s="24" t="s">
        <v>78</v>
      </c>
      <c r="D604" s="24" t="s">
        <v>53</v>
      </c>
      <c r="E604" s="24" t="n">
        <v>119</v>
      </c>
      <c r="F604" s="25" t="n">
        <v>2000</v>
      </c>
      <c r="G604" s="24" t="s">
        <v>59</v>
      </c>
      <c r="H604" s="24" t="s">
        <v>55</v>
      </c>
      <c r="I604" s="24" t="s">
        <v>61</v>
      </c>
      <c r="J604" s="26" t="n">
        <f aca="false">IF(A604="","",YEAR(A604))</f>
        <v>2025</v>
      </c>
      <c r="K604" s="26" t="n">
        <f aca="false">IF(A604="","",MONTH(A604))</f>
        <v>6</v>
      </c>
      <c r="L604" s="26" t="n">
        <f aca="false">IF(B604="","",VALUE(LEFT(B604,2)))</f>
        <v>7</v>
      </c>
      <c r="M604" s="26" t="n">
        <f aca="false">IF(A604="","",IF(COUNTIFS($C$2:$C$5001,C604,$J$2:$J$5001,J604,$A$2:$A$5001,"&lt;"&amp;A604)=0,1,0))</f>
        <v>0</v>
      </c>
    </row>
    <row r="605" customFormat="false" ht="15" hidden="false" customHeight="false" outlineLevel="0" collapsed="false">
      <c r="A605" s="23" t="n">
        <v>45829.675</v>
      </c>
      <c r="B605" s="24" t="s">
        <v>645</v>
      </c>
      <c r="C605" s="24" t="s">
        <v>222</v>
      </c>
      <c r="D605" s="24" t="s">
        <v>127</v>
      </c>
      <c r="E605" s="24" t="n">
        <v>285</v>
      </c>
      <c r="F605" s="25" t="n">
        <v>17500</v>
      </c>
      <c r="G605" s="24" t="s">
        <v>59</v>
      </c>
      <c r="H605" s="24" t="s">
        <v>60</v>
      </c>
      <c r="I605" s="24" t="s">
        <v>61</v>
      </c>
      <c r="J605" s="26" t="n">
        <f aca="false">IF(A605="","",YEAR(A605))</f>
        <v>2025</v>
      </c>
      <c r="K605" s="26" t="n">
        <f aca="false">IF(A605="","",MONTH(A605))</f>
        <v>6</v>
      </c>
      <c r="L605" s="26" t="n">
        <f aca="false">IF(B605="","",VALUE(LEFT(B605,2)))</f>
        <v>11</v>
      </c>
      <c r="M605" s="26" t="n">
        <f aca="false">IF(A605="","",IF(COUNTIFS($C$2:$C$5001,C605,$J$2:$J$5001,J605,$A$2:$A$5001,"&lt;"&amp;A605)=0,1,0))</f>
        <v>0</v>
      </c>
    </row>
    <row r="606" customFormat="false" ht="15" hidden="false" customHeight="false" outlineLevel="0" collapsed="false">
      <c r="A606" s="23" t="n">
        <v>45829.6923611111</v>
      </c>
      <c r="B606" s="24" t="s">
        <v>646</v>
      </c>
      <c r="C606" s="24" t="s">
        <v>475</v>
      </c>
      <c r="D606" s="24" t="s">
        <v>66</v>
      </c>
      <c r="E606" s="24" t="n">
        <v>269</v>
      </c>
      <c r="F606" s="25" t="n">
        <v>0</v>
      </c>
      <c r="G606" s="24" t="s">
        <v>69</v>
      </c>
      <c r="H606" s="24" t="s">
        <v>55</v>
      </c>
      <c r="I606" s="24" t="s">
        <v>56</v>
      </c>
      <c r="J606" s="26" t="n">
        <f aca="false">IF(A606="","",YEAR(A606))</f>
        <v>2025</v>
      </c>
      <c r="K606" s="26" t="n">
        <f aca="false">IF(A606="","",MONTH(A606))</f>
        <v>6</v>
      </c>
      <c r="L606" s="26" t="n">
        <f aca="false">IF(B606="","",VALUE(LEFT(B606,2)))</f>
        <v>12</v>
      </c>
      <c r="M606" s="26" t="n">
        <f aca="false">IF(A606="","",IF(COUNTIFS($C$2:$C$5001,C606,$J$2:$J$5001,J606,$A$2:$A$5001,"&lt;"&amp;A606)=0,1,0))</f>
        <v>0</v>
      </c>
    </row>
    <row r="607" customFormat="false" ht="15" hidden="false" customHeight="false" outlineLevel="0" collapsed="false">
      <c r="A607" s="23" t="n">
        <v>45830.3979166667</v>
      </c>
      <c r="B607" s="24" t="s">
        <v>298</v>
      </c>
      <c r="C607" s="24" t="s">
        <v>188</v>
      </c>
      <c r="D607" s="24" t="s">
        <v>66</v>
      </c>
      <c r="E607" s="24" t="n">
        <v>101</v>
      </c>
      <c r="F607" s="25" t="n">
        <v>4000</v>
      </c>
      <c r="G607" s="24" t="s">
        <v>59</v>
      </c>
      <c r="H607" s="24" t="s">
        <v>60</v>
      </c>
      <c r="I607" s="24" t="s">
        <v>61</v>
      </c>
      <c r="J607" s="26" t="n">
        <f aca="false">IF(A607="","",YEAR(A607))</f>
        <v>2025</v>
      </c>
      <c r="K607" s="26" t="n">
        <f aca="false">IF(A607="","",MONTH(A607))</f>
        <v>6</v>
      </c>
      <c r="L607" s="26" t="n">
        <f aca="false">IF(B607="","",VALUE(LEFT(B607,2)))</f>
        <v>7</v>
      </c>
      <c r="M607" s="26" t="n">
        <f aca="false">IF(A607="","",IF(COUNTIFS($C$2:$C$5001,C607,$J$2:$J$5001,J607,$A$2:$A$5001,"&lt;"&amp;A607)=0,1,0))</f>
        <v>0</v>
      </c>
    </row>
    <row r="608" customFormat="false" ht="15" hidden="false" customHeight="false" outlineLevel="0" collapsed="false">
      <c r="A608" s="23" t="n">
        <v>45830.4291666667</v>
      </c>
      <c r="B608" s="24" t="s">
        <v>569</v>
      </c>
      <c r="C608" s="24" t="s">
        <v>544</v>
      </c>
      <c r="D608" s="24" t="s">
        <v>53</v>
      </c>
      <c r="E608" s="24" t="n">
        <v>157</v>
      </c>
      <c r="F608" s="25" t="n">
        <v>3000</v>
      </c>
      <c r="G608" s="24" t="s">
        <v>59</v>
      </c>
      <c r="H608" s="24" t="s">
        <v>60</v>
      </c>
      <c r="I608" s="24" t="s">
        <v>61</v>
      </c>
      <c r="J608" s="26" t="n">
        <f aca="false">IF(A608="","",YEAR(A608))</f>
        <v>2025</v>
      </c>
      <c r="K608" s="26" t="n">
        <f aca="false">IF(A608="","",MONTH(A608))</f>
        <v>6</v>
      </c>
      <c r="L608" s="26" t="n">
        <f aca="false">IF(B608="","",VALUE(LEFT(B608,2)))</f>
        <v>7</v>
      </c>
      <c r="M608" s="26" t="n">
        <f aca="false">IF(A608="","",IF(COUNTIFS($C$2:$C$5001,C608,$J$2:$J$5001,J608,$A$2:$A$5001,"&lt;"&amp;A608)=0,1,0))</f>
        <v>0</v>
      </c>
    </row>
    <row r="609" customFormat="false" ht="15" hidden="false" customHeight="false" outlineLevel="0" collapsed="false">
      <c r="A609" s="23" t="n">
        <v>45830.54375</v>
      </c>
      <c r="B609" s="24" t="s">
        <v>647</v>
      </c>
      <c r="C609" s="24" t="s">
        <v>309</v>
      </c>
      <c r="D609" s="24" t="s">
        <v>53</v>
      </c>
      <c r="E609" s="24" t="n">
        <v>21</v>
      </c>
      <c r="F609" s="25" t="n">
        <v>425</v>
      </c>
      <c r="G609" s="24" t="s">
        <v>59</v>
      </c>
      <c r="H609" s="24" t="s">
        <v>80</v>
      </c>
      <c r="I609" s="24" t="s">
        <v>113</v>
      </c>
      <c r="J609" s="26" t="n">
        <f aca="false">IF(A609="","",YEAR(A609))</f>
        <v>2025</v>
      </c>
      <c r="K609" s="26" t="n">
        <f aca="false">IF(A609="","",MONTH(A609))</f>
        <v>6</v>
      </c>
      <c r="L609" s="26" t="n">
        <f aca="false">IF(B609="","",VALUE(LEFT(B609,2)))</f>
        <v>12</v>
      </c>
      <c r="M609" s="26" t="n">
        <f aca="false">IF(A609="","",IF(COUNTIFS($C$2:$C$5001,C609,$J$2:$J$5001,J609,$A$2:$A$5001,"&lt;"&amp;A609)=0,1,0))</f>
        <v>0</v>
      </c>
    </row>
    <row r="610" customFormat="false" ht="15" hidden="false" customHeight="false" outlineLevel="0" collapsed="false">
      <c r="A610" s="23" t="n">
        <v>45830.9451388889</v>
      </c>
      <c r="B610" s="24" t="s">
        <v>372</v>
      </c>
      <c r="C610" s="24" t="s">
        <v>177</v>
      </c>
      <c r="D610" s="24" t="s">
        <v>66</v>
      </c>
      <c r="E610" s="24" t="n">
        <v>241</v>
      </c>
      <c r="F610" s="25" t="n">
        <v>9000</v>
      </c>
      <c r="G610" s="24" t="s">
        <v>59</v>
      </c>
      <c r="H610" s="24" t="s">
        <v>55</v>
      </c>
      <c r="I610" s="24" t="s">
        <v>61</v>
      </c>
      <c r="J610" s="26" t="n">
        <f aca="false">IF(A610="","",YEAR(A610))</f>
        <v>2025</v>
      </c>
      <c r="K610" s="26" t="n">
        <f aca="false">IF(A610="","",MONTH(A610))</f>
        <v>6</v>
      </c>
      <c r="L610" s="26" t="n">
        <f aca="false">IF(B610="","",VALUE(LEFT(B610,2)))</f>
        <v>18</v>
      </c>
      <c r="M610" s="26" t="n">
        <f aca="false">IF(A610="","",IF(COUNTIFS($C$2:$C$5001,C610,$J$2:$J$5001,J610,$A$2:$A$5001,"&lt;"&amp;A610)=0,1,0))</f>
        <v>0</v>
      </c>
    </row>
    <row r="611" customFormat="false" ht="15" hidden="false" customHeight="false" outlineLevel="0" collapsed="false">
      <c r="A611" s="23" t="n">
        <v>45831.4861111111</v>
      </c>
      <c r="B611" s="24" t="s">
        <v>190</v>
      </c>
      <c r="C611" s="24" t="s">
        <v>150</v>
      </c>
      <c r="D611" s="24" t="s">
        <v>66</v>
      </c>
      <c r="E611" s="24" t="n">
        <v>197</v>
      </c>
      <c r="F611" s="25" t="n">
        <v>7000</v>
      </c>
      <c r="G611" s="24" t="s">
        <v>69</v>
      </c>
      <c r="H611" s="24" t="s">
        <v>80</v>
      </c>
      <c r="I611" s="24" t="s">
        <v>61</v>
      </c>
      <c r="J611" s="26" t="n">
        <f aca="false">IF(A611="","",YEAR(A611))</f>
        <v>2025</v>
      </c>
      <c r="K611" s="26" t="n">
        <f aca="false">IF(A611="","",MONTH(A611))</f>
        <v>6</v>
      </c>
      <c r="L611" s="26" t="n">
        <f aca="false">IF(B611="","",VALUE(LEFT(B611,2)))</f>
        <v>8</v>
      </c>
      <c r="M611" s="26" t="n">
        <f aca="false">IF(A611="","",IF(COUNTIFS($C$2:$C$5001,C611,$J$2:$J$5001,J611,$A$2:$A$5001,"&lt;"&amp;A611)=0,1,0))</f>
        <v>0</v>
      </c>
    </row>
    <row r="612" customFormat="false" ht="15" hidden="false" customHeight="false" outlineLevel="0" collapsed="false">
      <c r="A612" s="23" t="n">
        <v>45831.7618055556</v>
      </c>
      <c r="B612" s="24" t="s">
        <v>648</v>
      </c>
      <c r="C612" s="24" t="s">
        <v>131</v>
      </c>
      <c r="D612" s="24" t="s">
        <v>53</v>
      </c>
      <c r="E612" s="24" t="n">
        <v>94</v>
      </c>
      <c r="F612" s="25" t="n">
        <v>2000</v>
      </c>
      <c r="G612" s="24" t="s">
        <v>69</v>
      </c>
      <c r="H612" s="24" t="s">
        <v>80</v>
      </c>
      <c r="I612" s="24" t="s">
        <v>61</v>
      </c>
      <c r="J612" s="26" t="n">
        <f aca="false">IF(A612="","",YEAR(A612))</f>
        <v>2025</v>
      </c>
      <c r="K612" s="26" t="n">
        <f aca="false">IF(A612="","",MONTH(A612))</f>
        <v>6</v>
      </c>
      <c r="L612" s="26" t="n">
        <f aca="false">IF(B612="","",VALUE(LEFT(B612,2)))</f>
        <v>16</v>
      </c>
      <c r="M612" s="26" t="n">
        <f aca="false">IF(A612="","",IF(COUNTIFS($C$2:$C$5001,C612,$J$2:$J$5001,J612,$A$2:$A$5001,"&lt;"&amp;A612)=0,1,0))</f>
        <v>0</v>
      </c>
    </row>
    <row r="613" customFormat="false" ht="15" hidden="false" customHeight="false" outlineLevel="0" collapsed="false">
      <c r="A613" s="23" t="n">
        <v>45832.3909722222</v>
      </c>
      <c r="B613" s="24" t="s">
        <v>649</v>
      </c>
      <c r="C613" s="24" t="s">
        <v>78</v>
      </c>
      <c r="D613" s="24" t="s">
        <v>66</v>
      </c>
      <c r="E613" s="24" t="n">
        <v>189</v>
      </c>
      <c r="F613" s="25" t="n">
        <v>7000</v>
      </c>
      <c r="G613" s="24" t="s">
        <v>54</v>
      </c>
      <c r="H613" s="24" t="s">
        <v>80</v>
      </c>
      <c r="I613" s="24" t="s">
        <v>61</v>
      </c>
      <c r="J613" s="26" t="n">
        <f aca="false">IF(A613="","",YEAR(A613))</f>
        <v>2025</v>
      </c>
      <c r="K613" s="26" t="n">
        <f aca="false">IF(A613="","",MONTH(A613))</f>
        <v>6</v>
      </c>
      <c r="L613" s="26" t="n">
        <f aca="false">IF(B613="","",VALUE(LEFT(B613,2)))</f>
        <v>6</v>
      </c>
      <c r="M613" s="26" t="n">
        <f aca="false">IF(A613="","",IF(COUNTIFS($C$2:$C$5001,C613,$J$2:$J$5001,J613,$A$2:$A$5001,"&lt;"&amp;A613)=0,1,0))</f>
        <v>0</v>
      </c>
    </row>
    <row r="614" customFormat="false" ht="15" hidden="false" customHeight="false" outlineLevel="0" collapsed="false">
      <c r="A614" s="23" t="n">
        <v>45832.5354166667</v>
      </c>
      <c r="B614" s="24" t="s">
        <v>650</v>
      </c>
      <c r="C614" s="24" t="s">
        <v>475</v>
      </c>
      <c r="D614" s="24" t="s">
        <v>127</v>
      </c>
      <c r="E614" s="24" t="n">
        <v>346</v>
      </c>
      <c r="F614" s="25" t="n">
        <v>21000</v>
      </c>
      <c r="G614" s="24" t="s">
        <v>59</v>
      </c>
      <c r="H614" s="24" t="s">
        <v>55</v>
      </c>
      <c r="I614" s="24" t="s">
        <v>61</v>
      </c>
      <c r="J614" s="26" t="n">
        <f aca="false">IF(A614="","",YEAR(A614))</f>
        <v>2025</v>
      </c>
      <c r="K614" s="26" t="n">
        <f aca="false">IF(A614="","",MONTH(A614))</f>
        <v>6</v>
      </c>
      <c r="L614" s="26" t="n">
        <f aca="false">IF(B614="","",VALUE(LEFT(B614,2)))</f>
        <v>7</v>
      </c>
      <c r="M614" s="26" t="n">
        <f aca="false">IF(A614="","",IF(COUNTIFS($C$2:$C$5001,C614,$J$2:$J$5001,J614,$A$2:$A$5001,"&lt;"&amp;A614)=0,1,0))</f>
        <v>0</v>
      </c>
    </row>
    <row r="615" customFormat="false" ht="15" hidden="false" customHeight="false" outlineLevel="0" collapsed="false">
      <c r="A615" s="23" t="n">
        <v>45832.5722222222</v>
      </c>
      <c r="B615" s="24" t="s">
        <v>651</v>
      </c>
      <c r="C615" s="24" t="s">
        <v>467</v>
      </c>
      <c r="D615" s="24" t="s">
        <v>66</v>
      </c>
      <c r="E615" s="24" t="n">
        <v>26</v>
      </c>
      <c r="F615" s="25" t="n">
        <v>0</v>
      </c>
      <c r="G615" s="24" t="s">
        <v>59</v>
      </c>
      <c r="H615" s="24" t="s">
        <v>60</v>
      </c>
      <c r="I615" s="24" t="s">
        <v>56</v>
      </c>
      <c r="J615" s="26" t="n">
        <f aca="false">IF(A615="","",YEAR(A615))</f>
        <v>2025</v>
      </c>
      <c r="K615" s="26" t="n">
        <f aca="false">IF(A615="","",MONTH(A615))</f>
        <v>6</v>
      </c>
      <c r="L615" s="26" t="n">
        <f aca="false">IF(B615="","",VALUE(LEFT(B615,2)))</f>
        <v>13</v>
      </c>
      <c r="M615" s="26" t="n">
        <f aca="false">IF(A615="","",IF(COUNTIFS($C$2:$C$5001,C615,$J$2:$J$5001,J615,$A$2:$A$5001,"&lt;"&amp;A615)=0,1,0))</f>
        <v>0</v>
      </c>
    </row>
    <row r="616" customFormat="false" ht="15" hidden="false" customHeight="false" outlineLevel="0" collapsed="false">
      <c r="A616" s="23" t="n">
        <v>45833.3916666667</v>
      </c>
      <c r="B616" s="24" t="s">
        <v>652</v>
      </c>
      <c r="C616" s="24" t="s">
        <v>133</v>
      </c>
      <c r="D616" s="24" t="s">
        <v>66</v>
      </c>
      <c r="E616" s="24" t="n">
        <v>185</v>
      </c>
      <c r="F616" s="25" t="n">
        <v>7000</v>
      </c>
      <c r="G616" s="24" t="s">
        <v>79</v>
      </c>
      <c r="H616" s="24" t="s">
        <v>55</v>
      </c>
      <c r="I616" s="24" t="s">
        <v>61</v>
      </c>
      <c r="J616" s="26" t="n">
        <f aca="false">IF(A616="","",YEAR(A616))</f>
        <v>2025</v>
      </c>
      <c r="K616" s="26" t="n">
        <f aca="false">IF(A616="","",MONTH(A616))</f>
        <v>6</v>
      </c>
      <c r="L616" s="26" t="n">
        <f aca="false">IF(B616="","",VALUE(LEFT(B616,2)))</f>
        <v>6</v>
      </c>
      <c r="M616" s="26" t="n">
        <f aca="false">IF(A616="","",IF(COUNTIFS($C$2:$C$5001,C616,$J$2:$J$5001,J616,$A$2:$A$5001,"&lt;"&amp;A616)=0,1,0))</f>
        <v>0</v>
      </c>
    </row>
    <row r="617" customFormat="false" ht="15" hidden="false" customHeight="false" outlineLevel="0" collapsed="false">
      <c r="A617" s="23" t="n">
        <v>45833.6444444444</v>
      </c>
      <c r="B617" s="24" t="s">
        <v>653</v>
      </c>
      <c r="C617" s="24" t="s">
        <v>68</v>
      </c>
      <c r="D617" s="24" t="s">
        <v>66</v>
      </c>
      <c r="E617" s="24" t="n">
        <v>408</v>
      </c>
      <c r="F617" s="25" t="n">
        <v>14000</v>
      </c>
      <c r="G617" s="24" t="s">
        <v>59</v>
      </c>
      <c r="H617" s="24" t="s">
        <v>60</v>
      </c>
      <c r="I617" s="24" t="s">
        <v>61</v>
      </c>
      <c r="J617" s="26" t="n">
        <f aca="false">IF(A617="","",YEAR(A617))</f>
        <v>2025</v>
      </c>
      <c r="K617" s="26" t="n">
        <f aca="false">IF(A617="","",MONTH(A617))</f>
        <v>6</v>
      </c>
      <c r="L617" s="26" t="n">
        <f aca="false">IF(B617="","",VALUE(LEFT(B617,2)))</f>
        <v>8</v>
      </c>
      <c r="M617" s="26" t="n">
        <f aca="false">IF(A617="","",IF(COUNTIFS($C$2:$C$5001,C617,$J$2:$J$5001,J617,$A$2:$A$5001,"&lt;"&amp;A617)=0,1,0))</f>
        <v>0</v>
      </c>
    </row>
    <row r="618" customFormat="false" ht="15" hidden="false" customHeight="false" outlineLevel="0" collapsed="false">
      <c r="A618" s="23" t="n">
        <v>45833.7701388889</v>
      </c>
      <c r="B618" s="24" t="s">
        <v>654</v>
      </c>
      <c r="C618" s="24" t="s">
        <v>145</v>
      </c>
      <c r="D618" s="24" t="s">
        <v>66</v>
      </c>
      <c r="E618" s="24" t="n">
        <v>411</v>
      </c>
      <c r="F618" s="25" t="n">
        <v>0</v>
      </c>
      <c r="G618" s="24" t="s">
        <v>69</v>
      </c>
      <c r="H618" s="24" t="s">
        <v>60</v>
      </c>
      <c r="I618" s="24" t="s">
        <v>56</v>
      </c>
      <c r="J618" s="26" t="n">
        <f aca="false">IF(A618="","",YEAR(A618))</f>
        <v>2025</v>
      </c>
      <c r="K618" s="26" t="n">
        <f aca="false">IF(A618="","",MONTH(A618))</f>
        <v>6</v>
      </c>
      <c r="L618" s="26" t="n">
        <f aca="false">IF(B618="","",VALUE(LEFT(B618,2)))</f>
        <v>11</v>
      </c>
      <c r="M618" s="26" t="n">
        <f aca="false">IF(A618="","",IF(COUNTIFS($C$2:$C$5001,C618,$J$2:$J$5001,J618,$A$2:$A$5001,"&lt;"&amp;A618)=0,1,0))</f>
        <v>0</v>
      </c>
    </row>
    <row r="619" customFormat="false" ht="15" hidden="false" customHeight="false" outlineLevel="0" collapsed="false">
      <c r="A619" s="23" t="n">
        <v>45833.9770833333</v>
      </c>
      <c r="B619" s="24" t="s">
        <v>372</v>
      </c>
      <c r="C619" s="24" t="s">
        <v>129</v>
      </c>
      <c r="D619" s="24" t="s">
        <v>53</v>
      </c>
      <c r="E619" s="24" t="n">
        <v>287</v>
      </c>
      <c r="F619" s="25" t="n">
        <v>0</v>
      </c>
      <c r="G619" s="24" t="s">
        <v>54</v>
      </c>
      <c r="H619" s="24" t="s">
        <v>60</v>
      </c>
      <c r="I619" s="24" t="s">
        <v>56</v>
      </c>
      <c r="J619" s="26" t="n">
        <f aca="false">IF(A619="","",YEAR(A619))</f>
        <v>2025</v>
      </c>
      <c r="K619" s="26" t="n">
        <f aca="false">IF(A619="","",MONTH(A619))</f>
        <v>6</v>
      </c>
      <c r="L619" s="26" t="n">
        <f aca="false">IF(B619="","",VALUE(LEFT(B619,2)))</f>
        <v>18</v>
      </c>
      <c r="M619" s="26" t="n">
        <f aca="false">IF(A619="","",IF(COUNTIFS($C$2:$C$5001,C619,$J$2:$J$5001,J619,$A$2:$A$5001,"&lt;"&amp;A619)=0,1,0))</f>
        <v>0</v>
      </c>
    </row>
    <row r="620" customFormat="false" ht="15" hidden="false" customHeight="false" outlineLevel="0" collapsed="false">
      <c r="A620" s="23" t="n">
        <v>45834.4902777778</v>
      </c>
      <c r="B620" s="24" t="s">
        <v>153</v>
      </c>
      <c r="C620" s="24" t="s">
        <v>100</v>
      </c>
      <c r="D620" s="24" t="s">
        <v>66</v>
      </c>
      <c r="E620" s="24" t="n">
        <v>191</v>
      </c>
      <c r="F620" s="25" t="n">
        <v>7000</v>
      </c>
      <c r="G620" s="24" t="s">
        <v>59</v>
      </c>
      <c r="H620" s="24" t="s">
        <v>60</v>
      </c>
      <c r="I620" s="24" t="s">
        <v>61</v>
      </c>
      <c r="J620" s="26" t="n">
        <f aca="false">IF(A620="","",YEAR(A620))</f>
        <v>2025</v>
      </c>
      <c r="K620" s="26" t="n">
        <f aca="false">IF(A620="","",MONTH(A620))</f>
        <v>6</v>
      </c>
      <c r="L620" s="26" t="n">
        <f aca="false">IF(B620="","",VALUE(LEFT(B620,2)))</f>
        <v>8</v>
      </c>
      <c r="M620" s="26" t="n">
        <f aca="false">IF(A620="","",IF(COUNTIFS($C$2:$C$5001,C620,$J$2:$J$5001,J620,$A$2:$A$5001,"&lt;"&amp;A620)=0,1,0))</f>
        <v>0</v>
      </c>
    </row>
    <row r="621" customFormat="false" ht="15" hidden="false" customHeight="false" outlineLevel="0" collapsed="false">
      <c r="A621" s="23" t="n">
        <v>45834.5020833333</v>
      </c>
      <c r="B621" s="24" t="s">
        <v>655</v>
      </c>
      <c r="C621" s="24" t="s">
        <v>188</v>
      </c>
      <c r="D621" s="24" t="s">
        <v>66</v>
      </c>
      <c r="E621" s="24" t="n">
        <v>175</v>
      </c>
      <c r="F621" s="25" t="n">
        <v>5100</v>
      </c>
      <c r="G621" s="24" t="s">
        <v>59</v>
      </c>
      <c r="H621" s="24" t="s">
        <v>80</v>
      </c>
      <c r="I621" s="24" t="s">
        <v>113</v>
      </c>
      <c r="J621" s="26" t="n">
        <f aca="false">IF(A621="","",YEAR(A621))</f>
        <v>2025</v>
      </c>
      <c r="K621" s="26" t="n">
        <f aca="false">IF(A621="","",MONTH(A621))</f>
        <v>6</v>
      </c>
      <c r="L621" s="26" t="n">
        <f aca="false">IF(B621="","",VALUE(LEFT(B621,2)))</f>
        <v>9</v>
      </c>
      <c r="M621" s="26" t="n">
        <f aca="false">IF(A621="","",IF(COUNTIFS($C$2:$C$5001,C621,$J$2:$J$5001,J621,$A$2:$A$5001,"&lt;"&amp;A621)=0,1,0))</f>
        <v>0</v>
      </c>
    </row>
    <row r="622" customFormat="false" ht="15" hidden="false" customHeight="false" outlineLevel="0" collapsed="false">
      <c r="A622" s="23" t="n">
        <v>45834.8055555556</v>
      </c>
      <c r="B622" s="24" t="s">
        <v>656</v>
      </c>
      <c r="C622" s="24" t="s">
        <v>85</v>
      </c>
      <c r="D622" s="24" t="s">
        <v>66</v>
      </c>
      <c r="E622" s="24" t="n">
        <v>99</v>
      </c>
      <c r="F622" s="25" t="n">
        <v>4000</v>
      </c>
      <c r="G622" s="24" t="s">
        <v>59</v>
      </c>
      <c r="H622" s="24" t="s">
        <v>60</v>
      </c>
      <c r="I622" s="24" t="s">
        <v>61</v>
      </c>
      <c r="J622" s="26" t="n">
        <f aca="false">IF(A622="","",YEAR(A622))</f>
        <v>2025</v>
      </c>
      <c r="K622" s="26" t="n">
        <f aca="false">IF(A622="","",MONTH(A622))</f>
        <v>6</v>
      </c>
      <c r="L622" s="26" t="n">
        <f aca="false">IF(B622="","",VALUE(LEFT(B622,2)))</f>
        <v>17</v>
      </c>
      <c r="M622" s="26" t="n">
        <f aca="false">IF(A622="","",IF(COUNTIFS($C$2:$C$5001,C622,$J$2:$J$5001,J622,$A$2:$A$5001,"&lt;"&amp;A622)=0,1,0))</f>
        <v>0</v>
      </c>
    </row>
    <row r="623" customFormat="false" ht="15" hidden="false" customHeight="false" outlineLevel="0" collapsed="false">
      <c r="A623" s="23" t="n">
        <v>45834.8291666667</v>
      </c>
      <c r="B623" s="24" t="s">
        <v>657</v>
      </c>
      <c r="C623" s="24" t="s">
        <v>126</v>
      </c>
      <c r="D623" s="24" t="s">
        <v>66</v>
      </c>
      <c r="E623" s="24" t="n">
        <v>275</v>
      </c>
      <c r="F623" s="25" t="n">
        <v>10000</v>
      </c>
      <c r="G623" s="24" t="s">
        <v>59</v>
      </c>
      <c r="H623" s="24" t="s">
        <v>60</v>
      </c>
      <c r="I623" s="24" t="s">
        <v>61</v>
      </c>
      <c r="J623" s="26" t="n">
        <f aca="false">IF(A623="","",YEAR(A623))</f>
        <v>2025</v>
      </c>
      <c r="K623" s="26" t="n">
        <f aca="false">IF(A623="","",MONTH(A623))</f>
        <v>6</v>
      </c>
      <c r="L623" s="26" t="n">
        <f aca="false">IF(B623="","",VALUE(LEFT(B623,2)))</f>
        <v>15</v>
      </c>
      <c r="M623" s="26" t="n">
        <f aca="false">IF(A623="","",IF(COUNTIFS($C$2:$C$5001,C623,$J$2:$J$5001,J623,$A$2:$A$5001,"&lt;"&amp;A623)=0,1,0))</f>
        <v>0</v>
      </c>
    </row>
    <row r="624" customFormat="false" ht="15" hidden="false" customHeight="false" outlineLevel="0" collapsed="false">
      <c r="A624" s="23" t="n">
        <v>45834.9131944445</v>
      </c>
      <c r="B624" s="24" t="s">
        <v>209</v>
      </c>
      <c r="C624" s="24" t="s">
        <v>343</v>
      </c>
      <c r="D624" s="24" t="s">
        <v>66</v>
      </c>
      <c r="E624" s="24" t="n">
        <v>307</v>
      </c>
      <c r="F624" s="25" t="n">
        <v>11000</v>
      </c>
      <c r="G624" s="24" t="s">
        <v>59</v>
      </c>
      <c r="H624" s="24" t="s">
        <v>55</v>
      </c>
      <c r="I624" s="24" t="s">
        <v>61</v>
      </c>
      <c r="J624" s="26" t="n">
        <f aca="false">IF(A624="","",YEAR(A624))</f>
        <v>2025</v>
      </c>
      <c r="K624" s="26" t="n">
        <f aca="false">IF(A624="","",MONTH(A624))</f>
        <v>6</v>
      </c>
      <c r="L624" s="26" t="n">
        <f aca="false">IF(B624="","",VALUE(LEFT(B624,2)))</f>
        <v>16</v>
      </c>
      <c r="M624" s="26" t="n">
        <f aca="false">IF(A624="","",IF(COUNTIFS($C$2:$C$5001,C624,$J$2:$J$5001,J624,$A$2:$A$5001,"&lt;"&amp;A624)=0,1,0))</f>
        <v>0</v>
      </c>
    </row>
    <row r="625" customFormat="false" ht="15" hidden="false" customHeight="false" outlineLevel="0" collapsed="false">
      <c r="A625" s="23" t="n">
        <v>45834.9694444445</v>
      </c>
      <c r="B625" s="24" t="s">
        <v>658</v>
      </c>
      <c r="C625" s="24" t="s">
        <v>78</v>
      </c>
      <c r="D625" s="24" t="s">
        <v>72</v>
      </c>
      <c r="E625" s="24" t="n">
        <v>305</v>
      </c>
      <c r="F625" s="25" t="n">
        <v>22000</v>
      </c>
      <c r="G625" s="24" t="s">
        <v>59</v>
      </c>
      <c r="H625" s="24" t="s">
        <v>60</v>
      </c>
      <c r="I625" s="24" t="s">
        <v>61</v>
      </c>
      <c r="J625" s="26" t="n">
        <f aca="false">IF(A625="","",YEAR(A625))</f>
        <v>2025</v>
      </c>
      <c r="K625" s="26" t="n">
        <f aca="false">IF(A625="","",MONTH(A625))</f>
        <v>6</v>
      </c>
      <c r="L625" s="26" t="n">
        <f aca="false">IF(B625="","",VALUE(LEFT(B625,2)))</f>
        <v>18</v>
      </c>
      <c r="M625" s="26" t="n">
        <f aca="false">IF(A625="","",IF(COUNTIFS($C$2:$C$5001,C625,$J$2:$J$5001,J625,$A$2:$A$5001,"&lt;"&amp;A625)=0,1,0))</f>
        <v>0</v>
      </c>
    </row>
    <row r="626" customFormat="false" ht="15" hidden="false" customHeight="false" outlineLevel="0" collapsed="false">
      <c r="A626" s="23" t="n">
        <v>45835.36875</v>
      </c>
      <c r="B626" s="24" t="s">
        <v>349</v>
      </c>
      <c r="C626" s="24" t="s">
        <v>136</v>
      </c>
      <c r="D626" s="24" t="s">
        <v>66</v>
      </c>
      <c r="E626" s="24" t="n">
        <v>83</v>
      </c>
      <c r="F626" s="25" t="n">
        <v>3000</v>
      </c>
      <c r="G626" s="24" t="s">
        <v>69</v>
      </c>
      <c r="H626" s="24" t="s">
        <v>55</v>
      </c>
      <c r="I626" s="24" t="s">
        <v>61</v>
      </c>
      <c r="J626" s="26" t="n">
        <f aca="false">IF(A626="","",YEAR(A626))</f>
        <v>2025</v>
      </c>
      <c r="K626" s="26" t="n">
        <f aca="false">IF(A626="","",MONTH(A626))</f>
        <v>6</v>
      </c>
      <c r="L626" s="26" t="n">
        <f aca="false">IF(B626="","",VALUE(LEFT(B626,2)))</f>
        <v>7</v>
      </c>
      <c r="M626" s="26" t="n">
        <f aca="false">IF(A626="","",IF(COUNTIFS($C$2:$C$5001,C626,$J$2:$J$5001,J626,$A$2:$A$5001,"&lt;"&amp;A626)=0,1,0))</f>
        <v>0</v>
      </c>
    </row>
    <row r="627" customFormat="false" ht="15" hidden="false" customHeight="false" outlineLevel="0" collapsed="false">
      <c r="A627" s="23" t="n">
        <v>45835.5951388889</v>
      </c>
      <c r="B627" s="24" t="s">
        <v>509</v>
      </c>
      <c r="C627" s="24" t="s">
        <v>243</v>
      </c>
      <c r="D627" s="24" t="s">
        <v>66</v>
      </c>
      <c r="E627" s="24" t="n">
        <v>54</v>
      </c>
      <c r="F627" s="25" t="n">
        <v>2000</v>
      </c>
      <c r="G627" s="24" t="s">
        <v>59</v>
      </c>
      <c r="H627" s="24" t="s">
        <v>60</v>
      </c>
      <c r="I627" s="24" t="s">
        <v>61</v>
      </c>
      <c r="J627" s="26" t="n">
        <f aca="false">IF(A627="","",YEAR(A627))</f>
        <v>2025</v>
      </c>
      <c r="K627" s="26" t="n">
        <f aca="false">IF(A627="","",MONTH(A627))</f>
        <v>6</v>
      </c>
      <c r="L627" s="26" t="n">
        <f aca="false">IF(B627="","",VALUE(LEFT(B627,2)))</f>
        <v>13</v>
      </c>
      <c r="M627" s="26" t="n">
        <f aca="false">IF(A627="","",IF(COUNTIFS($C$2:$C$5001,C627,$J$2:$J$5001,J627,$A$2:$A$5001,"&lt;"&amp;A627)=0,1,0))</f>
        <v>0</v>
      </c>
    </row>
    <row r="628" customFormat="false" ht="15" hidden="false" customHeight="false" outlineLevel="0" collapsed="false">
      <c r="A628" s="23" t="n">
        <v>45836.5229166667</v>
      </c>
      <c r="B628" s="24" t="s">
        <v>659</v>
      </c>
      <c r="C628" s="24" t="s">
        <v>243</v>
      </c>
      <c r="D628" s="24" t="s">
        <v>66</v>
      </c>
      <c r="E628" s="24" t="n">
        <v>217</v>
      </c>
      <c r="F628" s="25" t="n">
        <v>8000</v>
      </c>
      <c r="G628" s="24" t="s">
        <v>59</v>
      </c>
      <c r="H628" s="24" t="s">
        <v>60</v>
      </c>
      <c r="I628" s="24" t="s">
        <v>61</v>
      </c>
      <c r="J628" s="26" t="n">
        <f aca="false">IF(A628="","",YEAR(A628))</f>
        <v>2025</v>
      </c>
      <c r="K628" s="26" t="n">
        <f aca="false">IF(A628="","",MONTH(A628))</f>
        <v>6</v>
      </c>
      <c r="L628" s="26" t="n">
        <f aca="false">IF(B628="","",VALUE(LEFT(B628,2)))</f>
        <v>8</v>
      </c>
      <c r="M628" s="26" t="n">
        <f aca="false">IF(A628="","",IF(COUNTIFS($C$2:$C$5001,C628,$J$2:$J$5001,J628,$A$2:$A$5001,"&lt;"&amp;A628)=0,1,0))</f>
        <v>0</v>
      </c>
    </row>
    <row r="629" customFormat="false" ht="15" hidden="false" customHeight="false" outlineLevel="0" collapsed="false">
      <c r="A629" s="23" t="n">
        <v>45836.79375</v>
      </c>
      <c r="B629" s="24" t="s">
        <v>612</v>
      </c>
      <c r="C629" s="24" t="s">
        <v>314</v>
      </c>
      <c r="D629" s="24" t="s">
        <v>66</v>
      </c>
      <c r="E629" s="24" t="n">
        <v>175</v>
      </c>
      <c r="F629" s="25" t="n">
        <v>6000</v>
      </c>
      <c r="G629" s="24" t="s">
        <v>59</v>
      </c>
      <c r="H629" s="24" t="s">
        <v>60</v>
      </c>
      <c r="I629" s="24" t="s">
        <v>61</v>
      </c>
      <c r="J629" s="26" t="n">
        <f aca="false">IF(A629="","",YEAR(A629))</f>
        <v>2025</v>
      </c>
      <c r="K629" s="26" t="n">
        <f aca="false">IF(A629="","",MONTH(A629))</f>
        <v>6</v>
      </c>
      <c r="L629" s="26" t="n">
        <f aca="false">IF(B629="","",VALUE(LEFT(B629,2)))</f>
        <v>16</v>
      </c>
      <c r="M629" s="26" t="n">
        <f aca="false">IF(A629="","",IF(COUNTIFS($C$2:$C$5001,C629,$J$2:$J$5001,J629,$A$2:$A$5001,"&lt;"&amp;A629)=0,1,0))</f>
        <v>0</v>
      </c>
    </row>
    <row r="630" customFormat="false" ht="15" hidden="false" customHeight="false" outlineLevel="0" collapsed="false">
      <c r="A630" s="23" t="n">
        <v>45836.875</v>
      </c>
      <c r="B630" s="24" t="s">
        <v>245</v>
      </c>
      <c r="C630" s="24" t="s">
        <v>448</v>
      </c>
      <c r="D630" s="24" t="s">
        <v>66</v>
      </c>
      <c r="E630" s="24" t="n">
        <v>317</v>
      </c>
      <c r="F630" s="25" t="n">
        <v>0</v>
      </c>
      <c r="G630" s="24" t="s">
        <v>59</v>
      </c>
      <c r="H630" s="24" t="s">
        <v>55</v>
      </c>
      <c r="I630" s="24" t="s">
        <v>56</v>
      </c>
      <c r="J630" s="26" t="n">
        <f aca="false">IF(A630="","",YEAR(A630))</f>
        <v>2025</v>
      </c>
      <c r="K630" s="26" t="n">
        <f aca="false">IF(A630="","",MONTH(A630))</f>
        <v>6</v>
      </c>
      <c r="L630" s="26" t="n">
        <f aca="false">IF(B630="","",VALUE(LEFT(B630,2)))</f>
        <v>15</v>
      </c>
      <c r="M630" s="26" t="n">
        <f aca="false">IF(A630="","",IF(COUNTIFS($C$2:$C$5001,C630,$J$2:$J$5001,J630,$A$2:$A$5001,"&lt;"&amp;A630)=0,1,0))</f>
        <v>0</v>
      </c>
    </row>
    <row r="631" customFormat="false" ht="15" hidden="false" customHeight="false" outlineLevel="0" collapsed="false">
      <c r="A631" s="23" t="n">
        <v>45837.0527777778</v>
      </c>
      <c r="B631" s="24" t="s">
        <v>660</v>
      </c>
      <c r="C631" s="24" t="s">
        <v>442</v>
      </c>
      <c r="D631" s="24" t="s">
        <v>66</v>
      </c>
      <c r="E631" s="24" t="n">
        <v>282</v>
      </c>
      <c r="F631" s="25" t="n">
        <v>10000</v>
      </c>
      <c r="G631" s="24" t="s">
        <v>59</v>
      </c>
      <c r="H631" s="24" t="s">
        <v>60</v>
      </c>
      <c r="I631" s="24" t="s">
        <v>61</v>
      </c>
      <c r="J631" s="26" t="n">
        <f aca="false">IF(A631="","",YEAR(A631))</f>
        <v>2025</v>
      </c>
      <c r="K631" s="26" t="n">
        <f aca="false">IF(A631="","",MONTH(A631))</f>
        <v>6</v>
      </c>
      <c r="L631" s="26" t="n">
        <f aca="false">IF(B631="","",VALUE(LEFT(B631,2)))</f>
        <v>20</v>
      </c>
      <c r="M631" s="26" t="n">
        <f aca="false">IF(A631="","",IF(COUNTIFS($C$2:$C$5001,C631,$J$2:$J$5001,J631,$A$2:$A$5001,"&lt;"&amp;A631)=0,1,0))</f>
        <v>0</v>
      </c>
    </row>
    <row r="632" customFormat="false" ht="15" hidden="false" customHeight="false" outlineLevel="0" collapsed="false">
      <c r="A632" s="23" t="n">
        <v>45839.3284722222</v>
      </c>
      <c r="B632" s="24" t="s">
        <v>453</v>
      </c>
      <c r="C632" s="24" t="s">
        <v>512</v>
      </c>
      <c r="D632" s="24" t="s">
        <v>66</v>
      </c>
      <c r="E632" s="24" t="n">
        <v>109</v>
      </c>
      <c r="F632" s="25" t="n">
        <v>4000</v>
      </c>
      <c r="G632" s="24" t="s">
        <v>59</v>
      </c>
      <c r="H632" s="24" t="s">
        <v>60</v>
      </c>
      <c r="I632" s="24" t="s">
        <v>61</v>
      </c>
      <c r="J632" s="26" t="n">
        <f aca="false">IF(A632="","",YEAR(A632))</f>
        <v>2025</v>
      </c>
      <c r="K632" s="26" t="n">
        <f aca="false">IF(A632="","",MONTH(A632))</f>
        <v>7</v>
      </c>
      <c r="L632" s="26" t="n">
        <f aca="false">IF(B632="","",VALUE(LEFT(B632,2)))</f>
        <v>6</v>
      </c>
      <c r="M632" s="26" t="n">
        <f aca="false">IF(A632="","",IF(COUNTIFS($C$2:$C$5001,C632,$J$2:$J$5001,J632,$A$2:$A$5001,"&lt;"&amp;A632)=0,1,0))</f>
        <v>0</v>
      </c>
    </row>
    <row r="633" customFormat="false" ht="15" hidden="false" customHeight="false" outlineLevel="0" collapsed="false">
      <c r="A633" s="23" t="n">
        <v>45839.6708333333</v>
      </c>
      <c r="B633" s="24" t="s">
        <v>661</v>
      </c>
      <c r="C633" s="24" t="s">
        <v>224</v>
      </c>
      <c r="D633" s="24" t="s">
        <v>88</v>
      </c>
      <c r="E633" s="24" t="n">
        <v>313</v>
      </c>
      <c r="F633" s="25" t="n">
        <v>0</v>
      </c>
      <c r="G633" s="24" t="s">
        <v>59</v>
      </c>
      <c r="H633" s="24" t="s">
        <v>60</v>
      </c>
      <c r="I633" s="24" t="s">
        <v>56</v>
      </c>
      <c r="J633" s="26" t="n">
        <f aca="false">IF(A633="","",YEAR(A633))</f>
        <v>2025</v>
      </c>
      <c r="K633" s="26" t="n">
        <f aca="false">IF(A633="","",MONTH(A633))</f>
        <v>7</v>
      </c>
      <c r="L633" s="26" t="n">
        <f aca="false">IF(B633="","",VALUE(LEFT(B633,2)))</f>
        <v>10</v>
      </c>
      <c r="M633" s="26" t="n">
        <f aca="false">IF(A633="","",IF(COUNTIFS($C$2:$C$5001,C633,$J$2:$J$5001,J633,$A$2:$A$5001,"&lt;"&amp;A633)=0,1,0))</f>
        <v>0</v>
      </c>
    </row>
    <row r="634" customFormat="false" ht="15" hidden="false" customHeight="false" outlineLevel="0" collapsed="false">
      <c r="A634" s="23" t="n">
        <v>45839.7069444444</v>
      </c>
      <c r="B634" s="24" t="s">
        <v>537</v>
      </c>
      <c r="C634" s="24" t="s">
        <v>105</v>
      </c>
      <c r="D634" s="24" t="s">
        <v>66</v>
      </c>
      <c r="E634" s="24" t="n">
        <v>329</v>
      </c>
      <c r="F634" s="25" t="n">
        <v>9350</v>
      </c>
      <c r="G634" s="24" t="s">
        <v>59</v>
      </c>
      <c r="H634" s="24" t="s">
        <v>80</v>
      </c>
      <c r="I634" s="24" t="s">
        <v>113</v>
      </c>
      <c r="J634" s="26" t="n">
        <f aca="false">IF(A634="","",YEAR(A634))</f>
        <v>2025</v>
      </c>
      <c r="K634" s="26" t="n">
        <f aca="false">IF(A634="","",MONTH(A634))</f>
        <v>7</v>
      </c>
      <c r="L634" s="26" t="n">
        <f aca="false">IF(B634="","",VALUE(LEFT(B634,2)))</f>
        <v>11</v>
      </c>
      <c r="M634" s="26" t="n">
        <f aca="false">IF(A634="","",IF(COUNTIFS($C$2:$C$5001,C634,$J$2:$J$5001,J634,$A$2:$A$5001,"&lt;"&amp;A634)=0,1,0))</f>
        <v>0</v>
      </c>
    </row>
    <row r="635" customFormat="false" ht="15" hidden="false" customHeight="false" outlineLevel="0" collapsed="false">
      <c r="A635" s="23" t="n">
        <v>45840.38125</v>
      </c>
      <c r="B635" s="24" t="s">
        <v>363</v>
      </c>
      <c r="C635" s="24" t="s">
        <v>87</v>
      </c>
      <c r="D635" s="24" t="s">
        <v>66</v>
      </c>
      <c r="E635" s="24" t="n">
        <v>57</v>
      </c>
      <c r="F635" s="25" t="n">
        <v>2000</v>
      </c>
      <c r="G635" s="24" t="s">
        <v>59</v>
      </c>
      <c r="H635" s="24" t="s">
        <v>80</v>
      </c>
      <c r="I635" s="24" t="s">
        <v>61</v>
      </c>
      <c r="J635" s="26" t="n">
        <f aca="false">IF(A635="","",YEAR(A635))</f>
        <v>2025</v>
      </c>
      <c r="K635" s="26" t="n">
        <f aca="false">IF(A635="","",MONTH(A635))</f>
        <v>7</v>
      </c>
      <c r="L635" s="26" t="n">
        <f aca="false">IF(B635="","",VALUE(LEFT(B635,2)))</f>
        <v>8</v>
      </c>
      <c r="M635" s="26" t="n">
        <f aca="false">IF(A635="","",IF(COUNTIFS($C$2:$C$5001,C635,$J$2:$J$5001,J635,$A$2:$A$5001,"&lt;"&amp;A635)=0,1,0))</f>
        <v>0</v>
      </c>
    </row>
    <row r="636" customFormat="false" ht="15" hidden="false" customHeight="false" outlineLevel="0" collapsed="false">
      <c r="A636" s="23" t="n">
        <v>45840.4770833333</v>
      </c>
      <c r="B636" s="24" t="s">
        <v>364</v>
      </c>
      <c r="C636" s="24" t="s">
        <v>475</v>
      </c>
      <c r="D636" s="24" t="s">
        <v>66</v>
      </c>
      <c r="E636" s="24" t="n">
        <v>153</v>
      </c>
      <c r="F636" s="25" t="n">
        <v>6000</v>
      </c>
      <c r="G636" s="24" t="s">
        <v>59</v>
      </c>
      <c r="H636" s="24" t="s">
        <v>55</v>
      </c>
      <c r="I636" s="24" t="s">
        <v>61</v>
      </c>
      <c r="J636" s="26" t="n">
        <f aca="false">IF(A636="","",YEAR(A636))</f>
        <v>2025</v>
      </c>
      <c r="K636" s="26" t="n">
        <f aca="false">IF(A636="","",MONTH(A636))</f>
        <v>7</v>
      </c>
      <c r="L636" s="26" t="n">
        <f aca="false">IF(B636="","",VALUE(LEFT(B636,2)))</f>
        <v>8</v>
      </c>
      <c r="M636" s="26" t="n">
        <f aca="false">IF(A636="","",IF(COUNTIFS($C$2:$C$5001,C636,$J$2:$J$5001,J636,$A$2:$A$5001,"&lt;"&amp;A636)=0,1,0))</f>
        <v>0</v>
      </c>
    </row>
    <row r="637" customFormat="false" ht="15" hidden="false" customHeight="false" outlineLevel="0" collapsed="false">
      <c r="A637" s="23" t="n">
        <v>45840.4847222222</v>
      </c>
      <c r="B637" s="24" t="s">
        <v>280</v>
      </c>
      <c r="C637" s="24" t="s">
        <v>454</v>
      </c>
      <c r="D637" s="24" t="s">
        <v>72</v>
      </c>
      <c r="E637" s="24" t="n">
        <v>269</v>
      </c>
      <c r="F637" s="25" t="n">
        <v>18000</v>
      </c>
      <c r="G637" s="24" t="s">
        <v>59</v>
      </c>
      <c r="H637" s="24" t="s">
        <v>60</v>
      </c>
      <c r="I637" s="24" t="s">
        <v>61</v>
      </c>
      <c r="J637" s="26" t="n">
        <f aca="false">IF(A637="","",YEAR(A637))</f>
        <v>2025</v>
      </c>
      <c r="K637" s="26" t="n">
        <f aca="false">IF(A637="","",MONTH(A637))</f>
        <v>7</v>
      </c>
      <c r="L637" s="26" t="n">
        <f aca="false">IF(B637="","",VALUE(LEFT(B637,2)))</f>
        <v>7</v>
      </c>
      <c r="M637" s="26" t="n">
        <f aca="false">IF(A637="","",IF(COUNTIFS($C$2:$C$5001,C637,$J$2:$J$5001,J637,$A$2:$A$5001,"&lt;"&amp;A637)=0,1,0))</f>
        <v>0</v>
      </c>
    </row>
    <row r="638" customFormat="false" ht="15" hidden="false" customHeight="false" outlineLevel="0" collapsed="false">
      <c r="A638" s="23" t="n">
        <v>45840.6756944444</v>
      </c>
      <c r="B638" s="24" t="s">
        <v>662</v>
      </c>
      <c r="C638" s="24" t="s">
        <v>663</v>
      </c>
      <c r="D638" s="24" t="s">
        <v>66</v>
      </c>
      <c r="E638" s="24" t="n">
        <v>309</v>
      </c>
      <c r="F638" s="25" t="n">
        <v>11000</v>
      </c>
      <c r="G638" s="24" t="s">
        <v>69</v>
      </c>
      <c r="H638" s="24" t="s">
        <v>55</v>
      </c>
      <c r="I638" s="24" t="s">
        <v>61</v>
      </c>
      <c r="J638" s="26" t="n">
        <f aca="false">IF(A638="","",YEAR(A638))</f>
        <v>2025</v>
      </c>
      <c r="K638" s="26" t="n">
        <f aca="false">IF(A638="","",MONTH(A638))</f>
        <v>7</v>
      </c>
      <c r="L638" s="26" t="n">
        <f aca="false">IF(B638="","",VALUE(LEFT(B638,2)))</f>
        <v>11</v>
      </c>
      <c r="M638" s="26" t="n">
        <f aca="false">IF(A638="","",IF(COUNTIFS($C$2:$C$5001,C638,$J$2:$J$5001,J638,$A$2:$A$5001,"&lt;"&amp;A638)=0,1,0))</f>
        <v>1</v>
      </c>
    </row>
    <row r="639" customFormat="false" ht="15" hidden="false" customHeight="false" outlineLevel="0" collapsed="false">
      <c r="A639" s="23" t="n">
        <v>45840.7604166667</v>
      </c>
      <c r="B639" s="24" t="s">
        <v>606</v>
      </c>
      <c r="C639" s="24" t="s">
        <v>360</v>
      </c>
      <c r="D639" s="24" t="s">
        <v>66</v>
      </c>
      <c r="E639" s="24" t="n">
        <v>200</v>
      </c>
      <c r="F639" s="25" t="n">
        <v>7000</v>
      </c>
      <c r="G639" s="24" t="s">
        <v>83</v>
      </c>
      <c r="H639" s="24" t="s">
        <v>80</v>
      </c>
      <c r="I639" s="24" t="s">
        <v>61</v>
      </c>
      <c r="J639" s="26" t="n">
        <f aca="false">IF(A639="","",YEAR(A639))</f>
        <v>2025</v>
      </c>
      <c r="K639" s="26" t="n">
        <f aca="false">IF(A639="","",MONTH(A639))</f>
        <v>7</v>
      </c>
      <c r="L639" s="26" t="n">
        <f aca="false">IF(B639="","",VALUE(LEFT(B639,2)))</f>
        <v>14</v>
      </c>
      <c r="M639" s="26" t="n">
        <f aca="false">IF(A639="","",IF(COUNTIFS($C$2:$C$5001,C639,$J$2:$J$5001,J639,$A$2:$A$5001,"&lt;"&amp;A639)=0,1,0))</f>
        <v>0</v>
      </c>
    </row>
    <row r="640" customFormat="false" ht="15" hidden="false" customHeight="false" outlineLevel="0" collapsed="false">
      <c r="A640" s="23" t="n">
        <v>45840.7979166667</v>
      </c>
      <c r="B640" s="24" t="s">
        <v>245</v>
      </c>
      <c r="C640" s="24" t="s">
        <v>271</v>
      </c>
      <c r="D640" s="24" t="s">
        <v>66</v>
      </c>
      <c r="E640" s="24" t="n">
        <v>206</v>
      </c>
      <c r="F640" s="25" t="n">
        <v>0</v>
      </c>
      <c r="G640" s="24" t="s">
        <v>59</v>
      </c>
      <c r="H640" s="24" t="s">
        <v>55</v>
      </c>
      <c r="I640" s="24" t="s">
        <v>56</v>
      </c>
      <c r="J640" s="26" t="n">
        <f aca="false">IF(A640="","",YEAR(A640))</f>
        <v>2025</v>
      </c>
      <c r="K640" s="26" t="n">
        <f aca="false">IF(A640="","",MONTH(A640))</f>
        <v>7</v>
      </c>
      <c r="L640" s="26" t="n">
        <f aca="false">IF(B640="","",VALUE(LEFT(B640,2)))</f>
        <v>15</v>
      </c>
      <c r="M640" s="26" t="n">
        <f aca="false">IF(A640="","",IF(COUNTIFS($C$2:$C$5001,C640,$J$2:$J$5001,J640,$A$2:$A$5001,"&lt;"&amp;A640)=0,1,0))</f>
        <v>0</v>
      </c>
    </row>
    <row r="641" customFormat="false" ht="15" hidden="false" customHeight="false" outlineLevel="0" collapsed="false">
      <c r="A641" s="23" t="n">
        <v>45840.8847222222</v>
      </c>
      <c r="B641" s="24" t="s">
        <v>664</v>
      </c>
      <c r="C641" s="24" t="s">
        <v>243</v>
      </c>
      <c r="D641" s="24" t="s">
        <v>53</v>
      </c>
      <c r="E641" s="24" t="n">
        <v>286</v>
      </c>
      <c r="F641" s="25" t="n">
        <v>5000</v>
      </c>
      <c r="G641" s="24" t="s">
        <v>69</v>
      </c>
      <c r="H641" s="24" t="s">
        <v>80</v>
      </c>
      <c r="I641" s="24" t="s">
        <v>61</v>
      </c>
      <c r="J641" s="26" t="n">
        <f aca="false">IF(A641="","",YEAR(A641))</f>
        <v>2025</v>
      </c>
      <c r="K641" s="26" t="n">
        <f aca="false">IF(A641="","",MONTH(A641))</f>
        <v>7</v>
      </c>
      <c r="L641" s="26" t="n">
        <f aca="false">IF(B641="","",VALUE(LEFT(B641,2)))</f>
        <v>16</v>
      </c>
      <c r="M641" s="26" t="n">
        <f aca="false">IF(A641="","",IF(COUNTIFS($C$2:$C$5001,C641,$J$2:$J$5001,J641,$A$2:$A$5001,"&lt;"&amp;A641)=0,1,0))</f>
        <v>0</v>
      </c>
    </row>
    <row r="642" customFormat="false" ht="15" hidden="false" customHeight="false" outlineLevel="0" collapsed="false">
      <c r="A642" s="23" t="n">
        <v>45841.4409722222</v>
      </c>
      <c r="B642" s="24" t="s">
        <v>191</v>
      </c>
      <c r="C642" s="24" t="s">
        <v>147</v>
      </c>
      <c r="D642" s="24" t="s">
        <v>66</v>
      </c>
      <c r="E642" s="24" t="n">
        <v>202</v>
      </c>
      <c r="F642" s="25" t="n">
        <v>5950</v>
      </c>
      <c r="G642" s="24" t="s">
        <v>69</v>
      </c>
      <c r="H642" s="24" t="s">
        <v>55</v>
      </c>
      <c r="I642" s="24" t="s">
        <v>113</v>
      </c>
      <c r="J642" s="26" t="n">
        <f aca="false">IF(A642="","",YEAR(A642))</f>
        <v>2025</v>
      </c>
      <c r="K642" s="26" t="n">
        <f aca="false">IF(A642="","",MONTH(A642))</f>
        <v>7</v>
      </c>
      <c r="L642" s="26" t="n">
        <f aca="false">IF(B642="","",VALUE(LEFT(B642,2)))</f>
        <v>7</v>
      </c>
      <c r="M642" s="26" t="n">
        <f aca="false">IF(A642="","",IF(COUNTIFS($C$2:$C$5001,C642,$J$2:$J$5001,J642,$A$2:$A$5001,"&lt;"&amp;A642)=0,1,0))</f>
        <v>0</v>
      </c>
    </row>
    <row r="643" customFormat="false" ht="15" hidden="false" customHeight="false" outlineLevel="0" collapsed="false">
      <c r="A643" s="23" t="n">
        <v>45841.5354166667</v>
      </c>
      <c r="B643" s="24" t="s">
        <v>365</v>
      </c>
      <c r="C643" s="24" t="s">
        <v>58</v>
      </c>
      <c r="D643" s="24" t="s">
        <v>53</v>
      </c>
      <c r="E643" s="24" t="n">
        <v>36</v>
      </c>
      <c r="F643" s="25" t="n">
        <v>1000</v>
      </c>
      <c r="G643" s="24" t="s">
        <v>69</v>
      </c>
      <c r="H643" s="24" t="s">
        <v>55</v>
      </c>
      <c r="I643" s="24" t="s">
        <v>61</v>
      </c>
      <c r="J643" s="26" t="n">
        <f aca="false">IF(A643="","",YEAR(A643))</f>
        <v>2025</v>
      </c>
      <c r="K643" s="26" t="n">
        <f aca="false">IF(A643="","",MONTH(A643))</f>
        <v>7</v>
      </c>
      <c r="L643" s="26" t="n">
        <f aca="false">IF(B643="","",VALUE(LEFT(B643,2)))</f>
        <v>12</v>
      </c>
      <c r="M643" s="26" t="n">
        <f aca="false">IF(A643="","",IF(COUNTIFS($C$2:$C$5001,C643,$J$2:$J$5001,J643,$A$2:$A$5001,"&lt;"&amp;A643)=0,1,0))</f>
        <v>0</v>
      </c>
    </row>
    <row r="644" customFormat="false" ht="15" hidden="false" customHeight="false" outlineLevel="0" collapsed="false">
      <c r="A644" s="23" t="n">
        <v>45841.7777777778</v>
      </c>
      <c r="B644" s="24" t="s">
        <v>665</v>
      </c>
      <c r="C644" s="24" t="s">
        <v>110</v>
      </c>
      <c r="D644" s="24" t="s">
        <v>66</v>
      </c>
      <c r="E644" s="24" t="n">
        <v>166</v>
      </c>
      <c r="F644" s="25" t="n">
        <v>6000</v>
      </c>
      <c r="G644" s="24" t="s">
        <v>83</v>
      </c>
      <c r="H644" s="24" t="s">
        <v>55</v>
      </c>
      <c r="I644" s="24" t="s">
        <v>61</v>
      </c>
      <c r="J644" s="26" t="n">
        <f aca="false">IF(A644="","",YEAR(A644))</f>
        <v>2025</v>
      </c>
      <c r="K644" s="26" t="n">
        <f aca="false">IF(A644="","",MONTH(A644))</f>
        <v>7</v>
      </c>
      <c r="L644" s="26" t="n">
        <f aca="false">IF(B644="","",VALUE(LEFT(B644,2)))</f>
        <v>15</v>
      </c>
      <c r="M644" s="26" t="n">
        <f aca="false">IF(A644="","",IF(COUNTIFS($C$2:$C$5001,C644,$J$2:$J$5001,J644,$A$2:$A$5001,"&lt;"&amp;A644)=0,1,0))</f>
        <v>0</v>
      </c>
    </row>
    <row r="645" customFormat="false" ht="15" hidden="false" customHeight="false" outlineLevel="0" collapsed="false">
      <c r="A645" s="23" t="n">
        <v>45841.8819444445</v>
      </c>
      <c r="B645" s="24" t="s">
        <v>427</v>
      </c>
      <c r="C645" s="24" t="s">
        <v>243</v>
      </c>
      <c r="D645" s="24" t="s">
        <v>53</v>
      </c>
      <c r="E645" s="24" t="n">
        <v>400</v>
      </c>
      <c r="F645" s="25" t="n">
        <v>7000</v>
      </c>
      <c r="G645" s="24" t="s">
        <v>59</v>
      </c>
      <c r="H645" s="24" t="s">
        <v>60</v>
      </c>
      <c r="I645" s="24" t="s">
        <v>61</v>
      </c>
      <c r="J645" s="26" t="n">
        <f aca="false">IF(A645="","",YEAR(A645))</f>
        <v>2025</v>
      </c>
      <c r="K645" s="26" t="n">
        <f aca="false">IF(A645="","",MONTH(A645))</f>
        <v>7</v>
      </c>
      <c r="L645" s="26" t="n">
        <f aca="false">IF(B645="","",VALUE(LEFT(B645,2)))</f>
        <v>14</v>
      </c>
      <c r="M645" s="26" t="n">
        <f aca="false">IF(A645="","",IF(COUNTIFS($C$2:$C$5001,C645,$J$2:$J$5001,J645,$A$2:$A$5001,"&lt;"&amp;A645)=0,1,0))</f>
        <v>0</v>
      </c>
    </row>
    <row r="646" customFormat="false" ht="15" hidden="false" customHeight="false" outlineLevel="0" collapsed="false">
      <c r="A646" s="23" t="n">
        <v>45842.5909722222</v>
      </c>
      <c r="B646" s="24" t="s">
        <v>255</v>
      </c>
      <c r="C646" s="24" t="s">
        <v>224</v>
      </c>
      <c r="D646" s="24" t="s">
        <v>66</v>
      </c>
      <c r="E646" s="24" t="n">
        <v>215</v>
      </c>
      <c r="F646" s="25" t="n">
        <v>8000</v>
      </c>
      <c r="G646" s="24" t="s">
        <v>69</v>
      </c>
      <c r="H646" s="24" t="s">
        <v>80</v>
      </c>
      <c r="I646" s="24" t="s">
        <v>61</v>
      </c>
      <c r="J646" s="26" t="n">
        <f aca="false">IF(A646="","",YEAR(A646))</f>
        <v>2025</v>
      </c>
      <c r="K646" s="26" t="n">
        <f aca="false">IF(A646="","",MONTH(A646))</f>
        <v>7</v>
      </c>
      <c r="L646" s="26" t="n">
        <f aca="false">IF(B646="","",VALUE(LEFT(B646,2)))</f>
        <v>10</v>
      </c>
      <c r="M646" s="26" t="n">
        <f aca="false">IF(A646="","",IF(COUNTIFS($C$2:$C$5001,C646,$J$2:$J$5001,J646,$A$2:$A$5001,"&lt;"&amp;A646)=0,1,0))</f>
        <v>0</v>
      </c>
    </row>
    <row r="647" customFormat="false" ht="15" hidden="false" customHeight="false" outlineLevel="0" collapsed="false">
      <c r="A647" s="23" t="n">
        <v>45842.6236111111</v>
      </c>
      <c r="B647" s="24" t="s">
        <v>636</v>
      </c>
      <c r="C647" s="24" t="s">
        <v>666</v>
      </c>
      <c r="D647" s="24" t="s">
        <v>53</v>
      </c>
      <c r="E647" s="24" t="n">
        <v>20</v>
      </c>
      <c r="F647" s="25" t="n">
        <v>500</v>
      </c>
      <c r="G647" s="24" t="s">
        <v>69</v>
      </c>
      <c r="H647" s="24" t="s">
        <v>55</v>
      </c>
      <c r="I647" s="24" t="s">
        <v>61</v>
      </c>
      <c r="J647" s="26" t="n">
        <f aca="false">IF(A647="","",YEAR(A647))</f>
        <v>2025</v>
      </c>
      <c r="K647" s="26" t="n">
        <f aca="false">IF(A647="","",MONTH(A647))</f>
        <v>7</v>
      </c>
      <c r="L647" s="26" t="n">
        <f aca="false">IF(B647="","",VALUE(LEFT(B647,2)))</f>
        <v>14</v>
      </c>
      <c r="M647" s="26" t="n">
        <f aca="false">IF(A647="","",IF(COUNTIFS($C$2:$C$5001,C647,$J$2:$J$5001,J647,$A$2:$A$5001,"&lt;"&amp;A647)=0,1,0))</f>
        <v>1</v>
      </c>
    </row>
    <row r="648" customFormat="false" ht="15" hidden="false" customHeight="false" outlineLevel="0" collapsed="false">
      <c r="A648" s="23" t="n">
        <v>45842.7909722222</v>
      </c>
      <c r="B648" s="24" t="s">
        <v>490</v>
      </c>
      <c r="C648" s="24" t="s">
        <v>512</v>
      </c>
      <c r="D648" s="24" t="s">
        <v>66</v>
      </c>
      <c r="E648" s="24" t="n">
        <v>362</v>
      </c>
      <c r="F648" s="25" t="n">
        <v>13000</v>
      </c>
      <c r="G648" s="24" t="s">
        <v>59</v>
      </c>
      <c r="H648" s="24" t="s">
        <v>55</v>
      </c>
      <c r="I648" s="24" t="s">
        <v>61</v>
      </c>
      <c r="J648" s="26" t="n">
        <f aca="false">IF(A648="","",YEAR(A648))</f>
        <v>2025</v>
      </c>
      <c r="K648" s="26" t="n">
        <f aca="false">IF(A648="","",MONTH(A648))</f>
        <v>7</v>
      </c>
      <c r="L648" s="26" t="n">
        <f aca="false">IF(B648="","",VALUE(LEFT(B648,2)))</f>
        <v>12</v>
      </c>
      <c r="M648" s="26" t="n">
        <f aca="false">IF(A648="","",IF(COUNTIFS($C$2:$C$5001,C648,$J$2:$J$5001,J648,$A$2:$A$5001,"&lt;"&amp;A648)=0,1,0))</f>
        <v>0</v>
      </c>
    </row>
    <row r="649" customFormat="false" ht="15" hidden="false" customHeight="false" outlineLevel="0" collapsed="false">
      <c r="A649" s="23" t="n">
        <v>45842.9395833333</v>
      </c>
      <c r="B649" s="24" t="s">
        <v>667</v>
      </c>
      <c r="C649" s="24" t="s">
        <v>129</v>
      </c>
      <c r="D649" s="24" t="s">
        <v>53</v>
      </c>
      <c r="E649" s="24" t="n">
        <v>157</v>
      </c>
      <c r="F649" s="25" t="n">
        <v>0</v>
      </c>
      <c r="G649" s="24" t="s">
        <v>59</v>
      </c>
      <c r="H649" s="24" t="s">
        <v>55</v>
      </c>
      <c r="I649" s="24" t="s">
        <v>56</v>
      </c>
      <c r="J649" s="26" t="n">
        <f aca="false">IF(A649="","",YEAR(A649))</f>
        <v>2025</v>
      </c>
      <c r="K649" s="26" t="n">
        <f aca="false">IF(A649="","",MONTH(A649))</f>
        <v>7</v>
      </c>
      <c r="L649" s="26" t="n">
        <f aca="false">IF(B649="","",VALUE(LEFT(B649,2)))</f>
        <v>19</v>
      </c>
      <c r="M649" s="26" t="n">
        <f aca="false">IF(A649="","",IF(COUNTIFS($C$2:$C$5001,C649,$J$2:$J$5001,J649,$A$2:$A$5001,"&lt;"&amp;A649)=0,1,0))</f>
        <v>0</v>
      </c>
    </row>
    <row r="650" customFormat="false" ht="15" hidden="false" customHeight="false" outlineLevel="0" collapsed="false">
      <c r="A650" s="23" t="n">
        <v>45843.3958333333</v>
      </c>
      <c r="B650" s="24" t="s">
        <v>547</v>
      </c>
      <c r="C650" s="24" t="s">
        <v>240</v>
      </c>
      <c r="D650" s="24" t="s">
        <v>53</v>
      </c>
      <c r="E650" s="24" t="n">
        <v>178</v>
      </c>
      <c r="F650" s="25" t="n">
        <v>3000</v>
      </c>
      <c r="G650" s="24" t="s">
        <v>59</v>
      </c>
      <c r="H650" s="24" t="s">
        <v>60</v>
      </c>
      <c r="I650" s="24" t="s">
        <v>61</v>
      </c>
      <c r="J650" s="26" t="n">
        <f aca="false">IF(A650="","",YEAR(A650))</f>
        <v>2025</v>
      </c>
      <c r="K650" s="26" t="n">
        <f aca="false">IF(A650="","",MONTH(A650))</f>
        <v>7</v>
      </c>
      <c r="L650" s="26" t="n">
        <f aca="false">IF(B650="","",VALUE(LEFT(B650,2)))</f>
        <v>6</v>
      </c>
      <c r="M650" s="26" t="n">
        <f aca="false">IF(A650="","",IF(COUNTIFS($C$2:$C$5001,C650,$J$2:$J$5001,J650,$A$2:$A$5001,"&lt;"&amp;A650)=0,1,0))</f>
        <v>0</v>
      </c>
    </row>
    <row r="651" customFormat="false" ht="15" hidden="false" customHeight="false" outlineLevel="0" collapsed="false">
      <c r="A651" s="23" t="n">
        <v>45843.4138888889</v>
      </c>
      <c r="B651" s="24" t="s">
        <v>668</v>
      </c>
      <c r="C651" s="24" t="s">
        <v>174</v>
      </c>
      <c r="D651" s="24" t="s">
        <v>88</v>
      </c>
      <c r="E651" s="24" t="n">
        <v>72</v>
      </c>
      <c r="F651" s="25" t="n">
        <v>3825</v>
      </c>
      <c r="G651" s="24" t="s">
        <v>79</v>
      </c>
      <c r="H651" s="24" t="s">
        <v>80</v>
      </c>
      <c r="I651" s="24" t="s">
        <v>113</v>
      </c>
      <c r="J651" s="26" t="n">
        <f aca="false">IF(A651="","",YEAR(A651))</f>
        <v>2025</v>
      </c>
      <c r="K651" s="26" t="n">
        <f aca="false">IF(A651="","",MONTH(A651))</f>
        <v>7</v>
      </c>
      <c r="L651" s="26" t="n">
        <f aca="false">IF(B651="","",VALUE(LEFT(B651,2)))</f>
        <v>8</v>
      </c>
      <c r="M651" s="26" t="n">
        <f aca="false">IF(A651="","",IF(COUNTIFS($C$2:$C$5001,C651,$J$2:$J$5001,J651,$A$2:$A$5001,"&lt;"&amp;A651)=0,1,0))</f>
        <v>0</v>
      </c>
    </row>
    <row r="652" customFormat="false" ht="15" hidden="false" customHeight="false" outlineLevel="0" collapsed="false">
      <c r="A652" s="23" t="n">
        <v>45843.8361111111</v>
      </c>
      <c r="B652" s="24" t="s">
        <v>264</v>
      </c>
      <c r="C652" s="24" t="s">
        <v>186</v>
      </c>
      <c r="D652" s="24" t="s">
        <v>72</v>
      </c>
      <c r="E652" s="24" t="n">
        <v>367</v>
      </c>
      <c r="F652" s="25" t="n">
        <v>26000</v>
      </c>
      <c r="G652" s="24" t="s">
        <v>69</v>
      </c>
      <c r="H652" s="24" t="s">
        <v>80</v>
      </c>
      <c r="I652" s="24" t="s">
        <v>61</v>
      </c>
      <c r="J652" s="26" t="n">
        <f aca="false">IF(A652="","",YEAR(A652))</f>
        <v>2025</v>
      </c>
      <c r="K652" s="26" t="n">
        <f aca="false">IF(A652="","",MONTH(A652))</f>
        <v>7</v>
      </c>
      <c r="L652" s="26" t="n">
        <f aca="false">IF(B652="","",VALUE(LEFT(B652,2)))</f>
        <v>13</v>
      </c>
      <c r="M652" s="26" t="n">
        <f aca="false">IF(A652="","",IF(COUNTIFS($C$2:$C$5001,C652,$J$2:$J$5001,J652,$A$2:$A$5001,"&lt;"&amp;A652)=0,1,0))</f>
        <v>0</v>
      </c>
    </row>
    <row r="653" customFormat="false" ht="15" hidden="false" customHeight="false" outlineLevel="0" collapsed="false">
      <c r="A653" s="23" t="n">
        <v>45844.0368055556</v>
      </c>
      <c r="B653" s="24" t="s">
        <v>669</v>
      </c>
      <c r="C653" s="24" t="s">
        <v>314</v>
      </c>
      <c r="D653" s="24" t="s">
        <v>88</v>
      </c>
      <c r="E653" s="24" t="n">
        <v>292</v>
      </c>
      <c r="F653" s="25" t="n">
        <v>15000</v>
      </c>
      <c r="G653" s="24" t="s">
        <v>59</v>
      </c>
      <c r="H653" s="24" t="s">
        <v>60</v>
      </c>
      <c r="I653" s="24" t="s">
        <v>61</v>
      </c>
      <c r="J653" s="26" t="n">
        <f aca="false">IF(A653="","",YEAR(A653))</f>
        <v>2025</v>
      </c>
      <c r="K653" s="26" t="n">
        <f aca="false">IF(A653="","",MONTH(A653))</f>
        <v>7</v>
      </c>
      <c r="L653" s="26" t="n">
        <f aca="false">IF(B653="","",VALUE(LEFT(B653,2)))</f>
        <v>20</v>
      </c>
      <c r="M653" s="26" t="n">
        <f aca="false">IF(A653="","",IF(COUNTIFS($C$2:$C$5001,C653,$J$2:$J$5001,J653,$A$2:$A$5001,"&lt;"&amp;A653)=0,1,0))</f>
        <v>0</v>
      </c>
    </row>
    <row r="654" customFormat="false" ht="15" hidden="false" customHeight="false" outlineLevel="0" collapsed="false">
      <c r="A654" s="23" t="n">
        <v>45844.5493055556</v>
      </c>
      <c r="B654" s="24" t="s">
        <v>377</v>
      </c>
      <c r="C654" s="24" t="s">
        <v>194</v>
      </c>
      <c r="D654" s="24" t="s">
        <v>53</v>
      </c>
      <c r="E654" s="24" t="n">
        <v>90</v>
      </c>
      <c r="F654" s="25" t="n">
        <v>0</v>
      </c>
      <c r="G654" s="24" t="s">
        <v>59</v>
      </c>
      <c r="H654" s="24" t="s">
        <v>80</v>
      </c>
      <c r="I654" s="24" t="s">
        <v>56</v>
      </c>
      <c r="J654" s="26" t="n">
        <f aca="false">IF(A654="","",YEAR(A654))</f>
        <v>2025</v>
      </c>
      <c r="K654" s="26" t="n">
        <f aca="false">IF(A654="","",MONTH(A654))</f>
        <v>7</v>
      </c>
      <c r="L654" s="26" t="n">
        <f aca="false">IF(B654="","",VALUE(LEFT(B654,2)))</f>
        <v>11</v>
      </c>
      <c r="M654" s="26" t="n">
        <f aca="false">IF(A654="","",IF(COUNTIFS($C$2:$C$5001,C654,$J$2:$J$5001,J654,$A$2:$A$5001,"&lt;"&amp;A654)=0,1,0))</f>
        <v>0</v>
      </c>
    </row>
    <row r="655" customFormat="false" ht="15" hidden="false" customHeight="false" outlineLevel="0" collapsed="false">
      <c r="A655" s="23" t="n">
        <v>45844.5722222222</v>
      </c>
      <c r="B655" s="24" t="s">
        <v>650</v>
      </c>
      <c r="C655" s="24" t="s">
        <v>332</v>
      </c>
      <c r="D655" s="24" t="s">
        <v>66</v>
      </c>
      <c r="E655" s="24" t="n">
        <v>399</v>
      </c>
      <c r="F655" s="25" t="n">
        <v>14000</v>
      </c>
      <c r="G655" s="24" t="s">
        <v>59</v>
      </c>
      <c r="H655" s="24" t="s">
        <v>60</v>
      </c>
      <c r="I655" s="24" t="s">
        <v>61</v>
      </c>
      <c r="J655" s="26" t="n">
        <f aca="false">IF(A655="","",YEAR(A655))</f>
        <v>2025</v>
      </c>
      <c r="K655" s="26" t="n">
        <f aca="false">IF(A655="","",MONTH(A655))</f>
        <v>7</v>
      </c>
      <c r="L655" s="26" t="n">
        <f aca="false">IF(B655="","",VALUE(LEFT(B655,2)))</f>
        <v>7</v>
      </c>
      <c r="M655" s="26" t="n">
        <f aca="false">IF(A655="","",IF(COUNTIFS($C$2:$C$5001,C655,$J$2:$J$5001,J655,$A$2:$A$5001,"&lt;"&amp;A655)=0,1,0))</f>
        <v>0</v>
      </c>
    </row>
    <row r="656" customFormat="false" ht="15" hidden="false" customHeight="false" outlineLevel="0" collapsed="false">
      <c r="A656" s="23" t="n">
        <v>45844.5888888889</v>
      </c>
      <c r="B656" s="24" t="s">
        <v>435</v>
      </c>
      <c r="C656" s="24" t="s">
        <v>240</v>
      </c>
      <c r="D656" s="24" t="s">
        <v>66</v>
      </c>
      <c r="E656" s="24" t="n">
        <v>409</v>
      </c>
      <c r="F656" s="25" t="n">
        <v>14000</v>
      </c>
      <c r="G656" s="24" t="s">
        <v>59</v>
      </c>
      <c r="H656" s="24" t="s">
        <v>60</v>
      </c>
      <c r="I656" s="24" t="s">
        <v>61</v>
      </c>
      <c r="J656" s="26" t="n">
        <f aca="false">IF(A656="","",YEAR(A656))</f>
        <v>2025</v>
      </c>
      <c r="K656" s="26" t="n">
        <f aca="false">IF(A656="","",MONTH(A656))</f>
        <v>7</v>
      </c>
      <c r="L656" s="26" t="n">
        <f aca="false">IF(B656="","",VALUE(LEFT(B656,2)))</f>
        <v>7</v>
      </c>
      <c r="M656" s="26" t="n">
        <f aca="false">IF(A656="","",IF(COUNTIFS($C$2:$C$5001,C656,$J$2:$J$5001,J656,$A$2:$A$5001,"&lt;"&amp;A656)=0,1,0))</f>
        <v>0</v>
      </c>
    </row>
    <row r="657" customFormat="false" ht="15" hidden="false" customHeight="false" outlineLevel="0" collapsed="false">
      <c r="A657" s="23" t="n">
        <v>45844.975</v>
      </c>
      <c r="B657" s="24" t="s">
        <v>670</v>
      </c>
      <c r="C657" s="24" t="s">
        <v>186</v>
      </c>
      <c r="D657" s="24" t="s">
        <v>53</v>
      </c>
      <c r="E657" s="24" t="n">
        <v>373</v>
      </c>
      <c r="F657" s="25" t="n">
        <v>6500</v>
      </c>
      <c r="G657" s="24" t="s">
        <v>69</v>
      </c>
      <c r="H657" s="24" t="s">
        <v>55</v>
      </c>
      <c r="I657" s="24" t="s">
        <v>61</v>
      </c>
      <c r="J657" s="26" t="n">
        <f aca="false">IF(A657="","",YEAR(A657))</f>
        <v>2025</v>
      </c>
      <c r="K657" s="26" t="n">
        <f aca="false">IF(A657="","",MONTH(A657))</f>
        <v>7</v>
      </c>
      <c r="L657" s="26" t="n">
        <f aca="false">IF(B657="","",VALUE(LEFT(B657,2)))</f>
        <v>17</v>
      </c>
      <c r="M657" s="26" t="n">
        <f aca="false">IF(A657="","",IF(COUNTIFS($C$2:$C$5001,C657,$J$2:$J$5001,J657,$A$2:$A$5001,"&lt;"&amp;A657)=0,1,0))</f>
        <v>0</v>
      </c>
    </row>
    <row r="658" customFormat="false" ht="15" hidden="false" customHeight="false" outlineLevel="0" collapsed="false">
      <c r="A658" s="23" t="n">
        <v>45845.3923611111</v>
      </c>
      <c r="B658" s="24" t="s">
        <v>485</v>
      </c>
      <c r="C658" s="24" t="s">
        <v>436</v>
      </c>
      <c r="D658" s="24" t="s">
        <v>53</v>
      </c>
      <c r="E658" s="24" t="n">
        <v>131</v>
      </c>
      <c r="F658" s="25" t="n">
        <v>2500</v>
      </c>
      <c r="G658" s="24" t="s">
        <v>59</v>
      </c>
      <c r="H658" s="24" t="s">
        <v>80</v>
      </c>
      <c r="I658" s="24" t="s">
        <v>61</v>
      </c>
      <c r="J658" s="26" t="n">
        <f aca="false">IF(A658="","",YEAR(A658))</f>
        <v>2025</v>
      </c>
      <c r="K658" s="26" t="n">
        <f aca="false">IF(A658="","",MONTH(A658))</f>
        <v>7</v>
      </c>
      <c r="L658" s="26" t="n">
        <f aca="false">IF(B658="","",VALUE(LEFT(B658,2)))</f>
        <v>7</v>
      </c>
      <c r="M658" s="26" t="n">
        <f aca="false">IF(A658="","",IF(COUNTIFS($C$2:$C$5001,C658,$J$2:$J$5001,J658,$A$2:$A$5001,"&lt;"&amp;A658)=0,1,0))</f>
        <v>0</v>
      </c>
    </row>
    <row r="659" customFormat="false" ht="15" hidden="false" customHeight="false" outlineLevel="0" collapsed="false">
      <c r="A659" s="23" t="n">
        <v>45845.4784722222</v>
      </c>
      <c r="B659" s="24" t="s">
        <v>565</v>
      </c>
      <c r="C659" s="24" t="s">
        <v>220</v>
      </c>
      <c r="D659" s="24" t="s">
        <v>66</v>
      </c>
      <c r="E659" s="24" t="n">
        <v>203</v>
      </c>
      <c r="F659" s="25" t="n">
        <v>7000</v>
      </c>
      <c r="G659" s="24" t="s">
        <v>69</v>
      </c>
      <c r="H659" s="24" t="s">
        <v>60</v>
      </c>
      <c r="I659" s="24" t="s">
        <v>61</v>
      </c>
      <c r="J659" s="26" t="n">
        <f aca="false">IF(A659="","",YEAR(A659))</f>
        <v>2025</v>
      </c>
      <c r="K659" s="26" t="n">
        <f aca="false">IF(A659="","",MONTH(A659))</f>
        <v>7</v>
      </c>
      <c r="L659" s="26" t="n">
        <f aca="false">IF(B659="","",VALUE(LEFT(B659,2)))</f>
        <v>8</v>
      </c>
      <c r="M659" s="26" t="n">
        <f aca="false">IF(A659="","",IF(COUNTIFS($C$2:$C$5001,C659,$J$2:$J$5001,J659,$A$2:$A$5001,"&lt;"&amp;A659)=0,1,0))</f>
        <v>0</v>
      </c>
    </row>
    <row r="660" customFormat="false" ht="15" hidden="false" customHeight="false" outlineLevel="0" collapsed="false">
      <c r="A660" s="23" t="n">
        <v>45845.51875</v>
      </c>
      <c r="B660" s="24" t="s">
        <v>671</v>
      </c>
      <c r="C660" s="24" t="s">
        <v>290</v>
      </c>
      <c r="D660" s="24" t="s">
        <v>66</v>
      </c>
      <c r="E660" s="24" t="n">
        <v>307</v>
      </c>
      <c r="F660" s="25" t="n">
        <v>11000</v>
      </c>
      <c r="G660" s="24" t="s">
        <v>79</v>
      </c>
      <c r="H660" s="24" t="s">
        <v>80</v>
      </c>
      <c r="I660" s="24" t="s">
        <v>61</v>
      </c>
      <c r="J660" s="26" t="n">
        <f aca="false">IF(A660="","",YEAR(A660))</f>
        <v>2025</v>
      </c>
      <c r="K660" s="26" t="n">
        <f aca="false">IF(A660="","",MONTH(A660))</f>
        <v>7</v>
      </c>
      <c r="L660" s="26" t="n">
        <f aca="false">IF(B660="","",VALUE(LEFT(B660,2)))</f>
        <v>7</v>
      </c>
      <c r="M660" s="26" t="n">
        <f aca="false">IF(A660="","",IF(COUNTIFS($C$2:$C$5001,C660,$J$2:$J$5001,J660,$A$2:$A$5001,"&lt;"&amp;A660)=0,1,0))</f>
        <v>0</v>
      </c>
    </row>
    <row r="661" customFormat="false" ht="15" hidden="false" customHeight="false" outlineLevel="0" collapsed="false">
      <c r="A661" s="23" t="n">
        <v>45845.6826388889</v>
      </c>
      <c r="B661" s="24" t="s">
        <v>672</v>
      </c>
      <c r="C661" s="24" t="s">
        <v>224</v>
      </c>
      <c r="D661" s="24" t="s">
        <v>66</v>
      </c>
      <c r="E661" s="24" t="n">
        <v>63</v>
      </c>
      <c r="F661" s="25" t="n">
        <v>3000</v>
      </c>
      <c r="G661" s="24" t="s">
        <v>59</v>
      </c>
      <c r="H661" s="24" t="s">
        <v>55</v>
      </c>
      <c r="I661" s="24" t="s">
        <v>61</v>
      </c>
      <c r="J661" s="26" t="n">
        <f aca="false">IF(A661="","",YEAR(A661))</f>
        <v>2025</v>
      </c>
      <c r="K661" s="26" t="n">
        <f aca="false">IF(A661="","",MONTH(A661))</f>
        <v>7</v>
      </c>
      <c r="L661" s="26" t="n">
        <f aca="false">IF(B661="","",VALUE(LEFT(B661,2)))</f>
        <v>15</v>
      </c>
      <c r="M661" s="26" t="n">
        <f aca="false">IF(A661="","",IF(COUNTIFS($C$2:$C$5001,C661,$J$2:$J$5001,J661,$A$2:$A$5001,"&lt;"&amp;A661)=0,1,0))</f>
        <v>0</v>
      </c>
    </row>
    <row r="662" customFormat="false" ht="15" hidden="false" customHeight="false" outlineLevel="0" collapsed="false">
      <c r="A662" s="23" t="n">
        <v>45845.7534722222</v>
      </c>
      <c r="B662" s="24" t="s">
        <v>657</v>
      </c>
      <c r="C662" s="24" t="s">
        <v>663</v>
      </c>
      <c r="D662" s="24" t="s">
        <v>53</v>
      </c>
      <c r="E662" s="24" t="n">
        <v>166</v>
      </c>
      <c r="F662" s="25" t="n">
        <v>0</v>
      </c>
      <c r="G662" s="24" t="s">
        <v>59</v>
      </c>
      <c r="H662" s="24" t="s">
        <v>60</v>
      </c>
      <c r="I662" s="24" t="s">
        <v>56</v>
      </c>
      <c r="J662" s="26" t="n">
        <f aca="false">IF(A662="","",YEAR(A662))</f>
        <v>2025</v>
      </c>
      <c r="K662" s="26" t="n">
        <f aca="false">IF(A662="","",MONTH(A662))</f>
        <v>7</v>
      </c>
      <c r="L662" s="26" t="n">
        <f aca="false">IF(B662="","",VALUE(LEFT(B662,2)))</f>
        <v>15</v>
      </c>
      <c r="M662" s="26" t="n">
        <f aca="false">IF(A662="","",IF(COUNTIFS($C$2:$C$5001,C662,$J$2:$J$5001,J662,$A$2:$A$5001,"&lt;"&amp;A662)=0,1,0))</f>
        <v>0</v>
      </c>
    </row>
    <row r="663" customFormat="false" ht="15" hidden="false" customHeight="false" outlineLevel="0" collapsed="false">
      <c r="A663" s="23" t="n">
        <v>45846.4784722222</v>
      </c>
      <c r="B663" s="24" t="s">
        <v>673</v>
      </c>
      <c r="C663" s="24" t="s">
        <v>92</v>
      </c>
      <c r="D663" s="24" t="s">
        <v>66</v>
      </c>
      <c r="E663" s="24" t="n">
        <v>238</v>
      </c>
      <c r="F663" s="25" t="n">
        <v>8000</v>
      </c>
      <c r="G663" s="24" t="s">
        <v>69</v>
      </c>
      <c r="H663" s="24" t="s">
        <v>60</v>
      </c>
      <c r="I663" s="24" t="s">
        <v>61</v>
      </c>
      <c r="J663" s="26" t="n">
        <f aca="false">IF(A663="","",YEAR(A663))</f>
        <v>2025</v>
      </c>
      <c r="K663" s="26" t="n">
        <f aca="false">IF(A663="","",MONTH(A663))</f>
        <v>7</v>
      </c>
      <c r="L663" s="26" t="n">
        <f aca="false">IF(B663="","",VALUE(LEFT(B663,2)))</f>
        <v>7</v>
      </c>
      <c r="M663" s="26" t="n">
        <f aca="false">IF(A663="","",IF(COUNTIFS($C$2:$C$5001,C663,$J$2:$J$5001,J663,$A$2:$A$5001,"&lt;"&amp;A663)=0,1,0))</f>
        <v>0</v>
      </c>
    </row>
    <row r="664" customFormat="false" ht="15" hidden="false" customHeight="false" outlineLevel="0" collapsed="false">
      <c r="A664" s="23" t="n">
        <v>45846.4868055556</v>
      </c>
      <c r="B664" s="24" t="s">
        <v>674</v>
      </c>
      <c r="C664" s="24" t="s">
        <v>164</v>
      </c>
      <c r="D664" s="24" t="s">
        <v>66</v>
      </c>
      <c r="E664" s="24" t="n">
        <v>330</v>
      </c>
      <c r="F664" s="25" t="n">
        <v>11000</v>
      </c>
      <c r="G664" s="24" t="s">
        <v>59</v>
      </c>
      <c r="H664" s="24" t="s">
        <v>80</v>
      </c>
      <c r="I664" s="24" t="s">
        <v>61</v>
      </c>
      <c r="J664" s="26" t="n">
        <f aca="false">IF(A664="","",YEAR(A664))</f>
        <v>2025</v>
      </c>
      <c r="K664" s="26" t="n">
        <f aca="false">IF(A664="","",MONTH(A664))</f>
        <v>7</v>
      </c>
      <c r="L664" s="26" t="n">
        <f aca="false">IF(B664="","",VALUE(LEFT(B664,2)))</f>
        <v>6</v>
      </c>
      <c r="M664" s="26" t="n">
        <f aca="false">IF(A664="","",IF(COUNTIFS($C$2:$C$5001,C664,$J$2:$J$5001,J664,$A$2:$A$5001,"&lt;"&amp;A664)=0,1,0))</f>
        <v>0</v>
      </c>
    </row>
    <row r="665" customFormat="false" ht="15" hidden="false" customHeight="false" outlineLevel="0" collapsed="false">
      <c r="A665" s="23" t="n">
        <v>45846.53125</v>
      </c>
      <c r="B665" s="24" t="s">
        <v>675</v>
      </c>
      <c r="C665" s="24" t="s">
        <v>108</v>
      </c>
      <c r="D665" s="24" t="s">
        <v>66</v>
      </c>
      <c r="E665" s="24" t="n">
        <v>220</v>
      </c>
      <c r="F665" s="25" t="n">
        <v>8000</v>
      </c>
      <c r="G665" s="24" t="s">
        <v>69</v>
      </c>
      <c r="H665" s="24" t="s">
        <v>80</v>
      </c>
      <c r="I665" s="24" t="s">
        <v>61</v>
      </c>
      <c r="J665" s="26" t="n">
        <f aca="false">IF(A665="","",YEAR(A665))</f>
        <v>2025</v>
      </c>
      <c r="K665" s="26" t="n">
        <f aca="false">IF(A665="","",MONTH(A665))</f>
        <v>7</v>
      </c>
      <c r="L665" s="26" t="n">
        <f aca="false">IF(B665="","",VALUE(LEFT(B665,2)))</f>
        <v>9</v>
      </c>
      <c r="M665" s="26" t="n">
        <f aca="false">IF(A665="","",IF(COUNTIFS($C$2:$C$5001,C665,$J$2:$J$5001,J665,$A$2:$A$5001,"&lt;"&amp;A665)=0,1,0))</f>
        <v>0</v>
      </c>
    </row>
    <row r="666" customFormat="false" ht="15" hidden="false" customHeight="false" outlineLevel="0" collapsed="false">
      <c r="A666" s="23" t="n">
        <v>45846.5340277778</v>
      </c>
      <c r="B666" s="24" t="s">
        <v>187</v>
      </c>
      <c r="C666" s="24" t="s">
        <v>102</v>
      </c>
      <c r="D666" s="24" t="s">
        <v>66</v>
      </c>
      <c r="E666" s="24" t="n">
        <v>220</v>
      </c>
      <c r="F666" s="25" t="n">
        <v>8000</v>
      </c>
      <c r="G666" s="24" t="s">
        <v>83</v>
      </c>
      <c r="H666" s="24" t="s">
        <v>80</v>
      </c>
      <c r="I666" s="24" t="s">
        <v>61</v>
      </c>
      <c r="J666" s="26" t="n">
        <f aca="false">IF(A666="","",YEAR(A666))</f>
        <v>2025</v>
      </c>
      <c r="K666" s="26" t="n">
        <f aca="false">IF(A666="","",MONTH(A666))</f>
        <v>7</v>
      </c>
      <c r="L666" s="26" t="n">
        <f aca="false">IF(B666="","",VALUE(LEFT(B666,2)))</f>
        <v>9</v>
      </c>
      <c r="M666" s="26" t="n">
        <f aca="false">IF(A666="","",IF(COUNTIFS($C$2:$C$5001,C666,$J$2:$J$5001,J666,$A$2:$A$5001,"&lt;"&amp;A666)=0,1,0))</f>
        <v>0</v>
      </c>
    </row>
    <row r="667" customFormat="false" ht="15" hidden="false" customHeight="false" outlineLevel="0" collapsed="false">
      <c r="A667" s="23" t="n">
        <v>45846.5569444444</v>
      </c>
      <c r="B667" s="24" t="s">
        <v>676</v>
      </c>
      <c r="C667" s="24" t="s">
        <v>100</v>
      </c>
      <c r="D667" s="24" t="s">
        <v>72</v>
      </c>
      <c r="E667" s="24" t="n">
        <v>51</v>
      </c>
      <c r="F667" s="25" t="n">
        <v>0</v>
      </c>
      <c r="G667" s="24" t="s">
        <v>69</v>
      </c>
      <c r="H667" s="24" t="s">
        <v>55</v>
      </c>
      <c r="I667" s="24" t="s">
        <v>56</v>
      </c>
      <c r="J667" s="26" t="n">
        <f aca="false">IF(A667="","",YEAR(A667))</f>
        <v>2025</v>
      </c>
      <c r="K667" s="26" t="n">
        <f aca="false">IF(A667="","",MONTH(A667))</f>
        <v>7</v>
      </c>
      <c r="L667" s="26" t="n">
        <f aca="false">IF(B667="","",VALUE(LEFT(B667,2)))</f>
        <v>12</v>
      </c>
      <c r="M667" s="26" t="n">
        <f aca="false">IF(A667="","",IF(COUNTIFS($C$2:$C$5001,C667,$J$2:$J$5001,J667,$A$2:$A$5001,"&lt;"&amp;A667)=0,1,0))</f>
        <v>0</v>
      </c>
    </row>
    <row r="668" customFormat="false" ht="15" hidden="false" customHeight="false" outlineLevel="0" collapsed="false">
      <c r="A668" s="23" t="n">
        <v>45846.5888888889</v>
      </c>
      <c r="B668" s="24" t="s">
        <v>474</v>
      </c>
      <c r="C668" s="24" t="s">
        <v>177</v>
      </c>
      <c r="D668" s="24" t="s">
        <v>66</v>
      </c>
      <c r="E668" s="24" t="n">
        <v>185</v>
      </c>
      <c r="F668" s="25" t="n">
        <v>7000</v>
      </c>
      <c r="G668" s="24" t="s">
        <v>59</v>
      </c>
      <c r="H668" s="24" t="s">
        <v>55</v>
      </c>
      <c r="I668" s="24" t="s">
        <v>61</v>
      </c>
      <c r="J668" s="26" t="n">
        <f aca="false">IF(A668="","",YEAR(A668))</f>
        <v>2025</v>
      </c>
      <c r="K668" s="26" t="n">
        <f aca="false">IF(A668="","",MONTH(A668))</f>
        <v>7</v>
      </c>
      <c r="L668" s="26" t="n">
        <f aca="false">IF(B668="","",VALUE(LEFT(B668,2)))</f>
        <v>11</v>
      </c>
      <c r="M668" s="26" t="n">
        <f aca="false">IF(A668="","",IF(COUNTIFS($C$2:$C$5001,C668,$J$2:$J$5001,J668,$A$2:$A$5001,"&lt;"&amp;A668)=0,1,0))</f>
        <v>0</v>
      </c>
    </row>
    <row r="669" customFormat="false" ht="15" hidden="false" customHeight="false" outlineLevel="0" collapsed="false">
      <c r="A669" s="23" t="n">
        <v>45846.6520833333</v>
      </c>
      <c r="B669" s="24" t="s">
        <v>276</v>
      </c>
      <c r="C669" s="24" t="s">
        <v>102</v>
      </c>
      <c r="D669" s="24" t="s">
        <v>88</v>
      </c>
      <c r="E669" s="24" t="n">
        <v>85</v>
      </c>
      <c r="F669" s="25" t="n">
        <v>3825</v>
      </c>
      <c r="G669" s="24" t="s">
        <v>59</v>
      </c>
      <c r="H669" s="24" t="s">
        <v>80</v>
      </c>
      <c r="I669" s="24" t="s">
        <v>113</v>
      </c>
      <c r="J669" s="26" t="n">
        <f aca="false">IF(A669="","",YEAR(A669))</f>
        <v>2025</v>
      </c>
      <c r="K669" s="26" t="n">
        <f aca="false">IF(A669="","",MONTH(A669))</f>
        <v>7</v>
      </c>
      <c r="L669" s="26" t="n">
        <f aca="false">IF(B669="","",VALUE(LEFT(B669,2)))</f>
        <v>14</v>
      </c>
      <c r="M669" s="26" t="n">
        <f aca="false">IF(A669="","",IF(COUNTIFS($C$2:$C$5001,C669,$J$2:$J$5001,J669,$A$2:$A$5001,"&lt;"&amp;A669)=0,1,0))</f>
        <v>0</v>
      </c>
    </row>
    <row r="670" customFormat="false" ht="15" hidden="false" customHeight="false" outlineLevel="0" collapsed="false">
      <c r="A670" s="23" t="n">
        <v>45846.8076388889</v>
      </c>
      <c r="B670" s="24" t="s">
        <v>259</v>
      </c>
      <c r="C670" s="24" t="s">
        <v>65</v>
      </c>
      <c r="D670" s="24" t="s">
        <v>66</v>
      </c>
      <c r="E670" s="24" t="n">
        <v>276</v>
      </c>
      <c r="F670" s="25" t="n">
        <v>10000</v>
      </c>
      <c r="G670" s="24" t="s">
        <v>59</v>
      </c>
      <c r="H670" s="24" t="s">
        <v>60</v>
      </c>
      <c r="I670" s="24" t="s">
        <v>61</v>
      </c>
      <c r="J670" s="26" t="n">
        <f aca="false">IF(A670="","",YEAR(A670))</f>
        <v>2025</v>
      </c>
      <c r="K670" s="26" t="n">
        <f aca="false">IF(A670="","",MONTH(A670))</f>
        <v>7</v>
      </c>
      <c r="L670" s="26" t="n">
        <f aca="false">IF(B670="","",VALUE(LEFT(B670,2)))</f>
        <v>14</v>
      </c>
      <c r="M670" s="26" t="n">
        <f aca="false">IF(A670="","",IF(COUNTIFS($C$2:$C$5001,C670,$J$2:$J$5001,J670,$A$2:$A$5001,"&lt;"&amp;A670)=0,1,0))</f>
        <v>0</v>
      </c>
    </row>
    <row r="671" customFormat="false" ht="15" hidden="false" customHeight="false" outlineLevel="0" collapsed="false">
      <c r="A671" s="23" t="n">
        <v>45846.8659722222</v>
      </c>
      <c r="B671" s="24" t="s">
        <v>527</v>
      </c>
      <c r="C671" s="24" t="s">
        <v>145</v>
      </c>
      <c r="D671" s="24" t="s">
        <v>66</v>
      </c>
      <c r="E671" s="24" t="n">
        <v>194</v>
      </c>
      <c r="F671" s="25" t="n">
        <v>7000</v>
      </c>
      <c r="G671" s="24" t="s">
        <v>59</v>
      </c>
      <c r="H671" s="24" t="s">
        <v>55</v>
      </c>
      <c r="I671" s="24" t="s">
        <v>61</v>
      </c>
      <c r="J671" s="26" t="n">
        <f aca="false">IF(A671="","",YEAR(A671))</f>
        <v>2025</v>
      </c>
      <c r="K671" s="26" t="n">
        <f aca="false">IF(A671="","",MONTH(A671))</f>
        <v>7</v>
      </c>
      <c r="L671" s="26" t="n">
        <f aca="false">IF(B671="","",VALUE(LEFT(B671,2)))</f>
        <v>17</v>
      </c>
      <c r="M671" s="26" t="n">
        <f aca="false">IF(A671="","",IF(COUNTIFS($C$2:$C$5001,C671,$J$2:$J$5001,J671,$A$2:$A$5001,"&lt;"&amp;A671)=0,1,0))</f>
        <v>0</v>
      </c>
    </row>
    <row r="672" customFormat="false" ht="15" hidden="false" customHeight="false" outlineLevel="0" collapsed="false">
      <c r="A672" s="23" t="n">
        <v>45846.8805555556</v>
      </c>
      <c r="B672" s="24" t="s">
        <v>418</v>
      </c>
      <c r="C672" s="24" t="s">
        <v>463</v>
      </c>
      <c r="D672" s="24" t="s">
        <v>66</v>
      </c>
      <c r="E672" s="24" t="n">
        <v>111</v>
      </c>
      <c r="F672" s="25" t="n">
        <v>0</v>
      </c>
      <c r="G672" s="24" t="s">
        <v>59</v>
      </c>
      <c r="H672" s="24" t="s">
        <v>80</v>
      </c>
      <c r="I672" s="24" t="s">
        <v>56</v>
      </c>
      <c r="J672" s="26" t="n">
        <f aca="false">IF(A672="","",YEAR(A672))</f>
        <v>2025</v>
      </c>
      <c r="K672" s="26" t="n">
        <f aca="false">IF(A672="","",MONTH(A672))</f>
        <v>7</v>
      </c>
      <c r="L672" s="26" t="n">
        <f aca="false">IF(B672="","",VALUE(LEFT(B672,2)))</f>
        <v>19</v>
      </c>
      <c r="M672" s="26" t="n">
        <f aca="false">IF(A672="","",IF(COUNTIFS($C$2:$C$5001,C672,$J$2:$J$5001,J672,$A$2:$A$5001,"&lt;"&amp;A672)=0,1,0))</f>
        <v>0</v>
      </c>
    </row>
    <row r="673" customFormat="false" ht="15" hidden="false" customHeight="false" outlineLevel="0" collapsed="false">
      <c r="A673" s="23" t="n">
        <v>45847.3131944445</v>
      </c>
      <c r="B673" s="24" t="s">
        <v>677</v>
      </c>
      <c r="C673" s="24" t="s">
        <v>179</v>
      </c>
      <c r="D673" s="24" t="s">
        <v>88</v>
      </c>
      <c r="E673" s="24" t="n">
        <v>67</v>
      </c>
      <c r="F673" s="25" t="n">
        <v>4500</v>
      </c>
      <c r="G673" s="24" t="s">
        <v>59</v>
      </c>
      <c r="H673" s="24" t="s">
        <v>80</v>
      </c>
      <c r="I673" s="24" t="s">
        <v>61</v>
      </c>
      <c r="J673" s="26" t="n">
        <f aca="false">IF(A673="","",YEAR(A673))</f>
        <v>2025</v>
      </c>
      <c r="K673" s="26" t="n">
        <f aca="false">IF(A673="","",MONTH(A673))</f>
        <v>7</v>
      </c>
      <c r="L673" s="26" t="n">
        <f aca="false">IF(B673="","",VALUE(LEFT(B673,2)))</f>
        <v>6</v>
      </c>
      <c r="M673" s="26" t="n">
        <f aca="false">IF(A673="","",IF(COUNTIFS($C$2:$C$5001,C673,$J$2:$J$5001,J673,$A$2:$A$5001,"&lt;"&amp;A673)=0,1,0))</f>
        <v>0</v>
      </c>
    </row>
    <row r="674" customFormat="false" ht="15" hidden="false" customHeight="false" outlineLevel="0" collapsed="false">
      <c r="A674" s="23" t="n">
        <v>45847.5506944444</v>
      </c>
      <c r="B674" s="24" t="s">
        <v>457</v>
      </c>
      <c r="C674" s="24" t="s">
        <v>271</v>
      </c>
      <c r="D674" s="24" t="s">
        <v>88</v>
      </c>
      <c r="E674" s="24" t="n">
        <v>327</v>
      </c>
      <c r="F674" s="25" t="n">
        <v>16500</v>
      </c>
      <c r="G674" s="24" t="s">
        <v>59</v>
      </c>
      <c r="H674" s="24" t="s">
        <v>60</v>
      </c>
      <c r="I674" s="24" t="s">
        <v>61</v>
      </c>
      <c r="J674" s="26" t="n">
        <f aca="false">IF(A674="","",YEAR(A674))</f>
        <v>2025</v>
      </c>
      <c r="K674" s="26" t="n">
        <f aca="false">IF(A674="","",MONTH(A674))</f>
        <v>7</v>
      </c>
      <c r="L674" s="26" t="n">
        <f aca="false">IF(B674="","",VALUE(LEFT(B674,2)))</f>
        <v>7</v>
      </c>
      <c r="M674" s="26" t="n">
        <f aca="false">IF(A674="","",IF(COUNTIFS($C$2:$C$5001,C674,$J$2:$J$5001,J674,$A$2:$A$5001,"&lt;"&amp;A674)=0,1,0))</f>
        <v>0</v>
      </c>
    </row>
    <row r="675" customFormat="false" ht="15" hidden="false" customHeight="false" outlineLevel="0" collapsed="false">
      <c r="A675" s="23" t="n">
        <v>45847.5638888889</v>
      </c>
      <c r="B675" s="24" t="s">
        <v>678</v>
      </c>
      <c r="C675" s="24" t="s">
        <v>182</v>
      </c>
      <c r="D675" s="24" t="s">
        <v>53</v>
      </c>
      <c r="E675" s="24" t="n">
        <v>393</v>
      </c>
      <c r="F675" s="25" t="n">
        <v>7000</v>
      </c>
      <c r="G675" s="24" t="s">
        <v>59</v>
      </c>
      <c r="H675" s="24" t="s">
        <v>60</v>
      </c>
      <c r="I675" s="24" t="s">
        <v>61</v>
      </c>
      <c r="J675" s="26" t="n">
        <f aca="false">IF(A675="","",YEAR(A675))</f>
        <v>2025</v>
      </c>
      <c r="K675" s="26" t="n">
        <f aca="false">IF(A675="","",MONTH(A675))</f>
        <v>7</v>
      </c>
      <c r="L675" s="26" t="n">
        <f aca="false">IF(B675="","",VALUE(LEFT(B675,2)))</f>
        <v>6</v>
      </c>
      <c r="M675" s="26" t="n">
        <f aca="false">IF(A675="","",IF(COUNTIFS($C$2:$C$5001,C675,$J$2:$J$5001,J675,$A$2:$A$5001,"&lt;"&amp;A675)=0,1,0))</f>
        <v>0</v>
      </c>
    </row>
    <row r="676" customFormat="false" ht="15" hidden="false" customHeight="false" outlineLevel="0" collapsed="false">
      <c r="A676" s="23" t="n">
        <v>45847.6083333333</v>
      </c>
      <c r="B676" s="24" t="s">
        <v>676</v>
      </c>
      <c r="C676" s="24" t="s">
        <v>430</v>
      </c>
      <c r="D676" s="24" t="s">
        <v>66</v>
      </c>
      <c r="E676" s="24" t="n">
        <v>125</v>
      </c>
      <c r="F676" s="25" t="n">
        <v>5000</v>
      </c>
      <c r="G676" s="24" t="s">
        <v>69</v>
      </c>
      <c r="H676" s="24" t="s">
        <v>60</v>
      </c>
      <c r="I676" s="24" t="s">
        <v>61</v>
      </c>
      <c r="J676" s="26" t="n">
        <f aca="false">IF(A676="","",YEAR(A676))</f>
        <v>2025</v>
      </c>
      <c r="K676" s="26" t="n">
        <f aca="false">IF(A676="","",MONTH(A676))</f>
        <v>7</v>
      </c>
      <c r="L676" s="26" t="n">
        <f aca="false">IF(B676="","",VALUE(LEFT(B676,2)))</f>
        <v>12</v>
      </c>
      <c r="M676" s="26" t="n">
        <f aca="false">IF(A676="","",IF(COUNTIFS($C$2:$C$5001,C676,$J$2:$J$5001,J676,$A$2:$A$5001,"&lt;"&amp;A676)=0,1,0))</f>
        <v>0</v>
      </c>
    </row>
    <row r="677" customFormat="false" ht="15" hidden="false" customHeight="false" outlineLevel="0" collapsed="false">
      <c r="A677" s="23" t="n">
        <v>45847.6652777778</v>
      </c>
      <c r="B677" s="24" t="s">
        <v>679</v>
      </c>
      <c r="C677" s="24" t="s">
        <v>436</v>
      </c>
      <c r="D677" s="24" t="s">
        <v>66</v>
      </c>
      <c r="E677" s="24" t="n">
        <v>133</v>
      </c>
      <c r="F677" s="25" t="n">
        <v>5000</v>
      </c>
      <c r="G677" s="24" t="s">
        <v>59</v>
      </c>
      <c r="H677" s="24" t="s">
        <v>80</v>
      </c>
      <c r="I677" s="24" t="s">
        <v>61</v>
      </c>
      <c r="J677" s="26" t="n">
        <f aca="false">IF(A677="","",YEAR(A677))</f>
        <v>2025</v>
      </c>
      <c r="K677" s="26" t="n">
        <f aca="false">IF(A677="","",MONTH(A677))</f>
        <v>7</v>
      </c>
      <c r="L677" s="26" t="n">
        <f aca="false">IF(B677="","",VALUE(LEFT(B677,2)))</f>
        <v>13</v>
      </c>
      <c r="M677" s="26" t="n">
        <f aca="false">IF(A677="","",IF(COUNTIFS($C$2:$C$5001,C677,$J$2:$J$5001,J677,$A$2:$A$5001,"&lt;"&amp;A677)=0,1,0))</f>
        <v>0</v>
      </c>
    </row>
    <row r="678" customFormat="false" ht="15" hidden="false" customHeight="false" outlineLevel="0" collapsed="false">
      <c r="A678" s="23" t="n">
        <v>45847.7111111111</v>
      </c>
      <c r="B678" s="24" t="s">
        <v>680</v>
      </c>
      <c r="C678" s="24" t="s">
        <v>71</v>
      </c>
      <c r="D678" s="24" t="s">
        <v>66</v>
      </c>
      <c r="E678" s="24" t="n">
        <v>332</v>
      </c>
      <c r="F678" s="25" t="n">
        <v>12000</v>
      </c>
      <c r="G678" s="24" t="s">
        <v>59</v>
      </c>
      <c r="H678" s="24" t="s">
        <v>55</v>
      </c>
      <c r="I678" s="24" t="s">
        <v>61</v>
      </c>
      <c r="J678" s="26" t="n">
        <f aca="false">IF(A678="","",YEAR(A678))</f>
        <v>2025</v>
      </c>
      <c r="K678" s="26" t="n">
        <f aca="false">IF(A678="","",MONTH(A678))</f>
        <v>7</v>
      </c>
      <c r="L678" s="26" t="n">
        <f aca="false">IF(B678="","",VALUE(LEFT(B678,2)))</f>
        <v>11</v>
      </c>
      <c r="M678" s="26" t="n">
        <f aca="false">IF(A678="","",IF(COUNTIFS($C$2:$C$5001,C678,$J$2:$J$5001,J678,$A$2:$A$5001,"&lt;"&amp;A678)=0,1,0))</f>
        <v>0</v>
      </c>
    </row>
    <row r="679" customFormat="false" ht="15" hidden="false" customHeight="false" outlineLevel="0" collapsed="false">
      <c r="A679" s="23" t="n">
        <v>45847.7340277778</v>
      </c>
      <c r="B679" s="24" t="s">
        <v>505</v>
      </c>
      <c r="C679" s="24" t="s">
        <v>343</v>
      </c>
      <c r="D679" s="24" t="s">
        <v>66</v>
      </c>
      <c r="E679" s="24" t="n">
        <v>71</v>
      </c>
      <c r="F679" s="25" t="n">
        <v>3000</v>
      </c>
      <c r="G679" s="24" t="s">
        <v>59</v>
      </c>
      <c r="H679" s="24" t="s">
        <v>55</v>
      </c>
      <c r="I679" s="24" t="s">
        <v>61</v>
      </c>
      <c r="J679" s="26" t="n">
        <f aca="false">IF(A679="","",YEAR(A679))</f>
        <v>2025</v>
      </c>
      <c r="K679" s="26" t="n">
        <f aca="false">IF(A679="","",MONTH(A679))</f>
        <v>7</v>
      </c>
      <c r="L679" s="26" t="n">
        <f aca="false">IF(B679="","",VALUE(LEFT(B679,2)))</f>
        <v>16</v>
      </c>
      <c r="M679" s="26" t="n">
        <f aca="false">IF(A679="","",IF(COUNTIFS($C$2:$C$5001,C679,$J$2:$J$5001,J679,$A$2:$A$5001,"&lt;"&amp;A679)=0,1,0))</f>
        <v>0</v>
      </c>
    </row>
    <row r="680" customFormat="false" ht="15" hidden="false" customHeight="false" outlineLevel="0" collapsed="false">
      <c r="A680" s="23" t="n">
        <v>45847.7458333333</v>
      </c>
      <c r="B680" s="24" t="s">
        <v>327</v>
      </c>
      <c r="C680" s="24" t="s">
        <v>345</v>
      </c>
      <c r="D680" s="24" t="s">
        <v>66</v>
      </c>
      <c r="E680" s="24" t="n">
        <v>363</v>
      </c>
      <c r="F680" s="25" t="n">
        <v>13000</v>
      </c>
      <c r="G680" s="24" t="s">
        <v>59</v>
      </c>
      <c r="H680" s="24" t="s">
        <v>55</v>
      </c>
      <c r="I680" s="24" t="s">
        <v>61</v>
      </c>
      <c r="J680" s="26" t="n">
        <f aca="false">IF(A680="","",YEAR(A680))</f>
        <v>2025</v>
      </c>
      <c r="K680" s="26" t="n">
        <f aca="false">IF(A680="","",MONTH(A680))</f>
        <v>7</v>
      </c>
      <c r="L680" s="26" t="n">
        <f aca="false">IF(B680="","",VALUE(LEFT(B680,2)))</f>
        <v>11</v>
      </c>
      <c r="M680" s="26" t="n">
        <f aca="false">IF(A680="","",IF(COUNTIFS($C$2:$C$5001,C680,$J$2:$J$5001,J680,$A$2:$A$5001,"&lt;"&amp;A680)=0,1,0))</f>
        <v>0</v>
      </c>
    </row>
    <row r="681" customFormat="false" ht="15" hidden="false" customHeight="false" outlineLevel="0" collapsed="false">
      <c r="A681" s="23" t="n">
        <v>45847.8333333333</v>
      </c>
      <c r="B681" s="24" t="s">
        <v>681</v>
      </c>
      <c r="C681" s="24" t="s">
        <v>138</v>
      </c>
      <c r="D681" s="24" t="s">
        <v>66</v>
      </c>
      <c r="E681" s="24" t="n">
        <v>326</v>
      </c>
      <c r="F681" s="25" t="n">
        <v>9350</v>
      </c>
      <c r="G681" s="24" t="s">
        <v>59</v>
      </c>
      <c r="H681" s="24" t="s">
        <v>60</v>
      </c>
      <c r="I681" s="24" t="s">
        <v>113</v>
      </c>
      <c r="J681" s="26" t="n">
        <f aca="false">IF(A681="","",YEAR(A681))</f>
        <v>2025</v>
      </c>
      <c r="K681" s="26" t="n">
        <f aca="false">IF(A681="","",MONTH(A681))</f>
        <v>7</v>
      </c>
      <c r="L681" s="26" t="n">
        <f aca="false">IF(B681="","",VALUE(LEFT(B681,2)))</f>
        <v>14</v>
      </c>
      <c r="M681" s="26" t="n">
        <f aca="false">IF(A681="","",IF(COUNTIFS($C$2:$C$5001,C681,$J$2:$J$5001,J681,$A$2:$A$5001,"&lt;"&amp;A681)=0,1,0))</f>
        <v>0</v>
      </c>
    </row>
    <row r="682" customFormat="false" ht="15" hidden="false" customHeight="false" outlineLevel="0" collapsed="false">
      <c r="A682" s="23" t="n">
        <v>45847.8611111111</v>
      </c>
      <c r="B682" s="24" t="s">
        <v>121</v>
      </c>
      <c r="C682" s="24" t="s">
        <v>94</v>
      </c>
      <c r="D682" s="24" t="s">
        <v>53</v>
      </c>
      <c r="E682" s="24" t="n">
        <v>151</v>
      </c>
      <c r="F682" s="25" t="n">
        <v>2550</v>
      </c>
      <c r="G682" s="24" t="s">
        <v>59</v>
      </c>
      <c r="H682" s="24" t="s">
        <v>80</v>
      </c>
      <c r="I682" s="24" t="s">
        <v>113</v>
      </c>
      <c r="J682" s="26" t="n">
        <f aca="false">IF(A682="","",YEAR(A682))</f>
        <v>2025</v>
      </c>
      <c r="K682" s="26" t="n">
        <f aca="false">IF(A682="","",MONTH(A682))</f>
        <v>7</v>
      </c>
      <c r="L682" s="26" t="n">
        <f aca="false">IF(B682="","",VALUE(LEFT(B682,2)))</f>
        <v>18</v>
      </c>
      <c r="M682" s="26" t="n">
        <f aca="false">IF(A682="","",IF(COUNTIFS($C$2:$C$5001,C682,$J$2:$J$5001,J682,$A$2:$A$5001,"&lt;"&amp;A682)=0,1,0))</f>
        <v>0</v>
      </c>
    </row>
    <row r="683" customFormat="false" ht="15" hidden="false" customHeight="false" outlineLevel="0" collapsed="false">
      <c r="A683" s="23" t="n">
        <v>45848.3840277778</v>
      </c>
      <c r="B683" s="24" t="s">
        <v>132</v>
      </c>
      <c r="C683" s="24" t="s">
        <v>398</v>
      </c>
      <c r="D683" s="24" t="s">
        <v>66</v>
      </c>
      <c r="E683" s="24" t="n">
        <v>68</v>
      </c>
      <c r="F683" s="25" t="n">
        <v>2550</v>
      </c>
      <c r="G683" s="24" t="s">
        <v>83</v>
      </c>
      <c r="H683" s="24" t="s">
        <v>55</v>
      </c>
      <c r="I683" s="24" t="s">
        <v>113</v>
      </c>
      <c r="J683" s="26" t="n">
        <f aca="false">IF(A683="","",YEAR(A683))</f>
        <v>2025</v>
      </c>
      <c r="K683" s="26" t="n">
        <f aca="false">IF(A683="","",MONTH(A683))</f>
        <v>7</v>
      </c>
      <c r="L683" s="26" t="n">
        <f aca="false">IF(B683="","",VALUE(LEFT(B683,2)))</f>
        <v>8</v>
      </c>
      <c r="M683" s="26" t="n">
        <f aca="false">IF(A683="","",IF(COUNTIFS($C$2:$C$5001,C683,$J$2:$J$5001,J683,$A$2:$A$5001,"&lt;"&amp;A683)=0,1,0))</f>
        <v>0</v>
      </c>
    </row>
    <row r="684" customFormat="false" ht="15" hidden="false" customHeight="false" outlineLevel="0" collapsed="false">
      <c r="A684" s="23" t="n">
        <v>45848.5402777778</v>
      </c>
      <c r="B684" s="24" t="s">
        <v>682</v>
      </c>
      <c r="C684" s="24" t="s">
        <v>192</v>
      </c>
      <c r="D684" s="24" t="s">
        <v>66</v>
      </c>
      <c r="E684" s="24" t="n">
        <v>267</v>
      </c>
      <c r="F684" s="25" t="n">
        <v>7650</v>
      </c>
      <c r="G684" s="24" t="s">
        <v>59</v>
      </c>
      <c r="H684" s="24" t="s">
        <v>60</v>
      </c>
      <c r="I684" s="24" t="s">
        <v>113</v>
      </c>
      <c r="J684" s="26" t="n">
        <f aca="false">IF(A684="","",YEAR(A684))</f>
        <v>2025</v>
      </c>
      <c r="K684" s="26" t="n">
        <f aca="false">IF(A684="","",MONTH(A684))</f>
        <v>7</v>
      </c>
      <c r="L684" s="26" t="n">
        <f aca="false">IF(B684="","",VALUE(LEFT(B684,2)))</f>
        <v>8</v>
      </c>
      <c r="M684" s="26" t="n">
        <f aca="false">IF(A684="","",IF(COUNTIFS($C$2:$C$5001,C684,$J$2:$J$5001,J684,$A$2:$A$5001,"&lt;"&amp;A684)=0,1,0))</f>
        <v>0</v>
      </c>
    </row>
    <row r="685" customFormat="false" ht="15" hidden="false" customHeight="false" outlineLevel="0" collapsed="false">
      <c r="A685" s="23" t="n">
        <v>45848.5534722222</v>
      </c>
      <c r="B685" s="24" t="s">
        <v>639</v>
      </c>
      <c r="C685" s="24" t="s">
        <v>324</v>
      </c>
      <c r="D685" s="24" t="s">
        <v>53</v>
      </c>
      <c r="E685" s="24" t="n">
        <v>281</v>
      </c>
      <c r="F685" s="25" t="n">
        <v>5000</v>
      </c>
      <c r="G685" s="24" t="s">
        <v>69</v>
      </c>
      <c r="H685" s="24" t="s">
        <v>55</v>
      </c>
      <c r="I685" s="24" t="s">
        <v>61</v>
      </c>
      <c r="J685" s="26" t="n">
        <f aca="false">IF(A685="","",YEAR(A685))</f>
        <v>2025</v>
      </c>
      <c r="K685" s="26" t="n">
        <f aca="false">IF(A685="","",MONTH(A685))</f>
        <v>7</v>
      </c>
      <c r="L685" s="26" t="n">
        <f aca="false">IF(B685="","",VALUE(LEFT(B685,2)))</f>
        <v>8</v>
      </c>
      <c r="M685" s="26" t="n">
        <f aca="false">IF(A685="","",IF(COUNTIFS($C$2:$C$5001,C685,$J$2:$J$5001,J685,$A$2:$A$5001,"&lt;"&amp;A685)=0,1,0))</f>
        <v>0</v>
      </c>
    </row>
    <row r="686" customFormat="false" ht="15" hidden="false" customHeight="false" outlineLevel="0" collapsed="false">
      <c r="A686" s="23" t="n">
        <v>45848.7340277778</v>
      </c>
      <c r="B686" s="24" t="s">
        <v>487</v>
      </c>
      <c r="C686" s="24" t="s">
        <v>123</v>
      </c>
      <c r="D686" s="24" t="s">
        <v>88</v>
      </c>
      <c r="E686" s="24" t="n">
        <v>235</v>
      </c>
      <c r="F686" s="25" t="n">
        <v>0</v>
      </c>
      <c r="G686" s="24" t="s">
        <v>59</v>
      </c>
      <c r="H686" s="24" t="s">
        <v>55</v>
      </c>
      <c r="I686" s="24" t="s">
        <v>56</v>
      </c>
      <c r="J686" s="26" t="n">
        <f aca="false">IF(A686="","",YEAR(A686))</f>
        <v>2025</v>
      </c>
      <c r="K686" s="26" t="n">
        <f aca="false">IF(A686="","",MONTH(A686))</f>
        <v>7</v>
      </c>
      <c r="L686" s="26" t="n">
        <f aca="false">IF(B686="","",VALUE(LEFT(B686,2)))</f>
        <v>13</v>
      </c>
      <c r="M686" s="26" t="n">
        <f aca="false">IF(A686="","",IF(COUNTIFS($C$2:$C$5001,C686,$J$2:$J$5001,J686,$A$2:$A$5001,"&lt;"&amp;A686)=0,1,0))</f>
        <v>0</v>
      </c>
    </row>
    <row r="687" customFormat="false" ht="15" hidden="false" customHeight="false" outlineLevel="0" collapsed="false">
      <c r="A687" s="23" t="n">
        <v>45848.7506944445</v>
      </c>
      <c r="B687" s="24" t="s">
        <v>522</v>
      </c>
      <c r="C687" s="24" t="s">
        <v>90</v>
      </c>
      <c r="D687" s="24" t="s">
        <v>66</v>
      </c>
      <c r="E687" s="24" t="n">
        <v>149</v>
      </c>
      <c r="F687" s="25" t="n">
        <v>4250</v>
      </c>
      <c r="G687" s="24" t="s">
        <v>59</v>
      </c>
      <c r="H687" s="24" t="s">
        <v>60</v>
      </c>
      <c r="I687" s="24" t="s">
        <v>113</v>
      </c>
      <c r="J687" s="26" t="n">
        <f aca="false">IF(A687="","",YEAR(A687))</f>
        <v>2025</v>
      </c>
      <c r="K687" s="26" t="n">
        <f aca="false">IF(A687="","",MONTH(A687))</f>
        <v>7</v>
      </c>
      <c r="L687" s="26" t="n">
        <f aca="false">IF(B687="","",VALUE(LEFT(B687,2)))</f>
        <v>15</v>
      </c>
      <c r="M687" s="26" t="n">
        <f aca="false">IF(A687="","",IF(COUNTIFS($C$2:$C$5001,C687,$J$2:$J$5001,J687,$A$2:$A$5001,"&lt;"&amp;A687)=0,1,0))</f>
        <v>0</v>
      </c>
    </row>
    <row r="688" customFormat="false" ht="15" hidden="false" customHeight="false" outlineLevel="0" collapsed="false">
      <c r="A688" s="23" t="n">
        <v>45848.7909722222</v>
      </c>
      <c r="B688" s="24" t="s">
        <v>683</v>
      </c>
      <c r="C688" s="24" t="s">
        <v>145</v>
      </c>
      <c r="D688" s="24" t="s">
        <v>88</v>
      </c>
      <c r="E688" s="24" t="n">
        <v>206</v>
      </c>
      <c r="F688" s="25" t="n">
        <v>10500</v>
      </c>
      <c r="G688" s="24" t="s">
        <v>69</v>
      </c>
      <c r="H688" s="24" t="s">
        <v>55</v>
      </c>
      <c r="I688" s="24" t="s">
        <v>61</v>
      </c>
      <c r="J688" s="26" t="n">
        <f aca="false">IF(A688="","",YEAR(A688))</f>
        <v>2025</v>
      </c>
      <c r="K688" s="26" t="n">
        <f aca="false">IF(A688="","",MONTH(A688))</f>
        <v>7</v>
      </c>
      <c r="L688" s="26" t="n">
        <f aca="false">IF(B688="","",VALUE(LEFT(B688,2)))</f>
        <v>15</v>
      </c>
      <c r="M688" s="26" t="n">
        <f aca="false">IF(A688="","",IF(COUNTIFS($C$2:$C$5001,C688,$J$2:$J$5001,J688,$A$2:$A$5001,"&lt;"&amp;A688)=0,1,0))</f>
        <v>0</v>
      </c>
    </row>
    <row r="689" customFormat="false" ht="15" hidden="false" customHeight="false" outlineLevel="0" collapsed="false">
      <c r="A689" s="23" t="n">
        <v>45848.8395833333</v>
      </c>
      <c r="B689" s="24" t="s">
        <v>247</v>
      </c>
      <c r="C689" s="24" t="s">
        <v>172</v>
      </c>
      <c r="D689" s="24" t="s">
        <v>53</v>
      </c>
      <c r="E689" s="24" t="n">
        <v>78</v>
      </c>
      <c r="F689" s="25" t="n">
        <v>1500</v>
      </c>
      <c r="G689" s="24" t="s">
        <v>59</v>
      </c>
      <c r="H689" s="24" t="s">
        <v>55</v>
      </c>
      <c r="I689" s="24" t="s">
        <v>61</v>
      </c>
      <c r="J689" s="26" t="n">
        <f aca="false">IF(A689="","",YEAR(A689))</f>
        <v>2025</v>
      </c>
      <c r="K689" s="26" t="n">
        <f aca="false">IF(A689="","",MONTH(A689))</f>
        <v>7</v>
      </c>
      <c r="L689" s="26" t="n">
        <f aca="false">IF(B689="","",VALUE(LEFT(B689,2)))</f>
        <v>18</v>
      </c>
      <c r="M689" s="26" t="n">
        <f aca="false">IF(A689="","",IF(COUNTIFS($C$2:$C$5001,C689,$J$2:$J$5001,J689,$A$2:$A$5001,"&lt;"&amp;A689)=0,1,0))</f>
        <v>0</v>
      </c>
    </row>
    <row r="690" customFormat="false" ht="15" hidden="false" customHeight="false" outlineLevel="0" collapsed="false">
      <c r="A690" s="23" t="n">
        <v>45848.8854166667</v>
      </c>
      <c r="B690" s="24" t="s">
        <v>684</v>
      </c>
      <c r="C690" s="24" t="s">
        <v>289</v>
      </c>
      <c r="D690" s="24" t="s">
        <v>66</v>
      </c>
      <c r="E690" s="24" t="n">
        <v>349</v>
      </c>
      <c r="F690" s="25" t="n">
        <v>12000</v>
      </c>
      <c r="G690" s="24" t="s">
        <v>59</v>
      </c>
      <c r="H690" s="24" t="s">
        <v>80</v>
      </c>
      <c r="I690" s="24" t="s">
        <v>61</v>
      </c>
      <c r="J690" s="26" t="n">
        <f aca="false">IF(A690="","",YEAR(A690))</f>
        <v>2025</v>
      </c>
      <c r="K690" s="26" t="n">
        <f aca="false">IF(A690="","",MONTH(A690))</f>
        <v>7</v>
      </c>
      <c r="L690" s="26" t="n">
        <f aca="false">IF(B690="","",VALUE(LEFT(B690,2)))</f>
        <v>15</v>
      </c>
      <c r="M690" s="26" t="n">
        <f aca="false">IF(A690="","",IF(COUNTIFS($C$2:$C$5001,C690,$J$2:$J$5001,J690,$A$2:$A$5001,"&lt;"&amp;A690)=0,1,0))</f>
        <v>0</v>
      </c>
    </row>
    <row r="691" customFormat="false" ht="15" hidden="false" customHeight="false" outlineLevel="0" collapsed="false">
      <c r="A691" s="23" t="n">
        <v>45849.0548611111</v>
      </c>
      <c r="B691" s="24" t="s">
        <v>621</v>
      </c>
      <c r="C691" s="24" t="s">
        <v>63</v>
      </c>
      <c r="D691" s="24" t="s">
        <v>66</v>
      </c>
      <c r="E691" s="24" t="n">
        <v>356</v>
      </c>
      <c r="F691" s="25" t="n">
        <v>12000</v>
      </c>
      <c r="G691" s="24" t="s">
        <v>59</v>
      </c>
      <c r="H691" s="24" t="s">
        <v>55</v>
      </c>
      <c r="I691" s="24" t="s">
        <v>61</v>
      </c>
      <c r="J691" s="26" t="n">
        <f aca="false">IF(A691="","",YEAR(A691))</f>
        <v>2025</v>
      </c>
      <c r="K691" s="26" t="n">
        <f aca="false">IF(A691="","",MONTH(A691))</f>
        <v>7</v>
      </c>
      <c r="L691" s="26" t="n">
        <f aca="false">IF(B691="","",VALUE(LEFT(B691,2)))</f>
        <v>19</v>
      </c>
      <c r="M691" s="26" t="n">
        <f aca="false">IF(A691="","",IF(COUNTIFS($C$2:$C$5001,C691,$J$2:$J$5001,J691,$A$2:$A$5001,"&lt;"&amp;A691)=0,1,0))</f>
        <v>0</v>
      </c>
    </row>
    <row r="692" customFormat="false" ht="15" hidden="false" customHeight="false" outlineLevel="0" collapsed="false">
      <c r="A692" s="23" t="n">
        <v>45849.3930555556</v>
      </c>
      <c r="B692" s="24" t="s">
        <v>469</v>
      </c>
      <c r="C692" s="24" t="s">
        <v>96</v>
      </c>
      <c r="D692" s="24" t="s">
        <v>66</v>
      </c>
      <c r="E692" s="24" t="n">
        <v>109</v>
      </c>
      <c r="F692" s="25" t="n">
        <v>4000</v>
      </c>
      <c r="G692" s="24" t="s">
        <v>59</v>
      </c>
      <c r="H692" s="24" t="s">
        <v>60</v>
      </c>
      <c r="I692" s="24" t="s">
        <v>61</v>
      </c>
      <c r="J692" s="26" t="n">
        <f aca="false">IF(A692="","",YEAR(A692))</f>
        <v>2025</v>
      </c>
      <c r="K692" s="26" t="n">
        <f aca="false">IF(A692="","",MONTH(A692))</f>
        <v>7</v>
      </c>
      <c r="L692" s="26" t="n">
        <f aca="false">IF(B692="","",VALUE(LEFT(B692,2)))</f>
        <v>7</v>
      </c>
      <c r="M692" s="26" t="n">
        <f aca="false">IF(A692="","",IF(COUNTIFS($C$2:$C$5001,C692,$J$2:$J$5001,J692,$A$2:$A$5001,"&lt;"&amp;A692)=0,1,0))</f>
        <v>0</v>
      </c>
    </row>
    <row r="693" customFormat="false" ht="15" hidden="false" customHeight="false" outlineLevel="0" collapsed="false">
      <c r="A693" s="23" t="n">
        <v>45849.5263888889</v>
      </c>
      <c r="B693" s="24" t="s">
        <v>685</v>
      </c>
      <c r="C693" s="24" t="s">
        <v>174</v>
      </c>
      <c r="D693" s="24" t="s">
        <v>66</v>
      </c>
      <c r="E693" s="24" t="n">
        <v>176</v>
      </c>
      <c r="F693" s="25" t="n">
        <v>0</v>
      </c>
      <c r="G693" s="24" t="s">
        <v>59</v>
      </c>
      <c r="H693" s="24" t="s">
        <v>55</v>
      </c>
      <c r="I693" s="24" t="s">
        <v>56</v>
      </c>
      <c r="J693" s="26" t="n">
        <f aca="false">IF(A693="","",YEAR(A693))</f>
        <v>2025</v>
      </c>
      <c r="K693" s="26" t="n">
        <f aca="false">IF(A693="","",MONTH(A693))</f>
        <v>7</v>
      </c>
      <c r="L693" s="26" t="n">
        <f aca="false">IF(B693="","",VALUE(LEFT(B693,2)))</f>
        <v>9</v>
      </c>
      <c r="M693" s="26" t="n">
        <f aca="false">IF(A693="","",IF(COUNTIFS($C$2:$C$5001,C693,$J$2:$J$5001,J693,$A$2:$A$5001,"&lt;"&amp;A693)=0,1,0))</f>
        <v>0</v>
      </c>
    </row>
    <row r="694" customFormat="false" ht="15" hidden="false" customHeight="false" outlineLevel="0" collapsed="false">
      <c r="A694" s="23" t="n">
        <v>45849.5611111111</v>
      </c>
      <c r="B694" s="24" t="s">
        <v>319</v>
      </c>
      <c r="C694" s="24" t="s">
        <v>145</v>
      </c>
      <c r="D694" s="24" t="s">
        <v>53</v>
      </c>
      <c r="E694" s="24" t="n">
        <v>317</v>
      </c>
      <c r="F694" s="25" t="n">
        <v>5500</v>
      </c>
      <c r="G694" s="24" t="s">
        <v>79</v>
      </c>
      <c r="H694" s="24" t="s">
        <v>55</v>
      </c>
      <c r="I694" s="24" t="s">
        <v>61</v>
      </c>
      <c r="J694" s="26" t="n">
        <f aca="false">IF(A694="","",YEAR(A694))</f>
        <v>2025</v>
      </c>
      <c r="K694" s="26" t="n">
        <f aca="false">IF(A694="","",MONTH(A694))</f>
        <v>7</v>
      </c>
      <c r="L694" s="26" t="n">
        <f aca="false">IF(B694="","",VALUE(LEFT(B694,2)))</f>
        <v>8</v>
      </c>
      <c r="M694" s="26" t="n">
        <f aca="false">IF(A694="","",IF(COUNTIFS($C$2:$C$5001,C694,$J$2:$J$5001,J694,$A$2:$A$5001,"&lt;"&amp;A694)=0,1,0))</f>
        <v>0</v>
      </c>
    </row>
    <row r="695" customFormat="false" ht="15" hidden="false" customHeight="false" outlineLevel="0" collapsed="false">
      <c r="A695" s="23" t="n">
        <v>45849.6083333333</v>
      </c>
      <c r="B695" s="24" t="s">
        <v>258</v>
      </c>
      <c r="C695" s="24" t="s">
        <v>454</v>
      </c>
      <c r="D695" s="24" t="s">
        <v>53</v>
      </c>
      <c r="E695" s="24" t="n">
        <v>297</v>
      </c>
      <c r="F695" s="25" t="n">
        <v>5000</v>
      </c>
      <c r="G695" s="24" t="s">
        <v>59</v>
      </c>
      <c r="H695" s="24" t="s">
        <v>55</v>
      </c>
      <c r="I695" s="24" t="s">
        <v>61</v>
      </c>
      <c r="J695" s="26" t="n">
        <f aca="false">IF(A695="","",YEAR(A695))</f>
        <v>2025</v>
      </c>
      <c r="K695" s="26" t="n">
        <f aca="false">IF(A695="","",MONTH(A695))</f>
        <v>7</v>
      </c>
      <c r="L695" s="26" t="n">
        <f aca="false">IF(B695="","",VALUE(LEFT(B695,2)))</f>
        <v>9</v>
      </c>
      <c r="M695" s="26" t="n">
        <f aca="false">IF(A695="","",IF(COUNTIFS($C$2:$C$5001,C695,$J$2:$J$5001,J695,$A$2:$A$5001,"&lt;"&amp;A695)=0,1,0))</f>
        <v>0</v>
      </c>
    </row>
    <row r="696" customFormat="false" ht="15" hidden="false" customHeight="false" outlineLevel="0" collapsed="false">
      <c r="A696" s="23" t="n">
        <v>45849.6131944444</v>
      </c>
      <c r="B696" s="24" t="s">
        <v>109</v>
      </c>
      <c r="C696" s="24" t="s">
        <v>290</v>
      </c>
      <c r="D696" s="24" t="s">
        <v>66</v>
      </c>
      <c r="E696" s="24" t="n">
        <v>389</v>
      </c>
      <c r="F696" s="25" t="n">
        <v>13000</v>
      </c>
      <c r="G696" s="24" t="s">
        <v>69</v>
      </c>
      <c r="H696" s="24" t="s">
        <v>60</v>
      </c>
      <c r="I696" s="24" t="s">
        <v>61</v>
      </c>
      <c r="J696" s="26" t="n">
        <f aca="false">IF(A696="","",YEAR(A696))</f>
        <v>2025</v>
      </c>
      <c r="K696" s="26" t="n">
        <f aca="false">IF(A696="","",MONTH(A696))</f>
        <v>7</v>
      </c>
      <c r="L696" s="26" t="n">
        <f aca="false">IF(B696="","",VALUE(LEFT(B696,2)))</f>
        <v>8</v>
      </c>
      <c r="M696" s="26" t="n">
        <f aca="false">IF(A696="","",IF(COUNTIFS($C$2:$C$5001,C696,$J$2:$J$5001,J696,$A$2:$A$5001,"&lt;"&amp;A696)=0,1,0))</f>
        <v>0</v>
      </c>
    </row>
    <row r="697" customFormat="false" ht="15" hidden="false" customHeight="false" outlineLevel="0" collapsed="false">
      <c r="A697" s="23" t="n">
        <v>45849.8784722222</v>
      </c>
      <c r="B697" s="24" t="s">
        <v>521</v>
      </c>
      <c r="C697" s="24" t="s">
        <v>289</v>
      </c>
      <c r="D697" s="24" t="s">
        <v>53</v>
      </c>
      <c r="E697" s="24" t="n">
        <v>237</v>
      </c>
      <c r="F697" s="25" t="n">
        <v>4000</v>
      </c>
      <c r="G697" s="24" t="s">
        <v>59</v>
      </c>
      <c r="H697" s="24" t="s">
        <v>60</v>
      </c>
      <c r="I697" s="24" t="s">
        <v>61</v>
      </c>
      <c r="J697" s="26" t="n">
        <f aca="false">IF(A697="","",YEAR(A697))</f>
        <v>2025</v>
      </c>
      <c r="K697" s="26" t="n">
        <f aca="false">IF(A697="","",MONTH(A697))</f>
        <v>7</v>
      </c>
      <c r="L697" s="26" t="n">
        <f aca="false">IF(B697="","",VALUE(LEFT(B697,2)))</f>
        <v>17</v>
      </c>
      <c r="M697" s="26" t="n">
        <f aca="false">IF(A697="","",IF(COUNTIFS($C$2:$C$5001,C697,$J$2:$J$5001,J697,$A$2:$A$5001,"&lt;"&amp;A697)=0,1,0))</f>
        <v>0</v>
      </c>
    </row>
    <row r="698" customFormat="false" ht="15" hidden="false" customHeight="false" outlineLevel="0" collapsed="false">
      <c r="A698" s="23" t="n">
        <v>45849.9958333333</v>
      </c>
      <c r="B698" s="24" t="s">
        <v>686</v>
      </c>
      <c r="C698" s="24" t="s">
        <v>147</v>
      </c>
      <c r="D698" s="24" t="s">
        <v>66</v>
      </c>
      <c r="E698" s="24" t="n">
        <v>401</v>
      </c>
      <c r="F698" s="25" t="n">
        <v>0</v>
      </c>
      <c r="G698" s="24" t="s">
        <v>79</v>
      </c>
      <c r="H698" s="24" t="s">
        <v>55</v>
      </c>
      <c r="I698" s="24" t="s">
        <v>56</v>
      </c>
      <c r="J698" s="26" t="n">
        <f aca="false">IF(A698="","",YEAR(A698))</f>
        <v>2025</v>
      </c>
      <c r="K698" s="26" t="n">
        <f aca="false">IF(A698="","",MONTH(A698))</f>
        <v>7</v>
      </c>
      <c r="L698" s="26" t="n">
        <f aca="false">IF(B698="","",VALUE(LEFT(B698,2)))</f>
        <v>17</v>
      </c>
      <c r="M698" s="26" t="n">
        <f aca="false">IF(A698="","",IF(COUNTIFS($C$2:$C$5001,C698,$J$2:$J$5001,J698,$A$2:$A$5001,"&lt;"&amp;A698)=0,1,0))</f>
        <v>0</v>
      </c>
    </row>
    <row r="699" customFormat="false" ht="15" hidden="false" customHeight="false" outlineLevel="0" collapsed="false">
      <c r="A699" s="23" t="n">
        <v>45850.2993055556</v>
      </c>
      <c r="B699" s="24" t="s">
        <v>687</v>
      </c>
      <c r="C699" s="24" t="s">
        <v>94</v>
      </c>
      <c r="D699" s="24" t="s">
        <v>66</v>
      </c>
      <c r="E699" s="24" t="n">
        <v>64</v>
      </c>
      <c r="F699" s="25" t="n">
        <v>3000</v>
      </c>
      <c r="G699" s="24" t="s">
        <v>69</v>
      </c>
      <c r="H699" s="24" t="s">
        <v>55</v>
      </c>
      <c r="I699" s="24" t="s">
        <v>61</v>
      </c>
      <c r="J699" s="26" t="n">
        <f aca="false">IF(A699="","",YEAR(A699))</f>
        <v>2025</v>
      </c>
      <c r="K699" s="26" t="n">
        <f aca="false">IF(A699="","",MONTH(A699))</f>
        <v>7</v>
      </c>
      <c r="L699" s="26" t="n">
        <f aca="false">IF(B699="","",VALUE(LEFT(B699,2)))</f>
        <v>6</v>
      </c>
      <c r="M699" s="26" t="n">
        <f aca="false">IF(A699="","",IF(COUNTIFS($C$2:$C$5001,C699,$J$2:$J$5001,J699,$A$2:$A$5001,"&lt;"&amp;A699)=0,1,0))</f>
        <v>0</v>
      </c>
    </row>
    <row r="700" customFormat="false" ht="15" hidden="false" customHeight="false" outlineLevel="0" collapsed="false">
      <c r="A700" s="23" t="n">
        <v>45850.6069444444</v>
      </c>
      <c r="B700" s="24" t="s">
        <v>688</v>
      </c>
      <c r="C700" s="24" t="s">
        <v>309</v>
      </c>
      <c r="D700" s="24" t="s">
        <v>66</v>
      </c>
      <c r="E700" s="24" t="n">
        <v>189</v>
      </c>
      <c r="F700" s="25" t="n">
        <v>0</v>
      </c>
      <c r="G700" s="24" t="s">
        <v>59</v>
      </c>
      <c r="H700" s="24" t="s">
        <v>80</v>
      </c>
      <c r="I700" s="24" t="s">
        <v>56</v>
      </c>
      <c r="J700" s="26" t="n">
        <f aca="false">IF(A700="","",YEAR(A700))</f>
        <v>2025</v>
      </c>
      <c r="K700" s="26" t="n">
        <f aca="false">IF(A700="","",MONTH(A700))</f>
        <v>7</v>
      </c>
      <c r="L700" s="26" t="n">
        <f aca="false">IF(B700="","",VALUE(LEFT(B700,2)))</f>
        <v>11</v>
      </c>
      <c r="M700" s="26" t="n">
        <f aca="false">IF(A700="","",IF(COUNTIFS($C$2:$C$5001,C700,$J$2:$J$5001,J700,$A$2:$A$5001,"&lt;"&amp;A700)=0,1,0))</f>
        <v>0</v>
      </c>
    </row>
    <row r="701" customFormat="false" ht="15" hidden="false" customHeight="false" outlineLevel="0" collapsed="false">
      <c r="A701" s="23" t="n">
        <v>45850.6208333333</v>
      </c>
      <c r="B701" s="24" t="s">
        <v>689</v>
      </c>
      <c r="C701" s="24" t="s">
        <v>690</v>
      </c>
      <c r="D701" s="24" t="s">
        <v>53</v>
      </c>
      <c r="E701" s="24" t="n">
        <v>259</v>
      </c>
      <c r="F701" s="25" t="n">
        <v>3825</v>
      </c>
      <c r="G701" s="24" t="s">
        <v>59</v>
      </c>
      <c r="H701" s="24" t="s">
        <v>60</v>
      </c>
      <c r="I701" s="24" t="s">
        <v>113</v>
      </c>
      <c r="J701" s="26" t="n">
        <f aca="false">IF(A701="","",YEAR(A701))</f>
        <v>2025</v>
      </c>
      <c r="K701" s="26" t="n">
        <f aca="false">IF(A701="","",MONTH(A701))</f>
        <v>7</v>
      </c>
      <c r="L701" s="26" t="n">
        <f aca="false">IF(B701="","",VALUE(LEFT(B701,2)))</f>
        <v>10</v>
      </c>
      <c r="M701" s="26" t="n">
        <f aca="false">IF(A701="","",IF(COUNTIFS($C$2:$C$5001,C701,$J$2:$J$5001,J701,$A$2:$A$5001,"&lt;"&amp;A701)=0,1,0))</f>
        <v>1</v>
      </c>
    </row>
    <row r="702" customFormat="false" ht="15" hidden="false" customHeight="false" outlineLevel="0" collapsed="false">
      <c r="A702" s="23" t="n">
        <v>45850.7701388889</v>
      </c>
      <c r="B702" s="24" t="s">
        <v>200</v>
      </c>
      <c r="C702" s="24" t="s">
        <v>201</v>
      </c>
      <c r="D702" s="24" t="s">
        <v>66</v>
      </c>
      <c r="E702" s="24" t="n">
        <v>63</v>
      </c>
      <c r="F702" s="25" t="n">
        <v>3000</v>
      </c>
      <c r="G702" s="24" t="s">
        <v>59</v>
      </c>
      <c r="H702" s="24" t="s">
        <v>55</v>
      </c>
      <c r="I702" s="24" t="s">
        <v>61</v>
      </c>
      <c r="J702" s="26" t="n">
        <f aca="false">IF(A702="","",YEAR(A702))</f>
        <v>2025</v>
      </c>
      <c r="K702" s="26" t="n">
        <f aca="false">IF(A702="","",MONTH(A702))</f>
        <v>7</v>
      </c>
      <c r="L702" s="26" t="n">
        <f aca="false">IF(B702="","",VALUE(LEFT(B702,2)))</f>
        <v>17</v>
      </c>
      <c r="M702" s="26" t="n">
        <f aca="false">IF(A702="","",IF(COUNTIFS($C$2:$C$5001,C702,$J$2:$J$5001,J702,$A$2:$A$5001,"&lt;"&amp;A702)=0,1,0))</f>
        <v>0</v>
      </c>
    </row>
    <row r="703" customFormat="false" ht="15" hidden="false" customHeight="false" outlineLevel="0" collapsed="false">
      <c r="A703" s="23" t="n">
        <v>45850.7729166667</v>
      </c>
      <c r="B703" s="24" t="s">
        <v>114</v>
      </c>
      <c r="C703" s="24" t="s">
        <v>396</v>
      </c>
      <c r="D703" s="24" t="s">
        <v>127</v>
      </c>
      <c r="E703" s="24" t="n">
        <v>151</v>
      </c>
      <c r="F703" s="25" t="n">
        <v>0</v>
      </c>
      <c r="G703" s="24" t="s">
        <v>59</v>
      </c>
      <c r="H703" s="24" t="s">
        <v>80</v>
      </c>
      <c r="I703" s="24" t="s">
        <v>56</v>
      </c>
      <c r="J703" s="26" t="n">
        <f aca="false">IF(A703="","",YEAR(A703))</f>
        <v>2025</v>
      </c>
      <c r="K703" s="26" t="n">
        <f aca="false">IF(A703="","",MONTH(A703))</f>
        <v>7</v>
      </c>
      <c r="L703" s="26" t="n">
        <f aca="false">IF(B703="","",VALUE(LEFT(B703,2)))</f>
        <v>16</v>
      </c>
      <c r="M703" s="26" t="n">
        <f aca="false">IF(A703="","",IF(COUNTIFS($C$2:$C$5001,C703,$J$2:$J$5001,J703,$A$2:$A$5001,"&lt;"&amp;A703)=0,1,0))</f>
        <v>0</v>
      </c>
    </row>
    <row r="704" customFormat="false" ht="15" hidden="false" customHeight="false" outlineLevel="0" collapsed="false">
      <c r="A704" s="23" t="n">
        <v>45850.7965277778</v>
      </c>
      <c r="B704" s="24" t="s">
        <v>635</v>
      </c>
      <c r="C704" s="24" t="s">
        <v>82</v>
      </c>
      <c r="D704" s="24" t="s">
        <v>66</v>
      </c>
      <c r="E704" s="24" t="n">
        <v>85</v>
      </c>
      <c r="F704" s="25" t="n">
        <v>2550</v>
      </c>
      <c r="G704" s="24" t="s">
        <v>59</v>
      </c>
      <c r="H704" s="24" t="s">
        <v>80</v>
      </c>
      <c r="I704" s="24" t="s">
        <v>113</v>
      </c>
      <c r="J704" s="26" t="n">
        <f aca="false">IF(A704="","",YEAR(A704))</f>
        <v>2025</v>
      </c>
      <c r="K704" s="26" t="n">
        <f aca="false">IF(A704="","",MONTH(A704))</f>
        <v>7</v>
      </c>
      <c r="L704" s="26" t="n">
        <f aca="false">IF(B704="","",VALUE(LEFT(B704,2)))</f>
        <v>17</v>
      </c>
      <c r="M704" s="26" t="n">
        <f aca="false">IF(A704="","",IF(COUNTIFS($C$2:$C$5001,C704,$J$2:$J$5001,J704,$A$2:$A$5001,"&lt;"&amp;A704)=0,1,0))</f>
        <v>0</v>
      </c>
    </row>
    <row r="705" customFormat="false" ht="15" hidden="false" customHeight="false" outlineLevel="0" collapsed="false">
      <c r="A705" s="23" t="n">
        <v>45850.84375</v>
      </c>
      <c r="B705" s="24" t="s">
        <v>278</v>
      </c>
      <c r="C705" s="24" t="s">
        <v>309</v>
      </c>
      <c r="D705" s="24" t="s">
        <v>66</v>
      </c>
      <c r="E705" s="24" t="n">
        <v>26</v>
      </c>
      <c r="F705" s="25" t="n">
        <v>1000</v>
      </c>
      <c r="G705" s="24" t="s">
        <v>83</v>
      </c>
      <c r="H705" s="24" t="s">
        <v>80</v>
      </c>
      <c r="I705" s="24" t="s">
        <v>61</v>
      </c>
      <c r="J705" s="26" t="n">
        <f aca="false">IF(A705="","",YEAR(A705))</f>
        <v>2025</v>
      </c>
      <c r="K705" s="26" t="n">
        <f aca="false">IF(A705="","",MONTH(A705))</f>
        <v>7</v>
      </c>
      <c r="L705" s="26" t="n">
        <f aca="false">IF(B705="","",VALUE(LEFT(B705,2)))</f>
        <v>19</v>
      </c>
      <c r="M705" s="26" t="n">
        <f aca="false">IF(A705="","",IF(COUNTIFS($C$2:$C$5001,C705,$J$2:$J$5001,J705,$A$2:$A$5001,"&lt;"&amp;A705)=0,1,0))</f>
        <v>0</v>
      </c>
    </row>
    <row r="706" customFormat="false" ht="15" hidden="false" customHeight="false" outlineLevel="0" collapsed="false">
      <c r="A706" s="23" t="n">
        <v>45850.96875</v>
      </c>
      <c r="B706" s="24" t="s">
        <v>691</v>
      </c>
      <c r="C706" s="24" t="s">
        <v>512</v>
      </c>
      <c r="D706" s="24" t="s">
        <v>66</v>
      </c>
      <c r="E706" s="24" t="n">
        <v>325</v>
      </c>
      <c r="F706" s="25" t="n">
        <v>11000</v>
      </c>
      <c r="G706" s="24" t="s">
        <v>59</v>
      </c>
      <c r="H706" s="24" t="s">
        <v>60</v>
      </c>
      <c r="I706" s="24" t="s">
        <v>61</v>
      </c>
      <c r="J706" s="26" t="n">
        <f aca="false">IF(A706="","",YEAR(A706))</f>
        <v>2025</v>
      </c>
      <c r="K706" s="26" t="n">
        <f aca="false">IF(A706="","",MONTH(A706))</f>
        <v>7</v>
      </c>
      <c r="L706" s="26" t="n">
        <f aca="false">IF(B706="","",VALUE(LEFT(B706,2)))</f>
        <v>17</v>
      </c>
      <c r="M706" s="26" t="n">
        <f aca="false">IF(A706="","",IF(COUNTIFS($C$2:$C$5001,C706,$J$2:$J$5001,J706,$A$2:$A$5001,"&lt;"&amp;A706)=0,1,0))</f>
        <v>0</v>
      </c>
    </row>
    <row r="707" customFormat="false" ht="15" hidden="false" customHeight="false" outlineLevel="0" collapsed="false">
      <c r="A707" s="23" t="n">
        <v>45851.5145833333</v>
      </c>
      <c r="B707" s="24" t="s">
        <v>692</v>
      </c>
      <c r="C707" s="24" t="s">
        <v>170</v>
      </c>
      <c r="D707" s="24" t="s">
        <v>66</v>
      </c>
      <c r="E707" s="24" t="n">
        <v>332</v>
      </c>
      <c r="F707" s="25" t="n">
        <v>12000</v>
      </c>
      <c r="G707" s="24" t="s">
        <v>59</v>
      </c>
      <c r="H707" s="24" t="s">
        <v>80</v>
      </c>
      <c r="I707" s="24" t="s">
        <v>61</v>
      </c>
      <c r="J707" s="26" t="n">
        <f aca="false">IF(A707="","",YEAR(A707))</f>
        <v>2025</v>
      </c>
      <c r="K707" s="26" t="n">
        <f aca="false">IF(A707="","",MONTH(A707))</f>
        <v>7</v>
      </c>
      <c r="L707" s="26" t="n">
        <f aca="false">IF(B707="","",VALUE(LEFT(B707,2)))</f>
        <v>6</v>
      </c>
      <c r="M707" s="26" t="n">
        <f aca="false">IF(A707="","",IF(COUNTIFS($C$2:$C$5001,C707,$J$2:$J$5001,J707,$A$2:$A$5001,"&lt;"&amp;A707)=0,1,0))</f>
        <v>0</v>
      </c>
    </row>
    <row r="708" customFormat="false" ht="15" hidden="false" customHeight="false" outlineLevel="0" collapsed="false">
      <c r="A708" s="23" t="n">
        <v>45851.6916666667</v>
      </c>
      <c r="B708" s="24" t="s">
        <v>370</v>
      </c>
      <c r="C708" s="24" t="s">
        <v>436</v>
      </c>
      <c r="D708" s="24" t="s">
        <v>66</v>
      </c>
      <c r="E708" s="24" t="n">
        <v>310</v>
      </c>
      <c r="F708" s="25" t="n">
        <v>11000</v>
      </c>
      <c r="G708" s="24" t="s">
        <v>59</v>
      </c>
      <c r="H708" s="24" t="s">
        <v>80</v>
      </c>
      <c r="I708" s="24" t="s">
        <v>61</v>
      </c>
      <c r="J708" s="26" t="n">
        <f aca="false">IF(A708="","",YEAR(A708))</f>
        <v>2025</v>
      </c>
      <c r="K708" s="26" t="n">
        <f aca="false">IF(A708="","",MONTH(A708))</f>
        <v>7</v>
      </c>
      <c r="L708" s="26" t="n">
        <f aca="false">IF(B708="","",VALUE(LEFT(B708,2)))</f>
        <v>11</v>
      </c>
      <c r="M708" s="26" t="n">
        <f aca="false">IF(A708="","",IF(COUNTIFS($C$2:$C$5001,C708,$J$2:$J$5001,J708,$A$2:$A$5001,"&lt;"&amp;A708)=0,1,0))</f>
        <v>0</v>
      </c>
    </row>
    <row r="709" customFormat="false" ht="15" hidden="false" customHeight="false" outlineLevel="0" collapsed="false">
      <c r="A709" s="23" t="n">
        <v>45852.6118055556</v>
      </c>
      <c r="B709" s="24" t="s">
        <v>693</v>
      </c>
      <c r="C709" s="24" t="s">
        <v>235</v>
      </c>
      <c r="D709" s="24" t="s">
        <v>66</v>
      </c>
      <c r="E709" s="24" t="n">
        <v>259</v>
      </c>
      <c r="F709" s="25" t="n">
        <v>9000</v>
      </c>
      <c r="G709" s="24" t="s">
        <v>59</v>
      </c>
      <c r="H709" s="24" t="s">
        <v>55</v>
      </c>
      <c r="I709" s="24" t="s">
        <v>61</v>
      </c>
      <c r="J709" s="26" t="n">
        <f aca="false">IF(A709="","",YEAR(A709))</f>
        <v>2025</v>
      </c>
      <c r="K709" s="26" t="n">
        <f aca="false">IF(A709="","",MONTH(A709))</f>
        <v>7</v>
      </c>
      <c r="L709" s="26" t="n">
        <f aca="false">IF(B709="","",VALUE(LEFT(B709,2)))</f>
        <v>10</v>
      </c>
      <c r="M709" s="26" t="n">
        <f aca="false">IF(A709="","",IF(COUNTIFS($C$2:$C$5001,C709,$J$2:$J$5001,J709,$A$2:$A$5001,"&lt;"&amp;A709)=0,1,0))</f>
        <v>0</v>
      </c>
    </row>
    <row r="710" customFormat="false" ht="15" hidden="false" customHeight="false" outlineLevel="0" collapsed="false">
      <c r="A710" s="23" t="n">
        <v>45852.7333333333</v>
      </c>
      <c r="B710" s="24" t="s">
        <v>390</v>
      </c>
      <c r="C710" s="24" t="s">
        <v>152</v>
      </c>
      <c r="D710" s="24" t="s">
        <v>53</v>
      </c>
      <c r="E710" s="24" t="n">
        <v>203</v>
      </c>
      <c r="F710" s="25" t="n">
        <v>3500</v>
      </c>
      <c r="G710" s="24" t="s">
        <v>69</v>
      </c>
      <c r="H710" s="24" t="s">
        <v>80</v>
      </c>
      <c r="I710" s="24" t="s">
        <v>61</v>
      </c>
      <c r="J710" s="26" t="n">
        <f aca="false">IF(A710="","",YEAR(A710))</f>
        <v>2025</v>
      </c>
      <c r="K710" s="26" t="n">
        <f aca="false">IF(A710="","",MONTH(A710))</f>
        <v>7</v>
      </c>
      <c r="L710" s="26" t="n">
        <f aca="false">IF(B710="","",VALUE(LEFT(B710,2)))</f>
        <v>14</v>
      </c>
      <c r="M710" s="26" t="n">
        <f aca="false">IF(A710="","",IF(COUNTIFS($C$2:$C$5001,C710,$J$2:$J$5001,J710,$A$2:$A$5001,"&lt;"&amp;A710)=0,1,0))</f>
        <v>0</v>
      </c>
    </row>
    <row r="711" customFormat="false" ht="15" hidden="false" customHeight="false" outlineLevel="0" collapsed="false">
      <c r="A711" s="23" t="n">
        <v>45852.8583333333</v>
      </c>
      <c r="B711" s="24" t="s">
        <v>694</v>
      </c>
      <c r="C711" s="24" t="s">
        <v>243</v>
      </c>
      <c r="D711" s="24" t="s">
        <v>66</v>
      </c>
      <c r="E711" s="24" t="n">
        <v>41</v>
      </c>
      <c r="F711" s="25" t="n">
        <v>0</v>
      </c>
      <c r="G711" s="24" t="s">
        <v>59</v>
      </c>
      <c r="H711" s="24" t="s">
        <v>80</v>
      </c>
      <c r="I711" s="24" t="s">
        <v>56</v>
      </c>
      <c r="J711" s="26" t="n">
        <f aca="false">IF(A711="","",YEAR(A711))</f>
        <v>2025</v>
      </c>
      <c r="K711" s="26" t="n">
        <f aca="false">IF(A711="","",MONTH(A711))</f>
        <v>7</v>
      </c>
      <c r="L711" s="26" t="n">
        <f aca="false">IF(B711="","",VALUE(LEFT(B711,2)))</f>
        <v>19</v>
      </c>
      <c r="M711" s="26" t="n">
        <f aca="false">IF(A711="","",IF(COUNTIFS($C$2:$C$5001,C711,$J$2:$J$5001,J711,$A$2:$A$5001,"&lt;"&amp;A711)=0,1,0))</f>
        <v>0</v>
      </c>
    </row>
    <row r="712" customFormat="false" ht="15" hidden="false" customHeight="false" outlineLevel="0" collapsed="false">
      <c r="A712" s="23" t="n">
        <v>45853.0458333333</v>
      </c>
      <c r="B712" s="24" t="s">
        <v>695</v>
      </c>
      <c r="C712" s="24" t="s">
        <v>96</v>
      </c>
      <c r="D712" s="24" t="s">
        <v>66</v>
      </c>
      <c r="E712" s="24" t="n">
        <v>250</v>
      </c>
      <c r="F712" s="25" t="n">
        <v>9000</v>
      </c>
      <c r="G712" s="24" t="s">
        <v>59</v>
      </c>
      <c r="H712" s="24" t="s">
        <v>55</v>
      </c>
      <c r="I712" s="24" t="s">
        <v>61</v>
      </c>
      <c r="J712" s="26" t="n">
        <f aca="false">IF(A712="","",YEAR(A712))</f>
        <v>2025</v>
      </c>
      <c r="K712" s="26" t="n">
        <f aca="false">IF(A712="","",MONTH(A712))</f>
        <v>7</v>
      </c>
      <c r="L712" s="26" t="n">
        <f aca="false">IF(B712="","",VALUE(LEFT(B712,2)))</f>
        <v>20</v>
      </c>
      <c r="M712" s="26" t="n">
        <f aca="false">IF(A712="","",IF(COUNTIFS($C$2:$C$5001,C712,$J$2:$J$5001,J712,$A$2:$A$5001,"&lt;"&amp;A712)=0,1,0))</f>
        <v>0</v>
      </c>
    </row>
    <row r="713" customFormat="false" ht="15" hidden="false" customHeight="false" outlineLevel="0" collapsed="false">
      <c r="A713" s="23" t="n">
        <v>45853.0770833333</v>
      </c>
      <c r="B713" s="24" t="s">
        <v>696</v>
      </c>
      <c r="C713" s="24" t="s">
        <v>179</v>
      </c>
      <c r="D713" s="24" t="s">
        <v>66</v>
      </c>
      <c r="E713" s="24" t="n">
        <v>360</v>
      </c>
      <c r="F713" s="25" t="n">
        <v>12000</v>
      </c>
      <c r="G713" s="24" t="s">
        <v>59</v>
      </c>
      <c r="H713" s="24" t="s">
        <v>60</v>
      </c>
      <c r="I713" s="24" t="s">
        <v>61</v>
      </c>
      <c r="J713" s="26" t="n">
        <f aca="false">IF(A713="","",YEAR(A713))</f>
        <v>2025</v>
      </c>
      <c r="K713" s="26" t="n">
        <f aca="false">IF(A713="","",MONTH(A713))</f>
        <v>7</v>
      </c>
      <c r="L713" s="26" t="n">
        <f aca="false">IF(B713="","",VALUE(LEFT(B713,2)))</f>
        <v>19</v>
      </c>
      <c r="M713" s="26" t="n">
        <f aca="false">IF(A713="","",IF(COUNTIFS($C$2:$C$5001,C713,$J$2:$J$5001,J713,$A$2:$A$5001,"&lt;"&amp;A713)=0,1,0))</f>
        <v>0</v>
      </c>
    </row>
    <row r="714" customFormat="false" ht="15" hidden="false" customHeight="false" outlineLevel="0" collapsed="false">
      <c r="A714" s="23" t="n">
        <v>45853.1270833333</v>
      </c>
      <c r="B714" s="24" t="s">
        <v>697</v>
      </c>
      <c r="C714" s="24" t="s">
        <v>398</v>
      </c>
      <c r="D714" s="24" t="s">
        <v>53</v>
      </c>
      <c r="E714" s="24" t="n">
        <v>373</v>
      </c>
      <c r="F714" s="25" t="n">
        <v>6500</v>
      </c>
      <c r="G714" s="24" t="s">
        <v>59</v>
      </c>
      <c r="H714" s="24" t="s">
        <v>80</v>
      </c>
      <c r="I714" s="24" t="s">
        <v>61</v>
      </c>
      <c r="J714" s="26" t="n">
        <f aca="false">IF(A714="","",YEAR(A714))</f>
        <v>2025</v>
      </c>
      <c r="K714" s="26" t="n">
        <f aca="false">IF(A714="","",MONTH(A714))</f>
        <v>7</v>
      </c>
      <c r="L714" s="26" t="n">
        <f aca="false">IF(B714="","",VALUE(LEFT(B714,2)))</f>
        <v>20</v>
      </c>
      <c r="M714" s="26" t="n">
        <f aca="false">IF(A714="","",IF(COUNTIFS($C$2:$C$5001,C714,$J$2:$J$5001,J714,$A$2:$A$5001,"&lt;"&amp;A714)=0,1,0))</f>
        <v>0</v>
      </c>
    </row>
    <row r="715" customFormat="false" ht="15" hidden="false" customHeight="false" outlineLevel="0" collapsed="false">
      <c r="A715" s="23" t="n">
        <v>45853.3854166667</v>
      </c>
      <c r="B715" s="24" t="s">
        <v>272</v>
      </c>
      <c r="C715" s="24" t="s">
        <v>663</v>
      </c>
      <c r="D715" s="24" t="s">
        <v>66</v>
      </c>
      <c r="E715" s="24" t="n">
        <v>38</v>
      </c>
      <c r="F715" s="25" t="n">
        <v>1700</v>
      </c>
      <c r="G715" s="24" t="s">
        <v>59</v>
      </c>
      <c r="H715" s="24" t="s">
        <v>60</v>
      </c>
      <c r="I715" s="24" t="s">
        <v>113</v>
      </c>
      <c r="J715" s="26" t="n">
        <f aca="false">IF(A715="","",YEAR(A715))</f>
        <v>2025</v>
      </c>
      <c r="K715" s="26" t="n">
        <f aca="false">IF(A715="","",MONTH(A715))</f>
        <v>7</v>
      </c>
      <c r="L715" s="26" t="n">
        <f aca="false">IF(B715="","",VALUE(LEFT(B715,2)))</f>
        <v>8</v>
      </c>
      <c r="M715" s="26" t="n">
        <f aca="false">IF(A715="","",IF(COUNTIFS($C$2:$C$5001,C715,$J$2:$J$5001,J715,$A$2:$A$5001,"&lt;"&amp;A715)=0,1,0))</f>
        <v>0</v>
      </c>
    </row>
    <row r="716" customFormat="false" ht="15" hidden="false" customHeight="false" outlineLevel="0" collapsed="false">
      <c r="A716" s="23" t="n">
        <v>45853.5027777778</v>
      </c>
      <c r="B716" s="24" t="s">
        <v>698</v>
      </c>
      <c r="C716" s="24" t="s">
        <v>90</v>
      </c>
      <c r="D716" s="24" t="s">
        <v>88</v>
      </c>
      <c r="E716" s="24" t="n">
        <v>94</v>
      </c>
      <c r="F716" s="25" t="n">
        <v>6000</v>
      </c>
      <c r="G716" s="24" t="s">
        <v>83</v>
      </c>
      <c r="H716" s="24" t="s">
        <v>80</v>
      </c>
      <c r="I716" s="24" t="s">
        <v>61</v>
      </c>
      <c r="J716" s="26" t="n">
        <f aca="false">IF(A716="","",YEAR(A716))</f>
        <v>2025</v>
      </c>
      <c r="K716" s="26" t="n">
        <f aca="false">IF(A716="","",MONTH(A716))</f>
        <v>7</v>
      </c>
      <c r="L716" s="26" t="n">
        <f aca="false">IF(B716="","",VALUE(LEFT(B716,2)))</f>
        <v>10</v>
      </c>
      <c r="M716" s="26" t="n">
        <f aca="false">IF(A716="","",IF(COUNTIFS($C$2:$C$5001,C716,$J$2:$J$5001,J716,$A$2:$A$5001,"&lt;"&amp;A716)=0,1,0))</f>
        <v>0</v>
      </c>
    </row>
    <row r="717" customFormat="false" ht="15" hidden="false" customHeight="false" outlineLevel="0" collapsed="false">
      <c r="A717" s="23" t="n">
        <v>45853.5777777778</v>
      </c>
      <c r="B717" s="24" t="s">
        <v>369</v>
      </c>
      <c r="C717" s="24" t="s">
        <v>663</v>
      </c>
      <c r="D717" s="24" t="s">
        <v>66</v>
      </c>
      <c r="E717" s="24" t="n">
        <v>314</v>
      </c>
      <c r="F717" s="25" t="n">
        <v>11000</v>
      </c>
      <c r="G717" s="24" t="s">
        <v>69</v>
      </c>
      <c r="H717" s="24" t="s">
        <v>55</v>
      </c>
      <c r="I717" s="24" t="s">
        <v>61</v>
      </c>
      <c r="J717" s="26" t="n">
        <f aca="false">IF(A717="","",YEAR(A717))</f>
        <v>2025</v>
      </c>
      <c r="K717" s="26" t="n">
        <f aca="false">IF(A717="","",MONTH(A717))</f>
        <v>7</v>
      </c>
      <c r="L717" s="26" t="n">
        <f aca="false">IF(B717="","",VALUE(LEFT(B717,2)))</f>
        <v>8</v>
      </c>
      <c r="M717" s="26" t="n">
        <f aca="false">IF(A717="","",IF(COUNTIFS($C$2:$C$5001,C717,$J$2:$J$5001,J717,$A$2:$A$5001,"&lt;"&amp;A717)=0,1,0))</f>
        <v>0</v>
      </c>
    </row>
    <row r="718" customFormat="false" ht="15" hidden="false" customHeight="false" outlineLevel="0" collapsed="false">
      <c r="A718" s="23" t="n">
        <v>45853.6388888889</v>
      </c>
      <c r="B718" s="24" t="s">
        <v>661</v>
      </c>
      <c r="C718" s="24" t="s">
        <v>145</v>
      </c>
      <c r="D718" s="24" t="s">
        <v>88</v>
      </c>
      <c r="E718" s="24" t="n">
        <v>267</v>
      </c>
      <c r="F718" s="25" t="n">
        <v>13500</v>
      </c>
      <c r="G718" s="24" t="s">
        <v>83</v>
      </c>
      <c r="H718" s="24" t="s">
        <v>80</v>
      </c>
      <c r="I718" s="24" t="s">
        <v>61</v>
      </c>
      <c r="J718" s="26" t="n">
        <f aca="false">IF(A718="","",YEAR(A718))</f>
        <v>2025</v>
      </c>
      <c r="K718" s="26" t="n">
        <f aca="false">IF(A718="","",MONTH(A718))</f>
        <v>7</v>
      </c>
      <c r="L718" s="26" t="n">
        <f aca="false">IF(B718="","",VALUE(LEFT(B718,2)))</f>
        <v>10</v>
      </c>
      <c r="M718" s="26" t="n">
        <f aca="false">IF(A718="","",IF(COUNTIFS($C$2:$C$5001,C718,$J$2:$J$5001,J718,$A$2:$A$5001,"&lt;"&amp;A718)=0,1,0))</f>
        <v>0</v>
      </c>
    </row>
    <row r="719" customFormat="false" ht="15" hidden="false" customHeight="false" outlineLevel="0" collapsed="false">
      <c r="A719" s="23" t="n">
        <v>45853.7013888889</v>
      </c>
      <c r="B719" s="24" t="s">
        <v>438</v>
      </c>
      <c r="C719" s="24" t="s">
        <v>314</v>
      </c>
      <c r="D719" s="24" t="s">
        <v>66</v>
      </c>
      <c r="E719" s="24" t="n">
        <v>258</v>
      </c>
      <c r="F719" s="25" t="n">
        <v>9000</v>
      </c>
      <c r="G719" s="24" t="s">
        <v>59</v>
      </c>
      <c r="H719" s="24" t="s">
        <v>55</v>
      </c>
      <c r="I719" s="24" t="s">
        <v>61</v>
      </c>
      <c r="J719" s="26" t="n">
        <f aca="false">IF(A719="","",YEAR(A719))</f>
        <v>2025</v>
      </c>
      <c r="K719" s="26" t="n">
        <f aca="false">IF(A719="","",MONTH(A719))</f>
        <v>7</v>
      </c>
      <c r="L719" s="26" t="n">
        <f aca="false">IF(B719="","",VALUE(LEFT(B719,2)))</f>
        <v>12</v>
      </c>
      <c r="M719" s="26" t="n">
        <f aca="false">IF(A719="","",IF(COUNTIFS($C$2:$C$5001,C719,$J$2:$J$5001,J719,$A$2:$A$5001,"&lt;"&amp;A719)=0,1,0))</f>
        <v>0</v>
      </c>
    </row>
    <row r="720" customFormat="false" ht="15" hidden="false" customHeight="false" outlineLevel="0" collapsed="false">
      <c r="A720" s="23" t="n">
        <v>45853.9118055556</v>
      </c>
      <c r="B720" s="24" t="s">
        <v>619</v>
      </c>
      <c r="C720" s="24" t="s">
        <v>314</v>
      </c>
      <c r="D720" s="24" t="s">
        <v>66</v>
      </c>
      <c r="E720" s="24" t="n">
        <v>274</v>
      </c>
      <c r="F720" s="25" t="n">
        <v>10000</v>
      </c>
      <c r="G720" s="24" t="s">
        <v>59</v>
      </c>
      <c r="H720" s="24" t="s">
        <v>60</v>
      </c>
      <c r="I720" s="24" t="s">
        <v>61</v>
      </c>
      <c r="J720" s="26" t="n">
        <f aca="false">IF(A720="","",YEAR(A720))</f>
        <v>2025</v>
      </c>
      <c r="K720" s="26" t="n">
        <f aca="false">IF(A720="","",MONTH(A720))</f>
        <v>7</v>
      </c>
      <c r="L720" s="26" t="n">
        <f aca="false">IF(B720="","",VALUE(LEFT(B720,2)))</f>
        <v>17</v>
      </c>
      <c r="M720" s="26" t="n">
        <f aca="false">IF(A720="","",IF(COUNTIFS($C$2:$C$5001,C720,$J$2:$J$5001,J720,$A$2:$A$5001,"&lt;"&amp;A720)=0,1,0))</f>
        <v>0</v>
      </c>
    </row>
    <row r="721" customFormat="false" ht="15" hidden="false" customHeight="false" outlineLevel="0" collapsed="false">
      <c r="A721" s="23" t="n">
        <v>45854.1361111111</v>
      </c>
      <c r="B721" s="24" t="s">
        <v>399</v>
      </c>
      <c r="C721" s="24" t="s">
        <v>267</v>
      </c>
      <c r="D721" s="24" t="s">
        <v>66</v>
      </c>
      <c r="E721" s="24" t="n">
        <v>401</v>
      </c>
      <c r="F721" s="25" t="n">
        <v>14000</v>
      </c>
      <c r="G721" s="24" t="s">
        <v>59</v>
      </c>
      <c r="H721" s="24" t="s">
        <v>80</v>
      </c>
      <c r="I721" s="24" t="s">
        <v>61</v>
      </c>
      <c r="J721" s="26" t="n">
        <f aca="false">IF(A721="","",YEAR(A721))</f>
        <v>2025</v>
      </c>
      <c r="K721" s="26" t="n">
        <f aca="false">IF(A721="","",MONTH(A721))</f>
        <v>7</v>
      </c>
      <c r="L721" s="26" t="n">
        <f aca="false">IF(B721="","",VALUE(LEFT(B721,2)))</f>
        <v>20</v>
      </c>
      <c r="M721" s="26" t="n">
        <f aca="false">IF(A721="","",IF(COUNTIFS($C$2:$C$5001,C721,$J$2:$J$5001,J721,$A$2:$A$5001,"&lt;"&amp;A721)=0,1,0))</f>
        <v>0</v>
      </c>
    </row>
    <row r="722" customFormat="false" ht="15" hidden="false" customHeight="false" outlineLevel="0" collapsed="false">
      <c r="A722" s="23" t="n">
        <v>45854.3923611111</v>
      </c>
      <c r="B722" s="24" t="s">
        <v>230</v>
      </c>
      <c r="C722" s="24" t="s">
        <v>87</v>
      </c>
      <c r="D722" s="24" t="s">
        <v>53</v>
      </c>
      <c r="E722" s="24" t="n">
        <v>153</v>
      </c>
      <c r="F722" s="25" t="n">
        <v>2550</v>
      </c>
      <c r="G722" s="24" t="s">
        <v>59</v>
      </c>
      <c r="H722" s="24" t="s">
        <v>60</v>
      </c>
      <c r="I722" s="24" t="s">
        <v>113</v>
      </c>
      <c r="J722" s="26" t="n">
        <f aca="false">IF(A722="","",YEAR(A722))</f>
        <v>2025</v>
      </c>
      <c r="K722" s="26" t="n">
        <f aca="false">IF(A722="","",MONTH(A722))</f>
        <v>7</v>
      </c>
      <c r="L722" s="26" t="n">
        <f aca="false">IF(B722="","",VALUE(LEFT(B722,2)))</f>
        <v>6</v>
      </c>
      <c r="M722" s="26" t="n">
        <f aca="false">IF(A722="","",IF(COUNTIFS($C$2:$C$5001,C722,$J$2:$J$5001,J722,$A$2:$A$5001,"&lt;"&amp;A722)=0,1,0))</f>
        <v>0</v>
      </c>
    </row>
    <row r="723" customFormat="false" ht="15" hidden="false" customHeight="false" outlineLevel="0" collapsed="false">
      <c r="A723" s="23" t="n">
        <v>45854.5034722222</v>
      </c>
      <c r="B723" s="24" t="s">
        <v>81</v>
      </c>
      <c r="C723" s="24" t="s">
        <v>129</v>
      </c>
      <c r="D723" s="24" t="s">
        <v>66</v>
      </c>
      <c r="E723" s="24" t="n">
        <v>305</v>
      </c>
      <c r="F723" s="25" t="n">
        <v>11000</v>
      </c>
      <c r="G723" s="24" t="s">
        <v>59</v>
      </c>
      <c r="H723" s="24" t="s">
        <v>55</v>
      </c>
      <c r="I723" s="24" t="s">
        <v>61</v>
      </c>
      <c r="J723" s="26" t="n">
        <f aca="false">IF(A723="","",YEAR(A723))</f>
        <v>2025</v>
      </c>
      <c r="K723" s="26" t="n">
        <f aca="false">IF(A723="","",MONTH(A723))</f>
        <v>7</v>
      </c>
      <c r="L723" s="26" t="n">
        <f aca="false">IF(B723="","",VALUE(LEFT(B723,2)))</f>
        <v>7</v>
      </c>
      <c r="M723" s="26" t="n">
        <f aca="false">IF(A723="","",IF(COUNTIFS($C$2:$C$5001,C723,$J$2:$J$5001,J723,$A$2:$A$5001,"&lt;"&amp;A723)=0,1,0))</f>
        <v>0</v>
      </c>
    </row>
    <row r="724" customFormat="false" ht="15" hidden="false" customHeight="false" outlineLevel="0" collapsed="false">
      <c r="A724" s="23" t="n">
        <v>45854.5145833333</v>
      </c>
      <c r="B724" s="24" t="s">
        <v>699</v>
      </c>
      <c r="C724" s="24" t="s">
        <v>131</v>
      </c>
      <c r="D724" s="24" t="s">
        <v>66</v>
      </c>
      <c r="E724" s="24" t="n">
        <v>264</v>
      </c>
      <c r="F724" s="25" t="n">
        <v>7650</v>
      </c>
      <c r="G724" s="24" t="s">
        <v>59</v>
      </c>
      <c r="H724" s="24" t="s">
        <v>80</v>
      </c>
      <c r="I724" s="24" t="s">
        <v>113</v>
      </c>
      <c r="J724" s="26" t="n">
        <f aca="false">IF(A724="","",YEAR(A724))</f>
        <v>2025</v>
      </c>
      <c r="K724" s="26" t="n">
        <f aca="false">IF(A724="","",MONTH(A724))</f>
        <v>7</v>
      </c>
      <c r="L724" s="26" t="n">
        <f aca="false">IF(B724="","",VALUE(LEFT(B724,2)))</f>
        <v>7</v>
      </c>
      <c r="M724" s="26" t="n">
        <f aca="false">IF(A724="","",IF(COUNTIFS($C$2:$C$5001,C724,$J$2:$J$5001,J724,$A$2:$A$5001,"&lt;"&amp;A724)=0,1,0))</f>
        <v>0</v>
      </c>
    </row>
    <row r="725" customFormat="false" ht="15" hidden="false" customHeight="false" outlineLevel="0" collapsed="false">
      <c r="A725" s="23" t="n">
        <v>45854.5694444445</v>
      </c>
      <c r="B725" s="24" t="s">
        <v>671</v>
      </c>
      <c r="C725" s="24" t="s">
        <v>268</v>
      </c>
      <c r="D725" s="24" t="s">
        <v>88</v>
      </c>
      <c r="E725" s="24" t="n">
        <v>380</v>
      </c>
      <c r="F725" s="25" t="n">
        <v>19500</v>
      </c>
      <c r="G725" s="24" t="s">
        <v>59</v>
      </c>
      <c r="H725" s="24" t="s">
        <v>60</v>
      </c>
      <c r="I725" s="24" t="s">
        <v>61</v>
      </c>
      <c r="J725" s="26" t="n">
        <f aca="false">IF(A725="","",YEAR(A725))</f>
        <v>2025</v>
      </c>
      <c r="K725" s="26" t="n">
        <f aca="false">IF(A725="","",MONTH(A725))</f>
        <v>7</v>
      </c>
      <c r="L725" s="26" t="n">
        <f aca="false">IF(B725="","",VALUE(LEFT(B725,2)))</f>
        <v>7</v>
      </c>
      <c r="M725" s="26" t="n">
        <f aca="false">IF(A725="","",IF(COUNTIFS($C$2:$C$5001,C725,$J$2:$J$5001,J725,$A$2:$A$5001,"&lt;"&amp;A725)=0,1,0))</f>
        <v>0</v>
      </c>
    </row>
    <row r="726" customFormat="false" ht="15" hidden="false" customHeight="false" outlineLevel="0" collapsed="false">
      <c r="A726" s="23" t="n">
        <v>45854.6888888889</v>
      </c>
      <c r="B726" s="24" t="s">
        <v>700</v>
      </c>
      <c r="C726" s="24" t="s">
        <v>316</v>
      </c>
      <c r="D726" s="24" t="s">
        <v>53</v>
      </c>
      <c r="E726" s="24" t="n">
        <v>69</v>
      </c>
      <c r="F726" s="25" t="n">
        <v>1500</v>
      </c>
      <c r="G726" s="24" t="s">
        <v>59</v>
      </c>
      <c r="H726" s="24" t="s">
        <v>55</v>
      </c>
      <c r="I726" s="24" t="s">
        <v>61</v>
      </c>
      <c r="J726" s="26" t="n">
        <f aca="false">IF(A726="","",YEAR(A726))</f>
        <v>2025</v>
      </c>
      <c r="K726" s="26" t="n">
        <f aca="false">IF(A726="","",MONTH(A726))</f>
        <v>7</v>
      </c>
      <c r="L726" s="26" t="n">
        <f aca="false">IF(B726="","",VALUE(LEFT(B726,2)))</f>
        <v>15</v>
      </c>
      <c r="M726" s="26" t="n">
        <f aca="false">IF(A726="","",IF(COUNTIFS($C$2:$C$5001,C726,$J$2:$J$5001,J726,$A$2:$A$5001,"&lt;"&amp;A726)=0,1,0))</f>
        <v>0</v>
      </c>
    </row>
    <row r="727" customFormat="false" ht="15" hidden="false" customHeight="false" outlineLevel="0" collapsed="false">
      <c r="A727" s="23" t="n">
        <v>45854.7944444444</v>
      </c>
      <c r="B727" s="24" t="s">
        <v>574</v>
      </c>
      <c r="C727" s="24" t="s">
        <v>701</v>
      </c>
      <c r="D727" s="24" t="s">
        <v>66</v>
      </c>
      <c r="E727" s="24" t="n">
        <v>184</v>
      </c>
      <c r="F727" s="25" t="n">
        <v>7000</v>
      </c>
      <c r="G727" s="24" t="s">
        <v>59</v>
      </c>
      <c r="H727" s="24" t="s">
        <v>60</v>
      </c>
      <c r="I727" s="24" t="s">
        <v>61</v>
      </c>
      <c r="J727" s="26" t="n">
        <f aca="false">IF(A727="","",YEAR(A727))</f>
        <v>2025</v>
      </c>
      <c r="K727" s="26" t="n">
        <f aca="false">IF(A727="","",MONTH(A727))</f>
        <v>7</v>
      </c>
      <c r="L727" s="26" t="n">
        <f aca="false">IF(B727="","",VALUE(LEFT(B727,2)))</f>
        <v>16</v>
      </c>
      <c r="M727" s="26" t="n">
        <f aca="false">IF(A727="","",IF(COUNTIFS($C$2:$C$5001,C727,$J$2:$J$5001,J727,$A$2:$A$5001,"&lt;"&amp;A727)=0,1,0))</f>
        <v>1</v>
      </c>
    </row>
    <row r="728" customFormat="false" ht="15" hidden="false" customHeight="false" outlineLevel="0" collapsed="false">
      <c r="A728" s="23" t="n">
        <v>45855.0791666667</v>
      </c>
      <c r="B728" s="24" t="s">
        <v>702</v>
      </c>
      <c r="C728" s="24" t="s">
        <v>268</v>
      </c>
      <c r="D728" s="24" t="s">
        <v>88</v>
      </c>
      <c r="E728" s="24" t="n">
        <v>379</v>
      </c>
      <c r="F728" s="25" t="n">
        <v>19500</v>
      </c>
      <c r="G728" s="24" t="s">
        <v>59</v>
      </c>
      <c r="H728" s="24" t="s">
        <v>80</v>
      </c>
      <c r="I728" s="24" t="s">
        <v>61</v>
      </c>
      <c r="J728" s="26" t="n">
        <f aca="false">IF(A728="","",YEAR(A728))</f>
        <v>2025</v>
      </c>
      <c r="K728" s="26" t="n">
        <f aca="false">IF(A728="","",MONTH(A728))</f>
        <v>7</v>
      </c>
      <c r="L728" s="26" t="n">
        <f aca="false">IF(B728="","",VALUE(LEFT(B728,2)))</f>
        <v>19</v>
      </c>
      <c r="M728" s="26" t="n">
        <f aca="false">IF(A728="","",IF(COUNTIFS($C$2:$C$5001,C728,$J$2:$J$5001,J728,$A$2:$A$5001,"&lt;"&amp;A728)=0,1,0))</f>
        <v>0</v>
      </c>
    </row>
    <row r="729" customFormat="false" ht="15" hidden="false" customHeight="false" outlineLevel="0" collapsed="false">
      <c r="A729" s="23" t="n">
        <v>45855.3798611111</v>
      </c>
      <c r="B729" s="24" t="s">
        <v>703</v>
      </c>
      <c r="C729" s="24" t="s">
        <v>94</v>
      </c>
      <c r="D729" s="24" t="s">
        <v>53</v>
      </c>
      <c r="E729" s="24" t="n">
        <v>149</v>
      </c>
      <c r="F729" s="25" t="n">
        <v>2500</v>
      </c>
      <c r="G729" s="24" t="s">
        <v>59</v>
      </c>
      <c r="H729" s="24" t="s">
        <v>80</v>
      </c>
      <c r="I729" s="24" t="s">
        <v>61</v>
      </c>
      <c r="J729" s="26" t="n">
        <f aca="false">IF(A729="","",YEAR(A729))</f>
        <v>2025</v>
      </c>
      <c r="K729" s="26" t="n">
        <f aca="false">IF(A729="","",MONTH(A729))</f>
        <v>7</v>
      </c>
      <c r="L729" s="26" t="n">
        <f aca="false">IF(B729="","",VALUE(LEFT(B729,2)))</f>
        <v>6</v>
      </c>
      <c r="M729" s="26" t="n">
        <f aca="false">IF(A729="","",IF(COUNTIFS($C$2:$C$5001,C729,$J$2:$J$5001,J729,$A$2:$A$5001,"&lt;"&amp;A729)=0,1,0))</f>
        <v>0</v>
      </c>
    </row>
    <row r="730" customFormat="false" ht="15" hidden="false" customHeight="false" outlineLevel="0" collapsed="false">
      <c r="A730" s="23" t="n">
        <v>45855.4722222222</v>
      </c>
      <c r="B730" s="24" t="s">
        <v>704</v>
      </c>
      <c r="C730" s="24" t="s">
        <v>78</v>
      </c>
      <c r="D730" s="24" t="s">
        <v>66</v>
      </c>
      <c r="E730" s="24" t="n">
        <v>114</v>
      </c>
      <c r="F730" s="25" t="n">
        <v>4000</v>
      </c>
      <c r="G730" s="24" t="s">
        <v>59</v>
      </c>
      <c r="H730" s="24" t="s">
        <v>60</v>
      </c>
      <c r="I730" s="24" t="s">
        <v>61</v>
      </c>
      <c r="J730" s="26" t="n">
        <f aca="false">IF(A730="","",YEAR(A730))</f>
        <v>2025</v>
      </c>
      <c r="K730" s="26" t="n">
        <f aca="false">IF(A730="","",MONTH(A730))</f>
        <v>7</v>
      </c>
      <c r="L730" s="26" t="n">
        <f aca="false">IF(B730="","",VALUE(LEFT(B730,2)))</f>
        <v>9</v>
      </c>
      <c r="M730" s="26" t="n">
        <f aca="false">IF(A730="","",IF(COUNTIFS($C$2:$C$5001,C730,$J$2:$J$5001,J730,$A$2:$A$5001,"&lt;"&amp;A730)=0,1,0))</f>
        <v>0</v>
      </c>
    </row>
    <row r="731" customFormat="false" ht="15" hidden="false" customHeight="false" outlineLevel="0" collapsed="false">
      <c r="A731" s="23" t="n">
        <v>45855.4847222222</v>
      </c>
      <c r="B731" s="24" t="s">
        <v>356</v>
      </c>
      <c r="C731" s="24" t="s">
        <v>343</v>
      </c>
      <c r="D731" s="24" t="s">
        <v>66</v>
      </c>
      <c r="E731" s="24" t="n">
        <v>227</v>
      </c>
      <c r="F731" s="25" t="n">
        <v>8000</v>
      </c>
      <c r="G731" s="24" t="s">
        <v>79</v>
      </c>
      <c r="H731" s="24" t="s">
        <v>55</v>
      </c>
      <c r="I731" s="24" t="s">
        <v>61</v>
      </c>
      <c r="J731" s="26" t="n">
        <f aca="false">IF(A731="","",YEAR(A731))</f>
        <v>2025</v>
      </c>
      <c r="K731" s="26" t="n">
        <f aca="false">IF(A731="","",MONTH(A731))</f>
        <v>7</v>
      </c>
      <c r="L731" s="26" t="n">
        <f aca="false">IF(B731="","",VALUE(LEFT(B731,2)))</f>
        <v>7</v>
      </c>
      <c r="M731" s="26" t="n">
        <f aca="false">IF(A731="","",IF(COUNTIFS($C$2:$C$5001,C731,$J$2:$J$5001,J731,$A$2:$A$5001,"&lt;"&amp;A731)=0,1,0))</f>
        <v>0</v>
      </c>
    </row>
    <row r="732" customFormat="false" ht="15" hidden="false" customHeight="false" outlineLevel="0" collapsed="false">
      <c r="A732" s="23" t="n">
        <v>45855.5048611111</v>
      </c>
      <c r="B732" s="24" t="s">
        <v>705</v>
      </c>
      <c r="C732" s="24" t="s">
        <v>201</v>
      </c>
      <c r="D732" s="24" t="s">
        <v>66</v>
      </c>
      <c r="E732" s="24" t="n">
        <v>326</v>
      </c>
      <c r="F732" s="25" t="n">
        <v>11000</v>
      </c>
      <c r="G732" s="24" t="s">
        <v>59</v>
      </c>
      <c r="H732" s="24" t="s">
        <v>55</v>
      </c>
      <c r="I732" s="24" t="s">
        <v>61</v>
      </c>
      <c r="J732" s="26" t="n">
        <f aca="false">IF(A732="","",YEAR(A732))</f>
        <v>2025</v>
      </c>
      <c r="K732" s="26" t="n">
        <f aca="false">IF(A732="","",MONTH(A732))</f>
        <v>7</v>
      </c>
      <c r="L732" s="26" t="n">
        <f aca="false">IF(B732="","",VALUE(LEFT(B732,2)))</f>
        <v>6</v>
      </c>
      <c r="M732" s="26" t="n">
        <f aca="false">IF(A732="","",IF(COUNTIFS($C$2:$C$5001,C732,$J$2:$J$5001,J732,$A$2:$A$5001,"&lt;"&amp;A732)=0,1,0))</f>
        <v>0</v>
      </c>
    </row>
    <row r="733" customFormat="false" ht="15" hidden="false" customHeight="false" outlineLevel="0" collapsed="false">
      <c r="A733" s="23" t="n">
        <v>45855.5236111111</v>
      </c>
      <c r="B733" s="24" t="s">
        <v>604</v>
      </c>
      <c r="C733" s="24" t="s">
        <v>126</v>
      </c>
      <c r="D733" s="24" t="s">
        <v>53</v>
      </c>
      <c r="E733" s="24" t="n">
        <v>264</v>
      </c>
      <c r="F733" s="25" t="n">
        <v>4500</v>
      </c>
      <c r="G733" s="24" t="s">
        <v>59</v>
      </c>
      <c r="H733" s="24" t="s">
        <v>55</v>
      </c>
      <c r="I733" s="24" t="s">
        <v>61</v>
      </c>
      <c r="J733" s="26" t="n">
        <f aca="false">IF(A733="","",YEAR(A733))</f>
        <v>2025</v>
      </c>
      <c r="K733" s="26" t="n">
        <f aca="false">IF(A733="","",MONTH(A733))</f>
        <v>7</v>
      </c>
      <c r="L733" s="26" t="n">
        <f aca="false">IF(B733="","",VALUE(LEFT(B733,2)))</f>
        <v>8</v>
      </c>
      <c r="M733" s="26" t="n">
        <f aca="false">IF(A733="","",IF(COUNTIFS($C$2:$C$5001,C733,$J$2:$J$5001,J733,$A$2:$A$5001,"&lt;"&amp;A733)=0,1,0))</f>
        <v>0</v>
      </c>
    </row>
    <row r="734" customFormat="false" ht="15" hidden="false" customHeight="false" outlineLevel="0" collapsed="false">
      <c r="A734" s="23" t="n">
        <v>45855.7993055556</v>
      </c>
      <c r="B734" s="24" t="s">
        <v>275</v>
      </c>
      <c r="C734" s="24" t="s">
        <v>138</v>
      </c>
      <c r="D734" s="24" t="s">
        <v>53</v>
      </c>
      <c r="E734" s="24" t="n">
        <v>77</v>
      </c>
      <c r="F734" s="25" t="n">
        <v>1500</v>
      </c>
      <c r="G734" s="24" t="s">
        <v>69</v>
      </c>
      <c r="H734" s="24" t="s">
        <v>80</v>
      </c>
      <c r="I734" s="24" t="s">
        <v>61</v>
      </c>
      <c r="J734" s="26" t="n">
        <f aca="false">IF(A734="","",YEAR(A734))</f>
        <v>2025</v>
      </c>
      <c r="K734" s="26" t="n">
        <f aca="false">IF(A734="","",MONTH(A734))</f>
        <v>7</v>
      </c>
      <c r="L734" s="26" t="n">
        <f aca="false">IF(B734="","",VALUE(LEFT(B734,2)))</f>
        <v>17</v>
      </c>
      <c r="M734" s="26" t="n">
        <f aca="false">IF(A734="","",IF(COUNTIFS($C$2:$C$5001,C734,$J$2:$J$5001,J734,$A$2:$A$5001,"&lt;"&amp;A734)=0,1,0))</f>
        <v>0</v>
      </c>
    </row>
    <row r="735" customFormat="false" ht="15" hidden="false" customHeight="false" outlineLevel="0" collapsed="false">
      <c r="A735" s="23" t="n">
        <v>45855.8270833333</v>
      </c>
      <c r="B735" s="24" t="s">
        <v>706</v>
      </c>
      <c r="C735" s="24" t="s">
        <v>224</v>
      </c>
      <c r="D735" s="24" t="s">
        <v>53</v>
      </c>
      <c r="E735" s="24" t="n">
        <v>107</v>
      </c>
      <c r="F735" s="25" t="n">
        <v>1700</v>
      </c>
      <c r="G735" s="24" t="s">
        <v>79</v>
      </c>
      <c r="H735" s="24" t="s">
        <v>80</v>
      </c>
      <c r="I735" s="24" t="s">
        <v>113</v>
      </c>
      <c r="J735" s="26" t="n">
        <f aca="false">IF(A735="","",YEAR(A735))</f>
        <v>2025</v>
      </c>
      <c r="K735" s="26" t="n">
        <f aca="false">IF(A735="","",MONTH(A735))</f>
        <v>7</v>
      </c>
      <c r="L735" s="26" t="n">
        <f aca="false">IF(B735="","",VALUE(LEFT(B735,2)))</f>
        <v>18</v>
      </c>
      <c r="M735" s="26" t="n">
        <f aca="false">IF(A735="","",IF(COUNTIFS($C$2:$C$5001,C735,$J$2:$J$5001,J735,$A$2:$A$5001,"&lt;"&amp;A735)=0,1,0))</f>
        <v>0</v>
      </c>
    </row>
    <row r="736" customFormat="false" ht="15" hidden="false" customHeight="false" outlineLevel="0" collapsed="false">
      <c r="A736" s="23" t="n">
        <v>45855.8333333333</v>
      </c>
      <c r="B736" s="24" t="s">
        <v>525</v>
      </c>
      <c r="C736" s="24" t="s">
        <v>467</v>
      </c>
      <c r="D736" s="24" t="s">
        <v>66</v>
      </c>
      <c r="E736" s="24" t="n">
        <v>336</v>
      </c>
      <c r="F736" s="25" t="n">
        <v>12000</v>
      </c>
      <c r="G736" s="24" t="s">
        <v>59</v>
      </c>
      <c r="H736" s="24" t="s">
        <v>60</v>
      </c>
      <c r="I736" s="24" t="s">
        <v>61</v>
      </c>
      <c r="J736" s="26" t="n">
        <f aca="false">IF(A736="","",YEAR(A736))</f>
        <v>2025</v>
      </c>
      <c r="K736" s="26" t="n">
        <f aca="false">IF(A736="","",MONTH(A736))</f>
        <v>7</v>
      </c>
      <c r="L736" s="26" t="n">
        <f aca="false">IF(B736="","",VALUE(LEFT(B736,2)))</f>
        <v>14</v>
      </c>
      <c r="M736" s="26" t="n">
        <f aca="false">IF(A736="","",IF(COUNTIFS($C$2:$C$5001,C736,$J$2:$J$5001,J736,$A$2:$A$5001,"&lt;"&amp;A736)=0,1,0))</f>
        <v>0</v>
      </c>
    </row>
    <row r="737" customFormat="false" ht="15" hidden="false" customHeight="false" outlineLevel="0" collapsed="false">
      <c r="A737" s="23" t="n">
        <v>45855.8847222222</v>
      </c>
      <c r="B737" s="24" t="s">
        <v>361</v>
      </c>
      <c r="C737" s="24" t="s">
        <v>376</v>
      </c>
      <c r="D737" s="24" t="s">
        <v>66</v>
      </c>
      <c r="E737" s="24" t="n">
        <v>275</v>
      </c>
      <c r="F737" s="25" t="n">
        <v>10000</v>
      </c>
      <c r="G737" s="24" t="s">
        <v>79</v>
      </c>
      <c r="H737" s="24" t="s">
        <v>60</v>
      </c>
      <c r="I737" s="24" t="s">
        <v>61</v>
      </c>
      <c r="J737" s="26" t="n">
        <f aca="false">IF(A737="","",YEAR(A737))</f>
        <v>2025</v>
      </c>
      <c r="K737" s="26" t="n">
        <f aca="false">IF(A737="","",MONTH(A737))</f>
        <v>7</v>
      </c>
      <c r="L737" s="26" t="n">
        <f aca="false">IF(B737="","",VALUE(LEFT(B737,2)))</f>
        <v>16</v>
      </c>
      <c r="M737" s="26" t="n">
        <f aca="false">IF(A737="","",IF(COUNTIFS($C$2:$C$5001,C737,$J$2:$J$5001,J737,$A$2:$A$5001,"&lt;"&amp;A737)=0,1,0))</f>
        <v>0</v>
      </c>
    </row>
    <row r="738" customFormat="false" ht="15" hidden="false" customHeight="false" outlineLevel="0" collapsed="false">
      <c r="A738" s="23" t="n">
        <v>45855.9104166667</v>
      </c>
      <c r="B738" s="24" t="s">
        <v>148</v>
      </c>
      <c r="C738" s="24" t="s">
        <v>126</v>
      </c>
      <c r="D738" s="24" t="s">
        <v>66</v>
      </c>
      <c r="E738" s="24" t="n">
        <v>244</v>
      </c>
      <c r="F738" s="25" t="n">
        <v>7650</v>
      </c>
      <c r="G738" s="24" t="s">
        <v>69</v>
      </c>
      <c r="H738" s="24" t="s">
        <v>55</v>
      </c>
      <c r="I738" s="24" t="s">
        <v>113</v>
      </c>
      <c r="J738" s="26" t="n">
        <f aca="false">IF(A738="","",YEAR(A738))</f>
        <v>2025</v>
      </c>
      <c r="K738" s="26" t="n">
        <f aca="false">IF(A738="","",MONTH(A738))</f>
        <v>7</v>
      </c>
      <c r="L738" s="26" t="n">
        <f aca="false">IF(B738="","",VALUE(LEFT(B738,2)))</f>
        <v>17</v>
      </c>
      <c r="M738" s="26" t="n">
        <f aca="false">IF(A738="","",IF(COUNTIFS($C$2:$C$5001,C738,$J$2:$J$5001,J738,$A$2:$A$5001,"&lt;"&amp;A738)=0,1,0))</f>
        <v>0</v>
      </c>
    </row>
    <row r="739" customFormat="false" ht="15" hidden="false" customHeight="false" outlineLevel="0" collapsed="false">
      <c r="A739" s="23" t="n">
        <v>45855.9583333333</v>
      </c>
      <c r="B739" s="24" t="s">
        <v>543</v>
      </c>
      <c r="C739" s="24" t="s">
        <v>317</v>
      </c>
      <c r="D739" s="24" t="s">
        <v>53</v>
      </c>
      <c r="E739" s="24" t="n">
        <v>220</v>
      </c>
      <c r="F739" s="25" t="n">
        <v>4000</v>
      </c>
      <c r="G739" s="24" t="s">
        <v>59</v>
      </c>
      <c r="H739" s="24" t="s">
        <v>55</v>
      </c>
      <c r="I739" s="24" t="s">
        <v>61</v>
      </c>
      <c r="J739" s="26" t="n">
        <f aca="false">IF(A739="","",YEAR(A739))</f>
        <v>2025</v>
      </c>
      <c r="K739" s="26" t="n">
        <f aca="false">IF(A739="","",MONTH(A739))</f>
        <v>7</v>
      </c>
      <c r="L739" s="26" t="n">
        <f aca="false">IF(B739="","",VALUE(LEFT(B739,2)))</f>
        <v>19</v>
      </c>
      <c r="M739" s="26" t="n">
        <f aca="false">IF(A739="","",IF(COUNTIFS($C$2:$C$5001,C739,$J$2:$J$5001,J739,$A$2:$A$5001,"&lt;"&amp;A739)=0,1,0))</f>
        <v>0</v>
      </c>
    </row>
    <row r="740" customFormat="false" ht="15" hidden="false" customHeight="false" outlineLevel="0" collapsed="false">
      <c r="A740" s="23" t="n">
        <v>45856.4659722222</v>
      </c>
      <c r="B740" s="24" t="s">
        <v>707</v>
      </c>
      <c r="C740" s="24" t="s">
        <v>293</v>
      </c>
      <c r="D740" s="24" t="s">
        <v>66</v>
      </c>
      <c r="E740" s="24" t="n">
        <v>37</v>
      </c>
      <c r="F740" s="25" t="n">
        <v>1700</v>
      </c>
      <c r="G740" s="24" t="s">
        <v>59</v>
      </c>
      <c r="H740" s="24" t="s">
        <v>80</v>
      </c>
      <c r="I740" s="24" t="s">
        <v>113</v>
      </c>
      <c r="J740" s="26" t="n">
        <f aca="false">IF(A740="","",YEAR(A740))</f>
        <v>2025</v>
      </c>
      <c r="K740" s="26" t="n">
        <f aca="false">IF(A740="","",MONTH(A740))</f>
        <v>7</v>
      </c>
      <c r="L740" s="26" t="n">
        <f aca="false">IF(B740="","",VALUE(LEFT(B740,2)))</f>
        <v>10</v>
      </c>
      <c r="M740" s="26" t="n">
        <f aca="false">IF(A740="","",IF(COUNTIFS($C$2:$C$5001,C740,$J$2:$J$5001,J740,$A$2:$A$5001,"&lt;"&amp;A740)=0,1,0))</f>
        <v>0</v>
      </c>
    </row>
    <row r="741" customFormat="false" ht="15" hidden="false" customHeight="false" outlineLevel="0" collapsed="false">
      <c r="A741" s="23" t="n">
        <v>45856.6479166667</v>
      </c>
      <c r="B741" s="24" t="s">
        <v>326</v>
      </c>
      <c r="C741" s="24" t="s">
        <v>102</v>
      </c>
      <c r="D741" s="24" t="s">
        <v>53</v>
      </c>
      <c r="E741" s="24" t="n">
        <v>381</v>
      </c>
      <c r="F741" s="25" t="n">
        <v>0</v>
      </c>
      <c r="G741" s="24" t="s">
        <v>59</v>
      </c>
      <c r="H741" s="24" t="s">
        <v>60</v>
      </c>
      <c r="I741" s="24" t="s">
        <v>56</v>
      </c>
      <c r="J741" s="26" t="n">
        <f aca="false">IF(A741="","",YEAR(A741))</f>
        <v>2025</v>
      </c>
      <c r="K741" s="26" t="n">
        <f aca="false">IF(A741="","",MONTH(A741))</f>
        <v>7</v>
      </c>
      <c r="L741" s="26" t="n">
        <f aca="false">IF(B741="","",VALUE(LEFT(B741,2)))</f>
        <v>9</v>
      </c>
      <c r="M741" s="26" t="n">
        <f aca="false">IF(A741="","",IF(COUNTIFS($C$2:$C$5001,C741,$J$2:$J$5001,J741,$A$2:$A$5001,"&lt;"&amp;A741)=0,1,0))</f>
        <v>0</v>
      </c>
    </row>
    <row r="742" customFormat="false" ht="15" hidden="false" customHeight="false" outlineLevel="0" collapsed="false">
      <c r="A742" s="23" t="n">
        <v>45856.9965277778</v>
      </c>
      <c r="B742" s="24" t="s">
        <v>708</v>
      </c>
      <c r="C742" s="24" t="s">
        <v>277</v>
      </c>
      <c r="D742" s="24" t="s">
        <v>66</v>
      </c>
      <c r="E742" s="24" t="n">
        <v>303</v>
      </c>
      <c r="F742" s="25" t="n">
        <v>11000</v>
      </c>
      <c r="G742" s="24" t="s">
        <v>59</v>
      </c>
      <c r="H742" s="24" t="s">
        <v>55</v>
      </c>
      <c r="I742" s="24" t="s">
        <v>61</v>
      </c>
      <c r="J742" s="26" t="n">
        <f aca="false">IF(A742="","",YEAR(A742))</f>
        <v>2025</v>
      </c>
      <c r="K742" s="26" t="n">
        <f aca="false">IF(A742="","",MONTH(A742))</f>
        <v>7</v>
      </c>
      <c r="L742" s="26" t="n">
        <f aca="false">IF(B742="","",VALUE(LEFT(B742,2)))</f>
        <v>18</v>
      </c>
      <c r="M742" s="26" t="n">
        <f aca="false">IF(A742="","",IF(COUNTIFS($C$2:$C$5001,C742,$J$2:$J$5001,J742,$A$2:$A$5001,"&lt;"&amp;A742)=0,1,0))</f>
        <v>0</v>
      </c>
    </row>
    <row r="743" customFormat="false" ht="15" hidden="false" customHeight="false" outlineLevel="0" collapsed="false">
      <c r="A743" s="23" t="n">
        <v>45857.3534722222</v>
      </c>
      <c r="B743" s="24" t="s">
        <v>673</v>
      </c>
      <c r="C743" s="24" t="s">
        <v>100</v>
      </c>
      <c r="D743" s="24" t="s">
        <v>66</v>
      </c>
      <c r="E743" s="24" t="n">
        <v>58</v>
      </c>
      <c r="F743" s="25" t="n">
        <v>2000</v>
      </c>
      <c r="G743" s="24" t="s">
        <v>59</v>
      </c>
      <c r="H743" s="24" t="s">
        <v>55</v>
      </c>
      <c r="I743" s="24" t="s">
        <v>61</v>
      </c>
      <c r="J743" s="26" t="n">
        <f aca="false">IF(A743="","",YEAR(A743))</f>
        <v>2025</v>
      </c>
      <c r="K743" s="26" t="n">
        <f aca="false">IF(A743="","",MONTH(A743))</f>
        <v>7</v>
      </c>
      <c r="L743" s="26" t="n">
        <f aca="false">IF(B743="","",VALUE(LEFT(B743,2)))</f>
        <v>7</v>
      </c>
      <c r="M743" s="26" t="n">
        <f aca="false">IF(A743="","",IF(COUNTIFS($C$2:$C$5001,C743,$J$2:$J$5001,J743,$A$2:$A$5001,"&lt;"&amp;A743)=0,1,0))</f>
        <v>0</v>
      </c>
    </row>
    <row r="744" customFormat="false" ht="15" hidden="false" customHeight="false" outlineLevel="0" collapsed="false">
      <c r="A744" s="23" t="n">
        <v>45857.4819444444</v>
      </c>
      <c r="B744" s="24" t="s">
        <v>368</v>
      </c>
      <c r="C744" s="24" t="s">
        <v>131</v>
      </c>
      <c r="D744" s="24" t="s">
        <v>66</v>
      </c>
      <c r="E744" s="24" t="n">
        <v>241</v>
      </c>
      <c r="F744" s="25" t="n">
        <v>0</v>
      </c>
      <c r="G744" s="24" t="s">
        <v>59</v>
      </c>
      <c r="H744" s="24" t="s">
        <v>60</v>
      </c>
      <c r="I744" s="24" t="s">
        <v>56</v>
      </c>
      <c r="J744" s="26" t="n">
        <f aca="false">IF(A744="","",YEAR(A744))</f>
        <v>2025</v>
      </c>
      <c r="K744" s="26" t="n">
        <f aca="false">IF(A744="","",MONTH(A744))</f>
        <v>7</v>
      </c>
      <c r="L744" s="26" t="n">
        <f aca="false">IF(B744="","",VALUE(LEFT(B744,2)))</f>
        <v>7</v>
      </c>
      <c r="M744" s="26" t="n">
        <f aca="false">IF(A744="","",IF(COUNTIFS($C$2:$C$5001,C744,$J$2:$J$5001,J744,$A$2:$A$5001,"&lt;"&amp;A744)=0,1,0))</f>
        <v>0</v>
      </c>
    </row>
    <row r="745" customFormat="false" ht="15" hidden="false" customHeight="false" outlineLevel="0" collapsed="false">
      <c r="A745" s="23" t="n">
        <v>45857.7409722222</v>
      </c>
      <c r="B745" s="24" t="s">
        <v>134</v>
      </c>
      <c r="C745" s="24" t="s">
        <v>454</v>
      </c>
      <c r="D745" s="24" t="s">
        <v>72</v>
      </c>
      <c r="E745" s="24" t="n">
        <v>165</v>
      </c>
      <c r="F745" s="25" t="n">
        <v>12000</v>
      </c>
      <c r="G745" s="24" t="s">
        <v>54</v>
      </c>
      <c r="H745" s="24" t="s">
        <v>80</v>
      </c>
      <c r="I745" s="24" t="s">
        <v>61</v>
      </c>
      <c r="J745" s="26" t="n">
        <f aca="false">IF(A745="","",YEAR(A745))</f>
        <v>2025</v>
      </c>
      <c r="K745" s="26" t="n">
        <f aca="false">IF(A745="","",MONTH(A745))</f>
        <v>7</v>
      </c>
      <c r="L745" s="26" t="n">
        <f aca="false">IF(B745="","",VALUE(LEFT(B745,2)))</f>
        <v>15</v>
      </c>
      <c r="M745" s="26" t="n">
        <f aca="false">IF(A745="","",IF(COUNTIFS($C$2:$C$5001,C745,$J$2:$J$5001,J745,$A$2:$A$5001,"&lt;"&amp;A745)=0,1,0))</f>
        <v>0</v>
      </c>
    </row>
    <row r="746" customFormat="false" ht="15" hidden="false" customHeight="false" outlineLevel="0" collapsed="false">
      <c r="A746" s="23" t="n">
        <v>45857.7881944445</v>
      </c>
      <c r="B746" s="24" t="s">
        <v>709</v>
      </c>
      <c r="C746" s="24" t="s">
        <v>168</v>
      </c>
      <c r="D746" s="24" t="s">
        <v>53</v>
      </c>
      <c r="E746" s="24" t="n">
        <v>41</v>
      </c>
      <c r="F746" s="25" t="n">
        <v>1000</v>
      </c>
      <c r="G746" s="24" t="s">
        <v>59</v>
      </c>
      <c r="H746" s="24" t="s">
        <v>60</v>
      </c>
      <c r="I746" s="24" t="s">
        <v>61</v>
      </c>
      <c r="J746" s="26" t="n">
        <f aca="false">IF(A746="","",YEAR(A746))</f>
        <v>2025</v>
      </c>
      <c r="K746" s="26" t="n">
        <f aca="false">IF(A746="","",MONTH(A746))</f>
        <v>7</v>
      </c>
      <c r="L746" s="26" t="n">
        <f aca="false">IF(B746="","",VALUE(LEFT(B746,2)))</f>
        <v>18</v>
      </c>
      <c r="M746" s="26" t="n">
        <f aca="false">IF(A746="","",IF(COUNTIFS($C$2:$C$5001,C746,$J$2:$J$5001,J746,$A$2:$A$5001,"&lt;"&amp;A746)=0,1,0))</f>
        <v>0</v>
      </c>
    </row>
    <row r="747" customFormat="false" ht="15" hidden="false" customHeight="false" outlineLevel="0" collapsed="false">
      <c r="A747" s="23" t="n">
        <v>45857.7965277778</v>
      </c>
      <c r="B747" s="24" t="s">
        <v>710</v>
      </c>
      <c r="C747" s="24" t="s">
        <v>118</v>
      </c>
      <c r="D747" s="24" t="s">
        <v>53</v>
      </c>
      <c r="E747" s="24" t="n">
        <v>315</v>
      </c>
      <c r="F747" s="25" t="n">
        <v>5500</v>
      </c>
      <c r="G747" s="24" t="s">
        <v>59</v>
      </c>
      <c r="H747" s="24" t="s">
        <v>60</v>
      </c>
      <c r="I747" s="24" t="s">
        <v>61</v>
      </c>
      <c r="J747" s="26" t="n">
        <f aca="false">IF(A747="","",YEAR(A747))</f>
        <v>2025</v>
      </c>
      <c r="K747" s="26" t="n">
        <f aca="false">IF(A747="","",MONTH(A747))</f>
        <v>7</v>
      </c>
      <c r="L747" s="26" t="n">
        <f aca="false">IF(B747="","",VALUE(LEFT(B747,2)))</f>
        <v>13</v>
      </c>
      <c r="M747" s="26" t="n">
        <f aca="false">IF(A747="","",IF(COUNTIFS($C$2:$C$5001,C747,$J$2:$J$5001,J747,$A$2:$A$5001,"&lt;"&amp;A747)=0,1,0))</f>
        <v>0</v>
      </c>
    </row>
    <row r="748" customFormat="false" ht="15" hidden="false" customHeight="false" outlineLevel="0" collapsed="false">
      <c r="A748" s="23" t="n">
        <v>45857.8180555556</v>
      </c>
      <c r="B748" s="24" t="s">
        <v>711</v>
      </c>
      <c r="C748" s="24" t="s">
        <v>105</v>
      </c>
      <c r="D748" s="24" t="s">
        <v>66</v>
      </c>
      <c r="E748" s="24" t="n">
        <v>369</v>
      </c>
      <c r="F748" s="25" t="n">
        <v>13000</v>
      </c>
      <c r="G748" s="24" t="s">
        <v>69</v>
      </c>
      <c r="H748" s="24" t="s">
        <v>55</v>
      </c>
      <c r="I748" s="24" t="s">
        <v>61</v>
      </c>
      <c r="J748" s="26" t="n">
        <f aca="false">IF(A748="","",YEAR(A748))</f>
        <v>2025</v>
      </c>
      <c r="K748" s="26" t="n">
        <f aca="false">IF(A748="","",MONTH(A748))</f>
        <v>7</v>
      </c>
      <c r="L748" s="26" t="n">
        <f aca="false">IF(B748="","",VALUE(LEFT(B748,2)))</f>
        <v>13</v>
      </c>
      <c r="M748" s="26" t="n">
        <f aca="false">IF(A748="","",IF(COUNTIFS($C$2:$C$5001,C748,$J$2:$J$5001,J748,$A$2:$A$5001,"&lt;"&amp;A748)=0,1,0))</f>
        <v>0</v>
      </c>
    </row>
    <row r="749" customFormat="false" ht="15" hidden="false" customHeight="false" outlineLevel="0" collapsed="false">
      <c r="A749" s="23" t="n">
        <v>45857.8243055556</v>
      </c>
      <c r="B749" s="24" t="s">
        <v>279</v>
      </c>
      <c r="C749" s="24" t="s">
        <v>150</v>
      </c>
      <c r="D749" s="24" t="s">
        <v>66</v>
      </c>
      <c r="E749" s="24" t="n">
        <v>142</v>
      </c>
      <c r="F749" s="25" t="n">
        <v>5000</v>
      </c>
      <c r="G749" s="24" t="s">
        <v>54</v>
      </c>
      <c r="H749" s="24" t="s">
        <v>80</v>
      </c>
      <c r="I749" s="24" t="s">
        <v>61</v>
      </c>
      <c r="J749" s="26" t="n">
        <f aca="false">IF(A749="","",YEAR(A749))</f>
        <v>2025</v>
      </c>
      <c r="K749" s="26" t="n">
        <f aca="false">IF(A749="","",MONTH(A749))</f>
        <v>7</v>
      </c>
      <c r="L749" s="26" t="n">
        <f aca="false">IF(B749="","",VALUE(LEFT(B749,2)))</f>
        <v>17</v>
      </c>
      <c r="M749" s="26" t="n">
        <f aca="false">IF(A749="","",IF(COUNTIFS($C$2:$C$5001,C749,$J$2:$J$5001,J749,$A$2:$A$5001,"&lt;"&amp;A749)=0,1,0))</f>
        <v>0</v>
      </c>
    </row>
    <row r="750" customFormat="false" ht="15" hidden="false" customHeight="false" outlineLevel="0" collapsed="false">
      <c r="A750" s="23" t="n">
        <v>45857.8569444444</v>
      </c>
      <c r="B750" s="24" t="s">
        <v>669</v>
      </c>
      <c r="C750" s="24" t="s">
        <v>170</v>
      </c>
      <c r="D750" s="24" t="s">
        <v>53</v>
      </c>
      <c r="E750" s="24" t="n">
        <v>33</v>
      </c>
      <c r="F750" s="25" t="n">
        <v>1000</v>
      </c>
      <c r="G750" s="24" t="s">
        <v>59</v>
      </c>
      <c r="H750" s="24" t="s">
        <v>60</v>
      </c>
      <c r="I750" s="24" t="s">
        <v>61</v>
      </c>
      <c r="J750" s="26" t="n">
        <f aca="false">IF(A750="","",YEAR(A750))</f>
        <v>2025</v>
      </c>
      <c r="K750" s="26" t="n">
        <f aca="false">IF(A750="","",MONTH(A750))</f>
        <v>7</v>
      </c>
      <c r="L750" s="26" t="n">
        <f aca="false">IF(B750="","",VALUE(LEFT(B750,2)))</f>
        <v>20</v>
      </c>
      <c r="M750" s="26" t="n">
        <f aca="false">IF(A750="","",IF(COUNTIFS($C$2:$C$5001,C750,$J$2:$J$5001,J750,$A$2:$A$5001,"&lt;"&amp;A750)=0,1,0))</f>
        <v>0</v>
      </c>
    </row>
    <row r="751" customFormat="false" ht="15" hidden="false" customHeight="false" outlineLevel="0" collapsed="false">
      <c r="A751" s="23" t="n">
        <v>45857.9222222222</v>
      </c>
      <c r="B751" s="24" t="s">
        <v>329</v>
      </c>
      <c r="C751" s="24" t="s">
        <v>367</v>
      </c>
      <c r="D751" s="24" t="s">
        <v>66</v>
      </c>
      <c r="E751" s="24" t="n">
        <v>74</v>
      </c>
      <c r="F751" s="25" t="n">
        <v>3000</v>
      </c>
      <c r="G751" s="24" t="s">
        <v>69</v>
      </c>
      <c r="H751" s="24" t="s">
        <v>80</v>
      </c>
      <c r="I751" s="24" t="s">
        <v>61</v>
      </c>
      <c r="J751" s="26" t="n">
        <f aca="false">IF(A751="","",YEAR(A751))</f>
        <v>2025</v>
      </c>
      <c r="K751" s="26" t="n">
        <f aca="false">IF(A751="","",MONTH(A751))</f>
        <v>7</v>
      </c>
      <c r="L751" s="26" t="n">
        <f aca="false">IF(B751="","",VALUE(LEFT(B751,2)))</f>
        <v>20</v>
      </c>
      <c r="M751" s="26" t="n">
        <f aca="false">IF(A751="","",IF(COUNTIFS($C$2:$C$5001,C751,$J$2:$J$5001,J751,$A$2:$A$5001,"&lt;"&amp;A751)=0,1,0))</f>
        <v>0</v>
      </c>
    </row>
    <row r="752" customFormat="false" ht="15" hidden="false" customHeight="false" outlineLevel="0" collapsed="false">
      <c r="A752" s="23" t="n">
        <v>45858.8861111111</v>
      </c>
      <c r="B752" s="24" t="s">
        <v>517</v>
      </c>
      <c r="C752" s="24" t="s">
        <v>482</v>
      </c>
      <c r="D752" s="24" t="s">
        <v>66</v>
      </c>
      <c r="E752" s="24" t="n">
        <v>129</v>
      </c>
      <c r="F752" s="25" t="n">
        <v>5000</v>
      </c>
      <c r="G752" s="24" t="s">
        <v>69</v>
      </c>
      <c r="H752" s="24" t="s">
        <v>55</v>
      </c>
      <c r="I752" s="24" t="s">
        <v>61</v>
      </c>
      <c r="J752" s="26" t="n">
        <f aca="false">IF(A752="","",YEAR(A752))</f>
        <v>2025</v>
      </c>
      <c r="K752" s="26" t="n">
        <f aca="false">IF(A752="","",MONTH(A752))</f>
        <v>7</v>
      </c>
      <c r="L752" s="26" t="n">
        <f aca="false">IF(B752="","",VALUE(LEFT(B752,2)))</f>
        <v>19</v>
      </c>
      <c r="M752" s="26" t="n">
        <f aca="false">IF(A752="","",IF(COUNTIFS($C$2:$C$5001,C752,$J$2:$J$5001,J752,$A$2:$A$5001,"&lt;"&amp;A752)=0,1,0))</f>
        <v>0</v>
      </c>
    </row>
    <row r="753" customFormat="false" ht="15" hidden="false" customHeight="false" outlineLevel="0" collapsed="false">
      <c r="A753" s="23" t="n">
        <v>45859.6472222222</v>
      </c>
      <c r="B753" s="24" t="s">
        <v>712</v>
      </c>
      <c r="C753" s="24" t="s">
        <v>172</v>
      </c>
      <c r="D753" s="24" t="s">
        <v>88</v>
      </c>
      <c r="E753" s="24" t="n">
        <v>419</v>
      </c>
      <c r="F753" s="25" t="n">
        <v>21000</v>
      </c>
      <c r="G753" s="24" t="s">
        <v>83</v>
      </c>
      <c r="H753" s="24" t="s">
        <v>80</v>
      </c>
      <c r="I753" s="24" t="s">
        <v>61</v>
      </c>
      <c r="J753" s="26" t="n">
        <f aca="false">IF(A753="","",YEAR(A753))</f>
        <v>2025</v>
      </c>
      <c r="K753" s="26" t="n">
        <f aca="false">IF(A753="","",MONTH(A753))</f>
        <v>7</v>
      </c>
      <c r="L753" s="26" t="n">
        <f aca="false">IF(B753="","",VALUE(LEFT(B753,2)))</f>
        <v>8</v>
      </c>
      <c r="M753" s="26" t="n">
        <f aca="false">IF(A753="","",IF(COUNTIFS($C$2:$C$5001,C753,$J$2:$J$5001,J753,$A$2:$A$5001,"&lt;"&amp;A753)=0,1,0))</f>
        <v>0</v>
      </c>
    </row>
    <row r="754" customFormat="false" ht="15" hidden="false" customHeight="false" outlineLevel="0" collapsed="false">
      <c r="A754" s="23" t="n">
        <v>45859.7319444444</v>
      </c>
      <c r="B754" s="24" t="s">
        <v>584</v>
      </c>
      <c r="C754" s="24" t="s">
        <v>339</v>
      </c>
      <c r="D754" s="24" t="s">
        <v>66</v>
      </c>
      <c r="E754" s="24" t="n">
        <v>373</v>
      </c>
      <c r="F754" s="25" t="n">
        <v>0</v>
      </c>
      <c r="G754" s="24" t="s">
        <v>69</v>
      </c>
      <c r="H754" s="24" t="s">
        <v>55</v>
      </c>
      <c r="I754" s="24" t="s">
        <v>56</v>
      </c>
      <c r="J754" s="26" t="n">
        <f aca="false">IF(A754="","",YEAR(A754))</f>
        <v>2025</v>
      </c>
      <c r="K754" s="26" t="n">
        <f aca="false">IF(A754="","",MONTH(A754))</f>
        <v>7</v>
      </c>
      <c r="L754" s="26" t="n">
        <f aca="false">IF(B754="","",VALUE(LEFT(B754,2)))</f>
        <v>11</v>
      </c>
      <c r="M754" s="26" t="n">
        <f aca="false">IF(A754="","",IF(COUNTIFS($C$2:$C$5001,C754,$J$2:$J$5001,J754,$A$2:$A$5001,"&lt;"&amp;A754)=0,1,0))</f>
        <v>0</v>
      </c>
    </row>
    <row r="755" customFormat="false" ht="15" hidden="false" customHeight="false" outlineLevel="0" collapsed="false">
      <c r="A755" s="23" t="n">
        <v>45859.7479166667</v>
      </c>
      <c r="B755" s="24" t="s">
        <v>670</v>
      </c>
      <c r="C755" s="24" t="s">
        <v>235</v>
      </c>
      <c r="D755" s="24" t="s">
        <v>53</v>
      </c>
      <c r="E755" s="24" t="n">
        <v>46</v>
      </c>
      <c r="F755" s="25" t="n">
        <v>1000</v>
      </c>
      <c r="G755" s="24" t="s">
        <v>59</v>
      </c>
      <c r="H755" s="24" t="s">
        <v>55</v>
      </c>
      <c r="I755" s="24" t="s">
        <v>61</v>
      </c>
      <c r="J755" s="26" t="n">
        <f aca="false">IF(A755="","",YEAR(A755))</f>
        <v>2025</v>
      </c>
      <c r="K755" s="26" t="n">
        <f aca="false">IF(A755="","",MONTH(A755))</f>
        <v>7</v>
      </c>
      <c r="L755" s="26" t="n">
        <f aca="false">IF(B755="","",VALUE(LEFT(B755,2)))</f>
        <v>17</v>
      </c>
      <c r="M755" s="26" t="n">
        <f aca="false">IF(A755="","",IF(COUNTIFS($C$2:$C$5001,C755,$J$2:$J$5001,J755,$A$2:$A$5001,"&lt;"&amp;A755)=0,1,0))</f>
        <v>0</v>
      </c>
    </row>
    <row r="756" customFormat="false" ht="15" hidden="false" customHeight="false" outlineLevel="0" collapsed="false">
      <c r="A756" s="23" t="n">
        <v>45860.6673611111</v>
      </c>
      <c r="B756" s="24" t="s">
        <v>713</v>
      </c>
      <c r="C756" s="24" t="s">
        <v>277</v>
      </c>
      <c r="D756" s="24" t="s">
        <v>53</v>
      </c>
      <c r="E756" s="24" t="n">
        <v>20</v>
      </c>
      <c r="F756" s="25" t="n">
        <v>500</v>
      </c>
      <c r="G756" s="24" t="s">
        <v>59</v>
      </c>
      <c r="H756" s="24" t="s">
        <v>80</v>
      </c>
      <c r="I756" s="24" t="s">
        <v>61</v>
      </c>
      <c r="J756" s="26" t="n">
        <f aca="false">IF(A756="","",YEAR(A756))</f>
        <v>2025</v>
      </c>
      <c r="K756" s="26" t="n">
        <f aca="false">IF(A756="","",MONTH(A756))</f>
        <v>7</v>
      </c>
      <c r="L756" s="26" t="n">
        <f aca="false">IF(B756="","",VALUE(LEFT(B756,2)))</f>
        <v>15</v>
      </c>
      <c r="M756" s="26" t="n">
        <f aca="false">IF(A756="","",IF(COUNTIFS($C$2:$C$5001,C756,$J$2:$J$5001,J756,$A$2:$A$5001,"&lt;"&amp;A756)=0,1,0))</f>
        <v>0</v>
      </c>
    </row>
    <row r="757" customFormat="false" ht="15" hidden="false" customHeight="false" outlineLevel="0" collapsed="false">
      <c r="A757" s="23" t="n">
        <v>45860.7159722222</v>
      </c>
      <c r="B757" s="24" t="s">
        <v>714</v>
      </c>
      <c r="C757" s="24" t="s">
        <v>222</v>
      </c>
      <c r="D757" s="24" t="s">
        <v>53</v>
      </c>
      <c r="E757" s="24" t="n">
        <v>383</v>
      </c>
      <c r="F757" s="25" t="n">
        <v>5525</v>
      </c>
      <c r="G757" s="24" t="s">
        <v>69</v>
      </c>
      <c r="H757" s="24" t="s">
        <v>55</v>
      </c>
      <c r="I757" s="24" t="s">
        <v>113</v>
      </c>
      <c r="J757" s="26" t="n">
        <f aca="false">IF(A757="","",YEAR(A757))</f>
        <v>2025</v>
      </c>
      <c r="K757" s="26" t="n">
        <f aca="false">IF(A757="","",MONTH(A757))</f>
        <v>7</v>
      </c>
      <c r="L757" s="26" t="n">
        <f aca="false">IF(B757="","",VALUE(LEFT(B757,2)))</f>
        <v>10</v>
      </c>
      <c r="M757" s="26" t="n">
        <f aca="false">IF(A757="","",IF(COUNTIFS($C$2:$C$5001,C757,$J$2:$J$5001,J757,$A$2:$A$5001,"&lt;"&amp;A757)=0,1,0))</f>
        <v>0</v>
      </c>
    </row>
    <row r="758" customFormat="false" ht="15" hidden="false" customHeight="false" outlineLevel="0" collapsed="false">
      <c r="A758" s="23" t="n">
        <v>45860.8256944444</v>
      </c>
      <c r="B758" s="24" t="s">
        <v>715</v>
      </c>
      <c r="C758" s="24" t="s">
        <v>312</v>
      </c>
      <c r="D758" s="24" t="s">
        <v>66</v>
      </c>
      <c r="E758" s="24" t="n">
        <v>72</v>
      </c>
      <c r="F758" s="25" t="n">
        <v>3000</v>
      </c>
      <c r="G758" s="24" t="s">
        <v>69</v>
      </c>
      <c r="H758" s="24" t="s">
        <v>55</v>
      </c>
      <c r="I758" s="24" t="s">
        <v>61</v>
      </c>
      <c r="J758" s="26" t="n">
        <f aca="false">IF(A758="","",YEAR(A758))</f>
        <v>2025</v>
      </c>
      <c r="K758" s="26" t="n">
        <f aca="false">IF(A758="","",MONTH(A758))</f>
        <v>7</v>
      </c>
      <c r="L758" s="26" t="n">
        <f aca="false">IF(B758="","",VALUE(LEFT(B758,2)))</f>
        <v>18</v>
      </c>
      <c r="M758" s="26" t="n">
        <f aca="false">IF(A758="","",IF(COUNTIFS($C$2:$C$5001,C758,$J$2:$J$5001,J758,$A$2:$A$5001,"&lt;"&amp;A758)=0,1,0))</f>
        <v>0</v>
      </c>
    </row>
    <row r="759" customFormat="false" ht="15" hidden="false" customHeight="false" outlineLevel="0" collapsed="false">
      <c r="A759" s="23" t="n">
        <v>45860.8763888889</v>
      </c>
      <c r="B759" s="24" t="s">
        <v>716</v>
      </c>
      <c r="C759" s="24" t="s">
        <v>160</v>
      </c>
      <c r="D759" s="24" t="s">
        <v>66</v>
      </c>
      <c r="E759" s="24" t="n">
        <v>164</v>
      </c>
      <c r="F759" s="25" t="n">
        <v>6000</v>
      </c>
      <c r="G759" s="24" t="s">
        <v>54</v>
      </c>
      <c r="H759" s="24" t="s">
        <v>80</v>
      </c>
      <c r="I759" s="24" t="s">
        <v>61</v>
      </c>
      <c r="J759" s="26" t="n">
        <f aca="false">IF(A759="","",YEAR(A759))</f>
        <v>2025</v>
      </c>
      <c r="K759" s="26" t="n">
        <f aca="false">IF(A759="","",MONTH(A759))</f>
        <v>7</v>
      </c>
      <c r="L759" s="26" t="n">
        <f aca="false">IF(B759="","",VALUE(LEFT(B759,2)))</f>
        <v>18</v>
      </c>
      <c r="M759" s="26" t="n">
        <f aca="false">IF(A759="","",IF(COUNTIFS($C$2:$C$5001,C759,$J$2:$J$5001,J759,$A$2:$A$5001,"&lt;"&amp;A759)=0,1,0))</f>
        <v>0</v>
      </c>
    </row>
    <row r="760" customFormat="false" ht="15" hidden="false" customHeight="false" outlineLevel="0" collapsed="false">
      <c r="A760" s="23" t="n">
        <v>45861.3222222222</v>
      </c>
      <c r="B760" s="24" t="s">
        <v>622</v>
      </c>
      <c r="C760" s="24" t="s">
        <v>277</v>
      </c>
      <c r="D760" s="24" t="s">
        <v>66</v>
      </c>
      <c r="E760" s="24" t="n">
        <v>23</v>
      </c>
      <c r="F760" s="25" t="n">
        <v>1000</v>
      </c>
      <c r="G760" s="24" t="s">
        <v>83</v>
      </c>
      <c r="H760" s="24" t="s">
        <v>80</v>
      </c>
      <c r="I760" s="24" t="s">
        <v>61</v>
      </c>
      <c r="J760" s="26" t="n">
        <f aca="false">IF(A760="","",YEAR(A760))</f>
        <v>2025</v>
      </c>
      <c r="K760" s="26" t="n">
        <f aca="false">IF(A760="","",MONTH(A760))</f>
        <v>7</v>
      </c>
      <c r="L760" s="26" t="n">
        <f aca="false">IF(B760="","",VALUE(LEFT(B760,2)))</f>
        <v>7</v>
      </c>
      <c r="M760" s="26" t="n">
        <f aca="false">IF(A760="","",IF(COUNTIFS($C$2:$C$5001,C760,$J$2:$J$5001,J760,$A$2:$A$5001,"&lt;"&amp;A760)=0,1,0))</f>
        <v>0</v>
      </c>
    </row>
    <row r="761" customFormat="false" ht="15" hidden="false" customHeight="false" outlineLevel="0" collapsed="false">
      <c r="A761" s="23" t="n">
        <v>45861.525</v>
      </c>
      <c r="B761" s="24" t="s">
        <v>298</v>
      </c>
      <c r="C761" s="24" t="s">
        <v>85</v>
      </c>
      <c r="D761" s="24" t="s">
        <v>66</v>
      </c>
      <c r="E761" s="24" t="n">
        <v>284</v>
      </c>
      <c r="F761" s="25" t="n">
        <v>10000</v>
      </c>
      <c r="G761" s="24" t="s">
        <v>79</v>
      </c>
      <c r="H761" s="24" t="s">
        <v>80</v>
      </c>
      <c r="I761" s="24" t="s">
        <v>61</v>
      </c>
      <c r="J761" s="26" t="n">
        <f aca="false">IF(A761="","",YEAR(A761))</f>
        <v>2025</v>
      </c>
      <c r="K761" s="26" t="n">
        <f aca="false">IF(A761="","",MONTH(A761))</f>
        <v>7</v>
      </c>
      <c r="L761" s="26" t="n">
        <f aca="false">IF(B761="","",VALUE(LEFT(B761,2)))</f>
        <v>7</v>
      </c>
      <c r="M761" s="26" t="n">
        <f aca="false">IF(A761="","",IF(COUNTIFS($C$2:$C$5001,C761,$J$2:$J$5001,J761,$A$2:$A$5001,"&lt;"&amp;A761)=0,1,0))</f>
        <v>0</v>
      </c>
    </row>
    <row r="762" customFormat="false" ht="15" hidden="false" customHeight="false" outlineLevel="0" collapsed="false">
      <c r="A762" s="23" t="n">
        <v>45861.5715277778</v>
      </c>
      <c r="B762" s="24" t="s">
        <v>717</v>
      </c>
      <c r="C762" s="24" t="s">
        <v>100</v>
      </c>
      <c r="D762" s="24" t="s">
        <v>66</v>
      </c>
      <c r="E762" s="24" t="n">
        <v>59</v>
      </c>
      <c r="F762" s="25" t="n">
        <v>2000</v>
      </c>
      <c r="G762" s="24" t="s">
        <v>54</v>
      </c>
      <c r="H762" s="24" t="s">
        <v>60</v>
      </c>
      <c r="I762" s="24" t="s">
        <v>61</v>
      </c>
      <c r="J762" s="26" t="n">
        <f aca="false">IF(A762="","",YEAR(A762))</f>
        <v>2025</v>
      </c>
      <c r="K762" s="26" t="n">
        <f aca="false">IF(A762="","",MONTH(A762))</f>
        <v>7</v>
      </c>
      <c r="L762" s="26" t="n">
        <f aca="false">IF(B762="","",VALUE(LEFT(B762,2)))</f>
        <v>12</v>
      </c>
      <c r="M762" s="26" t="n">
        <f aca="false">IF(A762="","",IF(COUNTIFS($C$2:$C$5001,C762,$J$2:$J$5001,J762,$A$2:$A$5001,"&lt;"&amp;A762)=0,1,0))</f>
        <v>0</v>
      </c>
    </row>
    <row r="763" customFormat="false" ht="15" hidden="false" customHeight="false" outlineLevel="0" collapsed="false">
      <c r="A763" s="23" t="n">
        <v>45861.6319444445</v>
      </c>
      <c r="B763" s="24" t="s">
        <v>255</v>
      </c>
      <c r="C763" s="24" t="s">
        <v>220</v>
      </c>
      <c r="D763" s="24" t="s">
        <v>88</v>
      </c>
      <c r="E763" s="24" t="n">
        <v>274</v>
      </c>
      <c r="F763" s="25" t="n">
        <v>15000</v>
      </c>
      <c r="G763" s="24" t="s">
        <v>59</v>
      </c>
      <c r="H763" s="24" t="s">
        <v>60</v>
      </c>
      <c r="I763" s="24" t="s">
        <v>61</v>
      </c>
      <c r="J763" s="26" t="n">
        <f aca="false">IF(A763="","",YEAR(A763))</f>
        <v>2025</v>
      </c>
      <c r="K763" s="26" t="n">
        <f aca="false">IF(A763="","",MONTH(A763))</f>
        <v>7</v>
      </c>
      <c r="L763" s="26" t="n">
        <f aca="false">IF(B763="","",VALUE(LEFT(B763,2)))</f>
        <v>10</v>
      </c>
      <c r="M763" s="26" t="n">
        <f aca="false">IF(A763="","",IF(COUNTIFS($C$2:$C$5001,C763,$J$2:$J$5001,J763,$A$2:$A$5001,"&lt;"&amp;A763)=0,1,0))</f>
        <v>0</v>
      </c>
    </row>
    <row r="764" customFormat="false" ht="15" hidden="false" customHeight="false" outlineLevel="0" collapsed="false">
      <c r="A764" s="23" t="n">
        <v>45861.8298611111</v>
      </c>
      <c r="B764" s="24" t="s">
        <v>618</v>
      </c>
      <c r="C764" s="24" t="s">
        <v>120</v>
      </c>
      <c r="D764" s="24" t="s">
        <v>127</v>
      </c>
      <c r="E764" s="24" t="n">
        <v>294</v>
      </c>
      <c r="F764" s="25" t="n">
        <v>0</v>
      </c>
      <c r="G764" s="24" t="s">
        <v>79</v>
      </c>
      <c r="H764" s="24" t="s">
        <v>80</v>
      </c>
      <c r="I764" s="24" t="s">
        <v>56</v>
      </c>
      <c r="J764" s="26" t="n">
        <f aca="false">IF(A764="","",YEAR(A764))</f>
        <v>2025</v>
      </c>
      <c r="K764" s="26" t="n">
        <f aca="false">IF(A764="","",MONTH(A764))</f>
        <v>7</v>
      </c>
      <c r="L764" s="26" t="n">
        <f aca="false">IF(B764="","",VALUE(LEFT(B764,2)))</f>
        <v>15</v>
      </c>
      <c r="M764" s="26" t="n">
        <f aca="false">IF(A764="","",IF(COUNTIFS($C$2:$C$5001,C764,$J$2:$J$5001,J764,$A$2:$A$5001,"&lt;"&amp;A764)=0,1,0))</f>
        <v>0</v>
      </c>
    </row>
    <row r="765" customFormat="false" ht="15" hidden="false" customHeight="false" outlineLevel="0" collapsed="false">
      <c r="A765" s="23" t="n">
        <v>45861.8513888889</v>
      </c>
      <c r="B765" s="24" t="s">
        <v>718</v>
      </c>
      <c r="C765" s="24" t="s">
        <v>179</v>
      </c>
      <c r="D765" s="24" t="s">
        <v>66</v>
      </c>
      <c r="E765" s="24" t="n">
        <v>42</v>
      </c>
      <c r="F765" s="25" t="n">
        <v>2000</v>
      </c>
      <c r="G765" s="24" t="s">
        <v>59</v>
      </c>
      <c r="H765" s="24" t="s">
        <v>60</v>
      </c>
      <c r="I765" s="24" t="s">
        <v>61</v>
      </c>
      <c r="J765" s="26" t="n">
        <f aca="false">IF(A765="","",YEAR(A765))</f>
        <v>2025</v>
      </c>
      <c r="K765" s="26" t="n">
        <f aca="false">IF(A765="","",MONTH(A765))</f>
        <v>7</v>
      </c>
      <c r="L765" s="26" t="n">
        <f aca="false">IF(B765="","",VALUE(LEFT(B765,2)))</f>
        <v>19</v>
      </c>
      <c r="M765" s="26" t="n">
        <f aca="false">IF(A765="","",IF(COUNTIFS($C$2:$C$5001,C765,$J$2:$J$5001,J765,$A$2:$A$5001,"&lt;"&amp;A765)=0,1,0))</f>
        <v>0</v>
      </c>
    </row>
    <row r="766" customFormat="false" ht="15" hidden="false" customHeight="false" outlineLevel="0" collapsed="false">
      <c r="A766" s="23" t="n">
        <v>45862.3916666667</v>
      </c>
      <c r="B766" s="24" t="s">
        <v>364</v>
      </c>
      <c r="C766" s="24" t="s">
        <v>467</v>
      </c>
      <c r="D766" s="24" t="s">
        <v>66</v>
      </c>
      <c r="E766" s="24" t="n">
        <v>30</v>
      </c>
      <c r="F766" s="25" t="n">
        <v>1000</v>
      </c>
      <c r="G766" s="24" t="s">
        <v>59</v>
      </c>
      <c r="H766" s="24" t="s">
        <v>80</v>
      </c>
      <c r="I766" s="24" t="s">
        <v>61</v>
      </c>
      <c r="J766" s="26" t="n">
        <f aca="false">IF(A766="","",YEAR(A766))</f>
        <v>2025</v>
      </c>
      <c r="K766" s="26" t="n">
        <f aca="false">IF(A766="","",MONTH(A766))</f>
        <v>7</v>
      </c>
      <c r="L766" s="26" t="n">
        <f aca="false">IF(B766="","",VALUE(LEFT(B766,2)))</f>
        <v>8</v>
      </c>
      <c r="M766" s="26" t="n">
        <f aca="false">IF(A766="","",IF(COUNTIFS($C$2:$C$5001,C766,$J$2:$J$5001,J766,$A$2:$A$5001,"&lt;"&amp;A766)=0,1,0))</f>
        <v>0</v>
      </c>
    </row>
    <row r="767" customFormat="false" ht="15" hidden="false" customHeight="false" outlineLevel="0" collapsed="false">
      <c r="A767" s="23" t="n">
        <v>45862.5993055556</v>
      </c>
      <c r="B767" s="24" t="s">
        <v>646</v>
      </c>
      <c r="C767" s="24" t="s">
        <v>186</v>
      </c>
      <c r="D767" s="24" t="s">
        <v>66</v>
      </c>
      <c r="E767" s="24" t="n">
        <v>135</v>
      </c>
      <c r="F767" s="25" t="n">
        <v>5000</v>
      </c>
      <c r="G767" s="24" t="s">
        <v>79</v>
      </c>
      <c r="H767" s="24" t="s">
        <v>60</v>
      </c>
      <c r="I767" s="24" t="s">
        <v>61</v>
      </c>
      <c r="J767" s="26" t="n">
        <f aca="false">IF(A767="","",YEAR(A767))</f>
        <v>2025</v>
      </c>
      <c r="K767" s="26" t="n">
        <f aca="false">IF(A767="","",MONTH(A767))</f>
        <v>7</v>
      </c>
      <c r="L767" s="26" t="n">
        <f aca="false">IF(B767="","",VALUE(LEFT(B767,2)))</f>
        <v>12</v>
      </c>
      <c r="M767" s="26" t="n">
        <f aca="false">IF(A767="","",IF(COUNTIFS($C$2:$C$5001,C767,$J$2:$J$5001,J767,$A$2:$A$5001,"&lt;"&amp;A767)=0,1,0))</f>
        <v>0</v>
      </c>
    </row>
    <row r="768" customFormat="false" ht="15" hidden="false" customHeight="false" outlineLevel="0" collapsed="false">
      <c r="A768" s="23" t="n">
        <v>45863.3298611111</v>
      </c>
      <c r="B768" s="24" t="s">
        <v>719</v>
      </c>
      <c r="C768" s="24" t="s">
        <v>158</v>
      </c>
      <c r="D768" s="24" t="s">
        <v>53</v>
      </c>
      <c r="E768" s="24" t="n">
        <v>110</v>
      </c>
      <c r="F768" s="25" t="n">
        <v>2000</v>
      </c>
      <c r="G768" s="24" t="s">
        <v>59</v>
      </c>
      <c r="H768" s="24" t="s">
        <v>80</v>
      </c>
      <c r="I768" s="24" t="s">
        <v>61</v>
      </c>
      <c r="J768" s="26" t="n">
        <f aca="false">IF(A768="","",YEAR(A768))</f>
        <v>2025</v>
      </c>
      <c r="K768" s="26" t="n">
        <f aca="false">IF(A768="","",MONTH(A768))</f>
        <v>7</v>
      </c>
      <c r="L768" s="26" t="n">
        <f aca="false">IF(B768="","",VALUE(LEFT(B768,2)))</f>
        <v>6</v>
      </c>
      <c r="M768" s="26" t="n">
        <f aca="false">IF(A768="","",IF(COUNTIFS($C$2:$C$5001,C768,$J$2:$J$5001,J768,$A$2:$A$5001,"&lt;"&amp;A768)=0,1,0))</f>
        <v>0</v>
      </c>
    </row>
    <row r="769" customFormat="false" ht="15" hidden="false" customHeight="false" outlineLevel="0" collapsed="false">
      <c r="A769" s="23" t="n">
        <v>45863.5430555556</v>
      </c>
      <c r="B769" s="24" t="s">
        <v>554</v>
      </c>
      <c r="C769" s="24" t="s">
        <v>332</v>
      </c>
      <c r="D769" s="24" t="s">
        <v>53</v>
      </c>
      <c r="E769" s="24" t="n">
        <v>57</v>
      </c>
      <c r="F769" s="25" t="n">
        <v>1000</v>
      </c>
      <c r="G769" s="24" t="s">
        <v>59</v>
      </c>
      <c r="H769" s="24" t="s">
        <v>80</v>
      </c>
      <c r="I769" s="24" t="s">
        <v>61</v>
      </c>
      <c r="J769" s="26" t="n">
        <f aca="false">IF(A769="","",YEAR(A769))</f>
        <v>2025</v>
      </c>
      <c r="K769" s="26" t="n">
        <f aca="false">IF(A769="","",MONTH(A769))</f>
        <v>7</v>
      </c>
      <c r="L769" s="26" t="n">
        <f aca="false">IF(B769="","",VALUE(LEFT(B769,2)))</f>
        <v>12</v>
      </c>
      <c r="M769" s="26" t="n">
        <f aca="false">IF(A769="","",IF(COUNTIFS($C$2:$C$5001,C769,$J$2:$J$5001,J769,$A$2:$A$5001,"&lt;"&amp;A769)=0,1,0))</f>
        <v>0</v>
      </c>
    </row>
    <row r="770" customFormat="false" ht="15" hidden="false" customHeight="false" outlineLevel="0" collapsed="false">
      <c r="A770" s="23" t="n">
        <v>45863.6895833333</v>
      </c>
      <c r="B770" s="24" t="s">
        <v>276</v>
      </c>
      <c r="C770" s="24" t="s">
        <v>110</v>
      </c>
      <c r="D770" s="24" t="s">
        <v>53</v>
      </c>
      <c r="E770" s="24" t="n">
        <v>139</v>
      </c>
      <c r="F770" s="25" t="n">
        <v>2125</v>
      </c>
      <c r="G770" s="24" t="s">
        <v>69</v>
      </c>
      <c r="H770" s="24" t="s">
        <v>55</v>
      </c>
      <c r="I770" s="24" t="s">
        <v>113</v>
      </c>
      <c r="J770" s="26" t="n">
        <f aca="false">IF(A770="","",YEAR(A770))</f>
        <v>2025</v>
      </c>
      <c r="K770" s="26" t="n">
        <f aca="false">IF(A770="","",MONTH(A770))</f>
        <v>7</v>
      </c>
      <c r="L770" s="26" t="n">
        <f aca="false">IF(B770="","",VALUE(LEFT(B770,2)))</f>
        <v>14</v>
      </c>
      <c r="M770" s="26" t="n">
        <f aca="false">IF(A770="","",IF(COUNTIFS($C$2:$C$5001,C770,$J$2:$J$5001,J770,$A$2:$A$5001,"&lt;"&amp;A770)=0,1,0))</f>
        <v>0</v>
      </c>
    </row>
    <row r="771" customFormat="false" ht="15" hidden="false" customHeight="false" outlineLevel="0" collapsed="false">
      <c r="A771" s="23" t="n">
        <v>45863.8666666667</v>
      </c>
      <c r="B771" s="24" t="s">
        <v>295</v>
      </c>
      <c r="C771" s="24" t="s">
        <v>112</v>
      </c>
      <c r="D771" s="24" t="s">
        <v>66</v>
      </c>
      <c r="E771" s="24" t="n">
        <v>167</v>
      </c>
      <c r="F771" s="25" t="n">
        <v>6000</v>
      </c>
      <c r="G771" s="24" t="s">
        <v>54</v>
      </c>
      <c r="H771" s="24" t="s">
        <v>80</v>
      </c>
      <c r="I771" s="24" t="s">
        <v>61</v>
      </c>
      <c r="J771" s="26" t="n">
        <f aca="false">IF(A771="","",YEAR(A771))</f>
        <v>2025</v>
      </c>
      <c r="K771" s="26" t="n">
        <f aca="false">IF(A771="","",MONTH(A771))</f>
        <v>7</v>
      </c>
      <c r="L771" s="26" t="n">
        <f aca="false">IF(B771="","",VALUE(LEFT(B771,2)))</f>
        <v>18</v>
      </c>
      <c r="M771" s="26" t="n">
        <f aca="false">IF(A771="","",IF(COUNTIFS($C$2:$C$5001,C771,$J$2:$J$5001,J771,$A$2:$A$5001,"&lt;"&amp;A771)=0,1,0))</f>
        <v>0</v>
      </c>
    </row>
    <row r="772" customFormat="false" ht="15" hidden="false" customHeight="false" outlineLevel="0" collapsed="false">
      <c r="A772" s="23" t="n">
        <v>45863.875</v>
      </c>
      <c r="B772" s="24" t="s">
        <v>720</v>
      </c>
      <c r="C772" s="24" t="s">
        <v>82</v>
      </c>
      <c r="D772" s="24" t="s">
        <v>66</v>
      </c>
      <c r="E772" s="24" t="n">
        <v>400</v>
      </c>
      <c r="F772" s="25" t="n">
        <v>14000</v>
      </c>
      <c r="G772" s="24" t="s">
        <v>59</v>
      </c>
      <c r="H772" s="24" t="s">
        <v>80</v>
      </c>
      <c r="I772" s="24" t="s">
        <v>61</v>
      </c>
      <c r="J772" s="26" t="n">
        <f aca="false">IF(A772="","",YEAR(A772))</f>
        <v>2025</v>
      </c>
      <c r="K772" s="26" t="n">
        <f aca="false">IF(A772="","",MONTH(A772))</f>
        <v>7</v>
      </c>
      <c r="L772" s="26" t="n">
        <f aca="false">IF(B772="","",VALUE(LEFT(B772,2)))</f>
        <v>14</v>
      </c>
      <c r="M772" s="26" t="n">
        <f aca="false">IF(A772="","",IF(COUNTIFS($C$2:$C$5001,C772,$J$2:$J$5001,J772,$A$2:$A$5001,"&lt;"&amp;A772)=0,1,0))</f>
        <v>0</v>
      </c>
    </row>
    <row r="773" customFormat="false" ht="15" hidden="false" customHeight="false" outlineLevel="0" collapsed="false">
      <c r="A773" s="23" t="n">
        <v>45864.8055555556</v>
      </c>
      <c r="B773" s="24" t="s">
        <v>721</v>
      </c>
      <c r="C773" s="24" t="s">
        <v>85</v>
      </c>
      <c r="D773" s="24" t="s">
        <v>66</v>
      </c>
      <c r="E773" s="24" t="n">
        <v>85</v>
      </c>
      <c r="F773" s="25" t="n">
        <v>0</v>
      </c>
      <c r="G773" s="24" t="s">
        <v>69</v>
      </c>
      <c r="H773" s="24" t="s">
        <v>55</v>
      </c>
      <c r="I773" s="24" t="s">
        <v>56</v>
      </c>
      <c r="J773" s="26" t="n">
        <f aca="false">IF(A773="","",YEAR(A773))</f>
        <v>2025</v>
      </c>
      <c r="K773" s="26" t="n">
        <f aca="false">IF(A773="","",MONTH(A773))</f>
        <v>7</v>
      </c>
      <c r="L773" s="26" t="n">
        <f aca="false">IF(B773="","",VALUE(LEFT(B773,2)))</f>
        <v>17</v>
      </c>
      <c r="M773" s="26" t="n">
        <f aca="false">IF(A773="","",IF(COUNTIFS($C$2:$C$5001,C773,$J$2:$J$5001,J773,$A$2:$A$5001,"&lt;"&amp;A773)=0,1,0))</f>
        <v>0</v>
      </c>
    </row>
    <row r="774" customFormat="false" ht="15" hidden="false" customHeight="false" outlineLevel="0" collapsed="false">
      <c r="A774" s="23" t="n">
        <v>45864.8229166667</v>
      </c>
      <c r="B774" s="24" t="s">
        <v>722</v>
      </c>
      <c r="C774" s="24" t="s">
        <v>90</v>
      </c>
      <c r="D774" s="24" t="s">
        <v>53</v>
      </c>
      <c r="E774" s="24" t="n">
        <v>297</v>
      </c>
      <c r="F774" s="25" t="n">
        <v>5000</v>
      </c>
      <c r="G774" s="24" t="s">
        <v>83</v>
      </c>
      <c r="H774" s="24" t="s">
        <v>60</v>
      </c>
      <c r="I774" s="24" t="s">
        <v>61</v>
      </c>
      <c r="J774" s="26" t="n">
        <f aca="false">IF(A774="","",YEAR(A774))</f>
        <v>2025</v>
      </c>
      <c r="K774" s="26" t="n">
        <f aca="false">IF(A774="","",MONTH(A774))</f>
        <v>7</v>
      </c>
      <c r="L774" s="26" t="n">
        <f aca="false">IF(B774="","",VALUE(LEFT(B774,2)))</f>
        <v>14</v>
      </c>
      <c r="M774" s="26" t="n">
        <f aca="false">IF(A774="","",IF(COUNTIFS($C$2:$C$5001,C774,$J$2:$J$5001,J774,$A$2:$A$5001,"&lt;"&amp;A774)=0,1,0))</f>
        <v>0</v>
      </c>
    </row>
    <row r="775" customFormat="false" ht="15" hidden="false" customHeight="false" outlineLevel="0" collapsed="false">
      <c r="A775" s="23" t="n">
        <v>45864.9451388889</v>
      </c>
      <c r="B775" s="24" t="s">
        <v>723</v>
      </c>
      <c r="C775" s="24" t="s">
        <v>482</v>
      </c>
      <c r="D775" s="24" t="s">
        <v>66</v>
      </c>
      <c r="E775" s="24" t="n">
        <v>222</v>
      </c>
      <c r="F775" s="25" t="n">
        <v>8000</v>
      </c>
      <c r="G775" s="24" t="s">
        <v>79</v>
      </c>
      <c r="H775" s="24" t="s">
        <v>80</v>
      </c>
      <c r="I775" s="24" t="s">
        <v>61</v>
      </c>
      <c r="J775" s="26" t="n">
        <f aca="false">IF(A775="","",YEAR(A775))</f>
        <v>2025</v>
      </c>
      <c r="K775" s="26" t="n">
        <f aca="false">IF(A775="","",MONTH(A775))</f>
        <v>7</v>
      </c>
      <c r="L775" s="26" t="n">
        <f aca="false">IF(B775="","",VALUE(LEFT(B775,2)))</f>
        <v>18</v>
      </c>
      <c r="M775" s="26" t="n">
        <f aca="false">IF(A775="","",IF(COUNTIFS($C$2:$C$5001,C775,$J$2:$J$5001,J775,$A$2:$A$5001,"&lt;"&amp;A775)=0,1,0))</f>
        <v>0</v>
      </c>
    </row>
    <row r="776" customFormat="false" ht="15" hidden="false" customHeight="false" outlineLevel="0" collapsed="false">
      <c r="A776" s="23" t="n">
        <v>45865.4868055556</v>
      </c>
      <c r="B776" s="24" t="s">
        <v>564</v>
      </c>
      <c r="C776" s="24" t="s">
        <v>309</v>
      </c>
      <c r="D776" s="24" t="s">
        <v>66</v>
      </c>
      <c r="E776" s="24" t="n">
        <v>25</v>
      </c>
      <c r="F776" s="25" t="n">
        <v>1000</v>
      </c>
      <c r="G776" s="24" t="s">
        <v>69</v>
      </c>
      <c r="H776" s="24" t="s">
        <v>60</v>
      </c>
      <c r="I776" s="24" t="s">
        <v>61</v>
      </c>
      <c r="J776" s="26" t="n">
        <f aca="false">IF(A776="","",YEAR(A776))</f>
        <v>2025</v>
      </c>
      <c r="K776" s="26" t="n">
        <f aca="false">IF(A776="","",MONTH(A776))</f>
        <v>7</v>
      </c>
      <c r="L776" s="26" t="n">
        <f aca="false">IF(B776="","",VALUE(LEFT(B776,2)))</f>
        <v>11</v>
      </c>
      <c r="M776" s="26" t="n">
        <f aca="false">IF(A776="","",IF(COUNTIFS($C$2:$C$5001,C776,$J$2:$J$5001,J776,$A$2:$A$5001,"&lt;"&amp;A776)=0,1,0))</f>
        <v>0</v>
      </c>
    </row>
    <row r="777" customFormat="false" ht="15" hidden="false" customHeight="false" outlineLevel="0" collapsed="false">
      <c r="A777" s="23" t="n">
        <v>45865.4881944444</v>
      </c>
      <c r="B777" s="24" t="s">
        <v>388</v>
      </c>
      <c r="C777" s="24" t="s">
        <v>78</v>
      </c>
      <c r="D777" s="24" t="s">
        <v>88</v>
      </c>
      <c r="E777" s="24" t="n">
        <v>273</v>
      </c>
      <c r="F777" s="25" t="n">
        <v>12750</v>
      </c>
      <c r="G777" s="24" t="s">
        <v>59</v>
      </c>
      <c r="H777" s="24" t="s">
        <v>80</v>
      </c>
      <c r="I777" s="24" t="s">
        <v>113</v>
      </c>
      <c r="J777" s="26" t="n">
        <f aca="false">IF(A777="","",YEAR(A777))</f>
        <v>2025</v>
      </c>
      <c r="K777" s="26" t="n">
        <f aca="false">IF(A777="","",MONTH(A777))</f>
        <v>7</v>
      </c>
      <c r="L777" s="26" t="n">
        <f aca="false">IF(B777="","",VALUE(LEFT(B777,2)))</f>
        <v>7</v>
      </c>
      <c r="M777" s="26" t="n">
        <f aca="false">IF(A777="","",IF(COUNTIFS($C$2:$C$5001,C777,$J$2:$J$5001,J777,$A$2:$A$5001,"&lt;"&amp;A777)=0,1,0))</f>
        <v>0</v>
      </c>
    </row>
    <row r="778" customFormat="false" ht="15" hidden="false" customHeight="false" outlineLevel="0" collapsed="false">
      <c r="A778" s="23" t="n">
        <v>45865.6305555556</v>
      </c>
      <c r="B778" s="24" t="s">
        <v>466</v>
      </c>
      <c r="C778" s="24" t="s">
        <v>92</v>
      </c>
      <c r="D778" s="24" t="s">
        <v>72</v>
      </c>
      <c r="E778" s="24" t="n">
        <v>354</v>
      </c>
      <c r="F778" s="25" t="n">
        <v>24000</v>
      </c>
      <c r="G778" s="24" t="s">
        <v>59</v>
      </c>
      <c r="H778" s="24" t="s">
        <v>80</v>
      </c>
      <c r="I778" s="24" t="s">
        <v>61</v>
      </c>
      <c r="J778" s="26" t="n">
        <f aca="false">IF(A778="","",YEAR(A778))</f>
        <v>2025</v>
      </c>
      <c r="K778" s="26" t="n">
        <f aca="false">IF(A778="","",MONTH(A778))</f>
        <v>7</v>
      </c>
      <c r="L778" s="26" t="n">
        <f aca="false">IF(B778="","",VALUE(LEFT(B778,2)))</f>
        <v>9</v>
      </c>
      <c r="M778" s="26" t="n">
        <f aca="false">IF(A778="","",IF(COUNTIFS($C$2:$C$5001,C778,$J$2:$J$5001,J778,$A$2:$A$5001,"&lt;"&amp;A778)=0,1,0))</f>
        <v>0</v>
      </c>
    </row>
    <row r="779" customFormat="false" ht="15" hidden="false" customHeight="false" outlineLevel="0" collapsed="false">
      <c r="A779" s="23" t="n">
        <v>45865.6583333333</v>
      </c>
      <c r="B779" s="24" t="s">
        <v>724</v>
      </c>
      <c r="C779" s="24" t="s">
        <v>87</v>
      </c>
      <c r="D779" s="24" t="s">
        <v>66</v>
      </c>
      <c r="E779" s="24" t="n">
        <v>64</v>
      </c>
      <c r="F779" s="25" t="n">
        <v>3000</v>
      </c>
      <c r="G779" s="24" t="s">
        <v>69</v>
      </c>
      <c r="H779" s="24" t="s">
        <v>55</v>
      </c>
      <c r="I779" s="24" t="s">
        <v>61</v>
      </c>
      <c r="J779" s="26" t="n">
        <f aca="false">IF(A779="","",YEAR(A779))</f>
        <v>2025</v>
      </c>
      <c r="K779" s="26" t="n">
        <f aca="false">IF(A779="","",MONTH(A779))</f>
        <v>7</v>
      </c>
      <c r="L779" s="26" t="n">
        <f aca="false">IF(B779="","",VALUE(LEFT(B779,2)))</f>
        <v>14</v>
      </c>
      <c r="M779" s="26" t="n">
        <f aca="false">IF(A779="","",IF(COUNTIFS($C$2:$C$5001,C779,$J$2:$J$5001,J779,$A$2:$A$5001,"&lt;"&amp;A779)=0,1,0))</f>
        <v>0</v>
      </c>
    </row>
    <row r="780" customFormat="false" ht="15" hidden="false" customHeight="false" outlineLevel="0" collapsed="false">
      <c r="A780" s="23" t="n">
        <v>45866.5201388889</v>
      </c>
      <c r="B780" s="24" t="s">
        <v>725</v>
      </c>
      <c r="C780" s="24" t="s">
        <v>508</v>
      </c>
      <c r="D780" s="24" t="s">
        <v>53</v>
      </c>
      <c r="E780" s="24" t="n">
        <v>92</v>
      </c>
      <c r="F780" s="25" t="n">
        <v>2000</v>
      </c>
      <c r="G780" s="24" t="s">
        <v>59</v>
      </c>
      <c r="H780" s="24" t="s">
        <v>60</v>
      </c>
      <c r="I780" s="24" t="s">
        <v>61</v>
      </c>
      <c r="J780" s="26" t="n">
        <f aca="false">IF(A780="","",YEAR(A780))</f>
        <v>2025</v>
      </c>
      <c r="K780" s="26" t="n">
        <f aca="false">IF(A780="","",MONTH(A780))</f>
        <v>7</v>
      </c>
      <c r="L780" s="26" t="n">
        <f aca="false">IF(B780="","",VALUE(LEFT(B780,2)))</f>
        <v>10</v>
      </c>
      <c r="M780" s="26" t="n">
        <f aca="false">IF(A780="","",IF(COUNTIFS($C$2:$C$5001,C780,$J$2:$J$5001,J780,$A$2:$A$5001,"&lt;"&amp;A780)=0,1,0))</f>
        <v>0</v>
      </c>
    </row>
    <row r="781" customFormat="false" ht="15" hidden="false" customHeight="false" outlineLevel="0" collapsed="false">
      <c r="A781" s="23" t="n">
        <v>45866.5840277778</v>
      </c>
      <c r="B781" s="24" t="s">
        <v>457</v>
      </c>
      <c r="C781" s="24" t="s">
        <v>168</v>
      </c>
      <c r="D781" s="24" t="s">
        <v>53</v>
      </c>
      <c r="E781" s="24" t="n">
        <v>375</v>
      </c>
      <c r="F781" s="25" t="n">
        <v>6500</v>
      </c>
      <c r="G781" s="24" t="s">
        <v>59</v>
      </c>
      <c r="H781" s="24" t="s">
        <v>55</v>
      </c>
      <c r="I781" s="24" t="s">
        <v>61</v>
      </c>
      <c r="J781" s="26" t="n">
        <f aca="false">IF(A781="","",YEAR(A781))</f>
        <v>2025</v>
      </c>
      <c r="K781" s="26" t="n">
        <f aca="false">IF(A781="","",MONTH(A781))</f>
        <v>7</v>
      </c>
      <c r="L781" s="26" t="n">
        <f aca="false">IF(B781="","",VALUE(LEFT(B781,2)))</f>
        <v>7</v>
      </c>
      <c r="M781" s="26" t="n">
        <f aca="false">IF(A781="","",IF(COUNTIFS($C$2:$C$5001,C781,$J$2:$J$5001,J781,$A$2:$A$5001,"&lt;"&amp;A781)=0,1,0))</f>
        <v>0</v>
      </c>
    </row>
    <row r="782" customFormat="false" ht="15" hidden="false" customHeight="false" outlineLevel="0" collapsed="false">
      <c r="A782" s="23" t="n">
        <v>45866.6979166667</v>
      </c>
      <c r="B782" s="24" t="s">
        <v>726</v>
      </c>
      <c r="C782" s="24" t="s">
        <v>192</v>
      </c>
      <c r="D782" s="24" t="s">
        <v>66</v>
      </c>
      <c r="E782" s="24" t="n">
        <v>282</v>
      </c>
      <c r="F782" s="25" t="n">
        <v>10000</v>
      </c>
      <c r="G782" s="24" t="s">
        <v>59</v>
      </c>
      <c r="H782" s="24" t="s">
        <v>60</v>
      </c>
      <c r="I782" s="24" t="s">
        <v>61</v>
      </c>
      <c r="J782" s="26" t="n">
        <f aca="false">IF(A782="","",YEAR(A782))</f>
        <v>2025</v>
      </c>
      <c r="K782" s="26" t="n">
        <f aca="false">IF(A782="","",MONTH(A782))</f>
        <v>7</v>
      </c>
      <c r="L782" s="26" t="n">
        <f aca="false">IF(B782="","",VALUE(LEFT(B782,2)))</f>
        <v>12</v>
      </c>
      <c r="M782" s="26" t="n">
        <f aca="false">IF(A782="","",IF(COUNTIFS($C$2:$C$5001,C782,$J$2:$J$5001,J782,$A$2:$A$5001,"&lt;"&amp;A782)=0,1,0))</f>
        <v>0</v>
      </c>
    </row>
    <row r="783" customFormat="false" ht="15" hidden="false" customHeight="false" outlineLevel="0" collapsed="false">
      <c r="A783" s="23" t="n">
        <v>45866.7888888889</v>
      </c>
      <c r="B783" s="24" t="s">
        <v>727</v>
      </c>
      <c r="C783" s="24" t="s">
        <v>467</v>
      </c>
      <c r="D783" s="24" t="s">
        <v>66</v>
      </c>
      <c r="E783" s="24" t="n">
        <v>335</v>
      </c>
      <c r="F783" s="25" t="n">
        <v>12000</v>
      </c>
      <c r="G783" s="24" t="s">
        <v>59</v>
      </c>
      <c r="H783" s="24" t="s">
        <v>80</v>
      </c>
      <c r="I783" s="24" t="s">
        <v>61</v>
      </c>
      <c r="J783" s="26" t="n">
        <f aca="false">IF(A783="","",YEAR(A783))</f>
        <v>2025</v>
      </c>
      <c r="K783" s="26" t="n">
        <f aca="false">IF(A783="","",MONTH(A783))</f>
        <v>7</v>
      </c>
      <c r="L783" s="26" t="n">
        <f aca="false">IF(B783="","",VALUE(LEFT(B783,2)))</f>
        <v>13</v>
      </c>
      <c r="M783" s="26" t="n">
        <f aca="false">IF(A783="","",IF(COUNTIFS($C$2:$C$5001,C783,$J$2:$J$5001,J783,$A$2:$A$5001,"&lt;"&amp;A783)=0,1,0))</f>
        <v>0</v>
      </c>
    </row>
    <row r="784" customFormat="false" ht="15" hidden="false" customHeight="false" outlineLevel="0" collapsed="false">
      <c r="A784" s="23" t="n">
        <v>45866.7923611111</v>
      </c>
      <c r="B784" s="24" t="s">
        <v>728</v>
      </c>
      <c r="C784" s="24" t="s">
        <v>120</v>
      </c>
      <c r="D784" s="24" t="s">
        <v>66</v>
      </c>
      <c r="E784" s="24" t="n">
        <v>211</v>
      </c>
      <c r="F784" s="25" t="n">
        <v>8000</v>
      </c>
      <c r="G784" s="24" t="s">
        <v>79</v>
      </c>
      <c r="H784" s="24" t="s">
        <v>60</v>
      </c>
      <c r="I784" s="24" t="s">
        <v>61</v>
      </c>
      <c r="J784" s="26" t="n">
        <f aca="false">IF(A784="","",YEAR(A784))</f>
        <v>2025</v>
      </c>
      <c r="K784" s="26" t="n">
        <f aca="false">IF(A784="","",MONTH(A784))</f>
        <v>7</v>
      </c>
      <c r="L784" s="26" t="n">
        <f aca="false">IF(B784="","",VALUE(LEFT(B784,2)))</f>
        <v>15</v>
      </c>
      <c r="M784" s="26" t="n">
        <f aca="false">IF(A784="","",IF(COUNTIFS($C$2:$C$5001,C784,$J$2:$J$5001,J784,$A$2:$A$5001,"&lt;"&amp;A784)=0,1,0))</f>
        <v>0</v>
      </c>
    </row>
    <row r="785" customFormat="false" ht="15" hidden="false" customHeight="false" outlineLevel="0" collapsed="false">
      <c r="A785" s="23" t="n">
        <v>45866.8076388889</v>
      </c>
      <c r="B785" s="24" t="s">
        <v>571</v>
      </c>
      <c r="C785" s="24" t="s">
        <v>138</v>
      </c>
      <c r="D785" s="24" t="s">
        <v>66</v>
      </c>
      <c r="E785" s="24" t="n">
        <v>73</v>
      </c>
      <c r="F785" s="25" t="n">
        <v>3000</v>
      </c>
      <c r="G785" s="24" t="s">
        <v>59</v>
      </c>
      <c r="H785" s="24" t="s">
        <v>60</v>
      </c>
      <c r="I785" s="24" t="s">
        <v>61</v>
      </c>
      <c r="J785" s="26" t="n">
        <f aca="false">IF(A785="","",YEAR(A785))</f>
        <v>2025</v>
      </c>
      <c r="K785" s="26" t="n">
        <f aca="false">IF(A785="","",MONTH(A785))</f>
        <v>7</v>
      </c>
      <c r="L785" s="26" t="n">
        <f aca="false">IF(B785="","",VALUE(LEFT(B785,2)))</f>
        <v>18</v>
      </c>
      <c r="M785" s="26" t="n">
        <f aca="false">IF(A785="","",IF(COUNTIFS($C$2:$C$5001,C785,$J$2:$J$5001,J785,$A$2:$A$5001,"&lt;"&amp;A785)=0,1,0))</f>
        <v>0</v>
      </c>
    </row>
    <row r="786" customFormat="false" ht="15" hidden="false" customHeight="false" outlineLevel="0" collapsed="false">
      <c r="A786" s="23" t="n">
        <v>45866.9243055556</v>
      </c>
      <c r="B786" s="24" t="s">
        <v>571</v>
      </c>
      <c r="C786" s="24" t="s">
        <v>309</v>
      </c>
      <c r="D786" s="24" t="s">
        <v>66</v>
      </c>
      <c r="E786" s="24" t="n">
        <v>241</v>
      </c>
      <c r="F786" s="25" t="n">
        <v>9000</v>
      </c>
      <c r="G786" s="24" t="s">
        <v>69</v>
      </c>
      <c r="H786" s="24" t="s">
        <v>55</v>
      </c>
      <c r="I786" s="24" t="s">
        <v>61</v>
      </c>
      <c r="J786" s="26" t="n">
        <f aca="false">IF(A786="","",YEAR(A786))</f>
        <v>2025</v>
      </c>
      <c r="K786" s="26" t="n">
        <f aca="false">IF(A786="","",MONTH(A786))</f>
        <v>7</v>
      </c>
      <c r="L786" s="26" t="n">
        <f aca="false">IF(B786="","",VALUE(LEFT(B786,2)))</f>
        <v>18</v>
      </c>
      <c r="M786" s="26" t="n">
        <f aca="false">IF(A786="","",IF(COUNTIFS($C$2:$C$5001,C786,$J$2:$J$5001,J786,$A$2:$A$5001,"&lt;"&amp;A786)=0,1,0))</f>
        <v>0</v>
      </c>
    </row>
    <row r="787" customFormat="false" ht="15" hidden="false" customHeight="false" outlineLevel="0" collapsed="false">
      <c r="A787" s="23" t="n">
        <v>45870.3590277778</v>
      </c>
      <c r="B787" s="24" t="s">
        <v>729</v>
      </c>
      <c r="C787" s="24" t="s">
        <v>78</v>
      </c>
      <c r="D787" s="24" t="s">
        <v>66</v>
      </c>
      <c r="E787" s="24" t="n">
        <v>29</v>
      </c>
      <c r="F787" s="25" t="n">
        <v>1000</v>
      </c>
      <c r="G787" s="24" t="s">
        <v>59</v>
      </c>
      <c r="H787" s="24" t="s">
        <v>60</v>
      </c>
      <c r="I787" s="24" t="s">
        <v>61</v>
      </c>
      <c r="J787" s="26" t="n">
        <f aca="false">IF(A787="","",YEAR(A787))</f>
        <v>2025</v>
      </c>
      <c r="K787" s="26" t="n">
        <f aca="false">IF(A787="","",MONTH(A787))</f>
        <v>8</v>
      </c>
      <c r="L787" s="26" t="n">
        <f aca="false">IF(B787="","",VALUE(LEFT(B787,2)))</f>
        <v>8</v>
      </c>
      <c r="M787" s="26" t="n">
        <f aca="false">IF(A787="","",IF(COUNTIFS($C$2:$C$5001,C787,$J$2:$J$5001,J787,$A$2:$A$5001,"&lt;"&amp;A787)=0,1,0))</f>
        <v>0</v>
      </c>
    </row>
    <row r="788" customFormat="false" ht="15" hidden="false" customHeight="false" outlineLevel="0" collapsed="false">
      <c r="A788" s="23" t="n">
        <v>45871.3993055556</v>
      </c>
      <c r="B788" s="24" t="s">
        <v>730</v>
      </c>
      <c r="C788" s="24" t="s">
        <v>213</v>
      </c>
      <c r="D788" s="24" t="s">
        <v>53</v>
      </c>
      <c r="E788" s="24" t="n">
        <v>173</v>
      </c>
      <c r="F788" s="25" t="n">
        <v>3000</v>
      </c>
      <c r="G788" s="24" t="s">
        <v>69</v>
      </c>
      <c r="H788" s="24" t="s">
        <v>60</v>
      </c>
      <c r="I788" s="24" t="s">
        <v>61</v>
      </c>
      <c r="J788" s="26" t="n">
        <f aca="false">IF(A788="","",YEAR(A788))</f>
        <v>2025</v>
      </c>
      <c r="K788" s="26" t="n">
        <f aca="false">IF(A788="","",MONTH(A788))</f>
        <v>8</v>
      </c>
      <c r="L788" s="26" t="n">
        <f aca="false">IF(B788="","",VALUE(LEFT(B788,2)))</f>
        <v>6</v>
      </c>
      <c r="M788" s="26" t="n">
        <f aca="false">IF(A788="","",IF(COUNTIFS($C$2:$C$5001,C788,$J$2:$J$5001,J788,$A$2:$A$5001,"&lt;"&amp;A788)=0,1,0))</f>
        <v>0</v>
      </c>
    </row>
    <row r="789" customFormat="false" ht="15" hidden="false" customHeight="false" outlineLevel="0" collapsed="false">
      <c r="A789" s="23" t="n">
        <v>45871.7020833333</v>
      </c>
      <c r="B789" s="24" t="s">
        <v>731</v>
      </c>
      <c r="C789" s="24" t="s">
        <v>243</v>
      </c>
      <c r="D789" s="24" t="s">
        <v>66</v>
      </c>
      <c r="E789" s="24" t="n">
        <v>97</v>
      </c>
      <c r="F789" s="25" t="n">
        <v>4000</v>
      </c>
      <c r="G789" s="24" t="s">
        <v>59</v>
      </c>
      <c r="H789" s="24" t="s">
        <v>80</v>
      </c>
      <c r="I789" s="24" t="s">
        <v>61</v>
      </c>
      <c r="J789" s="26" t="n">
        <f aca="false">IF(A789="","",YEAR(A789))</f>
        <v>2025</v>
      </c>
      <c r="K789" s="26" t="n">
        <f aca="false">IF(A789="","",MONTH(A789))</f>
        <v>8</v>
      </c>
      <c r="L789" s="26" t="n">
        <f aca="false">IF(B789="","",VALUE(LEFT(B789,2)))</f>
        <v>15</v>
      </c>
      <c r="M789" s="26" t="n">
        <f aca="false">IF(A789="","",IF(COUNTIFS($C$2:$C$5001,C789,$J$2:$J$5001,J789,$A$2:$A$5001,"&lt;"&amp;A789)=0,1,0))</f>
        <v>0</v>
      </c>
    </row>
    <row r="790" customFormat="false" ht="15" hidden="false" customHeight="false" outlineLevel="0" collapsed="false">
      <c r="A790" s="23" t="n">
        <v>45871.8270833333</v>
      </c>
      <c r="B790" s="24" t="s">
        <v>287</v>
      </c>
      <c r="C790" s="24" t="s">
        <v>194</v>
      </c>
      <c r="D790" s="24" t="s">
        <v>66</v>
      </c>
      <c r="E790" s="24" t="n">
        <v>159</v>
      </c>
      <c r="F790" s="25" t="n">
        <v>0</v>
      </c>
      <c r="G790" s="24" t="s">
        <v>69</v>
      </c>
      <c r="H790" s="24" t="s">
        <v>60</v>
      </c>
      <c r="I790" s="24" t="s">
        <v>56</v>
      </c>
      <c r="J790" s="26" t="n">
        <f aca="false">IF(A790="","",YEAR(A790))</f>
        <v>2025</v>
      </c>
      <c r="K790" s="26" t="n">
        <f aca="false">IF(A790="","",MONTH(A790))</f>
        <v>8</v>
      </c>
      <c r="L790" s="26" t="n">
        <f aca="false">IF(B790="","",VALUE(LEFT(B790,2)))</f>
        <v>17</v>
      </c>
      <c r="M790" s="26" t="n">
        <f aca="false">IF(A790="","",IF(COUNTIFS($C$2:$C$5001,C790,$J$2:$J$5001,J790,$A$2:$A$5001,"&lt;"&amp;A790)=0,1,0))</f>
        <v>0</v>
      </c>
    </row>
    <row r="791" customFormat="false" ht="15" hidden="false" customHeight="false" outlineLevel="0" collapsed="false">
      <c r="A791" s="23" t="n">
        <v>45871.85625</v>
      </c>
      <c r="B791" s="24" t="s">
        <v>732</v>
      </c>
      <c r="C791" s="24" t="s">
        <v>240</v>
      </c>
      <c r="D791" s="24" t="s">
        <v>66</v>
      </c>
      <c r="E791" s="24" t="n">
        <v>55</v>
      </c>
      <c r="F791" s="25" t="n">
        <v>2000</v>
      </c>
      <c r="G791" s="24" t="s">
        <v>79</v>
      </c>
      <c r="H791" s="24" t="s">
        <v>55</v>
      </c>
      <c r="I791" s="24" t="s">
        <v>61</v>
      </c>
      <c r="J791" s="26" t="n">
        <f aca="false">IF(A791="","",YEAR(A791))</f>
        <v>2025</v>
      </c>
      <c r="K791" s="26" t="n">
        <f aca="false">IF(A791="","",MONTH(A791))</f>
        <v>8</v>
      </c>
      <c r="L791" s="26" t="n">
        <f aca="false">IF(B791="","",VALUE(LEFT(B791,2)))</f>
        <v>19</v>
      </c>
      <c r="M791" s="26" t="n">
        <f aca="false">IF(A791="","",IF(COUNTIFS($C$2:$C$5001,C791,$J$2:$J$5001,J791,$A$2:$A$5001,"&lt;"&amp;A791)=0,1,0))</f>
        <v>0</v>
      </c>
    </row>
    <row r="792" customFormat="false" ht="15" hidden="false" customHeight="false" outlineLevel="0" collapsed="false">
      <c r="A792" s="23" t="n">
        <v>45871.9152777778</v>
      </c>
      <c r="B792" s="24" t="s">
        <v>567</v>
      </c>
      <c r="C792" s="24" t="s">
        <v>463</v>
      </c>
      <c r="D792" s="24" t="s">
        <v>66</v>
      </c>
      <c r="E792" s="24" t="n">
        <v>87</v>
      </c>
      <c r="F792" s="25" t="n">
        <v>3000</v>
      </c>
      <c r="G792" s="24" t="s">
        <v>59</v>
      </c>
      <c r="H792" s="24" t="s">
        <v>80</v>
      </c>
      <c r="I792" s="24" t="s">
        <v>61</v>
      </c>
      <c r="J792" s="26" t="n">
        <f aca="false">IF(A792="","",YEAR(A792))</f>
        <v>2025</v>
      </c>
      <c r="K792" s="26" t="n">
        <f aca="false">IF(A792="","",MONTH(A792))</f>
        <v>8</v>
      </c>
      <c r="L792" s="26" t="n">
        <f aca="false">IF(B792="","",VALUE(LEFT(B792,2)))</f>
        <v>20</v>
      </c>
      <c r="M792" s="26" t="n">
        <f aca="false">IF(A792="","",IF(COUNTIFS($C$2:$C$5001,C792,$J$2:$J$5001,J792,$A$2:$A$5001,"&lt;"&amp;A792)=0,1,0))</f>
        <v>0</v>
      </c>
    </row>
    <row r="793" customFormat="false" ht="15" hidden="false" customHeight="false" outlineLevel="0" collapsed="false">
      <c r="A793" s="23" t="n">
        <v>45871.925</v>
      </c>
      <c r="B793" s="24" t="s">
        <v>733</v>
      </c>
      <c r="C793" s="24" t="s">
        <v>263</v>
      </c>
      <c r="D793" s="24" t="s">
        <v>53</v>
      </c>
      <c r="E793" s="24" t="n">
        <v>275</v>
      </c>
      <c r="F793" s="25" t="n">
        <v>5000</v>
      </c>
      <c r="G793" s="24" t="s">
        <v>59</v>
      </c>
      <c r="H793" s="24" t="s">
        <v>60</v>
      </c>
      <c r="I793" s="24" t="s">
        <v>61</v>
      </c>
      <c r="J793" s="26" t="n">
        <f aca="false">IF(A793="","",YEAR(A793))</f>
        <v>2025</v>
      </c>
      <c r="K793" s="26" t="n">
        <f aca="false">IF(A793="","",MONTH(A793))</f>
        <v>8</v>
      </c>
      <c r="L793" s="26" t="n">
        <f aca="false">IF(B793="","",VALUE(LEFT(B793,2)))</f>
        <v>17</v>
      </c>
      <c r="M793" s="26" t="n">
        <f aca="false">IF(A793="","",IF(COUNTIFS($C$2:$C$5001,C793,$J$2:$J$5001,J793,$A$2:$A$5001,"&lt;"&amp;A793)=0,1,0))</f>
        <v>0</v>
      </c>
    </row>
    <row r="794" customFormat="false" ht="15" hidden="false" customHeight="false" outlineLevel="0" collapsed="false">
      <c r="A794" s="23" t="n">
        <v>45872.3041666667</v>
      </c>
      <c r="B794" s="24" t="s">
        <v>211</v>
      </c>
      <c r="C794" s="24" t="s">
        <v>240</v>
      </c>
      <c r="D794" s="24" t="s">
        <v>66</v>
      </c>
      <c r="E794" s="24" t="n">
        <v>77</v>
      </c>
      <c r="F794" s="25" t="n">
        <v>3000</v>
      </c>
      <c r="G794" s="24" t="s">
        <v>59</v>
      </c>
      <c r="H794" s="24" t="s">
        <v>55</v>
      </c>
      <c r="I794" s="24" t="s">
        <v>61</v>
      </c>
      <c r="J794" s="26" t="n">
        <f aca="false">IF(A794="","",YEAR(A794))</f>
        <v>2025</v>
      </c>
      <c r="K794" s="26" t="n">
        <f aca="false">IF(A794="","",MONTH(A794))</f>
        <v>8</v>
      </c>
      <c r="L794" s="26" t="n">
        <f aca="false">IF(B794="","",VALUE(LEFT(B794,2)))</f>
        <v>6</v>
      </c>
      <c r="M794" s="26" t="n">
        <f aca="false">IF(A794="","",IF(COUNTIFS($C$2:$C$5001,C794,$J$2:$J$5001,J794,$A$2:$A$5001,"&lt;"&amp;A794)=0,1,0))</f>
        <v>0</v>
      </c>
    </row>
    <row r="795" customFormat="false" ht="15" hidden="false" customHeight="false" outlineLevel="0" collapsed="false">
      <c r="A795" s="23" t="n">
        <v>45872.5222222222</v>
      </c>
      <c r="B795" s="24" t="s">
        <v>734</v>
      </c>
      <c r="C795" s="24" t="s">
        <v>231</v>
      </c>
      <c r="D795" s="24" t="s">
        <v>66</v>
      </c>
      <c r="E795" s="24" t="n">
        <v>325</v>
      </c>
      <c r="F795" s="25" t="n">
        <v>11000</v>
      </c>
      <c r="G795" s="24" t="s">
        <v>59</v>
      </c>
      <c r="H795" s="24" t="s">
        <v>80</v>
      </c>
      <c r="I795" s="24" t="s">
        <v>61</v>
      </c>
      <c r="J795" s="26" t="n">
        <f aca="false">IF(A795="","",YEAR(A795))</f>
        <v>2025</v>
      </c>
      <c r="K795" s="26" t="n">
        <f aca="false">IF(A795="","",MONTH(A795))</f>
        <v>8</v>
      </c>
      <c r="L795" s="26" t="n">
        <f aca="false">IF(B795="","",VALUE(LEFT(B795,2)))</f>
        <v>7</v>
      </c>
      <c r="M795" s="26" t="n">
        <f aca="false">IF(A795="","",IF(COUNTIFS($C$2:$C$5001,C795,$J$2:$J$5001,J795,$A$2:$A$5001,"&lt;"&amp;A795)=0,1,0))</f>
        <v>0</v>
      </c>
    </row>
    <row r="796" customFormat="false" ht="15" hidden="false" customHeight="false" outlineLevel="0" collapsed="false">
      <c r="A796" s="23" t="n">
        <v>45872.5847222222</v>
      </c>
      <c r="B796" s="24" t="s">
        <v>153</v>
      </c>
      <c r="C796" s="24" t="s">
        <v>735</v>
      </c>
      <c r="D796" s="24" t="s">
        <v>53</v>
      </c>
      <c r="E796" s="24" t="n">
        <v>327</v>
      </c>
      <c r="F796" s="25" t="n">
        <v>5500</v>
      </c>
      <c r="G796" s="24" t="s">
        <v>59</v>
      </c>
      <c r="H796" s="24" t="s">
        <v>60</v>
      </c>
      <c r="I796" s="24" t="s">
        <v>61</v>
      </c>
      <c r="J796" s="26" t="n">
        <f aca="false">IF(A796="","",YEAR(A796))</f>
        <v>2025</v>
      </c>
      <c r="K796" s="26" t="n">
        <f aca="false">IF(A796="","",MONTH(A796))</f>
        <v>8</v>
      </c>
      <c r="L796" s="26" t="n">
        <f aca="false">IF(B796="","",VALUE(LEFT(B796,2)))</f>
        <v>8</v>
      </c>
      <c r="M796" s="26" t="n">
        <f aca="false">IF(A796="","",IF(COUNTIFS($C$2:$C$5001,C796,$J$2:$J$5001,J796,$A$2:$A$5001,"&lt;"&amp;A796)=0,1,0))</f>
        <v>1</v>
      </c>
    </row>
    <row r="797" customFormat="false" ht="15" hidden="false" customHeight="false" outlineLevel="0" collapsed="false">
      <c r="A797" s="23" t="n">
        <v>45873.3743055556</v>
      </c>
      <c r="B797" s="24" t="s">
        <v>374</v>
      </c>
      <c r="C797" s="24" t="s">
        <v>339</v>
      </c>
      <c r="D797" s="24" t="s">
        <v>66</v>
      </c>
      <c r="E797" s="24" t="n">
        <v>33</v>
      </c>
      <c r="F797" s="25" t="n">
        <v>2000</v>
      </c>
      <c r="G797" s="24" t="s">
        <v>83</v>
      </c>
      <c r="H797" s="24" t="s">
        <v>55</v>
      </c>
      <c r="I797" s="24" t="s">
        <v>61</v>
      </c>
      <c r="J797" s="26" t="n">
        <f aca="false">IF(A797="","",YEAR(A797))</f>
        <v>2025</v>
      </c>
      <c r="K797" s="26" t="n">
        <f aca="false">IF(A797="","",MONTH(A797))</f>
        <v>8</v>
      </c>
      <c r="L797" s="26" t="n">
        <f aca="false">IF(B797="","",VALUE(LEFT(B797,2)))</f>
        <v>8</v>
      </c>
      <c r="M797" s="26" t="n">
        <f aca="false">IF(A797="","",IF(COUNTIFS($C$2:$C$5001,C797,$J$2:$J$5001,J797,$A$2:$A$5001,"&lt;"&amp;A797)=0,1,0))</f>
        <v>0</v>
      </c>
    </row>
    <row r="798" customFormat="false" ht="15" hidden="false" customHeight="false" outlineLevel="0" collapsed="false">
      <c r="A798" s="23" t="n">
        <v>45874.48125</v>
      </c>
      <c r="B798" s="24" t="s">
        <v>435</v>
      </c>
      <c r="C798" s="24" t="s">
        <v>100</v>
      </c>
      <c r="D798" s="24" t="s">
        <v>72</v>
      </c>
      <c r="E798" s="24" t="n">
        <v>254</v>
      </c>
      <c r="F798" s="25" t="n">
        <v>18000</v>
      </c>
      <c r="G798" s="24" t="s">
        <v>69</v>
      </c>
      <c r="H798" s="24" t="s">
        <v>55</v>
      </c>
      <c r="I798" s="24" t="s">
        <v>61</v>
      </c>
      <c r="J798" s="26" t="n">
        <f aca="false">IF(A798="","",YEAR(A798))</f>
        <v>2025</v>
      </c>
      <c r="K798" s="26" t="n">
        <f aca="false">IF(A798="","",MONTH(A798))</f>
        <v>8</v>
      </c>
      <c r="L798" s="26" t="n">
        <f aca="false">IF(B798="","",VALUE(LEFT(B798,2)))</f>
        <v>7</v>
      </c>
      <c r="M798" s="26" t="n">
        <f aca="false">IF(A798="","",IF(COUNTIFS($C$2:$C$5001,C798,$J$2:$J$5001,J798,$A$2:$A$5001,"&lt;"&amp;A798)=0,1,0))</f>
        <v>0</v>
      </c>
    </row>
    <row r="799" customFormat="false" ht="15" hidden="false" customHeight="false" outlineLevel="0" collapsed="false">
      <c r="A799" s="23" t="n">
        <v>45874.4972222222</v>
      </c>
      <c r="B799" s="24" t="s">
        <v>604</v>
      </c>
      <c r="C799" s="24" t="s">
        <v>199</v>
      </c>
      <c r="D799" s="24" t="s">
        <v>66</v>
      </c>
      <c r="E799" s="24" t="n">
        <v>226</v>
      </c>
      <c r="F799" s="25" t="n">
        <v>8000</v>
      </c>
      <c r="G799" s="24" t="s">
        <v>79</v>
      </c>
      <c r="H799" s="24" t="s">
        <v>80</v>
      </c>
      <c r="I799" s="24" t="s">
        <v>61</v>
      </c>
      <c r="J799" s="26" t="n">
        <f aca="false">IF(A799="","",YEAR(A799))</f>
        <v>2025</v>
      </c>
      <c r="K799" s="26" t="n">
        <f aca="false">IF(A799="","",MONTH(A799))</f>
        <v>8</v>
      </c>
      <c r="L799" s="26" t="n">
        <f aca="false">IF(B799="","",VALUE(LEFT(B799,2)))</f>
        <v>8</v>
      </c>
      <c r="M799" s="26" t="n">
        <f aca="false">IF(A799="","",IF(COUNTIFS($C$2:$C$5001,C799,$J$2:$J$5001,J799,$A$2:$A$5001,"&lt;"&amp;A799)=0,1,0))</f>
        <v>0</v>
      </c>
    </row>
    <row r="800" customFormat="false" ht="15" hidden="false" customHeight="false" outlineLevel="0" collapsed="false">
      <c r="A800" s="23" t="n">
        <v>45874.8486111111</v>
      </c>
      <c r="B800" s="24" t="s">
        <v>412</v>
      </c>
      <c r="C800" s="24" t="s">
        <v>352</v>
      </c>
      <c r="D800" s="24" t="s">
        <v>66</v>
      </c>
      <c r="E800" s="24" t="n">
        <v>68</v>
      </c>
      <c r="F800" s="25" t="n">
        <v>3000</v>
      </c>
      <c r="G800" s="24" t="s">
        <v>69</v>
      </c>
      <c r="H800" s="24" t="s">
        <v>55</v>
      </c>
      <c r="I800" s="24" t="s">
        <v>61</v>
      </c>
      <c r="J800" s="26" t="n">
        <f aca="false">IF(A800="","",YEAR(A800))</f>
        <v>2025</v>
      </c>
      <c r="K800" s="26" t="n">
        <f aca="false">IF(A800="","",MONTH(A800))</f>
        <v>8</v>
      </c>
      <c r="L800" s="26" t="n">
        <f aca="false">IF(B800="","",VALUE(LEFT(B800,2)))</f>
        <v>19</v>
      </c>
      <c r="M800" s="26" t="n">
        <f aca="false">IF(A800="","",IF(COUNTIFS($C$2:$C$5001,C800,$J$2:$J$5001,J800,$A$2:$A$5001,"&lt;"&amp;A800)=0,1,0))</f>
        <v>0</v>
      </c>
    </row>
    <row r="801" customFormat="false" ht="15" hidden="false" customHeight="false" outlineLevel="0" collapsed="false">
      <c r="A801" s="23" t="n">
        <v>45874.8972222222</v>
      </c>
      <c r="B801" s="24" t="s">
        <v>736</v>
      </c>
      <c r="C801" s="24" t="s">
        <v>737</v>
      </c>
      <c r="D801" s="24" t="s">
        <v>53</v>
      </c>
      <c r="E801" s="24" t="n">
        <v>95</v>
      </c>
      <c r="F801" s="25" t="n">
        <v>2000</v>
      </c>
      <c r="G801" s="24" t="s">
        <v>79</v>
      </c>
      <c r="H801" s="24" t="s">
        <v>60</v>
      </c>
      <c r="I801" s="24" t="s">
        <v>61</v>
      </c>
      <c r="J801" s="26" t="n">
        <f aca="false">IF(A801="","",YEAR(A801))</f>
        <v>2025</v>
      </c>
      <c r="K801" s="26" t="n">
        <f aca="false">IF(A801="","",MONTH(A801))</f>
        <v>8</v>
      </c>
      <c r="L801" s="26" t="n">
        <f aca="false">IF(B801="","",VALUE(LEFT(B801,2)))</f>
        <v>19</v>
      </c>
      <c r="M801" s="26" t="n">
        <f aca="false">IF(A801="","",IF(COUNTIFS($C$2:$C$5001,C801,$J$2:$J$5001,J801,$A$2:$A$5001,"&lt;"&amp;A801)=0,1,0))</f>
        <v>1</v>
      </c>
    </row>
    <row r="802" customFormat="false" ht="15" hidden="false" customHeight="false" outlineLevel="0" collapsed="false">
      <c r="A802" s="23" t="n">
        <v>45875.1145833333</v>
      </c>
      <c r="B802" s="24" t="s">
        <v>738</v>
      </c>
      <c r="C802" s="24" t="s">
        <v>138</v>
      </c>
      <c r="D802" s="24" t="s">
        <v>53</v>
      </c>
      <c r="E802" s="24" t="n">
        <v>361</v>
      </c>
      <c r="F802" s="25" t="n">
        <v>6500</v>
      </c>
      <c r="G802" s="24" t="s">
        <v>59</v>
      </c>
      <c r="H802" s="24" t="s">
        <v>55</v>
      </c>
      <c r="I802" s="24" t="s">
        <v>61</v>
      </c>
      <c r="J802" s="26" t="n">
        <f aca="false">IF(A802="","",YEAR(A802))</f>
        <v>2025</v>
      </c>
      <c r="K802" s="26" t="n">
        <f aca="false">IF(A802="","",MONTH(A802))</f>
        <v>8</v>
      </c>
      <c r="L802" s="26" t="n">
        <f aca="false">IF(B802="","",VALUE(LEFT(B802,2)))</f>
        <v>20</v>
      </c>
      <c r="M802" s="26" t="n">
        <f aca="false">IF(A802="","",IF(COUNTIFS($C$2:$C$5001,C802,$J$2:$J$5001,J802,$A$2:$A$5001,"&lt;"&amp;A802)=0,1,0))</f>
        <v>0</v>
      </c>
    </row>
    <row r="803" customFormat="false" ht="15" hidden="false" customHeight="false" outlineLevel="0" collapsed="false">
      <c r="A803" s="23" t="n">
        <v>45875.5215277778</v>
      </c>
      <c r="B803" s="24" t="s">
        <v>230</v>
      </c>
      <c r="C803" s="24" t="s">
        <v>87</v>
      </c>
      <c r="D803" s="24" t="s">
        <v>66</v>
      </c>
      <c r="E803" s="24" t="n">
        <v>339</v>
      </c>
      <c r="F803" s="25" t="n">
        <v>0</v>
      </c>
      <c r="G803" s="24" t="s">
        <v>59</v>
      </c>
      <c r="H803" s="24" t="s">
        <v>80</v>
      </c>
      <c r="I803" s="24" t="s">
        <v>56</v>
      </c>
      <c r="J803" s="26" t="n">
        <f aca="false">IF(A803="","",YEAR(A803))</f>
        <v>2025</v>
      </c>
      <c r="K803" s="26" t="n">
        <f aca="false">IF(A803="","",MONTH(A803))</f>
        <v>8</v>
      </c>
      <c r="L803" s="26" t="n">
        <f aca="false">IF(B803="","",VALUE(LEFT(B803,2)))</f>
        <v>6</v>
      </c>
      <c r="M803" s="26" t="n">
        <f aca="false">IF(A803="","",IF(COUNTIFS($C$2:$C$5001,C803,$J$2:$J$5001,J803,$A$2:$A$5001,"&lt;"&amp;A803)=0,1,0))</f>
        <v>0</v>
      </c>
    </row>
    <row r="804" customFormat="false" ht="15" hidden="false" customHeight="false" outlineLevel="0" collapsed="false">
      <c r="A804" s="23" t="n">
        <v>45875.6027777778</v>
      </c>
      <c r="B804" s="24" t="s">
        <v>167</v>
      </c>
      <c r="C804" s="24" t="s">
        <v>118</v>
      </c>
      <c r="D804" s="24" t="s">
        <v>66</v>
      </c>
      <c r="E804" s="24" t="n">
        <v>99</v>
      </c>
      <c r="F804" s="25" t="n">
        <v>0</v>
      </c>
      <c r="G804" s="24" t="s">
        <v>69</v>
      </c>
      <c r="H804" s="24" t="s">
        <v>55</v>
      </c>
      <c r="I804" s="24" t="s">
        <v>56</v>
      </c>
      <c r="J804" s="26" t="n">
        <f aca="false">IF(A804="","",YEAR(A804))</f>
        <v>2025</v>
      </c>
      <c r="K804" s="26" t="n">
        <f aca="false">IF(A804="","",MONTH(A804))</f>
        <v>8</v>
      </c>
      <c r="L804" s="26" t="n">
        <f aca="false">IF(B804="","",VALUE(LEFT(B804,2)))</f>
        <v>12</v>
      </c>
      <c r="M804" s="26" t="n">
        <f aca="false">IF(A804="","",IF(COUNTIFS($C$2:$C$5001,C804,$J$2:$J$5001,J804,$A$2:$A$5001,"&lt;"&amp;A804)=0,1,0))</f>
        <v>0</v>
      </c>
    </row>
    <row r="805" customFormat="false" ht="15" hidden="false" customHeight="false" outlineLevel="0" collapsed="false">
      <c r="A805" s="23" t="n">
        <v>45875.6347222222</v>
      </c>
      <c r="B805" s="24" t="s">
        <v>163</v>
      </c>
      <c r="C805" s="24" t="s">
        <v>105</v>
      </c>
      <c r="D805" s="24" t="s">
        <v>66</v>
      </c>
      <c r="E805" s="24" t="n">
        <v>377</v>
      </c>
      <c r="F805" s="25" t="n">
        <v>11050</v>
      </c>
      <c r="G805" s="24" t="s">
        <v>59</v>
      </c>
      <c r="H805" s="24" t="s">
        <v>55</v>
      </c>
      <c r="I805" s="24" t="s">
        <v>113</v>
      </c>
      <c r="J805" s="26" t="n">
        <f aca="false">IF(A805="","",YEAR(A805))</f>
        <v>2025</v>
      </c>
      <c r="K805" s="26" t="n">
        <f aca="false">IF(A805="","",MONTH(A805))</f>
        <v>8</v>
      </c>
      <c r="L805" s="26" t="n">
        <f aca="false">IF(B805="","",VALUE(LEFT(B805,2)))</f>
        <v>8</v>
      </c>
      <c r="M805" s="26" t="n">
        <f aca="false">IF(A805="","",IF(COUNTIFS($C$2:$C$5001,C805,$J$2:$J$5001,J805,$A$2:$A$5001,"&lt;"&amp;A805)=0,1,0))</f>
        <v>0</v>
      </c>
    </row>
    <row r="806" customFormat="false" ht="15" hidden="false" customHeight="false" outlineLevel="0" collapsed="false">
      <c r="A806" s="23" t="n">
        <v>45875.74375</v>
      </c>
      <c r="B806" s="24" t="s">
        <v>570</v>
      </c>
      <c r="C806" s="24" t="s">
        <v>174</v>
      </c>
      <c r="D806" s="24" t="s">
        <v>53</v>
      </c>
      <c r="E806" s="24" t="n">
        <v>50</v>
      </c>
      <c r="F806" s="25" t="n">
        <v>0</v>
      </c>
      <c r="G806" s="24" t="s">
        <v>59</v>
      </c>
      <c r="H806" s="24" t="s">
        <v>60</v>
      </c>
      <c r="I806" s="24" t="s">
        <v>56</v>
      </c>
      <c r="J806" s="26" t="n">
        <f aca="false">IF(A806="","",YEAR(A806))</f>
        <v>2025</v>
      </c>
      <c r="K806" s="26" t="n">
        <f aca="false">IF(A806="","",MONTH(A806))</f>
        <v>8</v>
      </c>
      <c r="L806" s="26" t="n">
        <f aca="false">IF(B806="","",VALUE(LEFT(B806,2)))</f>
        <v>17</v>
      </c>
      <c r="M806" s="26" t="n">
        <f aca="false">IF(A806="","",IF(COUNTIFS($C$2:$C$5001,C806,$J$2:$J$5001,J806,$A$2:$A$5001,"&lt;"&amp;A806)=0,1,0))</f>
        <v>0</v>
      </c>
    </row>
    <row r="807" customFormat="false" ht="15" hidden="false" customHeight="false" outlineLevel="0" collapsed="false">
      <c r="A807" s="23" t="n">
        <v>45875.7986111111</v>
      </c>
      <c r="B807" s="24" t="s">
        <v>716</v>
      </c>
      <c r="C807" s="24" t="s">
        <v>263</v>
      </c>
      <c r="D807" s="24" t="s">
        <v>66</v>
      </c>
      <c r="E807" s="24" t="n">
        <v>52</v>
      </c>
      <c r="F807" s="25" t="n">
        <v>2000</v>
      </c>
      <c r="G807" s="24" t="s">
        <v>59</v>
      </c>
      <c r="H807" s="24" t="s">
        <v>60</v>
      </c>
      <c r="I807" s="24" t="s">
        <v>61</v>
      </c>
      <c r="J807" s="26" t="n">
        <f aca="false">IF(A807="","",YEAR(A807))</f>
        <v>2025</v>
      </c>
      <c r="K807" s="26" t="n">
        <f aca="false">IF(A807="","",MONTH(A807))</f>
        <v>8</v>
      </c>
      <c r="L807" s="26" t="n">
        <f aca="false">IF(B807="","",VALUE(LEFT(B807,2)))</f>
        <v>18</v>
      </c>
      <c r="M807" s="26" t="n">
        <f aca="false">IF(A807="","",IF(COUNTIFS($C$2:$C$5001,C807,$J$2:$J$5001,J807,$A$2:$A$5001,"&lt;"&amp;A807)=0,1,0))</f>
        <v>0</v>
      </c>
    </row>
    <row r="808" customFormat="false" ht="15" hidden="false" customHeight="false" outlineLevel="0" collapsed="false">
      <c r="A808" s="23" t="n">
        <v>45875.8569444444</v>
      </c>
      <c r="B808" s="24" t="s">
        <v>247</v>
      </c>
      <c r="C808" s="24" t="s">
        <v>482</v>
      </c>
      <c r="D808" s="24" t="s">
        <v>66</v>
      </c>
      <c r="E808" s="24" t="n">
        <v>103</v>
      </c>
      <c r="F808" s="25" t="n">
        <v>4000</v>
      </c>
      <c r="G808" s="24" t="s">
        <v>59</v>
      </c>
      <c r="H808" s="24" t="s">
        <v>80</v>
      </c>
      <c r="I808" s="24" t="s">
        <v>61</v>
      </c>
      <c r="J808" s="26" t="n">
        <f aca="false">IF(A808="","",YEAR(A808))</f>
        <v>2025</v>
      </c>
      <c r="K808" s="26" t="n">
        <f aca="false">IF(A808="","",MONTH(A808))</f>
        <v>8</v>
      </c>
      <c r="L808" s="26" t="n">
        <f aca="false">IF(B808="","",VALUE(LEFT(B808,2)))</f>
        <v>18</v>
      </c>
      <c r="M808" s="26" t="n">
        <f aca="false">IF(A808="","",IF(COUNTIFS($C$2:$C$5001,C808,$J$2:$J$5001,J808,$A$2:$A$5001,"&lt;"&amp;A808)=0,1,0))</f>
        <v>0</v>
      </c>
    </row>
    <row r="809" customFormat="false" ht="15" hidden="false" customHeight="false" outlineLevel="0" collapsed="false">
      <c r="A809" s="23" t="n">
        <v>45875.9590277778</v>
      </c>
      <c r="B809" s="24" t="s">
        <v>582</v>
      </c>
      <c r="C809" s="24" t="s">
        <v>436</v>
      </c>
      <c r="D809" s="24" t="s">
        <v>66</v>
      </c>
      <c r="E809" s="24" t="n">
        <v>407</v>
      </c>
      <c r="F809" s="25" t="n">
        <v>14000</v>
      </c>
      <c r="G809" s="24" t="s">
        <v>59</v>
      </c>
      <c r="H809" s="24" t="s">
        <v>60</v>
      </c>
      <c r="I809" s="24" t="s">
        <v>61</v>
      </c>
      <c r="J809" s="26" t="n">
        <f aca="false">IF(A809="","",YEAR(A809))</f>
        <v>2025</v>
      </c>
      <c r="K809" s="26" t="n">
        <f aca="false">IF(A809="","",MONTH(A809))</f>
        <v>8</v>
      </c>
      <c r="L809" s="26" t="n">
        <f aca="false">IF(B809="","",VALUE(LEFT(B809,2)))</f>
        <v>16</v>
      </c>
      <c r="M809" s="26" t="n">
        <f aca="false">IF(A809="","",IF(COUNTIFS($C$2:$C$5001,C809,$J$2:$J$5001,J809,$A$2:$A$5001,"&lt;"&amp;A809)=0,1,0))</f>
        <v>0</v>
      </c>
    </row>
    <row r="810" customFormat="false" ht="15" hidden="false" customHeight="false" outlineLevel="0" collapsed="false">
      <c r="A810" s="23" t="n">
        <v>45876.9159722222</v>
      </c>
      <c r="B810" s="24" t="s">
        <v>412</v>
      </c>
      <c r="C810" s="24" t="s">
        <v>52</v>
      </c>
      <c r="D810" s="24" t="s">
        <v>66</v>
      </c>
      <c r="E810" s="24" t="n">
        <v>165</v>
      </c>
      <c r="F810" s="25" t="n">
        <v>6000</v>
      </c>
      <c r="G810" s="24" t="s">
        <v>59</v>
      </c>
      <c r="H810" s="24" t="s">
        <v>80</v>
      </c>
      <c r="I810" s="24" t="s">
        <v>61</v>
      </c>
      <c r="J810" s="26" t="n">
        <f aca="false">IF(A810="","",YEAR(A810))</f>
        <v>2025</v>
      </c>
      <c r="K810" s="26" t="n">
        <f aca="false">IF(A810="","",MONTH(A810))</f>
        <v>8</v>
      </c>
      <c r="L810" s="26" t="n">
        <f aca="false">IF(B810="","",VALUE(LEFT(B810,2)))</f>
        <v>19</v>
      </c>
      <c r="M810" s="26" t="n">
        <f aca="false">IF(A810="","",IF(COUNTIFS($C$2:$C$5001,C810,$J$2:$J$5001,J810,$A$2:$A$5001,"&lt;"&amp;A810)=0,1,0))</f>
        <v>0</v>
      </c>
    </row>
    <row r="811" customFormat="false" ht="15" hidden="false" customHeight="false" outlineLevel="0" collapsed="false">
      <c r="A811" s="23" t="n">
        <v>45877.575</v>
      </c>
      <c r="B811" s="24" t="s">
        <v>232</v>
      </c>
      <c r="C811" s="24" t="s">
        <v>145</v>
      </c>
      <c r="D811" s="24" t="s">
        <v>53</v>
      </c>
      <c r="E811" s="24" t="n">
        <v>138</v>
      </c>
      <c r="F811" s="25" t="n">
        <v>0</v>
      </c>
      <c r="G811" s="24" t="s">
        <v>59</v>
      </c>
      <c r="H811" s="24" t="s">
        <v>60</v>
      </c>
      <c r="I811" s="24" t="s">
        <v>56</v>
      </c>
      <c r="J811" s="26" t="n">
        <f aca="false">IF(A811="","",YEAR(A811))</f>
        <v>2025</v>
      </c>
      <c r="K811" s="26" t="n">
        <f aca="false">IF(A811="","",MONTH(A811))</f>
        <v>8</v>
      </c>
      <c r="L811" s="26" t="n">
        <f aca="false">IF(B811="","",VALUE(LEFT(B811,2)))</f>
        <v>11</v>
      </c>
      <c r="M811" s="26" t="n">
        <f aca="false">IF(A811="","",IF(COUNTIFS($C$2:$C$5001,C811,$J$2:$J$5001,J811,$A$2:$A$5001,"&lt;"&amp;A811)=0,1,0))</f>
        <v>0</v>
      </c>
    </row>
    <row r="812" customFormat="false" ht="15" hidden="false" customHeight="false" outlineLevel="0" collapsed="false">
      <c r="A812" s="23" t="n">
        <v>45877.775</v>
      </c>
      <c r="B812" s="24" t="s">
        <v>595</v>
      </c>
      <c r="C812" s="24" t="s">
        <v>179</v>
      </c>
      <c r="D812" s="24" t="s">
        <v>66</v>
      </c>
      <c r="E812" s="24" t="n">
        <v>133</v>
      </c>
      <c r="F812" s="25" t="n">
        <v>5000</v>
      </c>
      <c r="G812" s="24" t="s">
        <v>59</v>
      </c>
      <c r="H812" s="24" t="s">
        <v>55</v>
      </c>
      <c r="I812" s="24" t="s">
        <v>61</v>
      </c>
      <c r="J812" s="26" t="n">
        <f aca="false">IF(A812="","",YEAR(A812))</f>
        <v>2025</v>
      </c>
      <c r="K812" s="26" t="n">
        <f aca="false">IF(A812="","",MONTH(A812))</f>
        <v>8</v>
      </c>
      <c r="L812" s="26" t="n">
        <f aca="false">IF(B812="","",VALUE(LEFT(B812,2)))</f>
        <v>16</v>
      </c>
      <c r="M812" s="26" t="n">
        <f aca="false">IF(A812="","",IF(COUNTIFS($C$2:$C$5001,C812,$J$2:$J$5001,J812,$A$2:$A$5001,"&lt;"&amp;A812)=0,1,0))</f>
        <v>0</v>
      </c>
    </row>
    <row r="813" customFormat="false" ht="15" hidden="false" customHeight="false" outlineLevel="0" collapsed="false">
      <c r="A813" s="23" t="n">
        <v>45878.7388888889</v>
      </c>
      <c r="B813" s="24" t="s">
        <v>739</v>
      </c>
      <c r="C813" s="24" t="s">
        <v>112</v>
      </c>
      <c r="D813" s="24" t="s">
        <v>53</v>
      </c>
      <c r="E813" s="24" t="n">
        <v>117</v>
      </c>
      <c r="F813" s="25" t="n">
        <v>2000</v>
      </c>
      <c r="G813" s="24" t="s">
        <v>69</v>
      </c>
      <c r="H813" s="24" t="s">
        <v>55</v>
      </c>
      <c r="I813" s="24" t="s">
        <v>61</v>
      </c>
      <c r="J813" s="26" t="n">
        <f aca="false">IF(A813="","",YEAR(A813))</f>
        <v>2025</v>
      </c>
      <c r="K813" s="26" t="n">
        <f aca="false">IF(A813="","",MONTH(A813))</f>
        <v>8</v>
      </c>
      <c r="L813" s="26" t="n">
        <f aca="false">IF(B813="","",VALUE(LEFT(B813,2)))</f>
        <v>15</v>
      </c>
      <c r="M813" s="26" t="n">
        <f aca="false">IF(A813="","",IF(COUNTIFS($C$2:$C$5001,C813,$J$2:$J$5001,J813,$A$2:$A$5001,"&lt;"&amp;A813)=0,1,0))</f>
        <v>0</v>
      </c>
    </row>
    <row r="814" customFormat="false" ht="15" hidden="false" customHeight="false" outlineLevel="0" collapsed="false">
      <c r="A814" s="23" t="n">
        <v>45878.7409722222</v>
      </c>
      <c r="B814" s="24" t="s">
        <v>724</v>
      </c>
      <c r="C814" s="24" t="s">
        <v>448</v>
      </c>
      <c r="D814" s="24" t="s">
        <v>66</v>
      </c>
      <c r="E814" s="24" t="n">
        <v>183</v>
      </c>
      <c r="F814" s="25" t="n">
        <v>7000</v>
      </c>
      <c r="G814" s="24" t="s">
        <v>59</v>
      </c>
      <c r="H814" s="24" t="s">
        <v>55</v>
      </c>
      <c r="I814" s="24" t="s">
        <v>61</v>
      </c>
      <c r="J814" s="26" t="n">
        <f aca="false">IF(A814="","",YEAR(A814))</f>
        <v>2025</v>
      </c>
      <c r="K814" s="26" t="n">
        <f aca="false">IF(A814="","",MONTH(A814))</f>
        <v>8</v>
      </c>
      <c r="L814" s="26" t="n">
        <f aca="false">IF(B814="","",VALUE(LEFT(B814,2)))</f>
        <v>14</v>
      </c>
      <c r="M814" s="26" t="n">
        <f aca="false">IF(A814="","",IF(COUNTIFS($C$2:$C$5001,C814,$J$2:$J$5001,J814,$A$2:$A$5001,"&lt;"&amp;A814)=0,1,0))</f>
        <v>0</v>
      </c>
    </row>
    <row r="815" customFormat="false" ht="15" hidden="false" customHeight="false" outlineLevel="0" collapsed="false">
      <c r="A815" s="23" t="n">
        <v>45878.8958333333</v>
      </c>
      <c r="B815" s="24" t="s">
        <v>740</v>
      </c>
      <c r="C815" s="24" t="s">
        <v>306</v>
      </c>
      <c r="D815" s="24" t="s">
        <v>88</v>
      </c>
      <c r="E815" s="24" t="n">
        <v>194</v>
      </c>
      <c r="F815" s="25" t="n">
        <v>10500</v>
      </c>
      <c r="G815" s="24" t="s">
        <v>59</v>
      </c>
      <c r="H815" s="24" t="s">
        <v>60</v>
      </c>
      <c r="I815" s="24" t="s">
        <v>61</v>
      </c>
      <c r="J815" s="26" t="n">
        <f aca="false">IF(A815="","",YEAR(A815))</f>
        <v>2025</v>
      </c>
      <c r="K815" s="26" t="n">
        <f aca="false">IF(A815="","",MONTH(A815))</f>
        <v>8</v>
      </c>
      <c r="L815" s="26" t="n">
        <f aca="false">IF(B815="","",VALUE(LEFT(B815,2)))</f>
        <v>18</v>
      </c>
      <c r="M815" s="26" t="n">
        <f aca="false">IF(A815="","",IF(COUNTIFS($C$2:$C$5001,C815,$J$2:$J$5001,J815,$A$2:$A$5001,"&lt;"&amp;A815)=0,1,0))</f>
        <v>0</v>
      </c>
    </row>
    <row r="816" customFormat="false" ht="15" hidden="false" customHeight="false" outlineLevel="0" collapsed="false">
      <c r="A816" s="23" t="n">
        <v>45878.9548611111</v>
      </c>
      <c r="B816" s="24" t="s">
        <v>291</v>
      </c>
      <c r="C816" s="24" t="s">
        <v>314</v>
      </c>
      <c r="D816" s="24" t="s">
        <v>66</v>
      </c>
      <c r="E816" s="24" t="n">
        <v>324</v>
      </c>
      <c r="F816" s="25" t="n">
        <v>0</v>
      </c>
      <c r="G816" s="24" t="s">
        <v>69</v>
      </c>
      <c r="H816" s="24" t="s">
        <v>60</v>
      </c>
      <c r="I816" s="24" t="s">
        <v>56</v>
      </c>
      <c r="J816" s="26" t="n">
        <f aca="false">IF(A816="","",YEAR(A816))</f>
        <v>2025</v>
      </c>
      <c r="K816" s="26" t="n">
        <f aca="false">IF(A816="","",MONTH(A816))</f>
        <v>8</v>
      </c>
      <c r="L816" s="26" t="n">
        <f aca="false">IF(B816="","",VALUE(LEFT(B816,2)))</f>
        <v>17</v>
      </c>
      <c r="M816" s="26" t="n">
        <f aca="false">IF(A816="","",IF(COUNTIFS($C$2:$C$5001,C816,$J$2:$J$5001,J816,$A$2:$A$5001,"&lt;"&amp;A816)=0,1,0))</f>
        <v>0</v>
      </c>
    </row>
    <row r="817" customFormat="false" ht="15" hidden="false" customHeight="false" outlineLevel="0" collapsed="false">
      <c r="A817" s="23" t="n">
        <v>45879.3131944445</v>
      </c>
      <c r="B817" s="24" t="s">
        <v>741</v>
      </c>
      <c r="C817" s="24" t="s">
        <v>237</v>
      </c>
      <c r="D817" s="24" t="s">
        <v>53</v>
      </c>
      <c r="E817" s="24" t="n">
        <v>58</v>
      </c>
      <c r="F817" s="25" t="n">
        <v>850</v>
      </c>
      <c r="G817" s="24" t="s">
        <v>59</v>
      </c>
      <c r="H817" s="24" t="s">
        <v>60</v>
      </c>
      <c r="I817" s="24" t="s">
        <v>113</v>
      </c>
      <c r="J817" s="26" t="n">
        <f aca="false">IF(A817="","",YEAR(A817))</f>
        <v>2025</v>
      </c>
      <c r="K817" s="26" t="n">
        <f aca="false">IF(A817="","",MONTH(A817))</f>
        <v>8</v>
      </c>
      <c r="L817" s="26" t="n">
        <f aca="false">IF(B817="","",VALUE(LEFT(B817,2)))</f>
        <v>6</v>
      </c>
      <c r="M817" s="26" t="n">
        <f aca="false">IF(A817="","",IF(COUNTIFS($C$2:$C$5001,C817,$J$2:$J$5001,J817,$A$2:$A$5001,"&lt;"&amp;A817)=0,1,0))</f>
        <v>0</v>
      </c>
    </row>
    <row r="818" customFormat="false" ht="15" hidden="false" customHeight="false" outlineLevel="0" collapsed="false">
      <c r="A818" s="23" t="n">
        <v>45879.4791666667</v>
      </c>
      <c r="B818" s="24" t="s">
        <v>380</v>
      </c>
      <c r="C818" s="24" t="s">
        <v>78</v>
      </c>
      <c r="D818" s="24" t="s">
        <v>66</v>
      </c>
      <c r="E818" s="24" t="n">
        <v>74</v>
      </c>
      <c r="F818" s="25" t="n">
        <v>3000</v>
      </c>
      <c r="G818" s="24" t="s">
        <v>79</v>
      </c>
      <c r="H818" s="24" t="s">
        <v>55</v>
      </c>
      <c r="I818" s="24" t="s">
        <v>61</v>
      </c>
      <c r="J818" s="26" t="n">
        <f aca="false">IF(A818="","",YEAR(A818))</f>
        <v>2025</v>
      </c>
      <c r="K818" s="26" t="n">
        <f aca="false">IF(A818="","",MONTH(A818))</f>
        <v>8</v>
      </c>
      <c r="L818" s="26" t="n">
        <f aca="false">IF(B818="","",VALUE(LEFT(B818,2)))</f>
        <v>10</v>
      </c>
      <c r="M818" s="26" t="n">
        <f aca="false">IF(A818="","",IF(COUNTIFS($C$2:$C$5001,C818,$J$2:$J$5001,J818,$A$2:$A$5001,"&lt;"&amp;A818)=0,1,0))</f>
        <v>0</v>
      </c>
    </row>
    <row r="819" customFormat="false" ht="15" hidden="false" customHeight="false" outlineLevel="0" collapsed="false">
      <c r="A819" s="23" t="n">
        <v>45879.54375</v>
      </c>
      <c r="B819" s="24" t="s">
        <v>374</v>
      </c>
      <c r="C819" s="24" t="s">
        <v>235</v>
      </c>
      <c r="D819" s="24" t="s">
        <v>66</v>
      </c>
      <c r="E819" s="24" t="n">
        <v>277</v>
      </c>
      <c r="F819" s="25" t="n">
        <v>10000</v>
      </c>
      <c r="G819" s="24" t="s">
        <v>69</v>
      </c>
      <c r="H819" s="24" t="s">
        <v>80</v>
      </c>
      <c r="I819" s="24" t="s">
        <v>61</v>
      </c>
      <c r="J819" s="26" t="n">
        <f aca="false">IF(A819="","",YEAR(A819))</f>
        <v>2025</v>
      </c>
      <c r="K819" s="26" t="n">
        <f aca="false">IF(A819="","",MONTH(A819))</f>
        <v>8</v>
      </c>
      <c r="L819" s="26" t="n">
        <f aca="false">IF(B819="","",VALUE(LEFT(B819,2)))</f>
        <v>8</v>
      </c>
      <c r="M819" s="26" t="n">
        <f aca="false">IF(A819="","",IF(COUNTIFS($C$2:$C$5001,C819,$J$2:$J$5001,J819,$A$2:$A$5001,"&lt;"&amp;A819)=0,1,0))</f>
        <v>0</v>
      </c>
    </row>
    <row r="820" customFormat="false" ht="15" hidden="false" customHeight="false" outlineLevel="0" collapsed="false">
      <c r="A820" s="23" t="n">
        <v>45879.6118055556</v>
      </c>
      <c r="B820" s="24" t="s">
        <v>720</v>
      </c>
      <c r="C820" s="24" t="s">
        <v>105</v>
      </c>
      <c r="D820" s="24" t="s">
        <v>66</v>
      </c>
      <c r="E820" s="24" t="n">
        <v>21</v>
      </c>
      <c r="F820" s="25" t="n">
        <v>1000</v>
      </c>
      <c r="G820" s="24" t="s">
        <v>59</v>
      </c>
      <c r="H820" s="24" t="s">
        <v>60</v>
      </c>
      <c r="I820" s="24" t="s">
        <v>61</v>
      </c>
      <c r="J820" s="26" t="n">
        <f aca="false">IF(A820="","",YEAR(A820))</f>
        <v>2025</v>
      </c>
      <c r="K820" s="26" t="n">
        <f aca="false">IF(A820="","",MONTH(A820))</f>
        <v>8</v>
      </c>
      <c r="L820" s="26" t="n">
        <f aca="false">IF(B820="","",VALUE(LEFT(B820,2)))</f>
        <v>14</v>
      </c>
      <c r="M820" s="26" t="n">
        <f aca="false">IF(A820="","",IF(COUNTIFS($C$2:$C$5001,C820,$J$2:$J$5001,J820,$A$2:$A$5001,"&lt;"&amp;A820)=0,1,0))</f>
        <v>0</v>
      </c>
    </row>
    <row r="821" customFormat="false" ht="15" hidden="false" customHeight="false" outlineLevel="0" collapsed="false">
      <c r="A821" s="23" t="n">
        <v>45879.61875</v>
      </c>
      <c r="B821" s="24" t="s">
        <v>111</v>
      </c>
      <c r="C821" s="24" t="s">
        <v>742</v>
      </c>
      <c r="D821" s="24" t="s">
        <v>53</v>
      </c>
      <c r="E821" s="24" t="n">
        <v>408</v>
      </c>
      <c r="F821" s="25" t="n">
        <v>7000</v>
      </c>
      <c r="G821" s="24" t="s">
        <v>54</v>
      </c>
      <c r="H821" s="24" t="s">
        <v>60</v>
      </c>
      <c r="I821" s="24" t="s">
        <v>61</v>
      </c>
      <c r="J821" s="26" t="n">
        <f aca="false">IF(A821="","",YEAR(A821))</f>
        <v>2025</v>
      </c>
      <c r="K821" s="26" t="n">
        <f aca="false">IF(A821="","",MONTH(A821))</f>
        <v>8</v>
      </c>
      <c r="L821" s="26" t="n">
        <f aca="false">IF(B821="","",VALUE(LEFT(B821,2)))</f>
        <v>8</v>
      </c>
      <c r="M821" s="26" t="n">
        <f aca="false">IF(A821="","",IF(COUNTIFS($C$2:$C$5001,C821,$J$2:$J$5001,J821,$A$2:$A$5001,"&lt;"&amp;A821)=0,1,0))</f>
        <v>1</v>
      </c>
    </row>
    <row r="822" customFormat="false" ht="15" hidden="false" customHeight="false" outlineLevel="0" collapsed="false">
      <c r="A822" s="23" t="n">
        <v>45879.6791666667</v>
      </c>
      <c r="B822" s="24" t="s">
        <v>693</v>
      </c>
      <c r="C822" s="24" t="s">
        <v>65</v>
      </c>
      <c r="D822" s="24" t="s">
        <v>127</v>
      </c>
      <c r="E822" s="24" t="n">
        <v>356</v>
      </c>
      <c r="F822" s="25" t="n">
        <v>21000</v>
      </c>
      <c r="G822" s="24" t="s">
        <v>69</v>
      </c>
      <c r="H822" s="24" t="s">
        <v>60</v>
      </c>
      <c r="I822" s="24" t="s">
        <v>61</v>
      </c>
      <c r="J822" s="26" t="n">
        <f aca="false">IF(A822="","",YEAR(A822))</f>
        <v>2025</v>
      </c>
      <c r="K822" s="26" t="n">
        <f aca="false">IF(A822="","",MONTH(A822))</f>
        <v>8</v>
      </c>
      <c r="L822" s="26" t="n">
        <f aca="false">IF(B822="","",VALUE(LEFT(B822,2)))</f>
        <v>10</v>
      </c>
      <c r="M822" s="26" t="n">
        <f aca="false">IF(A822="","",IF(COUNTIFS($C$2:$C$5001,C822,$J$2:$J$5001,J822,$A$2:$A$5001,"&lt;"&amp;A822)=0,1,0))</f>
        <v>0</v>
      </c>
    </row>
    <row r="823" customFormat="false" ht="15" hidden="false" customHeight="false" outlineLevel="0" collapsed="false">
      <c r="A823" s="23" t="n">
        <v>45879.7243055556</v>
      </c>
      <c r="B823" s="24" t="s">
        <v>93</v>
      </c>
      <c r="C823" s="24" t="s">
        <v>463</v>
      </c>
      <c r="D823" s="24" t="s">
        <v>53</v>
      </c>
      <c r="E823" s="24" t="n">
        <v>420</v>
      </c>
      <c r="F823" s="25" t="n">
        <v>7000</v>
      </c>
      <c r="G823" s="24" t="s">
        <v>59</v>
      </c>
      <c r="H823" s="24" t="s">
        <v>80</v>
      </c>
      <c r="I823" s="24" t="s">
        <v>61</v>
      </c>
      <c r="J823" s="26" t="n">
        <f aca="false">IF(A823="","",YEAR(A823))</f>
        <v>2025</v>
      </c>
      <c r="K823" s="26" t="n">
        <f aca="false">IF(A823="","",MONTH(A823))</f>
        <v>8</v>
      </c>
      <c r="L823" s="26" t="n">
        <f aca="false">IF(B823="","",VALUE(LEFT(B823,2)))</f>
        <v>10</v>
      </c>
      <c r="M823" s="26" t="n">
        <f aca="false">IF(A823="","",IF(COUNTIFS($C$2:$C$5001,C823,$J$2:$J$5001,J823,$A$2:$A$5001,"&lt;"&amp;A823)=0,1,0))</f>
        <v>0</v>
      </c>
    </row>
    <row r="824" customFormat="false" ht="15" hidden="false" customHeight="false" outlineLevel="0" collapsed="false">
      <c r="A824" s="23" t="n">
        <v>45880.0743055556</v>
      </c>
      <c r="B824" s="24" t="s">
        <v>567</v>
      </c>
      <c r="C824" s="24" t="s">
        <v>182</v>
      </c>
      <c r="D824" s="24" t="s">
        <v>66</v>
      </c>
      <c r="E824" s="24" t="n">
        <v>316</v>
      </c>
      <c r="F824" s="25" t="n">
        <v>11000</v>
      </c>
      <c r="G824" s="24" t="s">
        <v>69</v>
      </c>
      <c r="H824" s="24" t="s">
        <v>60</v>
      </c>
      <c r="I824" s="24" t="s">
        <v>61</v>
      </c>
      <c r="J824" s="26" t="n">
        <f aca="false">IF(A824="","",YEAR(A824))</f>
        <v>2025</v>
      </c>
      <c r="K824" s="26" t="n">
        <f aca="false">IF(A824="","",MONTH(A824))</f>
        <v>8</v>
      </c>
      <c r="L824" s="26" t="n">
        <f aca="false">IF(B824="","",VALUE(LEFT(B824,2)))</f>
        <v>20</v>
      </c>
      <c r="M824" s="26" t="n">
        <f aca="false">IF(A824="","",IF(COUNTIFS($C$2:$C$5001,C824,$J$2:$J$5001,J824,$A$2:$A$5001,"&lt;"&amp;A824)=0,1,0))</f>
        <v>0</v>
      </c>
    </row>
    <row r="825" customFormat="false" ht="15" hidden="false" customHeight="false" outlineLevel="0" collapsed="false">
      <c r="A825" s="23" t="n">
        <v>45880.6819444444</v>
      </c>
      <c r="B825" s="24" t="s">
        <v>743</v>
      </c>
      <c r="C825" s="24" t="s">
        <v>289</v>
      </c>
      <c r="D825" s="24" t="s">
        <v>66</v>
      </c>
      <c r="E825" s="24" t="n">
        <v>141</v>
      </c>
      <c r="F825" s="25" t="n">
        <v>5000</v>
      </c>
      <c r="G825" s="24" t="s">
        <v>69</v>
      </c>
      <c r="H825" s="24" t="s">
        <v>80</v>
      </c>
      <c r="I825" s="24" t="s">
        <v>61</v>
      </c>
      <c r="J825" s="26" t="n">
        <f aca="false">IF(A825="","",YEAR(A825))</f>
        <v>2025</v>
      </c>
      <c r="K825" s="26" t="n">
        <f aca="false">IF(A825="","",MONTH(A825))</f>
        <v>8</v>
      </c>
      <c r="L825" s="26" t="n">
        <f aca="false">IF(B825="","",VALUE(LEFT(B825,2)))</f>
        <v>14</v>
      </c>
      <c r="M825" s="26" t="n">
        <f aca="false">IF(A825="","",IF(COUNTIFS($C$2:$C$5001,C825,$J$2:$J$5001,J825,$A$2:$A$5001,"&lt;"&amp;A825)=0,1,0))</f>
        <v>0</v>
      </c>
    </row>
    <row r="826" customFormat="false" ht="15" hidden="false" customHeight="false" outlineLevel="0" collapsed="false">
      <c r="A826" s="23" t="n">
        <v>45880.8729166667</v>
      </c>
      <c r="B826" s="24" t="s">
        <v>696</v>
      </c>
      <c r="C826" s="24" t="s">
        <v>484</v>
      </c>
      <c r="D826" s="24" t="s">
        <v>66</v>
      </c>
      <c r="E826" s="24" t="n">
        <v>66</v>
      </c>
      <c r="F826" s="25" t="n">
        <v>3000</v>
      </c>
      <c r="G826" s="24" t="s">
        <v>59</v>
      </c>
      <c r="H826" s="24" t="s">
        <v>60</v>
      </c>
      <c r="I826" s="24" t="s">
        <v>61</v>
      </c>
      <c r="J826" s="26" t="n">
        <f aca="false">IF(A826="","",YEAR(A826))</f>
        <v>2025</v>
      </c>
      <c r="K826" s="26" t="n">
        <f aca="false">IF(A826="","",MONTH(A826))</f>
        <v>8</v>
      </c>
      <c r="L826" s="26" t="n">
        <f aca="false">IF(B826="","",VALUE(LEFT(B826,2)))</f>
        <v>19</v>
      </c>
      <c r="M826" s="26" t="n">
        <f aca="false">IF(A826="","",IF(COUNTIFS($C$2:$C$5001,C826,$J$2:$J$5001,J826,$A$2:$A$5001,"&lt;"&amp;A826)=0,1,0))</f>
        <v>0</v>
      </c>
    </row>
    <row r="827" customFormat="false" ht="15" hidden="false" customHeight="false" outlineLevel="0" collapsed="false">
      <c r="A827" s="23" t="n">
        <v>45881.4520833333</v>
      </c>
      <c r="B827" s="24" t="s">
        <v>744</v>
      </c>
      <c r="C827" s="24" t="s">
        <v>268</v>
      </c>
      <c r="D827" s="24" t="s">
        <v>66</v>
      </c>
      <c r="E827" s="24" t="n">
        <v>86</v>
      </c>
      <c r="F827" s="25" t="n">
        <v>3000</v>
      </c>
      <c r="G827" s="24" t="s">
        <v>69</v>
      </c>
      <c r="H827" s="24" t="s">
        <v>55</v>
      </c>
      <c r="I827" s="24" t="s">
        <v>61</v>
      </c>
      <c r="J827" s="26" t="n">
        <f aca="false">IF(A827="","",YEAR(A827))</f>
        <v>2025</v>
      </c>
      <c r="K827" s="26" t="n">
        <f aca="false">IF(A827="","",MONTH(A827))</f>
        <v>8</v>
      </c>
      <c r="L827" s="26" t="n">
        <f aca="false">IF(B827="","",VALUE(LEFT(B827,2)))</f>
        <v>9</v>
      </c>
      <c r="M827" s="26" t="n">
        <f aca="false">IF(A827="","",IF(COUNTIFS($C$2:$C$5001,C827,$J$2:$J$5001,J827,$A$2:$A$5001,"&lt;"&amp;A827)=0,1,0))</f>
        <v>0</v>
      </c>
    </row>
    <row r="828" customFormat="false" ht="15" hidden="false" customHeight="false" outlineLevel="0" collapsed="false">
      <c r="A828" s="23" t="n">
        <v>45881.4798611111</v>
      </c>
      <c r="B828" s="24" t="s">
        <v>382</v>
      </c>
      <c r="C828" s="24" t="s">
        <v>391</v>
      </c>
      <c r="D828" s="24" t="s">
        <v>66</v>
      </c>
      <c r="E828" s="24" t="n">
        <v>194</v>
      </c>
      <c r="F828" s="25" t="n">
        <v>0</v>
      </c>
      <c r="G828" s="24" t="s">
        <v>69</v>
      </c>
      <c r="H828" s="24" t="s">
        <v>55</v>
      </c>
      <c r="I828" s="24" t="s">
        <v>56</v>
      </c>
      <c r="J828" s="26" t="n">
        <f aca="false">IF(A828="","",YEAR(A828))</f>
        <v>2025</v>
      </c>
      <c r="K828" s="26" t="n">
        <f aca="false">IF(A828="","",MONTH(A828))</f>
        <v>8</v>
      </c>
      <c r="L828" s="26" t="n">
        <f aca="false">IF(B828="","",VALUE(LEFT(B828,2)))</f>
        <v>8</v>
      </c>
      <c r="M828" s="26" t="n">
        <f aca="false">IF(A828="","",IF(COUNTIFS($C$2:$C$5001,C828,$J$2:$J$5001,J828,$A$2:$A$5001,"&lt;"&amp;A828)=0,1,0))</f>
        <v>0</v>
      </c>
    </row>
    <row r="829" customFormat="false" ht="15" hidden="false" customHeight="false" outlineLevel="0" collapsed="false">
      <c r="A829" s="23" t="n">
        <v>45882.5118055556</v>
      </c>
      <c r="B829" s="24" t="s">
        <v>435</v>
      </c>
      <c r="C829" s="24" t="s">
        <v>188</v>
      </c>
      <c r="D829" s="24" t="s">
        <v>53</v>
      </c>
      <c r="E829" s="24" t="n">
        <v>298</v>
      </c>
      <c r="F829" s="25" t="n">
        <v>5000</v>
      </c>
      <c r="G829" s="24" t="s">
        <v>83</v>
      </c>
      <c r="H829" s="24" t="s">
        <v>55</v>
      </c>
      <c r="I829" s="24" t="s">
        <v>61</v>
      </c>
      <c r="J829" s="26" t="n">
        <f aca="false">IF(A829="","",YEAR(A829))</f>
        <v>2025</v>
      </c>
      <c r="K829" s="26" t="n">
        <f aca="false">IF(A829="","",MONTH(A829))</f>
        <v>8</v>
      </c>
      <c r="L829" s="26" t="n">
        <f aca="false">IF(B829="","",VALUE(LEFT(B829,2)))</f>
        <v>7</v>
      </c>
      <c r="M829" s="26" t="n">
        <f aca="false">IF(A829="","",IF(COUNTIFS($C$2:$C$5001,C829,$J$2:$J$5001,J829,$A$2:$A$5001,"&lt;"&amp;A829)=0,1,0))</f>
        <v>0</v>
      </c>
    </row>
    <row r="830" customFormat="false" ht="15" hidden="false" customHeight="false" outlineLevel="0" collapsed="false">
      <c r="A830" s="23" t="n">
        <v>45882.5381944445</v>
      </c>
      <c r="B830" s="24" t="s">
        <v>304</v>
      </c>
      <c r="C830" s="24" t="s">
        <v>192</v>
      </c>
      <c r="D830" s="24" t="s">
        <v>53</v>
      </c>
      <c r="E830" s="24" t="n">
        <v>249</v>
      </c>
      <c r="F830" s="25" t="n">
        <v>4500</v>
      </c>
      <c r="G830" s="24" t="s">
        <v>59</v>
      </c>
      <c r="H830" s="24" t="s">
        <v>80</v>
      </c>
      <c r="I830" s="24" t="s">
        <v>61</v>
      </c>
      <c r="J830" s="26" t="n">
        <f aca="false">IF(A830="","",YEAR(A830))</f>
        <v>2025</v>
      </c>
      <c r="K830" s="26" t="n">
        <f aca="false">IF(A830="","",MONTH(A830))</f>
        <v>8</v>
      </c>
      <c r="L830" s="26" t="n">
        <f aca="false">IF(B830="","",VALUE(LEFT(B830,2)))</f>
        <v>8</v>
      </c>
      <c r="M830" s="26" t="n">
        <f aca="false">IF(A830="","",IF(COUNTIFS($C$2:$C$5001,C830,$J$2:$J$5001,J830,$A$2:$A$5001,"&lt;"&amp;A830)=0,1,0))</f>
        <v>0</v>
      </c>
    </row>
    <row r="831" customFormat="false" ht="15" hidden="false" customHeight="false" outlineLevel="0" collapsed="false">
      <c r="A831" s="23" t="n">
        <v>45882.7736111111</v>
      </c>
      <c r="B831" s="24" t="s">
        <v>285</v>
      </c>
      <c r="C831" s="24" t="s">
        <v>199</v>
      </c>
      <c r="D831" s="24" t="s">
        <v>66</v>
      </c>
      <c r="E831" s="24" t="n">
        <v>192</v>
      </c>
      <c r="F831" s="25" t="n">
        <v>7000</v>
      </c>
      <c r="G831" s="24" t="s">
        <v>54</v>
      </c>
      <c r="H831" s="24" t="s">
        <v>55</v>
      </c>
      <c r="I831" s="24" t="s">
        <v>61</v>
      </c>
      <c r="J831" s="26" t="n">
        <f aca="false">IF(A831="","",YEAR(A831))</f>
        <v>2025</v>
      </c>
      <c r="K831" s="26" t="n">
        <f aca="false">IF(A831="","",MONTH(A831))</f>
        <v>8</v>
      </c>
      <c r="L831" s="26" t="n">
        <f aca="false">IF(B831="","",VALUE(LEFT(B831,2)))</f>
        <v>15</v>
      </c>
      <c r="M831" s="26" t="n">
        <f aca="false">IF(A831="","",IF(COUNTIFS($C$2:$C$5001,C831,$J$2:$J$5001,J831,$A$2:$A$5001,"&lt;"&amp;A831)=0,1,0))</f>
        <v>0</v>
      </c>
    </row>
    <row r="832" customFormat="false" ht="15" hidden="false" customHeight="false" outlineLevel="0" collapsed="false">
      <c r="A832" s="23" t="n">
        <v>45882.8826388889</v>
      </c>
      <c r="B832" s="24" t="s">
        <v>488</v>
      </c>
      <c r="C832" s="24" t="s">
        <v>158</v>
      </c>
      <c r="D832" s="24" t="s">
        <v>66</v>
      </c>
      <c r="E832" s="24" t="n">
        <v>145</v>
      </c>
      <c r="F832" s="25" t="n">
        <v>5000</v>
      </c>
      <c r="G832" s="24" t="s">
        <v>59</v>
      </c>
      <c r="H832" s="24" t="s">
        <v>80</v>
      </c>
      <c r="I832" s="24" t="s">
        <v>61</v>
      </c>
      <c r="J832" s="26" t="n">
        <f aca="false">IF(A832="","",YEAR(A832))</f>
        <v>2025</v>
      </c>
      <c r="K832" s="26" t="n">
        <f aca="false">IF(A832="","",MONTH(A832))</f>
        <v>8</v>
      </c>
      <c r="L832" s="26" t="n">
        <f aca="false">IF(B832="","",VALUE(LEFT(B832,2)))</f>
        <v>18</v>
      </c>
      <c r="M832" s="26" t="n">
        <f aca="false">IF(A832="","",IF(COUNTIFS($C$2:$C$5001,C832,$J$2:$J$5001,J832,$A$2:$A$5001,"&lt;"&amp;A832)=0,1,0))</f>
        <v>0</v>
      </c>
    </row>
    <row r="833" customFormat="false" ht="15" hidden="false" customHeight="false" outlineLevel="0" collapsed="false">
      <c r="A833" s="23" t="n">
        <v>45882.9270833333</v>
      </c>
      <c r="B833" s="24" t="s">
        <v>574</v>
      </c>
      <c r="C833" s="24" t="s">
        <v>192</v>
      </c>
      <c r="D833" s="24" t="s">
        <v>72</v>
      </c>
      <c r="E833" s="24" t="n">
        <v>375</v>
      </c>
      <c r="F833" s="25" t="n">
        <v>26000</v>
      </c>
      <c r="G833" s="24" t="s">
        <v>79</v>
      </c>
      <c r="H833" s="24" t="s">
        <v>55</v>
      </c>
      <c r="I833" s="24" t="s">
        <v>61</v>
      </c>
      <c r="J833" s="26" t="n">
        <f aca="false">IF(A833="","",YEAR(A833))</f>
        <v>2025</v>
      </c>
      <c r="K833" s="26" t="n">
        <f aca="false">IF(A833="","",MONTH(A833))</f>
        <v>8</v>
      </c>
      <c r="L833" s="26" t="n">
        <f aca="false">IF(B833="","",VALUE(LEFT(B833,2)))</f>
        <v>16</v>
      </c>
      <c r="M833" s="26" t="n">
        <f aca="false">IF(A833="","",IF(COUNTIFS($C$2:$C$5001,C833,$J$2:$J$5001,J833,$A$2:$A$5001,"&lt;"&amp;A833)=0,1,0))</f>
        <v>0</v>
      </c>
    </row>
    <row r="834" customFormat="false" ht="15" hidden="false" customHeight="false" outlineLevel="0" collapsed="false">
      <c r="A834" s="23" t="n">
        <v>45883.9090277778</v>
      </c>
      <c r="B834" s="24" t="s">
        <v>99</v>
      </c>
      <c r="C834" s="24" t="s">
        <v>123</v>
      </c>
      <c r="D834" s="24" t="s">
        <v>72</v>
      </c>
      <c r="E834" s="24" t="n">
        <v>289</v>
      </c>
      <c r="F834" s="25" t="n">
        <v>20000</v>
      </c>
      <c r="G834" s="24" t="s">
        <v>54</v>
      </c>
      <c r="H834" s="24" t="s">
        <v>55</v>
      </c>
      <c r="I834" s="24" t="s">
        <v>61</v>
      </c>
      <c r="J834" s="26" t="n">
        <f aca="false">IF(A834="","",YEAR(A834))</f>
        <v>2025</v>
      </c>
      <c r="K834" s="26" t="n">
        <f aca="false">IF(A834="","",MONTH(A834))</f>
        <v>8</v>
      </c>
      <c r="L834" s="26" t="n">
        <f aca="false">IF(B834="","",VALUE(LEFT(B834,2)))</f>
        <v>17</v>
      </c>
      <c r="M834" s="26" t="n">
        <f aca="false">IF(A834="","",IF(COUNTIFS($C$2:$C$5001,C834,$J$2:$J$5001,J834,$A$2:$A$5001,"&lt;"&amp;A834)=0,1,0))</f>
        <v>0</v>
      </c>
    </row>
    <row r="835" customFormat="false" ht="15" hidden="false" customHeight="false" outlineLevel="0" collapsed="false">
      <c r="A835" s="23" t="n">
        <v>45884.5513888889</v>
      </c>
      <c r="B835" s="24" t="s">
        <v>745</v>
      </c>
      <c r="C835" s="24" t="s">
        <v>177</v>
      </c>
      <c r="D835" s="24" t="s">
        <v>127</v>
      </c>
      <c r="E835" s="24" t="n">
        <v>150</v>
      </c>
      <c r="F835" s="25" t="n">
        <v>8750</v>
      </c>
      <c r="G835" s="24" t="s">
        <v>79</v>
      </c>
      <c r="H835" s="24" t="s">
        <v>80</v>
      </c>
      <c r="I835" s="24" t="s">
        <v>61</v>
      </c>
      <c r="J835" s="26" t="n">
        <f aca="false">IF(A835="","",YEAR(A835))</f>
        <v>2025</v>
      </c>
      <c r="K835" s="26" t="n">
        <f aca="false">IF(A835="","",MONTH(A835))</f>
        <v>8</v>
      </c>
      <c r="L835" s="26" t="n">
        <f aca="false">IF(B835="","",VALUE(LEFT(B835,2)))</f>
        <v>10</v>
      </c>
      <c r="M835" s="26" t="n">
        <f aca="false">IF(A835="","",IF(COUNTIFS($C$2:$C$5001,C835,$J$2:$J$5001,J835,$A$2:$A$5001,"&lt;"&amp;A835)=0,1,0))</f>
        <v>0</v>
      </c>
    </row>
    <row r="836" customFormat="false" ht="15" hidden="false" customHeight="false" outlineLevel="0" collapsed="false">
      <c r="A836" s="23" t="n">
        <v>45884.6222222222</v>
      </c>
      <c r="B836" s="24" t="s">
        <v>743</v>
      </c>
      <c r="C836" s="24" t="s">
        <v>192</v>
      </c>
      <c r="D836" s="24" t="s">
        <v>66</v>
      </c>
      <c r="E836" s="24" t="n">
        <v>55</v>
      </c>
      <c r="F836" s="25" t="n">
        <v>2000</v>
      </c>
      <c r="G836" s="24" t="s">
        <v>59</v>
      </c>
      <c r="H836" s="24" t="s">
        <v>80</v>
      </c>
      <c r="I836" s="24" t="s">
        <v>61</v>
      </c>
      <c r="J836" s="26" t="n">
        <f aca="false">IF(A836="","",YEAR(A836))</f>
        <v>2025</v>
      </c>
      <c r="K836" s="26" t="n">
        <f aca="false">IF(A836="","",MONTH(A836))</f>
        <v>8</v>
      </c>
      <c r="L836" s="26" t="n">
        <f aca="false">IF(B836="","",VALUE(LEFT(B836,2)))</f>
        <v>14</v>
      </c>
      <c r="M836" s="26" t="n">
        <f aca="false">IF(A836="","",IF(COUNTIFS($C$2:$C$5001,C836,$J$2:$J$5001,J836,$A$2:$A$5001,"&lt;"&amp;A836)=0,1,0))</f>
        <v>0</v>
      </c>
    </row>
    <row r="837" customFormat="false" ht="15" hidden="false" customHeight="false" outlineLevel="0" collapsed="false">
      <c r="A837" s="23" t="n">
        <v>45885.0347222222</v>
      </c>
      <c r="B837" s="24" t="s">
        <v>269</v>
      </c>
      <c r="C837" s="24" t="s">
        <v>100</v>
      </c>
      <c r="D837" s="24" t="s">
        <v>53</v>
      </c>
      <c r="E837" s="24" t="n">
        <v>290</v>
      </c>
      <c r="F837" s="25" t="n">
        <v>5000</v>
      </c>
      <c r="G837" s="24" t="s">
        <v>59</v>
      </c>
      <c r="H837" s="24" t="s">
        <v>60</v>
      </c>
      <c r="I837" s="24" t="s">
        <v>61</v>
      </c>
      <c r="J837" s="26" t="n">
        <f aca="false">IF(A837="","",YEAR(A837))</f>
        <v>2025</v>
      </c>
      <c r="K837" s="26" t="n">
        <f aca="false">IF(A837="","",MONTH(A837))</f>
        <v>8</v>
      </c>
      <c r="L837" s="26" t="n">
        <f aca="false">IF(B837="","",VALUE(LEFT(B837,2)))</f>
        <v>20</v>
      </c>
      <c r="M837" s="26" t="n">
        <f aca="false">IF(A837="","",IF(COUNTIFS($C$2:$C$5001,C837,$J$2:$J$5001,J837,$A$2:$A$5001,"&lt;"&amp;A837)=0,1,0))</f>
        <v>0</v>
      </c>
    </row>
    <row r="838" customFormat="false" ht="15" hidden="false" customHeight="false" outlineLevel="0" collapsed="false">
      <c r="A838" s="23" t="n">
        <v>45885.0423611111</v>
      </c>
      <c r="B838" s="24" t="s">
        <v>746</v>
      </c>
      <c r="C838" s="24" t="s">
        <v>76</v>
      </c>
      <c r="D838" s="24" t="s">
        <v>53</v>
      </c>
      <c r="E838" s="24" t="n">
        <v>298</v>
      </c>
      <c r="F838" s="25" t="n">
        <v>4250</v>
      </c>
      <c r="G838" s="24" t="s">
        <v>59</v>
      </c>
      <c r="H838" s="24" t="s">
        <v>80</v>
      </c>
      <c r="I838" s="24" t="s">
        <v>113</v>
      </c>
      <c r="J838" s="26" t="n">
        <f aca="false">IF(A838="","",YEAR(A838))</f>
        <v>2025</v>
      </c>
      <c r="K838" s="26" t="n">
        <f aca="false">IF(A838="","",MONTH(A838))</f>
        <v>8</v>
      </c>
      <c r="L838" s="26" t="n">
        <f aca="false">IF(B838="","",VALUE(LEFT(B838,2)))</f>
        <v>20</v>
      </c>
      <c r="M838" s="26" t="n">
        <f aca="false">IF(A838="","",IF(COUNTIFS($C$2:$C$5001,C838,$J$2:$J$5001,J838,$A$2:$A$5001,"&lt;"&amp;A838)=0,1,0))</f>
        <v>0</v>
      </c>
    </row>
    <row r="839" customFormat="false" ht="15" hidden="false" customHeight="false" outlineLevel="0" collapsed="false">
      <c r="A839" s="23" t="n">
        <v>45885.7333333333</v>
      </c>
      <c r="B839" s="24" t="s">
        <v>747</v>
      </c>
      <c r="C839" s="24" t="s">
        <v>108</v>
      </c>
      <c r="D839" s="24" t="s">
        <v>66</v>
      </c>
      <c r="E839" s="24" t="n">
        <v>217</v>
      </c>
      <c r="F839" s="25" t="n">
        <v>6800</v>
      </c>
      <c r="G839" s="24" t="s">
        <v>69</v>
      </c>
      <c r="H839" s="24" t="s">
        <v>60</v>
      </c>
      <c r="I839" s="24" t="s">
        <v>113</v>
      </c>
      <c r="J839" s="26" t="n">
        <f aca="false">IF(A839="","",YEAR(A839))</f>
        <v>2025</v>
      </c>
      <c r="K839" s="26" t="n">
        <f aca="false">IF(A839="","",MONTH(A839))</f>
        <v>8</v>
      </c>
      <c r="L839" s="26" t="n">
        <f aca="false">IF(B839="","",VALUE(LEFT(B839,2)))</f>
        <v>13</v>
      </c>
      <c r="M839" s="26" t="n">
        <f aca="false">IF(A839="","",IF(COUNTIFS($C$2:$C$5001,C839,$J$2:$J$5001,J839,$A$2:$A$5001,"&lt;"&amp;A839)=0,1,0))</f>
        <v>0</v>
      </c>
    </row>
    <row r="840" customFormat="false" ht="15" hidden="false" customHeight="false" outlineLevel="0" collapsed="false">
      <c r="A840" s="23" t="n">
        <v>45885.7388888889</v>
      </c>
      <c r="B840" s="24" t="s">
        <v>588</v>
      </c>
      <c r="C840" s="24" t="s">
        <v>182</v>
      </c>
      <c r="D840" s="24" t="s">
        <v>53</v>
      </c>
      <c r="E840" s="24" t="n">
        <v>326</v>
      </c>
      <c r="F840" s="25" t="n">
        <v>0</v>
      </c>
      <c r="G840" s="24" t="s">
        <v>59</v>
      </c>
      <c r="H840" s="24" t="s">
        <v>60</v>
      </c>
      <c r="I840" s="24" t="s">
        <v>56</v>
      </c>
      <c r="J840" s="26" t="n">
        <f aca="false">IF(A840="","",YEAR(A840))</f>
        <v>2025</v>
      </c>
      <c r="K840" s="26" t="n">
        <f aca="false">IF(A840="","",MONTH(A840))</f>
        <v>8</v>
      </c>
      <c r="L840" s="26" t="n">
        <f aca="false">IF(B840="","",VALUE(LEFT(B840,2)))</f>
        <v>12</v>
      </c>
      <c r="M840" s="26" t="n">
        <f aca="false">IF(A840="","",IF(COUNTIFS($C$2:$C$5001,C840,$J$2:$J$5001,J840,$A$2:$A$5001,"&lt;"&amp;A840)=0,1,0))</f>
        <v>0</v>
      </c>
    </row>
    <row r="841" customFormat="false" ht="15" hidden="false" customHeight="false" outlineLevel="0" collapsed="false">
      <c r="A841" s="23" t="n">
        <v>45885.8201388889</v>
      </c>
      <c r="B841" s="24" t="s">
        <v>427</v>
      </c>
      <c r="C841" s="24" t="s">
        <v>263</v>
      </c>
      <c r="D841" s="24" t="s">
        <v>66</v>
      </c>
      <c r="E841" s="24" t="n">
        <v>311</v>
      </c>
      <c r="F841" s="25" t="n">
        <v>11000</v>
      </c>
      <c r="G841" s="24" t="s">
        <v>69</v>
      </c>
      <c r="H841" s="24" t="s">
        <v>80</v>
      </c>
      <c r="I841" s="24" t="s">
        <v>61</v>
      </c>
      <c r="J841" s="26" t="n">
        <f aca="false">IF(A841="","",YEAR(A841))</f>
        <v>2025</v>
      </c>
      <c r="K841" s="26" t="n">
        <f aca="false">IF(A841="","",MONTH(A841))</f>
        <v>8</v>
      </c>
      <c r="L841" s="26" t="n">
        <f aca="false">IF(B841="","",VALUE(LEFT(B841,2)))</f>
        <v>14</v>
      </c>
      <c r="M841" s="26" t="n">
        <f aca="false">IF(A841="","",IF(COUNTIFS($C$2:$C$5001,C841,$J$2:$J$5001,J841,$A$2:$A$5001,"&lt;"&amp;A841)=0,1,0))</f>
        <v>0</v>
      </c>
    </row>
    <row r="842" customFormat="false" ht="15" hidden="false" customHeight="false" outlineLevel="0" collapsed="false">
      <c r="A842" s="23" t="n">
        <v>45886.5569444444</v>
      </c>
      <c r="B842" s="24" t="s">
        <v>671</v>
      </c>
      <c r="C842" s="24" t="s">
        <v>188</v>
      </c>
      <c r="D842" s="24" t="s">
        <v>72</v>
      </c>
      <c r="E842" s="24" t="n">
        <v>362</v>
      </c>
      <c r="F842" s="25" t="n">
        <v>26000</v>
      </c>
      <c r="G842" s="24" t="s">
        <v>59</v>
      </c>
      <c r="H842" s="24" t="s">
        <v>55</v>
      </c>
      <c r="I842" s="24" t="s">
        <v>61</v>
      </c>
      <c r="J842" s="26" t="n">
        <f aca="false">IF(A842="","",YEAR(A842))</f>
        <v>2025</v>
      </c>
      <c r="K842" s="26" t="n">
        <f aca="false">IF(A842="","",MONTH(A842))</f>
        <v>8</v>
      </c>
      <c r="L842" s="26" t="n">
        <f aca="false">IF(B842="","",VALUE(LEFT(B842,2)))</f>
        <v>7</v>
      </c>
      <c r="M842" s="26" t="n">
        <f aca="false">IF(A842="","",IF(COUNTIFS($C$2:$C$5001,C842,$J$2:$J$5001,J842,$A$2:$A$5001,"&lt;"&amp;A842)=0,1,0))</f>
        <v>0</v>
      </c>
    </row>
    <row r="843" customFormat="false" ht="15" hidden="false" customHeight="false" outlineLevel="0" collapsed="false">
      <c r="A843" s="23" t="n">
        <v>45888.4527777778</v>
      </c>
      <c r="B843" s="24" t="s">
        <v>565</v>
      </c>
      <c r="C843" s="24" t="s">
        <v>561</v>
      </c>
      <c r="D843" s="24" t="s">
        <v>66</v>
      </c>
      <c r="E843" s="24" t="n">
        <v>166</v>
      </c>
      <c r="F843" s="25" t="n">
        <v>6000</v>
      </c>
      <c r="G843" s="24" t="s">
        <v>59</v>
      </c>
      <c r="H843" s="24" t="s">
        <v>80</v>
      </c>
      <c r="I843" s="24" t="s">
        <v>61</v>
      </c>
      <c r="J843" s="26" t="n">
        <f aca="false">IF(A843="","",YEAR(A843))</f>
        <v>2025</v>
      </c>
      <c r="K843" s="26" t="n">
        <f aca="false">IF(A843="","",MONTH(A843))</f>
        <v>8</v>
      </c>
      <c r="L843" s="26" t="n">
        <f aca="false">IF(B843="","",VALUE(LEFT(B843,2)))</f>
        <v>8</v>
      </c>
      <c r="M843" s="26" t="n">
        <f aca="false">IF(A843="","",IF(COUNTIFS($C$2:$C$5001,C843,$J$2:$J$5001,J843,$A$2:$A$5001,"&lt;"&amp;A843)=0,1,0))</f>
        <v>0</v>
      </c>
    </row>
    <row r="844" customFormat="false" ht="15" hidden="false" customHeight="false" outlineLevel="0" collapsed="false">
      <c r="A844" s="23" t="n">
        <v>45888.5326388889</v>
      </c>
      <c r="B844" s="24" t="s">
        <v>748</v>
      </c>
      <c r="C844" s="24" t="s">
        <v>544</v>
      </c>
      <c r="D844" s="24" t="s">
        <v>66</v>
      </c>
      <c r="E844" s="24" t="n">
        <v>299</v>
      </c>
      <c r="F844" s="25" t="n">
        <v>10000</v>
      </c>
      <c r="G844" s="24" t="s">
        <v>59</v>
      </c>
      <c r="H844" s="24" t="s">
        <v>60</v>
      </c>
      <c r="I844" s="24" t="s">
        <v>61</v>
      </c>
      <c r="J844" s="26" t="n">
        <f aca="false">IF(A844="","",YEAR(A844))</f>
        <v>2025</v>
      </c>
      <c r="K844" s="26" t="n">
        <f aca="false">IF(A844="","",MONTH(A844))</f>
        <v>8</v>
      </c>
      <c r="L844" s="26" t="n">
        <f aca="false">IF(B844="","",VALUE(LEFT(B844,2)))</f>
        <v>7</v>
      </c>
      <c r="M844" s="26" t="n">
        <f aca="false">IF(A844="","",IF(COUNTIFS($C$2:$C$5001,C844,$J$2:$J$5001,J844,$A$2:$A$5001,"&lt;"&amp;A844)=0,1,0))</f>
        <v>0</v>
      </c>
    </row>
    <row r="845" customFormat="false" ht="15" hidden="false" customHeight="false" outlineLevel="0" collapsed="false">
      <c r="A845" s="23" t="n">
        <v>45888.7201388889</v>
      </c>
      <c r="B845" s="24" t="s">
        <v>525</v>
      </c>
      <c r="C845" s="24" t="s">
        <v>78</v>
      </c>
      <c r="D845" s="24" t="s">
        <v>53</v>
      </c>
      <c r="E845" s="24" t="n">
        <v>173</v>
      </c>
      <c r="F845" s="25" t="n">
        <v>0</v>
      </c>
      <c r="G845" s="24" t="s">
        <v>69</v>
      </c>
      <c r="H845" s="24" t="s">
        <v>60</v>
      </c>
      <c r="I845" s="24" t="s">
        <v>56</v>
      </c>
      <c r="J845" s="26" t="n">
        <f aca="false">IF(A845="","",YEAR(A845))</f>
        <v>2025</v>
      </c>
      <c r="K845" s="26" t="n">
        <f aca="false">IF(A845="","",MONTH(A845))</f>
        <v>8</v>
      </c>
      <c r="L845" s="26" t="n">
        <f aca="false">IF(B845="","",VALUE(LEFT(B845,2)))</f>
        <v>14</v>
      </c>
      <c r="M845" s="26" t="n">
        <f aca="false">IF(A845="","",IF(COUNTIFS($C$2:$C$5001,C845,$J$2:$J$5001,J845,$A$2:$A$5001,"&lt;"&amp;A845)=0,1,0))</f>
        <v>0</v>
      </c>
    </row>
    <row r="846" customFormat="false" ht="15" hidden="false" customHeight="false" outlineLevel="0" collapsed="false">
      <c r="A846" s="23" t="n">
        <v>45889.4472222222</v>
      </c>
      <c r="B846" s="24" t="s">
        <v>387</v>
      </c>
      <c r="C846" s="24" t="s">
        <v>690</v>
      </c>
      <c r="D846" s="24" t="s">
        <v>53</v>
      </c>
      <c r="E846" s="24" t="n">
        <v>206</v>
      </c>
      <c r="F846" s="25" t="n">
        <v>3500</v>
      </c>
      <c r="G846" s="24" t="s">
        <v>59</v>
      </c>
      <c r="H846" s="24" t="s">
        <v>80</v>
      </c>
      <c r="I846" s="24" t="s">
        <v>61</v>
      </c>
      <c r="J846" s="26" t="n">
        <f aca="false">IF(A846="","",YEAR(A846))</f>
        <v>2025</v>
      </c>
      <c r="K846" s="26" t="n">
        <f aca="false">IF(A846="","",MONTH(A846))</f>
        <v>8</v>
      </c>
      <c r="L846" s="26" t="n">
        <f aca="false">IF(B846="","",VALUE(LEFT(B846,2)))</f>
        <v>7</v>
      </c>
      <c r="M846" s="26" t="n">
        <f aca="false">IF(A846="","",IF(COUNTIFS($C$2:$C$5001,C846,$J$2:$J$5001,J846,$A$2:$A$5001,"&lt;"&amp;A846)=0,1,0))</f>
        <v>0</v>
      </c>
    </row>
    <row r="847" customFormat="false" ht="15" hidden="false" customHeight="false" outlineLevel="0" collapsed="false">
      <c r="A847" s="23" t="n">
        <v>45890.5666666667</v>
      </c>
      <c r="B847" s="24" t="s">
        <v>749</v>
      </c>
      <c r="C847" s="24" t="s">
        <v>357</v>
      </c>
      <c r="D847" s="24" t="s">
        <v>66</v>
      </c>
      <c r="E847" s="24" t="n">
        <v>110</v>
      </c>
      <c r="F847" s="25" t="n">
        <v>4000</v>
      </c>
      <c r="G847" s="24" t="s">
        <v>69</v>
      </c>
      <c r="H847" s="24" t="s">
        <v>60</v>
      </c>
      <c r="I847" s="24" t="s">
        <v>61</v>
      </c>
      <c r="J847" s="26" t="n">
        <f aca="false">IF(A847="","",YEAR(A847))</f>
        <v>2025</v>
      </c>
      <c r="K847" s="26" t="n">
        <f aca="false">IF(A847="","",MONTH(A847))</f>
        <v>8</v>
      </c>
      <c r="L847" s="26" t="n">
        <f aca="false">IF(B847="","",VALUE(LEFT(B847,2)))</f>
        <v>11</v>
      </c>
      <c r="M847" s="26" t="n">
        <f aca="false">IF(A847="","",IF(COUNTIFS($C$2:$C$5001,C847,$J$2:$J$5001,J847,$A$2:$A$5001,"&lt;"&amp;A847)=0,1,0))</f>
        <v>0</v>
      </c>
    </row>
    <row r="848" customFormat="false" ht="15" hidden="false" customHeight="false" outlineLevel="0" collapsed="false">
      <c r="A848" s="23" t="n">
        <v>45890.7034722222</v>
      </c>
      <c r="B848" s="24" t="s">
        <v>750</v>
      </c>
      <c r="C848" s="24" t="s">
        <v>166</v>
      </c>
      <c r="D848" s="24" t="s">
        <v>66</v>
      </c>
      <c r="E848" s="24" t="n">
        <v>170</v>
      </c>
      <c r="F848" s="25" t="n">
        <v>0</v>
      </c>
      <c r="G848" s="24" t="s">
        <v>59</v>
      </c>
      <c r="H848" s="24" t="s">
        <v>80</v>
      </c>
      <c r="I848" s="24" t="s">
        <v>56</v>
      </c>
      <c r="J848" s="26" t="n">
        <f aca="false">IF(A848="","",YEAR(A848))</f>
        <v>2025</v>
      </c>
      <c r="K848" s="26" t="n">
        <f aca="false">IF(A848="","",MONTH(A848))</f>
        <v>8</v>
      </c>
      <c r="L848" s="26" t="n">
        <f aca="false">IF(B848="","",VALUE(LEFT(B848,2)))</f>
        <v>14</v>
      </c>
      <c r="M848" s="26" t="n">
        <f aca="false">IF(A848="","",IF(COUNTIFS($C$2:$C$5001,C848,$J$2:$J$5001,J848,$A$2:$A$5001,"&lt;"&amp;A848)=0,1,0))</f>
        <v>0</v>
      </c>
    </row>
    <row r="849" customFormat="false" ht="15" hidden="false" customHeight="false" outlineLevel="0" collapsed="false">
      <c r="A849" s="23" t="n">
        <v>45892.5722222222</v>
      </c>
      <c r="B849" s="24" t="s">
        <v>171</v>
      </c>
      <c r="C849" s="24" t="s">
        <v>147</v>
      </c>
      <c r="D849" s="24" t="s">
        <v>53</v>
      </c>
      <c r="E849" s="24" t="n">
        <v>378</v>
      </c>
      <c r="F849" s="25" t="n">
        <v>6500</v>
      </c>
      <c r="G849" s="24" t="s">
        <v>54</v>
      </c>
      <c r="H849" s="24" t="s">
        <v>80</v>
      </c>
      <c r="I849" s="24" t="s">
        <v>61</v>
      </c>
      <c r="J849" s="26" t="n">
        <f aca="false">IF(A849="","",YEAR(A849))</f>
        <v>2025</v>
      </c>
      <c r="K849" s="26" t="n">
        <f aca="false">IF(A849="","",MONTH(A849))</f>
        <v>8</v>
      </c>
      <c r="L849" s="26" t="n">
        <f aca="false">IF(B849="","",VALUE(LEFT(B849,2)))</f>
        <v>7</v>
      </c>
      <c r="M849" s="26" t="n">
        <f aca="false">IF(A849="","",IF(COUNTIFS($C$2:$C$5001,C849,$J$2:$J$5001,J849,$A$2:$A$5001,"&lt;"&amp;A849)=0,1,0))</f>
        <v>0</v>
      </c>
    </row>
    <row r="850" customFormat="false" ht="15" hidden="false" customHeight="false" outlineLevel="0" collapsed="false">
      <c r="A850" s="23" t="n">
        <v>45892.8590277778</v>
      </c>
      <c r="B850" s="24" t="s">
        <v>751</v>
      </c>
      <c r="C850" s="24" t="s">
        <v>263</v>
      </c>
      <c r="D850" s="24" t="s">
        <v>66</v>
      </c>
      <c r="E850" s="24" t="n">
        <v>203</v>
      </c>
      <c r="F850" s="25" t="n">
        <v>7000</v>
      </c>
      <c r="G850" s="24" t="s">
        <v>59</v>
      </c>
      <c r="H850" s="24" t="s">
        <v>80</v>
      </c>
      <c r="I850" s="24" t="s">
        <v>61</v>
      </c>
      <c r="J850" s="26" t="n">
        <f aca="false">IF(A850="","",YEAR(A850))</f>
        <v>2025</v>
      </c>
      <c r="K850" s="26" t="n">
        <f aca="false">IF(A850="","",MONTH(A850))</f>
        <v>8</v>
      </c>
      <c r="L850" s="26" t="n">
        <f aca="false">IF(B850="","",VALUE(LEFT(B850,2)))</f>
        <v>17</v>
      </c>
      <c r="M850" s="26" t="n">
        <f aca="false">IF(A850="","",IF(COUNTIFS($C$2:$C$5001,C850,$J$2:$J$5001,J850,$A$2:$A$5001,"&lt;"&amp;A850)=0,1,0))</f>
        <v>0</v>
      </c>
    </row>
    <row r="851" customFormat="false" ht="15" hidden="false" customHeight="false" outlineLevel="0" collapsed="false">
      <c r="A851" s="23" t="n">
        <v>45893.6256944445</v>
      </c>
      <c r="B851" s="24" t="s">
        <v>140</v>
      </c>
      <c r="C851" s="24" t="s">
        <v>218</v>
      </c>
      <c r="D851" s="24" t="s">
        <v>53</v>
      </c>
      <c r="E851" s="24" t="n">
        <v>255</v>
      </c>
      <c r="F851" s="25" t="n">
        <v>4500</v>
      </c>
      <c r="G851" s="24" t="s">
        <v>59</v>
      </c>
      <c r="H851" s="24" t="s">
        <v>55</v>
      </c>
      <c r="I851" s="24" t="s">
        <v>61</v>
      </c>
      <c r="J851" s="26" t="n">
        <f aca="false">IF(A851="","",YEAR(A851))</f>
        <v>2025</v>
      </c>
      <c r="K851" s="26" t="n">
        <f aca="false">IF(A851="","",MONTH(A851))</f>
        <v>8</v>
      </c>
      <c r="L851" s="26" t="n">
        <f aca="false">IF(B851="","",VALUE(LEFT(B851,2)))</f>
        <v>10</v>
      </c>
      <c r="M851" s="26" t="n">
        <f aca="false">IF(A851="","",IF(COUNTIFS($C$2:$C$5001,C851,$J$2:$J$5001,J851,$A$2:$A$5001,"&lt;"&amp;A851)=0,1,0))</f>
        <v>0</v>
      </c>
    </row>
    <row r="852" customFormat="false" ht="15" hidden="false" customHeight="false" outlineLevel="0" collapsed="false">
      <c r="A852" s="23" t="n">
        <v>45893.6576388889</v>
      </c>
      <c r="B852" s="24" t="s">
        <v>180</v>
      </c>
      <c r="C852" s="24" t="s">
        <v>436</v>
      </c>
      <c r="D852" s="24" t="s">
        <v>66</v>
      </c>
      <c r="E852" s="24" t="n">
        <v>407</v>
      </c>
      <c r="F852" s="25" t="n">
        <v>14000</v>
      </c>
      <c r="G852" s="24" t="s">
        <v>59</v>
      </c>
      <c r="H852" s="24" t="s">
        <v>55</v>
      </c>
      <c r="I852" s="24" t="s">
        <v>61</v>
      </c>
      <c r="J852" s="26" t="n">
        <f aca="false">IF(A852="","",YEAR(A852))</f>
        <v>2025</v>
      </c>
      <c r="K852" s="26" t="n">
        <f aca="false">IF(A852="","",MONTH(A852))</f>
        <v>8</v>
      </c>
      <c r="L852" s="26" t="n">
        <f aca="false">IF(B852="","",VALUE(LEFT(B852,2)))</f>
        <v>9</v>
      </c>
      <c r="M852" s="26" t="n">
        <f aca="false">IF(A852="","",IF(COUNTIFS($C$2:$C$5001,C852,$J$2:$J$5001,J852,$A$2:$A$5001,"&lt;"&amp;A852)=0,1,0))</f>
        <v>0</v>
      </c>
    </row>
    <row r="853" customFormat="false" ht="15" hidden="false" customHeight="false" outlineLevel="0" collapsed="false">
      <c r="A853" s="23" t="n">
        <v>45893.7277777778</v>
      </c>
      <c r="B853" s="24" t="s">
        <v>533</v>
      </c>
      <c r="C853" s="24" t="s">
        <v>436</v>
      </c>
      <c r="D853" s="24" t="s">
        <v>53</v>
      </c>
      <c r="E853" s="24" t="n">
        <v>42</v>
      </c>
      <c r="F853" s="25" t="n">
        <v>1000</v>
      </c>
      <c r="G853" s="24" t="s">
        <v>79</v>
      </c>
      <c r="H853" s="24" t="s">
        <v>55</v>
      </c>
      <c r="I853" s="24" t="s">
        <v>61</v>
      </c>
      <c r="J853" s="26" t="n">
        <f aca="false">IF(A853="","",YEAR(A853))</f>
        <v>2025</v>
      </c>
      <c r="K853" s="26" t="n">
        <f aca="false">IF(A853="","",MONTH(A853))</f>
        <v>8</v>
      </c>
      <c r="L853" s="26" t="n">
        <f aca="false">IF(B853="","",VALUE(LEFT(B853,2)))</f>
        <v>16</v>
      </c>
      <c r="M853" s="26" t="n">
        <f aca="false">IF(A853="","",IF(COUNTIFS($C$2:$C$5001,C853,$J$2:$J$5001,J853,$A$2:$A$5001,"&lt;"&amp;A853)=0,1,0))</f>
        <v>0</v>
      </c>
    </row>
    <row r="854" customFormat="false" ht="15" hidden="false" customHeight="false" outlineLevel="0" collapsed="false">
      <c r="A854" s="23" t="n">
        <v>45894.86875</v>
      </c>
      <c r="B854" s="24" t="s">
        <v>752</v>
      </c>
      <c r="C854" s="24" t="s">
        <v>143</v>
      </c>
      <c r="D854" s="24" t="s">
        <v>66</v>
      </c>
      <c r="E854" s="24" t="n">
        <v>288</v>
      </c>
      <c r="F854" s="25" t="n">
        <v>10000</v>
      </c>
      <c r="G854" s="24" t="s">
        <v>59</v>
      </c>
      <c r="H854" s="24" t="s">
        <v>60</v>
      </c>
      <c r="I854" s="24" t="s">
        <v>61</v>
      </c>
      <c r="J854" s="26" t="n">
        <f aca="false">IF(A854="","",YEAR(A854))</f>
        <v>2025</v>
      </c>
      <c r="K854" s="26" t="n">
        <f aca="false">IF(A854="","",MONTH(A854))</f>
        <v>8</v>
      </c>
      <c r="L854" s="26" t="n">
        <f aca="false">IF(B854="","",VALUE(LEFT(B854,2)))</f>
        <v>16</v>
      </c>
      <c r="M854" s="26" t="n">
        <f aca="false">IF(A854="","",IF(COUNTIFS($C$2:$C$5001,C854,$J$2:$J$5001,J854,$A$2:$A$5001,"&lt;"&amp;A854)=0,1,0))</f>
        <v>0</v>
      </c>
    </row>
    <row r="855" customFormat="false" ht="15" hidden="false" customHeight="false" outlineLevel="0" collapsed="false">
      <c r="A855" s="23" t="n">
        <v>45894.9013888889</v>
      </c>
      <c r="B855" s="24" t="s">
        <v>715</v>
      </c>
      <c r="C855" s="24" t="s">
        <v>74</v>
      </c>
      <c r="D855" s="24" t="s">
        <v>66</v>
      </c>
      <c r="E855" s="24" t="n">
        <v>181</v>
      </c>
      <c r="F855" s="25" t="n">
        <v>7000</v>
      </c>
      <c r="G855" s="24" t="s">
        <v>54</v>
      </c>
      <c r="H855" s="24" t="s">
        <v>60</v>
      </c>
      <c r="I855" s="24" t="s">
        <v>61</v>
      </c>
      <c r="J855" s="26" t="n">
        <f aca="false">IF(A855="","",YEAR(A855))</f>
        <v>2025</v>
      </c>
      <c r="K855" s="26" t="n">
        <f aca="false">IF(A855="","",MONTH(A855))</f>
        <v>8</v>
      </c>
      <c r="L855" s="26" t="n">
        <f aca="false">IF(B855="","",VALUE(LEFT(B855,2)))</f>
        <v>18</v>
      </c>
      <c r="M855" s="26" t="n">
        <f aca="false">IF(A855="","",IF(COUNTIFS($C$2:$C$5001,C855,$J$2:$J$5001,J855,$A$2:$A$5001,"&lt;"&amp;A855)=0,1,0))</f>
        <v>0</v>
      </c>
    </row>
    <row r="856" customFormat="false" ht="15" hidden="false" customHeight="false" outlineLevel="0" collapsed="false">
      <c r="A856" s="23" t="n">
        <v>45895.5104166667</v>
      </c>
      <c r="B856" s="24" t="s">
        <v>748</v>
      </c>
      <c r="C856" s="24" t="s">
        <v>475</v>
      </c>
      <c r="D856" s="24" t="s">
        <v>66</v>
      </c>
      <c r="E856" s="24" t="n">
        <v>267</v>
      </c>
      <c r="F856" s="25" t="n">
        <v>9000</v>
      </c>
      <c r="G856" s="24" t="s">
        <v>69</v>
      </c>
      <c r="H856" s="24" t="s">
        <v>55</v>
      </c>
      <c r="I856" s="24" t="s">
        <v>61</v>
      </c>
      <c r="J856" s="26" t="n">
        <f aca="false">IF(A856="","",YEAR(A856))</f>
        <v>2025</v>
      </c>
      <c r="K856" s="26" t="n">
        <f aca="false">IF(A856="","",MONTH(A856))</f>
        <v>8</v>
      </c>
      <c r="L856" s="26" t="n">
        <f aca="false">IF(B856="","",VALUE(LEFT(B856,2)))</f>
        <v>7</v>
      </c>
      <c r="M856" s="26" t="n">
        <f aca="false">IF(A856="","",IF(COUNTIFS($C$2:$C$5001,C856,$J$2:$J$5001,J856,$A$2:$A$5001,"&lt;"&amp;A856)=0,1,0))</f>
        <v>0</v>
      </c>
    </row>
    <row r="857" customFormat="false" ht="15" hidden="false" customHeight="false" outlineLevel="0" collapsed="false">
      <c r="A857" s="23" t="n">
        <v>45895.5305555556</v>
      </c>
      <c r="B857" s="24" t="s">
        <v>137</v>
      </c>
      <c r="C857" s="24" t="s">
        <v>475</v>
      </c>
      <c r="D857" s="24" t="s">
        <v>66</v>
      </c>
      <c r="E857" s="24" t="n">
        <v>241</v>
      </c>
      <c r="F857" s="25" t="n">
        <v>7650</v>
      </c>
      <c r="G857" s="24" t="s">
        <v>69</v>
      </c>
      <c r="H857" s="24" t="s">
        <v>55</v>
      </c>
      <c r="I857" s="24" t="s">
        <v>113</v>
      </c>
      <c r="J857" s="26" t="n">
        <f aca="false">IF(A857="","",YEAR(A857))</f>
        <v>2025</v>
      </c>
      <c r="K857" s="26" t="n">
        <f aca="false">IF(A857="","",MONTH(A857))</f>
        <v>8</v>
      </c>
      <c r="L857" s="26" t="n">
        <f aca="false">IF(B857="","",VALUE(LEFT(B857,2)))</f>
        <v>8</v>
      </c>
      <c r="M857" s="26" t="n">
        <f aca="false">IF(A857="","",IF(COUNTIFS($C$2:$C$5001,C857,$J$2:$J$5001,J857,$A$2:$A$5001,"&lt;"&amp;A857)=0,1,0))</f>
        <v>0</v>
      </c>
    </row>
    <row r="858" customFormat="false" ht="15" hidden="false" customHeight="false" outlineLevel="0" collapsed="false">
      <c r="A858" s="23" t="n">
        <v>45896.6166666667</v>
      </c>
      <c r="B858" s="24" t="s">
        <v>753</v>
      </c>
      <c r="C858" s="24" t="s">
        <v>240</v>
      </c>
      <c r="D858" s="24" t="s">
        <v>66</v>
      </c>
      <c r="E858" s="24" t="n">
        <v>320</v>
      </c>
      <c r="F858" s="25" t="n">
        <v>11000</v>
      </c>
      <c r="G858" s="24" t="s">
        <v>59</v>
      </c>
      <c r="H858" s="24" t="s">
        <v>80</v>
      </c>
      <c r="I858" s="24" t="s">
        <v>61</v>
      </c>
      <c r="J858" s="26" t="n">
        <f aca="false">IF(A858="","",YEAR(A858))</f>
        <v>2025</v>
      </c>
      <c r="K858" s="26" t="n">
        <f aca="false">IF(A858="","",MONTH(A858))</f>
        <v>8</v>
      </c>
      <c r="L858" s="26" t="n">
        <f aca="false">IF(B858="","",VALUE(LEFT(B858,2)))</f>
        <v>9</v>
      </c>
      <c r="M858" s="26" t="n">
        <f aca="false">IF(A858="","",IF(COUNTIFS($C$2:$C$5001,C858,$J$2:$J$5001,J858,$A$2:$A$5001,"&lt;"&amp;A858)=0,1,0))</f>
        <v>0</v>
      </c>
    </row>
    <row r="859" customFormat="false" ht="15" hidden="false" customHeight="false" outlineLevel="0" collapsed="false">
      <c r="A859" s="23" t="n">
        <v>45896.6465277778</v>
      </c>
      <c r="B859" s="24" t="s">
        <v>754</v>
      </c>
      <c r="C859" s="24" t="s">
        <v>78</v>
      </c>
      <c r="D859" s="24" t="s">
        <v>66</v>
      </c>
      <c r="E859" s="24" t="n">
        <v>393</v>
      </c>
      <c r="F859" s="25" t="n">
        <v>14000</v>
      </c>
      <c r="G859" s="24" t="s">
        <v>59</v>
      </c>
      <c r="H859" s="24" t="s">
        <v>80</v>
      </c>
      <c r="I859" s="24" t="s">
        <v>61</v>
      </c>
      <c r="J859" s="26" t="n">
        <f aca="false">IF(A859="","",YEAR(A859))</f>
        <v>2025</v>
      </c>
      <c r="K859" s="26" t="n">
        <f aca="false">IF(A859="","",MONTH(A859))</f>
        <v>8</v>
      </c>
      <c r="L859" s="26" t="n">
        <f aca="false">IF(B859="","",VALUE(LEFT(B859,2)))</f>
        <v>8</v>
      </c>
      <c r="M859" s="26" t="n">
        <f aca="false">IF(A859="","",IF(COUNTIFS($C$2:$C$5001,C859,$J$2:$J$5001,J859,$A$2:$A$5001,"&lt;"&amp;A859)=0,1,0))</f>
        <v>0</v>
      </c>
    </row>
    <row r="860" customFormat="false" ht="15" hidden="false" customHeight="false" outlineLevel="0" collapsed="false">
      <c r="A860" s="23" t="n">
        <v>45896.6486111111</v>
      </c>
      <c r="B860" s="24" t="s">
        <v>755</v>
      </c>
      <c r="C860" s="24" t="s">
        <v>158</v>
      </c>
      <c r="D860" s="24" t="s">
        <v>66</v>
      </c>
      <c r="E860" s="24" t="n">
        <v>166</v>
      </c>
      <c r="F860" s="25" t="n">
        <v>6000</v>
      </c>
      <c r="G860" s="24" t="s">
        <v>83</v>
      </c>
      <c r="H860" s="24" t="s">
        <v>55</v>
      </c>
      <c r="I860" s="24" t="s">
        <v>61</v>
      </c>
      <c r="J860" s="26" t="n">
        <f aca="false">IF(A860="","",YEAR(A860))</f>
        <v>2025</v>
      </c>
      <c r="K860" s="26" t="n">
        <f aca="false">IF(A860="","",MONTH(A860))</f>
        <v>8</v>
      </c>
      <c r="L860" s="26" t="n">
        <f aca="false">IF(B860="","",VALUE(LEFT(B860,2)))</f>
        <v>12</v>
      </c>
      <c r="M860" s="26" t="n">
        <f aca="false">IF(A860="","",IF(COUNTIFS($C$2:$C$5001,C860,$J$2:$J$5001,J860,$A$2:$A$5001,"&lt;"&amp;A860)=0,1,0))</f>
        <v>0</v>
      </c>
    </row>
    <row r="861" customFormat="false" ht="15" hidden="false" customHeight="false" outlineLevel="0" collapsed="false">
      <c r="A861" s="23" t="n">
        <v>45897.3409722222</v>
      </c>
      <c r="B861" s="24" t="s">
        <v>756</v>
      </c>
      <c r="C861" s="24" t="s">
        <v>174</v>
      </c>
      <c r="D861" s="24" t="s">
        <v>53</v>
      </c>
      <c r="E861" s="24" t="n">
        <v>60</v>
      </c>
      <c r="F861" s="25" t="n">
        <v>1000</v>
      </c>
      <c r="G861" s="24" t="s">
        <v>83</v>
      </c>
      <c r="H861" s="24" t="s">
        <v>80</v>
      </c>
      <c r="I861" s="24" t="s">
        <v>61</v>
      </c>
      <c r="J861" s="26" t="n">
        <f aca="false">IF(A861="","",YEAR(A861))</f>
        <v>2025</v>
      </c>
      <c r="K861" s="26" t="n">
        <f aca="false">IF(A861="","",MONTH(A861))</f>
        <v>8</v>
      </c>
      <c r="L861" s="26" t="n">
        <f aca="false">IF(B861="","",VALUE(LEFT(B861,2)))</f>
        <v>7</v>
      </c>
      <c r="M861" s="26" t="n">
        <f aca="false">IF(A861="","",IF(COUNTIFS($C$2:$C$5001,C861,$J$2:$J$5001,J861,$A$2:$A$5001,"&lt;"&amp;A861)=0,1,0))</f>
        <v>0</v>
      </c>
    </row>
    <row r="862" customFormat="false" ht="15" hidden="false" customHeight="false" outlineLevel="0" collapsed="false">
      <c r="A862" s="23" t="n">
        <v>45897.4145833333</v>
      </c>
      <c r="B862" s="24" t="s">
        <v>682</v>
      </c>
      <c r="C862" s="24" t="s">
        <v>78</v>
      </c>
      <c r="D862" s="24" t="s">
        <v>66</v>
      </c>
      <c r="E862" s="24" t="n">
        <v>86</v>
      </c>
      <c r="F862" s="25" t="n">
        <v>3000</v>
      </c>
      <c r="G862" s="24" t="s">
        <v>59</v>
      </c>
      <c r="H862" s="24" t="s">
        <v>55</v>
      </c>
      <c r="I862" s="24" t="s">
        <v>61</v>
      </c>
      <c r="J862" s="26" t="n">
        <f aca="false">IF(A862="","",YEAR(A862))</f>
        <v>2025</v>
      </c>
      <c r="K862" s="26" t="n">
        <f aca="false">IF(A862="","",MONTH(A862))</f>
        <v>8</v>
      </c>
      <c r="L862" s="26" t="n">
        <f aca="false">IF(B862="","",VALUE(LEFT(B862,2)))</f>
        <v>8</v>
      </c>
      <c r="M862" s="26" t="n">
        <f aca="false">IF(A862="","",IF(COUNTIFS($C$2:$C$5001,C862,$J$2:$J$5001,J862,$A$2:$A$5001,"&lt;"&amp;A862)=0,1,0))</f>
        <v>0</v>
      </c>
    </row>
    <row r="863" customFormat="false" ht="15" hidden="false" customHeight="false" outlineLevel="0" collapsed="false">
      <c r="A863" s="23" t="n">
        <v>45897.6340277778</v>
      </c>
      <c r="B863" s="24" t="s">
        <v>757</v>
      </c>
      <c r="C863" s="24" t="s">
        <v>150</v>
      </c>
      <c r="D863" s="24" t="s">
        <v>66</v>
      </c>
      <c r="E863" s="24" t="n">
        <v>275</v>
      </c>
      <c r="F863" s="25" t="n">
        <v>0</v>
      </c>
      <c r="G863" s="24" t="s">
        <v>59</v>
      </c>
      <c r="H863" s="24" t="s">
        <v>60</v>
      </c>
      <c r="I863" s="24" t="s">
        <v>56</v>
      </c>
      <c r="J863" s="26" t="n">
        <f aca="false">IF(A863="","",YEAR(A863))</f>
        <v>2025</v>
      </c>
      <c r="K863" s="26" t="n">
        <f aca="false">IF(A863="","",MONTH(A863))</f>
        <v>8</v>
      </c>
      <c r="L863" s="26" t="n">
        <f aca="false">IF(B863="","",VALUE(LEFT(B863,2)))</f>
        <v>10</v>
      </c>
      <c r="M863" s="26" t="n">
        <f aca="false">IF(A863="","",IF(COUNTIFS($C$2:$C$5001,C863,$J$2:$J$5001,J863,$A$2:$A$5001,"&lt;"&amp;A863)=0,1,0))</f>
        <v>0</v>
      </c>
    </row>
    <row r="864" customFormat="false" ht="15" hidden="false" customHeight="false" outlineLevel="0" collapsed="false">
      <c r="A864" s="23" t="n">
        <v>45897.7875</v>
      </c>
      <c r="B864" s="24" t="s">
        <v>570</v>
      </c>
      <c r="C864" s="24" t="s">
        <v>192</v>
      </c>
      <c r="D864" s="24" t="s">
        <v>88</v>
      </c>
      <c r="E864" s="24" t="n">
        <v>113</v>
      </c>
      <c r="F864" s="25" t="n">
        <v>0</v>
      </c>
      <c r="G864" s="24" t="s">
        <v>54</v>
      </c>
      <c r="H864" s="24" t="s">
        <v>60</v>
      </c>
      <c r="I864" s="24" t="s">
        <v>56</v>
      </c>
      <c r="J864" s="26" t="n">
        <f aca="false">IF(A864="","",YEAR(A864))</f>
        <v>2025</v>
      </c>
      <c r="K864" s="26" t="n">
        <f aca="false">IF(A864="","",MONTH(A864))</f>
        <v>8</v>
      </c>
      <c r="L864" s="26" t="n">
        <f aca="false">IF(B864="","",VALUE(LEFT(B864,2)))</f>
        <v>17</v>
      </c>
      <c r="M864" s="26" t="n">
        <f aca="false">IF(A864="","",IF(COUNTIFS($C$2:$C$5001,C864,$J$2:$J$5001,J864,$A$2:$A$5001,"&lt;"&amp;A864)=0,1,0))</f>
        <v>0</v>
      </c>
    </row>
    <row r="865" customFormat="false" ht="15" hidden="false" customHeight="false" outlineLevel="0" collapsed="false">
      <c r="A865" s="23" t="n">
        <v>45897.7965277778</v>
      </c>
      <c r="B865" s="24" t="s">
        <v>390</v>
      </c>
      <c r="C865" s="24" t="s">
        <v>463</v>
      </c>
      <c r="D865" s="24" t="s">
        <v>88</v>
      </c>
      <c r="E865" s="24" t="n">
        <v>294</v>
      </c>
      <c r="F865" s="25" t="n">
        <v>15000</v>
      </c>
      <c r="G865" s="24" t="s">
        <v>79</v>
      </c>
      <c r="H865" s="24" t="s">
        <v>60</v>
      </c>
      <c r="I865" s="24" t="s">
        <v>61</v>
      </c>
      <c r="J865" s="26" t="n">
        <f aca="false">IF(A865="","",YEAR(A865))</f>
        <v>2025</v>
      </c>
      <c r="K865" s="26" t="n">
        <f aca="false">IF(A865="","",MONTH(A865))</f>
        <v>8</v>
      </c>
      <c r="L865" s="26" t="n">
        <f aca="false">IF(B865="","",VALUE(LEFT(B865,2)))</f>
        <v>14</v>
      </c>
      <c r="M865" s="26" t="n">
        <f aca="false">IF(A865="","",IF(COUNTIFS($C$2:$C$5001,C865,$J$2:$J$5001,J865,$A$2:$A$5001,"&lt;"&amp;A865)=0,1,0))</f>
        <v>0</v>
      </c>
    </row>
    <row r="866" customFormat="false" ht="15" hidden="false" customHeight="false" outlineLevel="0" collapsed="false">
      <c r="A866" s="23" t="n">
        <v>45897.8972222222</v>
      </c>
      <c r="B866" s="24" t="s">
        <v>355</v>
      </c>
      <c r="C866" s="24" t="s">
        <v>78</v>
      </c>
      <c r="D866" s="24" t="s">
        <v>53</v>
      </c>
      <c r="E866" s="24" t="n">
        <v>275</v>
      </c>
      <c r="F866" s="25" t="n">
        <v>5000</v>
      </c>
      <c r="G866" s="24" t="s">
        <v>69</v>
      </c>
      <c r="H866" s="24" t="s">
        <v>60</v>
      </c>
      <c r="I866" s="24" t="s">
        <v>61</v>
      </c>
      <c r="J866" s="26" t="n">
        <f aca="false">IF(A866="","",YEAR(A866))</f>
        <v>2025</v>
      </c>
      <c r="K866" s="26" t="n">
        <f aca="false">IF(A866="","",MONTH(A866))</f>
        <v>8</v>
      </c>
      <c r="L866" s="26" t="n">
        <f aca="false">IF(B866="","",VALUE(LEFT(B866,2)))</f>
        <v>16</v>
      </c>
      <c r="M866" s="26" t="n">
        <f aca="false">IF(A866="","",IF(COUNTIFS($C$2:$C$5001,C866,$J$2:$J$5001,J866,$A$2:$A$5001,"&lt;"&amp;A866)=0,1,0))</f>
        <v>0</v>
      </c>
    </row>
    <row r="867" customFormat="false" ht="15" hidden="false" customHeight="false" outlineLevel="0" collapsed="false">
      <c r="A867" s="23" t="n">
        <v>45902.4229166667</v>
      </c>
      <c r="B867" s="24" t="s">
        <v>758</v>
      </c>
      <c r="C867" s="24" t="s">
        <v>312</v>
      </c>
      <c r="D867" s="24" t="s">
        <v>53</v>
      </c>
      <c r="E867" s="24" t="n">
        <v>39</v>
      </c>
      <c r="F867" s="25" t="n">
        <v>1000</v>
      </c>
      <c r="G867" s="24" t="s">
        <v>83</v>
      </c>
      <c r="H867" s="24" t="s">
        <v>80</v>
      </c>
      <c r="I867" s="24" t="s">
        <v>61</v>
      </c>
      <c r="J867" s="26" t="n">
        <f aca="false">IF(A867="","",YEAR(A867))</f>
        <v>2025</v>
      </c>
      <c r="K867" s="26" t="n">
        <f aca="false">IF(A867="","",MONTH(A867))</f>
        <v>9</v>
      </c>
      <c r="L867" s="26" t="n">
        <f aca="false">IF(B867="","",VALUE(LEFT(B867,2)))</f>
        <v>9</v>
      </c>
      <c r="M867" s="26" t="n">
        <f aca="false">IF(A867="","",IF(COUNTIFS($C$2:$C$5001,C867,$J$2:$J$5001,J867,$A$2:$A$5001,"&lt;"&amp;A867)=0,1,0))</f>
        <v>0</v>
      </c>
    </row>
    <row r="868" customFormat="false" ht="15" hidden="false" customHeight="false" outlineLevel="0" collapsed="false">
      <c r="A868" s="23" t="n">
        <v>45902.6243055556</v>
      </c>
      <c r="B868" s="24" t="s">
        <v>759</v>
      </c>
      <c r="C868" s="24" t="s">
        <v>389</v>
      </c>
      <c r="D868" s="24" t="s">
        <v>66</v>
      </c>
      <c r="E868" s="24" t="n">
        <v>32</v>
      </c>
      <c r="F868" s="25" t="n">
        <v>2000</v>
      </c>
      <c r="G868" s="24" t="s">
        <v>59</v>
      </c>
      <c r="H868" s="24" t="s">
        <v>55</v>
      </c>
      <c r="I868" s="24" t="s">
        <v>61</v>
      </c>
      <c r="J868" s="26" t="n">
        <f aca="false">IF(A868="","",YEAR(A868))</f>
        <v>2025</v>
      </c>
      <c r="K868" s="26" t="n">
        <f aca="false">IF(A868="","",MONTH(A868))</f>
        <v>9</v>
      </c>
      <c r="L868" s="26" t="n">
        <f aca="false">IF(B868="","",VALUE(LEFT(B868,2)))</f>
        <v>14</v>
      </c>
      <c r="M868" s="26" t="n">
        <f aca="false">IF(A868="","",IF(COUNTIFS($C$2:$C$5001,C868,$J$2:$J$5001,J868,$A$2:$A$5001,"&lt;"&amp;A868)=0,1,0))</f>
        <v>0</v>
      </c>
    </row>
    <row r="869" customFormat="false" ht="15" hidden="false" customHeight="false" outlineLevel="0" collapsed="false">
      <c r="A869" s="23" t="n">
        <v>45902.8159722222</v>
      </c>
      <c r="B869" s="24" t="s">
        <v>560</v>
      </c>
      <c r="C869" s="24" t="s">
        <v>152</v>
      </c>
      <c r="D869" s="24" t="s">
        <v>53</v>
      </c>
      <c r="E869" s="24" t="n">
        <v>146</v>
      </c>
      <c r="F869" s="25" t="n">
        <v>2500</v>
      </c>
      <c r="G869" s="24" t="s">
        <v>69</v>
      </c>
      <c r="H869" s="24" t="s">
        <v>60</v>
      </c>
      <c r="I869" s="24" t="s">
        <v>61</v>
      </c>
      <c r="J869" s="26" t="n">
        <f aca="false">IF(A869="","",YEAR(A869))</f>
        <v>2025</v>
      </c>
      <c r="K869" s="26" t="n">
        <f aca="false">IF(A869="","",MONTH(A869))</f>
        <v>9</v>
      </c>
      <c r="L869" s="26" t="n">
        <f aca="false">IF(B869="","",VALUE(LEFT(B869,2)))</f>
        <v>17</v>
      </c>
      <c r="M869" s="26" t="n">
        <f aca="false">IF(A869="","",IF(COUNTIFS($C$2:$C$5001,C869,$J$2:$J$5001,J869,$A$2:$A$5001,"&lt;"&amp;A869)=0,1,0))</f>
        <v>0</v>
      </c>
    </row>
    <row r="870" customFormat="false" ht="15" hidden="false" customHeight="false" outlineLevel="0" collapsed="false">
      <c r="A870" s="23" t="n">
        <v>45902.9972222222</v>
      </c>
      <c r="B870" s="24" t="s">
        <v>760</v>
      </c>
      <c r="C870" s="24" t="s">
        <v>129</v>
      </c>
      <c r="D870" s="24" t="s">
        <v>53</v>
      </c>
      <c r="E870" s="24" t="n">
        <v>200</v>
      </c>
      <c r="F870" s="25" t="n">
        <v>3500</v>
      </c>
      <c r="G870" s="24" t="s">
        <v>59</v>
      </c>
      <c r="H870" s="24" t="s">
        <v>55</v>
      </c>
      <c r="I870" s="24" t="s">
        <v>61</v>
      </c>
      <c r="J870" s="26" t="n">
        <f aca="false">IF(A870="","",YEAR(A870))</f>
        <v>2025</v>
      </c>
      <c r="K870" s="26" t="n">
        <f aca="false">IF(A870="","",MONTH(A870))</f>
        <v>9</v>
      </c>
      <c r="L870" s="26" t="n">
        <f aca="false">IF(B870="","",VALUE(LEFT(B870,2)))</f>
        <v>20</v>
      </c>
      <c r="M870" s="26" t="n">
        <f aca="false">IF(A870="","",IF(COUNTIFS($C$2:$C$5001,C870,$J$2:$J$5001,J870,$A$2:$A$5001,"&lt;"&amp;A870)=0,1,0))</f>
        <v>0</v>
      </c>
    </row>
    <row r="871" customFormat="false" ht="15" hidden="false" customHeight="false" outlineLevel="0" collapsed="false">
      <c r="A871" s="23" t="n">
        <v>45903.4798611111</v>
      </c>
      <c r="B871" s="24" t="s">
        <v>238</v>
      </c>
      <c r="C871" s="24" t="s">
        <v>290</v>
      </c>
      <c r="D871" s="24" t="s">
        <v>53</v>
      </c>
      <c r="E871" s="24" t="n">
        <v>328</v>
      </c>
      <c r="F871" s="25" t="n">
        <v>5500</v>
      </c>
      <c r="G871" s="24" t="s">
        <v>59</v>
      </c>
      <c r="H871" s="24" t="s">
        <v>55</v>
      </c>
      <c r="I871" s="24" t="s">
        <v>61</v>
      </c>
      <c r="J871" s="26" t="n">
        <f aca="false">IF(A871="","",YEAR(A871))</f>
        <v>2025</v>
      </c>
      <c r="K871" s="26" t="n">
        <f aca="false">IF(A871="","",MONTH(A871))</f>
        <v>9</v>
      </c>
      <c r="L871" s="26" t="n">
        <f aca="false">IF(B871="","",VALUE(LEFT(B871,2)))</f>
        <v>6</v>
      </c>
      <c r="M871" s="26" t="n">
        <f aca="false">IF(A871="","",IF(COUNTIFS($C$2:$C$5001,C871,$J$2:$J$5001,J871,$A$2:$A$5001,"&lt;"&amp;A871)=0,1,0))</f>
        <v>0</v>
      </c>
    </row>
    <row r="872" customFormat="false" ht="15" hidden="false" customHeight="false" outlineLevel="0" collapsed="false">
      <c r="A872" s="23" t="n">
        <v>45903.5458333333</v>
      </c>
      <c r="B872" s="24" t="s">
        <v>383</v>
      </c>
      <c r="C872" s="24" t="s">
        <v>277</v>
      </c>
      <c r="D872" s="24" t="s">
        <v>53</v>
      </c>
      <c r="E872" s="24" t="n">
        <v>191</v>
      </c>
      <c r="F872" s="25" t="n">
        <v>3500</v>
      </c>
      <c r="G872" s="24" t="s">
        <v>59</v>
      </c>
      <c r="H872" s="24" t="s">
        <v>80</v>
      </c>
      <c r="I872" s="24" t="s">
        <v>61</v>
      </c>
      <c r="J872" s="26" t="n">
        <f aca="false">IF(A872="","",YEAR(A872))</f>
        <v>2025</v>
      </c>
      <c r="K872" s="26" t="n">
        <f aca="false">IF(A872="","",MONTH(A872))</f>
        <v>9</v>
      </c>
      <c r="L872" s="26" t="n">
        <f aca="false">IF(B872="","",VALUE(LEFT(B872,2)))</f>
        <v>9</v>
      </c>
      <c r="M872" s="26" t="n">
        <f aca="false">IF(A872="","",IF(COUNTIFS($C$2:$C$5001,C872,$J$2:$J$5001,J872,$A$2:$A$5001,"&lt;"&amp;A872)=0,1,0))</f>
        <v>0</v>
      </c>
    </row>
    <row r="873" customFormat="false" ht="15" hidden="false" customHeight="false" outlineLevel="0" collapsed="false">
      <c r="A873" s="23" t="n">
        <v>45904.3631944444</v>
      </c>
      <c r="B873" s="24" t="s">
        <v>622</v>
      </c>
      <c r="C873" s="24" t="s">
        <v>220</v>
      </c>
      <c r="D873" s="24" t="s">
        <v>53</v>
      </c>
      <c r="E873" s="24" t="n">
        <v>82</v>
      </c>
      <c r="F873" s="25" t="n">
        <v>1500</v>
      </c>
      <c r="G873" s="24" t="s">
        <v>69</v>
      </c>
      <c r="H873" s="24" t="s">
        <v>80</v>
      </c>
      <c r="I873" s="24" t="s">
        <v>61</v>
      </c>
      <c r="J873" s="26" t="n">
        <f aca="false">IF(A873="","",YEAR(A873))</f>
        <v>2025</v>
      </c>
      <c r="K873" s="26" t="n">
        <f aca="false">IF(A873="","",MONTH(A873))</f>
        <v>9</v>
      </c>
      <c r="L873" s="26" t="n">
        <f aca="false">IF(B873="","",VALUE(LEFT(B873,2)))</f>
        <v>7</v>
      </c>
      <c r="M873" s="26" t="n">
        <f aca="false">IF(A873="","",IF(COUNTIFS($C$2:$C$5001,C873,$J$2:$J$5001,J873,$A$2:$A$5001,"&lt;"&amp;A873)=0,1,0))</f>
        <v>0</v>
      </c>
    </row>
    <row r="874" customFormat="false" ht="15" hidden="false" customHeight="false" outlineLevel="0" collapsed="false">
      <c r="A874" s="23" t="n">
        <v>45904.5534722222</v>
      </c>
      <c r="B874" s="24" t="s">
        <v>761</v>
      </c>
      <c r="C874" s="24" t="s">
        <v>309</v>
      </c>
      <c r="D874" s="24" t="s">
        <v>66</v>
      </c>
      <c r="E874" s="24" t="n">
        <v>407</v>
      </c>
      <c r="F874" s="25" t="n">
        <v>14000</v>
      </c>
      <c r="G874" s="24" t="s">
        <v>59</v>
      </c>
      <c r="H874" s="24" t="s">
        <v>55</v>
      </c>
      <c r="I874" s="24" t="s">
        <v>61</v>
      </c>
      <c r="J874" s="26" t="n">
        <f aca="false">IF(A874="","",YEAR(A874))</f>
        <v>2025</v>
      </c>
      <c r="K874" s="26" t="n">
        <f aca="false">IF(A874="","",MONTH(A874))</f>
        <v>9</v>
      </c>
      <c r="L874" s="26" t="n">
        <f aca="false">IF(B874="","",VALUE(LEFT(B874,2)))</f>
        <v>6</v>
      </c>
      <c r="M874" s="26" t="n">
        <f aca="false">IF(A874="","",IF(COUNTIFS($C$2:$C$5001,C874,$J$2:$J$5001,J874,$A$2:$A$5001,"&lt;"&amp;A874)=0,1,0))</f>
        <v>0</v>
      </c>
    </row>
    <row r="875" customFormat="false" ht="15" hidden="false" customHeight="false" outlineLevel="0" collapsed="false">
      <c r="A875" s="23" t="n">
        <v>45904.5652777778</v>
      </c>
      <c r="B875" s="24" t="s">
        <v>89</v>
      </c>
      <c r="C875" s="24" t="s">
        <v>227</v>
      </c>
      <c r="D875" s="24" t="s">
        <v>66</v>
      </c>
      <c r="E875" s="24" t="n">
        <v>386</v>
      </c>
      <c r="F875" s="25" t="n">
        <v>13000</v>
      </c>
      <c r="G875" s="24" t="s">
        <v>69</v>
      </c>
      <c r="H875" s="24" t="s">
        <v>55</v>
      </c>
      <c r="I875" s="24" t="s">
        <v>61</v>
      </c>
      <c r="J875" s="26" t="n">
        <f aca="false">IF(A875="","",YEAR(A875))</f>
        <v>2025</v>
      </c>
      <c r="K875" s="26" t="n">
        <f aca="false">IF(A875="","",MONTH(A875))</f>
        <v>9</v>
      </c>
      <c r="L875" s="26" t="n">
        <f aca="false">IF(B875="","",VALUE(LEFT(B875,2)))</f>
        <v>7</v>
      </c>
      <c r="M875" s="26" t="n">
        <f aca="false">IF(A875="","",IF(COUNTIFS($C$2:$C$5001,C875,$J$2:$J$5001,J875,$A$2:$A$5001,"&lt;"&amp;A875)=0,1,0))</f>
        <v>0</v>
      </c>
    </row>
    <row r="876" customFormat="false" ht="15" hidden="false" customHeight="false" outlineLevel="0" collapsed="false">
      <c r="A876" s="23" t="n">
        <v>45904.60625</v>
      </c>
      <c r="B876" s="24" t="s">
        <v>358</v>
      </c>
      <c r="C876" s="24" t="s">
        <v>112</v>
      </c>
      <c r="D876" s="24" t="s">
        <v>88</v>
      </c>
      <c r="E876" s="24" t="n">
        <v>196</v>
      </c>
      <c r="F876" s="25" t="n">
        <v>10500</v>
      </c>
      <c r="G876" s="24" t="s">
        <v>59</v>
      </c>
      <c r="H876" s="24" t="s">
        <v>55</v>
      </c>
      <c r="I876" s="24" t="s">
        <v>61</v>
      </c>
      <c r="J876" s="26" t="n">
        <f aca="false">IF(A876="","",YEAR(A876))</f>
        <v>2025</v>
      </c>
      <c r="K876" s="26" t="n">
        <f aca="false">IF(A876="","",MONTH(A876))</f>
        <v>9</v>
      </c>
      <c r="L876" s="26" t="n">
        <f aca="false">IF(B876="","",VALUE(LEFT(B876,2)))</f>
        <v>11</v>
      </c>
      <c r="M876" s="26" t="n">
        <f aca="false">IF(A876="","",IF(COUNTIFS($C$2:$C$5001,C876,$J$2:$J$5001,J876,$A$2:$A$5001,"&lt;"&amp;A876)=0,1,0))</f>
        <v>0</v>
      </c>
    </row>
    <row r="877" customFormat="false" ht="15" hidden="false" customHeight="false" outlineLevel="0" collapsed="false">
      <c r="A877" s="23" t="n">
        <v>45904.6708333333</v>
      </c>
      <c r="B877" s="24" t="s">
        <v>340</v>
      </c>
      <c r="C877" s="24" t="s">
        <v>186</v>
      </c>
      <c r="D877" s="24" t="s">
        <v>66</v>
      </c>
      <c r="E877" s="24" t="n">
        <v>340</v>
      </c>
      <c r="F877" s="25" t="n">
        <v>12000</v>
      </c>
      <c r="G877" s="24" t="s">
        <v>59</v>
      </c>
      <c r="H877" s="24" t="s">
        <v>55</v>
      </c>
      <c r="I877" s="24" t="s">
        <v>61</v>
      </c>
      <c r="J877" s="26" t="n">
        <f aca="false">IF(A877="","",YEAR(A877))</f>
        <v>2025</v>
      </c>
      <c r="K877" s="26" t="n">
        <f aca="false">IF(A877="","",MONTH(A877))</f>
        <v>9</v>
      </c>
      <c r="L877" s="26" t="n">
        <f aca="false">IF(B877="","",VALUE(LEFT(B877,2)))</f>
        <v>10</v>
      </c>
      <c r="M877" s="26" t="n">
        <f aca="false">IF(A877="","",IF(COUNTIFS($C$2:$C$5001,C877,$J$2:$J$5001,J877,$A$2:$A$5001,"&lt;"&amp;A877)=0,1,0))</f>
        <v>0</v>
      </c>
    </row>
    <row r="878" customFormat="false" ht="15" hidden="false" customHeight="false" outlineLevel="0" collapsed="false">
      <c r="A878" s="23" t="n">
        <v>45904.79375</v>
      </c>
      <c r="B878" s="24" t="s">
        <v>646</v>
      </c>
      <c r="C878" s="24" t="s">
        <v>150</v>
      </c>
      <c r="D878" s="24" t="s">
        <v>53</v>
      </c>
      <c r="E878" s="24" t="n">
        <v>415</v>
      </c>
      <c r="F878" s="25" t="n">
        <v>0</v>
      </c>
      <c r="G878" s="24" t="s">
        <v>69</v>
      </c>
      <c r="H878" s="24" t="s">
        <v>55</v>
      </c>
      <c r="I878" s="24" t="s">
        <v>56</v>
      </c>
      <c r="J878" s="26" t="n">
        <f aca="false">IF(A878="","",YEAR(A878))</f>
        <v>2025</v>
      </c>
      <c r="K878" s="26" t="n">
        <f aca="false">IF(A878="","",MONTH(A878))</f>
        <v>9</v>
      </c>
      <c r="L878" s="26" t="n">
        <f aca="false">IF(B878="","",VALUE(LEFT(B878,2)))</f>
        <v>12</v>
      </c>
      <c r="M878" s="26" t="n">
        <f aca="false">IF(A878="","",IF(COUNTIFS($C$2:$C$5001,C878,$J$2:$J$5001,J878,$A$2:$A$5001,"&lt;"&amp;A878)=0,1,0))</f>
        <v>0</v>
      </c>
    </row>
    <row r="879" customFormat="false" ht="15" hidden="false" customHeight="false" outlineLevel="0" collapsed="false">
      <c r="A879" s="23" t="n">
        <v>45905.0222222222</v>
      </c>
      <c r="B879" s="24" t="s">
        <v>615</v>
      </c>
      <c r="C879" s="24" t="s">
        <v>512</v>
      </c>
      <c r="D879" s="24" t="s">
        <v>53</v>
      </c>
      <c r="E879" s="24" t="n">
        <v>386</v>
      </c>
      <c r="F879" s="25" t="n">
        <v>6500</v>
      </c>
      <c r="G879" s="24" t="s">
        <v>59</v>
      </c>
      <c r="H879" s="24" t="s">
        <v>80</v>
      </c>
      <c r="I879" s="24" t="s">
        <v>61</v>
      </c>
      <c r="J879" s="26" t="n">
        <f aca="false">IF(A879="","",YEAR(A879))</f>
        <v>2025</v>
      </c>
      <c r="K879" s="26" t="n">
        <f aca="false">IF(A879="","",MONTH(A879))</f>
        <v>9</v>
      </c>
      <c r="L879" s="26" t="n">
        <f aca="false">IF(B879="","",VALUE(LEFT(B879,2)))</f>
        <v>18</v>
      </c>
      <c r="M879" s="26" t="n">
        <f aca="false">IF(A879="","",IF(COUNTIFS($C$2:$C$5001,C879,$J$2:$J$5001,J879,$A$2:$A$5001,"&lt;"&amp;A879)=0,1,0))</f>
        <v>0</v>
      </c>
    </row>
    <row r="880" customFormat="false" ht="15" hidden="false" customHeight="false" outlineLevel="0" collapsed="false">
      <c r="A880" s="23" t="n">
        <v>45905.9993055556</v>
      </c>
      <c r="B880" s="24" t="s">
        <v>670</v>
      </c>
      <c r="C880" s="24" t="s">
        <v>172</v>
      </c>
      <c r="D880" s="24" t="s">
        <v>66</v>
      </c>
      <c r="E880" s="24" t="n">
        <v>408</v>
      </c>
      <c r="F880" s="25" t="n">
        <v>14000</v>
      </c>
      <c r="G880" s="24" t="s">
        <v>69</v>
      </c>
      <c r="H880" s="24" t="s">
        <v>80</v>
      </c>
      <c r="I880" s="24" t="s">
        <v>61</v>
      </c>
      <c r="J880" s="26" t="n">
        <f aca="false">IF(A880="","",YEAR(A880))</f>
        <v>2025</v>
      </c>
      <c r="K880" s="26" t="n">
        <f aca="false">IF(A880="","",MONTH(A880))</f>
        <v>9</v>
      </c>
      <c r="L880" s="26" t="n">
        <f aca="false">IF(B880="","",VALUE(LEFT(B880,2)))</f>
        <v>17</v>
      </c>
      <c r="M880" s="26" t="n">
        <f aca="false">IF(A880="","",IF(COUNTIFS($C$2:$C$5001,C880,$J$2:$J$5001,J880,$A$2:$A$5001,"&lt;"&amp;A880)=0,1,0))</f>
        <v>0</v>
      </c>
    </row>
    <row r="881" customFormat="false" ht="15" hidden="false" customHeight="false" outlineLevel="0" collapsed="false">
      <c r="A881" s="23" t="n">
        <v>45906.6409722222</v>
      </c>
      <c r="B881" s="24" t="s">
        <v>762</v>
      </c>
      <c r="C881" s="24" t="s">
        <v>293</v>
      </c>
      <c r="D881" s="24" t="s">
        <v>66</v>
      </c>
      <c r="E881" s="24" t="n">
        <v>327</v>
      </c>
      <c r="F881" s="25" t="n">
        <v>11000</v>
      </c>
      <c r="G881" s="24" t="s">
        <v>83</v>
      </c>
      <c r="H881" s="24" t="s">
        <v>55</v>
      </c>
      <c r="I881" s="24" t="s">
        <v>61</v>
      </c>
      <c r="J881" s="26" t="n">
        <f aca="false">IF(A881="","",YEAR(A881))</f>
        <v>2025</v>
      </c>
      <c r="K881" s="26" t="n">
        <f aca="false">IF(A881="","",MONTH(A881))</f>
        <v>9</v>
      </c>
      <c r="L881" s="26" t="n">
        <f aca="false">IF(B881="","",VALUE(LEFT(B881,2)))</f>
        <v>9</v>
      </c>
      <c r="M881" s="26" t="n">
        <f aca="false">IF(A881="","",IF(COUNTIFS($C$2:$C$5001,C881,$J$2:$J$5001,J881,$A$2:$A$5001,"&lt;"&amp;A881)=0,1,0))</f>
        <v>0</v>
      </c>
    </row>
    <row r="882" customFormat="false" ht="15" hidden="false" customHeight="false" outlineLevel="0" collapsed="false">
      <c r="A882" s="23" t="n">
        <v>45906.8423611111</v>
      </c>
      <c r="B882" s="24" t="s">
        <v>401</v>
      </c>
      <c r="C882" s="24" t="s">
        <v>397</v>
      </c>
      <c r="D882" s="24" t="s">
        <v>66</v>
      </c>
      <c r="E882" s="24" t="n">
        <v>84</v>
      </c>
      <c r="F882" s="25" t="n">
        <v>0</v>
      </c>
      <c r="G882" s="24" t="s">
        <v>59</v>
      </c>
      <c r="H882" s="24" t="s">
        <v>60</v>
      </c>
      <c r="I882" s="24" t="s">
        <v>56</v>
      </c>
      <c r="J882" s="26" t="n">
        <f aca="false">IF(A882="","",YEAR(A882))</f>
        <v>2025</v>
      </c>
      <c r="K882" s="26" t="n">
        <f aca="false">IF(A882="","",MONTH(A882))</f>
        <v>9</v>
      </c>
      <c r="L882" s="26" t="n">
        <f aca="false">IF(B882="","",VALUE(LEFT(B882,2)))</f>
        <v>18</v>
      </c>
      <c r="M882" s="26" t="n">
        <f aca="false">IF(A882="","",IF(COUNTIFS($C$2:$C$5001,C882,$J$2:$J$5001,J882,$A$2:$A$5001,"&lt;"&amp;A882)=0,1,0))</f>
        <v>0</v>
      </c>
    </row>
    <row r="883" customFormat="false" ht="15" hidden="false" customHeight="false" outlineLevel="0" collapsed="false">
      <c r="A883" s="23" t="n">
        <v>45906.9201388889</v>
      </c>
      <c r="B883" s="24" t="s">
        <v>763</v>
      </c>
      <c r="C883" s="24" t="s">
        <v>423</v>
      </c>
      <c r="D883" s="24" t="s">
        <v>53</v>
      </c>
      <c r="E883" s="24" t="n">
        <v>288</v>
      </c>
      <c r="F883" s="25" t="n">
        <v>5000</v>
      </c>
      <c r="G883" s="24" t="s">
        <v>69</v>
      </c>
      <c r="H883" s="24" t="s">
        <v>60</v>
      </c>
      <c r="I883" s="24" t="s">
        <v>61</v>
      </c>
      <c r="J883" s="26" t="n">
        <f aca="false">IF(A883="","",YEAR(A883))</f>
        <v>2025</v>
      </c>
      <c r="K883" s="26" t="n">
        <f aca="false">IF(A883="","",MONTH(A883))</f>
        <v>9</v>
      </c>
      <c r="L883" s="26" t="n">
        <f aca="false">IF(B883="","",VALUE(LEFT(B883,2)))</f>
        <v>17</v>
      </c>
      <c r="M883" s="26" t="n">
        <f aca="false">IF(A883="","",IF(COUNTIFS($C$2:$C$5001,C883,$J$2:$J$5001,J883,$A$2:$A$5001,"&lt;"&amp;A883)=0,1,0))</f>
        <v>0</v>
      </c>
    </row>
    <row r="884" customFormat="false" ht="15" hidden="false" customHeight="false" outlineLevel="0" collapsed="false">
      <c r="A884" s="23" t="n">
        <v>45906.9326388889</v>
      </c>
      <c r="B884" s="24" t="s">
        <v>764</v>
      </c>
      <c r="C884" s="24" t="s">
        <v>231</v>
      </c>
      <c r="D884" s="24" t="s">
        <v>66</v>
      </c>
      <c r="E884" s="24" t="n">
        <v>131</v>
      </c>
      <c r="F884" s="25" t="n">
        <v>4250</v>
      </c>
      <c r="G884" s="24" t="s">
        <v>83</v>
      </c>
      <c r="H884" s="24" t="s">
        <v>55</v>
      </c>
      <c r="I884" s="24" t="s">
        <v>113</v>
      </c>
      <c r="J884" s="26" t="n">
        <f aca="false">IF(A884="","",YEAR(A884))</f>
        <v>2025</v>
      </c>
      <c r="K884" s="26" t="n">
        <f aca="false">IF(A884="","",MONTH(A884))</f>
        <v>9</v>
      </c>
      <c r="L884" s="26" t="n">
        <f aca="false">IF(B884="","",VALUE(LEFT(B884,2)))</f>
        <v>20</v>
      </c>
      <c r="M884" s="26" t="n">
        <f aca="false">IF(A884="","",IF(COUNTIFS($C$2:$C$5001,C884,$J$2:$J$5001,J884,$A$2:$A$5001,"&lt;"&amp;A884)=0,1,0))</f>
        <v>0</v>
      </c>
    </row>
    <row r="885" customFormat="false" ht="15" hidden="false" customHeight="false" outlineLevel="0" collapsed="false">
      <c r="A885" s="23" t="n">
        <v>45906.9777777778</v>
      </c>
      <c r="B885" s="24" t="s">
        <v>765</v>
      </c>
      <c r="C885" s="24" t="s">
        <v>188</v>
      </c>
      <c r="D885" s="24" t="s">
        <v>72</v>
      </c>
      <c r="E885" s="24" t="n">
        <v>218</v>
      </c>
      <c r="F885" s="25" t="n">
        <v>16000</v>
      </c>
      <c r="G885" s="24" t="s">
        <v>59</v>
      </c>
      <c r="H885" s="24" t="s">
        <v>60</v>
      </c>
      <c r="I885" s="24" t="s">
        <v>61</v>
      </c>
      <c r="J885" s="26" t="n">
        <f aca="false">IF(A885="","",YEAR(A885))</f>
        <v>2025</v>
      </c>
      <c r="K885" s="26" t="n">
        <f aca="false">IF(A885="","",MONTH(A885))</f>
        <v>9</v>
      </c>
      <c r="L885" s="26" t="n">
        <f aca="false">IF(B885="","",VALUE(LEFT(B885,2)))</f>
        <v>19</v>
      </c>
      <c r="M885" s="26" t="n">
        <f aca="false">IF(A885="","",IF(COUNTIFS($C$2:$C$5001,C885,$J$2:$J$5001,J885,$A$2:$A$5001,"&lt;"&amp;A885)=0,1,0))</f>
        <v>0</v>
      </c>
    </row>
    <row r="886" customFormat="false" ht="15" hidden="false" customHeight="false" outlineLevel="0" collapsed="false">
      <c r="A886" s="23" t="n">
        <v>45907.3611111111</v>
      </c>
      <c r="B886" s="24" t="s">
        <v>485</v>
      </c>
      <c r="C886" s="24" t="s">
        <v>240</v>
      </c>
      <c r="D886" s="24" t="s">
        <v>66</v>
      </c>
      <c r="E886" s="24" t="n">
        <v>86</v>
      </c>
      <c r="F886" s="25" t="n">
        <v>3000</v>
      </c>
      <c r="G886" s="24" t="s">
        <v>69</v>
      </c>
      <c r="H886" s="24" t="s">
        <v>80</v>
      </c>
      <c r="I886" s="24" t="s">
        <v>61</v>
      </c>
      <c r="J886" s="26" t="n">
        <f aca="false">IF(A886="","",YEAR(A886))</f>
        <v>2025</v>
      </c>
      <c r="K886" s="26" t="n">
        <f aca="false">IF(A886="","",MONTH(A886))</f>
        <v>9</v>
      </c>
      <c r="L886" s="26" t="n">
        <f aca="false">IF(B886="","",VALUE(LEFT(B886,2)))</f>
        <v>7</v>
      </c>
      <c r="M886" s="26" t="n">
        <f aca="false">IF(A886="","",IF(COUNTIFS($C$2:$C$5001,C886,$J$2:$J$5001,J886,$A$2:$A$5001,"&lt;"&amp;A886)=0,1,0))</f>
        <v>0</v>
      </c>
    </row>
    <row r="887" customFormat="false" ht="15" hidden="false" customHeight="false" outlineLevel="0" collapsed="false">
      <c r="A887" s="23" t="n">
        <v>45907.3930555556</v>
      </c>
      <c r="B887" s="24" t="s">
        <v>242</v>
      </c>
      <c r="C887" s="24" t="s">
        <v>71</v>
      </c>
      <c r="D887" s="24" t="s">
        <v>66</v>
      </c>
      <c r="E887" s="24" t="n">
        <v>163</v>
      </c>
      <c r="F887" s="25" t="n">
        <v>6000</v>
      </c>
      <c r="G887" s="24" t="s">
        <v>69</v>
      </c>
      <c r="H887" s="24" t="s">
        <v>80</v>
      </c>
      <c r="I887" s="24" t="s">
        <v>61</v>
      </c>
      <c r="J887" s="26" t="n">
        <f aca="false">IF(A887="","",YEAR(A887))</f>
        <v>2025</v>
      </c>
      <c r="K887" s="26" t="n">
        <f aca="false">IF(A887="","",MONTH(A887))</f>
        <v>9</v>
      </c>
      <c r="L887" s="26" t="n">
        <f aca="false">IF(B887="","",VALUE(LEFT(B887,2)))</f>
        <v>6</v>
      </c>
      <c r="M887" s="26" t="n">
        <f aca="false">IF(A887="","",IF(COUNTIFS($C$2:$C$5001,C887,$J$2:$J$5001,J887,$A$2:$A$5001,"&lt;"&amp;A887)=0,1,0))</f>
        <v>0</v>
      </c>
    </row>
    <row r="888" customFormat="false" ht="15" hidden="false" customHeight="false" outlineLevel="0" collapsed="false">
      <c r="A888" s="23" t="n">
        <v>45907.5194444444</v>
      </c>
      <c r="B888" s="24" t="s">
        <v>356</v>
      </c>
      <c r="C888" s="24" t="s">
        <v>160</v>
      </c>
      <c r="D888" s="24" t="s">
        <v>53</v>
      </c>
      <c r="E888" s="24" t="n">
        <v>277</v>
      </c>
      <c r="F888" s="25" t="n">
        <v>5000</v>
      </c>
      <c r="G888" s="24" t="s">
        <v>59</v>
      </c>
      <c r="H888" s="24" t="s">
        <v>55</v>
      </c>
      <c r="I888" s="24" t="s">
        <v>61</v>
      </c>
      <c r="J888" s="26" t="n">
        <f aca="false">IF(A888="","",YEAR(A888))</f>
        <v>2025</v>
      </c>
      <c r="K888" s="26" t="n">
        <f aca="false">IF(A888="","",MONTH(A888))</f>
        <v>9</v>
      </c>
      <c r="L888" s="26" t="n">
        <f aca="false">IF(B888="","",VALUE(LEFT(B888,2)))</f>
        <v>7</v>
      </c>
      <c r="M888" s="26" t="n">
        <f aca="false">IF(A888="","",IF(COUNTIFS($C$2:$C$5001,C888,$J$2:$J$5001,J888,$A$2:$A$5001,"&lt;"&amp;A888)=0,1,0))</f>
        <v>0</v>
      </c>
    </row>
    <row r="889" customFormat="false" ht="15" hidden="false" customHeight="false" outlineLevel="0" collapsed="false">
      <c r="A889" s="23" t="n">
        <v>45907.6131944444</v>
      </c>
      <c r="B889" s="24" t="s">
        <v>483</v>
      </c>
      <c r="C889" s="24" t="s">
        <v>609</v>
      </c>
      <c r="D889" s="24" t="s">
        <v>127</v>
      </c>
      <c r="E889" s="24" t="n">
        <v>22</v>
      </c>
      <c r="F889" s="25" t="n">
        <v>1750</v>
      </c>
      <c r="G889" s="24" t="s">
        <v>59</v>
      </c>
      <c r="H889" s="24" t="s">
        <v>60</v>
      </c>
      <c r="I889" s="24" t="s">
        <v>61</v>
      </c>
      <c r="J889" s="26" t="n">
        <f aca="false">IF(A889="","",YEAR(A889))</f>
        <v>2025</v>
      </c>
      <c r="K889" s="26" t="n">
        <f aca="false">IF(A889="","",MONTH(A889))</f>
        <v>9</v>
      </c>
      <c r="L889" s="26" t="n">
        <f aca="false">IF(B889="","",VALUE(LEFT(B889,2)))</f>
        <v>14</v>
      </c>
      <c r="M889" s="26" t="n">
        <f aca="false">IF(A889="","",IF(COUNTIFS($C$2:$C$5001,C889,$J$2:$J$5001,J889,$A$2:$A$5001,"&lt;"&amp;A889)=0,1,0))</f>
        <v>0</v>
      </c>
    </row>
    <row r="890" customFormat="false" ht="15" hidden="false" customHeight="false" outlineLevel="0" collapsed="false">
      <c r="A890" s="23" t="n">
        <v>45907.6493055556</v>
      </c>
      <c r="B890" s="24" t="s">
        <v>766</v>
      </c>
      <c r="C890" s="24" t="s">
        <v>85</v>
      </c>
      <c r="D890" s="24" t="s">
        <v>66</v>
      </c>
      <c r="E890" s="24" t="n">
        <v>111</v>
      </c>
      <c r="F890" s="25" t="n">
        <v>4000</v>
      </c>
      <c r="G890" s="24" t="s">
        <v>59</v>
      </c>
      <c r="H890" s="24" t="s">
        <v>60</v>
      </c>
      <c r="I890" s="24" t="s">
        <v>61</v>
      </c>
      <c r="J890" s="26" t="n">
        <f aca="false">IF(A890="","",YEAR(A890))</f>
        <v>2025</v>
      </c>
      <c r="K890" s="26" t="n">
        <f aca="false">IF(A890="","",MONTH(A890))</f>
        <v>9</v>
      </c>
      <c r="L890" s="26" t="n">
        <f aca="false">IF(B890="","",VALUE(LEFT(B890,2)))</f>
        <v>13</v>
      </c>
      <c r="M890" s="26" t="n">
        <f aca="false">IF(A890="","",IF(COUNTIFS($C$2:$C$5001,C890,$J$2:$J$5001,J890,$A$2:$A$5001,"&lt;"&amp;A890)=0,1,0))</f>
        <v>0</v>
      </c>
    </row>
    <row r="891" customFormat="false" ht="15" hidden="false" customHeight="false" outlineLevel="0" collapsed="false">
      <c r="A891" s="23" t="n">
        <v>45907.7486111111</v>
      </c>
      <c r="B891" s="24" t="s">
        <v>731</v>
      </c>
      <c r="C891" s="24" t="s">
        <v>222</v>
      </c>
      <c r="D891" s="24" t="s">
        <v>66</v>
      </c>
      <c r="E891" s="24" t="n">
        <v>164</v>
      </c>
      <c r="F891" s="25" t="n">
        <v>6000</v>
      </c>
      <c r="G891" s="24" t="s">
        <v>79</v>
      </c>
      <c r="H891" s="24" t="s">
        <v>80</v>
      </c>
      <c r="I891" s="24" t="s">
        <v>61</v>
      </c>
      <c r="J891" s="26" t="n">
        <f aca="false">IF(A891="","",YEAR(A891))</f>
        <v>2025</v>
      </c>
      <c r="K891" s="26" t="n">
        <f aca="false">IF(A891="","",MONTH(A891))</f>
        <v>9</v>
      </c>
      <c r="L891" s="26" t="n">
        <f aca="false">IF(B891="","",VALUE(LEFT(B891,2)))</f>
        <v>15</v>
      </c>
      <c r="M891" s="26" t="n">
        <f aca="false">IF(A891="","",IF(COUNTIFS($C$2:$C$5001,C891,$J$2:$J$5001,J891,$A$2:$A$5001,"&lt;"&amp;A891)=0,1,0))</f>
        <v>0</v>
      </c>
    </row>
    <row r="892" customFormat="false" ht="15" hidden="false" customHeight="false" outlineLevel="0" collapsed="false">
      <c r="A892" s="23" t="n">
        <v>45907.9375</v>
      </c>
      <c r="B892" s="24" t="s">
        <v>185</v>
      </c>
      <c r="C892" s="24" t="s">
        <v>112</v>
      </c>
      <c r="D892" s="24" t="s">
        <v>66</v>
      </c>
      <c r="E892" s="24" t="n">
        <v>386</v>
      </c>
      <c r="F892" s="25" t="n">
        <v>13000</v>
      </c>
      <c r="G892" s="24" t="s">
        <v>69</v>
      </c>
      <c r="H892" s="24" t="s">
        <v>80</v>
      </c>
      <c r="I892" s="24" t="s">
        <v>61</v>
      </c>
      <c r="J892" s="26" t="n">
        <f aca="false">IF(A892="","",YEAR(A892))</f>
        <v>2025</v>
      </c>
      <c r="K892" s="26" t="n">
        <f aca="false">IF(A892="","",MONTH(A892))</f>
        <v>9</v>
      </c>
      <c r="L892" s="26" t="n">
        <f aca="false">IF(B892="","",VALUE(LEFT(B892,2)))</f>
        <v>16</v>
      </c>
      <c r="M892" s="26" t="n">
        <f aca="false">IF(A892="","",IF(COUNTIFS($C$2:$C$5001,C892,$J$2:$J$5001,J892,$A$2:$A$5001,"&lt;"&amp;A892)=0,1,0))</f>
        <v>0</v>
      </c>
    </row>
    <row r="893" customFormat="false" ht="15" hidden="false" customHeight="false" outlineLevel="0" collapsed="false">
      <c r="A893" s="23" t="n">
        <v>45907.9583333333</v>
      </c>
      <c r="B893" s="24" t="s">
        <v>767</v>
      </c>
      <c r="C893" s="24" t="s">
        <v>737</v>
      </c>
      <c r="D893" s="24" t="s">
        <v>66</v>
      </c>
      <c r="E893" s="24" t="n">
        <v>344</v>
      </c>
      <c r="F893" s="25" t="n">
        <v>12000</v>
      </c>
      <c r="G893" s="24" t="s">
        <v>59</v>
      </c>
      <c r="H893" s="24" t="s">
        <v>80</v>
      </c>
      <c r="I893" s="24" t="s">
        <v>61</v>
      </c>
      <c r="J893" s="26" t="n">
        <f aca="false">IF(A893="","",YEAR(A893))</f>
        <v>2025</v>
      </c>
      <c r="K893" s="26" t="n">
        <f aca="false">IF(A893="","",MONTH(A893))</f>
        <v>9</v>
      </c>
      <c r="L893" s="26" t="n">
        <f aca="false">IF(B893="","",VALUE(LEFT(B893,2)))</f>
        <v>17</v>
      </c>
      <c r="M893" s="26" t="n">
        <f aca="false">IF(A893="","",IF(COUNTIFS($C$2:$C$5001,C893,$J$2:$J$5001,J893,$A$2:$A$5001,"&lt;"&amp;A893)=0,1,0))</f>
        <v>0</v>
      </c>
    </row>
    <row r="894" customFormat="false" ht="15" hidden="false" customHeight="false" outlineLevel="0" collapsed="false">
      <c r="A894" s="23" t="n">
        <v>45908.2770833333</v>
      </c>
      <c r="B894" s="24" t="s">
        <v>768</v>
      </c>
      <c r="C894" s="24" t="s">
        <v>289</v>
      </c>
      <c r="D894" s="24" t="s">
        <v>66</v>
      </c>
      <c r="E894" s="24" t="n">
        <v>21</v>
      </c>
      <c r="F894" s="25" t="n">
        <v>1000</v>
      </c>
      <c r="G894" s="24" t="s">
        <v>59</v>
      </c>
      <c r="H894" s="24" t="s">
        <v>80</v>
      </c>
      <c r="I894" s="24" t="s">
        <v>61</v>
      </c>
      <c r="J894" s="26" t="n">
        <f aca="false">IF(A894="","",YEAR(A894))</f>
        <v>2025</v>
      </c>
      <c r="K894" s="26" t="n">
        <f aca="false">IF(A894="","",MONTH(A894))</f>
        <v>9</v>
      </c>
      <c r="L894" s="26" t="n">
        <f aca="false">IF(B894="","",VALUE(LEFT(B894,2)))</f>
        <v>6</v>
      </c>
      <c r="M894" s="26" t="n">
        <f aca="false">IF(A894="","",IF(COUNTIFS($C$2:$C$5001,C894,$J$2:$J$5001,J894,$A$2:$A$5001,"&lt;"&amp;A894)=0,1,0))</f>
        <v>0</v>
      </c>
    </row>
    <row r="895" customFormat="false" ht="15" hidden="false" customHeight="false" outlineLevel="0" collapsed="false">
      <c r="A895" s="23" t="n">
        <v>45908.4965277778</v>
      </c>
      <c r="B895" s="24" t="s">
        <v>239</v>
      </c>
      <c r="C895" s="24" t="s">
        <v>92</v>
      </c>
      <c r="D895" s="24" t="s">
        <v>88</v>
      </c>
      <c r="E895" s="24" t="n">
        <v>216</v>
      </c>
      <c r="F895" s="25" t="n">
        <v>12000</v>
      </c>
      <c r="G895" s="24" t="s">
        <v>83</v>
      </c>
      <c r="H895" s="24" t="s">
        <v>55</v>
      </c>
      <c r="I895" s="24" t="s">
        <v>61</v>
      </c>
      <c r="J895" s="26" t="n">
        <f aca="false">IF(A895="","",YEAR(A895))</f>
        <v>2025</v>
      </c>
      <c r="K895" s="26" t="n">
        <f aca="false">IF(A895="","",MONTH(A895))</f>
        <v>9</v>
      </c>
      <c r="L895" s="26" t="n">
        <f aca="false">IF(B895="","",VALUE(LEFT(B895,2)))</f>
        <v>8</v>
      </c>
      <c r="M895" s="26" t="n">
        <f aca="false">IF(A895="","",IF(COUNTIFS($C$2:$C$5001,C895,$J$2:$J$5001,J895,$A$2:$A$5001,"&lt;"&amp;A895)=0,1,0))</f>
        <v>0</v>
      </c>
    </row>
    <row r="896" customFormat="false" ht="15" hidden="false" customHeight="false" outlineLevel="0" collapsed="false">
      <c r="A896" s="23" t="n">
        <v>45908.5673611111</v>
      </c>
      <c r="B896" s="24" t="s">
        <v>178</v>
      </c>
      <c r="C896" s="24" t="s">
        <v>164</v>
      </c>
      <c r="D896" s="24" t="s">
        <v>66</v>
      </c>
      <c r="E896" s="24" t="n">
        <v>246</v>
      </c>
      <c r="F896" s="25" t="n">
        <v>9000</v>
      </c>
      <c r="G896" s="24" t="s">
        <v>59</v>
      </c>
      <c r="H896" s="24" t="s">
        <v>80</v>
      </c>
      <c r="I896" s="24" t="s">
        <v>61</v>
      </c>
      <c r="J896" s="26" t="n">
        <f aca="false">IF(A896="","",YEAR(A896))</f>
        <v>2025</v>
      </c>
      <c r="K896" s="26" t="n">
        <f aca="false">IF(A896="","",MONTH(A896))</f>
        <v>9</v>
      </c>
      <c r="L896" s="26" t="n">
        <f aca="false">IF(B896="","",VALUE(LEFT(B896,2)))</f>
        <v>9</v>
      </c>
      <c r="M896" s="26" t="n">
        <f aca="false">IF(A896="","",IF(COUNTIFS($C$2:$C$5001,C896,$J$2:$J$5001,J896,$A$2:$A$5001,"&lt;"&amp;A896)=0,1,0))</f>
        <v>0</v>
      </c>
    </row>
    <row r="897" customFormat="false" ht="15" hidden="false" customHeight="false" outlineLevel="0" collapsed="false">
      <c r="A897" s="23" t="n">
        <v>45908.6020833333</v>
      </c>
      <c r="B897" s="24" t="s">
        <v>769</v>
      </c>
      <c r="C897" s="24" t="s">
        <v>391</v>
      </c>
      <c r="D897" s="24" t="s">
        <v>66</v>
      </c>
      <c r="E897" s="24" t="n">
        <v>51</v>
      </c>
      <c r="F897" s="25" t="n">
        <v>2000</v>
      </c>
      <c r="G897" s="24" t="s">
        <v>59</v>
      </c>
      <c r="H897" s="24" t="s">
        <v>60</v>
      </c>
      <c r="I897" s="24" t="s">
        <v>61</v>
      </c>
      <c r="J897" s="26" t="n">
        <f aca="false">IF(A897="","",YEAR(A897))</f>
        <v>2025</v>
      </c>
      <c r="K897" s="26" t="n">
        <f aca="false">IF(A897="","",MONTH(A897))</f>
        <v>9</v>
      </c>
      <c r="L897" s="26" t="n">
        <f aca="false">IF(B897="","",VALUE(LEFT(B897,2)))</f>
        <v>13</v>
      </c>
      <c r="M897" s="26" t="n">
        <f aca="false">IF(A897="","",IF(COUNTIFS($C$2:$C$5001,C897,$J$2:$J$5001,J897,$A$2:$A$5001,"&lt;"&amp;A897)=0,1,0))</f>
        <v>0</v>
      </c>
    </row>
    <row r="898" customFormat="false" ht="15" hidden="false" customHeight="false" outlineLevel="0" collapsed="false">
      <c r="A898" s="23" t="n">
        <v>45908.6798611111</v>
      </c>
      <c r="B898" s="24" t="s">
        <v>770</v>
      </c>
      <c r="C898" s="24" t="s">
        <v>192</v>
      </c>
      <c r="D898" s="24" t="s">
        <v>66</v>
      </c>
      <c r="E898" s="24" t="n">
        <v>225</v>
      </c>
      <c r="F898" s="25" t="n">
        <v>0</v>
      </c>
      <c r="G898" s="24" t="s">
        <v>59</v>
      </c>
      <c r="H898" s="24" t="s">
        <v>80</v>
      </c>
      <c r="I898" s="24" t="s">
        <v>56</v>
      </c>
      <c r="J898" s="26" t="n">
        <f aca="false">IF(A898="","",YEAR(A898))</f>
        <v>2025</v>
      </c>
      <c r="K898" s="26" t="n">
        <f aca="false">IF(A898="","",MONTH(A898))</f>
        <v>9</v>
      </c>
      <c r="L898" s="26" t="n">
        <f aca="false">IF(B898="","",VALUE(LEFT(B898,2)))</f>
        <v>12</v>
      </c>
      <c r="M898" s="26" t="n">
        <f aca="false">IF(A898="","",IF(COUNTIFS($C$2:$C$5001,C898,$J$2:$J$5001,J898,$A$2:$A$5001,"&lt;"&amp;A898)=0,1,0))</f>
        <v>0</v>
      </c>
    </row>
    <row r="899" customFormat="false" ht="15" hidden="false" customHeight="false" outlineLevel="0" collapsed="false">
      <c r="A899" s="23" t="n">
        <v>45908.7708333333</v>
      </c>
      <c r="B899" s="24" t="s">
        <v>771</v>
      </c>
      <c r="C899" s="24" t="s">
        <v>271</v>
      </c>
      <c r="D899" s="24" t="s">
        <v>88</v>
      </c>
      <c r="E899" s="24" t="n">
        <v>202</v>
      </c>
      <c r="F899" s="25" t="n">
        <v>10500</v>
      </c>
      <c r="G899" s="24" t="s">
        <v>79</v>
      </c>
      <c r="H899" s="24" t="s">
        <v>80</v>
      </c>
      <c r="I899" s="24" t="s">
        <v>61</v>
      </c>
      <c r="J899" s="26" t="n">
        <f aca="false">IF(A899="","",YEAR(A899))</f>
        <v>2025</v>
      </c>
      <c r="K899" s="26" t="n">
        <f aca="false">IF(A899="","",MONTH(A899))</f>
        <v>9</v>
      </c>
      <c r="L899" s="26" t="n">
        <f aca="false">IF(B899="","",VALUE(LEFT(B899,2)))</f>
        <v>15</v>
      </c>
      <c r="M899" s="26" t="n">
        <f aca="false">IF(A899="","",IF(COUNTIFS($C$2:$C$5001,C899,$J$2:$J$5001,J899,$A$2:$A$5001,"&lt;"&amp;A899)=0,1,0))</f>
        <v>0</v>
      </c>
    </row>
    <row r="900" customFormat="false" ht="15" hidden="false" customHeight="false" outlineLevel="0" collapsed="false">
      <c r="A900" s="23" t="n">
        <v>45908.8388888889</v>
      </c>
      <c r="B900" s="24" t="s">
        <v>772</v>
      </c>
      <c r="C900" s="24" t="s">
        <v>306</v>
      </c>
      <c r="D900" s="24" t="s">
        <v>53</v>
      </c>
      <c r="E900" s="24" t="n">
        <v>413</v>
      </c>
      <c r="F900" s="25" t="n">
        <v>7000</v>
      </c>
      <c r="G900" s="24" t="s">
        <v>59</v>
      </c>
      <c r="H900" s="24" t="s">
        <v>55</v>
      </c>
      <c r="I900" s="24" t="s">
        <v>61</v>
      </c>
      <c r="J900" s="26" t="n">
        <f aca="false">IF(A900="","",YEAR(A900))</f>
        <v>2025</v>
      </c>
      <c r="K900" s="26" t="n">
        <f aca="false">IF(A900="","",MONTH(A900))</f>
        <v>9</v>
      </c>
      <c r="L900" s="26" t="n">
        <f aca="false">IF(B900="","",VALUE(LEFT(B900,2)))</f>
        <v>13</v>
      </c>
      <c r="M900" s="26" t="n">
        <f aca="false">IF(A900="","",IF(COUNTIFS($C$2:$C$5001,C900,$J$2:$J$5001,J900,$A$2:$A$5001,"&lt;"&amp;A900)=0,1,0))</f>
        <v>0</v>
      </c>
    </row>
    <row r="901" customFormat="false" ht="15" hidden="false" customHeight="false" outlineLevel="0" collapsed="false">
      <c r="A901" s="23" t="n">
        <v>45908.9694444445</v>
      </c>
      <c r="B901" s="24" t="s">
        <v>234</v>
      </c>
      <c r="C901" s="24" t="s">
        <v>482</v>
      </c>
      <c r="D901" s="24" t="s">
        <v>53</v>
      </c>
      <c r="E901" s="24" t="n">
        <v>168</v>
      </c>
      <c r="F901" s="25" t="n">
        <v>3000</v>
      </c>
      <c r="G901" s="24" t="s">
        <v>59</v>
      </c>
      <c r="H901" s="24" t="s">
        <v>55</v>
      </c>
      <c r="I901" s="24" t="s">
        <v>61</v>
      </c>
      <c r="J901" s="26" t="n">
        <f aca="false">IF(A901="","",YEAR(A901))</f>
        <v>2025</v>
      </c>
      <c r="K901" s="26" t="n">
        <f aca="false">IF(A901="","",MONTH(A901))</f>
        <v>9</v>
      </c>
      <c r="L901" s="26" t="n">
        <f aca="false">IF(B901="","",VALUE(LEFT(B901,2)))</f>
        <v>20</v>
      </c>
      <c r="M901" s="26" t="n">
        <f aca="false">IF(A901="","",IF(COUNTIFS($C$2:$C$5001,C901,$J$2:$J$5001,J901,$A$2:$A$5001,"&lt;"&amp;A901)=0,1,0))</f>
        <v>0</v>
      </c>
    </row>
    <row r="902" customFormat="false" ht="15" hidden="false" customHeight="false" outlineLevel="0" collapsed="false">
      <c r="A902" s="23" t="n">
        <v>45910.7881944445</v>
      </c>
      <c r="B902" s="24" t="s">
        <v>710</v>
      </c>
      <c r="C902" s="24" t="s">
        <v>102</v>
      </c>
      <c r="D902" s="24" t="s">
        <v>66</v>
      </c>
      <c r="E902" s="24" t="n">
        <v>303</v>
      </c>
      <c r="F902" s="25" t="n">
        <v>11000</v>
      </c>
      <c r="G902" s="24" t="s">
        <v>59</v>
      </c>
      <c r="H902" s="24" t="s">
        <v>55</v>
      </c>
      <c r="I902" s="24" t="s">
        <v>61</v>
      </c>
      <c r="J902" s="26" t="n">
        <f aca="false">IF(A902="","",YEAR(A902))</f>
        <v>2025</v>
      </c>
      <c r="K902" s="26" t="n">
        <f aca="false">IF(A902="","",MONTH(A902))</f>
        <v>9</v>
      </c>
      <c r="L902" s="26" t="n">
        <f aca="false">IF(B902="","",VALUE(LEFT(B902,2)))</f>
        <v>13</v>
      </c>
      <c r="M902" s="26" t="n">
        <f aca="false">IF(A902="","",IF(COUNTIFS($C$2:$C$5001,C902,$J$2:$J$5001,J902,$A$2:$A$5001,"&lt;"&amp;A902)=0,1,0))</f>
        <v>0</v>
      </c>
    </row>
    <row r="903" customFormat="false" ht="15" hidden="false" customHeight="false" outlineLevel="0" collapsed="false">
      <c r="A903" s="23" t="n">
        <v>45911.4472222222</v>
      </c>
      <c r="B903" s="24" t="s">
        <v>604</v>
      </c>
      <c r="C903" s="24" t="s">
        <v>63</v>
      </c>
      <c r="D903" s="24" t="s">
        <v>53</v>
      </c>
      <c r="E903" s="24" t="n">
        <v>154</v>
      </c>
      <c r="F903" s="25" t="n">
        <v>3000</v>
      </c>
      <c r="G903" s="24" t="s">
        <v>79</v>
      </c>
      <c r="H903" s="24" t="s">
        <v>55</v>
      </c>
      <c r="I903" s="24" t="s">
        <v>61</v>
      </c>
      <c r="J903" s="26" t="n">
        <f aca="false">IF(A903="","",YEAR(A903))</f>
        <v>2025</v>
      </c>
      <c r="K903" s="26" t="n">
        <f aca="false">IF(A903="","",MONTH(A903))</f>
        <v>9</v>
      </c>
      <c r="L903" s="26" t="n">
        <f aca="false">IF(B903="","",VALUE(LEFT(B903,2)))</f>
        <v>8</v>
      </c>
      <c r="M903" s="26" t="n">
        <f aca="false">IF(A903="","",IF(COUNTIFS($C$2:$C$5001,C903,$J$2:$J$5001,J903,$A$2:$A$5001,"&lt;"&amp;A903)=0,1,0))</f>
        <v>0</v>
      </c>
    </row>
    <row r="904" customFormat="false" ht="15" hidden="false" customHeight="false" outlineLevel="0" collapsed="false">
      <c r="A904" s="23" t="n">
        <v>45911.4548611111</v>
      </c>
      <c r="B904" s="24" t="s">
        <v>773</v>
      </c>
      <c r="C904" s="24" t="s">
        <v>222</v>
      </c>
      <c r="D904" s="24" t="s">
        <v>66</v>
      </c>
      <c r="E904" s="24" t="n">
        <v>261</v>
      </c>
      <c r="F904" s="25" t="n">
        <v>7650</v>
      </c>
      <c r="G904" s="24" t="s">
        <v>54</v>
      </c>
      <c r="H904" s="24" t="s">
        <v>60</v>
      </c>
      <c r="I904" s="24" t="s">
        <v>113</v>
      </c>
      <c r="J904" s="26" t="n">
        <f aca="false">IF(A904="","",YEAR(A904))</f>
        <v>2025</v>
      </c>
      <c r="K904" s="26" t="n">
        <f aca="false">IF(A904="","",MONTH(A904))</f>
        <v>9</v>
      </c>
      <c r="L904" s="26" t="n">
        <f aca="false">IF(B904="","",VALUE(LEFT(B904,2)))</f>
        <v>6</v>
      </c>
      <c r="M904" s="26" t="n">
        <f aca="false">IF(A904="","",IF(COUNTIFS($C$2:$C$5001,C904,$J$2:$J$5001,J904,$A$2:$A$5001,"&lt;"&amp;A904)=0,1,0))</f>
        <v>0</v>
      </c>
    </row>
    <row r="905" customFormat="false" ht="15" hidden="false" customHeight="false" outlineLevel="0" collapsed="false">
      <c r="A905" s="23" t="n">
        <v>45911.4861111111</v>
      </c>
      <c r="B905" s="24" t="s">
        <v>774</v>
      </c>
      <c r="C905" s="24" t="s">
        <v>188</v>
      </c>
      <c r="D905" s="24" t="s">
        <v>53</v>
      </c>
      <c r="E905" s="24" t="n">
        <v>154</v>
      </c>
      <c r="F905" s="25" t="n">
        <v>0</v>
      </c>
      <c r="G905" s="24" t="s">
        <v>54</v>
      </c>
      <c r="H905" s="24" t="s">
        <v>60</v>
      </c>
      <c r="I905" s="24" t="s">
        <v>56</v>
      </c>
      <c r="J905" s="26" t="n">
        <f aca="false">IF(A905="","",YEAR(A905))</f>
        <v>2025</v>
      </c>
      <c r="K905" s="26" t="n">
        <f aca="false">IF(A905="","",MONTH(A905))</f>
        <v>9</v>
      </c>
      <c r="L905" s="26" t="n">
        <f aca="false">IF(B905="","",VALUE(LEFT(B905,2)))</f>
        <v>9</v>
      </c>
      <c r="M905" s="26" t="n">
        <f aca="false">IF(A905="","",IF(COUNTIFS($C$2:$C$5001,C905,$J$2:$J$5001,J905,$A$2:$A$5001,"&lt;"&amp;A905)=0,1,0))</f>
        <v>0</v>
      </c>
    </row>
    <row r="906" customFormat="false" ht="15" hidden="false" customHeight="false" outlineLevel="0" collapsed="false">
      <c r="A906" s="23" t="n">
        <v>45911.525</v>
      </c>
      <c r="B906" s="24" t="s">
        <v>422</v>
      </c>
      <c r="C906" s="24" t="s">
        <v>544</v>
      </c>
      <c r="D906" s="24" t="s">
        <v>66</v>
      </c>
      <c r="E906" s="24" t="n">
        <v>40</v>
      </c>
      <c r="F906" s="25" t="n">
        <v>1700</v>
      </c>
      <c r="G906" s="24" t="s">
        <v>69</v>
      </c>
      <c r="H906" s="24" t="s">
        <v>80</v>
      </c>
      <c r="I906" s="24" t="s">
        <v>113</v>
      </c>
      <c r="J906" s="26" t="n">
        <f aca="false">IF(A906="","",YEAR(A906))</f>
        <v>2025</v>
      </c>
      <c r="K906" s="26" t="n">
        <f aca="false">IF(A906="","",MONTH(A906))</f>
        <v>9</v>
      </c>
      <c r="L906" s="26" t="n">
        <f aca="false">IF(B906="","",VALUE(LEFT(B906,2)))</f>
        <v>11</v>
      </c>
      <c r="M906" s="26" t="n">
        <f aca="false">IF(A906="","",IF(COUNTIFS($C$2:$C$5001,C906,$J$2:$J$5001,J906,$A$2:$A$5001,"&lt;"&amp;A906)=0,1,0))</f>
        <v>0</v>
      </c>
    </row>
    <row r="907" customFormat="false" ht="15" hidden="false" customHeight="false" outlineLevel="0" collapsed="false">
      <c r="A907" s="23" t="n">
        <v>45911.6729166667</v>
      </c>
      <c r="B907" s="24" t="s">
        <v>315</v>
      </c>
      <c r="C907" s="24" t="s">
        <v>625</v>
      </c>
      <c r="D907" s="24" t="s">
        <v>66</v>
      </c>
      <c r="E907" s="24" t="n">
        <v>172</v>
      </c>
      <c r="F907" s="25" t="n">
        <v>6000</v>
      </c>
      <c r="G907" s="24" t="s">
        <v>59</v>
      </c>
      <c r="H907" s="24" t="s">
        <v>55</v>
      </c>
      <c r="I907" s="24" t="s">
        <v>61</v>
      </c>
      <c r="J907" s="26" t="n">
        <f aca="false">IF(A907="","",YEAR(A907))</f>
        <v>2025</v>
      </c>
      <c r="K907" s="26" t="n">
        <f aca="false">IF(A907="","",MONTH(A907))</f>
        <v>9</v>
      </c>
      <c r="L907" s="26" t="n">
        <f aca="false">IF(B907="","",VALUE(LEFT(B907,2)))</f>
        <v>13</v>
      </c>
      <c r="M907" s="26" t="n">
        <f aca="false">IF(A907="","",IF(COUNTIFS($C$2:$C$5001,C907,$J$2:$J$5001,J907,$A$2:$A$5001,"&lt;"&amp;A907)=0,1,0))</f>
        <v>0</v>
      </c>
    </row>
    <row r="908" customFormat="false" ht="15" hidden="false" customHeight="false" outlineLevel="0" collapsed="false">
      <c r="A908" s="23" t="n">
        <v>45911.6826388889</v>
      </c>
      <c r="B908" s="24" t="s">
        <v>383</v>
      </c>
      <c r="C908" s="24" t="s">
        <v>240</v>
      </c>
      <c r="D908" s="24" t="s">
        <v>66</v>
      </c>
      <c r="E908" s="24" t="n">
        <v>388</v>
      </c>
      <c r="F908" s="25" t="n">
        <v>13000</v>
      </c>
      <c r="G908" s="24" t="s">
        <v>59</v>
      </c>
      <c r="H908" s="24" t="s">
        <v>60</v>
      </c>
      <c r="I908" s="24" t="s">
        <v>61</v>
      </c>
      <c r="J908" s="26" t="n">
        <f aca="false">IF(A908="","",YEAR(A908))</f>
        <v>2025</v>
      </c>
      <c r="K908" s="26" t="n">
        <f aca="false">IF(A908="","",MONTH(A908))</f>
        <v>9</v>
      </c>
      <c r="L908" s="26" t="n">
        <f aca="false">IF(B908="","",VALUE(LEFT(B908,2)))</f>
        <v>9</v>
      </c>
      <c r="M908" s="26" t="n">
        <f aca="false">IF(A908="","",IF(COUNTIFS($C$2:$C$5001,C908,$J$2:$J$5001,J908,$A$2:$A$5001,"&lt;"&amp;A908)=0,1,0))</f>
        <v>0</v>
      </c>
    </row>
    <row r="909" customFormat="false" ht="15" hidden="false" customHeight="false" outlineLevel="0" collapsed="false">
      <c r="A909" s="23" t="n">
        <v>45911.7638888889</v>
      </c>
      <c r="B909" s="24" t="s">
        <v>775</v>
      </c>
      <c r="C909" s="24" t="s">
        <v>90</v>
      </c>
      <c r="D909" s="24" t="s">
        <v>66</v>
      </c>
      <c r="E909" s="24" t="n">
        <v>102</v>
      </c>
      <c r="F909" s="25" t="n">
        <v>4000</v>
      </c>
      <c r="G909" s="24" t="s">
        <v>59</v>
      </c>
      <c r="H909" s="24" t="s">
        <v>80</v>
      </c>
      <c r="I909" s="24" t="s">
        <v>61</v>
      </c>
      <c r="J909" s="26" t="n">
        <f aca="false">IF(A909="","",YEAR(A909))</f>
        <v>2025</v>
      </c>
      <c r="K909" s="26" t="n">
        <f aca="false">IF(A909="","",MONTH(A909))</f>
        <v>9</v>
      </c>
      <c r="L909" s="26" t="n">
        <f aca="false">IF(B909="","",VALUE(LEFT(B909,2)))</f>
        <v>16</v>
      </c>
      <c r="M909" s="26" t="n">
        <f aca="false">IF(A909="","",IF(COUNTIFS($C$2:$C$5001,C909,$J$2:$J$5001,J909,$A$2:$A$5001,"&lt;"&amp;A909)=0,1,0))</f>
        <v>0</v>
      </c>
    </row>
    <row r="910" customFormat="false" ht="15" hidden="false" customHeight="false" outlineLevel="0" collapsed="false">
      <c r="A910" s="23" t="n">
        <v>45911.8875</v>
      </c>
      <c r="B910" s="24" t="s">
        <v>776</v>
      </c>
      <c r="C910" s="24" t="s">
        <v>467</v>
      </c>
      <c r="D910" s="24" t="s">
        <v>66</v>
      </c>
      <c r="E910" s="24" t="n">
        <v>309</v>
      </c>
      <c r="F910" s="25" t="n">
        <v>9350</v>
      </c>
      <c r="G910" s="24" t="s">
        <v>69</v>
      </c>
      <c r="H910" s="24" t="s">
        <v>55</v>
      </c>
      <c r="I910" s="24" t="s">
        <v>113</v>
      </c>
      <c r="J910" s="26" t="n">
        <f aca="false">IF(A910="","",YEAR(A910))</f>
        <v>2025</v>
      </c>
      <c r="K910" s="26" t="n">
        <f aca="false">IF(A910="","",MONTH(A910))</f>
        <v>9</v>
      </c>
      <c r="L910" s="26" t="n">
        <f aca="false">IF(B910="","",VALUE(LEFT(B910,2)))</f>
        <v>16</v>
      </c>
      <c r="M910" s="26" t="n">
        <f aca="false">IF(A910="","",IF(COUNTIFS($C$2:$C$5001,C910,$J$2:$J$5001,J910,$A$2:$A$5001,"&lt;"&amp;A910)=0,1,0))</f>
        <v>0</v>
      </c>
    </row>
    <row r="911" customFormat="false" ht="15" hidden="false" customHeight="false" outlineLevel="0" collapsed="false">
      <c r="A911" s="23" t="n">
        <v>45911.8958333333</v>
      </c>
      <c r="B911" s="24" t="s">
        <v>777</v>
      </c>
      <c r="C911" s="24" t="s">
        <v>343</v>
      </c>
      <c r="D911" s="24" t="s">
        <v>66</v>
      </c>
      <c r="E911" s="24" t="n">
        <v>249</v>
      </c>
      <c r="F911" s="25" t="n">
        <v>9000</v>
      </c>
      <c r="G911" s="24" t="s">
        <v>59</v>
      </c>
      <c r="H911" s="24" t="s">
        <v>80</v>
      </c>
      <c r="I911" s="24" t="s">
        <v>61</v>
      </c>
      <c r="J911" s="26" t="n">
        <f aca="false">IF(A911="","",YEAR(A911))</f>
        <v>2025</v>
      </c>
      <c r="K911" s="26" t="n">
        <f aca="false">IF(A911="","",MONTH(A911))</f>
        <v>9</v>
      </c>
      <c r="L911" s="26" t="n">
        <f aca="false">IF(B911="","",VALUE(LEFT(B911,2)))</f>
        <v>17</v>
      </c>
      <c r="M911" s="26" t="n">
        <f aca="false">IF(A911="","",IF(COUNTIFS($C$2:$C$5001,C911,$J$2:$J$5001,J911,$A$2:$A$5001,"&lt;"&amp;A911)=0,1,0))</f>
        <v>0</v>
      </c>
    </row>
    <row r="912" customFormat="false" ht="15" hidden="false" customHeight="false" outlineLevel="0" collapsed="false">
      <c r="A912" s="23" t="n">
        <v>45911.9013888889</v>
      </c>
      <c r="B912" s="24" t="s">
        <v>778</v>
      </c>
      <c r="C912" s="24" t="s">
        <v>324</v>
      </c>
      <c r="D912" s="24" t="s">
        <v>66</v>
      </c>
      <c r="E912" s="24" t="n">
        <v>131</v>
      </c>
      <c r="F912" s="25" t="n">
        <v>5000</v>
      </c>
      <c r="G912" s="24" t="s">
        <v>59</v>
      </c>
      <c r="H912" s="24" t="s">
        <v>55</v>
      </c>
      <c r="I912" s="24" t="s">
        <v>61</v>
      </c>
      <c r="J912" s="26" t="n">
        <f aca="false">IF(A912="","",YEAR(A912))</f>
        <v>2025</v>
      </c>
      <c r="K912" s="26" t="n">
        <f aca="false">IF(A912="","",MONTH(A912))</f>
        <v>9</v>
      </c>
      <c r="L912" s="26" t="n">
        <f aca="false">IF(B912="","",VALUE(LEFT(B912,2)))</f>
        <v>19</v>
      </c>
      <c r="M912" s="26" t="n">
        <f aca="false">IF(A912="","",IF(COUNTIFS($C$2:$C$5001,C912,$J$2:$J$5001,J912,$A$2:$A$5001,"&lt;"&amp;A912)=0,1,0))</f>
        <v>0</v>
      </c>
    </row>
    <row r="913" customFormat="false" ht="15" hidden="false" customHeight="false" outlineLevel="0" collapsed="false">
      <c r="A913" s="23" t="n">
        <v>45912.4076388889</v>
      </c>
      <c r="B913" s="24" t="s">
        <v>64</v>
      </c>
      <c r="C913" s="24" t="s">
        <v>512</v>
      </c>
      <c r="D913" s="24" t="s">
        <v>66</v>
      </c>
      <c r="E913" s="24" t="n">
        <v>133</v>
      </c>
      <c r="F913" s="25" t="n">
        <v>5000</v>
      </c>
      <c r="G913" s="24" t="s">
        <v>59</v>
      </c>
      <c r="H913" s="24" t="s">
        <v>55</v>
      </c>
      <c r="I913" s="24" t="s">
        <v>61</v>
      </c>
      <c r="J913" s="26" t="n">
        <f aca="false">IF(A913="","",YEAR(A913))</f>
        <v>2025</v>
      </c>
      <c r="K913" s="26" t="n">
        <f aca="false">IF(A913="","",MONTH(A913))</f>
        <v>9</v>
      </c>
      <c r="L913" s="26" t="n">
        <f aca="false">IF(B913="","",VALUE(LEFT(B913,2)))</f>
        <v>7</v>
      </c>
      <c r="M913" s="26" t="n">
        <f aca="false">IF(A913="","",IF(COUNTIFS($C$2:$C$5001,C913,$J$2:$J$5001,J913,$A$2:$A$5001,"&lt;"&amp;A913)=0,1,0))</f>
        <v>0</v>
      </c>
    </row>
    <row r="914" customFormat="false" ht="15" hidden="false" customHeight="false" outlineLevel="0" collapsed="false">
      <c r="A914" s="23" t="n">
        <v>45912.4527777778</v>
      </c>
      <c r="B914" s="24" t="s">
        <v>485</v>
      </c>
      <c r="C914" s="24" t="s">
        <v>235</v>
      </c>
      <c r="D914" s="24" t="s">
        <v>66</v>
      </c>
      <c r="E914" s="24" t="n">
        <v>218</v>
      </c>
      <c r="F914" s="25" t="n">
        <v>8000</v>
      </c>
      <c r="G914" s="24" t="s">
        <v>59</v>
      </c>
      <c r="H914" s="24" t="s">
        <v>80</v>
      </c>
      <c r="I914" s="24" t="s">
        <v>61</v>
      </c>
      <c r="J914" s="26" t="n">
        <f aca="false">IF(A914="","",YEAR(A914))</f>
        <v>2025</v>
      </c>
      <c r="K914" s="26" t="n">
        <f aca="false">IF(A914="","",MONTH(A914))</f>
        <v>9</v>
      </c>
      <c r="L914" s="26" t="n">
        <f aca="false">IF(B914="","",VALUE(LEFT(B914,2)))</f>
        <v>7</v>
      </c>
      <c r="M914" s="26" t="n">
        <f aca="false">IF(A914="","",IF(COUNTIFS($C$2:$C$5001,C914,$J$2:$J$5001,J914,$A$2:$A$5001,"&lt;"&amp;A914)=0,1,0))</f>
        <v>0</v>
      </c>
    </row>
    <row r="915" customFormat="false" ht="15" hidden="false" customHeight="false" outlineLevel="0" collapsed="false">
      <c r="A915" s="23" t="n">
        <v>45912.4888888889</v>
      </c>
      <c r="B915" s="24" t="s">
        <v>103</v>
      </c>
      <c r="C915" s="24" t="s">
        <v>129</v>
      </c>
      <c r="D915" s="24" t="s">
        <v>53</v>
      </c>
      <c r="E915" s="24" t="n">
        <v>39</v>
      </c>
      <c r="F915" s="25" t="n">
        <v>1000</v>
      </c>
      <c r="G915" s="24" t="s">
        <v>79</v>
      </c>
      <c r="H915" s="24" t="s">
        <v>55</v>
      </c>
      <c r="I915" s="24" t="s">
        <v>61</v>
      </c>
      <c r="J915" s="26" t="n">
        <f aca="false">IF(A915="","",YEAR(A915))</f>
        <v>2025</v>
      </c>
      <c r="K915" s="26" t="n">
        <f aca="false">IF(A915="","",MONTH(A915))</f>
        <v>9</v>
      </c>
      <c r="L915" s="26" t="n">
        <f aca="false">IF(B915="","",VALUE(LEFT(B915,2)))</f>
        <v>11</v>
      </c>
      <c r="M915" s="26" t="n">
        <f aca="false">IF(A915="","",IF(COUNTIFS($C$2:$C$5001,C915,$J$2:$J$5001,J915,$A$2:$A$5001,"&lt;"&amp;A915)=0,1,0))</f>
        <v>0</v>
      </c>
    </row>
    <row r="916" customFormat="false" ht="15" hidden="false" customHeight="false" outlineLevel="0" collapsed="false">
      <c r="A916" s="23" t="n">
        <v>45912.5618055556</v>
      </c>
      <c r="B916" s="24" t="s">
        <v>132</v>
      </c>
      <c r="C916" s="24" t="s">
        <v>430</v>
      </c>
      <c r="D916" s="24" t="s">
        <v>66</v>
      </c>
      <c r="E916" s="24" t="n">
        <v>324</v>
      </c>
      <c r="F916" s="25" t="n">
        <v>11000</v>
      </c>
      <c r="G916" s="24" t="s">
        <v>59</v>
      </c>
      <c r="H916" s="24" t="s">
        <v>60</v>
      </c>
      <c r="I916" s="24" t="s">
        <v>61</v>
      </c>
      <c r="J916" s="26" t="n">
        <f aca="false">IF(A916="","",YEAR(A916))</f>
        <v>2025</v>
      </c>
      <c r="K916" s="26" t="n">
        <f aca="false">IF(A916="","",MONTH(A916))</f>
        <v>9</v>
      </c>
      <c r="L916" s="26" t="n">
        <f aca="false">IF(B916="","",VALUE(LEFT(B916,2)))</f>
        <v>8</v>
      </c>
      <c r="M916" s="26" t="n">
        <f aca="false">IF(A916="","",IF(COUNTIFS($C$2:$C$5001,C916,$J$2:$J$5001,J916,$A$2:$A$5001,"&lt;"&amp;A916)=0,1,0))</f>
        <v>0</v>
      </c>
    </row>
    <row r="917" customFormat="false" ht="15" hidden="false" customHeight="false" outlineLevel="0" collapsed="false">
      <c r="A917" s="23" t="n">
        <v>45912.6756944444</v>
      </c>
      <c r="B917" s="24" t="s">
        <v>477</v>
      </c>
      <c r="C917" s="24" t="s">
        <v>240</v>
      </c>
      <c r="D917" s="24" t="s">
        <v>53</v>
      </c>
      <c r="E917" s="24" t="n">
        <v>29</v>
      </c>
      <c r="F917" s="25" t="n">
        <v>500</v>
      </c>
      <c r="G917" s="24" t="s">
        <v>59</v>
      </c>
      <c r="H917" s="24" t="s">
        <v>60</v>
      </c>
      <c r="I917" s="24" t="s">
        <v>61</v>
      </c>
      <c r="J917" s="26" t="n">
        <f aca="false">IF(A917="","",YEAR(A917))</f>
        <v>2025</v>
      </c>
      <c r="K917" s="26" t="n">
        <f aca="false">IF(A917="","",MONTH(A917))</f>
        <v>9</v>
      </c>
      <c r="L917" s="26" t="n">
        <f aca="false">IF(B917="","",VALUE(LEFT(B917,2)))</f>
        <v>15</v>
      </c>
      <c r="M917" s="26" t="n">
        <f aca="false">IF(A917="","",IF(COUNTIFS($C$2:$C$5001,C917,$J$2:$J$5001,J917,$A$2:$A$5001,"&lt;"&amp;A917)=0,1,0))</f>
        <v>0</v>
      </c>
    </row>
    <row r="918" customFormat="false" ht="15" hidden="false" customHeight="false" outlineLevel="0" collapsed="false">
      <c r="A918" s="23" t="n">
        <v>45912.7180555556</v>
      </c>
      <c r="B918" s="24" t="s">
        <v>411</v>
      </c>
      <c r="C918" s="24" t="s">
        <v>306</v>
      </c>
      <c r="D918" s="24" t="s">
        <v>66</v>
      </c>
      <c r="E918" s="24" t="n">
        <v>244</v>
      </c>
      <c r="F918" s="25" t="n">
        <v>9000</v>
      </c>
      <c r="G918" s="24" t="s">
        <v>79</v>
      </c>
      <c r="H918" s="24" t="s">
        <v>55</v>
      </c>
      <c r="I918" s="24" t="s">
        <v>61</v>
      </c>
      <c r="J918" s="26" t="n">
        <f aca="false">IF(A918="","",YEAR(A918))</f>
        <v>2025</v>
      </c>
      <c r="K918" s="26" t="n">
        <f aca="false">IF(A918="","",MONTH(A918))</f>
        <v>9</v>
      </c>
      <c r="L918" s="26" t="n">
        <f aca="false">IF(B918="","",VALUE(LEFT(B918,2)))</f>
        <v>13</v>
      </c>
      <c r="M918" s="26" t="n">
        <f aca="false">IF(A918="","",IF(COUNTIFS($C$2:$C$5001,C918,$J$2:$J$5001,J918,$A$2:$A$5001,"&lt;"&amp;A918)=0,1,0))</f>
        <v>0</v>
      </c>
    </row>
    <row r="919" customFormat="false" ht="15" hidden="false" customHeight="false" outlineLevel="0" collapsed="false">
      <c r="A919" s="23" t="n">
        <v>45912.7701388889</v>
      </c>
      <c r="B919" s="24" t="s">
        <v>779</v>
      </c>
      <c r="C919" s="24" t="s">
        <v>110</v>
      </c>
      <c r="D919" s="24" t="s">
        <v>66</v>
      </c>
      <c r="E919" s="24" t="n">
        <v>271</v>
      </c>
      <c r="F919" s="25" t="n">
        <v>10000</v>
      </c>
      <c r="G919" s="24" t="s">
        <v>54</v>
      </c>
      <c r="H919" s="24" t="s">
        <v>80</v>
      </c>
      <c r="I919" s="24" t="s">
        <v>61</v>
      </c>
      <c r="J919" s="26" t="n">
        <f aca="false">IF(A919="","",YEAR(A919))</f>
        <v>2025</v>
      </c>
      <c r="K919" s="26" t="n">
        <f aca="false">IF(A919="","",MONTH(A919))</f>
        <v>9</v>
      </c>
      <c r="L919" s="26" t="n">
        <f aca="false">IF(B919="","",VALUE(LEFT(B919,2)))</f>
        <v>13</v>
      </c>
      <c r="M919" s="26" t="n">
        <f aca="false">IF(A919="","",IF(COUNTIFS($C$2:$C$5001,C919,$J$2:$J$5001,J919,$A$2:$A$5001,"&lt;"&amp;A919)=0,1,0))</f>
        <v>0</v>
      </c>
    </row>
    <row r="920" customFormat="false" ht="15" hidden="false" customHeight="false" outlineLevel="0" collapsed="false">
      <c r="A920" s="23" t="n">
        <v>45912.9548611111</v>
      </c>
      <c r="B920" s="24" t="s">
        <v>605</v>
      </c>
      <c r="C920" s="24" t="s">
        <v>290</v>
      </c>
      <c r="D920" s="24" t="s">
        <v>66</v>
      </c>
      <c r="E920" s="24" t="n">
        <v>410</v>
      </c>
      <c r="F920" s="25" t="n">
        <v>14000</v>
      </c>
      <c r="G920" s="24" t="s">
        <v>59</v>
      </c>
      <c r="H920" s="24" t="s">
        <v>55</v>
      </c>
      <c r="I920" s="24" t="s">
        <v>61</v>
      </c>
      <c r="J920" s="26" t="n">
        <f aca="false">IF(A920="","",YEAR(A920))</f>
        <v>2025</v>
      </c>
      <c r="K920" s="26" t="n">
        <f aca="false">IF(A920="","",MONTH(A920))</f>
        <v>9</v>
      </c>
      <c r="L920" s="26" t="n">
        <f aca="false">IF(B920="","",VALUE(LEFT(B920,2)))</f>
        <v>16</v>
      </c>
      <c r="M920" s="26" t="n">
        <f aca="false">IF(A920="","",IF(COUNTIFS($C$2:$C$5001,C920,$J$2:$J$5001,J920,$A$2:$A$5001,"&lt;"&amp;A920)=0,1,0))</f>
        <v>0</v>
      </c>
    </row>
    <row r="921" customFormat="false" ht="15" hidden="false" customHeight="false" outlineLevel="0" collapsed="false">
      <c r="A921" s="23" t="n">
        <v>45913.3847222222</v>
      </c>
      <c r="B921" s="24" t="s">
        <v>729</v>
      </c>
      <c r="C921" s="24" t="s">
        <v>312</v>
      </c>
      <c r="D921" s="24" t="s">
        <v>53</v>
      </c>
      <c r="E921" s="24" t="n">
        <v>66</v>
      </c>
      <c r="F921" s="25" t="n">
        <v>1500</v>
      </c>
      <c r="G921" s="24" t="s">
        <v>59</v>
      </c>
      <c r="H921" s="24" t="s">
        <v>80</v>
      </c>
      <c r="I921" s="24" t="s">
        <v>61</v>
      </c>
      <c r="J921" s="26" t="n">
        <f aca="false">IF(A921="","",YEAR(A921))</f>
        <v>2025</v>
      </c>
      <c r="K921" s="26" t="n">
        <f aca="false">IF(A921="","",MONTH(A921))</f>
        <v>9</v>
      </c>
      <c r="L921" s="26" t="n">
        <f aca="false">IF(B921="","",VALUE(LEFT(B921,2)))</f>
        <v>8</v>
      </c>
      <c r="M921" s="26" t="n">
        <f aca="false">IF(A921="","",IF(COUNTIFS($C$2:$C$5001,C921,$J$2:$J$5001,J921,$A$2:$A$5001,"&lt;"&amp;A921)=0,1,0))</f>
        <v>0</v>
      </c>
    </row>
    <row r="922" customFormat="false" ht="15" hidden="false" customHeight="false" outlineLevel="0" collapsed="false">
      <c r="A922" s="23" t="n">
        <v>45913.4173611111</v>
      </c>
      <c r="B922" s="24" t="s">
        <v>780</v>
      </c>
      <c r="C922" s="24" t="s">
        <v>102</v>
      </c>
      <c r="D922" s="24" t="s">
        <v>66</v>
      </c>
      <c r="E922" s="24" t="n">
        <v>60</v>
      </c>
      <c r="F922" s="25" t="n">
        <v>1700</v>
      </c>
      <c r="G922" s="24" t="s">
        <v>59</v>
      </c>
      <c r="H922" s="24" t="s">
        <v>60</v>
      </c>
      <c r="I922" s="24" t="s">
        <v>113</v>
      </c>
      <c r="J922" s="26" t="n">
        <f aca="false">IF(A922="","",YEAR(A922))</f>
        <v>2025</v>
      </c>
      <c r="K922" s="26" t="n">
        <f aca="false">IF(A922="","",MONTH(A922))</f>
        <v>9</v>
      </c>
      <c r="L922" s="26" t="n">
        <f aca="false">IF(B922="","",VALUE(LEFT(B922,2)))</f>
        <v>9</v>
      </c>
      <c r="M922" s="26" t="n">
        <f aca="false">IF(A922="","",IF(COUNTIFS($C$2:$C$5001,C922,$J$2:$J$5001,J922,$A$2:$A$5001,"&lt;"&amp;A922)=0,1,0))</f>
        <v>0</v>
      </c>
    </row>
    <row r="923" customFormat="false" ht="15" hidden="false" customHeight="false" outlineLevel="0" collapsed="false">
      <c r="A923" s="23" t="n">
        <v>45913.58125</v>
      </c>
      <c r="B923" s="24" t="s">
        <v>89</v>
      </c>
      <c r="C923" s="24" t="s">
        <v>177</v>
      </c>
      <c r="D923" s="24" t="s">
        <v>53</v>
      </c>
      <c r="E923" s="24" t="n">
        <v>409</v>
      </c>
      <c r="F923" s="25" t="n">
        <v>7000</v>
      </c>
      <c r="G923" s="24" t="s">
        <v>59</v>
      </c>
      <c r="H923" s="24" t="s">
        <v>60</v>
      </c>
      <c r="I923" s="24" t="s">
        <v>61</v>
      </c>
      <c r="J923" s="26" t="n">
        <f aca="false">IF(A923="","",YEAR(A923))</f>
        <v>2025</v>
      </c>
      <c r="K923" s="26" t="n">
        <f aca="false">IF(A923="","",MONTH(A923))</f>
        <v>9</v>
      </c>
      <c r="L923" s="26" t="n">
        <f aca="false">IF(B923="","",VALUE(LEFT(B923,2)))</f>
        <v>7</v>
      </c>
      <c r="M923" s="26" t="n">
        <f aca="false">IF(A923="","",IF(COUNTIFS($C$2:$C$5001,C923,$J$2:$J$5001,J923,$A$2:$A$5001,"&lt;"&amp;A923)=0,1,0))</f>
        <v>0</v>
      </c>
    </row>
    <row r="924" customFormat="false" ht="15" hidden="false" customHeight="false" outlineLevel="0" collapsed="false">
      <c r="A924" s="23" t="n">
        <v>45913.6465277778</v>
      </c>
      <c r="B924" s="24" t="s">
        <v>781</v>
      </c>
      <c r="C924" s="24" t="s">
        <v>475</v>
      </c>
      <c r="D924" s="24" t="s">
        <v>66</v>
      </c>
      <c r="E924" s="24" t="n">
        <v>176</v>
      </c>
      <c r="F924" s="25" t="n">
        <v>6000</v>
      </c>
      <c r="G924" s="24" t="s">
        <v>54</v>
      </c>
      <c r="H924" s="24" t="s">
        <v>55</v>
      </c>
      <c r="I924" s="24" t="s">
        <v>61</v>
      </c>
      <c r="J924" s="26" t="n">
        <f aca="false">IF(A924="","",YEAR(A924))</f>
        <v>2025</v>
      </c>
      <c r="K924" s="26" t="n">
        <f aca="false">IF(A924="","",MONTH(A924))</f>
        <v>9</v>
      </c>
      <c r="L924" s="26" t="n">
        <f aca="false">IF(B924="","",VALUE(LEFT(B924,2)))</f>
        <v>12</v>
      </c>
      <c r="M924" s="26" t="n">
        <f aca="false">IF(A924="","",IF(COUNTIFS($C$2:$C$5001,C924,$J$2:$J$5001,J924,$A$2:$A$5001,"&lt;"&amp;A924)=0,1,0))</f>
        <v>0</v>
      </c>
    </row>
    <row r="925" customFormat="false" ht="15" hidden="false" customHeight="false" outlineLevel="0" collapsed="false">
      <c r="A925" s="23" t="n">
        <v>45913.7625</v>
      </c>
      <c r="B925" s="24" t="s">
        <v>99</v>
      </c>
      <c r="C925" s="24" t="s">
        <v>186</v>
      </c>
      <c r="D925" s="24" t="s">
        <v>66</v>
      </c>
      <c r="E925" s="24" t="n">
        <v>78</v>
      </c>
      <c r="F925" s="25" t="n">
        <v>3000</v>
      </c>
      <c r="G925" s="24" t="s">
        <v>59</v>
      </c>
      <c r="H925" s="24" t="s">
        <v>80</v>
      </c>
      <c r="I925" s="24" t="s">
        <v>61</v>
      </c>
      <c r="J925" s="26" t="n">
        <f aca="false">IF(A925="","",YEAR(A925))</f>
        <v>2025</v>
      </c>
      <c r="K925" s="26" t="n">
        <f aca="false">IF(A925="","",MONTH(A925))</f>
        <v>9</v>
      </c>
      <c r="L925" s="26" t="n">
        <f aca="false">IF(B925="","",VALUE(LEFT(B925,2)))</f>
        <v>17</v>
      </c>
      <c r="M925" s="26" t="n">
        <f aca="false">IF(A925="","",IF(COUNTIFS($C$2:$C$5001,C925,$J$2:$J$5001,J925,$A$2:$A$5001,"&lt;"&amp;A925)=0,1,0))</f>
        <v>0</v>
      </c>
    </row>
    <row r="926" customFormat="false" ht="15" hidden="false" customHeight="false" outlineLevel="0" collapsed="false">
      <c r="A926" s="23" t="n">
        <v>45913.8638888889</v>
      </c>
      <c r="B926" s="24" t="s">
        <v>782</v>
      </c>
      <c r="C926" s="24" t="s">
        <v>512</v>
      </c>
      <c r="D926" s="24" t="s">
        <v>53</v>
      </c>
      <c r="E926" s="24" t="n">
        <v>242</v>
      </c>
      <c r="F926" s="25" t="n">
        <v>4500</v>
      </c>
      <c r="G926" s="24" t="s">
        <v>69</v>
      </c>
      <c r="H926" s="24" t="s">
        <v>60</v>
      </c>
      <c r="I926" s="24" t="s">
        <v>61</v>
      </c>
      <c r="J926" s="26" t="n">
        <f aca="false">IF(A926="","",YEAR(A926))</f>
        <v>2025</v>
      </c>
      <c r="K926" s="26" t="n">
        <f aca="false">IF(A926="","",MONTH(A926))</f>
        <v>9</v>
      </c>
      <c r="L926" s="26" t="n">
        <f aca="false">IF(B926="","",VALUE(LEFT(B926,2)))</f>
        <v>16</v>
      </c>
      <c r="M926" s="26" t="n">
        <f aca="false">IF(A926="","",IF(COUNTIFS($C$2:$C$5001,C926,$J$2:$J$5001,J926,$A$2:$A$5001,"&lt;"&amp;A926)=0,1,0))</f>
        <v>0</v>
      </c>
    </row>
    <row r="927" customFormat="false" ht="15" hidden="false" customHeight="false" outlineLevel="0" collapsed="false">
      <c r="A927" s="23" t="n">
        <v>45913.9659722222</v>
      </c>
      <c r="B927" s="24" t="s">
        <v>783</v>
      </c>
      <c r="C927" s="24" t="s">
        <v>343</v>
      </c>
      <c r="D927" s="24" t="s">
        <v>53</v>
      </c>
      <c r="E927" s="24" t="n">
        <v>381</v>
      </c>
      <c r="F927" s="25" t="n">
        <v>6500</v>
      </c>
      <c r="G927" s="24" t="s">
        <v>59</v>
      </c>
      <c r="H927" s="24" t="s">
        <v>60</v>
      </c>
      <c r="I927" s="24" t="s">
        <v>61</v>
      </c>
      <c r="J927" s="26" t="n">
        <f aca="false">IF(A927="","",YEAR(A927))</f>
        <v>2025</v>
      </c>
      <c r="K927" s="26" t="n">
        <f aca="false">IF(A927="","",MONTH(A927))</f>
        <v>9</v>
      </c>
      <c r="L927" s="26" t="n">
        <f aca="false">IF(B927="","",VALUE(LEFT(B927,2)))</f>
        <v>16</v>
      </c>
      <c r="M927" s="26" t="n">
        <f aca="false">IF(A927="","",IF(COUNTIFS($C$2:$C$5001,C927,$J$2:$J$5001,J927,$A$2:$A$5001,"&lt;"&amp;A927)=0,1,0))</f>
        <v>0</v>
      </c>
    </row>
    <row r="928" customFormat="false" ht="15" hidden="false" customHeight="false" outlineLevel="0" collapsed="false">
      <c r="A928" s="23" t="n">
        <v>45914.5159722222</v>
      </c>
      <c r="B928" s="24" t="s">
        <v>226</v>
      </c>
      <c r="C928" s="24" t="s">
        <v>393</v>
      </c>
      <c r="D928" s="24" t="s">
        <v>66</v>
      </c>
      <c r="E928" s="24" t="n">
        <v>262</v>
      </c>
      <c r="F928" s="25" t="n">
        <v>9000</v>
      </c>
      <c r="G928" s="24" t="s">
        <v>59</v>
      </c>
      <c r="H928" s="24" t="s">
        <v>55</v>
      </c>
      <c r="I928" s="24" t="s">
        <v>61</v>
      </c>
      <c r="J928" s="26" t="n">
        <f aca="false">IF(A928="","",YEAR(A928))</f>
        <v>2025</v>
      </c>
      <c r="K928" s="26" t="n">
        <f aca="false">IF(A928="","",MONTH(A928))</f>
        <v>9</v>
      </c>
      <c r="L928" s="26" t="n">
        <f aca="false">IF(B928="","",VALUE(LEFT(B928,2)))</f>
        <v>8</v>
      </c>
      <c r="M928" s="26" t="n">
        <f aca="false">IF(A928="","",IF(COUNTIFS($C$2:$C$5001,C928,$J$2:$J$5001,J928,$A$2:$A$5001,"&lt;"&amp;A928)=0,1,0))</f>
        <v>0</v>
      </c>
    </row>
    <row r="929" customFormat="false" ht="15" hidden="false" customHeight="false" outlineLevel="0" collapsed="false">
      <c r="A929" s="23" t="n">
        <v>45914.5375</v>
      </c>
      <c r="B929" s="24" t="s">
        <v>613</v>
      </c>
      <c r="C929" s="24" t="s">
        <v>339</v>
      </c>
      <c r="D929" s="24" t="s">
        <v>53</v>
      </c>
      <c r="E929" s="24" t="n">
        <v>332</v>
      </c>
      <c r="F929" s="25" t="n">
        <v>6000</v>
      </c>
      <c r="G929" s="24" t="s">
        <v>59</v>
      </c>
      <c r="H929" s="24" t="s">
        <v>55</v>
      </c>
      <c r="I929" s="24" t="s">
        <v>61</v>
      </c>
      <c r="J929" s="26" t="n">
        <f aca="false">IF(A929="","",YEAR(A929))</f>
        <v>2025</v>
      </c>
      <c r="K929" s="26" t="n">
        <f aca="false">IF(A929="","",MONTH(A929))</f>
        <v>9</v>
      </c>
      <c r="L929" s="26" t="n">
        <f aca="false">IF(B929="","",VALUE(LEFT(B929,2)))</f>
        <v>7</v>
      </c>
      <c r="M929" s="26" t="n">
        <f aca="false">IF(A929="","",IF(COUNTIFS($C$2:$C$5001,C929,$J$2:$J$5001,J929,$A$2:$A$5001,"&lt;"&amp;A929)=0,1,0))</f>
        <v>0</v>
      </c>
    </row>
    <row r="930" customFormat="false" ht="15" hidden="false" customHeight="false" outlineLevel="0" collapsed="false">
      <c r="A930" s="23" t="n">
        <v>45914.6125</v>
      </c>
      <c r="B930" s="24" t="s">
        <v>784</v>
      </c>
      <c r="C930" s="24" t="s">
        <v>602</v>
      </c>
      <c r="D930" s="24" t="s">
        <v>53</v>
      </c>
      <c r="E930" s="24" t="n">
        <v>292</v>
      </c>
      <c r="F930" s="25" t="n">
        <v>5000</v>
      </c>
      <c r="G930" s="24" t="s">
        <v>69</v>
      </c>
      <c r="H930" s="24" t="s">
        <v>60</v>
      </c>
      <c r="I930" s="24" t="s">
        <v>61</v>
      </c>
      <c r="J930" s="26" t="n">
        <f aca="false">IF(A930="","",YEAR(A930))</f>
        <v>2025</v>
      </c>
      <c r="K930" s="26" t="n">
        <f aca="false">IF(A930="","",MONTH(A930))</f>
        <v>9</v>
      </c>
      <c r="L930" s="26" t="n">
        <f aca="false">IF(B930="","",VALUE(LEFT(B930,2)))</f>
        <v>9</v>
      </c>
      <c r="M930" s="26" t="n">
        <f aca="false">IF(A930="","",IF(COUNTIFS($C$2:$C$5001,C930,$J$2:$J$5001,J930,$A$2:$A$5001,"&lt;"&amp;A930)=0,1,0))</f>
        <v>0</v>
      </c>
    </row>
    <row r="931" customFormat="false" ht="15" hidden="false" customHeight="false" outlineLevel="0" collapsed="false">
      <c r="A931" s="23" t="n">
        <v>45914.6645833333</v>
      </c>
      <c r="B931" s="24" t="s">
        <v>548</v>
      </c>
      <c r="C931" s="24" t="s">
        <v>235</v>
      </c>
      <c r="D931" s="24" t="s">
        <v>66</v>
      </c>
      <c r="E931" s="24" t="n">
        <v>410</v>
      </c>
      <c r="F931" s="25" t="n">
        <v>14000</v>
      </c>
      <c r="G931" s="24" t="s">
        <v>59</v>
      </c>
      <c r="H931" s="24" t="s">
        <v>80</v>
      </c>
      <c r="I931" s="24" t="s">
        <v>61</v>
      </c>
      <c r="J931" s="26" t="n">
        <f aca="false">IF(A931="","",YEAR(A931))</f>
        <v>2025</v>
      </c>
      <c r="K931" s="26" t="n">
        <f aca="false">IF(A931="","",MONTH(A931))</f>
        <v>9</v>
      </c>
      <c r="L931" s="26" t="n">
        <f aca="false">IF(B931="","",VALUE(LEFT(B931,2)))</f>
        <v>9</v>
      </c>
      <c r="M931" s="26" t="n">
        <f aca="false">IF(A931="","",IF(COUNTIFS($C$2:$C$5001,C931,$J$2:$J$5001,J931,$A$2:$A$5001,"&lt;"&amp;A931)=0,1,0))</f>
        <v>0</v>
      </c>
    </row>
    <row r="932" customFormat="false" ht="15" hidden="false" customHeight="false" outlineLevel="0" collapsed="false">
      <c r="A932" s="23" t="n">
        <v>45914.81875</v>
      </c>
      <c r="B932" s="24" t="s">
        <v>595</v>
      </c>
      <c r="C932" s="24" t="s">
        <v>535</v>
      </c>
      <c r="D932" s="24" t="s">
        <v>66</v>
      </c>
      <c r="E932" s="24" t="n">
        <v>196</v>
      </c>
      <c r="F932" s="25" t="n">
        <v>7000</v>
      </c>
      <c r="G932" s="24" t="s">
        <v>59</v>
      </c>
      <c r="H932" s="24" t="s">
        <v>60</v>
      </c>
      <c r="I932" s="24" t="s">
        <v>61</v>
      </c>
      <c r="J932" s="26" t="n">
        <f aca="false">IF(A932="","",YEAR(A932))</f>
        <v>2025</v>
      </c>
      <c r="K932" s="26" t="n">
        <f aca="false">IF(A932="","",MONTH(A932))</f>
        <v>9</v>
      </c>
      <c r="L932" s="26" t="n">
        <f aca="false">IF(B932="","",VALUE(LEFT(B932,2)))</f>
        <v>16</v>
      </c>
      <c r="M932" s="26" t="n">
        <f aca="false">IF(A932="","",IF(COUNTIFS($C$2:$C$5001,C932,$J$2:$J$5001,J932,$A$2:$A$5001,"&lt;"&amp;A932)=0,1,0))</f>
        <v>0</v>
      </c>
    </row>
    <row r="933" customFormat="false" ht="15" hidden="false" customHeight="false" outlineLevel="0" collapsed="false">
      <c r="A933" s="23" t="n">
        <v>45914.8333333333</v>
      </c>
      <c r="B933" s="24" t="s">
        <v>334</v>
      </c>
      <c r="C933" s="24" t="s">
        <v>58</v>
      </c>
      <c r="D933" s="24" t="s">
        <v>66</v>
      </c>
      <c r="E933" s="24" t="n">
        <v>224</v>
      </c>
      <c r="F933" s="25" t="n">
        <v>8000</v>
      </c>
      <c r="G933" s="24" t="s">
        <v>59</v>
      </c>
      <c r="H933" s="24" t="s">
        <v>60</v>
      </c>
      <c r="I933" s="24" t="s">
        <v>61</v>
      </c>
      <c r="J933" s="26" t="n">
        <f aca="false">IF(A933="","",YEAR(A933))</f>
        <v>2025</v>
      </c>
      <c r="K933" s="26" t="n">
        <f aca="false">IF(A933="","",MONTH(A933))</f>
        <v>9</v>
      </c>
      <c r="L933" s="26" t="n">
        <f aca="false">IF(B933="","",VALUE(LEFT(B933,2)))</f>
        <v>16</v>
      </c>
      <c r="M933" s="26" t="n">
        <f aca="false">IF(A933="","",IF(COUNTIFS($C$2:$C$5001,C933,$J$2:$J$5001,J933,$A$2:$A$5001,"&lt;"&amp;A933)=0,1,0))</f>
        <v>0</v>
      </c>
    </row>
    <row r="934" customFormat="false" ht="15" hidden="false" customHeight="false" outlineLevel="0" collapsed="false">
      <c r="A934" s="23" t="n">
        <v>45914.8486111111</v>
      </c>
      <c r="B934" s="24" t="s">
        <v>785</v>
      </c>
      <c r="C934" s="24" t="s">
        <v>324</v>
      </c>
      <c r="D934" s="24" t="s">
        <v>66</v>
      </c>
      <c r="E934" s="24" t="n">
        <v>297</v>
      </c>
      <c r="F934" s="25" t="n">
        <v>10000</v>
      </c>
      <c r="G934" s="24" t="s">
        <v>79</v>
      </c>
      <c r="H934" s="24" t="s">
        <v>80</v>
      </c>
      <c r="I934" s="24" t="s">
        <v>61</v>
      </c>
      <c r="J934" s="26" t="n">
        <f aca="false">IF(A934="","",YEAR(A934))</f>
        <v>2025</v>
      </c>
      <c r="K934" s="26" t="n">
        <f aca="false">IF(A934="","",MONTH(A934))</f>
        <v>9</v>
      </c>
      <c r="L934" s="26" t="n">
        <f aca="false">IF(B934="","",VALUE(LEFT(B934,2)))</f>
        <v>15</v>
      </c>
      <c r="M934" s="26" t="n">
        <f aca="false">IF(A934="","",IF(COUNTIFS($C$2:$C$5001,C934,$J$2:$J$5001,J934,$A$2:$A$5001,"&lt;"&amp;A934)=0,1,0))</f>
        <v>0</v>
      </c>
    </row>
    <row r="935" customFormat="false" ht="15" hidden="false" customHeight="false" outlineLevel="0" collapsed="false">
      <c r="A935" s="23" t="n">
        <v>45914.9263888889</v>
      </c>
      <c r="B935" s="24" t="s">
        <v>786</v>
      </c>
      <c r="C935" s="24" t="s">
        <v>192</v>
      </c>
      <c r="D935" s="24" t="s">
        <v>66</v>
      </c>
      <c r="E935" s="24" t="n">
        <v>276</v>
      </c>
      <c r="F935" s="25" t="n">
        <v>10000</v>
      </c>
      <c r="G935" s="24" t="s">
        <v>69</v>
      </c>
      <c r="H935" s="24" t="s">
        <v>60</v>
      </c>
      <c r="I935" s="24" t="s">
        <v>61</v>
      </c>
      <c r="J935" s="26" t="n">
        <f aca="false">IF(A935="","",YEAR(A935))</f>
        <v>2025</v>
      </c>
      <c r="K935" s="26" t="n">
        <f aca="false">IF(A935="","",MONTH(A935))</f>
        <v>9</v>
      </c>
      <c r="L935" s="26" t="n">
        <f aca="false">IF(B935="","",VALUE(LEFT(B935,2)))</f>
        <v>17</v>
      </c>
      <c r="M935" s="26" t="n">
        <f aca="false">IF(A935="","",IF(COUNTIFS($C$2:$C$5001,C935,$J$2:$J$5001,J935,$A$2:$A$5001,"&lt;"&amp;A935)=0,1,0))</f>
        <v>0</v>
      </c>
    </row>
    <row r="936" customFormat="false" ht="15" hidden="false" customHeight="false" outlineLevel="0" collapsed="false">
      <c r="A936" s="23" t="n">
        <v>45914.9486111111</v>
      </c>
      <c r="B936" s="24" t="s">
        <v>787</v>
      </c>
      <c r="C936" s="24" t="s">
        <v>235</v>
      </c>
      <c r="D936" s="24" t="s">
        <v>66</v>
      </c>
      <c r="E936" s="24" t="n">
        <v>278</v>
      </c>
      <c r="F936" s="25" t="n">
        <v>8500</v>
      </c>
      <c r="G936" s="24" t="s">
        <v>59</v>
      </c>
      <c r="H936" s="24" t="s">
        <v>55</v>
      </c>
      <c r="I936" s="24" t="s">
        <v>113</v>
      </c>
      <c r="J936" s="26" t="n">
        <f aca="false">IF(A936="","",YEAR(A936))</f>
        <v>2025</v>
      </c>
      <c r="K936" s="26" t="n">
        <f aca="false">IF(A936="","",MONTH(A936))</f>
        <v>9</v>
      </c>
      <c r="L936" s="26" t="n">
        <f aca="false">IF(B936="","",VALUE(LEFT(B936,2)))</f>
        <v>18</v>
      </c>
      <c r="M936" s="26" t="n">
        <f aca="false">IF(A936="","",IF(COUNTIFS($C$2:$C$5001,C936,$J$2:$J$5001,J936,$A$2:$A$5001,"&lt;"&amp;A936)=0,1,0))</f>
        <v>0</v>
      </c>
    </row>
    <row r="937" customFormat="false" ht="15" hidden="false" customHeight="false" outlineLevel="0" collapsed="false">
      <c r="A937" s="23" t="n">
        <v>45915.5263888889</v>
      </c>
      <c r="B937" s="24" t="s">
        <v>191</v>
      </c>
      <c r="C937" s="24" t="s">
        <v>143</v>
      </c>
      <c r="D937" s="24" t="s">
        <v>66</v>
      </c>
      <c r="E937" s="24" t="n">
        <v>325</v>
      </c>
      <c r="F937" s="25" t="n">
        <v>11000</v>
      </c>
      <c r="G937" s="24" t="s">
        <v>59</v>
      </c>
      <c r="H937" s="24" t="s">
        <v>60</v>
      </c>
      <c r="I937" s="24" t="s">
        <v>61</v>
      </c>
      <c r="J937" s="26" t="n">
        <f aca="false">IF(A937="","",YEAR(A937))</f>
        <v>2025</v>
      </c>
      <c r="K937" s="26" t="n">
        <f aca="false">IF(A937="","",MONTH(A937))</f>
        <v>9</v>
      </c>
      <c r="L937" s="26" t="n">
        <f aca="false">IF(B937="","",VALUE(LEFT(B937,2)))</f>
        <v>7</v>
      </c>
      <c r="M937" s="26" t="n">
        <f aca="false">IF(A937="","",IF(COUNTIFS($C$2:$C$5001,C937,$J$2:$J$5001,J937,$A$2:$A$5001,"&lt;"&amp;A937)=0,1,0))</f>
        <v>0</v>
      </c>
    </row>
    <row r="938" customFormat="false" ht="15" hidden="false" customHeight="false" outlineLevel="0" collapsed="false">
      <c r="A938" s="23" t="n">
        <v>45915.6354166667</v>
      </c>
      <c r="B938" s="24" t="s">
        <v>788</v>
      </c>
      <c r="C938" s="24" t="s">
        <v>160</v>
      </c>
      <c r="D938" s="24" t="s">
        <v>66</v>
      </c>
      <c r="E938" s="24" t="n">
        <v>107</v>
      </c>
      <c r="F938" s="25" t="n">
        <v>3400</v>
      </c>
      <c r="G938" s="24" t="s">
        <v>83</v>
      </c>
      <c r="H938" s="24" t="s">
        <v>80</v>
      </c>
      <c r="I938" s="24" t="s">
        <v>113</v>
      </c>
      <c r="J938" s="26" t="n">
        <f aca="false">IF(A938="","",YEAR(A938))</f>
        <v>2025</v>
      </c>
      <c r="K938" s="26" t="n">
        <f aca="false">IF(A938="","",MONTH(A938))</f>
        <v>9</v>
      </c>
      <c r="L938" s="26" t="n">
        <f aca="false">IF(B938="","",VALUE(LEFT(B938,2)))</f>
        <v>13</v>
      </c>
      <c r="M938" s="26" t="n">
        <f aca="false">IF(A938="","",IF(COUNTIFS($C$2:$C$5001,C938,$J$2:$J$5001,J938,$A$2:$A$5001,"&lt;"&amp;A938)=0,1,0))</f>
        <v>0</v>
      </c>
    </row>
    <row r="939" customFormat="false" ht="15" hidden="false" customHeight="false" outlineLevel="0" collapsed="false">
      <c r="A939" s="23" t="n">
        <v>45915.6694444444</v>
      </c>
      <c r="B939" s="24" t="s">
        <v>434</v>
      </c>
      <c r="C939" s="24" t="s">
        <v>268</v>
      </c>
      <c r="D939" s="24" t="s">
        <v>53</v>
      </c>
      <c r="E939" s="24" t="n">
        <v>176</v>
      </c>
      <c r="F939" s="25" t="n">
        <v>3000</v>
      </c>
      <c r="G939" s="24" t="s">
        <v>69</v>
      </c>
      <c r="H939" s="24" t="s">
        <v>55</v>
      </c>
      <c r="I939" s="24" t="s">
        <v>61</v>
      </c>
      <c r="J939" s="26" t="n">
        <f aca="false">IF(A939="","",YEAR(A939))</f>
        <v>2025</v>
      </c>
      <c r="K939" s="26" t="n">
        <f aca="false">IF(A939="","",MONTH(A939))</f>
        <v>9</v>
      </c>
      <c r="L939" s="26" t="n">
        <f aca="false">IF(B939="","",VALUE(LEFT(B939,2)))</f>
        <v>13</v>
      </c>
      <c r="M939" s="26" t="n">
        <f aca="false">IF(A939="","",IF(COUNTIFS($C$2:$C$5001,C939,$J$2:$J$5001,J939,$A$2:$A$5001,"&lt;"&amp;A939)=0,1,0))</f>
        <v>0</v>
      </c>
    </row>
    <row r="940" customFormat="false" ht="15" hidden="false" customHeight="false" outlineLevel="0" collapsed="false">
      <c r="A940" s="23" t="n">
        <v>45916.46875</v>
      </c>
      <c r="B940" s="24" t="s">
        <v>789</v>
      </c>
      <c r="C940" s="24" t="s">
        <v>222</v>
      </c>
      <c r="D940" s="24" t="s">
        <v>66</v>
      </c>
      <c r="E940" s="24" t="n">
        <v>30</v>
      </c>
      <c r="F940" s="25" t="n">
        <v>1000</v>
      </c>
      <c r="G940" s="24" t="s">
        <v>69</v>
      </c>
      <c r="H940" s="24" t="s">
        <v>60</v>
      </c>
      <c r="I940" s="24" t="s">
        <v>61</v>
      </c>
      <c r="J940" s="26" t="n">
        <f aca="false">IF(A940="","",YEAR(A940))</f>
        <v>2025</v>
      </c>
      <c r="K940" s="26" t="n">
        <f aca="false">IF(A940="","",MONTH(A940))</f>
        <v>9</v>
      </c>
      <c r="L940" s="26" t="n">
        <f aca="false">IF(B940="","",VALUE(LEFT(B940,2)))</f>
        <v>10</v>
      </c>
      <c r="M940" s="26" t="n">
        <f aca="false">IF(A940="","",IF(COUNTIFS($C$2:$C$5001,C940,$J$2:$J$5001,J940,$A$2:$A$5001,"&lt;"&amp;A940)=0,1,0))</f>
        <v>0</v>
      </c>
    </row>
    <row r="941" customFormat="false" ht="15" hidden="false" customHeight="false" outlineLevel="0" collapsed="false">
      <c r="A941" s="23" t="n">
        <v>45916.6125</v>
      </c>
      <c r="B941" s="24" t="s">
        <v>743</v>
      </c>
      <c r="C941" s="24" t="s">
        <v>164</v>
      </c>
      <c r="D941" s="24" t="s">
        <v>72</v>
      </c>
      <c r="E941" s="24" t="n">
        <v>41</v>
      </c>
      <c r="F941" s="25" t="n">
        <v>4000</v>
      </c>
      <c r="G941" s="24" t="s">
        <v>59</v>
      </c>
      <c r="H941" s="24" t="s">
        <v>55</v>
      </c>
      <c r="I941" s="24" t="s">
        <v>61</v>
      </c>
      <c r="J941" s="26" t="n">
        <f aca="false">IF(A941="","",YEAR(A941))</f>
        <v>2025</v>
      </c>
      <c r="K941" s="26" t="n">
        <f aca="false">IF(A941="","",MONTH(A941))</f>
        <v>9</v>
      </c>
      <c r="L941" s="26" t="n">
        <f aca="false">IF(B941="","",VALUE(LEFT(B941,2)))</f>
        <v>14</v>
      </c>
      <c r="M941" s="26" t="n">
        <f aca="false">IF(A941="","",IF(COUNTIFS($C$2:$C$5001,C941,$J$2:$J$5001,J941,$A$2:$A$5001,"&lt;"&amp;A941)=0,1,0))</f>
        <v>0</v>
      </c>
    </row>
    <row r="942" customFormat="false" ht="15" hidden="false" customHeight="false" outlineLevel="0" collapsed="false">
      <c r="A942" s="23" t="n">
        <v>45916.6229166667</v>
      </c>
      <c r="B942" s="24" t="s">
        <v>766</v>
      </c>
      <c r="C942" s="24" t="s">
        <v>220</v>
      </c>
      <c r="D942" s="24" t="s">
        <v>66</v>
      </c>
      <c r="E942" s="24" t="n">
        <v>73</v>
      </c>
      <c r="F942" s="25" t="n">
        <v>3000</v>
      </c>
      <c r="G942" s="24" t="s">
        <v>59</v>
      </c>
      <c r="H942" s="24" t="s">
        <v>55</v>
      </c>
      <c r="I942" s="24" t="s">
        <v>61</v>
      </c>
      <c r="J942" s="26" t="n">
        <f aca="false">IF(A942="","",YEAR(A942))</f>
        <v>2025</v>
      </c>
      <c r="K942" s="26" t="n">
        <f aca="false">IF(A942="","",MONTH(A942))</f>
        <v>9</v>
      </c>
      <c r="L942" s="26" t="n">
        <f aca="false">IF(B942="","",VALUE(LEFT(B942,2)))</f>
        <v>13</v>
      </c>
      <c r="M942" s="26" t="n">
        <f aca="false">IF(A942="","",IF(COUNTIFS($C$2:$C$5001,C942,$J$2:$J$5001,J942,$A$2:$A$5001,"&lt;"&amp;A942)=0,1,0))</f>
        <v>0</v>
      </c>
    </row>
    <row r="943" customFormat="false" ht="15" hidden="false" customHeight="false" outlineLevel="0" collapsed="false">
      <c r="A943" s="23" t="n">
        <v>45916.6604166667</v>
      </c>
      <c r="B943" s="24" t="s">
        <v>722</v>
      </c>
      <c r="C943" s="24" t="s">
        <v>52</v>
      </c>
      <c r="D943" s="24" t="s">
        <v>66</v>
      </c>
      <c r="E943" s="24" t="n">
        <v>63</v>
      </c>
      <c r="F943" s="25" t="n">
        <v>3000</v>
      </c>
      <c r="G943" s="24" t="s">
        <v>69</v>
      </c>
      <c r="H943" s="24" t="s">
        <v>80</v>
      </c>
      <c r="I943" s="24" t="s">
        <v>61</v>
      </c>
      <c r="J943" s="26" t="n">
        <f aca="false">IF(A943="","",YEAR(A943))</f>
        <v>2025</v>
      </c>
      <c r="K943" s="26" t="n">
        <f aca="false">IF(A943="","",MONTH(A943))</f>
        <v>9</v>
      </c>
      <c r="L943" s="26" t="n">
        <f aca="false">IF(B943="","",VALUE(LEFT(B943,2)))</f>
        <v>14</v>
      </c>
      <c r="M943" s="26" t="n">
        <f aca="false">IF(A943="","",IF(COUNTIFS($C$2:$C$5001,C943,$J$2:$J$5001,J943,$A$2:$A$5001,"&lt;"&amp;A943)=0,1,0))</f>
        <v>0</v>
      </c>
    </row>
    <row r="944" customFormat="false" ht="15" hidden="false" customHeight="false" outlineLevel="0" collapsed="false">
      <c r="A944" s="23" t="n">
        <v>45916.68125</v>
      </c>
      <c r="B944" s="24" t="s">
        <v>790</v>
      </c>
      <c r="C944" s="24" t="s">
        <v>312</v>
      </c>
      <c r="D944" s="24" t="s">
        <v>66</v>
      </c>
      <c r="E944" s="24" t="n">
        <v>281</v>
      </c>
      <c r="F944" s="25" t="n">
        <v>10000</v>
      </c>
      <c r="G944" s="24" t="s">
        <v>59</v>
      </c>
      <c r="H944" s="24" t="s">
        <v>60</v>
      </c>
      <c r="I944" s="24" t="s">
        <v>61</v>
      </c>
      <c r="J944" s="26" t="n">
        <f aca="false">IF(A944="","",YEAR(A944))</f>
        <v>2025</v>
      </c>
      <c r="K944" s="26" t="n">
        <f aca="false">IF(A944="","",MONTH(A944))</f>
        <v>9</v>
      </c>
      <c r="L944" s="26" t="n">
        <f aca="false">IF(B944="","",VALUE(LEFT(B944,2)))</f>
        <v>11</v>
      </c>
      <c r="M944" s="26" t="n">
        <f aca="false">IF(A944="","",IF(COUNTIFS($C$2:$C$5001,C944,$J$2:$J$5001,J944,$A$2:$A$5001,"&lt;"&amp;A944)=0,1,0))</f>
        <v>0</v>
      </c>
    </row>
    <row r="945" customFormat="false" ht="15" hidden="false" customHeight="false" outlineLevel="0" collapsed="false">
      <c r="A945" s="23" t="n">
        <v>45916.8347222222</v>
      </c>
      <c r="B945" s="24" t="s">
        <v>728</v>
      </c>
      <c r="C945" s="24" t="s">
        <v>213</v>
      </c>
      <c r="D945" s="24" t="s">
        <v>88</v>
      </c>
      <c r="E945" s="24" t="n">
        <v>272</v>
      </c>
      <c r="F945" s="25" t="n">
        <v>15000</v>
      </c>
      <c r="G945" s="24" t="s">
        <v>59</v>
      </c>
      <c r="H945" s="24" t="s">
        <v>55</v>
      </c>
      <c r="I945" s="24" t="s">
        <v>61</v>
      </c>
      <c r="J945" s="26" t="n">
        <f aca="false">IF(A945="","",YEAR(A945))</f>
        <v>2025</v>
      </c>
      <c r="K945" s="26" t="n">
        <f aca="false">IF(A945="","",MONTH(A945))</f>
        <v>9</v>
      </c>
      <c r="L945" s="26" t="n">
        <f aca="false">IF(B945="","",VALUE(LEFT(B945,2)))</f>
        <v>15</v>
      </c>
      <c r="M945" s="26" t="n">
        <f aca="false">IF(A945="","",IF(COUNTIFS($C$2:$C$5001,C945,$J$2:$J$5001,J945,$A$2:$A$5001,"&lt;"&amp;A945)=0,1,0))</f>
        <v>0</v>
      </c>
    </row>
    <row r="946" customFormat="false" ht="15" hidden="false" customHeight="false" outlineLevel="0" collapsed="false">
      <c r="A946" s="23" t="n">
        <v>45917.425</v>
      </c>
      <c r="B946" s="24" t="s">
        <v>791</v>
      </c>
      <c r="C946" s="24" t="s">
        <v>339</v>
      </c>
      <c r="D946" s="24" t="s">
        <v>66</v>
      </c>
      <c r="E946" s="24" t="n">
        <v>205</v>
      </c>
      <c r="F946" s="25" t="n">
        <v>7000</v>
      </c>
      <c r="G946" s="24" t="s">
        <v>59</v>
      </c>
      <c r="H946" s="24" t="s">
        <v>60</v>
      </c>
      <c r="I946" s="24" t="s">
        <v>61</v>
      </c>
      <c r="J946" s="26" t="n">
        <f aca="false">IF(A946="","",YEAR(A946))</f>
        <v>2025</v>
      </c>
      <c r="K946" s="26" t="n">
        <f aca="false">IF(A946="","",MONTH(A946))</f>
        <v>9</v>
      </c>
      <c r="L946" s="26" t="n">
        <f aca="false">IF(B946="","",VALUE(LEFT(B946,2)))</f>
        <v>6</v>
      </c>
      <c r="M946" s="26" t="n">
        <f aca="false">IF(A946="","",IF(COUNTIFS($C$2:$C$5001,C946,$J$2:$J$5001,J946,$A$2:$A$5001,"&lt;"&amp;A946)=0,1,0))</f>
        <v>0</v>
      </c>
    </row>
    <row r="947" customFormat="false" ht="15" hidden="false" customHeight="false" outlineLevel="0" collapsed="false">
      <c r="A947" s="23" t="n">
        <v>45917.5479166667</v>
      </c>
      <c r="B947" s="24" t="s">
        <v>449</v>
      </c>
      <c r="C947" s="24" t="s">
        <v>85</v>
      </c>
      <c r="D947" s="24" t="s">
        <v>66</v>
      </c>
      <c r="E947" s="24" t="n">
        <v>213</v>
      </c>
      <c r="F947" s="25" t="n">
        <v>8000</v>
      </c>
      <c r="G947" s="24" t="s">
        <v>79</v>
      </c>
      <c r="H947" s="24" t="s">
        <v>55</v>
      </c>
      <c r="I947" s="24" t="s">
        <v>61</v>
      </c>
      <c r="J947" s="26" t="n">
        <f aca="false">IF(A947="","",YEAR(A947))</f>
        <v>2025</v>
      </c>
      <c r="K947" s="26" t="n">
        <f aca="false">IF(A947="","",MONTH(A947))</f>
        <v>9</v>
      </c>
      <c r="L947" s="26" t="n">
        <f aca="false">IF(B947="","",VALUE(LEFT(B947,2)))</f>
        <v>9</v>
      </c>
      <c r="M947" s="26" t="n">
        <f aca="false">IF(A947="","",IF(COUNTIFS($C$2:$C$5001,C947,$J$2:$J$5001,J947,$A$2:$A$5001,"&lt;"&amp;A947)=0,1,0))</f>
        <v>0</v>
      </c>
    </row>
    <row r="948" customFormat="false" ht="15" hidden="false" customHeight="false" outlineLevel="0" collapsed="false">
      <c r="A948" s="23" t="n">
        <v>45917.6798611111</v>
      </c>
      <c r="B948" s="24" t="s">
        <v>792</v>
      </c>
      <c r="C948" s="24" t="s">
        <v>177</v>
      </c>
      <c r="D948" s="24" t="s">
        <v>53</v>
      </c>
      <c r="E948" s="24" t="n">
        <v>107</v>
      </c>
      <c r="F948" s="25" t="n">
        <v>2000</v>
      </c>
      <c r="G948" s="24" t="s">
        <v>59</v>
      </c>
      <c r="H948" s="24" t="s">
        <v>60</v>
      </c>
      <c r="I948" s="24" t="s">
        <v>61</v>
      </c>
      <c r="J948" s="26" t="n">
        <f aca="false">IF(A948="","",YEAR(A948))</f>
        <v>2025</v>
      </c>
      <c r="K948" s="26" t="n">
        <f aca="false">IF(A948="","",MONTH(A948))</f>
        <v>9</v>
      </c>
      <c r="L948" s="26" t="n">
        <f aca="false">IF(B948="","",VALUE(LEFT(B948,2)))</f>
        <v>14</v>
      </c>
      <c r="M948" s="26" t="n">
        <f aca="false">IF(A948="","",IF(COUNTIFS($C$2:$C$5001,C948,$J$2:$J$5001,J948,$A$2:$A$5001,"&lt;"&amp;A948)=0,1,0))</f>
        <v>0</v>
      </c>
    </row>
    <row r="949" customFormat="false" ht="15" hidden="false" customHeight="false" outlineLevel="0" collapsed="false">
      <c r="A949" s="23" t="n">
        <v>45917.7923611111</v>
      </c>
      <c r="B949" s="24" t="s">
        <v>196</v>
      </c>
      <c r="C949" s="24" t="s">
        <v>398</v>
      </c>
      <c r="D949" s="24" t="s">
        <v>53</v>
      </c>
      <c r="E949" s="24" t="n">
        <v>278</v>
      </c>
      <c r="F949" s="25" t="n">
        <v>5000</v>
      </c>
      <c r="G949" s="24" t="s">
        <v>59</v>
      </c>
      <c r="H949" s="24" t="s">
        <v>80</v>
      </c>
      <c r="I949" s="24" t="s">
        <v>61</v>
      </c>
      <c r="J949" s="26" t="n">
        <f aca="false">IF(A949="","",YEAR(A949))</f>
        <v>2025</v>
      </c>
      <c r="K949" s="26" t="n">
        <f aca="false">IF(A949="","",MONTH(A949))</f>
        <v>9</v>
      </c>
      <c r="L949" s="26" t="n">
        <f aca="false">IF(B949="","",VALUE(LEFT(B949,2)))</f>
        <v>14</v>
      </c>
      <c r="M949" s="26" t="n">
        <f aca="false">IF(A949="","",IF(COUNTIFS($C$2:$C$5001,C949,$J$2:$J$5001,J949,$A$2:$A$5001,"&lt;"&amp;A949)=0,1,0))</f>
        <v>0</v>
      </c>
    </row>
    <row r="950" customFormat="false" ht="15" hidden="false" customHeight="false" outlineLevel="0" collapsed="false">
      <c r="A950" s="23" t="n">
        <v>45917.8027777778</v>
      </c>
      <c r="B950" s="24" t="s">
        <v>793</v>
      </c>
      <c r="C950" s="24" t="s">
        <v>188</v>
      </c>
      <c r="D950" s="24" t="s">
        <v>66</v>
      </c>
      <c r="E950" s="24" t="n">
        <v>116</v>
      </c>
      <c r="F950" s="25" t="n">
        <v>4000</v>
      </c>
      <c r="G950" s="24" t="s">
        <v>59</v>
      </c>
      <c r="H950" s="24" t="s">
        <v>55</v>
      </c>
      <c r="I950" s="24" t="s">
        <v>61</v>
      </c>
      <c r="J950" s="26" t="n">
        <f aca="false">IF(A950="","",YEAR(A950))</f>
        <v>2025</v>
      </c>
      <c r="K950" s="26" t="n">
        <f aca="false">IF(A950="","",MONTH(A950))</f>
        <v>9</v>
      </c>
      <c r="L950" s="26" t="n">
        <f aca="false">IF(B950="","",VALUE(LEFT(B950,2)))</f>
        <v>17</v>
      </c>
      <c r="M950" s="26" t="n">
        <f aca="false">IF(A950="","",IF(COUNTIFS($C$2:$C$5001,C950,$J$2:$J$5001,J950,$A$2:$A$5001,"&lt;"&amp;A950)=0,1,0))</f>
        <v>0</v>
      </c>
    </row>
    <row r="951" customFormat="false" ht="15" hidden="false" customHeight="false" outlineLevel="0" collapsed="false">
      <c r="A951" s="23" t="n">
        <v>45917.84375</v>
      </c>
      <c r="B951" s="24" t="s">
        <v>794</v>
      </c>
      <c r="C951" s="24" t="s">
        <v>201</v>
      </c>
      <c r="D951" s="24" t="s">
        <v>66</v>
      </c>
      <c r="E951" s="24" t="n">
        <v>87</v>
      </c>
      <c r="F951" s="25" t="n">
        <v>3000</v>
      </c>
      <c r="G951" s="24" t="s">
        <v>59</v>
      </c>
      <c r="H951" s="24" t="s">
        <v>80</v>
      </c>
      <c r="I951" s="24" t="s">
        <v>61</v>
      </c>
      <c r="J951" s="26" t="n">
        <f aca="false">IF(A951="","",YEAR(A951))</f>
        <v>2025</v>
      </c>
      <c r="K951" s="26" t="n">
        <f aca="false">IF(A951="","",MONTH(A951))</f>
        <v>9</v>
      </c>
      <c r="L951" s="26" t="n">
        <f aca="false">IF(B951="","",VALUE(LEFT(B951,2)))</f>
        <v>18</v>
      </c>
      <c r="M951" s="26" t="n">
        <f aca="false">IF(A951="","",IF(COUNTIFS($C$2:$C$5001,C951,$J$2:$J$5001,J951,$A$2:$A$5001,"&lt;"&amp;A951)=0,1,0))</f>
        <v>0</v>
      </c>
    </row>
    <row r="952" customFormat="false" ht="15" hidden="false" customHeight="false" outlineLevel="0" collapsed="false">
      <c r="A952" s="23" t="n">
        <v>45917.9208333333</v>
      </c>
      <c r="B952" s="24" t="s">
        <v>683</v>
      </c>
      <c r="C952" s="24" t="s">
        <v>436</v>
      </c>
      <c r="D952" s="24" t="s">
        <v>66</v>
      </c>
      <c r="E952" s="24" t="n">
        <v>393</v>
      </c>
      <c r="F952" s="25" t="n">
        <v>14000</v>
      </c>
      <c r="G952" s="24" t="s">
        <v>59</v>
      </c>
      <c r="H952" s="24" t="s">
        <v>60</v>
      </c>
      <c r="I952" s="24" t="s">
        <v>61</v>
      </c>
      <c r="J952" s="26" t="n">
        <f aca="false">IF(A952="","",YEAR(A952))</f>
        <v>2025</v>
      </c>
      <c r="K952" s="26" t="n">
        <f aca="false">IF(A952="","",MONTH(A952))</f>
        <v>9</v>
      </c>
      <c r="L952" s="26" t="n">
        <f aca="false">IF(B952="","",VALUE(LEFT(B952,2)))</f>
        <v>15</v>
      </c>
      <c r="M952" s="26" t="n">
        <f aca="false">IF(A952="","",IF(COUNTIFS($C$2:$C$5001,C952,$J$2:$J$5001,J952,$A$2:$A$5001,"&lt;"&amp;A952)=0,1,0))</f>
        <v>0</v>
      </c>
    </row>
    <row r="953" customFormat="false" ht="15" hidden="false" customHeight="false" outlineLevel="0" collapsed="false">
      <c r="A953" s="23" t="n">
        <v>45917.925</v>
      </c>
      <c r="B953" s="24" t="s">
        <v>530</v>
      </c>
      <c r="C953" s="24" t="s">
        <v>141</v>
      </c>
      <c r="D953" s="24" t="s">
        <v>127</v>
      </c>
      <c r="E953" s="24" t="n">
        <v>373</v>
      </c>
      <c r="F953" s="25" t="n">
        <v>22750</v>
      </c>
      <c r="G953" s="24" t="s">
        <v>59</v>
      </c>
      <c r="H953" s="24" t="s">
        <v>60</v>
      </c>
      <c r="I953" s="24" t="s">
        <v>61</v>
      </c>
      <c r="J953" s="26" t="n">
        <f aca="false">IF(A953="","",YEAR(A953))</f>
        <v>2025</v>
      </c>
      <c r="K953" s="26" t="n">
        <f aca="false">IF(A953="","",MONTH(A953))</f>
        <v>9</v>
      </c>
      <c r="L953" s="26" t="n">
        <f aca="false">IF(B953="","",VALUE(LEFT(B953,2)))</f>
        <v>15</v>
      </c>
      <c r="M953" s="26" t="n">
        <f aca="false">IF(A953="","",IF(COUNTIFS($C$2:$C$5001,C953,$J$2:$J$5001,J953,$A$2:$A$5001,"&lt;"&amp;A953)=0,1,0))</f>
        <v>0</v>
      </c>
    </row>
    <row r="954" customFormat="false" ht="15" hidden="false" customHeight="false" outlineLevel="0" collapsed="false">
      <c r="A954" s="23" t="n">
        <v>45918.3020833333</v>
      </c>
      <c r="B954" s="24" t="s">
        <v>473</v>
      </c>
      <c r="C954" s="24" t="s">
        <v>475</v>
      </c>
      <c r="D954" s="24" t="s">
        <v>53</v>
      </c>
      <c r="E954" s="24" t="n">
        <v>24</v>
      </c>
      <c r="F954" s="25" t="n">
        <v>425</v>
      </c>
      <c r="G954" s="24" t="s">
        <v>59</v>
      </c>
      <c r="H954" s="24" t="s">
        <v>60</v>
      </c>
      <c r="I954" s="24" t="s">
        <v>113</v>
      </c>
      <c r="J954" s="26" t="n">
        <f aca="false">IF(A954="","",YEAR(A954))</f>
        <v>2025</v>
      </c>
      <c r="K954" s="26" t="n">
        <f aca="false">IF(A954="","",MONTH(A954))</f>
        <v>9</v>
      </c>
      <c r="L954" s="26" t="n">
        <f aca="false">IF(B954="","",VALUE(LEFT(B954,2)))</f>
        <v>6</v>
      </c>
      <c r="M954" s="26" t="n">
        <f aca="false">IF(A954="","",IF(COUNTIFS($C$2:$C$5001,C954,$J$2:$J$5001,J954,$A$2:$A$5001,"&lt;"&amp;A954)=0,1,0))</f>
        <v>0</v>
      </c>
    </row>
    <row r="955" customFormat="false" ht="15" hidden="false" customHeight="false" outlineLevel="0" collapsed="false">
      <c r="A955" s="23" t="n">
        <v>45918.8006944444</v>
      </c>
      <c r="B955" s="24" t="s">
        <v>795</v>
      </c>
      <c r="C955" s="24" t="s">
        <v>448</v>
      </c>
      <c r="D955" s="24" t="s">
        <v>66</v>
      </c>
      <c r="E955" s="24" t="n">
        <v>47</v>
      </c>
      <c r="F955" s="25" t="n">
        <v>2000</v>
      </c>
      <c r="G955" s="24" t="s">
        <v>69</v>
      </c>
      <c r="H955" s="24" t="s">
        <v>60</v>
      </c>
      <c r="I955" s="24" t="s">
        <v>61</v>
      </c>
      <c r="J955" s="26" t="n">
        <f aca="false">IF(A955="","",YEAR(A955))</f>
        <v>2025</v>
      </c>
      <c r="K955" s="26" t="n">
        <f aca="false">IF(A955="","",MONTH(A955))</f>
        <v>9</v>
      </c>
      <c r="L955" s="26" t="n">
        <f aca="false">IF(B955="","",VALUE(LEFT(B955,2)))</f>
        <v>18</v>
      </c>
      <c r="M955" s="26" t="n">
        <f aca="false">IF(A955="","",IF(COUNTIFS($C$2:$C$5001,C955,$J$2:$J$5001,J955,$A$2:$A$5001,"&lt;"&amp;A955)=0,1,0))</f>
        <v>0</v>
      </c>
    </row>
    <row r="956" customFormat="false" ht="15" hidden="false" customHeight="false" outlineLevel="0" collapsed="false">
      <c r="A956" s="23" t="n">
        <v>45918.8076388889</v>
      </c>
      <c r="B956" s="24" t="s">
        <v>713</v>
      </c>
      <c r="C956" s="24" t="s">
        <v>339</v>
      </c>
      <c r="D956" s="24" t="s">
        <v>53</v>
      </c>
      <c r="E956" s="24" t="n">
        <v>222</v>
      </c>
      <c r="F956" s="25" t="n">
        <v>0</v>
      </c>
      <c r="G956" s="24" t="s">
        <v>69</v>
      </c>
      <c r="H956" s="24" t="s">
        <v>55</v>
      </c>
      <c r="I956" s="24" t="s">
        <v>56</v>
      </c>
      <c r="J956" s="26" t="n">
        <f aca="false">IF(A956="","",YEAR(A956))</f>
        <v>2025</v>
      </c>
      <c r="K956" s="26" t="n">
        <f aca="false">IF(A956="","",MONTH(A956))</f>
        <v>9</v>
      </c>
      <c r="L956" s="26" t="n">
        <f aca="false">IF(B956="","",VALUE(LEFT(B956,2)))</f>
        <v>15</v>
      </c>
      <c r="M956" s="26" t="n">
        <f aca="false">IF(A956="","",IF(COUNTIFS($C$2:$C$5001,C956,$J$2:$J$5001,J956,$A$2:$A$5001,"&lt;"&amp;A956)=0,1,0))</f>
        <v>0</v>
      </c>
    </row>
    <row r="957" customFormat="false" ht="15" hidden="false" customHeight="false" outlineLevel="0" collapsed="false">
      <c r="A957" s="23" t="n">
        <v>45919.0326388889</v>
      </c>
      <c r="B957" s="24" t="s">
        <v>796</v>
      </c>
      <c r="C957" s="24" t="s">
        <v>235</v>
      </c>
      <c r="D957" s="24" t="s">
        <v>127</v>
      </c>
      <c r="E957" s="24" t="n">
        <v>350</v>
      </c>
      <c r="F957" s="25" t="n">
        <v>21000</v>
      </c>
      <c r="G957" s="24" t="s">
        <v>79</v>
      </c>
      <c r="H957" s="24" t="s">
        <v>60</v>
      </c>
      <c r="I957" s="24" t="s">
        <v>61</v>
      </c>
      <c r="J957" s="26" t="n">
        <f aca="false">IF(A957="","",YEAR(A957))</f>
        <v>2025</v>
      </c>
      <c r="K957" s="26" t="n">
        <f aca="false">IF(A957="","",MONTH(A957))</f>
        <v>9</v>
      </c>
      <c r="L957" s="26" t="n">
        <f aca="false">IF(B957="","",VALUE(LEFT(B957,2)))</f>
        <v>18</v>
      </c>
      <c r="M957" s="26" t="n">
        <f aca="false">IF(A957="","",IF(COUNTIFS($C$2:$C$5001,C957,$J$2:$J$5001,J957,$A$2:$A$5001,"&lt;"&amp;A957)=0,1,0))</f>
        <v>0</v>
      </c>
    </row>
    <row r="958" customFormat="false" ht="15" hidden="false" customHeight="false" outlineLevel="0" collapsed="false">
      <c r="A958" s="23" t="n">
        <v>45919.0625</v>
      </c>
      <c r="B958" s="24" t="s">
        <v>797</v>
      </c>
      <c r="C958" s="24" t="s">
        <v>343</v>
      </c>
      <c r="D958" s="24" t="s">
        <v>66</v>
      </c>
      <c r="E958" s="24" t="n">
        <v>358</v>
      </c>
      <c r="F958" s="25" t="n">
        <v>12000</v>
      </c>
      <c r="G958" s="24" t="s">
        <v>69</v>
      </c>
      <c r="H958" s="24" t="s">
        <v>60</v>
      </c>
      <c r="I958" s="24" t="s">
        <v>61</v>
      </c>
      <c r="J958" s="26" t="n">
        <f aca="false">IF(A958="","",YEAR(A958))</f>
        <v>2025</v>
      </c>
      <c r="K958" s="26" t="n">
        <f aca="false">IF(A958="","",MONTH(A958))</f>
        <v>9</v>
      </c>
      <c r="L958" s="26" t="n">
        <f aca="false">IF(B958="","",VALUE(LEFT(B958,2)))</f>
        <v>19</v>
      </c>
      <c r="M958" s="26" t="n">
        <f aca="false">IF(A958="","",IF(COUNTIFS($C$2:$C$5001,C958,$J$2:$J$5001,J958,$A$2:$A$5001,"&lt;"&amp;A958)=0,1,0))</f>
        <v>0</v>
      </c>
    </row>
    <row r="959" customFormat="false" ht="15" hidden="false" customHeight="false" outlineLevel="0" collapsed="false">
      <c r="A959" s="23" t="n">
        <v>45919.3722222222</v>
      </c>
      <c r="B959" s="24" t="s">
        <v>547</v>
      </c>
      <c r="C959" s="24" t="s">
        <v>343</v>
      </c>
      <c r="D959" s="24" t="s">
        <v>66</v>
      </c>
      <c r="E959" s="24" t="n">
        <v>144</v>
      </c>
      <c r="F959" s="25" t="n">
        <v>5000</v>
      </c>
      <c r="G959" s="24" t="s">
        <v>69</v>
      </c>
      <c r="H959" s="24" t="s">
        <v>55</v>
      </c>
      <c r="I959" s="24" t="s">
        <v>61</v>
      </c>
      <c r="J959" s="26" t="n">
        <f aca="false">IF(A959="","",YEAR(A959))</f>
        <v>2025</v>
      </c>
      <c r="K959" s="26" t="n">
        <f aca="false">IF(A959="","",MONTH(A959))</f>
        <v>9</v>
      </c>
      <c r="L959" s="26" t="n">
        <f aca="false">IF(B959="","",VALUE(LEFT(B959,2)))</f>
        <v>6</v>
      </c>
      <c r="M959" s="26" t="n">
        <f aca="false">IF(A959="","",IF(COUNTIFS($C$2:$C$5001,C959,$J$2:$J$5001,J959,$A$2:$A$5001,"&lt;"&amp;A959)=0,1,0))</f>
        <v>0</v>
      </c>
    </row>
    <row r="960" customFormat="false" ht="15" hidden="false" customHeight="false" outlineLevel="0" collapsed="false">
      <c r="A960" s="23" t="n">
        <v>45919.7090277778</v>
      </c>
      <c r="B960" s="24" t="s">
        <v>798</v>
      </c>
      <c r="C960" s="24" t="s">
        <v>339</v>
      </c>
      <c r="D960" s="24" t="s">
        <v>53</v>
      </c>
      <c r="E960" s="24" t="n">
        <v>185</v>
      </c>
      <c r="F960" s="25" t="n">
        <v>3500</v>
      </c>
      <c r="G960" s="24" t="s">
        <v>54</v>
      </c>
      <c r="H960" s="24" t="s">
        <v>55</v>
      </c>
      <c r="I960" s="24" t="s">
        <v>61</v>
      </c>
      <c r="J960" s="26" t="n">
        <f aca="false">IF(A960="","",YEAR(A960))</f>
        <v>2025</v>
      </c>
      <c r="K960" s="26" t="n">
        <f aca="false">IF(A960="","",MONTH(A960))</f>
        <v>9</v>
      </c>
      <c r="L960" s="26" t="n">
        <f aca="false">IF(B960="","",VALUE(LEFT(B960,2)))</f>
        <v>13</v>
      </c>
      <c r="M960" s="26" t="n">
        <f aca="false">IF(A960="","",IF(COUNTIFS($C$2:$C$5001,C960,$J$2:$J$5001,J960,$A$2:$A$5001,"&lt;"&amp;A960)=0,1,0))</f>
        <v>0</v>
      </c>
    </row>
    <row r="961" customFormat="false" ht="15" hidden="false" customHeight="false" outlineLevel="0" collapsed="false">
      <c r="A961" s="23" t="n">
        <v>45919.7409722222</v>
      </c>
      <c r="B961" s="24" t="s">
        <v>799</v>
      </c>
      <c r="C961" s="24" t="s">
        <v>150</v>
      </c>
      <c r="D961" s="24" t="s">
        <v>66</v>
      </c>
      <c r="E961" s="24" t="n">
        <v>95</v>
      </c>
      <c r="F961" s="25" t="n">
        <v>4000</v>
      </c>
      <c r="G961" s="24" t="s">
        <v>69</v>
      </c>
      <c r="H961" s="24" t="s">
        <v>55</v>
      </c>
      <c r="I961" s="24" t="s">
        <v>61</v>
      </c>
      <c r="J961" s="26" t="n">
        <f aca="false">IF(A961="","",YEAR(A961))</f>
        <v>2025</v>
      </c>
      <c r="K961" s="26" t="n">
        <f aca="false">IF(A961="","",MONTH(A961))</f>
        <v>9</v>
      </c>
      <c r="L961" s="26" t="n">
        <f aca="false">IF(B961="","",VALUE(LEFT(B961,2)))</f>
        <v>16</v>
      </c>
      <c r="M961" s="26" t="n">
        <f aca="false">IF(A961="","",IF(COUNTIFS($C$2:$C$5001,C961,$J$2:$J$5001,J961,$A$2:$A$5001,"&lt;"&amp;A961)=0,1,0))</f>
        <v>0</v>
      </c>
    </row>
    <row r="962" customFormat="false" ht="15" hidden="false" customHeight="false" outlineLevel="0" collapsed="false">
      <c r="A962" s="23" t="n">
        <v>45919.7798611111</v>
      </c>
      <c r="B962" s="24" t="s">
        <v>800</v>
      </c>
      <c r="C962" s="24" t="s">
        <v>194</v>
      </c>
      <c r="D962" s="24" t="s">
        <v>88</v>
      </c>
      <c r="E962" s="24" t="n">
        <v>40</v>
      </c>
      <c r="F962" s="25" t="n">
        <v>3000</v>
      </c>
      <c r="G962" s="24" t="s">
        <v>59</v>
      </c>
      <c r="H962" s="24" t="s">
        <v>55</v>
      </c>
      <c r="I962" s="24" t="s">
        <v>61</v>
      </c>
      <c r="J962" s="26" t="n">
        <f aca="false">IF(A962="","",YEAR(A962))</f>
        <v>2025</v>
      </c>
      <c r="K962" s="26" t="n">
        <f aca="false">IF(A962="","",MONTH(A962))</f>
        <v>9</v>
      </c>
      <c r="L962" s="26" t="n">
        <f aca="false">IF(B962="","",VALUE(LEFT(B962,2)))</f>
        <v>18</v>
      </c>
      <c r="M962" s="26" t="n">
        <f aca="false">IF(A962="","",IF(COUNTIFS($C$2:$C$5001,C962,$J$2:$J$5001,J962,$A$2:$A$5001,"&lt;"&amp;A962)=0,1,0))</f>
        <v>0</v>
      </c>
    </row>
    <row r="963" customFormat="false" ht="15" hidden="false" customHeight="false" outlineLevel="0" collapsed="false">
      <c r="A963" s="23" t="n">
        <v>45919.8486111111</v>
      </c>
      <c r="B963" s="24" t="s">
        <v>619</v>
      </c>
      <c r="C963" s="24" t="s">
        <v>309</v>
      </c>
      <c r="D963" s="24" t="s">
        <v>66</v>
      </c>
      <c r="E963" s="24" t="n">
        <v>183</v>
      </c>
      <c r="F963" s="25" t="n">
        <v>7000</v>
      </c>
      <c r="G963" s="24" t="s">
        <v>83</v>
      </c>
      <c r="H963" s="24" t="s">
        <v>60</v>
      </c>
      <c r="I963" s="24" t="s">
        <v>61</v>
      </c>
      <c r="J963" s="26" t="n">
        <f aca="false">IF(A963="","",YEAR(A963))</f>
        <v>2025</v>
      </c>
      <c r="K963" s="26" t="n">
        <f aca="false">IF(A963="","",MONTH(A963))</f>
        <v>9</v>
      </c>
      <c r="L963" s="26" t="n">
        <f aca="false">IF(B963="","",VALUE(LEFT(B963,2)))</f>
        <v>17</v>
      </c>
      <c r="M963" s="26" t="n">
        <f aca="false">IF(A963="","",IF(COUNTIFS($C$2:$C$5001,C963,$J$2:$J$5001,J963,$A$2:$A$5001,"&lt;"&amp;A963)=0,1,0))</f>
        <v>0</v>
      </c>
    </row>
    <row r="964" customFormat="false" ht="15" hidden="false" customHeight="false" outlineLevel="0" collapsed="false">
      <c r="A964" s="23" t="n">
        <v>45919.875</v>
      </c>
      <c r="B964" s="24" t="s">
        <v>574</v>
      </c>
      <c r="C964" s="24" t="s">
        <v>461</v>
      </c>
      <c r="D964" s="24" t="s">
        <v>66</v>
      </c>
      <c r="E964" s="24" t="n">
        <v>300</v>
      </c>
      <c r="F964" s="25" t="n">
        <v>10000</v>
      </c>
      <c r="G964" s="24" t="s">
        <v>59</v>
      </c>
      <c r="H964" s="24" t="s">
        <v>80</v>
      </c>
      <c r="I964" s="24" t="s">
        <v>61</v>
      </c>
      <c r="J964" s="26" t="n">
        <f aca="false">IF(A964="","",YEAR(A964))</f>
        <v>2025</v>
      </c>
      <c r="K964" s="26" t="n">
        <f aca="false">IF(A964="","",MONTH(A964))</f>
        <v>9</v>
      </c>
      <c r="L964" s="26" t="n">
        <f aca="false">IF(B964="","",VALUE(LEFT(B964,2)))</f>
        <v>16</v>
      </c>
      <c r="M964" s="26" t="n">
        <f aca="false">IF(A964="","",IF(COUNTIFS($C$2:$C$5001,C964,$J$2:$J$5001,J964,$A$2:$A$5001,"&lt;"&amp;A964)=0,1,0))</f>
        <v>0</v>
      </c>
    </row>
    <row r="965" customFormat="false" ht="15" hidden="false" customHeight="false" outlineLevel="0" collapsed="false">
      <c r="A965" s="23" t="n">
        <v>45919.9173611111</v>
      </c>
      <c r="B965" s="24" t="s">
        <v>801</v>
      </c>
      <c r="C965" s="24" t="s">
        <v>174</v>
      </c>
      <c r="D965" s="24" t="s">
        <v>53</v>
      </c>
      <c r="E965" s="24" t="n">
        <v>208</v>
      </c>
      <c r="F965" s="25" t="n">
        <v>3500</v>
      </c>
      <c r="G965" s="24" t="s">
        <v>59</v>
      </c>
      <c r="H965" s="24" t="s">
        <v>80</v>
      </c>
      <c r="I965" s="24" t="s">
        <v>61</v>
      </c>
      <c r="J965" s="26" t="n">
        <f aca="false">IF(A965="","",YEAR(A965))</f>
        <v>2025</v>
      </c>
      <c r="K965" s="26" t="n">
        <f aca="false">IF(A965="","",MONTH(A965))</f>
        <v>9</v>
      </c>
      <c r="L965" s="26" t="n">
        <f aca="false">IF(B965="","",VALUE(LEFT(B965,2)))</f>
        <v>18</v>
      </c>
      <c r="M965" s="26" t="n">
        <f aca="false">IF(A965="","",IF(COUNTIFS($C$2:$C$5001,C965,$J$2:$J$5001,J965,$A$2:$A$5001,"&lt;"&amp;A965)=0,1,0))</f>
        <v>0</v>
      </c>
    </row>
    <row r="966" customFormat="false" ht="15" hidden="false" customHeight="false" outlineLevel="0" collapsed="false">
      <c r="A966" s="23" t="n">
        <v>45920.625</v>
      </c>
      <c r="B966" s="24" t="s">
        <v>620</v>
      </c>
      <c r="C966" s="24" t="s">
        <v>277</v>
      </c>
      <c r="D966" s="24" t="s">
        <v>66</v>
      </c>
      <c r="E966" s="24" t="n">
        <v>386</v>
      </c>
      <c r="F966" s="25" t="n">
        <v>13000</v>
      </c>
      <c r="G966" s="24" t="s">
        <v>69</v>
      </c>
      <c r="H966" s="24" t="s">
        <v>60</v>
      </c>
      <c r="I966" s="24" t="s">
        <v>61</v>
      </c>
      <c r="J966" s="26" t="n">
        <f aca="false">IF(A966="","",YEAR(A966))</f>
        <v>2025</v>
      </c>
      <c r="K966" s="26" t="n">
        <f aca="false">IF(A966="","",MONTH(A966))</f>
        <v>9</v>
      </c>
      <c r="L966" s="26" t="n">
        <f aca="false">IF(B966="","",VALUE(LEFT(B966,2)))</f>
        <v>8</v>
      </c>
      <c r="M966" s="26" t="n">
        <f aca="false">IF(A966="","",IF(COUNTIFS($C$2:$C$5001,C966,$J$2:$J$5001,J966,$A$2:$A$5001,"&lt;"&amp;A966)=0,1,0))</f>
        <v>0</v>
      </c>
    </row>
    <row r="967" customFormat="false" ht="15" hidden="false" customHeight="false" outlineLevel="0" collapsed="false">
      <c r="A967" s="23" t="n">
        <v>45920.6631944445</v>
      </c>
      <c r="B967" s="24" t="s">
        <v>770</v>
      </c>
      <c r="C967" s="24" t="s">
        <v>289</v>
      </c>
      <c r="D967" s="24" t="s">
        <v>66</v>
      </c>
      <c r="E967" s="24" t="n">
        <v>201</v>
      </c>
      <c r="F967" s="25" t="n">
        <v>7000</v>
      </c>
      <c r="G967" s="24" t="s">
        <v>59</v>
      </c>
      <c r="H967" s="24" t="s">
        <v>80</v>
      </c>
      <c r="I967" s="24" t="s">
        <v>61</v>
      </c>
      <c r="J967" s="26" t="n">
        <f aca="false">IF(A967="","",YEAR(A967))</f>
        <v>2025</v>
      </c>
      <c r="K967" s="26" t="n">
        <f aca="false">IF(A967="","",MONTH(A967))</f>
        <v>9</v>
      </c>
      <c r="L967" s="26" t="n">
        <f aca="false">IF(B967="","",VALUE(LEFT(B967,2)))</f>
        <v>12</v>
      </c>
      <c r="M967" s="26" t="n">
        <f aca="false">IF(A967="","",IF(COUNTIFS($C$2:$C$5001,C967,$J$2:$J$5001,J967,$A$2:$A$5001,"&lt;"&amp;A967)=0,1,0))</f>
        <v>0</v>
      </c>
    </row>
    <row r="968" customFormat="false" ht="15" hidden="false" customHeight="false" outlineLevel="0" collapsed="false">
      <c r="A968" s="23" t="n">
        <v>45921.6673611111</v>
      </c>
      <c r="B968" s="24" t="s">
        <v>119</v>
      </c>
      <c r="C968" s="24" t="s">
        <v>65</v>
      </c>
      <c r="D968" s="24" t="s">
        <v>127</v>
      </c>
      <c r="E968" s="24" t="n">
        <v>141</v>
      </c>
      <c r="F968" s="25" t="n">
        <v>8750</v>
      </c>
      <c r="G968" s="24" t="s">
        <v>59</v>
      </c>
      <c r="H968" s="24" t="s">
        <v>80</v>
      </c>
      <c r="I968" s="24" t="s">
        <v>61</v>
      </c>
      <c r="J968" s="26" t="n">
        <f aca="false">IF(A968="","",YEAR(A968))</f>
        <v>2025</v>
      </c>
      <c r="K968" s="26" t="n">
        <f aca="false">IF(A968="","",MONTH(A968))</f>
        <v>9</v>
      </c>
      <c r="L968" s="26" t="n">
        <f aca="false">IF(B968="","",VALUE(LEFT(B968,2)))</f>
        <v>13</v>
      </c>
      <c r="M968" s="26" t="n">
        <f aca="false">IF(A968="","",IF(COUNTIFS($C$2:$C$5001,C968,$J$2:$J$5001,J968,$A$2:$A$5001,"&lt;"&amp;A968)=0,1,0))</f>
        <v>0</v>
      </c>
    </row>
    <row r="969" customFormat="false" ht="15" hidden="false" customHeight="false" outlineLevel="0" collapsed="false">
      <c r="A969" s="23" t="n">
        <v>45921.8263888889</v>
      </c>
      <c r="B969" s="24" t="s">
        <v>590</v>
      </c>
      <c r="C969" s="24" t="s">
        <v>403</v>
      </c>
      <c r="D969" s="24" t="s">
        <v>66</v>
      </c>
      <c r="E969" s="24" t="n">
        <v>342</v>
      </c>
      <c r="F969" s="25" t="n">
        <v>12000</v>
      </c>
      <c r="G969" s="24" t="s">
        <v>69</v>
      </c>
      <c r="H969" s="24" t="s">
        <v>55</v>
      </c>
      <c r="I969" s="24" t="s">
        <v>61</v>
      </c>
      <c r="J969" s="26" t="n">
        <f aca="false">IF(A969="","",YEAR(A969))</f>
        <v>2025</v>
      </c>
      <c r="K969" s="26" t="n">
        <f aca="false">IF(A969="","",MONTH(A969))</f>
        <v>9</v>
      </c>
      <c r="L969" s="26" t="n">
        <f aca="false">IF(B969="","",VALUE(LEFT(B969,2)))</f>
        <v>14</v>
      </c>
      <c r="M969" s="26" t="n">
        <f aca="false">IF(A969="","",IF(COUNTIFS($C$2:$C$5001,C969,$J$2:$J$5001,J969,$A$2:$A$5001,"&lt;"&amp;A969)=0,1,0))</f>
        <v>0</v>
      </c>
    </row>
    <row r="970" customFormat="false" ht="15" hidden="false" customHeight="false" outlineLevel="0" collapsed="false">
      <c r="A970" s="23" t="n">
        <v>45921.8368055556</v>
      </c>
      <c r="B970" s="24" t="s">
        <v>802</v>
      </c>
      <c r="C970" s="24" t="s">
        <v>203</v>
      </c>
      <c r="D970" s="24" t="s">
        <v>53</v>
      </c>
      <c r="E970" s="24" t="n">
        <v>277</v>
      </c>
      <c r="F970" s="25" t="n">
        <v>5000</v>
      </c>
      <c r="G970" s="24" t="s">
        <v>59</v>
      </c>
      <c r="H970" s="24" t="s">
        <v>80</v>
      </c>
      <c r="I970" s="24" t="s">
        <v>61</v>
      </c>
      <c r="J970" s="26" t="n">
        <f aca="false">IF(A970="","",YEAR(A970))</f>
        <v>2025</v>
      </c>
      <c r="K970" s="26" t="n">
        <f aca="false">IF(A970="","",MONTH(A970))</f>
        <v>9</v>
      </c>
      <c r="L970" s="26" t="n">
        <f aca="false">IF(B970="","",VALUE(LEFT(B970,2)))</f>
        <v>15</v>
      </c>
      <c r="M970" s="26" t="n">
        <f aca="false">IF(A970="","",IF(COUNTIFS($C$2:$C$5001,C970,$J$2:$J$5001,J970,$A$2:$A$5001,"&lt;"&amp;A970)=0,1,0))</f>
        <v>0</v>
      </c>
    </row>
    <row r="971" customFormat="false" ht="15" hidden="false" customHeight="false" outlineLevel="0" collapsed="false">
      <c r="A971" s="23" t="n">
        <v>45921.9277777778</v>
      </c>
      <c r="B971" s="24" t="s">
        <v>694</v>
      </c>
      <c r="C971" s="24" t="s">
        <v>237</v>
      </c>
      <c r="D971" s="24" t="s">
        <v>53</v>
      </c>
      <c r="E971" s="24" t="n">
        <v>141</v>
      </c>
      <c r="F971" s="25" t="n">
        <v>2500</v>
      </c>
      <c r="G971" s="24" t="s">
        <v>69</v>
      </c>
      <c r="H971" s="24" t="s">
        <v>60</v>
      </c>
      <c r="I971" s="24" t="s">
        <v>61</v>
      </c>
      <c r="J971" s="26" t="n">
        <f aca="false">IF(A971="","",YEAR(A971))</f>
        <v>2025</v>
      </c>
      <c r="K971" s="26" t="n">
        <f aca="false">IF(A971="","",MONTH(A971))</f>
        <v>9</v>
      </c>
      <c r="L971" s="26" t="n">
        <f aca="false">IF(B971="","",VALUE(LEFT(B971,2)))</f>
        <v>19</v>
      </c>
      <c r="M971" s="26" t="n">
        <f aca="false">IF(A971="","",IF(COUNTIFS($C$2:$C$5001,C971,$J$2:$J$5001,J971,$A$2:$A$5001,"&lt;"&amp;A971)=0,1,0))</f>
        <v>0</v>
      </c>
    </row>
    <row r="972" customFormat="false" ht="15" hidden="false" customHeight="false" outlineLevel="0" collapsed="false">
      <c r="A972" s="23" t="n">
        <v>45922.5041666667</v>
      </c>
      <c r="B972" s="24" t="s">
        <v>270</v>
      </c>
      <c r="C972" s="24" t="s">
        <v>192</v>
      </c>
      <c r="D972" s="24" t="s">
        <v>53</v>
      </c>
      <c r="E972" s="24" t="n">
        <v>233</v>
      </c>
      <c r="F972" s="25" t="n">
        <v>4000</v>
      </c>
      <c r="G972" s="24" t="s">
        <v>59</v>
      </c>
      <c r="H972" s="24" t="s">
        <v>55</v>
      </c>
      <c r="I972" s="24" t="s">
        <v>61</v>
      </c>
      <c r="J972" s="26" t="n">
        <f aca="false">IF(A972="","",YEAR(A972))</f>
        <v>2025</v>
      </c>
      <c r="K972" s="26" t="n">
        <f aca="false">IF(A972="","",MONTH(A972))</f>
        <v>9</v>
      </c>
      <c r="L972" s="26" t="n">
        <f aca="false">IF(B972="","",VALUE(LEFT(B972,2)))</f>
        <v>8</v>
      </c>
      <c r="M972" s="26" t="n">
        <f aca="false">IF(A972="","",IF(COUNTIFS($C$2:$C$5001,C972,$J$2:$J$5001,J972,$A$2:$A$5001,"&lt;"&amp;A972)=0,1,0))</f>
        <v>0</v>
      </c>
    </row>
    <row r="973" customFormat="false" ht="15" hidden="false" customHeight="false" outlineLevel="0" collapsed="false">
      <c r="A973" s="23" t="n">
        <v>45922.5583333333</v>
      </c>
      <c r="B973" s="24" t="s">
        <v>350</v>
      </c>
      <c r="C973" s="24" t="s">
        <v>188</v>
      </c>
      <c r="D973" s="24" t="s">
        <v>66</v>
      </c>
      <c r="E973" s="24" t="n">
        <v>334</v>
      </c>
      <c r="F973" s="25" t="n">
        <v>12000</v>
      </c>
      <c r="G973" s="24" t="s">
        <v>54</v>
      </c>
      <c r="H973" s="24" t="s">
        <v>60</v>
      </c>
      <c r="I973" s="24" t="s">
        <v>61</v>
      </c>
      <c r="J973" s="26" t="n">
        <f aca="false">IF(A973="","",YEAR(A973))</f>
        <v>2025</v>
      </c>
      <c r="K973" s="26" t="n">
        <f aca="false">IF(A973="","",MONTH(A973))</f>
        <v>9</v>
      </c>
      <c r="L973" s="26" t="n">
        <f aca="false">IF(B973="","",VALUE(LEFT(B973,2)))</f>
        <v>7</v>
      </c>
      <c r="M973" s="26" t="n">
        <f aca="false">IF(A973="","",IF(COUNTIFS($C$2:$C$5001,C973,$J$2:$J$5001,J973,$A$2:$A$5001,"&lt;"&amp;A973)=0,1,0))</f>
        <v>0</v>
      </c>
    </row>
    <row r="974" customFormat="false" ht="15" hidden="false" customHeight="false" outlineLevel="0" collapsed="false">
      <c r="A974" s="23" t="n">
        <v>45922.5763888889</v>
      </c>
      <c r="B974" s="24" t="s">
        <v>789</v>
      </c>
      <c r="C974" s="24" t="s">
        <v>197</v>
      </c>
      <c r="D974" s="24" t="s">
        <v>66</v>
      </c>
      <c r="E974" s="24" t="n">
        <v>185</v>
      </c>
      <c r="F974" s="25" t="n">
        <v>0</v>
      </c>
      <c r="G974" s="24" t="s">
        <v>59</v>
      </c>
      <c r="H974" s="24" t="s">
        <v>55</v>
      </c>
      <c r="I974" s="24" t="s">
        <v>56</v>
      </c>
      <c r="J974" s="26" t="n">
        <f aca="false">IF(A974="","",YEAR(A974))</f>
        <v>2025</v>
      </c>
      <c r="K974" s="26" t="n">
        <f aca="false">IF(A974="","",MONTH(A974))</f>
        <v>9</v>
      </c>
      <c r="L974" s="26" t="n">
        <f aca="false">IF(B974="","",VALUE(LEFT(B974,2)))</f>
        <v>10</v>
      </c>
      <c r="M974" s="26" t="n">
        <f aca="false">IF(A974="","",IF(COUNTIFS($C$2:$C$5001,C974,$J$2:$J$5001,J974,$A$2:$A$5001,"&lt;"&amp;A974)=0,1,0))</f>
        <v>0</v>
      </c>
    </row>
    <row r="975" customFormat="false" ht="15" hidden="false" customHeight="false" outlineLevel="0" collapsed="false">
      <c r="A975" s="23" t="n">
        <v>45922.8201388889</v>
      </c>
      <c r="B975" s="24" t="s">
        <v>157</v>
      </c>
      <c r="C975" s="24" t="s">
        <v>82</v>
      </c>
      <c r="D975" s="24" t="s">
        <v>66</v>
      </c>
      <c r="E975" s="24" t="n">
        <v>257</v>
      </c>
      <c r="F975" s="25" t="n">
        <v>9000</v>
      </c>
      <c r="G975" s="24" t="s">
        <v>59</v>
      </c>
      <c r="H975" s="24" t="s">
        <v>60</v>
      </c>
      <c r="I975" s="24" t="s">
        <v>61</v>
      </c>
      <c r="J975" s="26" t="n">
        <f aca="false">IF(A975="","",YEAR(A975))</f>
        <v>2025</v>
      </c>
      <c r="K975" s="26" t="n">
        <f aca="false">IF(A975="","",MONTH(A975))</f>
        <v>9</v>
      </c>
      <c r="L975" s="26" t="n">
        <f aca="false">IF(B975="","",VALUE(LEFT(B975,2)))</f>
        <v>15</v>
      </c>
      <c r="M975" s="26" t="n">
        <f aca="false">IF(A975="","",IF(COUNTIFS($C$2:$C$5001,C975,$J$2:$J$5001,J975,$A$2:$A$5001,"&lt;"&amp;A975)=0,1,0))</f>
        <v>0</v>
      </c>
    </row>
    <row r="976" customFormat="false" ht="15" hidden="false" customHeight="false" outlineLevel="0" collapsed="false">
      <c r="A976" s="23" t="n">
        <v>45922.8965277778</v>
      </c>
      <c r="B976" s="24" t="s">
        <v>536</v>
      </c>
      <c r="C976" s="24" t="s">
        <v>197</v>
      </c>
      <c r="D976" s="24" t="s">
        <v>53</v>
      </c>
      <c r="E976" s="24" t="n">
        <v>138</v>
      </c>
      <c r="F976" s="25" t="n">
        <v>2500</v>
      </c>
      <c r="G976" s="24" t="s">
        <v>79</v>
      </c>
      <c r="H976" s="24" t="s">
        <v>55</v>
      </c>
      <c r="I976" s="24" t="s">
        <v>61</v>
      </c>
      <c r="J976" s="26" t="n">
        <f aca="false">IF(A976="","",YEAR(A976))</f>
        <v>2025</v>
      </c>
      <c r="K976" s="26" t="n">
        <f aca="false">IF(A976="","",MONTH(A976))</f>
        <v>9</v>
      </c>
      <c r="L976" s="26" t="n">
        <f aca="false">IF(B976="","",VALUE(LEFT(B976,2)))</f>
        <v>19</v>
      </c>
      <c r="M976" s="26" t="n">
        <f aca="false">IF(A976="","",IF(COUNTIFS($C$2:$C$5001,C976,$J$2:$J$5001,J976,$A$2:$A$5001,"&lt;"&amp;A976)=0,1,0))</f>
        <v>0</v>
      </c>
    </row>
    <row r="977" customFormat="false" ht="15" hidden="false" customHeight="false" outlineLevel="0" collapsed="false">
      <c r="A977" s="23" t="n">
        <v>45922.9472222222</v>
      </c>
      <c r="B977" s="24" t="s">
        <v>378</v>
      </c>
      <c r="C977" s="24" t="s">
        <v>197</v>
      </c>
      <c r="D977" s="24" t="s">
        <v>66</v>
      </c>
      <c r="E977" s="24" t="n">
        <v>252</v>
      </c>
      <c r="F977" s="25" t="n">
        <v>9000</v>
      </c>
      <c r="G977" s="24" t="s">
        <v>59</v>
      </c>
      <c r="H977" s="24" t="s">
        <v>60</v>
      </c>
      <c r="I977" s="24" t="s">
        <v>61</v>
      </c>
      <c r="J977" s="26" t="n">
        <f aca="false">IF(A977="","",YEAR(A977))</f>
        <v>2025</v>
      </c>
      <c r="K977" s="26" t="n">
        <f aca="false">IF(A977="","",MONTH(A977))</f>
        <v>9</v>
      </c>
      <c r="L977" s="26" t="n">
        <f aca="false">IF(B977="","",VALUE(LEFT(B977,2)))</f>
        <v>18</v>
      </c>
      <c r="M977" s="26" t="n">
        <f aca="false">IF(A977="","",IF(COUNTIFS($C$2:$C$5001,C977,$J$2:$J$5001,J977,$A$2:$A$5001,"&lt;"&amp;A977)=0,1,0))</f>
        <v>0</v>
      </c>
    </row>
    <row r="978" customFormat="false" ht="15" hidden="false" customHeight="false" outlineLevel="0" collapsed="false">
      <c r="A978" s="23" t="n">
        <v>45923.4673611111</v>
      </c>
      <c r="B978" s="24" t="s">
        <v>341</v>
      </c>
      <c r="C978" s="24" t="s">
        <v>442</v>
      </c>
      <c r="D978" s="24" t="s">
        <v>66</v>
      </c>
      <c r="E978" s="24" t="n">
        <v>65</v>
      </c>
      <c r="F978" s="25" t="n">
        <v>3000</v>
      </c>
      <c r="G978" s="24" t="s">
        <v>69</v>
      </c>
      <c r="H978" s="24" t="s">
        <v>80</v>
      </c>
      <c r="I978" s="24" t="s">
        <v>61</v>
      </c>
      <c r="J978" s="26" t="n">
        <f aca="false">IF(A978="","",YEAR(A978))</f>
        <v>2025</v>
      </c>
      <c r="K978" s="26" t="n">
        <f aca="false">IF(A978="","",MONTH(A978))</f>
        <v>9</v>
      </c>
      <c r="L978" s="26" t="n">
        <f aca="false">IF(B978="","",VALUE(LEFT(B978,2)))</f>
        <v>10</v>
      </c>
      <c r="M978" s="26" t="n">
        <f aca="false">IF(A978="","",IF(COUNTIFS($C$2:$C$5001,C978,$J$2:$J$5001,J978,$A$2:$A$5001,"&lt;"&amp;A978)=0,1,0))</f>
        <v>0</v>
      </c>
    </row>
    <row r="979" customFormat="false" ht="15" hidden="false" customHeight="false" outlineLevel="0" collapsed="false">
      <c r="A979" s="23" t="n">
        <v>45924.525</v>
      </c>
      <c r="B979" s="24" t="s">
        <v>803</v>
      </c>
      <c r="C979" s="24" t="s">
        <v>512</v>
      </c>
      <c r="D979" s="24" t="s">
        <v>53</v>
      </c>
      <c r="E979" s="24" t="n">
        <v>113</v>
      </c>
      <c r="F979" s="25" t="n">
        <v>2000</v>
      </c>
      <c r="G979" s="24" t="s">
        <v>54</v>
      </c>
      <c r="H979" s="24" t="s">
        <v>60</v>
      </c>
      <c r="I979" s="24" t="s">
        <v>61</v>
      </c>
      <c r="J979" s="26" t="n">
        <f aca="false">IF(A979="","",YEAR(A979))</f>
        <v>2025</v>
      </c>
      <c r="K979" s="26" t="n">
        <f aca="false">IF(A979="","",MONTH(A979))</f>
        <v>9</v>
      </c>
      <c r="L979" s="26" t="n">
        <f aca="false">IF(B979="","",VALUE(LEFT(B979,2)))</f>
        <v>10</v>
      </c>
      <c r="M979" s="26" t="n">
        <f aca="false">IF(A979="","",IF(COUNTIFS($C$2:$C$5001,C979,$J$2:$J$5001,J979,$A$2:$A$5001,"&lt;"&amp;A979)=0,1,0))</f>
        <v>0</v>
      </c>
    </row>
    <row r="980" customFormat="false" ht="15" hidden="false" customHeight="false" outlineLevel="0" collapsed="false">
      <c r="A980" s="23" t="n">
        <v>45924.8104166667</v>
      </c>
      <c r="B980" s="24" t="s">
        <v>371</v>
      </c>
      <c r="C980" s="24" t="s">
        <v>145</v>
      </c>
      <c r="D980" s="24" t="s">
        <v>88</v>
      </c>
      <c r="E980" s="24" t="n">
        <v>178</v>
      </c>
      <c r="F980" s="25" t="n">
        <v>7650</v>
      </c>
      <c r="G980" s="24" t="s">
        <v>59</v>
      </c>
      <c r="H980" s="24" t="s">
        <v>60</v>
      </c>
      <c r="I980" s="24" t="s">
        <v>113</v>
      </c>
      <c r="J980" s="26" t="n">
        <f aca="false">IF(A980="","",YEAR(A980))</f>
        <v>2025</v>
      </c>
      <c r="K980" s="26" t="n">
        <f aca="false">IF(A980="","",MONTH(A980))</f>
        <v>9</v>
      </c>
      <c r="L980" s="26" t="n">
        <f aca="false">IF(B980="","",VALUE(LEFT(B980,2)))</f>
        <v>16</v>
      </c>
      <c r="M980" s="26" t="n">
        <f aca="false">IF(A980="","",IF(COUNTIFS($C$2:$C$5001,C980,$J$2:$J$5001,J980,$A$2:$A$5001,"&lt;"&amp;A980)=0,1,0))</f>
        <v>0</v>
      </c>
    </row>
    <row r="981" customFormat="false" ht="15" hidden="false" customHeight="false" outlineLevel="0" collapsed="false">
      <c r="A981" s="23" t="n">
        <v>45925.6798611111</v>
      </c>
      <c r="B981" s="24" t="s">
        <v>647</v>
      </c>
      <c r="C981" s="24" t="s">
        <v>286</v>
      </c>
      <c r="D981" s="24" t="s">
        <v>66</v>
      </c>
      <c r="E981" s="24" t="n">
        <v>217</v>
      </c>
      <c r="F981" s="25" t="n">
        <v>8000</v>
      </c>
      <c r="G981" s="24" t="s">
        <v>69</v>
      </c>
      <c r="H981" s="24" t="s">
        <v>80</v>
      </c>
      <c r="I981" s="24" t="s">
        <v>61</v>
      </c>
      <c r="J981" s="26" t="n">
        <f aca="false">IF(A981="","",YEAR(A981))</f>
        <v>2025</v>
      </c>
      <c r="K981" s="26" t="n">
        <f aca="false">IF(A981="","",MONTH(A981))</f>
        <v>9</v>
      </c>
      <c r="L981" s="26" t="n">
        <f aca="false">IF(B981="","",VALUE(LEFT(B981,2)))</f>
        <v>12</v>
      </c>
      <c r="M981" s="26" t="n">
        <f aca="false">IF(A981="","",IF(COUNTIFS($C$2:$C$5001,C981,$J$2:$J$5001,J981,$A$2:$A$5001,"&lt;"&amp;A981)=0,1,0))</f>
        <v>0</v>
      </c>
    </row>
    <row r="982" customFormat="false" ht="15" hidden="false" customHeight="false" outlineLevel="0" collapsed="false">
      <c r="A982" s="23" t="n">
        <v>45925.725</v>
      </c>
      <c r="B982" s="24" t="s">
        <v>601</v>
      </c>
      <c r="C982" s="24" t="s">
        <v>430</v>
      </c>
      <c r="D982" s="24" t="s">
        <v>66</v>
      </c>
      <c r="E982" s="24" t="n">
        <v>63</v>
      </c>
      <c r="F982" s="25" t="n">
        <v>3000</v>
      </c>
      <c r="G982" s="24" t="s">
        <v>59</v>
      </c>
      <c r="H982" s="24" t="s">
        <v>60</v>
      </c>
      <c r="I982" s="24" t="s">
        <v>61</v>
      </c>
      <c r="J982" s="26" t="n">
        <f aca="false">IF(A982="","",YEAR(A982))</f>
        <v>2025</v>
      </c>
      <c r="K982" s="26" t="n">
        <f aca="false">IF(A982="","",MONTH(A982))</f>
        <v>9</v>
      </c>
      <c r="L982" s="26" t="n">
        <f aca="false">IF(B982="","",VALUE(LEFT(B982,2)))</f>
        <v>16</v>
      </c>
      <c r="M982" s="26" t="n">
        <f aca="false">IF(A982="","",IF(COUNTIFS($C$2:$C$5001,C982,$J$2:$J$5001,J982,$A$2:$A$5001,"&lt;"&amp;A982)=0,1,0))</f>
        <v>0</v>
      </c>
    </row>
    <row r="983" customFormat="false" ht="15" hidden="false" customHeight="false" outlineLevel="0" collapsed="false">
      <c r="A983" s="23" t="n">
        <v>45925.7847222222</v>
      </c>
      <c r="B983" s="24" t="s">
        <v>646</v>
      </c>
      <c r="C983" s="24" t="s">
        <v>263</v>
      </c>
      <c r="D983" s="24" t="s">
        <v>66</v>
      </c>
      <c r="E983" s="24" t="n">
        <v>402</v>
      </c>
      <c r="F983" s="25" t="n">
        <v>0</v>
      </c>
      <c r="G983" s="24" t="s">
        <v>83</v>
      </c>
      <c r="H983" s="24" t="s">
        <v>80</v>
      </c>
      <c r="I983" s="24" t="s">
        <v>56</v>
      </c>
      <c r="J983" s="26" t="n">
        <f aca="false">IF(A983="","",YEAR(A983))</f>
        <v>2025</v>
      </c>
      <c r="K983" s="26" t="n">
        <f aca="false">IF(A983="","",MONTH(A983))</f>
        <v>9</v>
      </c>
      <c r="L983" s="26" t="n">
        <f aca="false">IF(B983="","",VALUE(LEFT(B983,2)))</f>
        <v>12</v>
      </c>
      <c r="M983" s="26" t="n">
        <f aca="false">IF(A983="","",IF(COUNTIFS($C$2:$C$5001,C983,$J$2:$J$5001,J983,$A$2:$A$5001,"&lt;"&amp;A983)=0,1,0))</f>
        <v>0</v>
      </c>
    </row>
    <row r="984" customFormat="false" ht="15" hidden="false" customHeight="false" outlineLevel="0" collapsed="false">
      <c r="A984" s="23" t="n">
        <v>45925.8979166667</v>
      </c>
      <c r="B984" s="24" t="s">
        <v>732</v>
      </c>
      <c r="C984" s="24" t="s">
        <v>160</v>
      </c>
      <c r="D984" s="24" t="s">
        <v>88</v>
      </c>
      <c r="E984" s="24" t="n">
        <v>115</v>
      </c>
      <c r="F984" s="25" t="n">
        <v>6000</v>
      </c>
      <c r="G984" s="24" t="s">
        <v>59</v>
      </c>
      <c r="H984" s="24" t="s">
        <v>60</v>
      </c>
      <c r="I984" s="24" t="s">
        <v>61</v>
      </c>
      <c r="J984" s="26" t="n">
        <f aca="false">IF(A984="","",YEAR(A984))</f>
        <v>2025</v>
      </c>
      <c r="K984" s="26" t="n">
        <f aca="false">IF(A984="","",MONTH(A984))</f>
        <v>9</v>
      </c>
      <c r="L984" s="26" t="n">
        <f aca="false">IF(B984="","",VALUE(LEFT(B984,2)))</f>
        <v>19</v>
      </c>
      <c r="M984" s="26" t="n">
        <f aca="false">IF(A984="","",IF(COUNTIFS($C$2:$C$5001,C984,$J$2:$J$5001,J984,$A$2:$A$5001,"&lt;"&amp;A984)=0,1,0))</f>
        <v>0</v>
      </c>
    </row>
    <row r="985" customFormat="false" ht="15" hidden="false" customHeight="false" outlineLevel="0" collapsed="false">
      <c r="A985" s="23" t="n">
        <v>45926.5173611111</v>
      </c>
      <c r="B985" s="24" t="s">
        <v>272</v>
      </c>
      <c r="C985" s="24" t="s">
        <v>345</v>
      </c>
      <c r="D985" s="24" t="s">
        <v>88</v>
      </c>
      <c r="E985" s="24" t="n">
        <v>228</v>
      </c>
      <c r="F985" s="25" t="n">
        <v>12000</v>
      </c>
      <c r="G985" s="24" t="s">
        <v>59</v>
      </c>
      <c r="H985" s="24" t="s">
        <v>55</v>
      </c>
      <c r="I985" s="24" t="s">
        <v>61</v>
      </c>
      <c r="J985" s="26" t="n">
        <f aca="false">IF(A985="","",YEAR(A985))</f>
        <v>2025</v>
      </c>
      <c r="K985" s="26" t="n">
        <f aca="false">IF(A985="","",MONTH(A985))</f>
        <v>9</v>
      </c>
      <c r="L985" s="26" t="n">
        <f aca="false">IF(B985="","",VALUE(LEFT(B985,2)))</f>
        <v>8</v>
      </c>
      <c r="M985" s="26" t="n">
        <f aca="false">IF(A985="","",IF(COUNTIFS($C$2:$C$5001,C985,$J$2:$J$5001,J985,$A$2:$A$5001,"&lt;"&amp;A985)=0,1,0))</f>
        <v>0</v>
      </c>
    </row>
    <row r="986" customFormat="false" ht="15" hidden="false" customHeight="false" outlineLevel="0" collapsed="false">
      <c r="A986" s="23" t="n">
        <v>45926.6381944444</v>
      </c>
      <c r="B986" s="24" t="s">
        <v>57</v>
      </c>
      <c r="C986" s="24" t="s">
        <v>160</v>
      </c>
      <c r="D986" s="24" t="s">
        <v>53</v>
      </c>
      <c r="E986" s="24" t="n">
        <v>363</v>
      </c>
      <c r="F986" s="25" t="n">
        <v>6500</v>
      </c>
      <c r="G986" s="24" t="s">
        <v>83</v>
      </c>
      <c r="H986" s="24" t="s">
        <v>80</v>
      </c>
      <c r="I986" s="24" t="s">
        <v>61</v>
      </c>
      <c r="J986" s="26" t="n">
        <f aca="false">IF(A986="","",YEAR(A986))</f>
        <v>2025</v>
      </c>
      <c r="K986" s="26" t="n">
        <f aca="false">IF(A986="","",MONTH(A986))</f>
        <v>9</v>
      </c>
      <c r="L986" s="26" t="n">
        <f aca="false">IF(B986="","",VALUE(LEFT(B986,2)))</f>
        <v>9</v>
      </c>
      <c r="M986" s="26" t="n">
        <f aca="false">IF(A986="","",IF(COUNTIFS($C$2:$C$5001,C986,$J$2:$J$5001,J986,$A$2:$A$5001,"&lt;"&amp;A986)=0,1,0))</f>
        <v>0</v>
      </c>
    </row>
    <row r="987" customFormat="false" ht="15" hidden="false" customHeight="false" outlineLevel="0" collapsed="false">
      <c r="A987" s="23" t="n">
        <v>45926.8416666667</v>
      </c>
      <c r="B987" s="24" t="s">
        <v>804</v>
      </c>
      <c r="C987" s="24" t="s">
        <v>141</v>
      </c>
      <c r="D987" s="24" t="s">
        <v>66</v>
      </c>
      <c r="E987" s="24" t="n">
        <v>117</v>
      </c>
      <c r="F987" s="25" t="n">
        <v>4000</v>
      </c>
      <c r="G987" s="24" t="s">
        <v>59</v>
      </c>
      <c r="H987" s="24" t="s">
        <v>80</v>
      </c>
      <c r="I987" s="24" t="s">
        <v>61</v>
      </c>
      <c r="J987" s="26" t="n">
        <f aca="false">IF(A987="","",YEAR(A987))</f>
        <v>2025</v>
      </c>
      <c r="K987" s="26" t="n">
        <f aca="false">IF(A987="","",MONTH(A987))</f>
        <v>9</v>
      </c>
      <c r="L987" s="26" t="n">
        <f aca="false">IF(B987="","",VALUE(LEFT(B987,2)))</f>
        <v>18</v>
      </c>
      <c r="M987" s="26" t="n">
        <f aca="false">IF(A987="","",IF(COUNTIFS($C$2:$C$5001,C987,$J$2:$J$5001,J987,$A$2:$A$5001,"&lt;"&amp;A987)=0,1,0))</f>
        <v>0</v>
      </c>
    </row>
    <row r="988" customFormat="false" ht="15" hidden="false" customHeight="false" outlineLevel="0" collapsed="false">
      <c r="A988" s="23" t="n">
        <v>45927.0333333333</v>
      </c>
      <c r="B988" s="24" t="s">
        <v>702</v>
      </c>
      <c r="C988" s="24" t="s">
        <v>227</v>
      </c>
      <c r="D988" s="24" t="s">
        <v>66</v>
      </c>
      <c r="E988" s="24" t="n">
        <v>313</v>
      </c>
      <c r="F988" s="25" t="n">
        <v>0</v>
      </c>
      <c r="G988" s="24" t="s">
        <v>69</v>
      </c>
      <c r="H988" s="24" t="s">
        <v>80</v>
      </c>
      <c r="I988" s="24" t="s">
        <v>56</v>
      </c>
      <c r="J988" s="26" t="n">
        <f aca="false">IF(A988="","",YEAR(A988))</f>
        <v>2025</v>
      </c>
      <c r="K988" s="26" t="n">
        <f aca="false">IF(A988="","",MONTH(A988))</f>
        <v>9</v>
      </c>
      <c r="L988" s="26" t="n">
        <f aca="false">IF(B988="","",VALUE(LEFT(B988,2)))</f>
        <v>19</v>
      </c>
      <c r="M988" s="26" t="n">
        <f aca="false">IF(A988="","",IF(COUNTIFS($C$2:$C$5001,C988,$J$2:$J$5001,J988,$A$2:$A$5001,"&lt;"&amp;A988)=0,1,0))</f>
        <v>0</v>
      </c>
    </row>
    <row r="989" customFormat="false" ht="15" hidden="false" customHeight="false" outlineLevel="0" collapsed="false">
      <c r="A989" s="23" t="n">
        <v>45927.6041666667</v>
      </c>
      <c r="B989" s="24" t="s">
        <v>498</v>
      </c>
      <c r="C989" s="24" t="s">
        <v>192</v>
      </c>
      <c r="D989" s="24" t="s">
        <v>66</v>
      </c>
      <c r="E989" s="24" t="n">
        <v>175</v>
      </c>
      <c r="F989" s="25" t="n">
        <v>6000</v>
      </c>
      <c r="G989" s="24" t="s">
        <v>59</v>
      </c>
      <c r="H989" s="24" t="s">
        <v>60</v>
      </c>
      <c r="I989" s="24" t="s">
        <v>61</v>
      </c>
      <c r="J989" s="26" t="n">
        <f aca="false">IF(A989="","",YEAR(A989))</f>
        <v>2025</v>
      </c>
      <c r="K989" s="26" t="n">
        <f aca="false">IF(A989="","",MONTH(A989))</f>
        <v>9</v>
      </c>
      <c r="L989" s="26" t="n">
        <f aca="false">IF(B989="","",VALUE(LEFT(B989,2)))</f>
        <v>11</v>
      </c>
      <c r="M989" s="26" t="n">
        <f aca="false">IF(A989="","",IF(COUNTIFS($C$2:$C$5001,C989,$J$2:$J$5001,J989,$A$2:$A$5001,"&lt;"&amp;A989)=0,1,0))</f>
        <v>0</v>
      </c>
    </row>
    <row r="990" customFormat="false" ht="15" hidden="false" customHeight="false" outlineLevel="0" collapsed="false">
      <c r="A990" s="23" t="n">
        <v>45927.73125</v>
      </c>
      <c r="B990" s="24" t="s">
        <v>805</v>
      </c>
      <c r="C990" s="24" t="s">
        <v>120</v>
      </c>
      <c r="D990" s="24" t="s">
        <v>66</v>
      </c>
      <c r="E990" s="24" t="n">
        <v>278</v>
      </c>
      <c r="F990" s="25" t="n">
        <v>10000</v>
      </c>
      <c r="G990" s="24" t="s">
        <v>59</v>
      </c>
      <c r="H990" s="24" t="s">
        <v>60</v>
      </c>
      <c r="I990" s="24" t="s">
        <v>61</v>
      </c>
      <c r="J990" s="26" t="n">
        <f aca="false">IF(A990="","",YEAR(A990))</f>
        <v>2025</v>
      </c>
      <c r="K990" s="26" t="n">
        <f aca="false">IF(A990="","",MONTH(A990))</f>
        <v>9</v>
      </c>
      <c r="L990" s="26" t="n">
        <f aca="false">IF(B990="","",VALUE(LEFT(B990,2)))</f>
        <v>12</v>
      </c>
      <c r="M990" s="26" t="n">
        <f aca="false">IF(A990="","",IF(COUNTIFS($C$2:$C$5001,C990,$J$2:$J$5001,J990,$A$2:$A$5001,"&lt;"&amp;A990)=0,1,0))</f>
        <v>0</v>
      </c>
    </row>
    <row r="991" customFormat="false" ht="15" hidden="false" customHeight="false" outlineLevel="0" collapsed="false">
      <c r="A991" s="23" t="n">
        <v>45927.7430555556</v>
      </c>
      <c r="B991" s="24" t="s">
        <v>806</v>
      </c>
      <c r="C991" s="24" t="s">
        <v>94</v>
      </c>
      <c r="D991" s="24" t="s">
        <v>72</v>
      </c>
      <c r="E991" s="24" t="n">
        <v>391</v>
      </c>
      <c r="F991" s="25" t="n">
        <v>28000</v>
      </c>
      <c r="G991" s="24" t="s">
        <v>59</v>
      </c>
      <c r="H991" s="24" t="s">
        <v>55</v>
      </c>
      <c r="I991" s="24" t="s">
        <v>61</v>
      </c>
      <c r="J991" s="26" t="n">
        <f aca="false">IF(A991="","",YEAR(A991))</f>
        <v>2025</v>
      </c>
      <c r="K991" s="26" t="n">
        <f aca="false">IF(A991="","",MONTH(A991))</f>
        <v>9</v>
      </c>
      <c r="L991" s="26" t="n">
        <f aca="false">IF(B991="","",VALUE(LEFT(B991,2)))</f>
        <v>11</v>
      </c>
      <c r="M991" s="26" t="n">
        <f aca="false">IF(A991="","",IF(COUNTIFS($C$2:$C$5001,C991,$J$2:$J$5001,J991,$A$2:$A$5001,"&lt;"&amp;A991)=0,1,0))</f>
        <v>0</v>
      </c>
    </row>
    <row r="992" customFormat="false" ht="15" hidden="false" customHeight="false" outlineLevel="0" collapsed="false">
      <c r="A992" s="23" t="n">
        <v>45928.1090277778</v>
      </c>
      <c r="B992" s="24" t="s">
        <v>419</v>
      </c>
      <c r="C992" s="24" t="s">
        <v>240</v>
      </c>
      <c r="D992" s="24" t="s">
        <v>53</v>
      </c>
      <c r="E992" s="24" t="n">
        <v>391</v>
      </c>
      <c r="F992" s="25" t="n">
        <v>0</v>
      </c>
      <c r="G992" s="24" t="s">
        <v>59</v>
      </c>
      <c r="H992" s="24" t="s">
        <v>55</v>
      </c>
      <c r="I992" s="24" t="s">
        <v>56</v>
      </c>
      <c r="J992" s="26" t="n">
        <f aca="false">IF(A992="","",YEAR(A992))</f>
        <v>2025</v>
      </c>
      <c r="K992" s="26" t="n">
        <f aca="false">IF(A992="","",MONTH(A992))</f>
        <v>9</v>
      </c>
      <c r="L992" s="26" t="n">
        <f aca="false">IF(B992="","",VALUE(LEFT(B992,2)))</f>
        <v>20</v>
      </c>
      <c r="M992" s="26" t="n">
        <f aca="false">IF(A992="","",IF(COUNTIFS($C$2:$C$5001,C992,$J$2:$J$5001,J992,$A$2:$A$5001,"&lt;"&amp;A992)=0,1,0))</f>
        <v>0</v>
      </c>
    </row>
    <row r="993" customFormat="false" ht="15" hidden="false" customHeight="false" outlineLevel="0" collapsed="false">
      <c r="A993" s="23" t="n">
        <v>45928.5979166667</v>
      </c>
      <c r="B993" s="24" t="s">
        <v>807</v>
      </c>
      <c r="C993" s="24" t="s">
        <v>286</v>
      </c>
      <c r="D993" s="24" t="s">
        <v>66</v>
      </c>
      <c r="E993" s="24" t="n">
        <v>394</v>
      </c>
      <c r="F993" s="25" t="n">
        <v>14000</v>
      </c>
      <c r="G993" s="24" t="s">
        <v>69</v>
      </c>
      <c r="H993" s="24" t="s">
        <v>60</v>
      </c>
      <c r="I993" s="24" t="s">
        <v>61</v>
      </c>
      <c r="J993" s="26" t="n">
        <f aca="false">IF(A993="","",YEAR(A993))</f>
        <v>2025</v>
      </c>
      <c r="K993" s="26" t="n">
        <f aca="false">IF(A993="","",MONTH(A993))</f>
        <v>9</v>
      </c>
      <c r="L993" s="26" t="n">
        <f aca="false">IF(B993="","",VALUE(LEFT(B993,2)))</f>
        <v>7</v>
      </c>
      <c r="M993" s="26" t="n">
        <f aca="false">IF(A993="","",IF(COUNTIFS($C$2:$C$5001,C993,$J$2:$J$5001,J993,$A$2:$A$5001,"&lt;"&amp;A993)=0,1,0))</f>
        <v>0</v>
      </c>
    </row>
    <row r="994" customFormat="false" ht="15" hidden="false" customHeight="false" outlineLevel="0" collapsed="false">
      <c r="A994" s="23" t="n">
        <v>45928.7784722222</v>
      </c>
      <c r="B994" s="24" t="s">
        <v>315</v>
      </c>
      <c r="C994" s="24" t="s">
        <v>94</v>
      </c>
      <c r="D994" s="24" t="s">
        <v>66</v>
      </c>
      <c r="E994" s="24" t="n">
        <v>324</v>
      </c>
      <c r="F994" s="25" t="n">
        <v>11000</v>
      </c>
      <c r="G994" s="24" t="s">
        <v>59</v>
      </c>
      <c r="H994" s="24" t="s">
        <v>80</v>
      </c>
      <c r="I994" s="24" t="s">
        <v>61</v>
      </c>
      <c r="J994" s="26" t="n">
        <f aca="false">IF(A994="","",YEAR(A994))</f>
        <v>2025</v>
      </c>
      <c r="K994" s="26" t="n">
        <f aca="false">IF(A994="","",MONTH(A994))</f>
        <v>9</v>
      </c>
      <c r="L994" s="26" t="n">
        <f aca="false">IF(B994="","",VALUE(LEFT(B994,2)))</f>
        <v>13</v>
      </c>
      <c r="M994" s="26" t="n">
        <f aca="false">IF(A994="","",IF(COUNTIFS($C$2:$C$5001,C994,$J$2:$J$5001,J994,$A$2:$A$5001,"&lt;"&amp;A994)=0,1,0))</f>
        <v>0</v>
      </c>
    </row>
    <row r="995" customFormat="false" ht="15" hidden="false" customHeight="false" outlineLevel="0" collapsed="false">
      <c r="A995" s="23" t="n">
        <v>45929.00625</v>
      </c>
      <c r="B995" s="24" t="s">
        <v>372</v>
      </c>
      <c r="C995" s="24" t="s">
        <v>112</v>
      </c>
      <c r="D995" s="24" t="s">
        <v>66</v>
      </c>
      <c r="E995" s="24" t="n">
        <v>329</v>
      </c>
      <c r="F995" s="25" t="n">
        <v>11000</v>
      </c>
      <c r="G995" s="24" t="s">
        <v>59</v>
      </c>
      <c r="H995" s="24" t="s">
        <v>60</v>
      </c>
      <c r="I995" s="24" t="s">
        <v>61</v>
      </c>
      <c r="J995" s="26" t="n">
        <f aca="false">IF(A995="","",YEAR(A995))</f>
        <v>2025</v>
      </c>
      <c r="K995" s="26" t="n">
        <f aca="false">IF(A995="","",MONTH(A995))</f>
        <v>9</v>
      </c>
      <c r="L995" s="26" t="n">
        <f aca="false">IF(B995="","",VALUE(LEFT(B995,2)))</f>
        <v>18</v>
      </c>
      <c r="M995" s="26" t="n">
        <f aca="false">IF(A995="","",IF(COUNTIFS($C$2:$C$5001,C995,$J$2:$J$5001,J995,$A$2:$A$5001,"&lt;"&amp;A995)=0,1,0))</f>
        <v>0</v>
      </c>
    </row>
    <row r="996" customFormat="false" ht="15" hidden="false" customHeight="false" outlineLevel="0" collapsed="false">
      <c r="A996" s="23" t="n">
        <v>45929.1125</v>
      </c>
      <c r="B996" s="24" t="s">
        <v>808</v>
      </c>
      <c r="C996" s="24" t="s">
        <v>475</v>
      </c>
      <c r="D996" s="24" t="s">
        <v>66</v>
      </c>
      <c r="E996" s="24" t="n">
        <v>360</v>
      </c>
      <c r="F996" s="25" t="n">
        <v>12000</v>
      </c>
      <c r="G996" s="24" t="s">
        <v>69</v>
      </c>
      <c r="H996" s="24" t="s">
        <v>60</v>
      </c>
      <c r="I996" s="24" t="s">
        <v>61</v>
      </c>
      <c r="J996" s="26" t="n">
        <f aca="false">IF(A996="","",YEAR(A996))</f>
        <v>2025</v>
      </c>
      <c r="K996" s="26" t="n">
        <f aca="false">IF(A996="","",MONTH(A996))</f>
        <v>9</v>
      </c>
      <c r="L996" s="26" t="n">
        <f aca="false">IF(B996="","",VALUE(LEFT(B996,2)))</f>
        <v>20</v>
      </c>
      <c r="M996" s="26" t="n">
        <f aca="false">IF(A996="","",IF(COUNTIFS($C$2:$C$5001,C996,$J$2:$J$5001,J996,$A$2:$A$5001,"&lt;"&amp;A996)=0,1,0))</f>
        <v>0</v>
      </c>
    </row>
    <row r="997" customFormat="false" ht="15" hidden="false" customHeight="false" outlineLevel="0" collapsed="false">
      <c r="A997" s="23" t="n">
        <v>45931.6715277778</v>
      </c>
      <c r="B997" s="24" t="s">
        <v>809</v>
      </c>
      <c r="C997" s="24" t="s">
        <v>143</v>
      </c>
      <c r="D997" s="24" t="s">
        <v>88</v>
      </c>
      <c r="E997" s="24" t="n">
        <v>56</v>
      </c>
      <c r="F997" s="25" t="n">
        <v>3000</v>
      </c>
      <c r="G997" s="24" t="s">
        <v>59</v>
      </c>
      <c r="H997" s="24" t="s">
        <v>80</v>
      </c>
      <c r="I997" s="24" t="s">
        <v>61</v>
      </c>
      <c r="J997" s="26" t="n">
        <f aca="false">IF(A997="","",YEAR(A997))</f>
        <v>2025</v>
      </c>
      <c r="K997" s="26" t="n">
        <f aca="false">IF(A997="","",MONTH(A997))</f>
        <v>10</v>
      </c>
      <c r="L997" s="26" t="n">
        <f aca="false">IF(B997="","",VALUE(LEFT(B997,2)))</f>
        <v>15</v>
      </c>
      <c r="M997" s="26" t="n">
        <f aca="false">IF(A997="","",IF(COUNTIFS($C$2:$C$5001,C997,$J$2:$J$5001,J997,$A$2:$A$5001,"&lt;"&amp;A997)=0,1,0))</f>
        <v>0</v>
      </c>
    </row>
    <row r="998" customFormat="false" ht="15" hidden="false" customHeight="false" outlineLevel="0" collapsed="false">
      <c r="A998" s="23" t="n">
        <v>45932.3569444444</v>
      </c>
      <c r="B998" s="24" t="s">
        <v>101</v>
      </c>
      <c r="C998" s="24" t="s">
        <v>222</v>
      </c>
      <c r="D998" s="24" t="s">
        <v>66</v>
      </c>
      <c r="E998" s="24" t="n">
        <v>32</v>
      </c>
      <c r="F998" s="25" t="n">
        <v>2000</v>
      </c>
      <c r="G998" s="24" t="s">
        <v>59</v>
      </c>
      <c r="H998" s="24" t="s">
        <v>60</v>
      </c>
      <c r="I998" s="24" t="s">
        <v>61</v>
      </c>
      <c r="J998" s="26" t="n">
        <f aca="false">IF(A998="","",YEAR(A998))</f>
        <v>2025</v>
      </c>
      <c r="K998" s="26" t="n">
        <f aca="false">IF(A998="","",MONTH(A998))</f>
        <v>10</v>
      </c>
      <c r="L998" s="26" t="n">
        <f aca="false">IF(B998="","",VALUE(LEFT(B998,2)))</f>
        <v>8</v>
      </c>
      <c r="M998" s="26" t="n">
        <f aca="false">IF(A998="","",IF(COUNTIFS($C$2:$C$5001,C998,$J$2:$J$5001,J998,$A$2:$A$5001,"&lt;"&amp;A998)=0,1,0))</f>
        <v>0</v>
      </c>
    </row>
    <row r="999" customFormat="false" ht="15" hidden="false" customHeight="false" outlineLevel="0" collapsed="false">
      <c r="A999" s="23" t="n">
        <v>45932.6479166667</v>
      </c>
      <c r="B999" s="24" t="s">
        <v>714</v>
      </c>
      <c r="C999" s="24" t="s">
        <v>467</v>
      </c>
      <c r="D999" s="24" t="s">
        <v>66</v>
      </c>
      <c r="E999" s="24" t="n">
        <v>285</v>
      </c>
      <c r="F999" s="25" t="n">
        <v>10000</v>
      </c>
      <c r="G999" s="24" t="s">
        <v>59</v>
      </c>
      <c r="H999" s="24" t="s">
        <v>80</v>
      </c>
      <c r="I999" s="24" t="s">
        <v>61</v>
      </c>
      <c r="J999" s="26" t="n">
        <f aca="false">IF(A999="","",YEAR(A999))</f>
        <v>2025</v>
      </c>
      <c r="K999" s="26" t="n">
        <f aca="false">IF(A999="","",MONTH(A999))</f>
        <v>10</v>
      </c>
      <c r="L999" s="26" t="n">
        <f aca="false">IF(B999="","",VALUE(LEFT(B999,2)))</f>
        <v>10</v>
      </c>
      <c r="M999" s="26" t="n">
        <f aca="false">IF(A999="","",IF(COUNTIFS($C$2:$C$5001,C999,$J$2:$J$5001,J999,$A$2:$A$5001,"&lt;"&amp;A999)=0,1,0))</f>
        <v>0</v>
      </c>
    </row>
    <row r="1000" customFormat="false" ht="15" hidden="false" customHeight="false" outlineLevel="0" collapsed="false">
      <c r="A1000" s="23" t="n">
        <v>45932.7159722222</v>
      </c>
      <c r="B1000" s="24" t="s">
        <v>93</v>
      </c>
      <c r="C1000" s="24" t="s">
        <v>737</v>
      </c>
      <c r="D1000" s="24" t="s">
        <v>66</v>
      </c>
      <c r="E1000" s="24" t="n">
        <v>408</v>
      </c>
      <c r="F1000" s="25" t="n">
        <v>14000</v>
      </c>
      <c r="G1000" s="24" t="s">
        <v>59</v>
      </c>
      <c r="H1000" s="24" t="s">
        <v>60</v>
      </c>
      <c r="I1000" s="24" t="s">
        <v>61</v>
      </c>
      <c r="J1000" s="26" t="n">
        <f aca="false">IF(A1000="","",YEAR(A1000))</f>
        <v>2025</v>
      </c>
      <c r="K1000" s="26" t="n">
        <f aca="false">IF(A1000="","",MONTH(A1000))</f>
        <v>10</v>
      </c>
      <c r="L1000" s="26" t="n">
        <f aca="false">IF(B1000="","",VALUE(LEFT(B1000,2)))</f>
        <v>10</v>
      </c>
      <c r="M1000" s="26" t="n">
        <f aca="false">IF(A1000="","",IF(COUNTIFS($C$2:$C$5001,C1000,$J$2:$J$5001,J1000,$A$2:$A$5001,"&lt;"&amp;A1000)=0,1,0))</f>
        <v>0</v>
      </c>
    </row>
    <row r="1001" customFormat="false" ht="15" hidden="false" customHeight="false" outlineLevel="0" collapsed="false">
      <c r="A1001" s="23" t="n">
        <v>45932.7833333333</v>
      </c>
      <c r="B1001" s="24" t="s">
        <v>810</v>
      </c>
      <c r="C1001" s="24" t="s">
        <v>194</v>
      </c>
      <c r="D1001" s="24" t="s">
        <v>66</v>
      </c>
      <c r="E1001" s="24" t="n">
        <v>170</v>
      </c>
      <c r="F1001" s="25" t="n">
        <v>6000</v>
      </c>
      <c r="G1001" s="24" t="s">
        <v>59</v>
      </c>
      <c r="H1001" s="24" t="s">
        <v>60</v>
      </c>
      <c r="I1001" s="24" t="s">
        <v>61</v>
      </c>
      <c r="J1001" s="26" t="n">
        <f aca="false">IF(A1001="","",YEAR(A1001))</f>
        <v>2025</v>
      </c>
      <c r="K1001" s="26" t="n">
        <f aca="false">IF(A1001="","",MONTH(A1001))</f>
        <v>10</v>
      </c>
      <c r="L1001" s="26" t="n">
        <f aca="false">IF(B1001="","",VALUE(LEFT(B1001,2)))</f>
        <v>15</v>
      </c>
      <c r="M1001" s="26" t="n">
        <f aca="false">IF(A1001="","",IF(COUNTIFS($C$2:$C$5001,C1001,$J$2:$J$5001,J1001,$A$2:$A$5001,"&lt;"&amp;A1001)=0,1,0))</f>
        <v>0</v>
      </c>
    </row>
    <row r="1002" customFormat="false" ht="15" hidden="false" customHeight="false" outlineLevel="0" collapsed="false">
      <c r="A1002" s="23" t="n">
        <v>45932.7916666667</v>
      </c>
      <c r="B1002" s="24" t="s">
        <v>720</v>
      </c>
      <c r="C1002" s="24" t="s">
        <v>253</v>
      </c>
      <c r="D1002" s="24" t="s">
        <v>66</v>
      </c>
      <c r="E1002" s="24" t="n">
        <v>280</v>
      </c>
      <c r="F1002" s="25" t="n">
        <v>10000</v>
      </c>
      <c r="G1002" s="24" t="s">
        <v>69</v>
      </c>
      <c r="H1002" s="24" t="s">
        <v>60</v>
      </c>
      <c r="I1002" s="24" t="s">
        <v>61</v>
      </c>
      <c r="J1002" s="26" t="n">
        <f aca="false">IF(A1002="","",YEAR(A1002))</f>
        <v>2025</v>
      </c>
      <c r="K1002" s="26" t="n">
        <f aca="false">IF(A1002="","",MONTH(A1002))</f>
        <v>10</v>
      </c>
      <c r="L1002" s="26" t="n">
        <f aca="false">IF(B1002="","",VALUE(LEFT(B1002,2)))</f>
        <v>14</v>
      </c>
      <c r="M1002" s="26" t="n">
        <f aca="false">IF(A1002="","",IF(COUNTIFS($C$2:$C$5001,C1002,$J$2:$J$5001,J1002,$A$2:$A$5001,"&lt;"&amp;A1002)=0,1,0))</f>
        <v>0</v>
      </c>
    </row>
    <row r="1003" customFormat="false" ht="15" hidden="false" customHeight="false" outlineLevel="0" collapsed="false">
      <c r="A1003" s="23" t="n">
        <v>45934.525</v>
      </c>
      <c r="B1003" s="24" t="s">
        <v>811</v>
      </c>
      <c r="C1003" s="24" t="s">
        <v>71</v>
      </c>
      <c r="D1003" s="24" t="s">
        <v>66</v>
      </c>
      <c r="E1003" s="24" t="n">
        <v>39</v>
      </c>
      <c r="F1003" s="25" t="n">
        <v>2000</v>
      </c>
      <c r="G1003" s="24" t="s">
        <v>59</v>
      </c>
      <c r="H1003" s="24" t="s">
        <v>55</v>
      </c>
      <c r="I1003" s="24" t="s">
        <v>61</v>
      </c>
      <c r="J1003" s="26" t="n">
        <f aca="false">IF(A1003="","",YEAR(A1003))</f>
        <v>2025</v>
      </c>
      <c r="K1003" s="26" t="n">
        <f aca="false">IF(A1003="","",MONTH(A1003))</f>
        <v>10</v>
      </c>
      <c r="L1003" s="26" t="n">
        <f aca="false">IF(B1003="","",VALUE(LEFT(B1003,2)))</f>
        <v>11</v>
      </c>
      <c r="M1003" s="26" t="n">
        <f aca="false">IF(A1003="","",IF(COUNTIFS($C$2:$C$5001,C1003,$J$2:$J$5001,J1003,$A$2:$A$5001,"&lt;"&amp;A1003)=0,1,0))</f>
        <v>0</v>
      </c>
    </row>
    <row r="1004" customFormat="false" ht="15" hidden="false" customHeight="false" outlineLevel="0" collapsed="false">
      <c r="A1004" s="23" t="n">
        <v>45935.425</v>
      </c>
      <c r="B1004" s="24" t="s">
        <v>812</v>
      </c>
      <c r="C1004" s="24" t="s">
        <v>143</v>
      </c>
      <c r="D1004" s="24" t="s">
        <v>53</v>
      </c>
      <c r="E1004" s="24" t="n">
        <v>80</v>
      </c>
      <c r="F1004" s="25" t="n">
        <v>1275</v>
      </c>
      <c r="G1004" s="24" t="s">
        <v>79</v>
      </c>
      <c r="H1004" s="24" t="s">
        <v>55</v>
      </c>
      <c r="I1004" s="24" t="s">
        <v>113</v>
      </c>
      <c r="J1004" s="26" t="n">
        <f aca="false">IF(A1004="","",YEAR(A1004))</f>
        <v>2025</v>
      </c>
      <c r="K1004" s="26" t="n">
        <f aca="false">IF(A1004="","",MONTH(A1004))</f>
        <v>10</v>
      </c>
      <c r="L1004" s="26" t="n">
        <f aca="false">IF(B1004="","",VALUE(LEFT(B1004,2)))</f>
        <v>8</v>
      </c>
      <c r="M1004" s="26" t="n">
        <f aca="false">IF(A1004="","",IF(COUNTIFS($C$2:$C$5001,C1004,$J$2:$J$5001,J1004,$A$2:$A$5001,"&lt;"&amp;A1004)=0,1,0))</f>
        <v>0</v>
      </c>
    </row>
    <row r="1005" customFormat="false" ht="15" hidden="false" customHeight="false" outlineLevel="0" collapsed="false">
      <c r="A1005" s="23" t="n">
        <v>45935.5180555556</v>
      </c>
      <c r="B1005" s="24" t="s">
        <v>803</v>
      </c>
      <c r="C1005" s="24" t="s">
        <v>737</v>
      </c>
      <c r="D1005" s="24" t="s">
        <v>53</v>
      </c>
      <c r="E1005" s="24" t="n">
        <v>103</v>
      </c>
      <c r="F1005" s="25" t="n">
        <v>2000</v>
      </c>
      <c r="G1005" s="24" t="s">
        <v>59</v>
      </c>
      <c r="H1005" s="24" t="s">
        <v>60</v>
      </c>
      <c r="I1005" s="24" t="s">
        <v>61</v>
      </c>
      <c r="J1005" s="26" t="n">
        <f aca="false">IF(A1005="","",YEAR(A1005))</f>
        <v>2025</v>
      </c>
      <c r="K1005" s="26" t="n">
        <f aca="false">IF(A1005="","",MONTH(A1005))</f>
        <v>10</v>
      </c>
      <c r="L1005" s="26" t="n">
        <f aca="false">IF(B1005="","",VALUE(LEFT(B1005,2)))</f>
        <v>10</v>
      </c>
      <c r="M1005" s="26" t="n">
        <f aca="false">IF(A1005="","",IF(COUNTIFS($C$2:$C$5001,C1005,$J$2:$J$5001,J1005,$A$2:$A$5001,"&lt;"&amp;A1005)=0,1,0))</f>
        <v>0</v>
      </c>
    </row>
    <row r="1006" customFormat="false" ht="15" hidden="false" customHeight="false" outlineLevel="0" collapsed="false">
      <c r="A1006" s="23" t="n">
        <v>45935.6104166667</v>
      </c>
      <c r="B1006" s="24" t="s">
        <v>813</v>
      </c>
      <c r="C1006" s="24" t="s">
        <v>376</v>
      </c>
      <c r="D1006" s="24" t="s">
        <v>66</v>
      </c>
      <c r="E1006" s="24" t="n">
        <v>149</v>
      </c>
      <c r="F1006" s="25" t="n">
        <v>5000</v>
      </c>
      <c r="G1006" s="24" t="s">
        <v>69</v>
      </c>
      <c r="H1006" s="24" t="s">
        <v>80</v>
      </c>
      <c r="I1006" s="24" t="s">
        <v>61</v>
      </c>
      <c r="J1006" s="26" t="n">
        <f aca="false">IF(A1006="","",YEAR(A1006))</f>
        <v>2025</v>
      </c>
      <c r="K1006" s="26" t="n">
        <f aca="false">IF(A1006="","",MONTH(A1006))</f>
        <v>10</v>
      </c>
      <c r="L1006" s="26" t="n">
        <f aca="false">IF(B1006="","",VALUE(LEFT(B1006,2)))</f>
        <v>12</v>
      </c>
      <c r="M1006" s="26" t="n">
        <f aca="false">IF(A1006="","",IF(COUNTIFS($C$2:$C$5001,C1006,$J$2:$J$5001,J1006,$A$2:$A$5001,"&lt;"&amp;A1006)=0,1,0))</f>
        <v>0</v>
      </c>
    </row>
    <row r="1007" customFormat="false" ht="15" hidden="false" customHeight="false" outlineLevel="0" collapsed="false">
      <c r="A1007" s="23" t="n">
        <v>45936.5375</v>
      </c>
      <c r="B1007" s="24" t="s">
        <v>337</v>
      </c>
      <c r="C1007" s="24" t="s">
        <v>267</v>
      </c>
      <c r="D1007" s="24" t="s">
        <v>53</v>
      </c>
      <c r="E1007" s="24" t="n">
        <v>69</v>
      </c>
      <c r="F1007" s="25" t="n">
        <v>1500</v>
      </c>
      <c r="G1007" s="24" t="s">
        <v>59</v>
      </c>
      <c r="H1007" s="24" t="s">
        <v>55</v>
      </c>
      <c r="I1007" s="24" t="s">
        <v>61</v>
      </c>
      <c r="J1007" s="26" t="n">
        <f aca="false">IF(A1007="","",YEAR(A1007))</f>
        <v>2025</v>
      </c>
      <c r="K1007" s="26" t="n">
        <f aca="false">IF(A1007="","",MONTH(A1007))</f>
        <v>10</v>
      </c>
      <c r="L1007" s="26" t="n">
        <f aca="false">IF(B1007="","",VALUE(LEFT(B1007,2)))</f>
        <v>11</v>
      </c>
      <c r="M1007" s="26" t="n">
        <f aca="false">IF(A1007="","",IF(COUNTIFS($C$2:$C$5001,C1007,$J$2:$J$5001,J1007,$A$2:$A$5001,"&lt;"&amp;A1007)=0,1,0))</f>
        <v>0</v>
      </c>
    </row>
    <row r="1008" customFormat="false" ht="15" hidden="false" customHeight="false" outlineLevel="0" collapsed="false">
      <c r="A1008" s="23" t="n">
        <v>45936.5451388889</v>
      </c>
      <c r="B1008" s="24" t="s">
        <v>415</v>
      </c>
      <c r="C1008" s="24" t="s">
        <v>63</v>
      </c>
      <c r="D1008" s="24" t="s">
        <v>66</v>
      </c>
      <c r="E1008" s="24" t="n">
        <v>83</v>
      </c>
      <c r="F1008" s="25" t="n">
        <v>3000</v>
      </c>
      <c r="G1008" s="24" t="s">
        <v>59</v>
      </c>
      <c r="H1008" s="24" t="s">
        <v>60</v>
      </c>
      <c r="I1008" s="24" t="s">
        <v>61</v>
      </c>
      <c r="J1008" s="26" t="n">
        <f aca="false">IF(A1008="","",YEAR(A1008))</f>
        <v>2025</v>
      </c>
      <c r="K1008" s="26" t="n">
        <f aca="false">IF(A1008="","",MONTH(A1008))</f>
        <v>10</v>
      </c>
      <c r="L1008" s="26" t="n">
        <f aca="false">IF(B1008="","",VALUE(LEFT(B1008,2)))</f>
        <v>11</v>
      </c>
      <c r="M1008" s="26" t="n">
        <f aca="false">IF(A1008="","",IF(COUNTIFS($C$2:$C$5001,C1008,$J$2:$J$5001,J1008,$A$2:$A$5001,"&lt;"&amp;A1008)=0,1,0))</f>
        <v>0</v>
      </c>
    </row>
    <row r="1009" customFormat="false" ht="15" hidden="false" customHeight="false" outlineLevel="0" collapsed="false">
      <c r="A1009" s="23" t="n">
        <v>45936.6208333333</v>
      </c>
      <c r="B1009" s="24" t="s">
        <v>714</v>
      </c>
      <c r="C1009" s="24" t="s">
        <v>203</v>
      </c>
      <c r="D1009" s="24" t="s">
        <v>66</v>
      </c>
      <c r="E1009" s="24" t="n">
        <v>246</v>
      </c>
      <c r="F1009" s="25" t="n">
        <v>9000</v>
      </c>
      <c r="G1009" s="24" t="s">
        <v>69</v>
      </c>
      <c r="H1009" s="24" t="s">
        <v>80</v>
      </c>
      <c r="I1009" s="24" t="s">
        <v>61</v>
      </c>
      <c r="J1009" s="26" t="n">
        <f aca="false">IF(A1009="","",YEAR(A1009))</f>
        <v>2025</v>
      </c>
      <c r="K1009" s="26" t="n">
        <f aca="false">IF(A1009="","",MONTH(A1009))</f>
        <v>10</v>
      </c>
      <c r="L1009" s="26" t="n">
        <f aca="false">IF(B1009="","",VALUE(LEFT(B1009,2)))</f>
        <v>10</v>
      </c>
      <c r="M1009" s="26" t="n">
        <f aca="false">IF(A1009="","",IF(COUNTIFS($C$2:$C$5001,C1009,$J$2:$J$5001,J1009,$A$2:$A$5001,"&lt;"&amp;A1009)=0,1,0))</f>
        <v>0</v>
      </c>
    </row>
    <row r="1010" customFormat="false" ht="15" hidden="false" customHeight="false" outlineLevel="0" collapsed="false">
      <c r="A1010" s="23" t="n">
        <v>45936.9034722222</v>
      </c>
      <c r="B1010" s="24" t="s">
        <v>782</v>
      </c>
      <c r="C1010" s="24" t="s">
        <v>108</v>
      </c>
      <c r="D1010" s="24" t="s">
        <v>72</v>
      </c>
      <c r="E1010" s="24" t="n">
        <v>299</v>
      </c>
      <c r="F1010" s="25" t="n">
        <v>20000</v>
      </c>
      <c r="G1010" s="24" t="s">
        <v>54</v>
      </c>
      <c r="H1010" s="24" t="s">
        <v>55</v>
      </c>
      <c r="I1010" s="24" t="s">
        <v>61</v>
      </c>
      <c r="J1010" s="26" t="n">
        <f aca="false">IF(A1010="","",YEAR(A1010))</f>
        <v>2025</v>
      </c>
      <c r="K1010" s="26" t="n">
        <f aca="false">IF(A1010="","",MONTH(A1010))</f>
        <v>10</v>
      </c>
      <c r="L1010" s="26" t="n">
        <f aca="false">IF(B1010="","",VALUE(LEFT(B1010,2)))</f>
        <v>16</v>
      </c>
      <c r="M1010" s="26" t="n">
        <f aca="false">IF(A1010="","",IF(COUNTIFS($C$2:$C$5001,C1010,$J$2:$J$5001,J1010,$A$2:$A$5001,"&lt;"&amp;A1010)=0,1,0))</f>
        <v>0</v>
      </c>
    </row>
    <row r="1011" customFormat="false" ht="15" hidden="false" customHeight="false" outlineLevel="0" collapsed="false">
      <c r="A1011" s="23" t="n">
        <v>45937.8902777778</v>
      </c>
      <c r="B1011" s="24" t="s">
        <v>814</v>
      </c>
      <c r="C1011" s="24" t="s">
        <v>353</v>
      </c>
      <c r="D1011" s="24" t="s">
        <v>53</v>
      </c>
      <c r="E1011" s="24" t="n">
        <v>174</v>
      </c>
      <c r="F1011" s="25" t="n">
        <v>3000</v>
      </c>
      <c r="G1011" s="24" t="s">
        <v>79</v>
      </c>
      <c r="H1011" s="24" t="s">
        <v>80</v>
      </c>
      <c r="I1011" s="24" t="s">
        <v>61</v>
      </c>
      <c r="J1011" s="26" t="n">
        <f aca="false">IF(A1011="","",YEAR(A1011))</f>
        <v>2025</v>
      </c>
      <c r="K1011" s="26" t="n">
        <f aca="false">IF(A1011="","",MONTH(A1011))</f>
        <v>10</v>
      </c>
      <c r="L1011" s="26" t="n">
        <f aca="false">IF(B1011="","",VALUE(LEFT(B1011,2)))</f>
        <v>18</v>
      </c>
      <c r="M1011" s="26" t="n">
        <f aca="false">IF(A1011="","",IF(COUNTIFS($C$2:$C$5001,C1011,$J$2:$J$5001,J1011,$A$2:$A$5001,"&lt;"&amp;A1011)=0,1,0))</f>
        <v>0</v>
      </c>
    </row>
    <row r="1012" customFormat="false" ht="15" hidden="false" customHeight="false" outlineLevel="0" collapsed="false">
      <c r="A1012" s="23" t="n">
        <v>45938.0375</v>
      </c>
      <c r="B1012" s="24" t="s">
        <v>815</v>
      </c>
      <c r="C1012" s="24" t="s">
        <v>306</v>
      </c>
      <c r="D1012" s="24" t="s">
        <v>88</v>
      </c>
      <c r="E1012" s="24" t="n">
        <v>348</v>
      </c>
      <c r="F1012" s="25" t="n">
        <v>18000</v>
      </c>
      <c r="G1012" s="24" t="s">
        <v>59</v>
      </c>
      <c r="H1012" s="24" t="s">
        <v>55</v>
      </c>
      <c r="I1012" s="24" t="s">
        <v>61</v>
      </c>
      <c r="J1012" s="26" t="n">
        <f aca="false">IF(A1012="","",YEAR(A1012))</f>
        <v>2025</v>
      </c>
      <c r="K1012" s="26" t="n">
        <f aca="false">IF(A1012="","",MONTH(A1012))</f>
        <v>10</v>
      </c>
      <c r="L1012" s="26" t="n">
        <f aca="false">IF(B1012="","",VALUE(LEFT(B1012,2)))</f>
        <v>19</v>
      </c>
      <c r="M1012" s="26" t="n">
        <f aca="false">IF(A1012="","",IF(COUNTIFS($C$2:$C$5001,C1012,$J$2:$J$5001,J1012,$A$2:$A$5001,"&lt;"&amp;A1012)=0,1,0))</f>
        <v>0</v>
      </c>
    </row>
    <row r="1013" customFormat="false" ht="15" hidden="false" customHeight="false" outlineLevel="0" collapsed="false">
      <c r="A1013" s="23" t="n">
        <v>45938.4611111111</v>
      </c>
      <c r="B1013" s="24" t="s">
        <v>409</v>
      </c>
      <c r="C1013" s="24" t="s">
        <v>186</v>
      </c>
      <c r="D1013" s="24" t="s">
        <v>66</v>
      </c>
      <c r="E1013" s="24" t="n">
        <v>23</v>
      </c>
      <c r="F1013" s="25" t="n">
        <v>1000</v>
      </c>
      <c r="G1013" s="24" t="s">
        <v>59</v>
      </c>
      <c r="H1013" s="24" t="s">
        <v>80</v>
      </c>
      <c r="I1013" s="24" t="s">
        <v>61</v>
      </c>
      <c r="J1013" s="26" t="n">
        <f aca="false">IF(A1013="","",YEAR(A1013))</f>
        <v>2025</v>
      </c>
      <c r="K1013" s="26" t="n">
        <f aca="false">IF(A1013="","",MONTH(A1013))</f>
        <v>10</v>
      </c>
      <c r="L1013" s="26" t="n">
        <f aca="false">IF(B1013="","",VALUE(LEFT(B1013,2)))</f>
        <v>10</v>
      </c>
      <c r="M1013" s="26" t="n">
        <f aca="false">IF(A1013="","",IF(COUNTIFS($C$2:$C$5001,C1013,$J$2:$J$5001,J1013,$A$2:$A$5001,"&lt;"&amp;A1013)=0,1,0))</f>
        <v>0</v>
      </c>
    </row>
    <row r="1014" customFormat="false" ht="15" hidden="false" customHeight="false" outlineLevel="0" collapsed="false">
      <c r="A1014" s="23" t="n">
        <v>45938.6006944445</v>
      </c>
      <c r="B1014" s="24" t="s">
        <v>816</v>
      </c>
      <c r="C1014" s="24" t="s">
        <v>430</v>
      </c>
      <c r="D1014" s="24" t="s">
        <v>72</v>
      </c>
      <c r="E1014" s="24" t="n">
        <v>78</v>
      </c>
      <c r="F1014" s="25" t="n">
        <v>6000</v>
      </c>
      <c r="G1014" s="24" t="s">
        <v>69</v>
      </c>
      <c r="H1014" s="24" t="s">
        <v>80</v>
      </c>
      <c r="I1014" s="24" t="s">
        <v>61</v>
      </c>
      <c r="J1014" s="26" t="n">
        <f aca="false">IF(A1014="","",YEAR(A1014))</f>
        <v>2025</v>
      </c>
      <c r="K1014" s="26" t="n">
        <f aca="false">IF(A1014="","",MONTH(A1014))</f>
        <v>10</v>
      </c>
      <c r="L1014" s="26" t="n">
        <f aca="false">IF(B1014="","",VALUE(LEFT(B1014,2)))</f>
        <v>13</v>
      </c>
      <c r="M1014" s="26" t="n">
        <f aca="false">IF(A1014="","",IF(COUNTIFS($C$2:$C$5001,C1014,$J$2:$J$5001,J1014,$A$2:$A$5001,"&lt;"&amp;A1014)=0,1,0))</f>
        <v>0</v>
      </c>
    </row>
    <row r="1015" customFormat="false" ht="15" hidden="false" customHeight="false" outlineLevel="0" collapsed="false">
      <c r="A1015" s="23" t="n">
        <v>45938.7659722222</v>
      </c>
      <c r="B1015" s="24" t="s">
        <v>629</v>
      </c>
      <c r="C1015" s="24" t="s">
        <v>85</v>
      </c>
      <c r="D1015" s="24" t="s">
        <v>66</v>
      </c>
      <c r="E1015" s="24" t="n">
        <v>155</v>
      </c>
      <c r="F1015" s="25" t="n">
        <v>6000</v>
      </c>
      <c r="G1015" s="24" t="s">
        <v>59</v>
      </c>
      <c r="H1015" s="24" t="s">
        <v>80</v>
      </c>
      <c r="I1015" s="24" t="s">
        <v>61</v>
      </c>
      <c r="J1015" s="26" t="n">
        <f aca="false">IF(A1015="","",YEAR(A1015))</f>
        <v>2025</v>
      </c>
      <c r="K1015" s="26" t="n">
        <f aca="false">IF(A1015="","",MONTH(A1015))</f>
        <v>10</v>
      </c>
      <c r="L1015" s="26" t="n">
        <f aca="false">IF(B1015="","",VALUE(LEFT(B1015,2)))</f>
        <v>15</v>
      </c>
      <c r="M1015" s="26" t="n">
        <f aca="false">IF(A1015="","",IF(COUNTIFS($C$2:$C$5001,C1015,$J$2:$J$5001,J1015,$A$2:$A$5001,"&lt;"&amp;A1015)=0,1,0))</f>
        <v>0</v>
      </c>
    </row>
    <row r="1016" customFormat="false" ht="15" hidden="false" customHeight="false" outlineLevel="0" collapsed="false">
      <c r="A1016" s="23" t="n">
        <v>45938.8180555556</v>
      </c>
      <c r="B1016" s="24" t="s">
        <v>362</v>
      </c>
      <c r="C1016" s="24" t="s">
        <v>197</v>
      </c>
      <c r="D1016" s="24" t="s">
        <v>53</v>
      </c>
      <c r="E1016" s="24" t="n">
        <v>400</v>
      </c>
      <c r="F1016" s="25" t="n">
        <v>7000</v>
      </c>
      <c r="G1016" s="24" t="s">
        <v>59</v>
      </c>
      <c r="H1016" s="24" t="s">
        <v>55</v>
      </c>
      <c r="I1016" s="24" t="s">
        <v>61</v>
      </c>
      <c r="J1016" s="26" t="n">
        <f aca="false">IF(A1016="","",YEAR(A1016))</f>
        <v>2025</v>
      </c>
      <c r="K1016" s="26" t="n">
        <f aca="false">IF(A1016="","",MONTH(A1016))</f>
        <v>10</v>
      </c>
      <c r="L1016" s="26" t="n">
        <f aca="false">IF(B1016="","",VALUE(LEFT(B1016,2)))</f>
        <v>12</v>
      </c>
      <c r="M1016" s="26" t="n">
        <f aca="false">IF(A1016="","",IF(COUNTIFS($C$2:$C$5001,C1016,$J$2:$J$5001,J1016,$A$2:$A$5001,"&lt;"&amp;A1016)=0,1,0))</f>
        <v>0</v>
      </c>
    </row>
    <row r="1017" customFormat="false" ht="15" hidden="false" customHeight="false" outlineLevel="0" collapsed="false">
      <c r="A1017" s="23" t="n">
        <v>45938.9638888889</v>
      </c>
      <c r="B1017" s="24" t="s">
        <v>269</v>
      </c>
      <c r="C1017" s="24" t="s">
        <v>158</v>
      </c>
      <c r="D1017" s="24" t="s">
        <v>53</v>
      </c>
      <c r="E1017" s="24" t="n">
        <v>188</v>
      </c>
      <c r="F1017" s="25" t="n">
        <v>3500</v>
      </c>
      <c r="G1017" s="24" t="s">
        <v>59</v>
      </c>
      <c r="H1017" s="24" t="s">
        <v>80</v>
      </c>
      <c r="I1017" s="24" t="s">
        <v>61</v>
      </c>
      <c r="J1017" s="26" t="n">
        <f aca="false">IF(A1017="","",YEAR(A1017))</f>
        <v>2025</v>
      </c>
      <c r="K1017" s="26" t="n">
        <f aca="false">IF(A1017="","",MONTH(A1017))</f>
        <v>10</v>
      </c>
      <c r="L1017" s="26" t="n">
        <f aca="false">IF(B1017="","",VALUE(LEFT(B1017,2)))</f>
        <v>20</v>
      </c>
      <c r="M1017" s="26" t="n">
        <f aca="false">IF(A1017="","",IF(COUNTIFS($C$2:$C$5001,C1017,$J$2:$J$5001,J1017,$A$2:$A$5001,"&lt;"&amp;A1017)=0,1,0))</f>
        <v>0</v>
      </c>
    </row>
    <row r="1018" customFormat="false" ht="15" hidden="false" customHeight="false" outlineLevel="0" collapsed="false">
      <c r="A1018" s="23" t="n">
        <v>45939.6583333333</v>
      </c>
      <c r="B1018" s="24" t="s">
        <v>499</v>
      </c>
      <c r="C1018" s="24" t="s">
        <v>737</v>
      </c>
      <c r="D1018" s="24" t="s">
        <v>66</v>
      </c>
      <c r="E1018" s="24" t="n">
        <v>240</v>
      </c>
      <c r="F1018" s="25" t="n">
        <v>8000</v>
      </c>
      <c r="G1018" s="24" t="s">
        <v>69</v>
      </c>
      <c r="H1018" s="24" t="s">
        <v>80</v>
      </c>
      <c r="I1018" s="24" t="s">
        <v>61</v>
      </c>
      <c r="J1018" s="26" t="n">
        <f aca="false">IF(A1018="","",YEAR(A1018))</f>
        <v>2025</v>
      </c>
      <c r="K1018" s="26" t="n">
        <f aca="false">IF(A1018="","",MONTH(A1018))</f>
        <v>10</v>
      </c>
      <c r="L1018" s="26" t="n">
        <f aca="false">IF(B1018="","",VALUE(LEFT(B1018,2)))</f>
        <v>11</v>
      </c>
      <c r="M1018" s="26" t="n">
        <f aca="false">IF(A1018="","",IF(COUNTIFS($C$2:$C$5001,C1018,$J$2:$J$5001,J1018,$A$2:$A$5001,"&lt;"&amp;A1018)=0,1,0))</f>
        <v>0</v>
      </c>
    </row>
    <row r="1019" customFormat="false" ht="15" hidden="false" customHeight="false" outlineLevel="0" collapsed="false">
      <c r="A1019" s="23" t="n">
        <v>45939.8270833333</v>
      </c>
      <c r="B1019" s="24" t="s">
        <v>817</v>
      </c>
      <c r="C1019" s="24" t="s">
        <v>309</v>
      </c>
      <c r="D1019" s="24" t="s">
        <v>66</v>
      </c>
      <c r="E1019" s="24" t="n">
        <v>336</v>
      </c>
      <c r="F1019" s="25" t="n">
        <v>12000</v>
      </c>
      <c r="G1019" s="24" t="s">
        <v>59</v>
      </c>
      <c r="H1019" s="24" t="s">
        <v>80</v>
      </c>
      <c r="I1019" s="24" t="s">
        <v>61</v>
      </c>
      <c r="J1019" s="26" t="n">
        <f aca="false">IF(A1019="","",YEAR(A1019))</f>
        <v>2025</v>
      </c>
      <c r="K1019" s="26" t="n">
        <f aca="false">IF(A1019="","",MONTH(A1019))</f>
        <v>10</v>
      </c>
      <c r="L1019" s="26" t="n">
        <f aca="false">IF(B1019="","",VALUE(LEFT(B1019,2)))</f>
        <v>14</v>
      </c>
      <c r="M1019" s="26" t="n">
        <f aca="false">IF(A1019="","",IF(COUNTIFS($C$2:$C$5001,C1019,$J$2:$J$5001,J1019,$A$2:$A$5001,"&lt;"&amp;A1019)=0,1,0))</f>
        <v>0</v>
      </c>
    </row>
    <row r="1020" customFormat="false" ht="15" hidden="false" customHeight="false" outlineLevel="0" collapsed="false">
      <c r="A1020" s="23" t="n">
        <v>45943.73125</v>
      </c>
      <c r="B1020" s="24" t="s">
        <v>505</v>
      </c>
      <c r="C1020" s="24" t="s">
        <v>397</v>
      </c>
      <c r="D1020" s="24" t="s">
        <v>88</v>
      </c>
      <c r="E1020" s="24" t="n">
        <v>67</v>
      </c>
      <c r="F1020" s="25" t="n">
        <v>4500</v>
      </c>
      <c r="G1020" s="24" t="s">
        <v>54</v>
      </c>
      <c r="H1020" s="24" t="s">
        <v>55</v>
      </c>
      <c r="I1020" s="24" t="s">
        <v>61</v>
      </c>
      <c r="J1020" s="26" t="n">
        <f aca="false">IF(A1020="","",YEAR(A1020))</f>
        <v>2025</v>
      </c>
      <c r="K1020" s="26" t="n">
        <f aca="false">IF(A1020="","",MONTH(A1020))</f>
        <v>10</v>
      </c>
      <c r="L1020" s="26" t="n">
        <f aca="false">IF(B1020="","",VALUE(LEFT(B1020,2)))</f>
        <v>16</v>
      </c>
      <c r="M1020" s="26" t="n">
        <f aca="false">IF(A1020="","",IF(COUNTIFS($C$2:$C$5001,C1020,$J$2:$J$5001,J1020,$A$2:$A$5001,"&lt;"&amp;A1020)=0,1,0))</f>
        <v>0</v>
      </c>
    </row>
    <row r="1021" customFormat="false" ht="15" hidden="false" customHeight="false" outlineLevel="0" collapsed="false">
      <c r="A1021" s="23" t="n">
        <v>45943.7791666667</v>
      </c>
      <c r="B1021" s="24" t="s">
        <v>646</v>
      </c>
      <c r="C1021" s="24" t="s">
        <v>152</v>
      </c>
      <c r="D1021" s="24" t="s">
        <v>53</v>
      </c>
      <c r="E1021" s="24" t="n">
        <v>394</v>
      </c>
      <c r="F1021" s="25" t="n">
        <v>7000</v>
      </c>
      <c r="G1021" s="24" t="s">
        <v>83</v>
      </c>
      <c r="H1021" s="24" t="s">
        <v>55</v>
      </c>
      <c r="I1021" s="24" t="s">
        <v>61</v>
      </c>
      <c r="J1021" s="26" t="n">
        <f aca="false">IF(A1021="","",YEAR(A1021))</f>
        <v>2025</v>
      </c>
      <c r="K1021" s="26" t="n">
        <f aca="false">IF(A1021="","",MONTH(A1021))</f>
        <v>10</v>
      </c>
      <c r="L1021" s="26" t="n">
        <f aca="false">IF(B1021="","",VALUE(LEFT(B1021,2)))</f>
        <v>12</v>
      </c>
      <c r="M1021" s="26" t="n">
        <f aca="false">IF(A1021="","",IF(COUNTIFS($C$2:$C$5001,C1021,$J$2:$J$5001,J1021,$A$2:$A$5001,"&lt;"&amp;A1021)=0,1,0))</f>
        <v>0</v>
      </c>
    </row>
    <row r="1022" customFormat="false" ht="15" hidden="false" customHeight="false" outlineLevel="0" collapsed="false">
      <c r="A1022" s="23" t="n">
        <v>45943.8</v>
      </c>
      <c r="B1022" s="24" t="s">
        <v>247</v>
      </c>
      <c r="C1022" s="24" t="s">
        <v>240</v>
      </c>
      <c r="D1022" s="24" t="s">
        <v>66</v>
      </c>
      <c r="E1022" s="24" t="n">
        <v>21</v>
      </c>
      <c r="F1022" s="25" t="n">
        <v>1000</v>
      </c>
      <c r="G1022" s="24" t="s">
        <v>59</v>
      </c>
      <c r="H1022" s="24" t="s">
        <v>80</v>
      </c>
      <c r="I1022" s="24" t="s">
        <v>61</v>
      </c>
      <c r="J1022" s="26" t="n">
        <f aca="false">IF(A1022="","",YEAR(A1022))</f>
        <v>2025</v>
      </c>
      <c r="K1022" s="26" t="n">
        <f aca="false">IF(A1022="","",MONTH(A1022))</f>
        <v>10</v>
      </c>
      <c r="L1022" s="26" t="n">
        <f aca="false">IF(B1022="","",VALUE(LEFT(B1022,2)))</f>
        <v>18</v>
      </c>
      <c r="M1022" s="26" t="n">
        <f aca="false">IF(A1022="","",IF(COUNTIFS($C$2:$C$5001,C1022,$J$2:$J$5001,J1022,$A$2:$A$5001,"&lt;"&amp;A1022)=0,1,0))</f>
        <v>0</v>
      </c>
    </row>
    <row r="1023" customFormat="false" ht="15" hidden="false" customHeight="false" outlineLevel="0" collapsed="false">
      <c r="A1023" s="23" t="n">
        <v>45943.84375</v>
      </c>
      <c r="B1023" s="24" t="s">
        <v>818</v>
      </c>
      <c r="C1023" s="24" t="s">
        <v>100</v>
      </c>
      <c r="D1023" s="24" t="s">
        <v>53</v>
      </c>
      <c r="E1023" s="24" t="n">
        <v>133</v>
      </c>
      <c r="F1023" s="25" t="n">
        <v>2500</v>
      </c>
      <c r="G1023" s="24" t="s">
        <v>79</v>
      </c>
      <c r="H1023" s="24" t="s">
        <v>80</v>
      </c>
      <c r="I1023" s="24" t="s">
        <v>61</v>
      </c>
      <c r="J1023" s="26" t="n">
        <f aca="false">IF(A1023="","",YEAR(A1023))</f>
        <v>2025</v>
      </c>
      <c r="K1023" s="26" t="n">
        <f aca="false">IF(A1023="","",MONTH(A1023))</f>
        <v>10</v>
      </c>
      <c r="L1023" s="26" t="n">
        <f aca="false">IF(B1023="","",VALUE(LEFT(B1023,2)))</f>
        <v>18</v>
      </c>
      <c r="M1023" s="26" t="n">
        <f aca="false">IF(A1023="","",IF(COUNTIFS($C$2:$C$5001,C1023,$J$2:$J$5001,J1023,$A$2:$A$5001,"&lt;"&amp;A1023)=0,1,0))</f>
        <v>0</v>
      </c>
    </row>
    <row r="1024" customFormat="false" ht="15" hidden="false" customHeight="false" outlineLevel="0" collapsed="false">
      <c r="A1024" s="23" t="n">
        <v>45944.7923611111</v>
      </c>
      <c r="B1024" s="24" t="s">
        <v>315</v>
      </c>
      <c r="C1024" s="24" t="s">
        <v>289</v>
      </c>
      <c r="D1024" s="24" t="s">
        <v>53</v>
      </c>
      <c r="E1024" s="24" t="n">
        <v>344</v>
      </c>
      <c r="F1024" s="25" t="n">
        <v>6000</v>
      </c>
      <c r="G1024" s="24" t="s">
        <v>59</v>
      </c>
      <c r="H1024" s="24" t="s">
        <v>60</v>
      </c>
      <c r="I1024" s="24" t="s">
        <v>61</v>
      </c>
      <c r="J1024" s="26" t="n">
        <f aca="false">IF(A1024="","",YEAR(A1024))</f>
        <v>2025</v>
      </c>
      <c r="K1024" s="26" t="n">
        <f aca="false">IF(A1024="","",MONTH(A1024))</f>
        <v>10</v>
      </c>
      <c r="L1024" s="26" t="n">
        <f aca="false">IF(B1024="","",VALUE(LEFT(B1024,2)))</f>
        <v>13</v>
      </c>
      <c r="M1024" s="26" t="n">
        <f aca="false">IF(A1024="","",IF(COUNTIFS($C$2:$C$5001,C1024,$J$2:$J$5001,J1024,$A$2:$A$5001,"&lt;"&amp;A1024)=0,1,0))</f>
        <v>0</v>
      </c>
    </row>
    <row r="1025" customFormat="false" ht="15" hidden="false" customHeight="false" outlineLevel="0" collapsed="false">
      <c r="A1025" s="23" t="n">
        <v>45944.8555555556</v>
      </c>
      <c r="B1025" s="24" t="s">
        <v>236</v>
      </c>
      <c r="C1025" s="24" t="s">
        <v>147</v>
      </c>
      <c r="D1025" s="24" t="s">
        <v>66</v>
      </c>
      <c r="E1025" s="24" t="n">
        <v>320</v>
      </c>
      <c r="F1025" s="25" t="n">
        <v>11000</v>
      </c>
      <c r="G1025" s="24" t="s">
        <v>69</v>
      </c>
      <c r="H1025" s="24" t="s">
        <v>80</v>
      </c>
      <c r="I1025" s="24" t="s">
        <v>61</v>
      </c>
      <c r="J1025" s="26" t="n">
        <f aca="false">IF(A1025="","",YEAR(A1025))</f>
        <v>2025</v>
      </c>
      <c r="K1025" s="26" t="n">
        <f aca="false">IF(A1025="","",MONTH(A1025))</f>
        <v>10</v>
      </c>
      <c r="L1025" s="26" t="n">
        <f aca="false">IF(B1025="","",VALUE(LEFT(B1025,2)))</f>
        <v>15</v>
      </c>
      <c r="M1025" s="26" t="n">
        <f aca="false">IF(A1025="","",IF(COUNTIFS($C$2:$C$5001,C1025,$J$2:$J$5001,J1025,$A$2:$A$5001,"&lt;"&amp;A1025)=0,1,0))</f>
        <v>0</v>
      </c>
    </row>
    <row r="1026" customFormat="false" ht="15" hidden="false" customHeight="false" outlineLevel="0" collapsed="false">
      <c r="A1026" s="23" t="n">
        <v>45945.5840277778</v>
      </c>
      <c r="B1026" s="24" t="s">
        <v>647</v>
      </c>
      <c r="C1026" s="24" t="s">
        <v>306</v>
      </c>
      <c r="D1026" s="24" t="s">
        <v>53</v>
      </c>
      <c r="E1026" s="24" t="n">
        <v>79</v>
      </c>
      <c r="F1026" s="25" t="n">
        <v>1500</v>
      </c>
      <c r="G1026" s="24" t="s">
        <v>59</v>
      </c>
      <c r="H1026" s="24" t="s">
        <v>55</v>
      </c>
      <c r="I1026" s="24" t="s">
        <v>61</v>
      </c>
      <c r="J1026" s="26" t="n">
        <f aca="false">IF(A1026="","",YEAR(A1026))</f>
        <v>2025</v>
      </c>
      <c r="K1026" s="26" t="n">
        <f aca="false">IF(A1026="","",MONTH(A1026))</f>
        <v>10</v>
      </c>
      <c r="L1026" s="26" t="n">
        <f aca="false">IF(B1026="","",VALUE(LEFT(B1026,2)))</f>
        <v>12</v>
      </c>
      <c r="M1026" s="26" t="n">
        <f aca="false">IF(A1026="","",IF(COUNTIFS($C$2:$C$5001,C1026,$J$2:$J$5001,J1026,$A$2:$A$5001,"&lt;"&amp;A1026)=0,1,0))</f>
        <v>0</v>
      </c>
    </row>
    <row r="1027" customFormat="false" ht="15" hidden="false" customHeight="false" outlineLevel="0" collapsed="false">
      <c r="A1027" s="23" t="n">
        <v>45945.7361111111</v>
      </c>
      <c r="B1027" s="24" t="s">
        <v>611</v>
      </c>
      <c r="C1027" s="24" t="s">
        <v>197</v>
      </c>
      <c r="D1027" s="24" t="s">
        <v>66</v>
      </c>
      <c r="E1027" s="24" t="n">
        <v>104</v>
      </c>
      <c r="F1027" s="25" t="n">
        <v>0</v>
      </c>
      <c r="G1027" s="24" t="s">
        <v>69</v>
      </c>
      <c r="H1027" s="24" t="s">
        <v>55</v>
      </c>
      <c r="I1027" s="24" t="s">
        <v>56</v>
      </c>
      <c r="J1027" s="26" t="n">
        <f aca="false">IF(A1027="","",YEAR(A1027))</f>
        <v>2025</v>
      </c>
      <c r="K1027" s="26" t="n">
        <f aca="false">IF(A1027="","",MONTH(A1027))</f>
        <v>10</v>
      </c>
      <c r="L1027" s="26" t="n">
        <f aca="false">IF(B1027="","",VALUE(LEFT(B1027,2)))</f>
        <v>15</v>
      </c>
      <c r="M1027" s="26" t="n">
        <f aca="false">IF(A1027="","",IF(COUNTIFS($C$2:$C$5001,C1027,$J$2:$J$5001,J1027,$A$2:$A$5001,"&lt;"&amp;A1027)=0,1,0))</f>
        <v>0</v>
      </c>
    </row>
    <row r="1028" customFormat="false" ht="15" hidden="false" customHeight="false" outlineLevel="0" collapsed="false">
      <c r="A1028" s="23" t="n">
        <v>45946.3868055556</v>
      </c>
      <c r="B1028" s="24" t="s">
        <v>70</v>
      </c>
      <c r="C1028" s="24" t="s">
        <v>141</v>
      </c>
      <c r="D1028" s="24" t="s">
        <v>66</v>
      </c>
      <c r="E1028" s="24" t="n">
        <v>56</v>
      </c>
      <c r="F1028" s="25" t="n">
        <v>2000</v>
      </c>
      <c r="G1028" s="24" t="s">
        <v>59</v>
      </c>
      <c r="H1028" s="24" t="s">
        <v>60</v>
      </c>
      <c r="I1028" s="24" t="s">
        <v>61</v>
      </c>
      <c r="J1028" s="26" t="n">
        <f aca="false">IF(A1028="","",YEAR(A1028))</f>
        <v>2025</v>
      </c>
      <c r="K1028" s="26" t="n">
        <f aca="false">IF(A1028="","",MONTH(A1028))</f>
        <v>10</v>
      </c>
      <c r="L1028" s="26" t="n">
        <f aca="false">IF(B1028="","",VALUE(LEFT(B1028,2)))</f>
        <v>8</v>
      </c>
      <c r="M1028" s="26" t="n">
        <f aca="false">IF(A1028="","",IF(COUNTIFS($C$2:$C$5001,C1028,$J$2:$J$5001,J1028,$A$2:$A$5001,"&lt;"&amp;A1028)=0,1,0))</f>
        <v>0</v>
      </c>
    </row>
    <row r="1029" customFormat="false" ht="15" hidden="false" customHeight="false" outlineLevel="0" collapsed="false">
      <c r="A1029" s="23" t="n">
        <v>45946.5076388889</v>
      </c>
      <c r="B1029" s="24" t="s">
        <v>238</v>
      </c>
      <c r="C1029" s="24" t="s">
        <v>129</v>
      </c>
      <c r="D1029" s="24" t="s">
        <v>53</v>
      </c>
      <c r="E1029" s="24" t="n">
        <v>368</v>
      </c>
      <c r="F1029" s="25" t="n">
        <v>5525</v>
      </c>
      <c r="G1029" s="24" t="s">
        <v>59</v>
      </c>
      <c r="H1029" s="24" t="s">
        <v>55</v>
      </c>
      <c r="I1029" s="24" t="s">
        <v>113</v>
      </c>
      <c r="J1029" s="26" t="n">
        <f aca="false">IF(A1029="","",YEAR(A1029))</f>
        <v>2025</v>
      </c>
      <c r="K1029" s="26" t="n">
        <f aca="false">IF(A1029="","",MONTH(A1029))</f>
        <v>10</v>
      </c>
      <c r="L1029" s="26" t="n">
        <f aca="false">IF(B1029="","",VALUE(LEFT(B1029,2)))</f>
        <v>6</v>
      </c>
      <c r="M1029" s="26" t="n">
        <f aca="false">IF(A1029="","",IF(COUNTIFS($C$2:$C$5001,C1029,$J$2:$J$5001,J1029,$A$2:$A$5001,"&lt;"&amp;A1029)=0,1,0))</f>
        <v>0</v>
      </c>
    </row>
    <row r="1030" customFormat="false" ht="15" hidden="false" customHeight="false" outlineLevel="0" collapsed="false">
      <c r="A1030" s="23" t="n">
        <v>45947.3993055556</v>
      </c>
      <c r="B1030" s="24" t="s">
        <v>363</v>
      </c>
      <c r="C1030" s="24" t="s">
        <v>87</v>
      </c>
      <c r="D1030" s="24" t="s">
        <v>88</v>
      </c>
      <c r="E1030" s="24" t="n">
        <v>83</v>
      </c>
      <c r="F1030" s="25" t="n">
        <v>4500</v>
      </c>
      <c r="G1030" s="24" t="s">
        <v>59</v>
      </c>
      <c r="H1030" s="24" t="s">
        <v>55</v>
      </c>
      <c r="I1030" s="24" t="s">
        <v>61</v>
      </c>
      <c r="J1030" s="26" t="n">
        <f aca="false">IF(A1030="","",YEAR(A1030))</f>
        <v>2025</v>
      </c>
      <c r="K1030" s="26" t="n">
        <f aca="false">IF(A1030="","",MONTH(A1030))</f>
        <v>10</v>
      </c>
      <c r="L1030" s="26" t="n">
        <f aca="false">IF(B1030="","",VALUE(LEFT(B1030,2)))</f>
        <v>8</v>
      </c>
      <c r="M1030" s="26" t="n">
        <f aca="false">IF(A1030="","",IF(COUNTIFS($C$2:$C$5001,C1030,$J$2:$J$5001,J1030,$A$2:$A$5001,"&lt;"&amp;A1030)=0,1,0))</f>
        <v>0</v>
      </c>
    </row>
    <row r="1031" customFormat="false" ht="15" hidden="false" customHeight="false" outlineLevel="0" collapsed="false">
      <c r="A1031" s="23" t="n">
        <v>45947.5923611111</v>
      </c>
      <c r="B1031" s="24" t="s">
        <v>457</v>
      </c>
      <c r="C1031" s="24" t="s">
        <v>74</v>
      </c>
      <c r="D1031" s="24" t="s">
        <v>53</v>
      </c>
      <c r="E1031" s="24" t="n">
        <v>387</v>
      </c>
      <c r="F1031" s="25" t="n">
        <v>6500</v>
      </c>
      <c r="G1031" s="24" t="s">
        <v>79</v>
      </c>
      <c r="H1031" s="24" t="s">
        <v>60</v>
      </c>
      <c r="I1031" s="24" t="s">
        <v>61</v>
      </c>
      <c r="J1031" s="26" t="n">
        <f aca="false">IF(A1031="","",YEAR(A1031))</f>
        <v>2025</v>
      </c>
      <c r="K1031" s="26" t="n">
        <f aca="false">IF(A1031="","",MONTH(A1031))</f>
        <v>10</v>
      </c>
      <c r="L1031" s="26" t="n">
        <f aca="false">IF(B1031="","",VALUE(LEFT(B1031,2)))</f>
        <v>7</v>
      </c>
      <c r="M1031" s="26" t="n">
        <f aca="false">IF(A1031="","",IF(COUNTIFS($C$2:$C$5001,C1031,$J$2:$J$5001,J1031,$A$2:$A$5001,"&lt;"&amp;A1031)=0,1,0))</f>
        <v>0</v>
      </c>
    </row>
    <row r="1032" customFormat="false" ht="15" hidden="false" customHeight="false" outlineLevel="0" collapsed="false">
      <c r="A1032" s="23" t="n">
        <v>45947.6986111111</v>
      </c>
      <c r="B1032" s="24" t="s">
        <v>819</v>
      </c>
      <c r="C1032" s="24" t="s">
        <v>203</v>
      </c>
      <c r="D1032" s="24" t="s">
        <v>66</v>
      </c>
      <c r="E1032" s="24" t="n">
        <v>107</v>
      </c>
      <c r="F1032" s="25" t="n">
        <v>4000</v>
      </c>
      <c r="G1032" s="24" t="s">
        <v>59</v>
      </c>
      <c r="H1032" s="24" t="s">
        <v>60</v>
      </c>
      <c r="I1032" s="24" t="s">
        <v>61</v>
      </c>
      <c r="J1032" s="26" t="n">
        <f aca="false">IF(A1032="","",YEAR(A1032))</f>
        <v>2025</v>
      </c>
      <c r="K1032" s="26" t="n">
        <f aca="false">IF(A1032="","",MONTH(A1032))</f>
        <v>10</v>
      </c>
      <c r="L1032" s="26" t="n">
        <f aca="false">IF(B1032="","",VALUE(LEFT(B1032,2)))</f>
        <v>14</v>
      </c>
      <c r="M1032" s="26" t="n">
        <f aca="false">IF(A1032="","",IF(COUNTIFS($C$2:$C$5001,C1032,$J$2:$J$5001,J1032,$A$2:$A$5001,"&lt;"&amp;A1032)=0,1,0))</f>
        <v>0</v>
      </c>
    </row>
    <row r="1033" customFormat="false" ht="15" hidden="false" customHeight="false" outlineLevel="0" collapsed="false">
      <c r="A1033" s="23" t="n">
        <v>45948.7416666667</v>
      </c>
      <c r="B1033" s="24" t="s">
        <v>588</v>
      </c>
      <c r="C1033" s="24" t="s">
        <v>129</v>
      </c>
      <c r="D1033" s="24" t="s">
        <v>53</v>
      </c>
      <c r="E1033" s="24" t="n">
        <v>330</v>
      </c>
      <c r="F1033" s="25" t="n">
        <v>5500</v>
      </c>
      <c r="G1033" s="24" t="s">
        <v>59</v>
      </c>
      <c r="H1033" s="24" t="s">
        <v>60</v>
      </c>
      <c r="I1033" s="24" t="s">
        <v>61</v>
      </c>
      <c r="J1033" s="26" t="n">
        <f aca="false">IF(A1033="","",YEAR(A1033))</f>
        <v>2025</v>
      </c>
      <c r="K1033" s="26" t="n">
        <f aca="false">IF(A1033="","",MONTH(A1033))</f>
        <v>10</v>
      </c>
      <c r="L1033" s="26" t="n">
        <f aca="false">IF(B1033="","",VALUE(LEFT(B1033,2)))</f>
        <v>12</v>
      </c>
      <c r="M1033" s="26" t="n">
        <f aca="false">IF(A1033="","",IF(COUNTIFS($C$2:$C$5001,C1033,$J$2:$J$5001,J1033,$A$2:$A$5001,"&lt;"&amp;A1033)=0,1,0))</f>
        <v>0</v>
      </c>
    </row>
    <row r="1034" customFormat="false" ht="15" hidden="false" customHeight="false" outlineLevel="0" collapsed="false">
      <c r="A1034" s="23" t="n">
        <v>45949.53125</v>
      </c>
      <c r="B1034" s="24" t="s">
        <v>620</v>
      </c>
      <c r="C1034" s="24" t="s">
        <v>170</v>
      </c>
      <c r="D1034" s="24" t="s">
        <v>66</v>
      </c>
      <c r="E1034" s="24" t="n">
        <v>251</v>
      </c>
      <c r="F1034" s="25" t="n">
        <v>0</v>
      </c>
      <c r="G1034" s="24" t="s">
        <v>59</v>
      </c>
      <c r="H1034" s="24" t="s">
        <v>60</v>
      </c>
      <c r="I1034" s="24" t="s">
        <v>56</v>
      </c>
      <c r="J1034" s="26" t="n">
        <f aca="false">IF(A1034="","",YEAR(A1034))</f>
        <v>2025</v>
      </c>
      <c r="K1034" s="26" t="n">
        <f aca="false">IF(A1034="","",MONTH(A1034))</f>
        <v>10</v>
      </c>
      <c r="L1034" s="26" t="n">
        <f aca="false">IF(B1034="","",VALUE(LEFT(B1034,2)))</f>
        <v>8</v>
      </c>
      <c r="M1034" s="26" t="n">
        <f aca="false">IF(A1034="","",IF(COUNTIFS($C$2:$C$5001,C1034,$J$2:$J$5001,J1034,$A$2:$A$5001,"&lt;"&amp;A1034)=0,1,0))</f>
        <v>0</v>
      </c>
    </row>
    <row r="1035" customFormat="false" ht="15" hidden="false" customHeight="false" outlineLevel="0" collapsed="false">
      <c r="A1035" s="23" t="n">
        <v>45949.9375</v>
      </c>
      <c r="B1035" s="24" t="s">
        <v>616</v>
      </c>
      <c r="C1035" s="24" t="s">
        <v>152</v>
      </c>
      <c r="D1035" s="24" t="s">
        <v>66</v>
      </c>
      <c r="E1035" s="24" t="n">
        <v>123</v>
      </c>
      <c r="F1035" s="25" t="n">
        <v>5000</v>
      </c>
      <c r="G1035" s="24" t="s">
        <v>69</v>
      </c>
      <c r="H1035" s="24" t="s">
        <v>60</v>
      </c>
      <c r="I1035" s="24" t="s">
        <v>61</v>
      </c>
      <c r="J1035" s="26" t="n">
        <f aca="false">IF(A1035="","",YEAR(A1035))</f>
        <v>2025</v>
      </c>
      <c r="K1035" s="26" t="n">
        <f aca="false">IF(A1035="","",MONTH(A1035))</f>
        <v>10</v>
      </c>
      <c r="L1035" s="26" t="n">
        <f aca="false">IF(B1035="","",VALUE(LEFT(B1035,2)))</f>
        <v>20</v>
      </c>
      <c r="M1035" s="26" t="n">
        <f aca="false">IF(A1035="","",IF(COUNTIFS($C$2:$C$5001,C1035,$J$2:$J$5001,J1035,$A$2:$A$5001,"&lt;"&amp;A1035)=0,1,0))</f>
        <v>0</v>
      </c>
    </row>
    <row r="1036" customFormat="false" ht="15" hidden="false" customHeight="false" outlineLevel="0" collapsed="false">
      <c r="A1036" s="23" t="n">
        <v>45950.4333333333</v>
      </c>
      <c r="B1036" s="24" t="s">
        <v>125</v>
      </c>
      <c r="C1036" s="24" t="s">
        <v>174</v>
      </c>
      <c r="D1036" s="24" t="s">
        <v>53</v>
      </c>
      <c r="E1036" s="24" t="n">
        <v>91</v>
      </c>
      <c r="F1036" s="25" t="n">
        <v>0</v>
      </c>
      <c r="G1036" s="24" t="s">
        <v>69</v>
      </c>
      <c r="H1036" s="24" t="s">
        <v>55</v>
      </c>
      <c r="I1036" s="24" t="s">
        <v>56</v>
      </c>
      <c r="J1036" s="26" t="n">
        <f aca="false">IF(A1036="","",YEAR(A1036))</f>
        <v>2025</v>
      </c>
      <c r="K1036" s="26" t="n">
        <f aca="false">IF(A1036="","",MONTH(A1036))</f>
        <v>10</v>
      </c>
      <c r="L1036" s="26" t="n">
        <f aca="false">IF(B1036="","",VALUE(LEFT(B1036,2)))</f>
        <v>8</v>
      </c>
      <c r="M1036" s="26" t="n">
        <f aca="false">IF(A1036="","",IF(COUNTIFS($C$2:$C$5001,C1036,$J$2:$J$5001,J1036,$A$2:$A$5001,"&lt;"&amp;A1036)=0,1,0))</f>
        <v>0</v>
      </c>
    </row>
    <row r="1037" customFormat="false" ht="15" hidden="false" customHeight="false" outlineLevel="0" collapsed="false">
      <c r="A1037" s="23" t="n">
        <v>45951.5597222222</v>
      </c>
      <c r="B1037" s="24" t="s">
        <v>638</v>
      </c>
      <c r="C1037" s="24" t="s">
        <v>76</v>
      </c>
      <c r="D1037" s="24" t="s">
        <v>66</v>
      </c>
      <c r="E1037" s="24" t="n">
        <v>385</v>
      </c>
      <c r="F1037" s="25" t="n">
        <v>13000</v>
      </c>
      <c r="G1037" s="24" t="s">
        <v>69</v>
      </c>
      <c r="H1037" s="24" t="s">
        <v>80</v>
      </c>
      <c r="I1037" s="24" t="s">
        <v>61</v>
      </c>
      <c r="J1037" s="26" t="n">
        <f aca="false">IF(A1037="","",YEAR(A1037))</f>
        <v>2025</v>
      </c>
      <c r="K1037" s="26" t="n">
        <f aca="false">IF(A1037="","",MONTH(A1037))</f>
        <v>10</v>
      </c>
      <c r="L1037" s="26" t="n">
        <f aca="false">IF(B1037="","",VALUE(LEFT(B1037,2)))</f>
        <v>7</v>
      </c>
      <c r="M1037" s="26" t="n">
        <f aca="false">IF(A1037="","",IF(COUNTIFS($C$2:$C$5001,C1037,$J$2:$J$5001,J1037,$A$2:$A$5001,"&lt;"&amp;A1037)=0,1,0))</f>
        <v>0</v>
      </c>
    </row>
    <row r="1038" customFormat="false" ht="15" hidden="false" customHeight="false" outlineLevel="0" collapsed="false">
      <c r="A1038" s="23" t="n">
        <v>45951.6979166667</v>
      </c>
      <c r="B1038" s="24" t="s">
        <v>820</v>
      </c>
      <c r="C1038" s="24" t="s">
        <v>263</v>
      </c>
      <c r="D1038" s="24" t="s">
        <v>66</v>
      </c>
      <c r="E1038" s="24" t="n">
        <v>398</v>
      </c>
      <c r="F1038" s="25" t="n">
        <v>14000</v>
      </c>
      <c r="G1038" s="24" t="s">
        <v>69</v>
      </c>
      <c r="H1038" s="24" t="s">
        <v>55</v>
      </c>
      <c r="I1038" s="24" t="s">
        <v>61</v>
      </c>
      <c r="J1038" s="26" t="n">
        <f aca="false">IF(A1038="","",YEAR(A1038))</f>
        <v>2025</v>
      </c>
      <c r="K1038" s="26" t="n">
        <f aca="false">IF(A1038="","",MONTH(A1038))</f>
        <v>10</v>
      </c>
      <c r="L1038" s="26" t="n">
        <f aca="false">IF(B1038="","",VALUE(LEFT(B1038,2)))</f>
        <v>10</v>
      </c>
      <c r="M1038" s="26" t="n">
        <f aca="false">IF(A1038="","",IF(COUNTIFS($C$2:$C$5001,C1038,$J$2:$J$5001,J1038,$A$2:$A$5001,"&lt;"&amp;A1038)=0,1,0))</f>
        <v>0</v>
      </c>
    </row>
    <row r="1039" customFormat="false" ht="15" hidden="false" customHeight="false" outlineLevel="0" collapsed="false">
      <c r="A1039" s="23" t="n">
        <v>45952.4263888889</v>
      </c>
      <c r="B1039" s="24" t="s">
        <v>613</v>
      </c>
      <c r="C1039" s="24" t="s">
        <v>448</v>
      </c>
      <c r="D1039" s="24" t="s">
        <v>66</v>
      </c>
      <c r="E1039" s="24" t="n">
        <v>172</v>
      </c>
      <c r="F1039" s="25" t="n">
        <v>6000</v>
      </c>
      <c r="G1039" s="24" t="s">
        <v>59</v>
      </c>
      <c r="H1039" s="24" t="s">
        <v>60</v>
      </c>
      <c r="I1039" s="24" t="s">
        <v>61</v>
      </c>
      <c r="J1039" s="26" t="n">
        <f aca="false">IF(A1039="","",YEAR(A1039))</f>
        <v>2025</v>
      </c>
      <c r="K1039" s="26" t="n">
        <f aca="false">IF(A1039="","",MONTH(A1039))</f>
        <v>10</v>
      </c>
      <c r="L1039" s="26" t="n">
        <f aca="false">IF(B1039="","",VALUE(LEFT(B1039,2)))</f>
        <v>7</v>
      </c>
      <c r="M1039" s="26" t="n">
        <f aca="false">IF(A1039="","",IF(COUNTIFS($C$2:$C$5001,C1039,$J$2:$J$5001,J1039,$A$2:$A$5001,"&lt;"&amp;A1039)=0,1,0))</f>
        <v>0</v>
      </c>
    </row>
    <row r="1040" customFormat="false" ht="15" hidden="false" customHeight="false" outlineLevel="0" collapsed="false">
      <c r="A1040" s="23" t="n">
        <v>45952.5590277778</v>
      </c>
      <c r="B1040" s="24" t="s">
        <v>650</v>
      </c>
      <c r="C1040" s="24" t="s">
        <v>314</v>
      </c>
      <c r="D1040" s="24" t="s">
        <v>53</v>
      </c>
      <c r="E1040" s="24" t="n">
        <v>380</v>
      </c>
      <c r="F1040" s="25" t="n">
        <v>5525</v>
      </c>
      <c r="G1040" s="24" t="s">
        <v>59</v>
      </c>
      <c r="H1040" s="24" t="s">
        <v>55</v>
      </c>
      <c r="I1040" s="24" t="s">
        <v>113</v>
      </c>
      <c r="J1040" s="26" t="n">
        <f aca="false">IF(A1040="","",YEAR(A1040))</f>
        <v>2025</v>
      </c>
      <c r="K1040" s="26" t="n">
        <f aca="false">IF(A1040="","",MONTH(A1040))</f>
        <v>10</v>
      </c>
      <c r="L1040" s="26" t="n">
        <f aca="false">IF(B1040="","",VALUE(LEFT(B1040,2)))</f>
        <v>7</v>
      </c>
      <c r="M1040" s="26" t="n">
        <f aca="false">IF(A1040="","",IF(COUNTIFS($C$2:$C$5001,C1040,$J$2:$J$5001,J1040,$A$2:$A$5001,"&lt;"&amp;A1040)=0,1,0))</f>
        <v>0</v>
      </c>
    </row>
    <row r="1041" customFormat="false" ht="15" hidden="false" customHeight="false" outlineLevel="0" collapsed="false">
      <c r="A1041" s="23" t="n">
        <v>45953.6819444444</v>
      </c>
      <c r="B1041" s="24" t="s">
        <v>758</v>
      </c>
      <c r="C1041" s="24" t="s">
        <v>345</v>
      </c>
      <c r="D1041" s="24" t="s">
        <v>66</v>
      </c>
      <c r="E1041" s="24" t="n">
        <v>412</v>
      </c>
      <c r="F1041" s="25" t="n">
        <v>14000</v>
      </c>
      <c r="G1041" s="24" t="s">
        <v>59</v>
      </c>
      <c r="H1041" s="24" t="s">
        <v>55</v>
      </c>
      <c r="I1041" s="24" t="s">
        <v>61</v>
      </c>
      <c r="J1041" s="26" t="n">
        <f aca="false">IF(A1041="","",YEAR(A1041))</f>
        <v>2025</v>
      </c>
      <c r="K1041" s="26" t="n">
        <f aca="false">IF(A1041="","",MONTH(A1041))</f>
        <v>10</v>
      </c>
      <c r="L1041" s="26" t="n">
        <f aca="false">IF(B1041="","",VALUE(LEFT(B1041,2)))</f>
        <v>9</v>
      </c>
      <c r="M1041" s="26" t="n">
        <f aca="false">IF(A1041="","",IF(COUNTIFS($C$2:$C$5001,C1041,$J$2:$J$5001,J1041,$A$2:$A$5001,"&lt;"&amp;A1041)=0,1,0))</f>
        <v>0</v>
      </c>
    </row>
    <row r="1042" customFormat="false" ht="15" hidden="false" customHeight="false" outlineLevel="0" collapsed="false">
      <c r="A1042" s="23" t="n">
        <v>45954.6194444444</v>
      </c>
      <c r="B1042" s="24" t="s">
        <v>821</v>
      </c>
      <c r="C1042" s="24" t="s">
        <v>52</v>
      </c>
      <c r="D1042" s="24" t="s">
        <v>66</v>
      </c>
      <c r="E1042" s="24" t="n">
        <v>47</v>
      </c>
      <c r="F1042" s="25" t="n">
        <v>0</v>
      </c>
      <c r="G1042" s="24" t="s">
        <v>59</v>
      </c>
      <c r="H1042" s="24" t="s">
        <v>80</v>
      </c>
      <c r="I1042" s="24" t="s">
        <v>56</v>
      </c>
      <c r="J1042" s="26" t="n">
        <f aca="false">IF(A1042="","",YEAR(A1042))</f>
        <v>2025</v>
      </c>
      <c r="K1042" s="26" t="n">
        <f aca="false">IF(A1042="","",MONTH(A1042))</f>
        <v>10</v>
      </c>
      <c r="L1042" s="26" t="n">
        <f aca="false">IF(B1042="","",VALUE(LEFT(B1042,2)))</f>
        <v>14</v>
      </c>
      <c r="M1042" s="26" t="n">
        <f aca="false">IF(A1042="","",IF(COUNTIFS($C$2:$C$5001,C1042,$J$2:$J$5001,J1042,$A$2:$A$5001,"&lt;"&amp;A1042)=0,1,0))</f>
        <v>0</v>
      </c>
    </row>
    <row r="1043" customFormat="false" ht="15" hidden="false" customHeight="false" outlineLevel="0" collapsed="false">
      <c r="A1043" s="23" t="n">
        <v>45954.7409722222</v>
      </c>
      <c r="B1043" s="24" t="s">
        <v>134</v>
      </c>
      <c r="C1043" s="24" t="s">
        <v>314</v>
      </c>
      <c r="D1043" s="24" t="s">
        <v>53</v>
      </c>
      <c r="E1043" s="24" t="n">
        <v>165</v>
      </c>
      <c r="F1043" s="25" t="n">
        <v>0</v>
      </c>
      <c r="G1043" s="24" t="s">
        <v>59</v>
      </c>
      <c r="H1043" s="24" t="s">
        <v>55</v>
      </c>
      <c r="I1043" s="24" t="s">
        <v>56</v>
      </c>
      <c r="J1043" s="26" t="n">
        <f aca="false">IF(A1043="","",YEAR(A1043))</f>
        <v>2025</v>
      </c>
      <c r="K1043" s="26" t="n">
        <f aca="false">IF(A1043="","",MONTH(A1043))</f>
        <v>10</v>
      </c>
      <c r="L1043" s="26" t="n">
        <f aca="false">IF(B1043="","",VALUE(LEFT(B1043,2)))</f>
        <v>15</v>
      </c>
      <c r="M1043" s="26" t="n">
        <f aca="false">IF(A1043="","",IF(COUNTIFS($C$2:$C$5001,C1043,$J$2:$J$5001,J1043,$A$2:$A$5001,"&lt;"&amp;A1043)=0,1,0))</f>
        <v>0</v>
      </c>
    </row>
    <row r="1044" customFormat="false" ht="15" hidden="false" customHeight="false" outlineLevel="0" collapsed="false">
      <c r="A1044" s="23" t="n">
        <v>45955.4326388889</v>
      </c>
      <c r="B1044" s="24" t="s">
        <v>288</v>
      </c>
      <c r="C1044" s="24" t="s">
        <v>52</v>
      </c>
      <c r="D1044" s="24" t="s">
        <v>66</v>
      </c>
      <c r="E1044" s="24" t="n">
        <v>104</v>
      </c>
      <c r="F1044" s="25" t="n">
        <v>3400</v>
      </c>
      <c r="G1044" s="24" t="s">
        <v>69</v>
      </c>
      <c r="H1044" s="24" t="s">
        <v>55</v>
      </c>
      <c r="I1044" s="24" t="s">
        <v>113</v>
      </c>
      <c r="J1044" s="26" t="n">
        <f aca="false">IF(A1044="","",YEAR(A1044))</f>
        <v>2025</v>
      </c>
      <c r="K1044" s="26" t="n">
        <f aca="false">IF(A1044="","",MONTH(A1044))</f>
        <v>10</v>
      </c>
      <c r="L1044" s="26" t="n">
        <f aca="false">IF(B1044="","",VALUE(LEFT(B1044,2)))</f>
        <v>8</v>
      </c>
      <c r="M1044" s="26" t="n">
        <f aca="false">IF(A1044="","",IF(COUNTIFS($C$2:$C$5001,C1044,$J$2:$J$5001,J1044,$A$2:$A$5001,"&lt;"&amp;A1044)=0,1,0))</f>
        <v>0</v>
      </c>
    </row>
    <row r="1045" customFormat="false" ht="15" hidden="false" customHeight="false" outlineLevel="0" collapsed="false">
      <c r="A1045" s="23" t="n">
        <v>45955.4958333333</v>
      </c>
      <c r="B1045" s="24" t="s">
        <v>208</v>
      </c>
      <c r="C1045" s="24" t="s">
        <v>324</v>
      </c>
      <c r="D1045" s="24" t="s">
        <v>66</v>
      </c>
      <c r="E1045" s="24" t="n">
        <v>105</v>
      </c>
      <c r="F1045" s="25" t="n">
        <v>4000</v>
      </c>
      <c r="G1045" s="24" t="s">
        <v>59</v>
      </c>
      <c r="H1045" s="24" t="s">
        <v>60</v>
      </c>
      <c r="I1045" s="24" t="s">
        <v>61</v>
      </c>
      <c r="J1045" s="26" t="n">
        <f aca="false">IF(A1045="","",YEAR(A1045))</f>
        <v>2025</v>
      </c>
      <c r="K1045" s="26" t="n">
        <f aca="false">IF(A1045="","",MONTH(A1045))</f>
        <v>10</v>
      </c>
      <c r="L1045" s="26" t="n">
        <f aca="false">IF(B1045="","",VALUE(LEFT(B1045,2)))</f>
        <v>10</v>
      </c>
      <c r="M1045" s="26" t="n">
        <f aca="false">IF(A1045="","",IF(COUNTIFS($C$2:$C$5001,C1045,$J$2:$J$5001,J1045,$A$2:$A$5001,"&lt;"&amp;A1045)=0,1,0))</f>
        <v>0</v>
      </c>
    </row>
    <row r="1046" customFormat="false" ht="15" hidden="false" customHeight="false" outlineLevel="0" collapsed="false">
      <c r="A1046" s="23" t="n">
        <v>45957.8375</v>
      </c>
      <c r="B1046" s="24" t="s">
        <v>822</v>
      </c>
      <c r="C1046" s="24" t="s">
        <v>393</v>
      </c>
      <c r="D1046" s="24" t="s">
        <v>53</v>
      </c>
      <c r="E1046" s="24" t="n">
        <v>327</v>
      </c>
      <c r="F1046" s="25" t="n">
        <v>5500</v>
      </c>
      <c r="G1046" s="24" t="s">
        <v>59</v>
      </c>
      <c r="H1046" s="24" t="s">
        <v>60</v>
      </c>
      <c r="I1046" s="24" t="s">
        <v>61</v>
      </c>
      <c r="J1046" s="26" t="n">
        <f aca="false">IF(A1046="","",YEAR(A1046))</f>
        <v>2025</v>
      </c>
      <c r="K1046" s="26" t="n">
        <f aca="false">IF(A1046="","",MONTH(A1046))</f>
        <v>10</v>
      </c>
      <c r="L1046" s="26" t="n">
        <f aca="false">IF(B1046="","",VALUE(LEFT(B1046,2)))</f>
        <v>14</v>
      </c>
      <c r="M1046" s="26" t="n">
        <f aca="false">IF(A1046="","",IF(COUNTIFS($C$2:$C$5001,C1046,$J$2:$J$5001,J1046,$A$2:$A$5001,"&lt;"&amp;A1046)=0,1,0))</f>
        <v>0</v>
      </c>
    </row>
    <row r="1047" customFormat="false" ht="15" hidden="false" customHeight="false" outlineLevel="0" collapsed="false">
      <c r="A1047" s="23" t="n">
        <v>45958.3645833333</v>
      </c>
      <c r="B1047" s="24" t="s">
        <v>823</v>
      </c>
      <c r="C1047" s="24" t="s">
        <v>203</v>
      </c>
      <c r="D1047" s="24" t="s">
        <v>66</v>
      </c>
      <c r="E1047" s="24" t="n">
        <v>149</v>
      </c>
      <c r="F1047" s="25" t="n">
        <v>4250</v>
      </c>
      <c r="G1047" s="24" t="s">
        <v>79</v>
      </c>
      <c r="H1047" s="24" t="s">
        <v>80</v>
      </c>
      <c r="I1047" s="24" t="s">
        <v>113</v>
      </c>
      <c r="J1047" s="26" t="n">
        <f aca="false">IF(A1047="","",YEAR(A1047))</f>
        <v>2025</v>
      </c>
      <c r="K1047" s="26" t="n">
        <f aca="false">IF(A1047="","",MONTH(A1047))</f>
        <v>10</v>
      </c>
      <c r="L1047" s="26" t="n">
        <f aca="false">IF(B1047="","",VALUE(LEFT(B1047,2)))</f>
        <v>6</v>
      </c>
      <c r="M1047" s="26" t="n">
        <f aca="false">IF(A1047="","",IF(COUNTIFS($C$2:$C$5001,C1047,$J$2:$J$5001,J1047,$A$2:$A$5001,"&lt;"&amp;A1047)=0,1,0))</f>
        <v>0</v>
      </c>
    </row>
    <row r="1048" customFormat="false" ht="15" hidden="false" customHeight="false" outlineLevel="0" collapsed="false">
      <c r="A1048" s="23" t="n">
        <v>45958.4861111111</v>
      </c>
      <c r="B1048" s="24" t="s">
        <v>824</v>
      </c>
      <c r="C1048" s="24" t="s">
        <v>143</v>
      </c>
      <c r="D1048" s="24" t="s">
        <v>53</v>
      </c>
      <c r="E1048" s="24" t="n">
        <v>140</v>
      </c>
      <c r="F1048" s="25" t="n">
        <v>2500</v>
      </c>
      <c r="G1048" s="24" t="s">
        <v>59</v>
      </c>
      <c r="H1048" s="24" t="s">
        <v>55</v>
      </c>
      <c r="I1048" s="24" t="s">
        <v>61</v>
      </c>
      <c r="J1048" s="26" t="n">
        <f aca="false">IF(A1048="","",YEAR(A1048))</f>
        <v>2025</v>
      </c>
      <c r="K1048" s="26" t="n">
        <f aca="false">IF(A1048="","",MONTH(A1048))</f>
        <v>10</v>
      </c>
      <c r="L1048" s="26" t="n">
        <f aca="false">IF(B1048="","",VALUE(LEFT(B1048,2)))</f>
        <v>9</v>
      </c>
      <c r="M1048" s="26" t="n">
        <f aca="false">IF(A1048="","",IF(COUNTIFS($C$2:$C$5001,C1048,$J$2:$J$5001,J1048,$A$2:$A$5001,"&lt;"&amp;A1048)=0,1,0))</f>
        <v>0</v>
      </c>
    </row>
    <row r="1049" customFormat="false" ht="15" hidden="false" customHeight="false" outlineLevel="0" collapsed="false">
      <c r="A1049" s="23" t="n">
        <v>45958.4916666667</v>
      </c>
      <c r="B1049" s="24" t="s">
        <v>485</v>
      </c>
      <c r="C1049" s="24" t="s">
        <v>87</v>
      </c>
      <c r="D1049" s="24" t="s">
        <v>53</v>
      </c>
      <c r="E1049" s="24" t="n">
        <v>274</v>
      </c>
      <c r="F1049" s="25" t="n">
        <v>5000</v>
      </c>
      <c r="G1049" s="24" t="s">
        <v>69</v>
      </c>
      <c r="H1049" s="24" t="s">
        <v>60</v>
      </c>
      <c r="I1049" s="24" t="s">
        <v>61</v>
      </c>
      <c r="J1049" s="26" t="n">
        <f aca="false">IF(A1049="","",YEAR(A1049))</f>
        <v>2025</v>
      </c>
      <c r="K1049" s="26" t="n">
        <f aca="false">IF(A1049="","",MONTH(A1049))</f>
        <v>10</v>
      </c>
      <c r="L1049" s="26" t="n">
        <f aca="false">IF(B1049="","",VALUE(LEFT(B1049,2)))</f>
        <v>7</v>
      </c>
      <c r="M1049" s="26" t="n">
        <f aca="false">IF(A1049="","",IF(COUNTIFS($C$2:$C$5001,C1049,$J$2:$J$5001,J1049,$A$2:$A$5001,"&lt;"&amp;A1049)=0,1,0))</f>
        <v>0</v>
      </c>
    </row>
    <row r="1050" customFormat="false" ht="15" hidden="false" customHeight="false" outlineLevel="0" collapsed="false">
      <c r="A1050" s="23" t="n">
        <v>45958.9326388889</v>
      </c>
      <c r="B1050" s="24" t="s">
        <v>344</v>
      </c>
      <c r="C1050" s="24" t="s">
        <v>316</v>
      </c>
      <c r="D1050" s="24" t="s">
        <v>53</v>
      </c>
      <c r="E1050" s="24" t="n">
        <v>97</v>
      </c>
      <c r="F1050" s="25" t="n">
        <v>2000</v>
      </c>
      <c r="G1050" s="24" t="s">
        <v>54</v>
      </c>
      <c r="H1050" s="24" t="s">
        <v>55</v>
      </c>
      <c r="I1050" s="24" t="s">
        <v>61</v>
      </c>
      <c r="J1050" s="26" t="n">
        <f aca="false">IF(A1050="","",YEAR(A1050))</f>
        <v>2025</v>
      </c>
      <c r="K1050" s="26" t="n">
        <f aca="false">IF(A1050="","",MONTH(A1050))</f>
        <v>10</v>
      </c>
      <c r="L1050" s="26" t="n">
        <f aca="false">IF(B1050="","",VALUE(LEFT(B1050,2)))</f>
        <v>20</v>
      </c>
      <c r="M1050" s="26" t="n">
        <f aca="false">IF(A1050="","",IF(COUNTIFS($C$2:$C$5001,C1050,$J$2:$J$5001,J1050,$A$2:$A$5001,"&lt;"&amp;A1050)=0,1,0))</f>
        <v>0</v>
      </c>
    </row>
    <row r="1051" customFormat="false" ht="15" hidden="false" customHeight="false" outlineLevel="0" collapsed="false">
      <c r="A1051" s="23" t="n">
        <v>45958.9395833333</v>
      </c>
      <c r="B1051" s="24" t="s">
        <v>825</v>
      </c>
      <c r="C1051" s="24" t="s">
        <v>222</v>
      </c>
      <c r="D1051" s="24" t="s">
        <v>66</v>
      </c>
      <c r="E1051" s="24" t="n">
        <v>115</v>
      </c>
      <c r="F1051" s="25" t="n">
        <v>4000</v>
      </c>
      <c r="G1051" s="24" t="s">
        <v>59</v>
      </c>
      <c r="H1051" s="24" t="s">
        <v>60</v>
      </c>
      <c r="I1051" s="24" t="s">
        <v>61</v>
      </c>
      <c r="J1051" s="26" t="n">
        <f aca="false">IF(A1051="","",YEAR(A1051))</f>
        <v>2025</v>
      </c>
      <c r="K1051" s="26" t="n">
        <f aca="false">IF(A1051="","",MONTH(A1051))</f>
        <v>10</v>
      </c>
      <c r="L1051" s="26" t="n">
        <f aca="false">IF(B1051="","",VALUE(LEFT(B1051,2)))</f>
        <v>20</v>
      </c>
      <c r="M1051" s="26" t="n">
        <f aca="false">IF(A1051="","",IF(COUNTIFS($C$2:$C$5001,C1051,$J$2:$J$5001,J1051,$A$2:$A$5001,"&lt;"&amp;A1051)=0,1,0))</f>
        <v>0</v>
      </c>
    </row>
    <row r="1052" customFormat="false" ht="15" hidden="false" customHeight="false" outlineLevel="0" collapsed="false">
      <c r="A1052" s="23" t="n">
        <v>45962.4020833333</v>
      </c>
      <c r="B1052" s="24" t="s">
        <v>262</v>
      </c>
      <c r="C1052" s="24" t="s">
        <v>85</v>
      </c>
      <c r="D1052" s="24" t="s">
        <v>53</v>
      </c>
      <c r="E1052" s="24" t="n">
        <v>74</v>
      </c>
      <c r="F1052" s="25" t="n">
        <v>0</v>
      </c>
      <c r="G1052" s="24" t="s">
        <v>59</v>
      </c>
      <c r="H1052" s="24" t="s">
        <v>80</v>
      </c>
      <c r="I1052" s="24" t="s">
        <v>56</v>
      </c>
      <c r="J1052" s="26" t="n">
        <f aca="false">IF(A1052="","",YEAR(A1052))</f>
        <v>2025</v>
      </c>
      <c r="K1052" s="26" t="n">
        <f aca="false">IF(A1052="","",MONTH(A1052))</f>
        <v>11</v>
      </c>
      <c r="L1052" s="26" t="n">
        <f aca="false">IF(B1052="","",VALUE(LEFT(B1052,2)))</f>
        <v>8</v>
      </c>
      <c r="M1052" s="26" t="n">
        <f aca="false">IF(A1052="","",IF(COUNTIFS($C$2:$C$5001,C1052,$J$2:$J$5001,J1052,$A$2:$A$5001,"&lt;"&amp;A1052)=0,1,0))</f>
        <v>0</v>
      </c>
    </row>
    <row r="1053" customFormat="false" ht="15" hidden="false" customHeight="false" outlineLevel="0" collapsed="false">
      <c r="A1053" s="23" t="n">
        <v>45962.7298611111</v>
      </c>
      <c r="B1053" s="24" t="s">
        <v>75</v>
      </c>
      <c r="C1053" s="24" t="s">
        <v>168</v>
      </c>
      <c r="D1053" s="24" t="s">
        <v>66</v>
      </c>
      <c r="E1053" s="24" t="n">
        <v>58</v>
      </c>
      <c r="F1053" s="25" t="n">
        <v>1700</v>
      </c>
      <c r="G1053" s="24" t="s">
        <v>59</v>
      </c>
      <c r="H1053" s="24" t="s">
        <v>60</v>
      </c>
      <c r="I1053" s="24" t="s">
        <v>113</v>
      </c>
      <c r="J1053" s="26" t="n">
        <f aca="false">IF(A1053="","",YEAR(A1053))</f>
        <v>2025</v>
      </c>
      <c r="K1053" s="26" t="n">
        <f aca="false">IF(A1053="","",MONTH(A1053))</f>
        <v>11</v>
      </c>
      <c r="L1053" s="26" t="n">
        <f aca="false">IF(B1053="","",VALUE(LEFT(B1053,2)))</f>
        <v>16</v>
      </c>
      <c r="M1053" s="26" t="n">
        <f aca="false">IF(A1053="","",IF(COUNTIFS($C$2:$C$5001,C1053,$J$2:$J$5001,J1053,$A$2:$A$5001,"&lt;"&amp;A1053)=0,1,0))</f>
        <v>0</v>
      </c>
    </row>
    <row r="1054" customFormat="false" ht="15" hidden="false" customHeight="false" outlineLevel="0" collapsed="false">
      <c r="A1054" s="23" t="n">
        <v>45962.7715277778</v>
      </c>
      <c r="B1054" s="24" t="s">
        <v>680</v>
      </c>
      <c r="C1054" s="24" t="s">
        <v>475</v>
      </c>
      <c r="D1054" s="24" t="s">
        <v>66</v>
      </c>
      <c r="E1054" s="24" t="n">
        <v>419</v>
      </c>
      <c r="F1054" s="25" t="n">
        <v>14000</v>
      </c>
      <c r="G1054" s="24" t="s">
        <v>59</v>
      </c>
      <c r="H1054" s="24" t="s">
        <v>80</v>
      </c>
      <c r="I1054" s="24" t="s">
        <v>61</v>
      </c>
      <c r="J1054" s="26" t="n">
        <f aca="false">IF(A1054="","",YEAR(A1054))</f>
        <v>2025</v>
      </c>
      <c r="K1054" s="26" t="n">
        <f aca="false">IF(A1054="","",MONTH(A1054))</f>
        <v>11</v>
      </c>
      <c r="L1054" s="26" t="n">
        <f aca="false">IF(B1054="","",VALUE(LEFT(B1054,2)))</f>
        <v>11</v>
      </c>
      <c r="M1054" s="26" t="n">
        <f aca="false">IF(A1054="","",IF(COUNTIFS($C$2:$C$5001,C1054,$J$2:$J$5001,J1054,$A$2:$A$5001,"&lt;"&amp;A1054)=0,1,0))</f>
        <v>0</v>
      </c>
    </row>
    <row r="1055" customFormat="false" ht="15" hidden="false" customHeight="false" outlineLevel="0" collapsed="false">
      <c r="A1055" s="23" t="n">
        <v>45962.9381944445</v>
      </c>
      <c r="B1055" s="24" t="s">
        <v>826</v>
      </c>
      <c r="C1055" s="24" t="s">
        <v>240</v>
      </c>
      <c r="D1055" s="24" t="s">
        <v>53</v>
      </c>
      <c r="E1055" s="24" t="n">
        <v>208</v>
      </c>
      <c r="F1055" s="25" t="n">
        <v>3500</v>
      </c>
      <c r="G1055" s="24" t="s">
        <v>59</v>
      </c>
      <c r="H1055" s="24" t="s">
        <v>55</v>
      </c>
      <c r="I1055" s="24" t="s">
        <v>61</v>
      </c>
      <c r="J1055" s="26" t="n">
        <f aca="false">IF(A1055="","",YEAR(A1055))</f>
        <v>2025</v>
      </c>
      <c r="K1055" s="26" t="n">
        <f aca="false">IF(A1055="","",MONTH(A1055))</f>
        <v>11</v>
      </c>
      <c r="L1055" s="26" t="n">
        <f aca="false">IF(B1055="","",VALUE(LEFT(B1055,2)))</f>
        <v>19</v>
      </c>
      <c r="M1055" s="26" t="n">
        <f aca="false">IF(A1055="","",IF(COUNTIFS($C$2:$C$5001,C1055,$J$2:$J$5001,J1055,$A$2:$A$5001,"&lt;"&amp;A1055)=0,1,0))</f>
        <v>0</v>
      </c>
    </row>
    <row r="1056" customFormat="false" ht="15" hidden="false" customHeight="false" outlineLevel="0" collapsed="false">
      <c r="A1056" s="23" t="n">
        <v>45963.3930555556</v>
      </c>
      <c r="B1056" s="24" t="s">
        <v>421</v>
      </c>
      <c r="C1056" s="24" t="s">
        <v>268</v>
      </c>
      <c r="D1056" s="24" t="s">
        <v>66</v>
      </c>
      <c r="E1056" s="24" t="n">
        <v>134</v>
      </c>
      <c r="F1056" s="25" t="n">
        <v>5000</v>
      </c>
      <c r="G1056" s="24" t="s">
        <v>59</v>
      </c>
      <c r="H1056" s="24" t="s">
        <v>55</v>
      </c>
      <c r="I1056" s="24" t="s">
        <v>61</v>
      </c>
      <c r="J1056" s="26" t="n">
        <f aca="false">IF(A1056="","",YEAR(A1056))</f>
        <v>2025</v>
      </c>
      <c r="K1056" s="26" t="n">
        <f aca="false">IF(A1056="","",MONTH(A1056))</f>
        <v>11</v>
      </c>
      <c r="L1056" s="26" t="n">
        <f aca="false">IF(B1056="","",VALUE(LEFT(B1056,2)))</f>
        <v>7</v>
      </c>
      <c r="M1056" s="26" t="n">
        <f aca="false">IF(A1056="","",IF(COUNTIFS($C$2:$C$5001,C1056,$J$2:$J$5001,J1056,$A$2:$A$5001,"&lt;"&amp;A1056)=0,1,0))</f>
        <v>0</v>
      </c>
    </row>
    <row r="1057" customFormat="false" ht="15" hidden="false" customHeight="false" outlineLevel="0" collapsed="false">
      <c r="A1057" s="23" t="n">
        <v>45963.95</v>
      </c>
      <c r="B1057" s="24" t="s">
        <v>291</v>
      </c>
      <c r="C1057" s="24" t="s">
        <v>147</v>
      </c>
      <c r="D1057" s="24" t="s">
        <v>66</v>
      </c>
      <c r="E1057" s="24" t="n">
        <v>317</v>
      </c>
      <c r="F1057" s="25" t="n">
        <v>11000</v>
      </c>
      <c r="G1057" s="24" t="s">
        <v>69</v>
      </c>
      <c r="H1057" s="24" t="s">
        <v>55</v>
      </c>
      <c r="I1057" s="24" t="s">
        <v>61</v>
      </c>
      <c r="J1057" s="26" t="n">
        <f aca="false">IF(A1057="","",YEAR(A1057))</f>
        <v>2025</v>
      </c>
      <c r="K1057" s="26" t="n">
        <f aca="false">IF(A1057="","",MONTH(A1057))</f>
        <v>11</v>
      </c>
      <c r="L1057" s="26" t="n">
        <f aca="false">IF(B1057="","",VALUE(LEFT(B1057,2)))</f>
        <v>17</v>
      </c>
      <c r="M1057" s="26" t="n">
        <f aca="false">IF(A1057="","",IF(COUNTIFS($C$2:$C$5001,C1057,$J$2:$J$5001,J1057,$A$2:$A$5001,"&lt;"&amp;A1057)=0,1,0))</f>
        <v>0</v>
      </c>
    </row>
    <row r="1058" customFormat="false" ht="15" hidden="false" customHeight="false" outlineLevel="0" collapsed="false">
      <c r="A1058" s="23" t="n">
        <v>45964</v>
      </c>
      <c r="B1058" s="24" t="s">
        <v>738</v>
      </c>
      <c r="C1058" s="24" t="s">
        <v>110</v>
      </c>
      <c r="D1058" s="24" t="s">
        <v>66</v>
      </c>
      <c r="E1058" s="24" t="n">
        <v>196</v>
      </c>
      <c r="F1058" s="25" t="n">
        <v>7000</v>
      </c>
      <c r="G1058" s="24" t="s">
        <v>69</v>
      </c>
      <c r="H1058" s="24" t="s">
        <v>55</v>
      </c>
      <c r="I1058" s="24" t="s">
        <v>61</v>
      </c>
      <c r="J1058" s="26" t="n">
        <f aca="false">IF(A1058="","",YEAR(A1058))</f>
        <v>2025</v>
      </c>
      <c r="K1058" s="26" t="n">
        <f aca="false">IF(A1058="","",MONTH(A1058))</f>
        <v>11</v>
      </c>
      <c r="L1058" s="26" t="n">
        <f aca="false">IF(B1058="","",VALUE(LEFT(B1058,2)))</f>
        <v>20</v>
      </c>
      <c r="M1058" s="26" t="n">
        <f aca="false">IF(A1058="","",IF(COUNTIFS($C$2:$C$5001,C1058,$J$2:$J$5001,J1058,$A$2:$A$5001,"&lt;"&amp;A1058)=0,1,0))</f>
        <v>0</v>
      </c>
    </row>
    <row r="1059" customFormat="false" ht="15" hidden="false" customHeight="false" outlineLevel="0" collapsed="false">
      <c r="A1059" s="23" t="n">
        <v>45964.03125</v>
      </c>
      <c r="B1059" s="24" t="s">
        <v>598</v>
      </c>
      <c r="C1059" s="24" t="s">
        <v>197</v>
      </c>
      <c r="D1059" s="24" t="s">
        <v>88</v>
      </c>
      <c r="E1059" s="24" t="n">
        <v>277</v>
      </c>
      <c r="F1059" s="25" t="n">
        <v>15000</v>
      </c>
      <c r="G1059" s="24" t="s">
        <v>59</v>
      </c>
      <c r="H1059" s="24" t="s">
        <v>55</v>
      </c>
      <c r="I1059" s="24" t="s">
        <v>61</v>
      </c>
      <c r="J1059" s="26" t="n">
        <f aca="false">IF(A1059="","",YEAR(A1059))</f>
        <v>2025</v>
      </c>
      <c r="K1059" s="26" t="n">
        <f aca="false">IF(A1059="","",MONTH(A1059))</f>
        <v>11</v>
      </c>
      <c r="L1059" s="26" t="n">
        <f aca="false">IF(B1059="","",VALUE(LEFT(B1059,2)))</f>
        <v>20</v>
      </c>
      <c r="M1059" s="26" t="n">
        <f aca="false">IF(A1059="","",IF(COUNTIFS($C$2:$C$5001,C1059,$J$2:$J$5001,J1059,$A$2:$A$5001,"&lt;"&amp;A1059)=0,1,0))</f>
        <v>0</v>
      </c>
    </row>
    <row r="1060" customFormat="false" ht="15" hidden="false" customHeight="false" outlineLevel="0" collapsed="false">
      <c r="A1060" s="23" t="n">
        <v>45964.5736111111</v>
      </c>
      <c r="B1060" s="24" t="s">
        <v>81</v>
      </c>
      <c r="C1060" s="24" t="s">
        <v>90</v>
      </c>
      <c r="D1060" s="24" t="s">
        <v>88</v>
      </c>
      <c r="E1060" s="24" t="n">
        <v>406</v>
      </c>
      <c r="F1060" s="25" t="n">
        <v>21000</v>
      </c>
      <c r="G1060" s="24" t="s">
        <v>59</v>
      </c>
      <c r="H1060" s="24" t="s">
        <v>55</v>
      </c>
      <c r="I1060" s="24" t="s">
        <v>61</v>
      </c>
      <c r="J1060" s="26" t="n">
        <f aca="false">IF(A1060="","",YEAR(A1060))</f>
        <v>2025</v>
      </c>
      <c r="K1060" s="26" t="n">
        <f aca="false">IF(A1060="","",MONTH(A1060))</f>
        <v>11</v>
      </c>
      <c r="L1060" s="26" t="n">
        <f aca="false">IF(B1060="","",VALUE(LEFT(B1060,2)))</f>
        <v>7</v>
      </c>
      <c r="M1060" s="26" t="n">
        <f aca="false">IF(A1060="","",IF(COUNTIFS($C$2:$C$5001,C1060,$J$2:$J$5001,J1060,$A$2:$A$5001,"&lt;"&amp;A1060)=0,1,0))</f>
        <v>0</v>
      </c>
    </row>
    <row r="1061" customFormat="false" ht="15" hidden="false" customHeight="false" outlineLevel="0" collapsed="false">
      <c r="A1061" s="23" t="n">
        <v>45964.6652777778</v>
      </c>
      <c r="B1061" s="24" t="s">
        <v>811</v>
      </c>
      <c r="C1061" s="24" t="s">
        <v>237</v>
      </c>
      <c r="D1061" s="24" t="s">
        <v>66</v>
      </c>
      <c r="E1061" s="24" t="n">
        <v>241</v>
      </c>
      <c r="F1061" s="25" t="n">
        <v>9000</v>
      </c>
      <c r="G1061" s="24" t="s">
        <v>83</v>
      </c>
      <c r="H1061" s="24" t="s">
        <v>60</v>
      </c>
      <c r="I1061" s="24" t="s">
        <v>61</v>
      </c>
      <c r="J1061" s="26" t="n">
        <f aca="false">IF(A1061="","",YEAR(A1061))</f>
        <v>2025</v>
      </c>
      <c r="K1061" s="26" t="n">
        <f aca="false">IF(A1061="","",MONTH(A1061))</f>
        <v>11</v>
      </c>
      <c r="L1061" s="26" t="n">
        <f aca="false">IF(B1061="","",VALUE(LEFT(B1061,2)))</f>
        <v>11</v>
      </c>
      <c r="M1061" s="26" t="n">
        <f aca="false">IF(A1061="","",IF(COUNTIFS($C$2:$C$5001,C1061,$J$2:$J$5001,J1061,$A$2:$A$5001,"&lt;"&amp;A1061)=0,1,0))</f>
        <v>0</v>
      </c>
    </row>
    <row r="1062" customFormat="false" ht="15" hidden="false" customHeight="false" outlineLevel="0" collapsed="false">
      <c r="A1062" s="23" t="n">
        <v>45964.7145833333</v>
      </c>
      <c r="B1062" s="24" t="s">
        <v>611</v>
      </c>
      <c r="C1062" s="24" t="s">
        <v>194</v>
      </c>
      <c r="D1062" s="24" t="s">
        <v>66</v>
      </c>
      <c r="E1062" s="24" t="n">
        <v>73</v>
      </c>
      <c r="F1062" s="25" t="n">
        <v>3000</v>
      </c>
      <c r="G1062" s="24" t="s">
        <v>69</v>
      </c>
      <c r="H1062" s="24" t="s">
        <v>80</v>
      </c>
      <c r="I1062" s="24" t="s">
        <v>61</v>
      </c>
      <c r="J1062" s="26" t="n">
        <f aca="false">IF(A1062="","",YEAR(A1062))</f>
        <v>2025</v>
      </c>
      <c r="K1062" s="26" t="n">
        <f aca="false">IF(A1062="","",MONTH(A1062))</f>
        <v>11</v>
      </c>
      <c r="L1062" s="26" t="n">
        <f aca="false">IF(B1062="","",VALUE(LEFT(B1062,2)))</f>
        <v>15</v>
      </c>
      <c r="M1062" s="26" t="n">
        <f aca="false">IF(A1062="","",IF(COUNTIFS($C$2:$C$5001,C1062,$J$2:$J$5001,J1062,$A$2:$A$5001,"&lt;"&amp;A1062)=0,1,0))</f>
        <v>0</v>
      </c>
    </row>
    <row r="1063" customFormat="false" ht="15" hidden="false" customHeight="false" outlineLevel="0" collapsed="false">
      <c r="A1063" s="23" t="n">
        <v>45964.8375</v>
      </c>
      <c r="B1063" s="24" t="s">
        <v>497</v>
      </c>
      <c r="C1063" s="24" t="s">
        <v>403</v>
      </c>
      <c r="D1063" s="24" t="s">
        <v>88</v>
      </c>
      <c r="E1063" s="24" t="n">
        <v>158</v>
      </c>
      <c r="F1063" s="25" t="n">
        <v>9000</v>
      </c>
      <c r="G1063" s="24" t="s">
        <v>59</v>
      </c>
      <c r="H1063" s="24" t="s">
        <v>55</v>
      </c>
      <c r="I1063" s="24" t="s">
        <v>61</v>
      </c>
      <c r="J1063" s="26" t="n">
        <f aca="false">IF(A1063="","",YEAR(A1063))</f>
        <v>2025</v>
      </c>
      <c r="K1063" s="26" t="n">
        <f aca="false">IF(A1063="","",MONTH(A1063))</f>
        <v>11</v>
      </c>
      <c r="L1063" s="26" t="n">
        <f aca="false">IF(B1063="","",VALUE(LEFT(B1063,2)))</f>
        <v>17</v>
      </c>
      <c r="M1063" s="26" t="n">
        <f aca="false">IF(A1063="","",IF(COUNTIFS($C$2:$C$5001,C1063,$J$2:$J$5001,J1063,$A$2:$A$5001,"&lt;"&amp;A1063)=0,1,0))</f>
        <v>0</v>
      </c>
    </row>
    <row r="1064" customFormat="false" ht="15" hidden="false" customHeight="false" outlineLevel="0" collapsed="false">
      <c r="A1064" s="23" t="n">
        <v>45965.13125</v>
      </c>
      <c r="B1064" s="24" t="s">
        <v>385</v>
      </c>
      <c r="C1064" s="24" t="s">
        <v>199</v>
      </c>
      <c r="D1064" s="24" t="s">
        <v>53</v>
      </c>
      <c r="E1064" s="24" t="n">
        <v>403</v>
      </c>
      <c r="F1064" s="25" t="n">
        <v>7000</v>
      </c>
      <c r="G1064" s="24" t="s">
        <v>69</v>
      </c>
      <c r="H1064" s="24" t="s">
        <v>55</v>
      </c>
      <c r="I1064" s="24" t="s">
        <v>61</v>
      </c>
      <c r="J1064" s="26" t="n">
        <f aca="false">IF(A1064="","",YEAR(A1064))</f>
        <v>2025</v>
      </c>
      <c r="K1064" s="26" t="n">
        <f aca="false">IF(A1064="","",MONTH(A1064))</f>
        <v>11</v>
      </c>
      <c r="L1064" s="26" t="n">
        <f aca="false">IF(B1064="","",VALUE(LEFT(B1064,2)))</f>
        <v>20</v>
      </c>
      <c r="M1064" s="26" t="n">
        <f aca="false">IF(A1064="","",IF(COUNTIFS($C$2:$C$5001,C1064,$J$2:$J$5001,J1064,$A$2:$A$5001,"&lt;"&amp;A1064)=0,1,0))</f>
        <v>0</v>
      </c>
    </row>
    <row r="1065" customFormat="false" ht="15" hidden="false" customHeight="false" outlineLevel="0" collapsed="false">
      <c r="A1065" s="23" t="n">
        <v>45965.5347222222</v>
      </c>
      <c r="B1065" s="24" t="s">
        <v>171</v>
      </c>
      <c r="C1065" s="24" t="s">
        <v>593</v>
      </c>
      <c r="D1065" s="24" t="s">
        <v>66</v>
      </c>
      <c r="E1065" s="24" t="n">
        <v>324</v>
      </c>
      <c r="F1065" s="25" t="n">
        <v>11000</v>
      </c>
      <c r="G1065" s="24" t="s">
        <v>59</v>
      </c>
      <c r="H1065" s="24" t="s">
        <v>60</v>
      </c>
      <c r="I1065" s="24" t="s">
        <v>61</v>
      </c>
      <c r="J1065" s="26" t="n">
        <f aca="false">IF(A1065="","",YEAR(A1065))</f>
        <v>2025</v>
      </c>
      <c r="K1065" s="26" t="n">
        <f aca="false">IF(A1065="","",MONTH(A1065))</f>
        <v>11</v>
      </c>
      <c r="L1065" s="26" t="n">
        <f aca="false">IF(B1065="","",VALUE(LEFT(B1065,2)))</f>
        <v>7</v>
      </c>
      <c r="M1065" s="26" t="n">
        <f aca="false">IF(A1065="","",IF(COUNTIFS($C$2:$C$5001,C1065,$J$2:$J$5001,J1065,$A$2:$A$5001,"&lt;"&amp;A1065)=0,1,0))</f>
        <v>0</v>
      </c>
    </row>
    <row r="1066" customFormat="false" ht="15" hidden="false" customHeight="false" outlineLevel="0" collapsed="false">
      <c r="A1066" s="23" t="n">
        <v>45965.9145833333</v>
      </c>
      <c r="B1066" s="24" t="s">
        <v>567</v>
      </c>
      <c r="C1066" s="24" t="s">
        <v>535</v>
      </c>
      <c r="D1066" s="24" t="s">
        <v>66</v>
      </c>
      <c r="E1066" s="24" t="n">
        <v>86</v>
      </c>
      <c r="F1066" s="25" t="n">
        <v>3000</v>
      </c>
      <c r="G1066" s="24" t="s">
        <v>59</v>
      </c>
      <c r="H1066" s="24" t="s">
        <v>55</v>
      </c>
      <c r="I1066" s="24" t="s">
        <v>61</v>
      </c>
      <c r="J1066" s="26" t="n">
        <f aca="false">IF(A1066="","",YEAR(A1066))</f>
        <v>2025</v>
      </c>
      <c r="K1066" s="26" t="n">
        <f aca="false">IF(A1066="","",MONTH(A1066))</f>
        <v>11</v>
      </c>
      <c r="L1066" s="26" t="n">
        <f aca="false">IF(B1066="","",VALUE(LEFT(B1066,2)))</f>
        <v>20</v>
      </c>
      <c r="M1066" s="26" t="n">
        <f aca="false">IF(A1066="","",IF(COUNTIFS($C$2:$C$5001,C1066,$J$2:$J$5001,J1066,$A$2:$A$5001,"&lt;"&amp;A1066)=0,1,0))</f>
        <v>0</v>
      </c>
    </row>
    <row r="1067" customFormat="false" ht="15" hidden="false" customHeight="false" outlineLevel="0" collapsed="false">
      <c r="A1067" s="23" t="n">
        <v>45966.0180555556</v>
      </c>
      <c r="B1067" s="24" t="s">
        <v>827</v>
      </c>
      <c r="C1067" s="24" t="s">
        <v>263</v>
      </c>
      <c r="D1067" s="24" t="s">
        <v>66</v>
      </c>
      <c r="E1067" s="24" t="n">
        <v>305</v>
      </c>
      <c r="F1067" s="25" t="n">
        <v>9350</v>
      </c>
      <c r="G1067" s="24" t="s">
        <v>59</v>
      </c>
      <c r="H1067" s="24" t="s">
        <v>55</v>
      </c>
      <c r="I1067" s="24" t="s">
        <v>113</v>
      </c>
      <c r="J1067" s="26" t="n">
        <f aca="false">IF(A1067="","",YEAR(A1067))</f>
        <v>2025</v>
      </c>
      <c r="K1067" s="26" t="n">
        <f aca="false">IF(A1067="","",MONTH(A1067))</f>
        <v>11</v>
      </c>
      <c r="L1067" s="26" t="n">
        <f aca="false">IF(B1067="","",VALUE(LEFT(B1067,2)))</f>
        <v>19</v>
      </c>
      <c r="M1067" s="26" t="n">
        <f aca="false">IF(A1067="","",IF(COUNTIFS($C$2:$C$5001,C1067,$J$2:$J$5001,J1067,$A$2:$A$5001,"&lt;"&amp;A1067)=0,1,0))</f>
        <v>0</v>
      </c>
    </row>
    <row r="1068" customFormat="false" ht="15" hidden="false" customHeight="false" outlineLevel="0" collapsed="false">
      <c r="A1068" s="23" t="n">
        <v>45966.4763888889</v>
      </c>
      <c r="B1068" s="24" t="s">
        <v>190</v>
      </c>
      <c r="C1068" s="24" t="s">
        <v>82</v>
      </c>
      <c r="D1068" s="24" t="s">
        <v>66</v>
      </c>
      <c r="E1068" s="24" t="n">
        <v>183</v>
      </c>
      <c r="F1068" s="25" t="n">
        <v>7000</v>
      </c>
      <c r="G1068" s="24" t="s">
        <v>59</v>
      </c>
      <c r="H1068" s="24" t="s">
        <v>55</v>
      </c>
      <c r="I1068" s="24" t="s">
        <v>61</v>
      </c>
      <c r="J1068" s="26" t="n">
        <f aca="false">IF(A1068="","",YEAR(A1068))</f>
        <v>2025</v>
      </c>
      <c r="K1068" s="26" t="n">
        <f aca="false">IF(A1068="","",MONTH(A1068))</f>
        <v>11</v>
      </c>
      <c r="L1068" s="26" t="n">
        <f aca="false">IF(B1068="","",VALUE(LEFT(B1068,2)))</f>
        <v>8</v>
      </c>
      <c r="M1068" s="26" t="n">
        <f aca="false">IF(A1068="","",IF(COUNTIFS($C$2:$C$5001,C1068,$J$2:$J$5001,J1068,$A$2:$A$5001,"&lt;"&amp;A1068)=0,1,0))</f>
        <v>0</v>
      </c>
    </row>
    <row r="1069" customFormat="false" ht="15" hidden="false" customHeight="false" outlineLevel="0" collapsed="false">
      <c r="A1069" s="23" t="n">
        <v>45966.5979166667</v>
      </c>
      <c r="B1069" s="24" t="s">
        <v>828</v>
      </c>
      <c r="C1069" s="24" t="s">
        <v>90</v>
      </c>
      <c r="D1069" s="24" t="s">
        <v>53</v>
      </c>
      <c r="E1069" s="24" t="n">
        <v>366</v>
      </c>
      <c r="F1069" s="25" t="n">
        <v>6500</v>
      </c>
      <c r="G1069" s="24" t="s">
        <v>79</v>
      </c>
      <c r="H1069" s="24" t="s">
        <v>80</v>
      </c>
      <c r="I1069" s="24" t="s">
        <v>61</v>
      </c>
      <c r="J1069" s="26" t="n">
        <f aca="false">IF(A1069="","",YEAR(A1069))</f>
        <v>2025</v>
      </c>
      <c r="K1069" s="26" t="n">
        <f aca="false">IF(A1069="","",MONTH(A1069))</f>
        <v>11</v>
      </c>
      <c r="L1069" s="26" t="n">
        <f aca="false">IF(B1069="","",VALUE(LEFT(B1069,2)))</f>
        <v>8</v>
      </c>
      <c r="M1069" s="26" t="n">
        <f aca="false">IF(A1069="","",IF(COUNTIFS($C$2:$C$5001,C1069,$J$2:$J$5001,J1069,$A$2:$A$5001,"&lt;"&amp;A1069)=0,1,0))</f>
        <v>0</v>
      </c>
    </row>
    <row r="1070" customFormat="false" ht="15" hidden="false" customHeight="false" outlineLevel="0" collapsed="false">
      <c r="A1070" s="23" t="n">
        <v>45967.3569444444</v>
      </c>
      <c r="B1070" s="24" t="s">
        <v>64</v>
      </c>
      <c r="C1070" s="24" t="s">
        <v>263</v>
      </c>
      <c r="D1070" s="24" t="s">
        <v>88</v>
      </c>
      <c r="E1070" s="24" t="n">
        <v>60</v>
      </c>
      <c r="F1070" s="25" t="n">
        <v>3000</v>
      </c>
      <c r="G1070" s="24" t="s">
        <v>59</v>
      </c>
      <c r="H1070" s="24" t="s">
        <v>55</v>
      </c>
      <c r="I1070" s="24" t="s">
        <v>61</v>
      </c>
      <c r="J1070" s="26" t="n">
        <f aca="false">IF(A1070="","",YEAR(A1070))</f>
        <v>2025</v>
      </c>
      <c r="K1070" s="26" t="n">
        <f aca="false">IF(A1070="","",MONTH(A1070))</f>
        <v>11</v>
      </c>
      <c r="L1070" s="26" t="n">
        <f aca="false">IF(B1070="","",VALUE(LEFT(B1070,2)))</f>
        <v>7</v>
      </c>
      <c r="M1070" s="26" t="n">
        <f aca="false">IF(A1070="","",IF(COUNTIFS($C$2:$C$5001,C1070,$J$2:$J$5001,J1070,$A$2:$A$5001,"&lt;"&amp;A1070)=0,1,0))</f>
        <v>0</v>
      </c>
    </row>
    <row r="1071" customFormat="false" ht="15" hidden="false" customHeight="false" outlineLevel="0" collapsed="false">
      <c r="A1071" s="23" t="n">
        <v>45967.4465277778</v>
      </c>
      <c r="B1071" s="24" t="s">
        <v>528</v>
      </c>
      <c r="C1071" s="24" t="s">
        <v>829</v>
      </c>
      <c r="D1071" s="24" t="s">
        <v>66</v>
      </c>
      <c r="E1071" s="24" t="n">
        <v>174</v>
      </c>
      <c r="F1071" s="25" t="n">
        <v>6000</v>
      </c>
      <c r="G1071" s="24" t="s">
        <v>59</v>
      </c>
      <c r="H1071" s="24" t="s">
        <v>80</v>
      </c>
      <c r="I1071" s="24" t="s">
        <v>61</v>
      </c>
      <c r="J1071" s="26" t="n">
        <f aca="false">IF(A1071="","",YEAR(A1071))</f>
        <v>2025</v>
      </c>
      <c r="K1071" s="26" t="n">
        <f aca="false">IF(A1071="","",MONTH(A1071))</f>
        <v>11</v>
      </c>
      <c r="L1071" s="26" t="n">
        <f aca="false">IF(B1071="","",VALUE(LEFT(B1071,2)))</f>
        <v>7</v>
      </c>
      <c r="M1071" s="26" t="n">
        <f aca="false">IF(A1071="","",IF(COUNTIFS($C$2:$C$5001,C1071,$J$2:$J$5001,J1071,$A$2:$A$5001,"&lt;"&amp;A1071)=0,1,0))</f>
        <v>1</v>
      </c>
    </row>
    <row r="1072" customFormat="false" ht="15" hidden="false" customHeight="false" outlineLevel="0" collapsed="false">
      <c r="A1072" s="23" t="n">
        <v>45967.66875</v>
      </c>
      <c r="B1072" s="24" t="s">
        <v>830</v>
      </c>
      <c r="C1072" s="24" t="s">
        <v>129</v>
      </c>
      <c r="D1072" s="24" t="s">
        <v>66</v>
      </c>
      <c r="E1072" s="24" t="n">
        <v>344</v>
      </c>
      <c r="F1072" s="25" t="n">
        <v>12000</v>
      </c>
      <c r="G1072" s="24" t="s">
        <v>69</v>
      </c>
      <c r="H1072" s="24" t="s">
        <v>55</v>
      </c>
      <c r="I1072" s="24" t="s">
        <v>61</v>
      </c>
      <c r="J1072" s="26" t="n">
        <f aca="false">IF(A1072="","",YEAR(A1072))</f>
        <v>2025</v>
      </c>
      <c r="K1072" s="26" t="n">
        <f aca="false">IF(A1072="","",MONTH(A1072))</f>
        <v>11</v>
      </c>
      <c r="L1072" s="26" t="n">
        <f aca="false">IF(B1072="","",VALUE(LEFT(B1072,2)))</f>
        <v>10</v>
      </c>
      <c r="M1072" s="26" t="n">
        <f aca="false">IF(A1072="","",IF(COUNTIFS($C$2:$C$5001,C1072,$J$2:$J$5001,J1072,$A$2:$A$5001,"&lt;"&amp;A1072)=0,1,0))</f>
        <v>0</v>
      </c>
    </row>
    <row r="1073" customFormat="false" ht="15" hidden="false" customHeight="false" outlineLevel="0" collapsed="false">
      <c r="A1073" s="23" t="n">
        <v>45967.8854166667</v>
      </c>
      <c r="B1073" s="24" t="s">
        <v>599</v>
      </c>
      <c r="C1073" s="24" t="s">
        <v>131</v>
      </c>
      <c r="D1073" s="24" t="s">
        <v>66</v>
      </c>
      <c r="E1073" s="24" t="n">
        <v>290</v>
      </c>
      <c r="F1073" s="25" t="n">
        <v>10000</v>
      </c>
      <c r="G1073" s="24" t="s">
        <v>59</v>
      </c>
      <c r="H1073" s="24" t="s">
        <v>80</v>
      </c>
      <c r="I1073" s="24" t="s">
        <v>61</v>
      </c>
      <c r="J1073" s="26" t="n">
        <f aca="false">IF(A1073="","",YEAR(A1073))</f>
        <v>2025</v>
      </c>
      <c r="K1073" s="26" t="n">
        <f aca="false">IF(A1073="","",MONTH(A1073))</f>
        <v>11</v>
      </c>
      <c r="L1073" s="26" t="n">
        <f aca="false">IF(B1073="","",VALUE(LEFT(B1073,2)))</f>
        <v>16</v>
      </c>
      <c r="M1073" s="26" t="n">
        <f aca="false">IF(A1073="","",IF(COUNTIFS($C$2:$C$5001,C1073,$J$2:$J$5001,J1073,$A$2:$A$5001,"&lt;"&amp;A1073)=0,1,0))</f>
        <v>0</v>
      </c>
    </row>
    <row r="1074" customFormat="false" ht="15" hidden="false" customHeight="false" outlineLevel="0" collapsed="false">
      <c r="A1074" s="23" t="n">
        <v>45967.9333333333</v>
      </c>
      <c r="B1074" s="24" t="s">
        <v>372</v>
      </c>
      <c r="C1074" s="24" t="s">
        <v>519</v>
      </c>
      <c r="D1074" s="24" t="s">
        <v>66</v>
      </c>
      <c r="E1074" s="24" t="n">
        <v>224</v>
      </c>
      <c r="F1074" s="25" t="n">
        <v>8000</v>
      </c>
      <c r="G1074" s="24" t="s">
        <v>59</v>
      </c>
      <c r="H1074" s="24" t="s">
        <v>60</v>
      </c>
      <c r="I1074" s="24" t="s">
        <v>61</v>
      </c>
      <c r="J1074" s="26" t="n">
        <f aca="false">IF(A1074="","",YEAR(A1074))</f>
        <v>2025</v>
      </c>
      <c r="K1074" s="26" t="n">
        <f aca="false">IF(A1074="","",MONTH(A1074))</f>
        <v>11</v>
      </c>
      <c r="L1074" s="26" t="n">
        <f aca="false">IF(B1074="","",VALUE(LEFT(B1074,2)))</f>
        <v>18</v>
      </c>
      <c r="M1074" s="26" t="n">
        <f aca="false">IF(A1074="","",IF(COUNTIFS($C$2:$C$5001,C1074,$J$2:$J$5001,J1074,$A$2:$A$5001,"&lt;"&amp;A1074)=0,1,0))</f>
        <v>0</v>
      </c>
    </row>
    <row r="1075" customFormat="false" ht="15" hidden="false" customHeight="false" outlineLevel="0" collapsed="false">
      <c r="A1075" s="23" t="n">
        <v>45968.3319444444</v>
      </c>
      <c r="B1075" s="24" t="s">
        <v>368</v>
      </c>
      <c r="C1075" s="24" t="s">
        <v>85</v>
      </c>
      <c r="D1075" s="24" t="s">
        <v>66</v>
      </c>
      <c r="E1075" s="24" t="n">
        <v>25</v>
      </c>
      <c r="F1075" s="25" t="n">
        <v>1000</v>
      </c>
      <c r="G1075" s="24" t="s">
        <v>54</v>
      </c>
      <c r="H1075" s="24" t="s">
        <v>55</v>
      </c>
      <c r="I1075" s="24" t="s">
        <v>61</v>
      </c>
      <c r="J1075" s="26" t="n">
        <f aca="false">IF(A1075="","",YEAR(A1075))</f>
        <v>2025</v>
      </c>
      <c r="K1075" s="26" t="n">
        <f aca="false">IF(A1075="","",MONTH(A1075))</f>
        <v>11</v>
      </c>
      <c r="L1075" s="26" t="n">
        <f aca="false">IF(B1075="","",VALUE(LEFT(B1075,2)))</f>
        <v>7</v>
      </c>
      <c r="M1075" s="26" t="n">
        <f aca="false">IF(A1075="","",IF(COUNTIFS($C$2:$C$5001,C1075,$J$2:$J$5001,J1075,$A$2:$A$5001,"&lt;"&amp;A1075)=0,1,0))</f>
        <v>0</v>
      </c>
    </row>
    <row r="1076" customFormat="false" ht="15" hidden="false" customHeight="false" outlineLevel="0" collapsed="false">
      <c r="A1076" s="23" t="n">
        <v>45968.3736111111</v>
      </c>
      <c r="B1076" s="24" t="s">
        <v>624</v>
      </c>
      <c r="C1076" s="24" t="s">
        <v>317</v>
      </c>
      <c r="D1076" s="24" t="s">
        <v>88</v>
      </c>
      <c r="E1076" s="24" t="n">
        <v>26</v>
      </c>
      <c r="F1076" s="25" t="n">
        <v>1500</v>
      </c>
      <c r="G1076" s="24" t="s">
        <v>59</v>
      </c>
      <c r="H1076" s="24" t="s">
        <v>60</v>
      </c>
      <c r="I1076" s="24" t="s">
        <v>61</v>
      </c>
      <c r="J1076" s="26" t="n">
        <f aca="false">IF(A1076="","",YEAR(A1076))</f>
        <v>2025</v>
      </c>
      <c r="K1076" s="26" t="n">
        <f aca="false">IF(A1076="","",MONTH(A1076))</f>
        <v>11</v>
      </c>
      <c r="L1076" s="26" t="n">
        <f aca="false">IF(B1076="","",VALUE(LEFT(B1076,2)))</f>
        <v>8</v>
      </c>
      <c r="M1076" s="26" t="n">
        <f aca="false">IF(A1076="","",IF(COUNTIFS($C$2:$C$5001,C1076,$J$2:$J$5001,J1076,$A$2:$A$5001,"&lt;"&amp;A1076)=0,1,0))</f>
        <v>0</v>
      </c>
    </row>
    <row r="1077" customFormat="false" ht="15" hidden="false" customHeight="false" outlineLevel="0" collapsed="false">
      <c r="A1077" s="23" t="n">
        <v>45968.4430555556</v>
      </c>
      <c r="B1077" s="24" t="s">
        <v>270</v>
      </c>
      <c r="C1077" s="24" t="s">
        <v>74</v>
      </c>
      <c r="D1077" s="24" t="s">
        <v>66</v>
      </c>
      <c r="E1077" s="24" t="n">
        <v>145</v>
      </c>
      <c r="F1077" s="25" t="n">
        <v>5000</v>
      </c>
      <c r="G1077" s="24" t="s">
        <v>59</v>
      </c>
      <c r="H1077" s="24" t="s">
        <v>55</v>
      </c>
      <c r="I1077" s="24" t="s">
        <v>61</v>
      </c>
      <c r="J1077" s="26" t="n">
        <f aca="false">IF(A1077="","",YEAR(A1077))</f>
        <v>2025</v>
      </c>
      <c r="K1077" s="26" t="n">
        <f aca="false">IF(A1077="","",MONTH(A1077))</f>
        <v>11</v>
      </c>
      <c r="L1077" s="26" t="n">
        <f aca="false">IF(B1077="","",VALUE(LEFT(B1077,2)))</f>
        <v>8</v>
      </c>
      <c r="M1077" s="26" t="n">
        <f aca="false">IF(A1077="","",IF(COUNTIFS($C$2:$C$5001,C1077,$J$2:$J$5001,J1077,$A$2:$A$5001,"&lt;"&amp;A1077)=0,1,0))</f>
        <v>0</v>
      </c>
    </row>
    <row r="1078" customFormat="false" ht="15" hidden="false" customHeight="false" outlineLevel="0" collapsed="false">
      <c r="A1078" s="23" t="n">
        <v>45968.4597222222</v>
      </c>
      <c r="B1078" s="24" t="s">
        <v>831</v>
      </c>
      <c r="C1078" s="24" t="s">
        <v>126</v>
      </c>
      <c r="D1078" s="24" t="s">
        <v>66</v>
      </c>
      <c r="E1078" s="24" t="n">
        <v>123</v>
      </c>
      <c r="F1078" s="25" t="n">
        <v>5000</v>
      </c>
      <c r="G1078" s="24" t="s">
        <v>69</v>
      </c>
      <c r="H1078" s="24" t="s">
        <v>80</v>
      </c>
      <c r="I1078" s="24" t="s">
        <v>61</v>
      </c>
      <c r="J1078" s="26" t="n">
        <f aca="false">IF(A1078="","",YEAR(A1078))</f>
        <v>2025</v>
      </c>
      <c r="K1078" s="26" t="n">
        <f aca="false">IF(A1078="","",MONTH(A1078))</f>
        <v>11</v>
      </c>
      <c r="L1078" s="26" t="n">
        <f aca="false">IF(B1078="","",VALUE(LEFT(B1078,2)))</f>
        <v>8</v>
      </c>
      <c r="M1078" s="26" t="n">
        <f aca="false">IF(A1078="","",IF(COUNTIFS($C$2:$C$5001,C1078,$J$2:$J$5001,J1078,$A$2:$A$5001,"&lt;"&amp;A1078)=0,1,0))</f>
        <v>0</v>
      </c>
    </row>
    <row r="1079" customFormat="false" ht="15" hidden="false" customHeight="false" outlineLevel="0" collapsed="false">
      <c r="A1079" s="23" t="n">
        <v>45968.6319444445</v>
      </c>
      <c r="B1079" s="24" t="s">
        <v>832</v>
      </c>
      <c r="C1079" s="24" t="s">
        <v>87</v>
      </c>
      <c r="D1079" s="24" t="s">
        <v>66</v>
      </c>
      <c r="E1079" s="24" t="n">
        <v>39</v>
      </c>
      <c r="F1079" s="25" t="n">
        <v>2000</v>
      </c>
      <c r="G1079" s="24" t="s">
        <v>59</v>
      </c>
      <c r="H1079" s="24" t="s">
        <v>60</v>
      </c>
      <c r="I1079" s="24" t="s">
        <v>61</v>
      </c>
      <c r="J1079" s="26" t="n">
        <f aca="false">IF(A1079="","",YEAR(A1079))</f>
        <v>2025</v>
      </c>
      <c r="K1079" s="26" t="n">
        <f aca="false">IF(A1079="","",MONTH(A1079))</f>
        <v>11</v>
      </c>
      <c r="L1079" s="26" t="n">
        <f aca="false">IF(B1079="","",VALUE(LEFT(B1079,2)))</f>
        <v>14</v>
      </c>
      <c r="M1079" s="26" t="n">
        <f aca="false">IF(A1079="","",IF(COUNTIFS($C$2:$C$5001,C1079,$J$2:$J$5001,J1079,$A$2:$A$5001,"&lt;"&amp;A1079)=0,1,0))</f>
        <v>0</v>
      </c>
    </row>
    <row r="1080" customFormat="false" ht="15" hidden="false" customHeight="false" outlineLevel="0" collapsed="false">
      <c r="A1080" s="23" t="n">
        <v>45968.6340277778</v>
      </c>
      <c r="B1080" s="24" t="s">
        <v>404</v>
      </c>
      <c r="C1080" s="24" t="s">
        <v>92</v>
      </c>
      <c r="D1080" s="24" t="s">
        <v>66</v>
      </c>
      <c r="E1080" s="24" t="n">
        <v>378</v>
      </c>
      <c r="F1080" s="25" t="n">
        <v>13000</v>
      </c>
      <c r="G1080" s="24" t="s">
        <v>59</v>
      </c>
      <c r="H1080" s="24" t="s">
        <v>55</v>
      </c>
      <c r="I1080" s="24" t="s">
        <v>61</v>
      </c>
      <c r="J1080" s="26" t="n">
        <f aca="false">IF(A1080="","",YEAR(A1080))</f>
        <v>2025</v>
      </c>
      <c r="K1080" s="26" t="n">
        <f aca="false">IF(A1080="","",MONTH(A1080))</f>
        <v>11</v>
      </c>
      <c r="L1080" s="26" t="n">
        <f aca="false">IF(B1080="","",VALUE(LEFT(B1080,2)))</f>
        <v>8</v>
      </c>
      <c r="M1080" s="26" t="n">
        <f aca="false">IF(A1080="","",IF(COUNTIFS($C$2:$C$5001,C1080,$J$2:$J$5001,J1080,$A$2:$A$5001,"&lt;"&amp;A1080)=0,1,0))</f>
        <v>0</v>
      </c>
    </row>
    <row r="1081" customFormat="false" ht="15" hidden="false" customHeight="false" outlineLevel="0" collapsed="false">
      <c r="A1081" s="23" t="n">
        <v>45968.6659722222</v>
      </c>
      <c r="B1081" s="24" t="s">
        <v>820</v>
      </c>
      <c r="C1081" s="24" t="s">
        <v>609</v>
      </c>
      <c r="D1081" s="24" t="s">
        <v>66</v>
      </c>
      <c r="E1081" s="24" t="n">
        <v>352</v>
      </c>
      <c r="F1081" s="25" t="n">
        <v>12000</v>
      </c>
      <c r="G1081" s="24" t="s">
        <v>59</v>
      </c>
      <c r="H1081" s="24" t="s">
        <v>80</v>
      </c>
      <c r="I1081" s="24" t="s">
        <v>61</v>
      </c>
      <c r="J1081" s="26" t="n">
        <f aca="false">IF(A1081="","",YEAR(A1081))</f>
        <v>2025</v>
      </c>
      <c r="K1081" s="26" t="n">
        <f aca="false">IF(A1081="","",MONTH(A1081))</f>
        <v>11</v>
      </c>
      <c r="L1081" s="26" t="n">
        <f aca="false">IF(B1081="","",VALUE(LEFT(B1081,2)))</f>
        <v>10</v>
      </c>
      <c r="M1081" s="26" t="n">
        <f aca="false">IF(A1081="","",IF(COUNTIFS($C$2:$C$5001,C1081,$J$2:$J$5001,J1081,$A$2:$A$5001,"&lt;"&amp;A1081)=0,1,0))</f>
        <v>0</v>
      </c>
    </row>
    <row r="1082" customFormat="false" ht="15" hidden="false" customHeight="false" outlineLevel="0" collapsed="false">
      <c r="A1082" s="23" t="n">
        <v>45969.3479166667</v>
      </c>
      <c r="B1082" s="24" t="s">
        <v>381</v>
      </c>
      <c r="C1082" s="24" t="s">
        <v>735</v>
      </c>
      <c r="D1082" s="24" t="s">
        <v>53</v>
      </c>
      <c r="E1082" s="24" t="n">
        <v>37</v>
      </c>
      <c r="F1082" s="25" t="n">
        <v>1000</v>
      </c>
      <c r="G1082" s="24" t="s">
        <v>69</v>
      </c>
      <c r="H1082" s="24" t="s">
        <v>55</v>
      </c>
      <c r="I1082" s="24" t="s">
        <v>61</v>
      </c>
      <c r="J1082" s="26" t="n">
        <f aca="false">IF(A1082="","",YEAR(A1082))</f>
        <v>2025</v>
      </c>
      <c r="K1082" s="26" t="n">
        <f aca="false">IF(A1082="","",MONTH(A1082))</f>
        <v>11</v>
      </c>
      <c r="L1082" s="26" t="n">
        <f aca="false">IF(B1082="","",VALUE(LEFT(B1082,2)))</f>
        <v>7</v>
      </c>
      <c r="M1082" s="26" t="n">
        <f aca="false">IF(A1082="","",IF(COUNTIFS($C$2:$C$5001,C1082,$J$2:$J$5001,J1082,$A$2:$A$5001,"&lt;"&amp;A1082)=0,1,0))</f>
        <v>0</v>
      </c>
    </row>
    <row r="1083" customFormat="false" ht="15" hidden="false" customHeight="false" outlineLevel="0" collapsed="false">
      <c r="A1083" s="23" t="n">
        <v>45970.6</v>
      </c>
      <c r="B1083" s="24" t="s">
        <v>833</v>
      </c>
      <c r="C1083" s="24" t="s">
        <v>102</v>
      </c>
      <c r="D1083" s="24" t="s">
        <v>66</v>
      </c>
      <c r="E1083" s="24" t="n">
        <v>58</v>
      </c>
      <c r="F1083" s="25" t="n">
        <v>2000</v>
      </c>
      <c r="G1083" s="24" t="s">
        <v>69</v>
      </c>
      <c r="H1083" s="24" t="s">
        <v>60</v>
      </c>
      <c r="I1083" s="24" t="s">
        <v>61</v>
      </c>
      <c r="J1083" s="26" t="n">
        <f aca="false">IF(A1083="","",YEAR(A1083))</f>
        <v>2025</v>
      </c>
      <c r="K1083" s="26" t="n">
        <f aca="false">IF(A1083="","",MONTH(A1083))</f>
        <v>11</v>
      </c>
      <c r="L1083" s="26" t="n">
        <f aca="false">IF(B1083="","",VALUE(LEFT(B1083,2)))</f>
        <v>13</v>
      </c>
      <c r="M1083" s="26" t="n">
        <f aca="false">IF(A1083="","",IF(COUNTIFS($C$2:$C$5001,C1083,$J$2:$J$5001,J1083,$A$2:$A$5001,"&lt;"&amp;A1083)=0,1,0))</f>
        <v>0</v>
      </c>
    </row>
    <row r="1084" customFormat="false" ht="15" hidden="false" customHeight="false" outlineLevel="0" collapsed="false">
      <c r="A1084" s="23" t="n">
        <v>45970.79375</v>
      </c>
      <c r="B1084" s="24" t="s">
        <v>740</v>
      </c>
      <c r="C1084" s="24" t="s">
        <v>188</v>
      </c>
      <c r="D1084" s="24" t="s">
        <v>127</v>
      </c>
      <c r="E1084" s="24" t="n">
        <v>47</v>
      </c>
      <c r="F1084" s="25" t="n">
        <v>3500</v>
      </c>
      <c r="G1084" s="24" t="s">
        <v>59</v>
      </c>
      <c r="H1084" s="24" t="s">
        <v>60</v>
      </c>
      <c r="I1084" s="24" t="s">
        <v>61</v>
      </c>
      <c r="J1084" s="26" t="n">
        <f aca="false">IF(A1084="","",YEAR(A1084))</f>
        <v>2025</v>
      </c>
      <c r="K1084" s="26" t="n">
        <f aca="false">IF(A1084="","",MONTH(A1084))</f>
        <v>11</v>
      </c>
      <c r="L1084" s="26" t="n">
        <f aca="false">IF(B1084="","",VALUE(LEFT(B1084,2)))</f>
        <v>18</v>
      </c>
      <c r="M1084" s="26" t="n">
        <f aca="false">IF(A1084="","",IF(COUNTIFS($C$2:$C$5001,C1084,$J$2:$J$5001,J1084,$A$2:$A$5001,"&lt;"&amp;A1084)=0,1,0))</f>
        <v>0</v>
      </c>
    </row>
    <row r="1085" customFormat="false" ht="15" hidden="false" customHeight="false" outlineLevel="0" collapsed="false">
      <c r="A1085" s="23" t="n">
        <v>45970.8347222222</v>
      </c>
      <c r="B1085" s="24" t="s">
        <v>513</v>
      </c>
      <c r="C1085" s="24" t="s">
        <v>76</v>
      </c>
      <c r="D1085" s="24" t="s">
        <v>53</v>
      </c>
      <c r="E1085" s="24" t="n">
        <v>371</v>
      </c>
      <c r="F1085" s="25" t="n">
        <v>6500</v>
      </c>
      <c r="G1085" s="24" t="s">
        <v>69</v>
      </c>
      <c r="H1085" s="24" t="s">
        <v>55</v>
      </c>
      <c r="I1085" s="24" t="s">
        <v>61</v>
      </c>
      <c r="J1085" s="26" t="n">
        <f aca="false">IF(A1085="","",YEAR(A1085))</f>
        <v>2025</v>
      </c>
      <c r="K1085" s="26" t="n">
        <f aca="false">IF(A1085="","",MONTH(A1085))</f>
        <v>11</v>
      </c>
      <c r="L1085" s="26" t="n">
        <f aca="false">IF(B1085="","",VALUE(LEFT(B1085,2)))</f>
        <v>13</v>
      </c>
      <c r="M1085" s="26" t="n">
        <f aca="false">IF(A1085="","",IF(COUNTIFS($C$2:$C$5001,C1085,$J$2:$J$5001,J1085,$A$2:$A$5001,"&lt;"&amp;A1085)=0,1,0))</f>
        <v>0</v>
      </c>
    </row>
    <row r="1086" customFormat="false" ht="15" hidden="false" customHeight="false" outlineLevel="0" collapsed="false">
      <c r="A1086" s="23" t="n">
        <v>45970.8375</v>
      </c>
      <c r="B1086" s="24" t="s">
        <v>264</v>
      </c>
      <c r="C1086" s="24" t="s">
        <v>357</v>
      </c>
      <c r="D1086" s="24" t="s">
        <v>66</v>
      </c>
      <c r="E1086" s="24" t="n">
        <v>369</v>
      </c>
      <c r="F1086" s="25" t="n">
        <v>13000</v>
      </c>
      <c r="G1086" s="24" t="s">
        <v>69</v>
      </c>
      <c r="H1086" s="24" t="s">
        <v>55</v>
      </c>
      <c r="I1086" s="24" t="s">
        <v>61</v>
      </c>
      <c r="J1086" s="26" t="n">
        <f aca="false">IF(A1086="","",YEAR(A1086))</f>
        <v>2025</v>
      </c>
      <c r="K1086" s="26" t="n">
        <f aca="false">IF(A1086="","",MONTH(A1086))</f>
        <v>11</v>
      </c>
      <c r="L1086" s="26" t="n">
        <f aca="false">IF(B1086="","",VALUE(LEFT(B1086,2)))</f>
        <v>13</v>
      </c>
      <c r="M1086" s="26" t="n">
        <f aca="false">IF(A1086="","",IF(COUNTIFS($C$2:$C$5001,C1086,$J$2:$J$5001,J1086,$A$2:$A$5001,"&lt;"&amp;A1086)=0,1,0))</f>
        <v>0</v>
      </c>
    </row>
    <row r="1087" customFormat="false" ht="15" hidden="false" customHeight="false" outlineLevel="0" collapsed="false">
      <c r="A1087" s="23" t="n">
        <v>45971.4201388889</v>
      </c>
      <c r="B1087" s="24" t="s">
        <v>834</v>
      </c>
      <c r="C1087" s="24" t="s">
        <v>260</v>
      </c>
      <c r="D1087" s="24" t="s">
        <v>66</v>
      </c>
      <c r="E1087" s="24" t="n">
        <v>116</v>
      </c>
      <c r="F1087" s="25" t="n">
        <v>0</v>
      </c>
      <c r="G1087" s="24" t="s">
        <v>69</v>
      </c>
      <c r="H1087" s="24" t="s">
        <v>80</v>
      </c>
      <c r="I1087" s="24" t="s">
        <v>56</v>
      </c>
      <c r="J1087" s="26" t="n">
        <f aca="false">IF(A1087="","",YEAR(A1087))</f>
        <v>2025</v>
      </c>
      <c r="K1087" s="26" t="n">
        <f aca="false">IF(A1087="","",MONTH(A1087))</f>
        <v>11</v>
      </c>
      <c r="L1087" s="26" t="n">
        <f aca="false">IF(B1087="","",VALUE(LEFT(B1087,2)))</f>
        <v>8</v>
      </c>
      <c r="M1087" s="26" t="n">
        <f aca="false">IF(A1087="","",IF(COUNTIFS($C$2:$C$5001,C1087,$J$2:$J$5001,J1087,$A$2:$A$5001,"&lt;"&amp;A1087)=0,1,0))</f>
        <v>0</v>
      </c>
    </row>
    <row r="1088" customFormat="false" ht="15" hidden="false" customHeight="false" outlineLevel="0" collapsed="false">
      <c r="A1088" s="23" t="n">
        <v>45971.5680555556</v>
      </c>
      <c r="B1088" s="24" t="s">
        <v>443</v>
      </c>
      <c r="C1088" s="24" t="s">
        <v>76</v>
      </c>
      <c r="D1088" s="24" t="s">
        <v>66</v>
      </c>
      <c r="E1088" s="24" t="n">
        <v>311</v>
      </c>
      <c r="F1088" s="25" t="n">
        <v>9350</v>
      </c>
      <c r="G1088" s="24" t="s">
        <v>59</v>
      </c>
      <c r="H1088" s="24" t="s">
        <v>60</v>
      </c>
      <c r="I1088" s="24" t="s">
        <v>113</v>
      </c>
      <c r="J1088" s="26" t="n">
        <f aca="false">IF(A1088="","",YEAR(A1088))</f>
        <v>2025</v>
      </c>
      <c r="K1088" s="26" t="n">
        <f aca="false">IF(A1088="","",MONTH(A1088))</f>
        <v>11</v>
      </c>
      <c r="L1088" s="26" t="n">
        <f aca="false">IF(B1088="","",VALUE(LEFT(B1088,2)))</f>
        <v>8</v>
      </c>
      <c r="M1088" s="26" t="n">
        <f aca="false">IF(A1088="","",IF(COUNTIFS($C$2:$C$5001,C1088,$J$2:$J$5001,J1088,$A$2:$A$5001,"&lt;"&amp;A1088)=0,1,0))</f>
        <v>0</v>
      </c>
    </row>
    <row r="1089" customFormat="false" ht="15" hidden="false" customHeight="false" outlineLevel="0" collapsed="false">
      <c r="A1089" s="23" t="n">
        <v>45971.6291666667</v>
      </c>
      <c r="B1089" s="24" t="s">
        <v>558</v>
      </c>
      <c r="C1089" s="24" t="s">
        <v>265</v>
      </c>
      <c r="D1089" s="24" t="s">
        <v>88</v>
      </c>
      <c r="E1089" s="24" t="n">
        <v>148</v>
      </c>
      <c r="F1089" s="25" t="n">
        <v>7500</v>
      </c>
      <c r="G1089" s="24" t="s">
        <v>69</v>
      </c>
      <c r="H1089" s="24" t="s">
        <v>60</v>
      </c>
      <c r="I1089" s="24" t="s">
        <v>61</v>
      </c>
      <c r="J1089" s="26" t="n">
        <f aca="false">IF(A1089="","",YEAR(A1089))</f>
        <v>2025</v>
      </c>
      <c r="K1089" s="26" t="n">
        <f aca="false">IF(A1089="","",MONTH(A1089))</f>
        <v>11</v>
      </c>
      <c r="L1089" s="26" t="n">
        <f aca="false">IF(B1089="","",VALUE(LEFT(B1089,2)))</f>
        <v>12</v>
      </c>
      <c r="M1089" s="26" t="n">
        <f aca="false">IF(A1089="","",IF(COUNTIFS($C$2:$C$5001,C1089,$J$2:$J$5001,J1089,$A$2:$A$5001,"&lt;"&amp;A1089)=0,1,0))</f>
        <v>0</v>
      </c>
    </row>
    <row r="1090" customFormat="false" ht="15" hidden="false" customHeight="false" outlineLevel="0" collapsed="false">
      <c r="A1090" s="23" t="n">
        <v>45971.6652777778</v>
      </c>
      <c r="B1090" s="24" t="s">
        <v>803</v>
      </c>
      <c r="C1090" s="24" t="s">
        <v>398</v>
      </c>
      <c r="D1090" s="24" t="s">
        <v>66</v>
      </c>
      <c r="E1090" s="24" t="n">
        <v>315</v>
      </c>
      <c r="F1090" s="25" t="n">
        <v>11000</v>
      </c>
      <c r="G1090" s="24" t="s">
        <v>59</v>
      </c>
      <c r="H1090" s="24" t="s">
        <v>80</v>
      </c>
      <c r="I1090" s="24" t="s">
        <v>61</v>
      </c>
      <c r="J1090" s="26" t="n">
        <f aca="false">IF(A1090="","",YEAR(A1090))</f>
        <v>2025</v>
      </c>
      <c r="K1090" s="26" t="n">
        <f aca="false">IF(A1090="","",MONTH(A1090))</f>
        <v>11</v>
      </c>
      <c r="L1090" s="26" t="n">
        <f aca="false">IF(B1090="","",VALUE(LEFT(B1090,2)))</f>
        <v>10</v>
      </c>
      <c r="M1090" s="26" t="n">
        <f aca="false">IF(A1090="","",IF(COUNTIFS($C$2:$C$5001,C1090,$J$2:$J$5001,J1090,$A$2:$A$5001,"&lt;"&amp;A1090)=0,1,0))</f>
        <v>0</v>
      </c>
    </row>
    <row r="1091" customFormat="false" ht="15" hidden="false" customHeight="false" outlineLevel="0" collapsed="false">
      <c r="A1091" s="23" t="n">
        <v>45971.8583333333</v>
      </c>
      <c r="B1091" s="24" t="s">
        <v>835</v>
      </c>
      <c r="C1091" s="24" t="s">
        <v>143</v>
      </c>
      <c r="D1091" s="24" t="s">
        <v>53</v>
      </c>
      <c r="E1091" s="24" t="n">
        <v>133</v>
      </c>
      <c r="F1091" s="25" t="n">
        <v>0</v>
      </c>
      <c r="G1091" s="24" t="s">
        <v>59</v>
      </c>
      <c r="H1091" s="24" t="s">
        <v>60</v>
      </c>
      <c r="I1091" s="24" t="s">
        <v>56</v>
      </c>
      <c r="J1091" s="26" t="n">
        <f aca="false">IF(A1091="","",YEAR(A1091))</f>
        <v>2025</v>
      </c>
      <c r="K1091" s="26" t="n">
        <f aca="false">IF(A1091="","",MONTH(A1091))</f>
        <v>11</v>
      </c>
      <c r="L1091" s="26" t="n">
        <f aca="false">IF(B1091="","",VALUE(LEFT(B1091,2)))</f>
        <v>18</v>
      </c>
      <c r="M1091" s="26" t="n">
        <f aca="false">IF(A1091="","",IF(COUNTIFS($C$2:$C$5001,C1091,$J$2:$J$5001,J1091,$A$2:$A$5001,"&lt;"&amp;A1091)=0,1,0))</f>
        <v>0</v>
      </c>
    </row>
    <row r="1092" customFormat="false" ht="15" hidden="false" customHeight="false" outlineLevel="0" collapsed="false">
      <c r="A1092" s="23" t="n">
        <v>45972.025</v>
      </c>
      <c r="B1092" s="24" t="s">
        <v>746</v>
      </c>
      <c r="C1092" s="24" t="s">
        <v>136</v>
      </c>
      <c r="D1092" s="24" t="s">
        <v>66</v>
      </c>
      <c r="E1092" s="24" t="n">
        <v>273</v>
      </c>
      <c r="F1092" s="25" t="n">
        <v>10000</v>
      </c>
      <c r="G1092" s="24" t="s">
        <v>69</v>
      </c>
      <c r="H1092" s="24" t="s">
        <v>55</v>
      </c>
      <c r="I1092" s="24" t="s">
        <v>61</v>
      </c>
      <c r="J1092" s="26" t="n">
        <f aca="false">IF(A1092="","",YEAR(A1092))</f>
        <v>2025</v>
      </c>
      <c r="K1092" s="26" t="n">
        <f aca="false">IF(A1092="","",MONTH(A1092))</f>
        <v>11</v>
      </c>
      <c r="L1092" s="26" t="n">
        <f aca="false">IF(B1092="","",VALUE(LEFT(B1092,2)))</f>
        <v>20</v>
      </c>
      <c r="M1092" s="26" t="n">
        <f aca="false">IF(A1092="","",IF(COUNTIFS($C$2:$C$5001,C1092,$J$2:$J$5001,J1092,$A$2:$A$5001,"&lt;"&amp;A1092)=0,1,0))</f>
        <v>0</v>
      </c>
    </row>
    <row r="1093" customFormat="false" ht="15" hidden="false" customHeight="false" outlineLevel="0" collapsed="false">
      <c r="A1093" s="23" t="n">
        <v>45972.5388888889</v>
      </c>
      <c r="B1093" s="24" t="s">
        <v>659</v>
      </c>
      <c r="C1093" s="24" t="s">
        <v>145</v>
      </c>
      <c r="D1093" s="24" t="s">
        <v>72</v>
      </c>
      <c r="E1093" s="24" t="n">
        <v>240</v>
      </c>
      <c r="F1093" s="25" t="n">
        <v>16000</v>
      </c>
      <c r="G1093" s="24" t="s">
        <v>59</v>
      </c>
      <c r="H1093" s="24" t="s">
        <v>80</v>
      </c>
      <c r="I1093" s="24" t="s">
        <v>61</v>
      </c>
      <c r="J1093" s="26" t="n">
        <f aca="false">IF(A1093="","",YEAR(A1093))</f>
        <v>2025</v>
      </c>
      <c r="K1093" s="26" t="n">
        <f aca="false">IF(A1093="","",MONTH(A1093))</f>
        <v>11</v>
      </c>
      <c r="L1093" s="26" t="n">
        <f aca="false">IF(B1093="","",VALUE(LEFT(B1093,2)))</f>
        <v>8</v>
      </c>
      <c r="M1093" s="26" t="n">
        <f aca="false">IF(A1093="","",IF(COUNTIFS($C$2:$C$5001,C1093,$J$2:$J$5001,J1093,$A$2:$A$5001,"&lt;"&amp;A1093)=0,1,0))</f>
        <v>0</v>
      </c>
    </row>
    <row r="1094" customFormat="false" ht="15" hidden="false" customHeight="false" outlineLevel="0" collapsed="false">
      <c r="A1094" s="23" t="n">
        <v>45972.5479166667</v>
      </c>
      <c r="B1094" s="24" t="s">
        <v>830</v>
      </c>
      <c r="C1094" s="24" t="s">
        <v>398</v>
      </c>
      <c r="D1094" s="24" t="s">
        <v>66</v>
      </c>
      <c r="E1094" s="24" t="n">
        <v>170</v>
      </c>
      <c r="F1094" s="25" t="n">
        <v>6000</v>
      </c>
      <c r="G1094" s="24" t="s">
        <v>69</v>
      </c>
      <c r="H1094" s="24" t="s">
        <v>60</v>
      </c>
      <c r="I1094" s="24" t="s">
        <v>61</v>
      </c>
      <c r="J1094" s="26" t="n">
        <f aca="false">IF(A1094="","",YEAR(A1094))</f>
        <v>2025</v>
      </c>
      <c r="K1094" s="26" t="n">
        <f aca="false">IF(A1094="","",MONTH(A1094))</f>
        <v>11</v>
      </c>
      <c r="L1094" s="26" t="n">
        <f aca="false">IF(B1094="","",VALUE(LEFT(B1094,2)))</f>
        <v>10</v>
      </c>
      <c r="M1094" s="26" t="n">
        <f aca="false">IF(A1094="","",IF(COUNTIFS($C$2:$C$5001,C1094,$J$2:$J$5001,J1094,$A$2:$A$5001,"&lt;"&amp;A1094)=0,1,0))</f>
        <v>0</v>
      </c>
    </row>
    <row r="1095" customFormat="false" ht="15" hidden="false" customHeight="false" outlineLevel="0" collapsed="false">
      <c r="A1095" s="23" t="n">
        <v>45972.7326388889</v>
      </c>
      <c r="B1095" s="24" t="s">
        <v>836</v>
      </c>
      <c r="C1095" s="24" t="s">
        <v>186</v>
      </c>
      <c r="D1095" s="24" t="s">
        <v>66</v>
      </c>
      <c r="E1095" s="24" t="n">
        <v>262</v>
      </c>
      <c r="F1095" s="25" t="n">
        <v>0</v>
      </c>
      <c r="G1095" s="24" t="s">
        <v>54</v>
      </c>
      <c r="H1095" s="24" t="s">
        <v>80</v>
      </c>
      <c r="I1095" s="24" t="s">
        <v>56</v>
      </c>
      <c r="J1095" s="26" t="n">
        <f aca="false">IF(A1095="","",YEAR(A1095))</f>
        <v>2025</v>
      </c>
      <c r="K1095" s="26" t="n">
        <f aca="false">IF(A1095="","",MONTH(A1095))</f>
        <v>11</v>
      </c>
      <c r="L1095" s="26" t="n">
        <f aca="false">IF(B1095="","",VALUE(LEFT(B1095,2)))</f>
        <v>13</v>
      </c>
      <c r="M1095" s="26" t="n">
        <f aca="false">IF(A1095="","",IF(COUNTIFS($C$2:$C$5001,C1095,$J$2:$J$5001,J1095,$A$2:$A$5001,"&lt;"&amp;A1095)=0,1,0))</f>
        <v>0</v>
      </c>
    </row>
    <row r="1096" customFormat="false" ht="15" hidden="false" customHeight="false" outlineLevel="0" collapsed="false">
      <c r="A1096" s="23" t="n">
        <v>45973.0354166667</v>
      </c>
      <c r="B1096" s="24" t="s">
        <v>723</v>
      </c>
      <c r="C1096" s="24" t="s">
        <v>286</v>
      </c>
      <c r="D1096" s="24" t="s">
        <v>53</v>
      </c>
      <c r="E1096" s="24" t="n">
        <v>352</v>
      </c>
      <c r="F1096" s="25" t="n">
        <v>6000</v>
      </c>
      <c r="G1096" s="24" t="s">
        <v>59</v>
      </c>
      <c r="H1096" s="24" t="s">
        <v>80</v>
      </c>
      <c r="I1096" s="24" t="s">
        <v>61</v>
      </c>
      <c r="J1096" s="26" t="n">
        <f aca="false">IF(A1096="","",YEAR(A1096))</f>
        <v>2025</v>
      </c>
      <c r="K1096" s="26" t="n">
        <f aca="false">IF(A1096="","",MONTH(A1096))</f>
        <v>11</v>
      </c>
      <c r="L1096" s="26" t="n">
        <f aca="false">IF(B1096="","",VALUE(LEFT(B1096,2)))</f>
        <v>18</v>
      </c>
      <c r="M1096" s="26" t="n">
        <f aca="false">IF(A1096="","",IF(COUNTIFS($C$2:$C$5001,C1096,$J$2:$J$5001,J1096,$A$2:$A$5001,"&lt;"&amp;A1096)=0,1,0))</f>
        <v>0</v>
      </c>
    </row>
    <row r="1097" customFormat="false" ht="15" hidden="false" customHeight="false" outlineLevel="0" collapsed="false">
      <c r="A1097" s="23" t="n">
        <v>45973.8451388889</v>
      </c>
      <c r="B1097" s="24" t="s">
        <v>837</v>
      </c>
      <c r="C1097" s="24" t="s">
        <v>332</v>
      </c>
      <c r="D1097" s="24" t="s">
        <v>53</v>
      </c>
      <c r="E1097" s="24" t="n">
        <v>96</v>
      </c>
      <c r="F1097" s="25" t="n">
        <v>0</v>
      </c>
      <c r="G1097" s="24" t="s">
        <v>83</v>
      </c>
      <c r="H1097" s="24" t="s">
        <v>80</v>
      </c>
      <c r="I1097" s="24" t="s">
        <v>56</v>
      </c>
      <c r="J1097" s="26" t="n">
        <f aca="false">IF(A1097="","",YEAR(A1097))</f>
        <v>2025</v>
      </c>
      <c r="K1097" s="26" t="n">
        <f aca="false">IF(A1097="","",MONTH(A1097))</f>
        <v>11</v>
      </c>
      <c r="L1097" s="26" t="n">
        <f aca="false">IF(B1097="","",VALUE(LEFT(B1097,2)))</f>
        <v>18</v>
      </c>
      <c r="M1097" s="26" t="n">
        <f aca="false">IF(A1097="","",IF(COUNTIFS($C$2:$C$5001,C1097,$J$2:$J$5001,J1097,$A$2:$A$5001,"&lt;"&amp;A1097)=0,1,0))</f>
        <v>0</v>
      </c>
    </row>
    <row r="1098" customFormat="false" ht="15" hidden="false" customHeight="false" outlineLevel="0" collapsed="false">
      <c r="A1098" s="23" t="n">
        <v>45973.9708333333</v>
      </c>
      <c r="B1098" s="24" t="s">
        <v>75</v>
      </c>
      <c r="C1098" s="24" t="s">
        <v>58</v>
      </c>
      <c r="D1098" s="24" t="s">
        <v>66</v>
      </c>
      <c r="E1098" s="24" t="n">
        <v>405</v>
      </c>
      <c r="F1098" s="25" t="n">
        <v>14000</v>
      </c>
      <c r="G1098" s="24" t="s">
        <v>59</v>
      </c>
      <c r="H1098" s="24" t="s">
        <v>55</v>
      </c>
      <c r="I1098" s="24" t="s">
        <v>61</v>
      </c>
      <c r="J1098" s="26" t="n">
        <f aca="false">IF(A1098="","",YEAR(A1098))</f>
        <v>2025</v>
      </c>
      <c r="K1098" s="26" t="n">
        <f aca="false">IF(A1098="","",MONTH(A1098))</f>
        <v>11</v>
      </c>
      <c r="L1098" s="26" t="n">
        <f aca="false">IF(B1098="","",VALUE(LEFT(B1098,2)))</f>
        <v>16</v>
      </c>
      <c r="M1098" s="26" t="n">
        <f aca="false">IF(A1098="","",IF(COUNTIFS($C$2:$C$5001,C1098,$J$2:$J$5001,J1098,$A$2:$A$5001,"&lt;"&amp;A1098)=0,1,0))</f>
        <v>0</v>
      </c>
    </row>
    <row r="1099" customFormat="false" ht="15" hidden="false" customHeight="false" outlineLevel="0" collapsed="false">
      <c r="A1099" s="23" t="n">
        <v>45974.3715277778</v>
      </c>
      <c r="B1099" s="24" t="s">
        <v>382</v>
      </c>
      <c r="C1099" s="24" t="s">
        <v>343</v>
      </c>
      <c r="D1099" s="24" t="s">
        <v>53</v>
      </c>
      <c r="E1099" s="24" t="n">
        <v>38</v>
      </c>
      <c r="F1099" s="25" t="n">
        <v>1000</v>
      </c>
      <c r="G1099" s="24" t="s">
        <v>69</v>
      </c>
      <c r="H1099" s="24" t="s">
        <v>55</v>
      </c>
      <c r="I1099" s="24" t="s">
        <v>61</v>
      </c>
      <c r="J1099" s="26" t="n">
        <f aca="false">IF(A1099="","",YEAR(A1099))</f>
        <v>2025</v>
      </c>
      <c r="K1099" s="26" t="n">
        <f aca="false">IF(A1099="","",MONTH(A1099))</f>
        <v>11</v>
      </c>
      <c r="L1099" s="26" t="n">
        <f aca="false">IF(B1099="","",VALUE(LEFT(B1099,2)))</f>
        <v>8</v>
      </c>
      <c r="M1099" s="26" t="n">
        <f aca="false">IF(A1099="","",IF(COUNTIFS($C$2:$C$5001,C1099,$J$2:$J$5001,J1099,$A$2:$A$5001,"&lt;"&amp;A1099)=0,1,0))</f>
        <v>0</v>
      </c>
    </row>
    <row r="1100" customFormat="false" ht="15" hidden="false" customHeight="false" outlineLevel="0" collapsed="false">
      <c r="A1100" s="23" t="n">
        <v>45974.4395833333</v>
      </c>
      <c r="B1100" s="24" t="s">
        <v>620</v>
      </c>
      <c r="C1100" s="24" t="s">
        <v>76</v>
      </c>
      <c r="D1100" s="24" t="s">
        <v>66</v>
      </c>
      <c r="E1100" s="24" t="n">
        <v>119</v>
      </c>
      <c r="F1100" s="25" t="n">
        <v>4000</v>
      </c>
      <c r="G1100" s="24" t="s">
        <v>59</v>
      </c>
      <c r="H1100" s="24" t="s">
        <v>60</v>
      </c>
      <c r="I1100" s="24" t="s">
        <v>61</v>
      </c>
      <c r="J1100" s="26" t="n">
        <f aca="false">IF(A1100="","",YEAR(A1100))</f>
        <v>2025</v>
      </c>
      <c r="K1100" s="26" t="n">
        <f aca="false">IF(A1100="","",MONTH(A1100))</f>
        <v>11</v>
      </c>
      <c r="L1100" s="26" t="n">
        <f aca="false">IF(B1100="","",VALUE(LEFT(B1100,2)))</f>
        <v>8</v>
      </c>
      <c r="M1100" s="26" t="n">
        <f aca="false">IF(A1100="","",IF(COUNTIFS($C$2:$C$5001,C1100,$J$2:$J$5001,J1100,$A$2:$A$5001,"&lt;"&amp;A1100)=0,1,0))</f>
        <v>0</v>
      </c>
    </row>
    <row r="1101" customFormat="false" ht="15" hidden="false" customHeight="false" outlineLevel="0" collapsed="false">
      <c r="A1101" s="23" t="n">
        <v>45974.5888888889</v>
      </c>
      <c r="B1101" s="24" t="s">
        <v>369</v>
      </c>
      <c r="C1101" s="24" t="s">
        <v>243</v>
      </c>
      <c r="D1101" s="24" t="s">
        <v>66</v>
      </c>
      <c r="E1101" s="24" t="n">
        <v>330</v>
      </c>
      <c r="F1101" s="25" t="n">
        <v>11000</v>
      </c>
      <c r="G1101" s="24" t="s">
        <v>59</v>
      </c>
      <c r="H1101" s="24" t="s">
        <v>55</v>
      </c>
      <c r="I1101" s="24" t="s">
        <v>61</v>
      </c>
      <c r="J1101" s="26" t="n">
        <f aca="false">IF(A1101="","",YEAR(A1101))</f>
        <v>2025</v>
      </c>
      <c r="K1101" s="26" t="n">
        <f aca="false">IF(A1101="","",MONTH(A1101))</f>
        <v>11</v>
      </c>
      <c r="L1101" s="26" t="n">
        <f aca="false">IF(B1101="","",VALUE(LEFT(B1101,2)))</f>
        <v>8</v>
      </c>
      <c r="M1101" s="26" t="n">
        <f aca="false">IF(A1101="","",IF(COUNTIFS($C$2:$C$5001,C1101,$J$2:$J$5001,J1101,$A$2:$A$5001,"&lt;"&amp;A1101)=0,1,0))</f>
        <v>0</v>
      </c>
    </row>
    <row r="1102" customFormat="false" ht="15" hidden="false" customHeight="false" outlineLevel="0" collapsed="false">
      <c r="A1102" s="23" t="n">
        <v>45974.6118055556</v>
      </c>
      <c r="B1102" s="24" t="s">
        <v>499</v>
      </c>
      <c r="C1102" s="24" t="s">
        <v>100</v>
      </c>
      <c r="D1102" s="24" t="s">
        <v>88</v>
      </c>
      <c r="E1102" s="24" t="n">
        <v>173</v>
      </c>
      <c r="F1102" s="25" t="n">
        <v>0</v>
      </c>
      <c r="G1102" s="24" t="s">
        <v>69</v>
      </c>
      <c r="H1102" s="24" t="s">
        <v>60</v>
      </c>
      <c r="I1102" s="24" t="s">
        <v>56</v>
      </c>
      <c r="J1102" s="26" t="n">
        <f aca="false">IF(A1102="","",YEAR(A1102))</f>
        <v>2025</v>
      </c>
      <c r="K1102" s="26" t="n">
        <f aca="false">IF(A1102="","",MONTH(A1102))</f>
        <v>11</v>
      </c>
      <c r="L1102" s="26" t="n">
        <f aca="false">IF(B1102="","",VALUE(LEFT(B1102,2)))</f>
        <v>11</v>
      </c>
      <c r="M1102" s="26" t="n">
        <f aca="false">IF(A1102="","",IF(COUNTIFS($C$2:$C$5001,C1102,$J$2:$J$5001,J1102,$A$2:$A$5001,"&lt;"&amp;A1102)=0,1,0))</f>
        <v>0</v>
      </c>
    </row>
    <row r="1103" customFormat="false" ht="15" hidden="false" customHeight="false" outlineLevel="0" collapsed="false">
      <c r="A1103" s="23" t="n">
        <v>45974.7993055556</v>
      </c>
      <c r="B1103" s="24" t="s">
        <v>838</v>
      </c>
      <c r="C1103" s="24" t="s">
        <v>324</v>
      </c>
      <c r="D1103" s="24" t="s">
        <v>66</v>
      </c>
      <c r="E1103" s="24" t="n">
        <v>317</v>
      </c>
      <c r="F1103" s="25" t="n">
        <v>11000</v>
      </c>
      <c r="G1103" s="24" t="s">
        <v>59</v>
      </c>
      <c r="H1103" s="24" t="s">
        <v>55</v>
      </c>
      <c r="I1103" s="24" t="s">
        <v>61</v>
      </c>
      <c r="J1103" s="26" t="n">
        <f aca="false">IF(A1103="","",YEAR(A1103))</f>
        <v>2025</v>
      </c>
      <c r="K1103" s="26" t="n">
        <f aca="false">IF(A1103="","",MONTH(A1103))</f>
        <v>11</v>
      </c>
      <c r="L1103" s="26" t="n">
        <f aca="false">IF(B1103="","",VALUE(LEFT(B1103,2)))</f>
        <v>13</v>
      </c>
      <c r="M1103" s="26" t="n">
        <f aca="false">IF(A1103="","",IF(COUNTIFS($C$2:$C$5001,C1103,$J$2:$J$5001,J1103,$A$2:$A$5001,"&lt;"&amp;A1103)=0,1,0))</f>
        <v>0</v>
      </c>
    </row>
    <row r="1104" customFormat="false" ht="15" hidden="false" customHeight="false" outlineLevel="0" collapsed="false">
      <c r="A1104" s="23" t="n">
        <v>45975.0041666667</v>
      </c>
      <c r="B1104" s="24" t="s">
        <v>839</v>
      </c>
      <c r="C1104" s="24" t="s">
        <v>203</v>
      </c>
      <c r="D1104" s="24" t="s">
        <v>66</v>
      </c>
      <c r="E1104" s="24" t="n">
        <v>278</v>
      </c>
      <c r="F1104" s="25" t="n">
        <v>8500</v>
      </c>
      <c r="G1104" s="24" t="s">
        <v>59</v>
      </c>
      <c r="H1104" s="24" t="s">
        <v>55</v>
      </c>
      <c r="I1104" s="24" t="s">
        <v>113</v>
      </c>
      <c r="J1104" s="26" t="n">
        <f aca="false">IF(A1104="","",YEAR(A1104))</f>
        <v>2025</v>
      </c>
      <c r="K1104" s="26" t="n">
        <f aca="false">IF(A1104="","",MONTH(A1104))</f>
        <v>11</v>
      </c>
      <c r="L1104" s="26" t="n">
        <f aca="false">IF(B1104="","",VALUE(LEFT(B1104,2)))</f>
        <v>19</v>
      </c>
      <c r="M1104" s="26" t="n">
        <f aca="false">IF(A1104="","",IF(COUNTIFS($C$2:$C$5001,C1104,$J$2:$J$5001,J1104,$A$2:$A$5001,"&lt;"&amp;A1104)=0,1,0))</f>
        <v>0</v>
      </c>
    </row>
    <row r="1105" customFormat="false" ht="15" hidden="false" customHeight="false" outlineLevel="0" collapsed="false">
      <c r="A1105" s="23" t="n">
        <v>45976.1270833333</v>
      </c>
      <c r="B1105" s="24" t="s">
        <v>223</v>
      </c>
      <c r="C1105" s="24" t="s">
        <v>267</v>
      </c>
      <c r="D1105" s="24" t="s">
        <v>66</v>
      </c>
      <c r="E1105" s="24" t="n">
        <v>407</v>
      </c>
      <c r="F1105" s="25" t="n">
        <v>14000</v>
      </c>
      <c r="G1105" s="24" t="s">
        <v>69</v>
      </c>
      <c r="H1105" s="24" t="s">
        <v>80</v>
      </c>
      <c r="I1105" s="24" t="s">
        <v>61</v>
      </c>
      <c r="J1105" s="26" t="n">
        <f aca="false">IF(A1105="","",YEAR(A1105))</f>
        <v>2025</v>
      </c>
      <c r="K1105" s="26" t="n">
        <f aca="false">IF(A1105="","",MONTH(A1105))</f>
        <v>11</v>
      </c>
      <c r="L1105" s="26" t="n">
        <f aca="false">IF(B1105="","",VALUE(LEFT(B1105,2)))</f>
        <v>20</v>
      </c>
      <c r="M1105" s="26" t="n">
        <f aca="false">IF(A1105="","",IF(COUNTIFS($C$2:$C$5001,C1105,$J$2:$J$5001,J1105,$A$2:$A$5001,"&lt;"&amp;A1105)=0,1,0))</f>
        <v>0</v>
      </c>
    </row>
    <row r="1106" customFormat="false" ht="15" hidden="false" customHeight="false" outlineLevel="0" collapsed="false">
      <c r="A1106" s="23" t="n">
        <v>45976.4305555556</v>
      </c>
      <c r="B1106" s="24" t="s">
        <v>551</v>
      </c>
      <c r="C1106" s="24" t="s">
        <v>265</v>
      </c>
      <c r="D1106" s="24" t="s">
        <v>66</v>
      </c>
      <c r="E1106" s="24" t="n">
        <v>146</v>
      </c>
      <c r="F1106" s="25" t="n">
        <v>5000</v>
      </c>
      <c r="G1106" s="24" t="s">
        <v>69</v>
      </c>
      <c r="H1106" s="24" t="s">
        <v>55</v>
      </c>
      <c r="I1106" s="24" t="s">
        <v>61</v>
      </c>
      <c r="J1106" s="26" t="n">
        <f aca="false">IF(A1106="","",YEAR(A1106))</f>
        <v>2025</v>
      </c>
      <c r="K1106" s="26" t="n">
        <f aca="false">IF(A1106="","",MONTH(A1106))</f>
        <v>11</v>
      </c>
      <c r="L1106" s="26" t="n">
        <f aca="false">IF(B1106="","",VALUE(LEFT(B1106,2)))</f>
        <v>7</v>
      </c>
      <c r="M1106" s="26" t="n">
        <f aca="false">IF(A1106="","",IF(COUNTIFS($C$2:$C$5001,C1106,$J$2:$J$5001,J1106,$A$2:$A$5001,"&lt;"&amp;A1106)=0,1,0))</f>
        <v>0</v>
      </c>
    </row>
    <row r="1107" customFormat="false" ht="15" hidden="false" customHeight="false" outlineLevel="0" collapsed="false">
      <c r="A1107" s="23" t="n">
        <v>45976.5215277778</v>
      </c>
      <c r="B1107" s="24" t="s">
        <v>661</v>
      </c>
      <c r="C1107" s="24" t="s">
        <v>690</v>
      </c>
      <c r="D1107" s="24" t="s">
        <v>66</v>
      </c>
      <c r="E1107" s="24" t="n">
        <v>98</v>
      </c>
      <c r="F1107" s="25" t="n">
        <v>3400</v>
      </c>
      <c r="G1107" s="24" t="s">
        <v>69</v>
      </c>
      <c r="H1107" s="24" t="s">
        <v>55</v>
      </c>
      <c r="I1107" s="24" t="s">
        <v>113</v>
      </c>
      <c r="J1107" s="26" t="n">
        <f aca="false">IF(A1107="","",YEAR(A1107))</f>
        <v>2025</v>
      </c>
      <c r="K1107" s="26" t="n">
        <f aca="false">IF(A1107="","",MONTH(A1107))</f>
        <v>11</v>
      </c>
      <c r="L1107" s="26" t="n">
        <f aca="false">IF(B1107="","",VALUE(LEFT(B1107,2)))</f>
        <v>10</v>
      </c>
      <c r="M1107" s="26" t="n">
        <f aca="false">IF(A1107="","",IF(COUNTIFS($C$2:$C$5001,C1107,$J$2:$J$5001,J1107,$A$2:$A$5001,"&lt;"&amp;A1107)=0,1,0))</f>
        <v>0</v>
      </c>
    </row>
    <row r="1108" customFormat="false" ht="15" hidden="false" customHeight="false" outlineLevel="0" collapsed="false">
      <c r="A1108" s="23" t="n">
        <v>45976.6215277778</v>
      </c>
      <c r="B1108" s="24" t="s">
        <v>254</v>
      </c>
      <c r="C1108" s="24" t="s">
        <v>512</v>
      </c>
      <c r="D1108" s="24" t="s">
        <v>88</v>
      </c>
      <c r="E1108" s="24" t="n">
        <v>258</v>
      </c>
      <c r="F1108" s="25" t="n">
        <v>13500</v>
      </c>
      <c r="G1108" s="24" t="s">
        <v>54</v>
      </c>
      <c r="H1108" s="24" t="s">
        <v>80</v>
      </c>
      <c r="I1108" s="24" t="s">
        <v>61</v>
      </c>
      <c r="J1108" s="26" t="n">
        <f aca="false">IF(A1108="","",YEAR(A1108))</f>
        <v>2025</v>
      </c>
      <c r="K1108" s="26" t="n">
        <f aca="false">IF(A1108="","",MONTH(A1108))</f>
        <v>11</v>
      </c>
      <c r="L1108" s="26" t="n">
        <f aca="false">IF(B1108="","",VALUE(LEFT(B1108,2)))</f>
        <v>10</v>
      </c>
      <c r="M1108" s="26" t="n">
        <f aca="false">IF(A1108="","",IF(COUNTIFS($C$2:$C$5001,C1108,$J$2:$J$5001,J1108,$A$2:$A$5001,"&lt;"&amp;A1108)=0,1,0))</f>
        <v>0</v>
      </c>
    </row>
    <row r="1109" customFormat="false" ht="15" hidden="false" customHeight="false" outlineLevel="0" collapsed="false">
      <c r="A1109" s="23" t="n">
        <v>45976.7451388889</v>
      </c>
      <c r="B1109" s="24" t="s">
        <v>603</v>
      </c>
      <c r="C1109" s="24" t="s">
        <v>512</v>
      </c>
      <c r="D1109" s="24" t="s">
        <v>53</v>
      </c>
      <c r="E1109" s="24" t="n">
        <v>24</v>
      </c>
      <c r="F1109" s="25" t="n">
        <v>500</v>
      </c>
      <c r="G1109" s="24" t="s">
        <v>59</v>
      </c>
      <c r="H1109" s="24" t="s">
        <v>60</v>
      </c>
      <c r="I1109" s="24" t="s">
        <v>61</v>
      </c>
      <c r="J1109" s="26" t="n">
        <f aca="false">IF(A1109="","",YEAR(A1109))</f>
        <v>2025</v>
      </c>
      <c r="K1109" s="26" t="n">
        <f aca="false">IF(A1109="","",MONTH(A1109))</f>
        <v>11</v>
      </c>
      <c r="L1109" s="26" t="n">
        <f aca="false">IF(B1109="","",VALUE(LEFT(B1109,2)))</f>
        <v>17</v>
      </c>
      <c r="M1109" s="26" t="n">
        <f aca="false">IF(A1109="","",IF(COUNTIFS($C$2:$C$5001,C1109,$J$2:$J$5001,J1109,$A$2:$A$5001,"&lt;"&amp;A1109)=0,1,0))</f>
        <v>0</v>
      </c>
    </row>
    <row r="1110" customFormat="false" ht="15" hidden="false" customHeight="false" outlineLevel="0" collapsed="false">
      <c r="A1110" s="23" t="n">
        <v>45977.5902777778</v>
      </c>
      <c r="B1110" s="24" t="s">
        <v>549</v>
      </c>
      <c r="C1110" s="24" t="s">
        <v>182</v>
      </c>
      <c r="D1110" s="24" t="s">
        <v>53</v>
      </c>
      <c r="E1110" s="24" t="n">
        <v>101</v>
      </c>
      <c r="F1110" s="25" t="n">
        <v>2000</v>
      </c>
      <c r="G1110" s="24" t="s">
        <v>59</v>
      </c>
      <c r="H1110" s="24" t="s">
        <v>55</v>
      </c>
      <c r="I1110" s="24" t="s">
        <v>61</v>
      </c>
      <c r="J1110" s="26" t="n">
        <f aca="false">IF(A1110="","",YEAR(A1110))</f>
        <v>2025</v>
      </c>
      <c r="K1110" s="26" t="n">
        <f aca="false">IF(A1110="","",MONTH(A1110))</f>
        <v>11</v>
      </c>
      <c r="L1110" s="26" t="n">
        <f aca="false">IF(B1110="","",VALUE(LEFT(B1110,2)))</f>
        <v>12</v>
      </c>
      <c r="M1110" s="26" t="n">
        <f aca="false">IF(A1110="","",IF(COUNTIFS($C$2:$C$5001,C1110,$J$2:$J$5001,J1110,$A$2:$A$5001,"&lt;"&amp;A1110)=0,1,0))</f>
        <v>0</v>
      </c>
    </row>
    <row r="1111" customFormat="false" ht="15" hidden="false" customHeight="false" outlineLevel="0" collapsed="false">
      <c r="A1111" s="23" t="n">
        <v>45977.7229166667</v>
      </c>
      <c r="B1111" s="24" t="s">
        <v>498</v>
      </c>
      <c r="C1111" s="24" t="s">
        <v>92</v>
      </c>
      <c r="D1111" s="24" t="s">
        <v>53</v>
      </c>
      <c r="E1111" s="24" t="n">
        <v>346</v>
      </c>
      <c r="F1111" s="25" t="n">
        <v>6000</v>
      </c>
      <c r="G1111" s="24" t="s">
        <v>59</v>
      </c>
      <c r="H1111" s="24" t="s">
        <v>55</v>
      </c>
      <c r="I1111" s="24" t="s">
        <v>61</v>
      </c>
      <c r="J1111" s="26" t="n">
        <f aca="false">IF(A1111="","",YEAR(A1111))</f>
        <v>2025</v>
      </c>
      <c r="K1111" s="26" t="n">
        <f aca="false">IF(A1111="","",MONTH(A1111))</f>
        <v>11</v>
      </c>
      <c r="L1111" s="26" t="n">
        <f aca="false">IF(B1111="","",VALUE(LEFT(B1111,2)))</f>
        <v>11</v>
      </c>
      <c r="M1111" s="26" t="n">
        <f aca="false">IF(A1111="","",IF(COUNTIFS($C$2:$C$5001,C1111,$J$2:$J$5001,J1111,$A$2:$A$5001,"&lt;"&amp;A1111)=0,1,0))</f>
        <v>0</v>
      </c>
    </row>
    <row r="1112" customFormat="false" ht="15" hidden="false" customHeight="false" outlineLevel="0" collapsed="false">
      <c r="A1112" s="23" t="n">
        <v>45977.75625</v>
      </c>
      <c r="B1112" s="24" t="s">
        <v>665</v>
      </c>
      <c r="C1112" s="24" t="s">
        <v>448</v>
      </c>
      <c r="D1112" s="24" t="s">
        <v>66</v>
      </c>
      <c r="E1112" s="24" t="n">
        <v>135</v>
      </c>
      <c r="F1112" s="25" t="n">
        <v>5000</v>
      </c>
      <c r="G1112" s="24" t="s">
        <v>69</v>
      </c>
      <c r="H1112" s="24" t="s">
        <v>60</v>
      </c>
      <c r="I1112" s="24" t="s">
        <v>61</v>
      </c>
      <c r="J1112" s="26" t="n">
        <f aca="false">IF(A1112="","",YEAR(A1112))</f>
        <v>2025</v>
      </c>
      <c r="K1112" s="26" t="n">
        <f aca="false">IF(A1112="","",MONTH(A1112))</f>
        <v>11</v>
      </c>
      <c r="L1112" s="26" t="n">
        <f aca="false">IF(B1112="","",VALUE(LEFT(B1112,2)))</f>
        <v>15</v>
      </c>
      <c r="M1112" s="26" t="n">
        <f aca="false">IF(A1112="","",IF(COUNTIFS($C$2:$C$5001,C1112,$J$2:$J$5001,J1112,$A$2:$A$5001,"&lt;"&amp;A1112)=0,1,0))</f>
        <v>0</v>
      </c>
    </row>
    <row r="1113" customFormat="false" ht="15" hidden="false" customHeight="false" outlineLevel="0" collapsed="false">
      <c r="A1113" s="23" t="n">
        <v>45977.7659722222</v>
      </c>
      <c r="B1113" s="24" t="s">
        <v>840</v>
      </c>
      <c r="C1113" s="24" t="s">
        <v>174</v>
      </c>
      <c r="D1113" s="24" t="s">
        <v>66</v>
      </c>
      <c r="E1113" s="24" t="n">
        <v>193</v>
      </c>
      <c r="F1113" s="25" t="n">
        <v>7000</v>
      </c>
      <c r="G1113" s="24" t="s">
        <v>54</v>
      </c>
      <c r="H1113" s="24" t="s">
        <v>80</v>
      </c>
      <c r="I1113" s="24" t="s">
        <v>61</v>
      </c>
      <c r="J1113" s="26" t="n">
        <f aca="false">IF(A1113="","",YEAR(A1113))</f>
        <v>2025</v>
      </c>
      <c r="K1113" s="26" t="n">
        <f aca="false">IF(A1113="","",MONTH(A1113))</f>
        <v>11</v>
      </c>
      <c r="L1113" s="26" t="n">
        <f aca="false">IF(B1113="","",VALUE(LEFT(B1113,2)))</f>
        <v>15</v>
      </c>
      <c r="M1113" s="26" t="n">
        <f aca="false">IF(A1113="","",IF(COUNTIFS($C$2:$C$5001,C1113,$J$2:$J$5001,J1113,$A$2:$A$5001,"&lt;"&amp;A1113)=0,1,0))</f>
        <v>0</v>
      </c>
    </row>
    <row r="1114" customFormat="false" ht="15" hidden="false" customHeight="false" outlineLevel="0" collapsed="false">
      <c r="A1114" s="23" t="n">
        <v>45977.8083333333</v>
      </c>
      <c r="B1114" s="24" t="s">
        <v>841</v>
      </c>
      <c r="C1114" s="24" t="s">
        <v>116</v>
      </c>
      <c r="D1114" s="24" t="s">
        <v>66</v>
      </c>
      <c r="E1114" s="24" t="n">
        <v>34</v>
      </c>
      <c r="F1114" s="25" t="n">
        <v>2000</v>
      </c>
      <c r="G1114" s="24" t="s">
        <v>59</v>
      </c>
      <c r="H1114" s="24" t="s">
        <v>80</v>
      </c>
      <c r="I1114" s="24" t="s">
        <v>61</v>
      </c>
      <c r="J1114" s="26" t="n">
        <f aca="false">IF(A1114="","",YEAR(A1114))</f>
        <v>2025</v>
      </c>
      <c r="K1114" s="26" t="n">
        <f aca="false">IF(A1114="","",MONTH(A1114))</f>
        <v>11</v>
      </c>
      <c r="L1114" s="26" t="n">
        <f aca="false">IF(B1114="","",VALUE(LEFT(B1114,2)))</f>
        <v>18</v>
      </c>
      <c r="M1114" s="26" t="n">
        <f aca="false">IF(A1114="","",IF(COUNTIFS($C$2:$C$5001,C1114,$J$2:$J$5001,J1114,$A$2:$A$5001,"&lt;"&amp;A1114)=0,1,0))</f>
        <v>0</v>
      </c>
    </row>
    <row r="1115" customFormat="false" ht="15" hidden="false" customHeight="false" outlineLevel="0" collapsed="false">
      <c r="A1115" s="23" t="n">
        <v>45978.4673611111</v>
      </c>
      <c r="B1115" s="24" t="s">
        <v>81</v>
      </c>
      <c r="C1115" s="24" t="s">
        <v>58</v>
      </c>
      <c r="D1115" s="24" t="s">
        <v>72</v>
      </c>
      <c r="E1115" s="24" t="n">
        <v>253</v>
      </c>
      <c r="F1115" s="25" t="n">
        <v>18000</v>
      </c>
      <c r="G1115" s="24" t="s">
        <v>59</v>
      </c>
      <c r="H1115" s="24" t="s">
        <v>55</v>
      </c>
      <c r="I1115" s="24" t="s">
        <v>61</v>
      </c>
      <c r="J1115" s="26" t="n">
        <f aca="false">IF(A1115="","",YEAR(A1115))</f>
        <v>2025</v>
      </c>
      <c r="K1115" s="26" t="n">
        <f aca="false">IF(A1115="","",MONTH(A1115))</f>
        <v>11</v>
      </c>
      <c r="L1115" s="26" t="n">
        <f aca="false">IF(B1115="","",VALUE(LEFT(B1115,2)))</f>
        <v>7</v>
      </c>
      <c r="M1115" s="26" t="n">
        <f aca="false">IF(A1115="","",IF(COUNTIFS($C$2:$C$5001,C1115,$J$2:$J$5001,J1115,$A$2:$A$5001,"&lt;"&amp;A1115)=0,1,0))</f>
        <v>0</v>
      </c>
    </row>
    <row r="1116" customFormat="false" ht="15" hidden="false" customHeight="false" outlineLevel="0" collapsed="false">
      <c r="A1116" s="23" t="n">
        <v>45978.6243055556</v>
      </c>
      <c r="B1116" s="24" t="s">
        <v>842</v>
      </c>
      <c r="C1116" s="24" t="s">
        <v>289</v>
      </c>
      <c r="D1116" s="24" t="s">
        <v>66</v>
      </c>
      <c r="E1116" s="24" t="n">
        <v>279</v>
      </c>
      <c r="F1116" s="25" t="n">
        <v>10000</v>
      </c>
      <c r="G1116" s="24" t="s">
        <v>59</v>
      </c>
      <c r="H1116" s="24" t="s">
        <v>80</v>
      </c>
      <c r="I1116" s="24" t="s">
        <v>61</v>
      </c>
      <c r="J1116" s="26" t="n">
        <f aca="false">IF(A1116="","",YEAR(A1116))</f>
        <v>2025</v>
      </c>
      <c r="K1116" s="26" t="n">
        <f aca="false">IF(A1116="","",MONTH(A1116))</f>
        <v>11</v>
      </c>
      <c r="L1116" s="26" t="n">
        <f aca="false">IF(B1116="","",VALUE(LEFT(B1116,2)))</f>
        <v>10</v>
      </c>
      <c r="M1116" s="26" t="n">
        <f aca="false">IF(A1116="","",IF(COUNTIFS($C$2:$C$5001,C1116,$J$2:$J$5001,J1116,$A$2:$A$5001,"&lt;"&amp;A1116)=0,1,0))</f>
        <v>0</v>
      </c>
    </row>
    <row r="1117" customFormat="false" ht="15" hidden="false" customHeight="false" outlineLevel="0" collapsed="false">
      <c r="A1117" s="23" t="n">
        <v>45978.9826388889</v>
      </c>
      <c r="B1117" s="24" t="s">
        <v>560</v>
      </c>
      <c r="C1117" s="24" t="s">
        <v>203</v>
      </c>
      <c r="D1117" s="24" t="s">
        <v>66</v>
      </c>
      <c r="E1117" s="24" t="n">
        <v>386</v>
      </c>
      <c r="F1117" s="25" t="n">
        <v>0</v>
      </c>
      <c r="G1117" s="24" t="s">
        <v>54</v>
      </c>
      <c r="H1117" s="24" t="s">
        <v>80</v>
      </c>
      <c r="I1117" s="24" t="s">
        <v>56</v>
      </c>
      <c r="J1117" s="26" t="n">
        <f aca="false">IF(A1117="","",YEAR(A1117))</f>
        <v>2025</v>
      </c>
      <c r="K1117" s="26" t="n">
        <f aca="false">IF(A1117="","",MONTH(A1117))</f>
        <v>11</v>
      </c>
      <c r="L1117" s="26" t="n">
        <f aca="false">IF(B1117="","",VALUE(LEFT(B1117,2)))</f>
        <v>17</v>
      </c>
      <c r="M1117" s="26" t="n">
        <f aca="false">IF(A1117="","",IF(COUNTIFS($C$2:$C$5001,C1117,$J$2:$J$5001,J1117,$A$2:$A$5001,"&lt;"&amp;A1117)=0,1,0))</f>
        <v>0</v>
      </c>
    </row>
    <row r="1118" customFormat="false" ht="15" hidden="false" customHeight="false" outlineLevel="0" collapsed="false">
      <c r="A1118" s="23" t="n">
        <v>45979.5680555556</v>
      </c>
      <c r="B1118" s="24" t="s">
        <v>435</v>
      </c>
      <c r="C1118" s="24" t="s">
        <v>277</v>
      </c>
      <c r="D1118" s="24" t="s">
        <v>127</v>
      </c>
      <c r="E1118" s="24" t="n">
        <v>379</v>
      </c>
      <c r="F1118" s="25" t="n">
        <v>22750</v>
      </c>
      <c r="G1118" s="24" t="s">
        <v>69</v>
      </c>
      <c r="H1118" s="24" t="s">
        <v>80</v>
      </c>
      <c r="I1118" s="24" t="s">
        <v>61</v>
      </c>
      <c r="J1118" s="26" t="n">
        <f aca="false">IF(A1118="","",YEAR(A1118))</f>
        <v>2025</v>
      </c>
      <c r="K1118" s="26" t="n">
        <f aca="false">IF(A1118="","",MONTH(A1118))</f>
        <v>11</v>
      </c>
      <c r="L1118" s="26" t="n">
        <f aca="false">IF(B1118="","",VALUE(LEFT(B1118,2)))</f>
        <v>7</v>
      </c>
      <c r="M1118" s="26" t="n">
        <f aca="false">IF(A1118="","",IF(COUNTIFS($C$2:$C$5001,C1118,$J$2:$J$5001,J1118,$A$2:$A$5001,"&lt;"&amp;A1118)=0,1,0))</f>
        <v>0</v>
      </c>
    </row>
    <row r="1119" customFormat="false" ht="15" hidden="false" customHeight="false" outlineLevel="0" collapsed="false">
      <c r="A1119" s="23" t="n">
        <v>45979.5805555556</v>
      </c>
      <c r="B1119" s="24" t="s">
        <v>591</v>
      </c>
      <c r="C1119" s="24" t="s">
        <v>578</v>
      </c>
      <c r="D1119" s="24" t="s">
        <v>66</v>
      </c>
      <c r="E1119" s="24" t="n">
        <v>47</v>
      </c>
      <c r="F1119" s="25" t="n">
        <v>2000</v>
      </c>
      <c r="G1119" s="24" t="s">
        <v>54</v>
      </c>
      <c r="H1119" s="24" t="s">
        <v>80</v>
      </c>
      <c r="I1119" s="24" t="s">
        <v>61</v>
      </c>
      <c r="J1119" s="26" t="n">
        <f aca="false">IF(A1119="","",YEAR(A1119))</f>
        <v>2025</v>
      </c>
      <c r="K1119" s="26" t="n">
        <f aca="false">IF(A1119="","",MONTH(A1119))</f>
        <v>11</v>
      </c>
      <c r="L1119" s="26" t="n">
        <f aca="false">IF(B1119="","",VALUE(LEFT(B1119,2)))</f>
        <v>13</v>
      </c>
      <c r="M1119" s="26" t="n">
        <f aca="false">IF(A1119="","",IF(COUNTIFS($C$2:$C$5001,C1119,$J$2:$J$5001,J1119,$A$2:$A$5001,"&lt;"&amp;A1119)=0,1,0))</f>
        <v>0</v>
      </c>
    </row>
    <row r="1120" customFormat="false" ht="15" hidden="false" customHeight="false" outlineLevel="0" collapsed="false">
      <c r="A1120" s="23" t="n">
        <v>45979.5840277778</v>
      </c>
      <c r="B1120" s="24" t="s">
        <v>843</v>
      </c>
      <c r="C1120" s="24" t="s">
        <v>143</v>
      </c>
      <c r="D1120" s="24" t="s">
        <v>127</v>
      </c>
      <c r="E1120" s="24" t="n">
        <v>163</v>
      </c>
      <c r="F1120" s="25" t="n">
        <v>10500</v>
      </c>
      <c r="G1120" s="24" t="s">
        <v>59</v>
      </c>
      <c r="H1120" s="24" t="s">
        <v>60</v>
      </c>
      <c r="I1120" s="24" t="s">
        <v>61</v>
      </c>
      <c r="J1120" s="26" t="n">
        <f aca="false">IF(A1120="","",YEAR(A1120))</f>
        <v>2025</v>
      </c>
      <c r="K1120" s="26" t="n">
        <f aca="false">IF(A1120="","",MONTH(A1120))</f>
        <v>11</v>
      </c>
      <c r="L1120" s="26" t="n">
        <f aca="false">IF(B1120="","",VALUE(LEFT(B1120,2)))</f>
        <v>11</v>
      </c>
      <c r="M1120" s="26" t="n">
        <f aca="false">IF(A1120="","",IF(COUNTIFS($C$2:$C$5001,C1120,$J$2:$J$5001,J1120,$A$2:$A$5001,"&lt;"&amp;A1120)=0,1,0))</f>
        <v>0</v>
      </c>
    </row>
    <row r="1121" customFormat="false" ht="15" hidden="false" customHeight="false" outlineLevel="0" collapsed="false">
      <c r="A1121" s="23" t="n">
        <v>45979.6493055556</v>
      </c>
      <c r="B1121" s="24" t="s">
        <v>562</v>
      </c>
      <c r="C1121" s="24" t="s">
        <v>158</v>
      </c>
      <c r="D1121" s="24" t="s">
        <v>66</v>
      </c>
      <c r="E1121" s="24" t="n">
        <v>357</v>
      </c>
      <c r="F1121" s="25" t="n">
        <v>12000</v>
      </c>
      <c r="G1121" s="24" t="s">
        <v>59</v>
      </c>
      <c r="H1121" s="24" t="s">
        <v>60</v>
      </c>
      <c r="I1121" s="24" t="s">
        <v>61</v>
      </c>
      <c r="J1121" s="26" t="n">
        <f aca="false">IF(A1121="","",YEAR(A1121))</f>
        <v>2025</v>
      </c>
      <c r="K1121" s="26" t="n">
        <f aca="false">IF(A1121="","",MONTH(A1121))</f>
        <v>11</v>
      </c>
      <c r="L1121" s="26" t="n">
        <f aca="false">IF(B1121="","",VALUE(LEFT(B1121,2)))</f>
        <v>9</v>
      </c>
      <c r="M1121" s="26" t="n">
        <f aca="false">IF(A1121="","",IF(COUNTIFS($C$2:$C$5001,C1121,$J$2:$J$5001,J1121,$A$2:$A$5001,"&lt;"&amp;A1121)=0,1,0))</f>
        <v>0</v>
      </c>
    </row>
    <row r="1122" customFormat="false" ht="15" hidden="false" customHeight="false" outlineLevel="0" collapsed="false">
      <c r="A1122" s="23" t="n">
        <v>45979.6729166667</v>
      </c>
      <c r="B1122" s="24" t="s">
        <v>720</v>
      </c>
      <c r="C1122" s="24" t="s">
        <v>188</v>
      </c>
      <c r="D1122" s="24" t="s">
        <v>53</v>
      </c>
      <c r="E1122" s="24" t="n">
        <v>109</v>
      </c>
      <c r="F1122" s="25" t="n">
        <v>2000</v>
      </c>
      <c r="G1122" s="24" t="s">
        <v>69</v>
      </c>
      <c r="H1122" s="24" t="s">
        <v>80</v>
      </c>
      <c r="I1122" s="24" t="s">
        <v>61</v>
      </c>
      <c r="J1122" s="26" t="n">
        <f aca="false">IF(A1122="","",YEAR(A1122))</f>
        <v>2025</v>
      </c>
      <c r="K1122" s="26" t="n">
        <f aca="false">IF(A1122="","",MONTH(A1122))</f>
        <v>11</v>
      </c>
      <c r="L1122" s="26" t="n">
        <f aca="false">IF(B1122="","",VALUE(LEFT(B1122,2)))</f>
        <v>14</v>
      </c>
      <c r="M1122" s="26" t="n">
        <f aca="false">IF(A1122="","",IF(COUNTIFS($C$2:$C$5001,C1122,$J$2:$J$5001,J1122,$A$2:$A$5001,"&lt;"&amp;A1122)=0,1,0))</f>
        <v>0</v>
      </c>
    </row>
    <row r="1123" customFormat="false" ht="15" hidden="false" customHeight="false" outlineLevel="0" collapsed="false">
      <c r="A1123" s="23" t="n">
        <v>45979.7361111111</v>
      </c>
      <c r="B1123" s="24" t="s">
        <v>844</v>
      </c>
      <c r="C1123" s="24" t="s">
        <v>82</v>
      </c>
      <c r="D1123" s="24" t="s">
        <v>66</v>
      </c>
      <c r="E1123" s="24" t="n">
        <v>213</v>
      </c>
      <c r="F1123" s="25" t="n">
        <v>8000</v>
      </c>
      <c r="G1123" s="24" t="s">
        <v>59</v>
      </c>
      <c r="H1123" s="24" t="s">
        <v>60</v>
      </c>
      <c r="I1123" s="24" t="s">
        <v>61</v>
      </c>
      <c r="J1123" s="26" t="n">
        <f aca="false">IF(A1123="","",YEAR(A1123))</f>
        <v>2025</v>
      </c>
      <c r="K1123" s="26" t="n">
        <f aca="false">IF(A1123="","",MONTH(A1123))</f>
        <v>11</v>
      </c>
      <c r="L1123" s="26" t="n">
        <f aca="false">IF(B1123="","",VALUE(LEFT(B1123,2)))</f>
        <v>14</v>
      </c>
      <c r="M1123" s="26" t="n">
        <f aca="false">IF(A1123="","",IF(COUNTIFS($C$2:$C$5001,C1123,$J$2:$J$5001,J1123,$A$2:$A$5001,"&lt;"&amp;A1123)=0,1,0))</f>
        <v>0</v>
      </c>
    </row>
    <row r="1124" customFormat="false" ht="15" hidden="false" customHeight="false" outlineLevel="0" collapsed="false">
      <c r="A1124" s="23" t="n">
        <v>45980.8868055556</v>
      </c>
      <c r="B1124" s="24" t="s">
        <v>292</v>
      </c>
      <c r="C1124" s="24" t="s">
        <v>222</v>
      </c>
      <c r="D1124" s="24" t="s">
        <v>66</v>
      </c>
      <c r="E1124" s="24" t="n">
        <v>293</v>
      </c>
      <c r="F1124" s="25" t="n">
        <v>10000</v>
      </c>
      <c r="G1124" s="24" t="s">
        <v>59</v>
      </c>
      <c r="H1124" s="24" t="s">
        <v>60</v>
      </c>
      <c r="I1124" s="24" t="s">
        <v>61</v>
      </c>
      <c r="J1124" s="26" t="n">
        <f aca="false">IF(A1124="","",YEAR(A1124))</f>
        <v>2025</v>
      </c>
      <c r="K1124" s="26" t="n">
        <f aca="false">IF(A1124="","",MONTH(A1124))</f>
        <v>11</v>
      </c>
      <c r="L1124" s="26" t="n">
        <f aca="false">IF(B1124="","",VALUE(LEFT(B1124,2)))</f>
        <v>16</v>
      </c>
      <c r="M1124" s="26" t="n">
        <f aca="false">IF(A1124="","",IF(COUNTIFS($C$2:$C$5001,C1124,$J$2:$J$5001,J1124,$A$2:$A$5001,"&lt;"&amp;A1124)=0,1,0))</f>
        <v>0</v>
      </c>
    </row>
    <row r="1125" customFormat="false" ht="15" hidden="false" customHeight="false" outlineLevel="0" collapsed="false">
      <c r="A1125" s="23" t="n">
        <v>45980.9569444444</v>
      </c>
      <c r="B1125" s="24" t="s">
        <v>736</v>
      </c>
      <c r="C1125" s="24" t="s">
        <v>265</v>
      </c>
      <c r="D1125" s="24" t="s">
        <v>53</v>
      </c>
      <c r="E1125" s="24" t="n">
        <v>181</v>
      </c>
      <c r="F1125" s="25" t="n">
        <v>3500</v>
      </c>
      <c r="G1125" s="24" t="s">
        <v>59</v>
      </c>
      <c r="H1125" s="24" t="s">
        <v>55</v>
      </c>
      <c r="I1125" s="24" t="s">
        <v>61</v>
      </c>
      <c r="J1125" s="26" t="n">
        <f aca="false">IF(A1125="","",YEAR(A1125))</f>
        <v>2025</v>
      </c>
      <c r="K1125" s="26" t="n">
        <f aca="false">IF(A1125="","",MONTH(A1125))</f>
        <v>11</v>
      </c>
      <c r="L1125" s="26" t="n">
        <f aca="false">IF(B1125="","",VALUE(LEFT(B1125,2)))</f>
        <v>19</v>
      </c>
      <c r="M1125" s="26" t="n">
        <f aca="false">IF(A1125="","",IF(COUNTIFS($C$2:$C$5001,C1125,$J$2:$J$5001,J1125,$A$2:$A$5001,"&lt;"&amp;A1125)=0,1,0))</f>
        <v>0</v>
      </c>
    </row>
    <row r="1126" customFormat="false" ht="15" hidden="false" customHeight="false" outlineLevel="0" collapsed="false">
      <c r="A1126" s="23" t="n">
        <v>45981.5534722222</v>
      </c>
      <c r="B1126" s="24" t="s">
        <v>845</v>
      </c>
      <c r="C1126" s="24" t="s">
        <v>71</v>
      </c>
      <c r="D1126" s="24" t="s">
        <v>53</v>
      </c>
      <c r="E1126" s="24" t="n">
        <v>184</v>
      </c>
      <c r="F1126" s="25" t="n">
        <v>0</v>
      </c>
      <c r="G1126" s="24" t="s">
        <v>59</v>
      </c>
      <c r="H1126" s="24" t="s">
        <v>80</v>
      </c>
      <c r="I1126" s="24" t="s">
        <v>56</v>
      </c>
      <c r="J1126" s="26" t="n">
        <f aca="false">IF(A1126="","",YEAR(A1126))</f>
        <v>2025</v>
      </c>
      <c r="K1126" s="26" t="n">
        <f aca="false">IF(A1126="","",MONTH(A1126))</f>
        <v>11</v>
      </c>
      <c r="L1126" s="26" t="n">
        <f aca="false">IF(B1126="","",VALUE(LEFT(B1126,2)))</f>
        <v>10</v>
      </c>
      <c r="M1126" s="26" t="n">
        <f aca="false">IF(A1126="","",IF(COUNTIFS($C$2:$C$5001,C1126,$J$2:$J$5001,J1126,$A$2:$A$5001,"&lt;"&amp;A1126)=0,1,0))</f>
        <v>0</v>
      </c>
    </row>
    <row r="1127" customFormat="false" ht="15" hidden="false" customHeight="false" outlineLevel="0" collapsed="false">
      <c r="A1127" s="23" t="n">
        <v>45981.5659722222</v>
      </c>
      <c r="B1127" s="24" t="s">
        <v>659</v>
      </c>
      <c r="C1127" s="24" t="s">
        <v>243</v>
      </c>
      <c r="D1127" s="24" t="s">
        <v>53</v>
      </c>
      <c r="E1127" s="24" t="n">
        <v>279</v>
      </c>
      <c r="F1127" s="25" t="n">
        <v>5000</v>
      </c>
      <c r="G1127" s="24" t="s">
        <v>59</v>
      </c>
      <c r="H1127" s="24" t="s">
        <v>55</v>
      </c>
      <c r="I1127" s="24" t="s">
        <v>61</v>
      </c>
      <c r="J1127" s="26" t="n">
        <f aca="false">IF(A1127="","",YEAR(A1127))</f>
        <v>2025</v>
      </c>
      <c r="K1127" s="26" t="n">
        <f aca="false">IF(A1127="","",MONTH(A1127))</f>
        <v>11</v>
      </c>
      <c r="L1127" s="26" t="n">
        <f aca="false">IF(B1127="","",VALUE(LEFT(B1127,2)))</f>
        <v>8</v>
      </c>
      <c r="M1127" s="26" t="n">
        <f aca="false">IF(A1127="","",IF(COUNTIFS($C$2:$C$5001,C1127,$J$2:$J$5001,J1127,$A$2:$A$5001,"&lt;"&amp;A1127)=0,1,0))</f>
        <v>0</v>
      </c>
    </row>
    <row r="1128" customFormat="false" ht="15" hidden="false" customHeight="false" outlineLevel="0" collapsed="false">
      <c r="A1128" s="23" t="n">
        <v>45981.5979166667</v>
      </c>
      <c r="B1128" s="24" t="s">
        <v>846</v>
      </c>
      <c r="C1128" s="24" t="s">
        <v>105</v>
      </c>
      <c r="D1128" s="24" t="s">
        <v>53</v>
      </c>
      <c r="E1128" s="24" t="n">
        <v>300</v>
      </c>
      <c r="F1128" s="25" t="n">
        <v>5000</v>
      </c>
      <c r="G1128" s="24" t="s">
        <v>69</v>
      </c>
      <c r="H1128" s="24" t="s">
        <v>60</v>
      </c>
      <c r="I1128" s="24" t="s">
        <v>61</v>
      </c>
      <c r="J1128" s="26" t="n">
        <f aca="false">IF(A1128="","",YEAR(A1128))</f>
        <v>2025</v>
      </c>
      <c r="K1128" s="26" t="n">
        <f aca="false">IF(A1128="","",MONTH(A1128))</f>
        <v>11</v>
      </c>
      <c r="L1128" s="26" t="n">
        <f aca="false">IF(B1128="","",VALUE(LEFT(B1128,2)))</f>
        <v>9</v>
      </c>
      <c r="M1128" s="26" t="n">
        <f aca="false">IF(A1128="","",IF(COUNTIFS($C$2:$C$5001,C1128,$J$2:$J$5001,J1128,$A$2:$A$5001,"&lt;"&amp;A1128)=0,1,0))</f>
        <v>0</v>
      </c>
    </row>
    <row r="1129" customFormat="false" ht="15" hidden="false" customHeight="false" outlineLevel="0" collapsed="false">
      <c r="A1129" s="23" t="n">
        <v>45981.625</v>
      </c>
      <c r="B1129" s="24" t="s">
        <v>847</v>
      </c>
      <c r="C1129" s="24" t="s">
        <v>512</v>
      </c>
      <c r="D1129" s="24" t="s">
        <v>127</v>
      </c>
      <c r="E1129" s="24" t="n">
        <v>74</v>
      </c>
      <c r="F1129" s="25" t="n">
        <v>5250</v>
      </c>
      <c r="G1129" s="24" t="s">
        <v>59</v>
      </c>
      <c r="H1129" s="24" t="s">
        <v>60</v>
      </c>
      <c r="I1129" s="24" t="s">
        <v>61</v>
      </c>
      <c r="J1129" s="26" t="n">
        <f aca="false">IF(A1129="","",YEAR(A1129))</f>
        <v>2025</v>
      </c>
      <c r="K1129" s="26" t="n">
        <f aca="false">IF(A1129="","",MONTH(A1129))</f>
        <v>11</v>
      </c>
      <c r="L1129" s="26" t="n">
        <f aca="false">IF(B1129="","",VALUE(LEFT(B1129,2)))</f>
        <v>13</v>
      </c>
      <c r="M1129" s="26" t="n">
        <f aca="false">IF(A1129="","",IF(COUNTIFS($C$2:$C$5001,C1129,$J$2:$J$5001,J1129,$A$2:$A$5001,"&lt;"&amp;A1129)=0,1,0))</f>
        <v>0</v>
      </c>
    </row>
    <row r="1130" customFormat="false" ht="15" hidden="false" customHeight="false" outlineLevel="0" collapsed="false">
      <c r="A1130" s="23" t="n">
        <v>45981.8006944444</v>
      </c>
      <c r="B1130" s="24" t="s">
        <v>848</v>
      </c>
      <c r="C1130" s="24" t="s">
        <v>166</v>
      </c>
      <c r="D1130" s="24" t="s">
        <v>66</v>
      </c>
      <c r="E1130" s="24" t="n">
        <v>173</v>
      </c>
      <c r="F1130" s="25" t="n">
        <v>6000</v>
      </c>
      <c r="G1130" s="24" t="s">
        <v>83</v>
      </c>
      <c r="H1130" s="24" t="s">
        <v>55</v>
      </c>
      <c r="I1130" s="24" t="s">
        <v>61</v>
      </c>
      <c r="J1130" s="26" t="n">
        <f aca="false">IF(A1130="","",YEAR(A1130))</f>
        <v>2025</v>
      </c>
      <c r="K1130" s="26" t="n">
        <f aca="false">IF(A1130="","",MONTH(A1130))</f>
        <v>11</v>
      </c>
      <c r="L1130" s="26" t="n">
        <f aca="false">IF(B1130="","",VALUE(LEFT(B1130,2)))</f>
        <v>16</v>
      </c>
      <c r="M1130" s="26" t="n">
        <f aca="false">IF(A1130="","",IF(COUNTIFS($C$2:$C$5001,C1130,$J$2:$J$5001,J1130,$A$2:$A$5001,"&lt;"&amp;A1130)=0,1,0))</f>
        <v>0</v>
      </c>
    </row>
    <row r="1131" customFormat="false" ht="15" hidden="false" customHeight="false" outlineLevel="0" collapsed="false">
      <c r="A1131" s="23" t="n">
        <v>45981.8875</v>
      </c>
      <c r="B1131" s="24" t="s">
        <v>794</v>
      </c>
      <c r="C1131" s="24" t="s">
        <v>188</v>
      </c>
      <c r="D1131" s="24" t="s">
        <v>66</v>
      </c>
      <c r="E1131" s="24" t="n">
        <v>150</v>
      </c>
      <c r="F1131" s="25" t="n">
        <v>0</v>
      </c>
      <c r="G1131" s="24" t="s">
        <v>59</v>
      </c>
      <c r="H1131" s="24" t="s">
        <v>55</v>
      </c>
      <c r="I1131" s="24" t="s">
        <v>56</v>
      </c>
      <c r="J1131" s="26" t="n">
        <f aca="false">IF(A1131="","",YEAR(A1131))</f>
        <v>2025</v>
      </c>
      <c r="K1131" s="26" t="n">
        <f aca="false">IF(A1131="","",MONTH(A1131))</f>
        <v>11</v>
      </c>
      <c r="L1131" s="26" t="n">
        <f aca="false">IF(B1131="","",VALUE(LEFT(B1131,2)))</f>
        <v>18</v>
      </c>
      <c r="M1131" s="26" t="n">
        <f aca="false">IF(A1131="","",IF(COUNTIFS($C$2:$C$5001,C1131,$J$2:$J$5001,J1131,$A$2:$A$5001,"&lt;"&amp;A1131)=0,1,0))</f>
        <v>0</v>
      </c>
    </row>
    <row r="1132" customFormat="false" ht="15" hidden="false" customHeight="false" outlineLevel="0" collapsed="false">
      <c r="A1132" s="23" t="n">
        <v>45982.0180555556</v>
      </c>
      <c r="B1132" s="24" t="s">
        <v>159</v>
      </c>
      <c r="C1132" s="24" t="s">
        <v>120</v>
      </c>
      <c r="D1132" s="24" t="s">
        <v>66</v>
      </c>
      <c r="E1132" s="24" t="n">
        <v>246</v>
      </c>
      <c r="F1132" s="25" t="n">
        <v>9000</v>
      </c>
      <c r="G1132" s="24" t="s">
        <v>83</v>
      </c>
      <c r="H1132" s="24" t="s">
        <v>80</v>
      </c>
      <c r="I1132" s="24" t="s">
        <v>61</v>
      </c>
      <c r="J1132" s="26" t="n">
        <f aca="false">IF(A1132="","",YEAR(A1132))</f>
        <v>2025</v>
      </c>
      <c r="K1132" s="26" t="n">
        <f aca="false">IF(A1132="","",MONTH(A1132))</f>
        <v>11</v>
      </c>
      <c r="L1132" s="26" t="n">
        <f aca="false">IF(B1132="","",VALUE(LEFT(B1132,2)))</f>
        <v>20</v>
      </c>
      <c r="M1132" s="26" t="n">
        <f aca="false">IF(A1132="","",IF(COUNTIFS($C$2:$C$5001,C1132,$J$2:$J$5001,J1132,$A$2:$A$5001,"&lt;"&amp;A1132)=0,1,0))</f>
        <v>0</v>
      </c>
    </row>
    <row r="1133" customFormat="false" ht="15" hidden="false" customHeight="false" outlineLevel="0" collapsed="false">
      <c r="A1133" s="23" t="n">
        <v>45982.3513888889</v>
      </c>
      <c r="B1133" s="24" t="s">
        <v>569</v>
      </c>
      <c r="C1133" s="24" t="s">
        <v>271</v>
      </c>
      <c r="D1133" s="24" t="s">
        <v>88</v>
      </c>
      <c r="E1133" s="24" t="n">
        <v>45</v>
      </c>
      <c r="F1133" s="25" t="n">
        <v>3000</v>
      </c>
      <c r="G1133" s="24" t="s">
        <v>59</v>
      </c>
      <c r="H1133" s="24" t="s">
        <v>60</v>
      </c>
      <c r="I1133" s="24" t="s">
        <v>61</v>
      </c>
      <c r="J1133" s="26" t="n">
        <f aca="false">IF(A1133="","",YEAR(A1133))</f>
        <v>2025</v>
      </c>
      <c r="K1133" s="26" t="n">
        <f aca="false">IF(A1133="","",MONTH(A1133))</f>
        <v>11</v>
      </c>
      <c r="L1133" s="26" t="n">
        <f aca="false">IF(B1133="","",VALUE(LEFT(B1133,2)))</f>
        <v>7</v>
      </c>
      <c r="M1133" s="26" t="n">
        <f aca="false">IF(A1133="","",IF(COUNTIFS($C$2:$C$5001,C1133,$J$2:$J$5001,J1133,$A$2:$A$5001,"&lt;"&amp;A1133)=0,1,0))</f>
        <v>0</v>
      </c>
    </row>
    <row r="1134" customFormat="false" ht="15" hidden="false" customHeight="false" outlineLevel="0" collapsed="false">
      <c r="A1134" s="23" t="n">
        <v>45982.80625</v>
      </c>
      <c r="B1134" s="24" t="s">
        <v>849</v>
      </c>
      <c r="C1134" s="24" t="s">
        <v>312</v>
      </c>
      <c r="D1134" s="24" t="s">
        <v>66</v>
      </c>
      <c r="E1134" s="24" t="n">
        <v>27</v>
      </c>
      <c r="F1134" s="25" t="n">
        <v>1000</v>
      </c>
      <c r="G1134" s="24" t="s">
        <v>59</v>
      </c>
      <c r="H1134" s="24" t="s">
        <v>60</v>
      </c>
      <c r="I1134" s="24" t="s">
        <v>61</v>
      </c>
      <c r="J1134" s="26" t="n">
        <f aca="false">IF(A1134="","",YEAR(A1134))</f>
        <v>2025</v>
      </c>
      <c r="K1134" s="26" t="n">
        <f aca="false">IF(A1134="","",MONTH(A1134))</f>
        <v>11</v>
      </c>
      <c r="L1134" s="26" t="n">
        <f aca="false">IF(B1134="","",VALUE(LEFT(B1134,2)))</f>
        <v>18</v>
      </c>
      <c r="M1134" s="26" t="n">
        <f aca="false">IF(A1134="","",IF(COUNTIFS($C$2:$C$5001,C1134,$J$2:$J$5001,J1134,$A$2:$A$5001,"&lt;"&amp;A1134)=0,1,0))</f>
        <v>0</v>
      </c>
    </row>
    <row r="1135" customFormat="false" ht="15" hidden="false" customHeight="false" outlineLevel="0" collapsed="false">
      <c r="A1135" s="23" t="n">
        <v>45982.8090277778</v>
      </c>
      <c r="B1135" s="24" t="s">
        <v>850</v>
      </c>
      <c r="C1135" s="24" t="s">
        <v>324</v>
      </c>
      <c r="D1135" s="24" t="s">
        <v>53</v>
      </c>
      <c r="E1135" s="24" t="n">
        <v>260</v>
      </c>
      <c r="F1135" s="25" t="n">
        <v>0</v>
      </c>
      <c r="G1135" s="24" t="s">
        <v>69</v>
      </c>
      <c r="H1135" s="24" t="s">
        <v>80</v>
      </c>
      <c r="I1135" s="24" t="s">
        <v>56</v>
      </c>
      <c r="J1135" s="26" t="n">
        <f aca="false">IF(A1135="","",YEAR(A1135))</f>
        <v>2025</v>
      </c>
      <c r="K1135" s="26" t="n">
        <f aca="false">IF(A1135="","",MONTH(A1135))</f>
        <v>11</v>
      </c>
      <c r="L1135" s="26" t="n">
        <f aca="false">IF(B1135="","",VALUE(LEFT(B1135,2)))</f>
        <v>15</v>
      </c>
      <c r="M1135" s="26" t="n">
        <f aca="false">IF(A1135="","",IF(COUNTIFS($C$2:$C$5001,C1135,$J$2:$J$5001,J1135,$A$2:$A$5001,"&lt;"&amp;A1135)=0,1,0))</f>
        <v>0</v>
      </c>
    </row>
    <row r="1136" customFormat="false" ht="15" hidden="false" customHeight="false" outlineLevel="0" collapsed="false">
      <c r="A1136" s="23" t="n">
        <v>45982.8270833333</v>
      </c>
      <c r="B1136" s="24" t="s">
        <v>513</v>
      </c>
      <c r="C1136" s="24" t="s">
        <v>94</v>
      </c>
      <c r="D1136" s="24" t="s">
        <v>127</v>
      </c>
      <c r="E1136" s="24" t="n">
        <v>360</v>
      </c>
      <c r="F1136" s="25" t="n">
        <v>21000</v>
      </c>
      <c r="G1136" s="24" t="s">
        <v>69</v>
      </c>
      <c r="H1136" s="24" t="s">
        <v>55</v>
      </c>
      <c r="I1136" s="24" t="s">
        <v>61</v>
      </c>
      <c r="J1136" s="26" t="n">
        <f aca="false">IF(A1136="","",YEAR(A1136))</f>
        <v>2025</v>
      </c>
      <c r="K1136" s="26" t="n">
        <f aca="false">IF(A1136="","",MONTH(A1136))</f>
        <v>11</v>
      </c>
      <c r="L1136" s="26" t="n">
        <f aca="false">IF(B1136="","",VALUE(LEFT(B1136,2)))</f>
        <v>13</v>
      </c>
      <c r="M1136" s="26" t="n">
        <f aca="false">IF(A1136="","",IF(COUNTIFS($C$2:$C$5001,C1136,$J$2:$J$5001,J1136,$A$2:$A$5001,"&lt;"&amp;A1136)=0,1,0))</f>
        <v>0</v>
      </c>
    </row>
    <row r="1137" customFormat="false" ht="15" hidden="false" customHeight="false" outlineLevel="0" collapsed="false">
      <c r="A1137" s="23" t="n">
        <v>45983.6180555556</v>
      </c>
      <c r="B1137" s="24" t="s">
        <v>479</v>
      </c>
      <c r="C1137" s="24" t="s">
        <v>78</v>
      </c>
      <c r="D1137" s="24" t="s">
        <v>66</v>
      </c>
      <c r="E1137" s="24" t="n">
        <v>239</v>
      </c>
      <c r="F1137" s="25" t="n">
        <v>8000</v>
      </c>
      <c r="G1137" s="24" t="s">
        <v>59</v>
      </c>
      <c r="H1137" s="24" t="s">
        <v>60</v>
      </c>
      <c r="I1137" s="24" t="s">
        <v>61</v>
      </c>
      <c r="J1137" s="26" t="n">
        <f aca="false">IF(A1137="","",YEAR(A1137))</f>
        <v>2025</v>
      </c>
      <c r="K1137" s="26" t="n">
        <f aca="false">IF(A1137="","",MONTH(A1137))</f>
        <v>11</v>
      </c>
      <c r="L1137" s="26" t="n">
        <f aca="false">IF(B1137="","",VALUE(LEFT(B1137,2)))</f>
        <v>10</v>
      </c>
      <c r="M1137" s="26" t="n">
        <f aca="false">IF(A1137="","",IF(COUNTIFS($C$2:$C$5001,C1137,$J$2:$J$5001,J1137,$A$2:$A$5001,"&lt;"&amp;A1137)=0,1,0))</f>
        <v>0</v>
      </c>
    </row>
    <row r="1138" customFormat="false" ht="15" hidden="false" customHeight="false" outlineLevel="0" collapsed="false">
      <c r="A1138" s="23" t="n">
        <v>45983.6451388889</v>
      </c>
      <c r="B1138" s="24" t="s">
        <v>784</v>
      </c>
      <c r="C1138" s="24" t="s">
        <v>475</v>
      </c>
      <c r="D1138" s="24" t="s">
        <v>72</v>
      </c>
      <c r="E1138" s="24" t="n">
        <v>339</v>
      </c>
      <c r="F1138" s="25" t="n">
        <v>24000</v>
      </c>
      <c r="G1138" s="24" t="s">
        <v>83</v>
      </c>
      <c r="H1138" s="24" t="s">
        <v>55</v>
      </c>
      <c r="I1138" s="24" t="s">
        <v>61</v>
      </c>
      <c r="J1138" s="26" t="n">
        <f aca="false">IF(A1138="","",YEAR(A1138))</f>
        <v>2025</v>
      </c>
      <c r="K1138" s="26" t="n">
        <f aca="false">IF(A1138="","",MONTH(A1138))</f>
        <v>11</v>
      </c>
      <c r="L1138" s="26" t="n">
        <f aca="false">IF(B1138="","",VALUE(LEFT(B1138,2)))</f>
        <v>9</v>
      </c>
      <c r="M1138" s="26" t="n">
        <f aca="false">IF(A1138="","",IF(COUNTIFS($C$2:$C$5001,C1138,$J$2:$J$5001,J1138,$A$2:$A$5001,"&lt;"&amp;A1138)=0,1,0))</f>
        <v>0</v>
      </c>
    </row>
    <row r="1139" customFormat="false" ht="15" hidden="false" customHeight="false" outlineLevel="0" collapsed="false">
      <c r="A1139" s="23" t="n">
        <v>45983.68125</v>
      </c>
      <c r="B1139" s="24" t="s">
        <v>632</v>
      </c>
      <c r="C1139" s="24" t="s">
        <v>742</v>
      </c>
      <c r="D1139" s="24" t="s">
        <v>66</v>
      </c>
      <c r="E1139" s="24" t="n">
        <v>125</v>
      </c>
      <c r="F1139" s="25" t="n">
        <v>5000</v>
      </c>
      <c r="G1139" s="24" t="s">
        <v>69</v>
      </c>
      <c r="H1139" s="24" t="s">
        <v>80</v>
      </c>
      <c r="I1139" s="24" t="s">
        <v>61</v>
      </c>
      <c r="J1139" s="26" t="n">
        <f aca="false">IF(A1139="","",YEAR(A1139))</f>
        <v>2025</v>
      </c>
      <c r="K1139" s="26" t="n">
        <f aca="false">IF(A1139="","",MONTH(A1139))</f>
        <v>11</v>
      </c>
      <c r="L1139" s="26" t="n">
        <f aca="false">IF(B1139="","",VALUE(LEFT(B1139,2)))</f>
        <v>14</v>
      </c>
      <c r="M1139" s="26" t="n">
        <f aca="false">IF(A1139="","",IF(COUNTIFS($C$2:$C$5001,C1139,$J$2:$J$5001,J1139,$A$2:$A$5001,"&lt;"&amp;A1139)=0,1,0))</f>
        <v>0</v>
      </c>
    </row>
    <row r="1140" customFormat="false" ht="15" hidden="false" customHeight="false" outlineLevel="0" collapsed="false">
      <c r="A1140" s="23" t="n">
        <v>45983.8513888889</v>
      </c>
      <c r="B1140" s="24" t="s">
        <v>851</v>
      </c>
      <c r="C1140" s="24" t="s">
        <v>156</v>
      </c>
      <c r="D1140" s="24" t="s">
        <v>66</v>
      </c>
      <c r="E1140" s="24" t="n">
        <v>286</v>
      </c>
      <c r="F1140" s="25" t="n">
        <v>10000</v>
      </c>
      <c r="G1140" s="24" t="s">
        <v>69</v>
      </c>
      <c r="H1140" s="24" t="s">
        <v>60</v>
      </c>
      <c r="I1140" s="24" t="s">
        <v>61</v>
      </c>
      <c r="J1140" s="26" t="n">
        <f aca="false">IF(A1140="","",YEAR(A1140))</f>
        <v>2025</v>
      </c>
      <c r="K1140" s="26" t="n">
        <f aca="false">IF(A1140="","",MONTH(A1140))</f>
        <v>11</v>
      </c>
      <c r="L1140" s="26" t="n">
        <f aca="false">IF(B1140="","",VALUE(LEFT(B1140,2)))</f>
        <v>15</v>
      </c>
      <c r="M1140" s="26" t="n">
        <f aca="false">IF(A1140="","",IF(COUNTIFS($C$2:$C$5001,C1140,$J$2:$J$5001,J1140,$A$2:$A$5001,"&lt;"&amp;A1140)=0,1,0))</f>
        <v>0</v>
      </c>
    </row>
    <row r="1141" customFormat="false" ht="15" hidden="false" customHeight="false" outlineLevel="0" collapsed="false">
      <c r="A1141" s="23" t="n">
        <v>45984.8034722222</v>
      </c>
      <c r="B1141" s="24" t="s">
        <v>720</v>
      </c>
      <c r="C1141" s="24" t="s">
        <v>197</v>
      </c>
      <c r="D1141" s="24" t="s">
        <v>53</v>
      </c>
      <c r="E1141" s="24" t="n">
        <v>297</v>
      </c>
      <c r="F1141" s="25" t="n">
        <v>0</v>
      </c>
      <c r="G1141" s="24" t="s">
        <v>69</v>
      </c>
      <c r="H1141" s="24" t="s">
        <v>60</v>
      </c>
      <c r="I1141" s="24" t="s">
        <v>56</v>
      </c>
      <c r="J1141" s="26" t="n">
        <f aca="false">IF(A1141="","",YEAR(A1141))</f>
        <v>2025</v>
      </c>
      <c r="K1141" s="26" t="n">
        <f aca="false">IF(A1141="","",MONTH(A1141))</f>
        <v>11</v>
      </c>
      <c r="L1141" s="26" t="n">
        <f aca="false">IF(B1141="","",VALUE(LEFT(B1141,2)))</f>
        <v>14</v>
      </c>
      <c r="M1141" s="26" t="n">
        <f aca="false">IF(A1141="","",IF(COUNTIFS($C$2:$C$5001,C1141,$J$2:$J$5001,J1141,$A$2:$A$5001,"&lt;"&amp;A1141)=0,1,0))</f>
        <v>0</v>
      </c>
    </row>
    <row r="1142" customFormat="false" ht="15" hidden="false" customHeight="false" outlineLevel="0" collapsed="false">
      <c r="A1142" s="23" t="n">
        <v>45984.84375</v>
      </c>
      <c r="B1142" s="24" t="s">
        <v>852</v>
      </c>
      <c r="C1142" s="24" t="s">
        <v>267</v>
      </c>
      <c r="D1142" s="24" t="s">
        <v>66</v>
      </c>
      <c r="E1142" s="24" t="n">
        <v>199</v>
      </c>
      <c r="F1142" s="25" t="n">
        <v>7000</v>
      </c>
      <c r="G1142" s="24" t="s">
        <v>59</v>
      </c>
      <c r="H1142" s="24" t="s">
        <v>55</v>
      </c>
      <c r="I1142" s="24" t="s">
        <v>61</v>
      </c>
      <c r="J1142" s="26" t="n">
        <f aca="false">IF(A1142="","",YEAR(A1142))</f>
        <v>2025</v>
      </c>
      <c r="K1142" s="26" t="n">
        <f aca="false">IF(A1142="","",MONTH(A1142))</f>
        <v>11</v>
      </c>
      <c r="L1142" s="26" t="n">
        <f aca="false">IF(B1142="","",VALUE(LEFT(B1142,2)))</f>
        <v>16</v>
      </c>
      <c r="M1142" s="26" t="n">
        <f aca="false">IF(A1142="","",IF(COUNTIFS($C$2:$C$5001,C1142,$J$2:$J$5001,J1142,$A$2:$A$5001,"&lt;"&amp;A1142)=0,1,0))</f>
        <v>0</v>
      </c>
    </row>
    <row r="1143" customFormat="false" ht="15" hidden="false" customHeight="false" outlineLevel="0" collapsed="false">
      <c r="A1143" s="23" t="n">
        <v>45984.9131944445</v>
      </c>
      <c r="B1143" s="24" t="s">
        <v>506</v>
      </c>
      <c r="C1143" s="24" t="s">
        <v>470</v>
      </c>
      <c r="D1143" s="24" t="s">
        <v>53</v>
      </c>
      <c r="E1143" s="24" t="n">
        <v>319</v>
      </c>
      <c r="F1143" s="25" t="n">
        <v>5500</v>
      </c>
      <c r="G1143" s="24" t="s">
        <v>59</v>
      </c>
      <c r="H1143" s="24" t="s">
        <v>55</v>
      </c>
      <c r="I1143" s="24" t="s">
        <v>61</v>
      </c>
      <c r="J1143" s="26" t="n">
        <f aca="false">IF(A1143="","",YEAR(A1143))</f>
        <v>2025</v>
      </c>
      <c r="K1143" s="26" t="n">
        <f aca="false">IF(A1143="","",MONTH(A1143))</f>
        <v>11</v>
      </c>
      <c r="L1143" s="26" t="n">
        <f aca="false">IF(B1143="","",VALUE(LEFT(B1143,2)))</f>
        <v>16</v>
      </c>
      <c r="M1143" s="26" t="n">
        <f aca="false">IF(A1143="","",IF(COUNTIFS($C$2:$C$5001,C1143,$J$2:$J$5001,J1143,$A$2:$A$5001,"&lt;"&amp;A1143)=0,1,0))</f>
        <v>0</v>
      </c>
    </row>
    <row r="1144" customFormat="false" ht="15" hidden="false" customHeight="false" outlineLevel="0" collapsed="false">
      <c r="A1144" s="23" t="n">
        <v>45985.4430555556</v>
      </c>
      <c r="B1144" s="24" t="s">
        <v>366</v>
      </c>
      <c r="C1144" s="24" t="s">
        <v>578</v>
      </c>
      <c r="D1144" s="24" t="s">
        <v>66</v>
      </c>
      <c r="E1144" s="24" t="n">
        <v>255</v>
      </c>
      <c r="F1144" s="25" t="n">
        <v>9000</v>
      </c>
      <c r="G1144" s="24" t="s">
        <v>69</v>
      </c>
      <c r="H1144" s="24" t="s">
        <v>55</v>
      </c>
      <c r="I1144" s="24" t="s">
        <v>61</v>
      </c>
      <c r="J1144" s="26" t="n">
        <f aca="false">IF(A1144="","",YEAR(A1144))</f>
        <v>2025</v>
      </c>
      <c r="K1144" s="26" t="n">
        <f aca="false">IF(A1144="","",MONTH(A1144))</f>
        <v>11</v>
      </c>
      <c r="L1144" s="26" t="n">
        <f aca="false">IF(B1144="","",VALUE(LEFT(B1144,2)))</f>
        <v>6</v>
      </c>
      <c r="M1144" s="26" t="n">
        <f aca="false">IF(A1144="","",IF(COUNTIFS($C$2:$C$5001,C1144,$J$2:$J$5001,J1144,$A$2:$A$5001,"&lt;"&amp;A1144)=0,1,0))</f>
        <v>0</v>
      </c>
    </row>
    <row r="1145" customFormat="false" ht="15" hidden="false" customHeight="false" outlineLevel="0" collapsed="false">
      <c r="A1145" s="23" t="n">
        <v>45985.5354166667</v>
      </c>
      <c r="B1145" s="24" t="s">
        <v>853</v>
      </c>
      <c r="C1145" s="24" t="s">
        <v>224</v>
      </c>
      <c r="D1145" s="24" t="s">
        <v>66</v>
      </c>
      <c r="E1145" s="24" t="n">
        <v>35</v>
      </c>
      <c r="F1145" s="25" t="n">
        <v>2000</v>
      </c>
      <c r="G1145" s="24" t="s">
        <v>59</v>
      </c>
      <c r="H1145" s="24" t="s">
        <v>55</v>
      </c>
      <c r="I1145" s="24" t="s">
        <v>61</v>
      </c>
      <c r="J1145" s="26" t="n">
        <f aca="false">IF(A1145="","",YEAR(A1145))</f>
        <v>2025</v>
      </c>
      <c r="K1145" s="26" t="n">
        <f aca="false">IF(A1145="","",MONTH(A1145))</f>
        <v>11</v>
      </c>
      <c r="L1145" s="26" t="n">
        <f aca="false">IF(B1145="","",VALUE(LEFT(B1145,2)))</f>
        <v>12</v>
      </c>
      <c r="M1145" s="26" t="n">
        <f aca="false">IF(A1145="","",IF(COUNTIFS($C$2:$C$5001,C1145,$J$2:$J$5001,J1145,$A$2:$A$5001,"&lt;"&amp;A1145)=0,1,0))</f>
        <v>0</v>
      </c>
    </row>
    <row r="1146" customFormat="false" ht="15" hidden="false" customHeight="false" outlineLevel="0" collapsed="false">
      <c r="A1146" s="23" t="n">
        <v>45985.6131944444</v>
      </c>
      <c r="B1146" s="24" t="s">
        <v>854</v>
      </c>
      <c r="C1146" s="24" t="s">
        <v>737</v>
      </c>
      <c r="D1146" s="24" t="s">
        <v>66</v>
      </c>
      <c r="E1146" s="24" t="n">
        <v>381</v>
      </c>
      <c r="F1146" s="25" t="n">
        <v>13000</v>
      </c>
      <c r="G1146" s="24" t="s">
        <v>59</v>
      </c>
      <c r="H1146" s="24" t="s">
        <v>80</v>
      </c>
      <c r="I1146" s="24" t="s">
        <v>61</v>
      </c>
      <c r="J1146" s="26" t="n">
        <f aca="false">IF(A1146="","",YEAR(A1146))</f>
        <v>2025</v>
      </c>
      <c r="K1146" s="26" t="n">
        <f aca="false">IF(A1146="","",MONTH(A1146))</f>
        <v>11</v>
      </c>
      <c r="L1146" s="26" t="n">
        <f aca="false">IF(B1146="","",VALUE(LEFT(B1146,2)))</f>
        <v>8</v>
      </c>
      <c r="M1146" s="26" t="n">
        <f aca="false">IF(A1146="","",IF(COUNTIFS($C$2:$C$5001,C1146,$J$2:$J$5001,J1146,$A$2:$A$5001,"&lt;"&amp;A1146)=0,1,0))</f>
        <v>0</v>
      </c>
    </row>
    <row r="1147" customFormat="false" ht="15" hidden="false" customHeight="false" outlineLevel="0" collapsed="false">
      <c r="A1147" s="23" t="n">
        <v>45985.8097222222</v>
      </c>
      <c r="B1147" s="24" t="s">
        <v>792</v>
      </c>
      <c r="C1147" s="24" t="s">
        <v>324</v>
      </c>
      <c r="D1147" s="24" t="s">
        <v>53</v>
      </c>
      <c r="E1147" s="24" t="n">
        <v>294</v>
      </c>
      <c r="F1147" s="25" t="n">
        <v>5000</v>
      </c>
      <c r="G1147" s="24" t="s">
        <v>83</v>
      </c>
      <c r="H1147" s="24" t="s">
        <v>60</v>
      </c>
      <c r="I1147" s="24" t="s">
        <v>61</v>
      </c>
      <c r="J1147" s="26" t="n">
        <f aca="false">IF(A1147="","",YEAR(A1147))</f>
        <v>2025</v>
      </c>
      <c r="K1147" s="26" t="n">
        <f aca="false">IF(A1147="","",MONTH(A1147))</f>
        <v>11</v>
      </c>
      <c r="L1147" s="26" t="n">
        <f aca="false">IF(B1147="","",VALUE(LEFT(B1147,2)))</f>
        <v>14</v>
      </c>
      <c r="M1147" s="26" t="n">
        <f aca="false">IF(A1147="","",IF(COUNTIFS($C$2:$C$5001,C1147,$J$2:$J$5001,J1147,$A$2:$A$5001,"&lt;"&amp;A1147)=0,1,0))</f>
        <v>0</v>
      </c>
    </row>
    <row r="1148" customFormat="false" ht="15" hidden="false" customHeight="false" outlineLevel="0" collapsed="false">
      <c r="A1148" s="23" t="n">
        <v>45986.5930555556</v>
      </c>
      <c r="B1148" s="24" t="s">
        <v>812</v>
      </c>
      <c r="C1148" s="24" t="s">
        <v>267</v>
      </c>
      <c r="D1148" s="24" t="s">
        <v>66</v>
      </c>
      <c r="E1148" s="24" t="n">
        <v>322</v>
      </c>
      <c r="F1148" s="25" t="n">
        <v>0</v>
      </c>
      <c r="G1148" s="24" t="s">
        <v>69</v>
      </c>
      <c r="H1148" s="24" t="s">
        <v>55</v>
      </c>
      <c r="I1148" s="24" t="s">
        <v>56</v>
      </c>
      <c r="J1148" s="26" t="n">
        <f aca="false">IF(A1148="","",YEAR(A1148))</f>
        <v>2025</v>
      </c>
      <c r="K1148" s="26" t="n">
        <f aca="false">IF(A1148="","",MONTH(A1148))</f>
        <v>11</v>
      </c>
      <c r="L1148" s="26" t="n">
        <f aca="false">IF(B1148="","",VALUE(LEFT(B1148,2)))</f>
        <v>8</v>
      </c>
      <c r="M1148" s="26" t="n">
        <f aca="false">IF(A1148="","",IF(COUNTIFS($C$2:$C$5001,C1148,$J$2:$J$5001,J1148,$A$2:$A$5001,"&lt;"&amp;A1148)=0,1,0))</f>
        <v>0</v>
      </c>
    </row>
    <row r="1149" customFormat="false" ht="15" hidden="false" customHeight="false" outlineLevel="0" collapsed="false">
      <c r="A1149" s="23" t="n">
        <v>45987.7048611111</v>
      </c>
      <c r="B1149" s="24" t="s">
        <v>255</v>
      </c>
      <c r="C1149" s="24" t="s">
        <v>112</v>
      </c>
      <c r="D1149" s="24" t="s">
        <v>66</v>
      </c>
      <c r="E1149" s="24" t="n">
        <v>379</v>
      </c>
      <c r="F1149" s="25" t="n">
        <v>13000</v>
      </c>
      <c r="G1149" s="24" t="s">
        <v>59</v>
      </c>
      <c r="H1149" s="24" t="s">
        <v>60</v>
      </c>
      <c r="I1149" s="24" t="s">
        <v>61</v>
      </c>
      <c r="J1149" s="26" t="n">
        <f aca="false">IF(A1149="","",YEAR(A1149))</f>
        <v>2025</v>
      </c>
      <c r="K1149" s="26" t="n">
        <f aca="false">IF(A1149="","",MONTH(A1149))</f>
        <v>11</v>
      </c>
      <c r="L1149" s="26" t="n">
        <f aca="false">IF(B1149="","",VALUE(LEFT(B1149,2)))</f>
        <v>10</v>
      </c>
      <c r="M1149" s="26" t="n">
        <f aca="false">IF(A1149="","",IF(COUNTIFS($C$2:$C$5001,C1149,$J$2:$J$5001,J1149,$A$2:$A$5001,"&lt;"&amp;A1149)=0,1,0))</f>
        <v>0</v>
      </c>
    </row>
    <row r="1150" customFormat="false" ht="15" hidden="false" customHeight="false" outlineLevel="0" collapsed="false">
      <c r="A1150" s="23" t="n">
        <v>45988.6548611111</v>
      </c>
      <c r="B1150" s="24" t="s">
        <v>135</v>
      </c>
      <c r="C1150" s="24" t="s">
        <v>436</v>
      </c>
      <c r="D1150" s="24" t="s">
        <v>66</v>
      </c>
      <c r="E1150" s="24" t="n">
        <v>259</v>
      </c>
      <c r="F1150" s="25" t="n">
        <v>9000</v>
      </c>
      <c r="G1150" s="24" t="s">
        <v>59</v>
      </c>
      <c r="H1150" s="24" t="s">
        <v>80</v>
      </c>
      <c r="I1150" s="24" t="s">
        <v>61</v>
      </c>
      <c r="J1150" s="26" t="n">
        <f aca="false">IF(A1150="","",YEAR(A1150))</f>
        <v>2025</v>
      </c>
      <c r="K1150" s="26" t="n">
        <f aca="false">IF(A1150="","",MONTH(A1150))</f>
        <v>11</v>
      </c>
      <c r="L1150" s="26" t="n">
        <f aca="false">IF(B1150="","",VALUE(LEFT(B1150,2)))</f>
        <v>11</v>
      </c>
      <c r="M1150" s="26" t="n">
        <f aca="false">IF(A1150="","",IF(COUNTIFS($C$2:$C$5001,C1150,$J$2:$J$5001,J1150,$A$2:$A$5001,"&lt;"&amp;A1150)=0,1,0))</f>
        <v>0</v>
      </c>
    </row>
    <row r="1151" customFormat="false" ht="15" hidden="false" customHeight="false" outlineLevel="0" collapsed="false">
      <c r="A1151" s="23" t="n">
        <v>45989.0479166667</v>
      </c>
      <c r="B1151" s="24" t="s">
        <v>621</v>
      </c>
      <c r="C1151" s="24" t="s">
        <v>314</v>
      </c>
      <c r="D1151" s="24" t="s">
        <v>88</v>
      </c>
      <c r="E1151" s="24" t="n">
        <v>346</v>
      </c>
      <c r="F1151" s="25" t="n">
        <v>18000</v>
      </c>
      <c r="G1151" s="24" t="s">
        <v>69</v>
      </c>
      <c r="H1151" s="24" t="s">
        <v>80</v>
      </c>
      <c r="I1151" s="24" t="s">
        <v>61</v>
      </c>
      <c r="J1151" s="26" t="n">
        <f aca="false">IF(A1151="","",YEAR(A1151))</f>
        <v>2025</v>
      </c>
      <c r="K1151" s="26" t="n">
        <f aca="false">IF(A1151="","",MONTH(A1151))</f>
        <v>11</v>
      </c>
      <c r="L1151" s="26" t="n">
        <f aca="false">IF(B1151="","",VALUE(LEFT(B1151,2)))</f>
        <v>19</v>
      </c>
      <c r="M1151" s="26" t="n">
        <f aca="false">IF(A1151="","",IF(COUNTIFS($C$2:$C$5001,C1151,$J$2:$J$5001,J1151,$A$2:$A$5001,"&lt;"&amp;A1151)=0,1,0))</f>
        <v>0</v>
      </c>
    </row>
    <row r="1152" customFormat="false" ht="15" hidden="false" customHeight="false" outlineLevel="0" collapsed="false">
      <c r="A1152" s="23" t="n">
        <v>45989.4048611111</v>
      </c>
      <c r="B1152" s="24" t="s">
        <v>624</v>
      </c>
      <c r="C1152" s="24" t="s">
        <v>467</v>
      </c>
      <c r="D1152" s="24" t="s">
        <v>66</v>
      </c>
      <c r="E1152" s="24" t="n">
        <v>71</v>
      </c>
      <c r="F1152" s="25" t="n">
        <v>3000</v>
      </c>
      <c r="G1152" s="24" t="s">
        <v>59</v>
      </c>
      <c r="H1152" s="24" t="s">
        <v>60</v>
      </c>
      <c r="I1152" s="24" t="s">
        <v>61</v>
      </c>
      <c r="J1152" s="26" t="n">
        <f aca="false">IF(A1152="","",YEAR(A1152))</f>
        <v>2025</v>
      </c>
      <c r="K1152" s="26" t="n">
        <f aca="false">IF(A1152="","",MONTH(A1152))</f>
        <v>11</v>
      </c>
      <c r="L1152" s="26" t="n">
        <f aca="false">IF(B1152="","",VALUE(LEFT(B1152,2)))</f>
        <v>8</v>
      </c>
      <c r="M1152" s="26" t="n">
        <f aca="false">IF(A1152="","",IF(COUNTIFS($C$2:$C$5001,C1152,$J$2:$J$5001,J1152,$A$2:$A$5001,"&lt;"&amp;A1152)=0,1,0))</f>
        <v>0</v>
      </c>
    </row>
    <row r="1153" customFormat="false" ht="15" hidden="false" customHeight="false" outlineLevel="0" collapsed="false">
      <c r="A1153" s="23" t="n">
        <v>45989.4729166667</v>
      </c>
      <c r="B1153" s="24" t="s">
        <v>855</v>
      </c>
      <c r="C1153" s="24" t="s">
        <v>235</v>
      </c>
      <c r="D1153" s="24" t="s">
        <v>53</v>
      </c>
      <c r="E1153" s="24" t="n">
        <v>152</v>
      </c>
      <c r="F1153" s="25" t="n">
        <v>3000</v>
      </c>
      <c r="G1153" s="24" t="s">
        <v>59</v>
      </c>
      <c r="H1153" s="24" t="s">
        <v>60</v>
      </c>
      <c r="I1153" s="24" t="s">
        <v>61</v>
      </c>
      <c r="J1153" s="26" t="n">
        <f aca="false">IF(A1153="","",YEAR(A1153))</f>
        <v>2025</v>
      </c>
      <c r="K1153" s="26" t="n">
        <f aca="false">IF(A1153="","",MONTH(A1153))</f>
        <v>11</v>
      </c>
      <c r="L1153" s="26" t="n">
        <f aca="false">IF(B1153="","",VALUE(LEFT(B1153,2)))</f>
        <v>8</v>
      </c>
      <c r="M1153" s="26" t="n">
        <f aca="false">IF(A1153="","",IF(COUNTIFS($C$2:$C$5001,C1153,$J$2:$J$5001,J1153,$A$2:$A$5001,"&lt;"&amp;A1153)=0,1,0))</f>
        <v>0</v>
      </c>
    </row>
    <row r="1154" customFormat="false" ht="15" hidden="false" customHeight="false" outlineLevel="0" collapsed="false">
      <c r="A1154" s="23" t="n">
        <v>45989.5486111111</v>
      </c>
      <c r="B1154" s="24" t="s">
        <v>176</v>
      </c>
      <c r="C1154" s="24" t="s">
        <v>120</v>
      </c>
      <c r="D1154" s="24" t="s">
        <v>66</v>
      </c>
      <c r="E1154" s="24" t="n">
        <v>27</v>
      </c>
      <c r="F1154" s="25" t="n">
        <v>1000</v>
      </c>
      <c r="G1154" s="24" t="s">
        <v>83</v>
      </c>
      <c r="H1154" s="24" t="s">
        <v>55</v>
      </c>
      <c r="I1154" s="24" t="s">
        <v>61</v>
      </c>
      <c r="J1154" s="26" t="n">
        <f aca="false">IF(A1154="","",YEAR(A1154))</f>
        <v>2025</v>
      </c>
      <c r="K1154" s="26" t="n">
        <f aca="false">IF(A1154="","",MONTH(A1154))</f>
        <v>11</v>
      </c>
      <c r="L1154" s="26" t="n">
        <f aca="false">IF(B1154="","",VALUE(LEFT(B1154,2)))</f>
        <v>12</v>
      </c>
      <c r="M1154" s="26" t="n">
        <f aca="false">IF(A1154="","",IF(COUNTIFS($C$2:$C$5001,C1154,$J$2:$J$5001,J1154,$A$2:$A$5001,"&lt;"&amp;A1154)=0,1,0))</f>
        <v>0</v>
      </c>
    </row>
    <row r="1155" customFormat="false" ht="15" hidden="false" customHeight="false" outlineLevel="0" collapsed="false">
      <c r="A1155" s="23" t="n">
        <v>45989.6034722222</v>
      </c>
      <c r="B1155" s="24" t="s">
        <v>762</v>
      </c>
      <c r="C1155" s="24" t="s">
        <v>339</v>
      </c>
      <c r="D1155" s="24" t="s">
        <v>66</v>
      </c>
      <c r="E1155" s="24" t="n">
        <v>273</v>
      </c>
      <c r="F1155" s="25" t="n">
        <v>10000</v>
      </c>
      <c r="G1155" s="24" t="s">
        <v>59</v>
      </c>
      <c r="H1155" s="24" t="s">
        <v>60</v>
      </c>
      <c r="I1155" s="24" t="s">
        <v>61</v>
      </c>
      <c r="J1155" s="26" t="n">
        <f aca="false">IF(A1155="","",YEAR(A1155))</f>
        <v>2025</v>
      </c>
      <c r="K1155" s="26" t="n">
        <f aca="false">IF(A1155="","",MONTH(A1155))</f>
        <v>11</v>
      </c>
      <c r="L1155" s="26" t="n">
        <f aca="false">IF(B1155="","",VALUE(LEFT(B1155,2)))</f>
        <v>9</v>
      </c>
      <c r="M1155" s="26" t="n">
        <f aca="false">IF(A1155="","",IF(COUNTIFS($C$2:$C$5001,C1155,$J$2:$J$5001,J1155,$A$2:$A$5001,"&lt;"&amp;A1155)=0,1,0))</f>
        <v>0</v>
      </c>
    </row>
    <row r="1156" customFormat="false" ht="15" hidden="false" customHeight="false" outlineLevel="0" collapsed="false">
      <c r="A1156" s="23" t="n">
        <v>45989.6506944444</v>
      </c>
      <c r="B1156" s="24" t="s">
        <v>390</v>
      </c>
      <c r="C1156" s="24" t="s">
        <v>430</v>
      </c>
      <c r="D1156" s="24" t="s">
        <v>53</v>
      </c>
      <c r="E1156" s="24" t="n">
        <v>84</v>
      </c>
      <c r="F1156" s="25" t="n">
        <v>1500</v>
      </c>
      <c r="G1156" s="24" t="s">
        <v>54</v>
      </c>
      <c r="H1156" s="24" t="s">
        <v>80</v>
      </c>
      <c r="I1156" s="24" t="s">
        <v>61</v>
      </c>
      <c r="J1156" s="26" t="n">
        <f aca="false">IF(A1156="","",YEAR(A1156))</f>
        <v>2025</v>
      </c>
      <c r="K1156" s="26" t="n">
        <f aca="false">IF(A1156="","",MONTH(A1156))</f>
        <v>11</v>
      </c>
      <c r="L1156" s="26" t="n">
        <f aca="false">IF(B1156="","",VALUE(LEFT(B1156,2)))</f>
        <v>14</v>
      </c>
      <c r="M1156" s="26" t="n">
        <f aca="false">IF(A1156="","",IF(COUNTIFS($C$2:$C$5001,C1156,$J$2:$J$5001,J1156,$A$2:$A$5001,"&lt;"&amp;A1156)=0,1,0))</f>
        <v>0</v>
      </c>
    </row>
    <row r="1157" customFormat="false" ht="15" hidden="false" customHeight="false" outlineLevel="0" collapsed="false">
      <c r="A1157" s="23" t="n">
        <v>45992.4125</v>
      </c>
      <c r="B1157" s="24" t="s">
        <v>489</v>
      </c>
      <c r="C1157" s="24" t="s">
        <v>116</v>
      </c>
      <c r="D1157" s="24" t="s">
        <v>66</v>
      </c>
      <c r="E1157" s="24" t="n">
        <v>149</v>
      </c>
      <c r="F1157" s="25" t="n">
        <v>5000</v>
      </c>
      <c r="G1157" s="24" t="s">
        <v>79</v>
      </c>
      <c r="H1157" s="24" t="s">
        <v>55</v>
      </c>
      <c r="I1157" s="24" t="s">
        <v>61</v>
      </c>
      <c r="J1157" s="26" t="n">
        <f aca="false">IF(A1157="","",YEAR(A1157))</f>
        <v>2025</v>
      </c>
      <c r="K1157" s="26" t="n">
        <f aca="false">IF(A1157="","",MONTH(A1157))</f>
        <v>12</v>
      </c>
      <c r="L1157" s="26" t="n">
        <f aca="false">IF(B1157="","",VALUE(LEFT(B1157,2)))</f>
        <v>7</v>
      </c>
      <c r="M1157" s="26" t="n">
        <f aca="false">IF(A1157="","",IF(COUNTIFS($C$2:$C$5001,C1157,$J$2:$J$5001,J1157,$A$2:$A$5001,"&lt;"&amp;A1157)=0,1,0))</f>
        <v>0</v>
      </c>
    </row>
    <row r="1158" customFormat="false" ht="15" hidden="false" customHeight="false" outlineLevel="0" collapsed="false">
      <c r="A1158" s="23" t="n">
        <v>45992.4194444444</v>
      </c>
      <c r="B1158" s="24" t="s">
        <v>856</v>
      </c>
      <c r="C1158" s="24" t="s">
        <v>467</v>
      </c>
      <c r="D1158" s="24" t="s">
        <v>66</v>
      </c>
      <c r="E1158" s="24" t="n">
        <v>145</v>
      </c>
      <c r="F1158" s="25" t="n">
        <v>5000</v>
      </c>
      <c r="G1158" s="24" t="s">
        <v>59</v>
      </c>
      <c r="H1158" s="24" t="s">
        <v>55</v>
      </c>
      <c r="I1158" s="24" t="s">
        <v>61</v>
      </c>
      <c r="J1158" s="26" t="n">
        <f aca="false">IF(A1158="","",YEAR(A1158))</f>
        <v>2025</v>
      </c>
      <c r="K1158" s="26" t="n">
        <f aca="false">IF(A1158="","",MONTH(A1158))</f>
        <v>12</v>
      </c>
      <c r="L1158" s="26" t="n">
        <f aca="false">IF(B1158="","",VALUE(LEFT(B1158,2)))</f>
        <v>7</v>
      </c>
      <c r="M1158" s="26" t="n">
        <f aca="false">IF(A1158="","",IF(COUNTIFS($C$2:$C$5001,C1158,$J$2:$J$5001,J1158,$A$2:$A$5001,"&lt;"&amp;A1158)=0,1,0))</f>
        <v>0</v>
      </c>
    </row>
    <row r="1159" customFormat="false" ht="15" hidden="false" customHeight="false" outlineLevel="0" collapsed="false">
      <c r="A1159" s="23" t="n">
        <v>45992.6770833333</v>
      </c>
      <c r="B1159" s="24" t="s">
        <v>857</v>
      </c>
      <c r="C1159" s="24" t="s">
        <v>625</v>
      </c>
      <c r="D1159" s="24" t="s">
        <v>72</v>
      </c>
      <c r="E1159" s="24" t="n">
        <v>231</v>
      </c>
      <c r="F1159" s="25" t="n">
        <v>16000</v>
      </c>
      <c r="G1159" s="24" t="s">
        <v>69</v>
      </c>
      <c r="H1159" s="24" t="s">
        <v>55</v>
      </c>
      <c r="I1159" s="24" t="s">
        <v>61</v>
      </c>
      <c r="J1159" s="26" t="n">
        <f aca="false">IF(A1159="","",YEAR(A1159))</f>
        <v>2025</v>
      </c>
      <c r="K1159" s="26" t="n">
        <f aca="false">IF(A1159="","",MONTH(A1159))</f>
        <v>12</v>
      </c>
      <c r="L1159" s="26" t="n">
        <f aca="false">IF(B1159="","",VALUE(LEFT(B1159,2)))</f>
        <v>12</v>
      </c>
      <c r="M1159" s="26" t="n">
        <f aca="false">IF(A1159="","",IF(COUNTIFS($C$2:$C$5001,C1159,$J$2:$J$5001,J1159,$A$2:$A$5001,"&lt;"&amp;A1159)=0,1,0))</f>
        <v>0</v>
      </c>
    </row>
    <row r="1160" customFormat="false" ht="15" hidden="false" customHeight="false" outlineLevel="0" collapsed="false">
      <c r="A1160" s="23" t="n">
        <v>45992.7340277778</v>
      </c>
      <c r="B1160" s="24" t="s">
        <v>591</v>
      </c>
      <c r="C1160" s="24" t="s">
        <v>172</v>
      </c>
      <c r="D1160" s="24" t="s">
        <v>88</v>
      </c>
      <c r="E1160" s="24" t="n">
        <v>268</v>
      </c>
      <c r="F1160" s="25" t="n">
        <v>13500</v>
      </c>
      <c r="G1160" s="24" t="s">
        <v>59</v>
      </c>
      <c r="H1160" s="24" t="s">
        <v>80</v>
      </c>
      <c r="I1160" s="24" t="s">
        <v>61</v>
      </c>
      <c r="J1160" s="26" t="n">
        <f aca="false">IF(A1160="","",YEAR(A1160))</f>
        <v>2025</v>
      </c>
      <c r="K1160" s="26" t="n">
        <f aca="false">IF(A1160="","",MONTH(A1160))</f>
        <v>12</v>
      </c>
      <c r="L1160" s="26" t="n">
        <f aca="false">IF(B1160="","",VALUE(LEFT(B1160,2)))</f>
        <v>13</v>
      </c>
      <c r="M1160" s="26" t="n">
        <f aca="false">IF(A1160="","",IF(COUNTIFS($C$2:$C$5001,C1160,$J$2:$J$5001,J1160,$A$2:$A$5001,"&lt;"&amp;A1160)=0,1,0))</f>
        <v>0</v>
      </c>
    </row>
    <row r="1161" customFormat="false" ht="15" hidden="false" customHeight="false" outlineLevel="0" collapsed="false">
      <c r="A1161" s="23" t="n">
        <v>45992.7673611111</v>
      </c>
      <c r="B1161" s="24" t="s">
        <v>165</v>
      </c>
      <c r="C1161" s="24" t="s">
        <v>430</v>
      </c>
      <c r="D1161" s="24" t="s">
        <v>53</v>
      </c>
      <c r="E1161" s="24" t="n">
        <v>398</v>
      </c>
      <c r="F1161" s="25" t="n">
        <v>7000</v>
      </c>
      <c r="G1161" s="24" t="s">
        <v>59</v>
      </c>
      <c r="H1161" s="24" t="s">
        <v>80</v>
      </c>
      <c r="I1161" s="24" t="s">
        <v>61</v>
      </c>
      <c r="J1161" s="26" t="n">
        <f aca="false">IF(A1161="","",YEAR(A1161))</f>
        <v>2025</v>
      </c>
      <c r="K1161" s="26" t="n">
        <f aca="false">IF(A1161="","",MONTH(A1161))</f>
        <v>12</v>
      </c>
      <c r="L1161" s="26" t="n">
        <f aca="false">IF(B1161="","",VALUE(LEFT(B1161,2)))</f>
        <v>11</v>
      </c>
      <c r="M1161" s="26" t="n">
        <f aca="false">IF(A1161="","",IF(COUNTIFS($C$2:$C$5001,C1161,$J$2:$J$5001,J1161,$A$2:$A$5001,"&lt;"&amp;A1161)=0,1,0))</f>
        <v>0</v>
      </c>
    </row>
    <row r="1162" customFormat="false" ht="15" hidden="false" customHeight="false" outlineLevel="0" collapsed="false">
      <c r="A1162" s="23" t="n">
        <v>45992.8951388889</v>
      </c>
      <c r="B1162" s="24" t="s">
        <v>121</v>
      </c>
      <c r="C1162" s="24" t="s">
        <v>152</v>
      </c>
      <c r="D1162" s="24" t="s">
        <v>66</v>
      </c>
      <c r="E1162" s="24" t="n">
        <v>200</v>
      </c>
      <c r="F1162" s="25" t="n">
        <v>0</v>
      </c>
      <c r="G1162" s="24" t="s">
        <v>59</v>
      </c>
      <c r="H1162" s="24" t="s">
        <v>60</v>
      </c>
      <c r="I1162" s="24" t="s">
        <v>56</v>
      </c>
      <c r="J1162" s="26" t="n">
        <f aca="false">IF(A1162="","",YEAR(A1162))</f>
        <v>2025</v>
      </c>
      <c r="K1162" s="26" t="n">
        <f aca="false">IF(A1162="","",MONTH(A1162))</f>
        <v>12</v>
      </c>
      <c r="L1162" s="26" t="n">
        <f aca="false">IF(B1162="","",VALUE(LEFT(B1162,2)))</f>
        <v>18</v>
      </c>
      <c r="M1162" s="26" t="n">
        <f aca="false">IF(A1162="","",IF(COUNTIFS($C$2:$C$5001,C1162,$J$2:$J$5001,J1162,$A$2:$A$5001,"&lt;"&amp;A1162)=0,1,0))</f>
        <v>0</v>
      </c>
    </row>
    <row r="1163" customFormat="false" ht="15" hidden="false" customHeight="false" outlineLevel="0" collapsed="false">
      <c r="A1163" s="23" t="n">
        <v>45992.9944444444</v>
      </c>
      <c r="B1163" s="24" t="s">
        <v>814</v>
      </c>
      <c r="C1163" s="24" t="s">
        <v>177</v>
      </c>
      <c r="D1163" s="24" t="s">
        <v>53</v>
      </c>
      <c r="E1163" s="24" t="n">
        <v>324</v>
      </c>
      <c r="F1163" s="25" t="n">
        <v>5500</v>
      </c>
      <c r="G1163" s="24" t="s">
        <v>59</v>
      </c>
      <c r="H1163" s="24" t="s">
        <v>80</v>
      </c>
      <c r="I1163" s="24" t="s">
        <v>61</v>
      </c>
      <c r="J1163" s="26" t="n">
        <f aca="false">IF(A1163="","",YEAR(A1163))</f>
        <v>2025</v>
      </c>
      <c r="K1163" s="26" t="n">
        <f aca="false">IF(A1163="","",MONTH(A1163))</f>
        <v>12</v>
      </c>
      <c r="L1163" s="26" t="n">
        <f aca="false">IF(B1163="","",VALUE(LEFT(B1163,2)))</f>
        <v>18</v>
      </c>
      <c r="M1163" s="26" t="n">
        <f aca="false">IF(A1163="","",IF(COUNTIFS($C$2:$C$5001,C1163,$J$2:$J$5001,J1163,$A$2:$A$5001,"&lt;"&amp;A1163)=0,1,0))</f>
        <v>0</v>
      </c>
    </row>
    <row r="1164" customFormat="false" ht="15" hidden="false" customHeight="false" outlineLevel="0" collapsed="false">
      <c r="A1164" s="23" t="n">
        <v>45993.33125</v>
      </c>
      <c r="B1164" s="24" t="s">
        <v>730</v>
      </c>
      <c r="C1164" s="24" t="s">
        <v>179</v>
      </c>
      <c r="D1164" s="24" t="s">
        <v>66</v>
      </c>
      <c r="E1164" s="24" t="n">
        <v>75</v>
      </c>
      <c r="F1164" s="25" t="n">
        <v>0</v>
      </c>
      <c r="G1164" s="24" t="s">
        <v>59</v>
      </c>
      <c r="H1164" s="24" t="s">
        <v>55</v>
      </c>
      <c r="I1164" s="24" t="s">
        <v>56</v>
      </c>
      <c r="J1164" s="26" t="n">
        <f aca="false">IF(A1164="","",YEAR(A1164))</f>
        <v>2025</v>
      </c>
      <c r="K1164" s="26" t="n">
        <f aca="false">IF(A1164="","",MONTH(A1164))</f>
        <v>12</v>
      </c>
      <c r="L1164" s="26" t="n">
        <f aca="false">IF(B1164="","",VALUE(LEFT(B1164,2)))</f>
        <v>6</v>
      </c>
      <c r="M1164" s="26" t="n">
        <f aca="false">IF(A1164="","",IF(COUNTIFS($C$2:$C$5001,C1164,$J$2:$J$5001,J1164,$A$2:$A$5001,"&lt;"&amp;A1164)=0,1,0))</f>
        <v>0</v>
      </c>
    </row>
    <row r="1165" customFormat="false" ht="15" hidden="false" customHeight="false" outlineLevel="0" collapsed="false">
      <c r="A1165" s="23" t="n">
        <v>45993.6902777778</v>
      </c>
      <c r="B1165" s="24" t="s">
        <v>858</v>
      </c>
      <c r="C1165" s="24" t="s">
        <v>243</v>
      </c>
      <c r="D1165" s="24" t="s">
        <v>127</v>
      </c>
      <c r="E1165" s="24" t="n">
        <v>251</v>
      </c>
      <c r="F1165" s="25" t="n">
        <v>15750</v>
      </c>
      <c r="G1165" s="24" t="s">
        <v>54</v>
      </c>
      <c r="H1165" s="24" t="s">
        <v>60</v>
      </c>
      <c r="I1165" s="24" t="s">
        <v>61</v>
      </c>
      <c r="J1165" s="26" t="n">
        <f aca="false">IF(A1165="","",YEAR(A1165))</f>
        <v>2025</v>
      </c>
      <c r="K1165" s="26" t="n">
        <f aca="false">IF(A1165="","",MONTH(A1165))</f>
        <v>12</v>
      </c>
      <c r="L1165" s="26" t="n">
        <f aca="false">IF(B1165="","",VALUE(LEFT(B1165,2)))</f>
        <v>12</v>
      </c>
      <c r="M1165" s="26" t="n">
        <f aca="false">IF(A1165="","",IF(COUNTIFS($C$2:$C$5001,C1165,$J$2:$J$5001,J1165,$A$2:$A$5001,"&lt;"&amp;A1165)=0,1,0))</f>
        <v>0</v>
      </c>
    </row>
    <row r="1166" customFormat="false" ht="15" hidden="false" customHeight="false" outlineLevel="0" collapsed="false">
      <c r="A1166" s="23" t="n">
        <v>45993.6944444445</v>
      </c>
      <c r="B1166" s="24" t="s">
        <v>813</v>
      </c>
      <c r="C1166" s="24" t="s">
        <v>290</v>
      </c>
      <c r="D1166" s="24" t="s">
        <v>66</v>
      </c>
      <c r="E1166" s="24" t="n">
        <v>270</v>
      </c>
      <c r="F1166" s="25" t="n">
        <v>9000</v>
      </c>
      <c r="G1166" s="24" t="s">
        <v>59</v>
      </c>
      <c r="H1166" s="24" t="s">
        <v>80</v>
      </c>
      <c r="I1166" s="24" t="s">
        <v>61</v>
      </c>
      <c r="J1166" s="26" t="n">
        <f aca="false">IF(A1166="","",YEAR(A1166))</f>
        <v>2025</v>
      </c>
      <c r="K1166" s="26" t="n">
        <f aca="false">IF(A1166="","",MONTH(A1166))</f>
        <v>12</v>
      </c>
      <c r="L1166" s="26" t="n">
        <f aca="false">IF(B1166="","",VALUE(LEFT(B1166,2)))</f>
        <v>12</v>
      </c>
      <c r="M1166" s="26" t="n">
        <f aca="false">IF(A1166="","",IF(COUNTIFS($C$2:$C$5001,C1166,$J$2:$J$5001,J1166,$A$2:$A$5001,"&lt;"&amp;A1166)=0,1,0))</f>
        <v>0</v>
      </c>
    </row>
    <row r="1167" customFormat="false" ht="15" hidden="false" customHeight="false" outlineLevel="0" collapsed="false">
      <c r="A1167" s="23" t="n">
        <v>45993.7965277778</v>
      </c>
      <c r="B1167" s="24" t="s">
        <v>509</v>
      </c>
      <c r="C1167" s="24" t="s">
        <v>179</v>
      </c>
      <c r="D1167" s="24" t="s">
        <v>53</v>
      </c>
      <c r="E1167" s="24" t="n">
        <v>344</v>
      </c>
      <c r="F1167" s="25" t="n">
        <v>6000</v>
      </c>
      <c r="G1167" s="24" t="s">
        <v>79</v>
      </c>
      <c r="H1167" s="24" t="s">
        <v>80</v>
      </c>
      <c r="I1167" s="24" t="s">
        <v>61</v>
      </c>
      <c r="J1167" s="26" t="n">
        <f aca="false">IF(A1167="","",YEAR(A1167))</f>
        <v>2025</v>
      </c>
      <c r="K1167" s="26" t="n">
        <f aca="false">IF(A1167="","",MONTH(A1167))</f>
        <v>12</v>
      </c>
      <c r="L1167" s="26" t="n">
        <f aca="false">IF(B1167="","",VALUE(LEFT(B1167,2)))</f>
        <v>13</v>
      </c>
      <c r="M1167" s="26" t="n">
        <f aca="false">IF(A1167="","",IF(COUNTIFS($C$2:$C$5001,C1167,$J$2:$J$5001,J1167,$A$2:$A$5001,"&lt;"&amp;A1167)=0,1,0))</f>
        <v>0</v>
      </c>
    </row>
    <row r="1168" customFormat="false" ht="15" hidden="false" customHeight="false" outlineLevel="0" collapsed="false">
      <c r="A1168" s="23" t="n">
        <v>45993.8597222222</v>
      </c>
      <c r="B1168" s="24" t="s">
        <v>826</v>
      </c>
      <c r="C1168" s="24" t="s">
        <v>203</v>
      </c>
      <c r="D1168" s="24" t="s">
        <v>66</v>
      </c>
      <c r="E1168" s="24" t="n">
        <v>95</v>
      </c>
      <c r="F1168" s="25" t="n">
        <v>4000</v>
      </c>
      <c r="G1168" s="24" t="s">
        <v>69</v>
      </c>
      <c r="H1168" s="24" t="s">
        <v>60</v>
      </c>
      <c r="I1168" s="24" t="s">
        <v>61</v>
      </c>
      <c r="J1168" s="26" t="n">
        <f aca="false">IF(A1168="","",YEAR(A1168))</f>
        <v>2025</v>
      </c>
      <c r="K1168" s="26" t="n">
        <f aca="false">IF(A1168="","",MONTH(A1168))</f>
        <v>12</v>
      </c>
      <c r="L1168" s="26" t="n">
        <f aca="false">IF(B1168="","",VALUE(LEFT(B1168,2)))</f>
        <v>19</v>
      </c>
      <c r="M1168" s="26" t="n">
        <f aca="false">IF(A1168="","",IF(COUNTIFS($C$2:$C$5001,C1168,$J$2:$J$5001,J1168,$A$2:$A$5001,"&lt;"&amp;A1168)=0,1,0))</f>
        <v>0</v>
      </c>
    </row>
    <row r="1169" customFormat="false" ht="15" hidden="false" customHeight="false" outlineLevel="0" collapsed="false">
      <c r="A1169" s="23" t="n">
        <v>45993.8743055556</v>
      </c>
      <c r="B1169" s="24" t="s">
        <v>412</v>
      </c>
      <c r="C1169" s="24" t="s">
        <v>92</v>
      </c>
      <c r="D1169" s="24" t="s">
        <v>66</v>
      </c>
      <c r="E1169" s="24" t="n">
        <v>105</v>
      </c>
      <c r="F1169" s="25" t="n">
        <v>4000</v>
      </c>
      <c r="G1169" s="24" t="s">
        <v>59</v>
      </c>
      <c r="H1169" s="24" t="s">
        <v>60</v>
      </c>
      <c r="I1169" s="24" t="s">
        <v>61</v>
      </c>
      <c r="J1169" s="26" t="n">
        <f aca="false">IF(A1169="","",YEAR(A1169))</f>
        <v>2025</v>
      </c>
      <c r="K1169" s="26" t="n">
        <f aca="false">IF(A1169="","",MONTH(A1169))</f>
        <v>12</v>
      </c>
      <c r="L1169" s="26" t="n">
        <f aca="false">IF(B1169="","",VALUE(LEFT(B1169,2)))</f>
        <v>19</v>
      </c>
      <c r="M1169" s="26" t="n">
        <f aca="false">IF(A1169="","",IF(COUNTIFS($C$2:$C$5001,C1169,$J$2:$J$5001,J1169,$A$2:$A$5001,"&lt;"&amp;A1169)=0,1,0))</f>
        <v>0</v>
      </c>
    </row>
    <row r="1170" customFormat="false" ht="15" hidden="false" customHeight="false" outlineLevel="0" collapsed="false">
      <c r="A1170" s="23" t="n">
        <v>45993.9798611111</v>
      </c>
      <c r="B1170" s="24" t="s">
        <v>557</v>
      </c>
      <c r="C1170" s="24" t="s">
        <v>339</v>
      </c>
      <c r="D1170" s="24" t="s">
        <v>53</v>
      </c>
      <c r="E1170" s="24" t="n">
        <v>241</v>
      </c>
      <c r="F1170" s="25" t="n">
        <v>4500</v>
      </c>
      <c r="G1170" s="24" t="s">
        <v>79</v>
      </c>
      <c r="H1170" s="24" t="s">
        <v>80</v>
      </c>
      <c r="I1170" s="24" t="s">
        <v>61</v>
      </c>
      <c r="J1170" s="26" t="n">
        <f aca="false">IF(A1170="","",YEAR(A1170))</f>
        <v>2025</v>
      </c>
      <c r="K1170" s="26" t="n">
        <f aca="false">IF(A1170="","",MONTH(A1170))</f>
        <v>12</v>
      </c>
      <c r="L1170" s="26" t="n">
        <f aca="false">IF(B1170="","",VALUE(LEFT(B1170,2)))</f>
        <v>19</v>
      </c>
      <c r="M1170" s="26" t="n">
        <f aca="false">IF(A1170="","",IF(COUNTIFS($C$2:$C$5001,C1170,$J$2:$J$5001,J1170,$A$2:$A$5001,"&lt;"&amp;A1170)=0,1,0))</f>
        <v>0</v>
      </c>
    </row>
    <row r="1171" customFormat="false" ht="15" hidden="false" customHeight="false" outlineLevel="0" collapsed="false">
      <c r="A1171" s="23" t="n">
        <v>45994.48125</v>
      </c>
      <c r="B1171" s="24" t="s">
        <v>859</v>
      </c>
      <c r="C1171" s="24" t="s">
        <v>129</v>
      </c>
      <c r="D1171" s="24" t="s">
        <v>72</v>
      </c>
      <c r="E1171" s="24" t="n">
        <v>257</v>
      </c>
      <c r="F1171" s="25" t="n">
        <v>18000</v>
      </c>
      <c r="G1171" s="24" t="s">
        <v>69</v>
      </c>
      <c r="H1171" s="24" t="s">
        <v>60</v>
      </c>
      <c r="I1171" s="24" t="s">
        <v>61</v>
      </c>
      <c r="J1171" s="26" t="n">
        <f aca="false">IF(A1171="","",YEAR(A1171))</f>
        <v>2025</v>
      </c>
      <c r="K1171" s="26" t="n">
        <f aca="false">IF(A1171="","",MONTH(A1171))</f>
        <v>12</v>
      </c>
      <c r="L1171" s="26" t="n">
        <f aca="false">IF(B1171="","",VALUE(LEFT(B1171,2)))</f>
        <v>7</v>
      </c>
      <c r="M1171" s="26" t="n">
        <f aca="false">IF(A1171="","",IF(COUNTIFS($C$2:$C$5001,C1171,$J$2:$J$5001,J1171,$A$2:$A$5001,"&lt;"&amp;A1171)=0,1,0))</f>
        <v>0</v>
      </c>
    </row>
    <row r="1172" customFormat="false" ht="15" hidden="false" customHeight="false" outlineLevel="0" collapsed="false">
      <c r="A1172" s="23" t="n">
        <v>45994.5076388889</v>
      </c>
      <c r="B1172" s="24" t="s">
        <v>125</v>
      </c>
      <c r="C1172" s="24" t="s">
        <v>182</v>
      </c>
      <c r="D1172" s="24" t="s">
        <v>72</v>
      </c>
      <c r="E1172" s="24" t="n">
        <v>198</v>
      </c>
      <c r="F1172" s="25" t="n">
        <v>14000</v>
      </c>
      <c r="G1172" s="24" t="s">
        <v>59</v>
      </c>
      <c r="H1172" s="24" t="s">
        <v>55</v>
      </c>
      <c r="I1172" s="24" t="s">
        <v>61</v>
      </c>
      <c r="J1172" s="26" t="n">
        <f aca="false">IF(A1172="","",YEAR(A1172))</f>
        <v>2025</v>
      </c>
      <c r="K1172" s="26" t="n">
        <f aca="false">IF(A1172="","",MONTH(A1172))</f>
        <v>12</v>
      </c>
      <c r="L1172" s="26" t="n">
        <f aca="false">IF(B1172="","",VALUE(LEFT(B1172,2)))</f>
        <v>8</v>
      </c>
      <c r="M1172" s="26" t="n">
        <f aca="false">IF(A1172="","",IF(COUNTIFS($C$2:$C$5001,C1172,$J$2:$J$5001,J1172,$A$2:$A$5001,"&lt;"&amp;A1172)=0,1,0))</f>
        <v>0</v>
      </c>
    </row>
    <row r="1173" customFormat="false" ht="15" hidden="false" customHeight="false" outlineLevel="0" collapsed="false">
      <c r="A1173" s="23" t="n">
        <v>45994.5368055556</v>
      </c>
      <c r="B1173" s="24" t="s">
        <v>627</v>
      </c>
      <c r="C1173" s="24" t="s">
        <v>289</v>
      </c>
      <c r="D1173" s="24" t="s">
        <v>66</v>
      </c>
      <c r="E1173" s="24" t="n">
        <v>298</v>
      </c>
      <c r="F1173" s="25" t="n">
        <v>0</v>
      </c>
      <c r="G1173" s="24" t="s">
        <v>69</v>
      </c>
      <c r="H1173" s="24" t="s">
        <v>60</v>
      </c>
      <c r="I1173" s="24" t="s">
        <v>56</v>
      </c>
      <c r="J1173" s="26" t="n">
        <f aca="false">IF(A1173="","",YEAR(A1173))</f>
        <v>2025</v>
      </c>
      <c r="K1173" s="26" t="n">
        <f aca="false">IF(A1173="","",MONTH(A1173))</f>
        <v>12</v>
      </c>
      <c r="L1173" s="26" t="n">
        <f aca="false">IF(B1173="","",VALUE(LEFT(B1173,2)))</f>
        <v>7</v>
      </c>
      <c r="M1173" s="26" t="n">
        <f aca="false">IF(A1173="","",IF(COUNTIFS($C$2:$C$5001,C1173,$J$2:$J$5001,J1173,$A$2:$A$5001,"&lt;"&amp;A1173)=0,1,0))</f>
        <v>0</v>
      </c>
    </row>
    <row r="1174" customFormat="false" ht="15" hidden="false" customHeight="false" outlineLevel="0" collapsed="false">
      <c r="A1174" s="23" t="n">
        <v>45994.5756944444</v>
      </c>
      <c r="B1174" s="24" t="s">
        <v>175</v>
      </c>
      <c r="C1174" s="24" t="s">
        <v>552</v>
      </c>
      <c r="D1174" s="24" t="s">
        <v>66</v>
      </c>
      <c r="E1174" s="24" t="n">
        <v>351</v>
      </c>
      <c r="F1174" s="25" t="n">
        <v>12000</v>
      </c>
      <c r="G1174" s="24" t="s">
        <v>59</v>
      </c>
      <c r="H1174" s="24" t="s">
        <v>60</v>
      </c>
      <c r="I1174" s="24" t="s">
        <v>61</v>
      </c>
      <c r="J1174" s="26" t="n">
        <f aca="false">IF(A1174="","",YEAR(A1174))</f>
        <v>2025</v>
      </c>
      <c r="K1174" s="26" t="n">
        <f aca="false">IF(A1174="","",MONTH(A1174))</f>
        <v>12</v>
      </c>
      <c r="L1174" s="26" t="n">
        <f aca="false">IF(B1174="","",VALUE(LEFT(B1174,2)))</f>
        <v>7</v>
      </c>
      <c r="M1174" s="26" t="n">
        <f aca="false">IF(A1174="","",IF(COUNTIFS($C$2:$C$5001,C1174,$J$2:$J$5001,J1174,$A$2:$A$5001,"&lt;"&amp;A1174)=0,1,0))</f>
        <v>0</v>
      </c>
    </row>
    <row r="1175" customFormat="false" ht="15" hidden="false" customHeight="false" outlineLevel="0" collapsed="false">
      <c r="A1175" s="23" t="n">
        <v>45994.7625</v>
      </c>
      <c r="B1175" s="24" t="s">
        <v>731</v>
      </c>
      <c r="C1175" s="24" t="s">
        <v>470</v>
      </c>
      <c r="D1175" s="24" t="s">
        <v>66</v>
      </c>
      <c r="E1175" s="24" t="n">
        <v>184</v>
      </c>
      <c r="F1175" s="25" t="n">
        <v>7000</v>
      </c>
      <c r="G1175" s="24" t="s">
        <v>59</v>
      </c>
      <c r="H1175" s="24" t="s">
        <v>60</v>
      </c>
      <c r="I1175" s="24" t="s">
        <v>61</v>
      </c>
      <c r="J1175" s="26" t="n">
        <f aca="false">IF(A1175="","",YEAR(A1175))</f>
        <v>2025</v>
      </c>
      <c r="K1175" s="26" t="n">
        <f aca="false">IF(A1175="","",MONTH(A1175))</f>
        <v>12</v>
      </c>
      <c r="L1175" s="26" t="n">
        <f aca="false">IF(B1175="","",VALUE(LEFT(B1175,2)))</f>
        <v>15</v>
      </c>
      <c r="M1175" s="26" t="n">
        <f aca="false">IF(A1175="","",IF(COUNTIFS($C$2:$C$5001,C1175,$J$2:$J$5001,J1175,$A$2:$A$5001,"&lt;"&amp;A1175)=0,1,0))</f>
        <v>0</v>
      </c>
    </row>
    <row r="1176" customFormat="false" ht="15" hidden="false" customHeight="false" outlineLevel="0" collapsed="false">
      <c r="A1176" s="23" t="n">
        <v>45994.7791666667</v>
      </c>
      <c r="B1176" s="24" t="s">
        <v>851</v>
      </c>
      <c r="C1176" s="24" t="s">
        <v>860</v>
      </c>
      <c r="D1176" s="24" t="s">
        <v>66</v>
      </c>
      <c r="E1176" s="24" t="n">
        <v>182</v>
      </c>
      <c r="F1176" s="25" t="n">
        <v>5950</v>
      </c>
      <c r="G1176" s="24" t="s">
        <v>69</v>
      </c>
      <c r="H1176" s="24" t="s">
        <v>80</v>
      </c>
      <c r="I1176" s="24" t="s">
        <v>113</v>
      </c>
      <c r="J1176" s="26" t="n">
        <f aca="false">IF(A1176="","",YEAR(A1176))</f>
        <v>2025</v>
      </c>
      <c r="K1176" s="26" t="n">
        <f aca="false">IF(A1176="","",MONTH(A1176))</f>
        <v>12</v>
      </c>
      <c r="L1176" s="26" t="n">
        <f aca="false">IF(B1176="","",VALUE(LEFT(B1176,2)))</f>
        <v>15</v>
      </c>
      <c r="M1176" s="26" t="n">
        <f aca="false">IF(A1176="","",IF(COUNTIFS($C$2:$C$5001,C1176,$J$2:$J$5001,J1176,$A$2:$A$5001,"&lt;"&amp;A1176)=0,1,0))</f>
        <v>1</v>
      </c>
    </row>
    <row r="1177" customFormat="false" ht="15" hidden="false" customHeight="false" outlineLevel="0" collapsed="false">
      <c r="A1177" s="23" t="n">
        <v>45994.8381944444</v>
      </c>
      <c r="B1177" s="24" t="s">
        <v>709</v>
      </c>
      <c r="C1177" s="24" t="s">
        <v>145</v>
      </c>
      <c r="D1177" s="24" t="s">
        <v>88</v>
      </c>
      <c r="E1177" s="24" t="n">
        <v>113</v>
      </c>
      <c r="F1177" s="25" t="n">
        <v>6000</v>
      </c>
      <c r="G1177" s="24" t="s">
        <v>59</v>
      </c>
      <c r="H1177" s="24" t="s">
        <v>80</v>
      </c>
      <c r="I1177" s="24" t="s">
        <v>61</v>
      </c>
      <c r="J1177" s="26" t="n">
        <f aca="false">IF(A1177="","",YEAR(A1177))</f>
        <v>2025</v>
      </c>
      <c r="K1177" s="26" t="n">
        <f aca="false">IF(A1177="","",MONTH(A1177))</f>
        <v>12</v>
      </c>
      <c r="L1177" s="26" t="n">
        <f aca="false">IF(B1177="","",VALUE(LEFT(B1177,2)))</f>
        <v>18</v>
      </c>
      <c r="M1177" s="26" t="n">
        <f aca="false">IF(A1177="","",IF(COUNTIFS($C$2:$C$5001,C1177,$J$2:$J$5001,J1177,$A$2:$A$5001,"&lt;"&amp;A1177)=0,1,0))</f>
        <v>0</v>
      </c>
    </row>
    <row r="1178" customFormat="false" ht="15" hidden="false" customHeight="false" outlineLevel="0" collapsed="false">
      <c r="A1178" s="23" t="n">
        <v>45995.4020833333</v>
      </c>
      <c r="B1178" s="24" t="s">
        <v>773</v>
      </c>
      <c r="C1178" s="24" t="s">
        <v>442</v>
      </c>
      <c r="D1178" s="24" t="s">
        <v>66</v>
      </c>
      <c r="E1178" s="24" t="n">
        <v>185</v>
      </c>
      <c r="F1178" s="25" t="n">
        <v>0</v>
      </c>
      <c r="G1178" s="24" t="s">
        <v>59</v>
      </c>
      <c r="H1178" s="24" t="s">
        <v>55</v>
      </c>
      <c r="I1178" s="24" t="s">
        <v>56</v>
      </c>
      <c r="J1178" s="26" t="n">
        <f aca="false">IF(A1178="","",YEAR(A1178))</f>
        <v>2025</v>
      </c>
      <c r="K1178" s="26" t="n">
        <f aca="false">IF(A1178="","",MONTH(A1178))</f>
        <v>12</v>
      </c>
      <c r="L1178" s="26" t="n">
        <f aca="false">IF(B1178="","",VALUE(LEFT(B1178,2)))</f>
        <v>6</v>
      </c>
      <c r="M1178" s="26" t="n">
        <f aca="false">IF(A1178="","",IF(COUNTIFS($C$2:$C$5001,C1178,$J$2:$J$5001,J1178,$A$2:$A$5001,"&lt;"&amp;A1178)=0,1,0))</f>
        <v>0</v>
      </c>
    </row>
    <row r="1179" customFormat="false" ht="15" hidden="false" customHeight="false" outlineLevel="0" collapsed="false">
      <c r="A1179" s="23" t="n">
        <v>45995.4604166667</v>
      </c>
      <c r="B1179" s="24" t="s">
        <v>421</v>
      </c>
      <c r="C1179" s="24" t="s">
        <v>253</v>
      </c>
      <c r="D1179" s="24" t="s">
        <v>53</v>
      </c>
      <c r="E1179" s="24" t="n">
        <v>231</v>
      </c>
      <c r="F1179" s="25" t="n">
        <v>4000</v>
      </c>
      <c r="G1179" s="24" t="s">
        <v>59</v>
      </c>
      <c r="H1179" s="24" t="s">
        <v>80</v>
      </c>
      <c r="I1179" s="24" t="s">
        <v>61</v>
      </c>
      <c r="J1179" s="26" t="n">
        <f aca="false">IF(A1179="","",YEAR(A1179))</f>
        <v>2025</v>
      </c>
      <c r="K1179" s="26" t="n">
        <f aca="false">IF(A1179="","",MONTH(A1179))</f>
        <v>12</v>
      </c>
      <c r="L1179" s="26" t="n">
        <f aca="false">IF(B1179="","",VALUE(LEFT(B1179,2)))</f>
        <v>7</v>
      </c>
      <c r="M1179" s="26" t="n">
        <f aca="false">IF(A1179="","",IF(COUNTIFS($C$2:$C$5001,C1179,$J$2:$J$5001,J1179,$A$2:$A$5001,"&lt;"&amp;A1179)=0,1,0))</f>
        <v>0</v>
      </c>
    </row>
    <row r="1180" customFormat="false" ht="15" hidden="false" customHeight="false" outlineLevel="0" collapsed="false">
      <c r="A1180" s="23" t="n">
        <v>45995.6083333333</v>
      </c>
      <c r="B1180" s="24" t="s">
        <v>326</v>
      </c>
      <c r="C1180" s="24" t="s">
        <v>231</v>
      </c>
      <c r="D1180" s="24" t="s">
        <v>66</v>
      </c>
      <c r="E1180" s="24" t="n">
        <v>324</v>
      </c>
      <c r="F1180" s="25" t="n">
        <v>11000</v>
      </c>
      <c r="G1180" s="24" t="s">
        <v>59</v>
      </c>
      <c r="H1180" s="24" t="s">
        <v>80</v>
      </c>
      <c r="I1180" s="24" t="s">
        <v>61</v>
      </c>
      <c r="J1180" s="26" t="n">
        <f aca="false">IF(A1180="","",YEAR(A1180))</f>
        <v>2025</v>
      </c>
      <c r="K1180" s="26" t="n">
        <f aca="false">IF(A1180="","",MONTH(A1180))</f>
        <v>12</v>
      </c>
      <c r="L1180" s="26" t="n">
        <f aca="false">IF(B1180="","",VALUE(LEFT(B1180,2)))</f>
        <v>9</v>
      </c>
      <c r="M1180" s="26" t="n">
        <f aca="false">IF(A1180="","",IF(COUNTIFS($C$2:$C$5001,C1180,$J$2:$J$5001,J1180,$A$2:$A$5001,"&lt;"&amp;A1180)=0,1,0))</f>
        <v>0</v>
      </c>
    </row>
    <row r="1181" customFormat="false" ht="15" hidden="false" customHeight="false" outlineLevel="0" collapsed="false">
      <c r="A1181" s="23" t="n">
        <v>45995.8673611111</v>
      </c>
      <c r="B1181" s="24" t="s">
        <v>713</v>
      </c>
      <c r="C1181" s="24" t="s">
        <v>222</v>
      </c>
      <c r="D1181" s="24" t="s">
        <v>66</v>
      </c>
      <c r="E1181" s="24" t="n">
        <v>308</v>
      </c>
      <c r="F1181" s="25" t="n">
        <v>11000</v>
      </c>
      <c r="G1181" s="24" t="s">
        <v>59</v>
      </c>
      <c r="H1181" s="24" t="s">
        <v>55</v>
      </c>
      <c r="I1181" s="24" t="s">
        <v>61</v>
      </c>
      <c r="J1181" s="26" t="n">
        <f aca="false">IF(A1181="","",YEAR(A1181))</f>
        <v>2025</v>
      </c>
      <c r="K1181" s="26" t="n">
        <f aca="false">IF(A1181="","",MONTH(A1181))</f>
        <v>12</v>
      </c>
      <c r="L1181" s="26" t="n">
        <f aca="false">IF(B1181="","",VALUE(LEFT(B1181,2)))</f>
        <v>15</v>
      </c>
      <c r="M1181" s="26" t="n">
        <f aca="false">IF(A1181="","",IF(COUNTIFS($C$2:$C$5001,C1181,$J$2:$J$5001,J1181,$A$2:$A$5001,"&lt;"&amp;A1181)=0,1,0))</f>
        <v>0</v>
      </c>
    </row>
    <row r="1182" customFormat="false" ht="15" hidden="false" customHeight="false" outlineLevel="0" collapsed="false">
      <c r="A1182" s="23" t="n">
        <v>45995.88125</v>
      </c>
      <c r="B1182" s="24" t="s">
        <v>269</v>
      </c>
      <c r="C1182" s="24" t="s">
        <v>240</v>
      </c>
      <c r="D1182" s="24" t="s">
        <v>66</v>
      </c>
      <c r="E1182" s="24" t="n">
        <v>69</v>
      </c>
      <c r="F1182" s="25" t="n">
        <v>3000</v>
      </c>
      <c r="G1182" s="24" t="s">
        <v>69</v>
      </c>
      <c r="H1182" s="24" t="s">
        <v>55</v>
      </c>
      <c r="I1182" s="24" t="s">
        <v>61</v>
      </c>
      <c r="J1182" s="26" t="n">
        <f aca="false">IF(A1182="","",YEAR(A1182))</f>
        <v>2025</v>
      </c>
      <c r="K1182" s="26" t="n">
        <f aca="false">IF(A1182="","",MONTH(A1182))</f>
        <v>12</v>
      </c>
      <c r="L1182" s="26" t="n">
        <f aca="false">IF(B1182="","",VALUE(LEFT(B1182,2)))</f>
        <v>20</v>
      </c>
      <c r="M1182" s="26" t="n">
        <f aca="false">IF(A1182="","",IF(COUNTIFS($C$2:$C$5001,C1182,$J$2:$J$5001,J1182,$A$2:$A$5001,"&lt;"&amp;A1182)=0,1,0))</f>
        <v>0</v>
      </c>
    </row>
    <row r="1183" customFormat="false" ht="15" hidden="false" customHeight="false" outlineLevel="0" collapsed="false">
      <c r="A1183" s="23" t="n">
        <v>45996.4694444445</v>
      </c>
      <c r="B1183" s="24" t="s">
        <v>51</v>
      </c>
      <c r="C1183" s="24" t="s">
        <v>861</v>
      </c>
      <c r="D1183" s="24" t="s">
        <v>53</v>
      </c>
      <c r="E1183" s="24" t="n">
        <v>221</v>
      </c>
      <c r="F1183" s="25" t="n">
        <v>4000</v>
      </c>
      <c r="G1183" s="24" t="s">
        <v>79</v>
      </c>
      <c r="H1183" s="24" t="s">
        <v>60</v>
      </c>
      <c r="I1183" s="24" t="s">
        <v>61</v>
      </c>
      <c r="J1183" s="26" t="n">
        <f aca="false">IF(A1183="","",YEAR(A1183))</f>
        <v>2025</v>
      </c>
      <c r="K1183" s="26" t="n">
        <f aca="false">IF(A1183="","",MONTH(A1183))</f>
        <v>12</v>
      </c>
      <c r="L1183" s="26" t="n">
        <f aca="false">IF(B1183="","",VALUE(LEFT(B1183,2)))</f>
        <v>7</v>
      </c>
      <c r="M1183" s="26" t="n">
        <f aca="false">IF(A1183="","",IF(COUNTIFS($C$2:$C$5001,C1183,$J$2:$J$5001,J1183,$A$2:$A$5001,"&lt;"&amp;A1183)=0,1,0))</f>
        <v>1</v>
      </c>
    </row>
    <row r="1184" customFormat="false" ht="15" hidden="false" customHeight="false" outlineLevel="0" collapsed="false">
      <c r="A1184" s="23" t="n">
        <v>45996.5125</v>
      </c>
      <c r="B1184" s="24" t="s">
        <v>310</v>
      </c>
      <c r="C1184" s="24" t="s">
        <v>286</v>
      </c>
      <c r="D1184" s="24" t="s">
        <v>127</v>
      </c>
      <c r="E1184" s="24" t="n">
        <v>351</v>
      </c>
      <c r="F1184" s="25" t="n">
        <v>0</v>
      </c>
      <c r="G1184" s="24" t="s">
        <v>69</v>
      </c>
      <c r="H1184" s="24" t="s">
        <v>55</v>
      </c>
      <c r="I1184" s="24" t="s">
        <v>56</v>
      </c>
      <c r="J1184" s="26" t="n">
        <f aca="false">IF(A1184="","",YEAR(A1184))</f>
        <v>2025</v>
      </c>
      <c r="K1184" s="26" t="n">
        <f aca="false">IF(A1184="","",MONTH(A1184))</f>
        <v>12</v>
      </c>
      <c r="L1184" s="26" t="n">
        <f aca="false">IF(B1184="","",VALUE(LEFT(B1184,2)))</f>
        <v>6</v>
      </c>
      <c r="M1184" s="26" t="n">
        <f aca="false">IF(A1184="","",IF(COUNTIFS($C$2:$C$5001,C1184,$J$2:$J$5001,J1184,$A$2:$A$5001,"&lt;"&amp;A1184)=0,1,0))</f>
        <v>0</v>
      </c>
    </row>
    <row r="1185" customFormat="false" ht="15" hidden="false" customHeight="false" outlineLevel="0" collapsed="false">
      <c r="A1185" s="23" t="n">
        <v>45996.5548611111</v>
      </c>
      <c r="B1185" s="24" t="s">
        <v>862</v>
      </c>
      <c r="C1185" s="24" t="s">
        <v>82</v>
      </c>
      <c r="D1185" s="24" t="s">
        <v>66</v>
      </c>
      <c r="E1185" s="24" t="n">
        <v>26</v>
      </c>
      <c r="F1185" s="25" t="n">
        <v>1000</v>
      </c>
      <c r="G1185" s="24" t="s">
        <v>79</v>
      </c>
      <c r="H1185" s="24" t="s">
        <v>55</v>
      </c>
      <c r="I1185" s="24" t="s">
        <v>61</v>
      </c>
      <c r="J1185" s="26" t="n">
        <f aca="false">IF(A1185="","",YEAR(A1185))</f>
        <v>2025</v>
      </c>
      <c r="K1185" s="26" t="n">
        <f aca="false">IF(A1185="","",MONTH(A1185))</f>
        <v>12</v>
      </c>
      <c r="L1185" s="26" t="n">
        <f aca="false">IF(B1185="","",VALUE(LEFT(B1185,2)))</f>
        <v>12</v>
      </c>
      <c r="M1185" s="26" t="n">
        <f aca="false">IF(A1185="","",IF(COUNTIFS($C$2:$C$5001,C1185,$J$2:$J$5001,J1185,$A$2:$A$5001,"&lt;"&amp;A1185)=0,1,0))</f>
        <v>0</v>
      </c>
    </row>
    <row r="1186" customFormat="false" ht="15" hidden="false" customHeight="false" outlineLevel="0" collapsed="false">
      <c r="A1186" s="23" t="n">
        <v>45996.6888888889</v>
      </c>
      <c r="B1186" s="24" t="s">
        <v>863</v>
      </c>
      <c r="C1186" s="24" t="s">
        <v>116</v>
      </c>
      <c r="D1186" s="24" t="s">
        <v>53</v>
      </c>
      <c r="E1186" s="24" t="n">
        <v>322</v>
      </c>
      <c r="F1186" s="25" t="n">
        <v>5500</v>
      </c>
      <c r="G1186" s="24" t="s">
        <v>59</v>
      </c>
      <c r="H1186" s="24" t="s">
        <v>60</v>
      </c>
      <c r="I1186" s="24" t="s">
        <v>61</v>
      </c>
      <c r="J1186" s="26" t="n">
        <f aca="false">IF(A1186="","",YEAR(A1186))</f>
        <v>2025</v>
      </c>
      <c r="K1186" s="26" t="n">
        <f aca="false">IF(A1186="","",MONTH(A1186))</f>
        <v>12</v>
      </c>
      <c r="L1186" s="26" t="n">
        <f aca="false">IF(B1186="","",VALUE(LEFT(B1186,2)))</f>
        <v>11</v>
      </c>
      <c r="M1186" s="26" t="n">
        <f aca="false">IF(A1186="","",IF(COUNTIFS($C$2:$C$5001,C1186,$J$2:$J$5001,J1186,$A$2:$A$5001,"&lt;"&amp;A1186)=0,1,0))</f>
        <v>0</v>
      </c>
    </row>
    <row r="1187" customFormat="false" ht="15" hidden="false" customHeight="false" outlineLevel="0" collapsed="false">
      <c r="A1187" s="23" t="n">
        <v>45996.78125</v>
      </c>
      <c r="B1187" s="24" t="s">
        <v>759</v>
      </c>
      <c r="C1187" s="24" t="s">
        <v>201</v>
      </c>
      <c r="D1187" s="24" t="s">
        <v>66</v>
      </c>
      <c r="E1187" s="24" t="n">
        <v>258</v>
      </c>
      <c r="F1187" s="25" t="n">
        <v>9000</v>
      </c>
      <c r="G1187" s="24" t="s">
        <v>59</v>
      </c>
      <c r="H1187" s="24" t="s">
        <v>80</v>
      </c>
      <c r="I1187" s="24" t="s">
        <v>61</v>
      </c>
      <c r="J1187" s="26" t="n">
        <f aca="false">IF(A1187="","",YEAR(A1187))</f>
        <v>2025</v>
      </c>
      <c r="K1187" s="26" t="n">
        <f aca="false">IF(A1187="","",MONTH(A1187))</f>
        <v>12</v>
      </c>
      <c r="L1187" s="26" t="n">
        <f aca="false">IF(B1187="","",VALUE(LEFT(B1187,2)))</f>
        <v>14</v>
      </c>
      <c r="M1187" s="26" t="n">
        <f aca="false">IF(A1187="","",IF(COUNTIFS($C$2:$C$5001,C1187,$J$2:$J$5001,J1187,$A$2:$A$5001,"&lt;"&amp;A1187)=0,1,0))</f>
        <v>0</v>
      </c>
    </row>
    <row r="1188" customFormat="false" ht="15" hidden="false" customHeight="false" outlineLevel="0" collapsed="false">
      <c r="A1188" s="23" t="n">
        <v>45996.8256944444</v>
      </c>
      <c r="B1188" s="24" t="s">
        <v>815</v>
      </c>
      <c r="C1188" s="24" t="s">
        <v>277</v>
      </c>
      <c r="D1188" s="24" t="s">
        <v>66</v>
      </c>
      <c r="E1188" s="24" t="n">
        <v>43</v>
      </c>
      <c r="F1188" s="25" t="n">
        <v>2000</v>
      </c>
      <c r="G1188" s="24" t="s">
        <v>59</v>
      </c>
      <c r="H1188" s="24" t="s">
        <v>80</v>
      </c>
      <c r="I1188" s="24" t="s">
        <v>61</v>
      </c>
      <c r="J1188" s="26" t="n">
        <f aca="false">IF(A1188="","",YEAR(A1188))</f>
        <v>2025</v>
      </c>
      <c r="K1188" s="26" t="n">
        <f aca="false">IF(A1188="","",MONTH(A1188))</f>
        <v>12</v>
      </c>
      <c r="L1188" s="26" t="n">
        <f aca="false">IF(B1188="","",VALUE(LEFT(B1188,2)))</f>
        <v>19</v>
      </c>
      <c r="M1188" s="26" t="n">
        <f aca="false">IF(A1188="","",IF(COUNTIFS($C$2:$C$5001,C1188,$J$2:$J$5001,J1188,$A$2:$A$5001,"&lt;"&amp;A1188)=0,1,0))</f>
        <v>0</v>
      </c>
    </row>
    <row r="1189" customFormat="false" ht="15" hidden="false" customHeight="false" outlineLevel="0" collapsed="false">
      <c r="A1189" s="23" t="n">
        <v>45996.8305555556</v>
      </c>
      <c r="B1189" s="24" t="s">
        <v>841</v>
      </c>
      <c r="C1189" s="24" t="s">
        <v>194</v>
      </c>
      <c r="D1189" s="24" t="s">
        <v>66</v>
      </c>
      <c r="E1189" s="24" t="n">
        <v>66</v>
      </c>
      <c r="F1189" s="25" t="n">
        <v>3000</v>
      </c>
      <c r="G1189" s="24" t="s">
        <v>59</v>
      </c>
      <c r="H1189" s="24" t="s">
        <v>80</v>
      </c>
      <c r="I1189" s="24" t="s">
        <v>61</v>
      </c>
      <c r="J1189" s="26" t="n">
        <f aca="false">IF(A1189="","",YEAR(A1189))</f>
        <v>2025</v>
      </c>
      <c r="K1189" s="26" t="n">
        <f aca="false">IF(A1189="","",MONTH(A1189))</f>
        <v>12</v>
      </c>
      <c r="L1189" s="26" t="n">
        <f aca="false">IF(B1189="","",VALUE(LEFT(B1189,2)))</f>
        <v>18</v>
      </c>
      <c r="M1189" s="26" t="n">
        <f aca="false">IF(A1189="","",IF(COUNTIFS($C$2:$C$5001,C1189,$J$2:$J$5001,J1189,$A$2:$A$5001,"&lt;"&amp;A1189)=0,1,0))</f>
        <v>0</v>
      </c>
    </row>
    <row r="1190" customFormat="false" ht="15" hidden="false" customHeight="false" outlineLevel="0" collapsed="false">
      <c r="A1190" s="23" t="n">
        <v>45996.8840277778</v>
      </c>
      <c r="B1190" s="24" t="s">
        <v>574</v>
      </c>
      <c r="C1190" s="24" t="s">
        <v>213</v>
      </c>
      <c r="D1190" s="24" t="s">
        <v>66</v>
      </c>
      <c r="E1190" s="24" t="n">
        <v>313</v>
      </c>
      <c r="F1190" s="25" t="n">
        <v>11000</v>
      </c>
      <c r="G1190" s="24" t="s">
        <v>69</v>
      </c>
      <c r="H1190" s="24" t="s">
        <v>60</v>
      </c>
      <c r="I1190" s="24" t="s">
        <v>61</v>
      </c>
      <c r="J1190" s="26" t="n">
        <f aca="false">IF(A1190="","",YEAR(A1190))</f>
        <v>2025</v>
      </c>
      <c r="K1190" s="26" t="n">
        <f aca="false">IF(A1190="","",MONTH(A1190))</f>
        <v>12</v>
      </c>
      <c r="L1190" s="26" t="n">
        <f aca="false">IF(B1190="","",VALUE(LEFT(B1190,2)))</f>
        <v>16</v>
      </c>
      <c r="M1190" s="26" t="n">
        <f aca="false">IF(A1190="","",IF(COUNTIFS($C$2:$C$5001,C1190,$J$2:$J$5001,J1190,$A$2:$A$5001,"&lt;"&amp;A1190)=0,1,0))</f>
        <v>0</v>
      </c>
    </row>
    <row r="1191" customFormat="false" ht="15" hidden="false" customHeight="false" outlineLevel="0" collapsed="false">
      <c r="A1191" s="23" t="n">
        <v>45997.0756944444</v>
      </c>
      <c r="B1191" s="24" t="s">
        <v>864</v>
      </c>
      <c r="C1191" s="24" t="s">
        <v>170</v>
      </c>
      <c r="D1191" s="24" t="s">
        <v>53</v>
      </c>
      <c r="E1191" s="24" t="n">
        <v>367</v>
      </c>
      <c r="F1191" s="25" t="n">
        <v>6500</v>
      </c>
      <c r="G1191" s="24" t="s">
        <v>83</v>
      </c>
      <c r="H1191" s="24" t="s">
        <v>60</v>
      </c>
      <c r="I1191" s="24" t="s">
        <v>61</v>
      </c>
      <c r="J1191" s="26" t="n">
        <f aca="false">IF(A1191="","",YEAR(A1191))</f>
        <v>2025</v>
      </c>
      <c r="K1191" s="26" t="n">
        <f aca="false">IF(A1191="","",MONTH(A1191))</f>
        <v>12</v>
      </c>
      <c r="L1191" s="26" t="n">
        <f aca="false">IF(B1191="","",VALUE(LEFT(B1191,2)))</f>
        <v>19</v>
      </c>
      <c r="M1191" s="26" t="n">
        <f aca="false">IF(A1191="","",IF(COUNTIFS($C$2:$C$5001,C1191,$J$2:$J$5001,J1191,$A$2:$A$5001,"&lt;"&amp;A1191)=0,1,0))</f>
        <v>0</v>
      </c>
    </row>
    <row r="1192" customFormat="false" ht="15" hidden="false" customHeight="false" outlineLevel="0" collapsed="false">
      <c r="A1192" s="23" t="n">
        <v>45997.4263888889</v>
      </c>
      <c r="B1192" s="24" t="s">
        <v>671</v>
      </c>
      <c r="C1192" s="24" t="s">
        <v>865</v>
      </c>
      <c r="D1192" s="24" t="s">
        <v>66</v>
      </c>
      <c r="E1192" s="24" t="n">
        <v>174</v>
      </c>
      <c r="F1192" s="25" t="n">
        <v>0</v>
      </c>
      <c r="G1192" s="24" t="s">
        <v>59</v>
      </c>
      <c r="H1192" s="24" t="s">
        <v>55</v>
      </c>
      <c r="I1192" s="24" t="s">
        <v>56</v>
      </c>
      <c r="J1192" s="26" t="n">
        <f aca="false">IF(A1192="","",YEAR(A1192))</f>
        <v>2025</v>
      </c>
      <c r="K1192" s="26" t="n">
        <f aca="false">IF(A1192="","",MONTH(A1192))</f>
        <v>12</v>
      </c>
      <c r="L1192" s="26" t="n">
        <f aca="false">IF(B1192="","",VALUE(LEFT(B1192,2)))</f>
        <v>7</v>
      </c>
      <c r="M1192" s="26" t="n">
        <f aca="false">IF(A1192="","",IF(COUNTIFS($C$2:$C$5001,C1192,$J$2:$J$5001,J1192,$A$2:$A$5001,"&lt;"&amp;A1192)=0,1,0))</f>
        <v>1</v>
      </c>
    </row>
    <row r="1193" customFormat="false" ht="15" hidden="false" customHeight="false" outlineLevel="0" collapsed="false">
      <c r="A1193" s="23" t="n">
        <v>45997.4298611111</v>
      </c>
      <c r="B1193" s="24" t="s">
        <v>453</v>
      </c>
      <c r="C1193" s="24" t="s">
        <v>343</v>
      </c>
      <c r="D1193" s="24" t="s">
        <v>66</v>
      </c>
      <c r="E1193" s="24" t="n">
        <v>255</v>
      </c>
      <c r="F1193" s="25" t="n">
        <v>9000</v>
      </c>
      <c r="G1193" s="24" t="s">
        <v>69</v>
      </c>
      <c r="H1193" s="24" t="s">
        <v>60</v>
      </c>
      <c r="I1193" s="24" t="s">
        <v>61</v>
      </c>
      <c r="J1193" s="26" t="n">
        <f aca="false">IF(A1193="","",YEAR(A1193))</f>
        <v>2025</v>
      </c>
      <c r="K1193" s="26" t="n">
        <f aca="false">IF(A1193="","",MONTH(A1193))</f>
        <v>12</v>
      </c>
      <c r="L1193" s="26" t="n">
        <f aca="false">IF(B1193="","",VALUE(LEFT(B1193,2)))</f>
        <v>6</v>
      </c>
      <c r="M1193" s="26" t="n">
        <f aca="false">IF(A1193="","",IF(COUNTIFS($C$2:$C$5001,C1193,$J$2:$J$5001,J1193,$A$2:$A$5001,"&lt;"&amp;A1193)=0,1,0))</f>
        <v>0</v>
      </c>
    </row>
    <row r="1194" customFormat="false" ht="15" hidden="false" customHeight="false" outlineLevel="0" collapsed="false">
      <c r="A1194" s="23" t="n">
        <v>45997.4340277778</v>
      </c>
      <c r="B1194" s="24" t="s">
        <v>387</v>
      </c>
      <c r="C1194" s="24" t="s">
        <v>343</v>
      </c>
      <c r="D1194" s="24" t="s">
        <v>66</v>
      </c>
      <c r="E1194" s="24" t="n">
        <v>187</v>
      </c>
      <c r="F1194" s="25" t="n">
        <v>7000</v>
      </c>
      <c r="G1194" s="24" t="s">
        <v>59</v>
      </c>
      <c r="H1194" s="24" t="s">
        <v>80</v>
      </c>
      <c r="I1194" s="24" t="s">
        <v>61</v>
      </c>
      <c r="J1194" s="26" t="n">
        <f aca="false">IF(A1194="","",YEAR(A1194))</f>
        <v>2025</v>
      </c>
      <c r="K1194" s="26" t="n">
        <f aca="false">IF(A1194="","",MONTH(A1194))</f>
        <v>12</v>
      </c>
      <c r="L1194" s="26" t="n">
        <f aca="false">IF(B1194="","",VALUE(LEFT(B1194,2)))</f>
        <v>7</v>
      </c>
      <c r="M1194" s="26" t="n">
        <f aca="false">IF(A1194="","",IF(COUNTIFS($C$2:$C$5001,C1194,$J$2:$J$5001,J1194,$A$2:$A$5001,"&lt;"&amp;A1194)=0,1,0))</f>
        <v>0</v>
      </c>
    </row>
    <row r="1195" customFormat="false" ht="15" hidden="false" customHeight="false" outlineLevel="0" collapsed="false">
      <c r="A1195" s="23" t="n">
        <v>45997.6520833333</v>
      </c>
      <c r="B1195" s="24" t="s">
        <v>866</v>
      </c>
      <c r="C1195" s="24" t="s">
        <v>76</v>
      </c>
      <c r="D1195" s="24" t="s">
        <v>66</v>
      </c>
      <c r="E1195" s="24" t="n">
        <v>272</v>
      </c>
      <c r="F1195" s="25" t="n">
        <v>10000</v>
      </c>
      <c r="G1195" s="24" t="s">
        <v>59</v>
      </c>
      <c r="H1195" s="24" t="s">
        <v>80</v>
      </c>
      <c r="I1195" s="24" t="s">
        <v>61</v>
      </c>
      <c r="J1195" s="26" t="n">
        <f aca="false">IF(A1195="","",YEAR(A1195))</f>
        <v>2025</v>
      </c>
      <c r="K1195" s="26" t="n">
        <f aca="false">IF(A1195="","",MONTH(A1195))</f>
        <v>12</v>
      </c>
      <c r="L1195" s="26" t="n">
        <f aca="false">IF(B1195="","",VALUE(LEFT(B1195,2)))</f>
        <v>11</v>
      </c>
      <c r="M1195" s="26" t="n">
        <f aca="false">IF(A1195="","",IF(COUNTIFS($C$2:$C$5001,C1195,$J$2:$J$5001,J1195,$A$2:$A$5001,"&lt;"&amp;A1195)=0,1,0))</f>
        <v>0</v>
      </c>
    </row>
    <row r="1196" customFormat="false" ht="15" hidden="false" customHeight="false" outlineLevel="0" collapsed="false">
      <c r="A1196" s="23" t="n">
        <v>45997.8902777778</v>
      </c>
      <c r="B1196" s="24" t="s">
        <v>867</v>
      </c>
      <c r="C1196" s="24" t="s">
        <v>265</v>
      </c>
      <c r="D1196" s="24" t="s">
        <v>66</v>
      </c>
      <c r="E1196" s="24" t="n">
        <v>127</v>
      </c>
      <c r="F1196" s="25" t="n">
        <v>4250</v>
      </c>
      <c r="G1196" s="24" t="s">
        <v>59</v>
      </c>
      <c r="H1196" s="24" t="s">
        <v>55</v>
      </c>
      <c r="I1196" s="24" t="s">
        <v>113</v>
      </c>
      <c r="J1196" s="26" t="n">
        <f aca="false">IF(A1196="","",YEAR(A1196))</f>
        <v>2025</v>
      </c>
      <c r="K1196" s="26" t="n">
        <f aca="false">IF(A1196="","",MONTH(A1196))</f>
        <v>12</v>
      </c>
      <c r="L1196" s="26" t="n">
        <f aca="false">IF(B1196="","",VALUE(LEFT(B1196,2)))</f>
        <v>19</v>
      </c>
      <c r="M1196" s="26" t="n">
        <f aca="false">IF(A1196="","",IF(COUNTIFS($C$2:$C$5001,C1196,$J$2:$J$5001,J1196,$A$2:$A$5001,"&lt;"&amp;A1196)=0,1,0))</f>
        <v>0</v>
      </c>
    </row>
    <row r="1197" customFormat="false" ht="15" hidden="false" customHeight="false" outlineLevel="0" collapsed="false">
      <c r="A1197" s="23" t="n">
        <v>45998.3416666667</v>
      </c>
      <c r="B1197" s="24" t="s">
        <v>230</v>
      </c>
      <c r="C1197" s="24" t="s">
        <v>192</v>
      </c>
      <c r="D1197" s="24" t="s">
        <v>53</v>
      </c>
      <c r="E1197" s="24" t="n">
        <v>80</v>
      </c>
      <c r="F1197" s="25" t="n">
        <v>1500</v>
      </c>
      <c r="G1197" s="24" t="s">
        <v>59</v>
      </c>
      <c r="H1197" s="24" t="s">
        <v>60</v>
      </c>
      <c r="I1197" s="24" t="s">
        <v>61</v>
      </c>
      <c r="J1197" s="26" t="n">
        <f aca="false">IF(A1197="","",YEAR(A1197))</f>
        <v>2025</v>
      </c>
      <c r="K1197" s="26" t="n">
        <f aca="false">IF(A1197="","",MONTH(A1197))</f>
        <v>12</v>
      </c>
      <c r="L1197" s="26" t="n">
        <f aca="false">IF(B1197="","",VALUE(LEFT(B1197,2)))</f>
        <v>6</v>
      </c>
      <c r="M1197" s="26" t="n">
        <f aca="false">IF(A1197="","",IF(COUNTIFS($C$2:$C$5001,C1197,$J$2:$J$5001,J1197,$A$2:$A$5001,"&lt;"&amp;A1197)=0,1,0))</f>
        <v>0</v>
      </c>
    </row>
    <row r="1198" customFormat="false" ht="15" hidden="false" customHeight="false" outlineLevel="0" collapsed="false">
      <c r="A1198" s="23" t="n">
        <v>45998.4826388889</v>
      </c>
      <c r="B1198" s="24" t="s">
        <v>435</v>
      </c>
      <c r="C1198" s="24" t="s">
        <v>192</v>
      </c>
      <c r="D1198" s="24" t="s">
        <v>66</v>
      </c>
      <c r="E1198" s="24" t="n">
        <v>256</v>
      </c>
      <c r="F1198" s="25" t="n">
        <v>9000</v>
      </c>
      <c r="G1198" s="24" t="s">
        <v>79</v>
      </c>
      <c r="H1198" s="24" t="s">
        <v>60</v>
      </c>
      <c r="I1198" s="24" t="s">
        <v>61</v>
      </c>
      <c r="J1198" s="26" t="n">
        <f aca="false">IF(A1198="","",YEAR(A1198))</f>
        <v>2025</v>
      </c>
      <c r="K1198" s="26" t="n">
        <f aca="false">IF(A1198="","",MONTH(A1198))</f>
        <v>12</v>
      </c>
      <c r="L1198" s="26" t="n">
        <f aca="false">IF(B1198="","",VALUE(LEFT(B1198,2)))</f>
        <v>7</v>
      </c>
      <c r="M1198" s="26" t="n">
        <f aca="false">IF(A1198="","",IF(COUNTIFS($C$2:$C$5001,C1198,$J$2:$J$5001,J1198,$A$2:$A$5001,"&lt;"&amp;A1198)=0,1,0))</f>
        <v>0</v>
      </c>
    </row>
    <row r="1199" customFormat="false" ht="15" hidden="false" customHeight="false" outlineLevel="0" collapsed="false">
      <c r="A1199" s="23" t="n">
        <v>45998.51875</v>
      </c>
      <c r="B1199" s="24" t="s">
        <v>868</v>
      </c>
      <c r="C1199" s="24" t="s">
        <v>290</v>
      </c>
      <c r="D1199" s="24" t="s">
        <v>53</v>
      </c>
      <c r="E1199" s="24" t="n">
        <v>116</v>
      </c>
      <c r="F1199" s="25" t="n">
        <v>2000</v>
      </c>
      <c r="G1199" s="24" t="s">
        <v>59</v>
      </c>
      <c r="H1199" s="24" t="s">
        <v>60</v>
      </c>
      <c r="I1199" s="24" t="s">
        <v>61</v>
      </c>
      <c r="J1199" s="26" t="n">
        <f aca="false">IF(A1199="","",YEAR(A1199))</f>
        <v>2025</v>
      </c>
      <c r="K1199" s="26" t="n">
        <f aca="false">IF(A1199="","",MONTH(A1199))</f>
        <v>12</v>
      </c>
      <c r="L1199" s="26" t="n">
        <f aca="false">IF(B1199="","",VALUE(LEFT(B1199,2)))</f>
        <v>10</v>
      </c>
      <c r="M1199" s="26" t="n">
        <f aca="false">IF(A1199="","",IF(COUNTIFS($C$2:$C$5001,C1199,$J$2:$J$5001,J1199,$A$2:$A$5001,"&lt;"&amp;A1199)=0,1,0))</f>
        <v>0</v>
      </c>
    </row>
    <row r="1200" customFormat="false" ht="15" hidden="false" customHeight="false" outlineLevel="0" collapsed="false">
      <c r="A1200" s="23" t="n">
        <v>45998.5743055556</v>
      </c>
      <c r="B1200" s="24" t="s">
        <v>577</v>
      </c>
      <c r="C1200" s="24" t="s">
        <v>194</v>
      </c>
      <c r="D1200" s="24" t="s">
        <v>72</v>
      </c>
      <c r="E1200" s="24" t="n">
        <v>319</v>
      </c>
      <c r="F1200" s="25" t="n">
        <v>22000</v>
      </c>
      <c r="G1200" s="24" t="s">
        <v>59</v>
      </c>
      <c r="H1200" s="24" t="s">
        <v>55</v>
      </c>
      <c r="I1200" s="24" t="s">
        <v>61</v>
      </c>
      <c r="J1200" s="26" t="n">
        <f aca="false">IF(A1200="","",YEAR(A1200))</f>
        <v>2025</v>
      </c>
      <c r="K1200" s="26" t="n">
        <f aca="false">IF(A1200="","",MONTH(A1200))</f>
        <v>12</v>
      </c>
      <c r="L1200" s="26" t="n">
        <f aca="false">IF(B1200="","",VALUE(LEFT(B1200,2)))</f>
        <v>8</v>
      </c>
      <c r="M1200" s="26" t="n">
        <f aca="false">IF(A1200="","",IF(COUNTIFS($C$2:$C$5001,C1200,$J$2:$J$5001,J1200,$A$2:$A$5001,"&lt;"&amp;A1200)=0,1,0))</f>
        <v>0</v>
      </c>
    </row>
    <row r="1201" customFormat="false" ht="15" hidden="false" customHeight="false" outlineLevel="0" collapsed="false">
      <c r="A1201" s="23" t="n">
        <v>45998.7090277778</v>
      </c>
      <c r="B1201" s="24" t="s">
        <v>844</v>
      </c>
      <c r="C1201" s="24" t="s">
        <v>861</v>
      </c>
      <c r="D1201" s="24" t="s">
        <v>66</v>
      </c>
      <c r="E1201" s="24" t="n">
        <v>174</v>
      </c>
      <c r="F1201" s="25" t="n">
        <v>6000</v>
      </c>
      <c r="G1201" s="24" t="s">
        <v>59</v>
      </c>
      <c r="H1201" s="24" t="s">
        <v>55</v>
      </c>
      <c r="I1201" s="24" t="s">
        <v>61</v>
      </c>
      <c r="J1201" s="26" t="n">
        <f aca="false">IF(A1201="","",YEAR(A1201))</f>
        <v>2025</v>
      </c>
      <c r="K1201" s="26" t="n">
        <f aca="false">IF(A1201="","",MONTH(A1201))</f>
        <v>12</v>
      </c>
      <c r="L1201" s="26" t="n">
        <f aca="false">IF(B1201="","",VALUE(LEFT(B1201,2)))</f>
        <v>14</v>
      </c>
      <c r="M1201" s="26" t="n">
        <f aca="false">IF(A1201="","",IF(COUNTIFS($C$2:$C$5001,C1201,$J$2:$J$5001,J1201,$A$2:$A$5001,"&lt;"&amp;A1201)=0,1,0))</f>
        <v>0</v>
      </c>
    </row>
    <row r="1202" customFormat="false" ht="15" hidden="false" customHeight="false" outlineLevel="0" collapsed="false">
      <c r="A1202" s="23" t="n">
        <v>45998.7256944445</v>
      </c>
      <c r="B1202" s="24" t="s">
        <v>869</v>
      </c>
      <c r="C1202" s="24" t="s">
        <v>324</v>
      </c>
      <c r="D1202" s="24" t="s">
        <v>66</v>
      </c>
      <c r="E1202" s="24" t="n">
        <v>168</v>
      </c>
      <c r="F1202" s="25" t="n">
        <v>6000</v>
      </c>
      <c r="G1202" s="24" t="s">
        <v>69</v>
      </c>
      <c r="H1202" s="24" t="s">
        <v>60</v>
      </c>
      <c r="I1202" s="24" t="s">
        <v>61</v>
      </c>
      <c r="J1202" s="26" t="n">
        <f aca="false">IF(A1202="","",YEAR(A1202))</f>
        <v>2025</v>
      </c>
      <c r="K1202" s="26" t="n">
        <f aca="false">IF(A1202="","",MONTH(A1202))</f>
        <v>12</v>
      </c>
      <c r="L1202" s="26" t="n">
        <f aca="false">IF(B1202="","",VALUE(LEFT(B1202,2)))</f>
        <v>14</v>
      </c>
      <c r="M1202" s="26" t="n">
        <f aca="false">IF(A1202="","",IF(COUNTIFS($C$2:$C$5001,C1202,$J$2:$J$5001,J1202,$A$2:$A$5001,"&lt;"&amp;A1202)=0,1,0))</f>
        <v>0</v>
      </c>
    </row>
    <row r="1203" customFormat="false" ht="15" hidden="false" customHeight="false" outlineLevel="0" collapsed="false">
      <c r="A1203" s="23" t="n">
        <v>45998.98125</v>
      </c>
      <c r="B1203" s="24" t="s">
        <v>870</v>
      </c>
      <c r="C1203" s="24" t="s">
        <v>184</v>
      </c>
      <c r="D1203" s="24" t="s">
        <v>66</v>
      </c>
      <c r="E1203" s="24" t="n">
        <v>375</v>
      </c>
      <c r="F1203" s="25" t="n">
        <v>13000</v>
      </c>
      <c r="G1203" s="24" t="s">
        <v>59</v>
      </c>
      <c r="H1203" s="24" t="s">
        <v>55</v>
      </c>
      <c r="I1203" s="24" t="s">
        <v>61</v>
      </c>
      <c r="J1203" s="26" t="n">
        <f aca="false">IF(A1203="","",YEAR(A1203))</f>
        <v>2025</v>
      </c>
      <c r="K1203" s="26" t="n">
        <f aca="false">IF(A1203="","",MONTH(A1203))</f>
        <v>12</v>
      </c>
      <c r="L1203" s="26" t="n">
        <f aca="false">IF(B1203="","",VALUE(LEFT(B1203,2)))</f>
        <v>17</v>
      </c>
      <c r="M1203" s="26" t="n">
        <f aca="false">IF(A1203="","",IF(COUNTIFS($C$2:$C$5001,C1203,$J$2:$J$5001,J1203,$A$2:$A$5001,"&lt;"&amp;A1203)=0,1,0))</f>
        <v>0</v>
      </c>
    </row>
    <row r="1204" customFormat="false" ht="15" hidden="false" customHeight="false" outlineLevel="0" collapsed="false">
      <c r="A1204" s="23" t="n">
        <v>45999.3902777778</v>
      </c>
      <c r="B1204" s="24" t="s">
        <v>111</v>
      </c>
      <c r="C1204" s="24" t="s">
        <v>105</v>
      </c>
      <c r="D1204" s="24" t="s">
        <v>66</v>
      </c>
      <c r="E1204" s="24" t="n">
        <v>79</v>
      </c>
      <c r="F1204" s="25" t="n">
        <v>3000</v>
      </c>
      <c r="G1204" s="24" t="s">
        <v>83</v>
      </c>
      <c r="H1204" s="24" t="s">
        <v>60</v>
      </c>
      <c r="I1204" s="24" t="s">
        <v>61</v>
      </c>
      <c r="J1204" s="26" t="n">
        <f aca="false">IF(A1204="","",YEAR(A1204))</f>
        <v>2025</v>
      </c>
      <c r="K1204" s="26" t="n">
        <f aca="false">IF(A1204="","",MONTH(A1204))</f>
        <v>12</v>
      </c>
      <c r="L1204" s="26" t="n">
        <f aca="false">IF(B1204="","",VALUE(LEFT(B1204,2)))</f>
        <v>8</v>
      </c>
      <c r="M1204" s="26" t="n">
        <f aca="false">IF(A1204="","",IF(COUNTIFS($C$2:$C$5001,C1204,$J$2:$J$5001,J1204,$A$2:$A$5001,"&lt;"&amp;A1204)=0,1,0))</f>
        <v>0</v>
      </c>
    </row>
    <row r="1205" customFormat="false" ht="15" hidden="false" customHeight="false" outlineLevel="0" collapsed="false">
      <c r="A1205" s="23" t="n">
        <v>45999.51875</v>
      </c>
      <c r="B1205" s="24" t="s">
        <v>587</v>
      </c>
      <c r="C1205" s="24" t="s">
        <v>227</v>
      </c>
      <c r="D1205" s="24" t="s">
        <v>66</v>
      </c>
      <c r="E1205" s="24" t="n">
        <v>379</v>
      </c>
      <c r="F1205" s="25" t="n">
        <v>13000</v>
      </c>
      <c r="G1205" s="24" t="s">
        <v>59</v>
      </c>
      <c r="H1205" s="24" t="s">
        <v>55</v>
      </c>
      <c r="I1205" s="24" t="s">
        <v>61</v>
      </c>
      <c r="J1205" s="26" t="n">
        <f aca="false">IF(A1205="","",YEAR(A1205))</f>
        <v>2025</v>
      </c>
      <c r="K1205" s="26" t="n">
        <f aca="false">IF(A1205="","",MONTH(A1205))</f>
        <v>12</v>
      </c>
      <c r="L1205" s="26" t="n">
        <f aca="false">IF(B1205="","",VALUE(LEFT(B1205,2)))</f>
        <v>6</v>
      </c>
      <c r="M1205" s="26" t="n">
        <f aca="false">IF(A1205="","",IF(COUNTIFS($C$2:$C$5001,C1205,$J$2:$J$5001,J1205,$A$2:$A$5001,"&lt;"&amp;A1205)=0,1,0))</f>
        <v>0</v>
      </c>
    </row>
    <row r="1206" customFormat="false" ht="15" hidden="false" customHeight="false" outlineLevel="0" collapsed="false">
      <c r="A1206" s="23" t="n">
        <v>45999.7090277778</v>
      </c>
      <c r="B1206" s="24" t="s">
        <v>606</v>
      </c>
      <c r="C1206" s="24" t="s">
        <v>147</v>
      </c>
      <c r="D1206" s="24" t="s">
        <v>66</v>
      </c>
      <c r="E1206" s="24" t="n">
        <v>126</v>
      </c>
      <c r="F1206" s="25" t="n">
        <v>5000</v>
      </c>
      <c r="G1206" s="24" t="s">
        <v>59</v>
      </c>
      <c r="H1206" s="24" t="s">
        <v>60</v>
      </c>
      <c r="I1206" s="24" t="s">
        <v>61</v>
      </c>
      <c r="J1206" s="26" t="n">
        <f aca="false">IF(A1206="","",YEAR(A1206))</f>
        <v>2025</v>
      </c>
      <c r="K1206" s="26" t="n">
        <f aca="false">IF(A1206="","",MONTH(A1206))</f>
        <v>12</v>
      </c>
      <c r="L1206" s="26" t="n">
        <f aca="false">IF(B1206="","",VALUE(LEFT(B1206,2)))</f>
        <v>14</v>
      </c>
      <c r="M1206" s="26" t="n">
        <f aca="false">IF(A1206="","",IF(COUNTIFS($C$2:$C$5001,C1206,$J$2:$J$5001,J1206,$A$2:$A$5001,"&lt;"&amp;A1206)=0,1,0))</f>
        <v>0</v>
      </c>
    </row>
    <row r="1207" customFormat="false" ht="15" hidden="false" customHeight="false" outlineLevel="0" collapsed="false">
      <c r="A1207" s="23" t="n">
        <v>46000.0145833333</v>
      </c>
      <c r="B1207" s="24" t="s">
        <v>189</v>
      </c>
      <c r="C1207" s="24" t="s">
        <v>94</v>
      </c>
      <c r="D1207" s="24" t="s">
        <v>66</v>
      </c>
      <c r="E1207" s="24" t="n">
        <v>267</v>
      </c>
      <c r="F1207" s="25" t="n">
        <v>9000</v>
      </c>
      <c r="G1207" s="24" t="s">
        <v>59</v>
      </c>
      <c r="H1207" s="24" t="s">
        <v>55</v>
      </c>
      <c r="I1207" s="24" t="s">
        <v>61</v>
      </c>
      <c r="J1207" s="26" t="n">
        <f aca="false">IF(A1207="","",YEAR(A1207))</f>
        <v>2025</v>
      </c>
      <c r="K1207" s="26" t="n">
        <f aca="false">IF(A1207="","",MONTH(A1207))</f>
        <v>12</v>
      </c>
      <c r="L1207" s="26" t="n">
        <f aca="false">IF(B1207="","",VALUE(LEFT(B1207,2)))</f>
        <v>19</v>
      </c>
      <c r="M1207" s="26" t="n">
        <f aca="false">IF(A1207="","",IF(COUNTIFS($C$2:$C$5001,C1207,$J$2:$J$5001,J1207,$A$2:$A$5001,"&lt;"&amp;A1207)=0,1,0))</f>
        <v>0</v>
      </c>
    </row>
    <row r="1208" customFormat="false" ht="15" hidden="false" customHeight="false" outlineLevel="0" collapsed="false">
      <c r="A1208" s="23" t="n">
        <v>46000.08125</v>
      </c>
      <c r="B1208" s="24" t="s">
        <v>669</v>
      </c>
      <c r="C1208" s="24" t="s">
        <v>160</v>
      </c>
      <c r="D1208" s="24" t="s">
        <v>66</v>
      </c>
      <c r="E1208" s="24" t="n">
        <v>356</v>
      </c>
      <c r="F1208" s="25" t="n">
        <v>12000</v>
      </c>
      <c r="G1208" s="24" t="s">
        <v>59</v>
      </c>
      <c r="H1208" s="24" t="s">
        <v>80</v>
      </c>
      <c r="I1208" s="24" t="s">
        <v>61</v>
      </c>
      <c r="J1208" s="26" t="n">
        <f aca="false">IF(A1208="","",YEAR(A1208))</f>
        <v>2025</v>
      </c>
      <c r="K1208" s="26" t="n">
        <f aca="false">IF(A1208="","",MONTH(A1208))</f>
        <v>12</v>
      </c>
      <c r="L1208" s="26" t="n">
        <f aca="false">IF(B1208="","",VALUE(LEFT(B1208,2)))</f>
        <v>20</v>
      </c>
      <c r="M1208" s="26" t="n">
        <f aca="false">IF(A1208="","",IF(COUNTIFS($C$2:$C$5001,C1208,$J$2:$J$5001,J1208,$A$2:$A$5001,"&lt;"&amp;A1208)=0,1,0))</f>
        <v>0</v>
      </c>
    </row>
    <row r="1209" customFormat="false" ht="15" hidden="false" customHeight="false" outlineLevel="0" collapsed="false">
      <c r="A1209" s="23" t="n">
        <v>46000.41875</v>
      </c>
      <c r="B1209" s="24" t="s">
        <v>374</v>
      </c>
      <c r="C1209" s="24" t="s">
        <v>486</v>
      </c>
      <c r="D1209" s="24" t="s">
        <v>66</v>
      </c>
      <c r="E1209" s="24" t="n">
        <v>97</v>
      </c>
      <c r="F1209" s="25" t="n">
        <v>4000</v>
      </c>
      <c r="G1209" s="24" t="s">
        <v>59</v>
      </c>
      <c r="H1209" s="24" t="s">
        <v>60</v>
      </c>
      <c r="I1209" s="24" t="s">
        <v>61</v>
      </c>
      <c r="J1209" s="26" t="n">
        <f aca="false">IF(A1209="","",YEAR(A1209))</f>
        <v>2025</v>
      </c>
      <c r="K1209" s="26" t="n">
        <f aca="false">IF(A1209="","",MONTH(A1209))</f>
        <v>12</v>
      </c>
      <c r="L1209" s="26" t="n">
        <f aca="false">IF(B1209="","",VALUE(LEFT(B1209,2)))</f>
        <v>8</v>
      </c>
      <c r="M1209" s="26" t="n">
        <f aca="false">IF(A1209="","",IF(COUNTIFS($C$2:$C$5001,C1209,$J$2:$J$5001,J1209,$A$2:$A$5001,"&lt;"&amp;A1209)=0,1,0))</f>
        <v>0</v>
      </c>
    </row>
    <row r="1210" customFormat="false" ht="15" hidden="false" customHeight="false" outlineLevel="0" collapsed="false">
      <c r="A1210" s="23" t="n">
        <v>46000.6020833333</v>
      </c>
      <c r="B1210" s="24" t="s">
        <v>135</v>
      </c>
      <c r="C1210" s="24" t="s">
        <v>188</v>
      </c>
      <c r="D1210" s="24" t="s">
        <v>88</v>
      </c>
      <c r="E1210" s="24" t="n">
        <v>183</v>
      </c>
      <c r="F1210" s="25" t="n">
        <v>10500</v>
      </c>
      <c r="G1210" s="24" t="s">
        <v>59</v>
      </c>
      <c r="H1210" s="24" t="s">
        <v>55</v>
      </c>
      <c r="I1210" s="24" t="s">
        <v>61</v>
      </c>
      <c r="J1210" s="26" t="n">
        <f aca="false">IF(A1210="","",YEAR(A1210))</f>
        <v>2025</v>
      </c>
      <c r="K1210" s="26" t="n">
        <f aca="false">IF(A1210="","",MONTH(A1210))</f>
        <v>12</v>
      </c>
      <c r="L1210" s="26" t="n">
        <f aca="false">IF(B1210="","",VALUE(LEFT(B1210,2)))</f>
        <v>11</v>
      </c>
      <c r="M1210" s="26" t="n">
        <f aca="false">IF(A1210="","",IF(COUNTIFS($C$2:$C$5001,C1210,$J$2:$J$5001,J1210,$A$2:$A$5001,"&lt;"&amp;A1210)=0,1,0))</f>
        <v>0</v>
      </c>
    </row>
    <row r="1211" customFormat="false" ht="15" hidden="false" customHeight="false" outlineLevel="0" collapsed="false">
      <c r="A1211" s="23" t="n">
        <v>46000.6979166667</v>
      </c>
      <c r="B1211" s="24" t="s">
        <v>530</v>
      </c>
      <c r="C1211" s="24" t="s">
        <v>442</v>
      </c>
      <c r="D1211" s="24" t="s">
        <v>66</v>
      </c>
      <c r="E1211" s="24" t="n">
        <v>46</v>
      </c>
      <c r="F1211" s="25" t="n">
        <v>2000</v>
      </c>
      <c r="G1211" s="24" t="s">
        <v>54</v>
      </c>
      <c r="H1211" s="24" t="s">
        <v>80</v>
      </c>
      <c r="I1211" s="24" t="s">
        <v>61</v>
      </c>
      <c r="J1211" s="26" t="n">
        <f aca="false">IF(A1211="","",YEAR(A1211))</f>
        <v>2025</v>
      </c>
      <c r="K1211" s="26" t="n">
        <f aca="false">IF(A1211="","",MONTH(A1211))</f>
        <v>12</v>
      </c>
      <c r="L1211" s="26" t="n">
        <f aca="false">IF(B1211="","",VALUE(LEFT(B1211,2)))</f>
        <v>15</v>
      </c>
      <c r="M1211" s="26" t="n">
        <f aca="false">IF(A1211="","",IF(COUNTIFS($C$2:$C$5001,C1211,$J$2:$J$5001,J1211,$A$2:$A$5001,"&lt;"&amp;A1211)=0,1,0))</f>
        <v>0</v>
      </c>
    </row>
    <row r="1212" customFormat="false" ht="15" hidden="false" customHeight="false" outlineLevel="0" collapsed="false">
      <c r="A1212" s="23" t="n">
        <v>46001.3333333333</v>
      </c>
      <c r="B1212" s="24" t="s">
        <v>405</v>
      </c>
      <c r="C1212" s="24" t="s">
        <v>231</v>
      </c>
      <c r="D1212" s="24" t="s">
        <v>66</v>
      </c>
      <c r="E1212" s="24" t="n">
        <v>58</v>
      </c>
      <c r="F1212" s="25" t="n">
        <v>1700</v>
      </c>
      <c r="G1212" s="24" t="s">
        <v>59</v>
      </c>
      <c r="H1212" s="24" t="s">
        <v>55</v>
      </c>
      <c r="I1212" s="24" t="s">
        <v>113</v>
      </c>
      <c r="J1212" s="26" t="n">
        <f aca="false">IF(A1212="","",YEAR(A1212))</f>
        <v>2025</v>
      </c>
      <c r="K1212" s="26" t="n">
        <f aca="false">IF(A1212="","",MONTH(A1212))</f>
        <v>12</v>
      </c>
      <c r="L1212" s="26" t="n">
        <f aca="false">IF(B1212="","",VALUE(LEFT(B1212,2)))</f>
        <v>7</v>
      </c>
      <c r="M1212" s="26" t="n">
        <f aca="false">IF(A1212="","",IF(COUNTIFS($C$2:$C$5001,C1212,$J$2:$J$5001,J1212,$A$2:$A$5001,"&lt;"&amp;A1212)=0,1,0))</f>
        <v>0</v>
      </c>
    </row>
    <row r="1213" customFormat="false" ht="15" hidden="false" customHeight="false" outlineLevel="0" collapsed="false">
      <c r="A1213" s="23" t="n">
        <v>46001.4743055556</v>
      </c>
      <c r="B1213" s="24" t="s">
        <v>744</v>
      </c>
      <c r="C1213" s="24" t="s">
        <v>156</v>
      </c>
      <c r="D1213" s="24" t="s">
        <v>53</v>
      </c>
      <c r="E1213" s="24" t="n">
        <v>118</v>
      </c>
      <c r="F1213" s="25" t="n">
        <v>2000</v>
      </c>
      <c r="G1213" s="24" t="s">
        <v>69</v>
      </c>
      <c r="H1213" s="24" t="s">
        <v>60</v>
      </c>
      <c r="I1213" s="24" t="s">
        <v>61</v>
      </c>
      <c r="J1213" s="26" t="n">
        <f aca="false">IF(A1213="","",YEAR(A1213))</f>
        <v>2025</v>
      </c>
      <c r="K1213" s="26" t="n">
        <f aca="false">IF(A1213="","",MONTH(A1213))</f>
        <v>12</v>
      </c>
      <c r="L1213" s="26" t="n">
        <f aca="false">IF(B1213="","",VALUE(LEFT(B1213,2)))</f>
        <v>9</v>
      </c>
      <c r="M1213" s="26" t="n">
        <f aca="false">IF(A1213="","",IF(COUNTIFS($C$2:$C$5001,C1213,$J$2:$J$5001,J1213,$A$2:$A$5001,"&lt;"&amp;A1213)=0,1,0))</f>
        <v>0</v>
      </c>
    </row>
    <row r="1214" customFormat="false" ht="15" hidden="false" customHeight="false" outlineLevel="0" collapsed="false">
      <c r="A1214" s="23" t="n">
        <v>46001.5291666667</v>
      </c>
      <c r="B1214" s="24" t="s">
        <v>374</v>
      </c>
      <c r="C1214" s="24" t="s">
        <v>512</v>
      </c>
      <c r="D1214" s="24" t="s">
        <v>53</v>
      </c>
      <c r="E1214" s="24" t="n">
        <v>256</v>
      </c>
      <c r="F1214" s="25" t="n">
        <v>4500</v>
      </c>
      <c r="G1214" s="24" t="s">
        <v>59</v>
      </c>
      <c r="H1214" s="24" t="s">
        <v>55</v>
      </c>
      <c r="I1214" s="24" t="s">
        <v>61</v>
      </c>
      <c r="J1214" s="26" t="n">
        <f aca="false">IF(A1214="","",YEAR(A1214))</f>
        <v>2025</v>
      </c>
      <c r="K1214" s="26" t="n">
        <f aca="false">IF(A1214="","",MONTH(A1214))</f>
        <v>12</v>
      </c>
      <c r="L1214" s="26" t="n">
        <f aca="false">IF(B1214="","",VALUE(LEFT(B1214,2)))</f>
        <v>8</v>
      </c>
      <c r="M1214" s="26" t="n">
        <f aca="false">IF(A1214="","",IF(COUNTIFS($C$2:$C$5001,C1214,$J$2:$J$5001,J1214,$A$2:$A$5001,"&lt;"&amp;A1214)=0,1,0))</f>
        <v>0</v>
      </c>
    </row>
    <row r="1215" customFormat="false" ht="15" hidden="false" customHeight="false" outlineLevel="0" collapsed="false">
      <c r="A1215" s="23" t="n">
        <v>46001.6111111111</v>
      </c>
      <c r="B1215" s="24" t="s">
        <v>748</v>
      </c>
      <c r="C1215" s="24" t="s">
        <v>312</v>
      </c>
      <c r="D1215" s="24" t="s">
        <v>53</v>
      </c>
      <c r="E1215" s="24" t="n">
        <v>412</v>
      </c>
      <c r="F1215" s="25" t="n">
        <v>7000</v>
      </c>
      <c r="G1215" s="24" t="s">
        <v>59</v>
      </c>
      <c r="H1215" s="24" t="s">
        <v>80</v>
      </c>
      <c r="I1215" s="24" t="s">
        <v>61</v>
      </c>
      <c r="J1215" s="26" t="n">
        <f aca="false">IF(A1215="","",YEAR(A1215))</f>
        <v>2025</v>
      </c>
      <c r="K1215" s="26" t="n">
        <f aca="false">IF(A1215="","",MONTH(A1215))</f>
        <v>12</v>
      </c>
      <c r="L1215" s="26" t="n">
        <f aca="false">IF(B1215="","",VALUE(LEFT(B1215,2)))</f>
        <v>7</v>
      </c>
      <c r="M1215" s="26" t="n">
        <f aca="false">IF(A1215="","",IF(COUNTIFS($C$2:$C$5001,C1215,$J$2:$J$5001,J1215,$A$2:$A$5001,"&lt;"&amp;A1215)=0,1,0))</f>
        <v>0</v>
      </c>
    </row>
    <row r="1216" customFormat="false" ht="15" hidden="false" customHeight="false" outlineLevel="0" collapsed="false">
      <c r="A1216" s="23" t="n">
        <v>46001.7409722222</v>
      </c>
      <c r="B1216" s="24" t="s">
        <v>169</v>
      </c>
      <c r="C1216" s="24" t="s">
        <v>561</v>
      </c>
      <c r="D1216" s="24" t="s">
        <v>72</v>
      </c>
      <c r="E1216" s="24" t="n">
        <v>117</v>
      </c>
      <c r="F1216" s="25" t="n">
        <v>0</v>
      </c>
      <c r="G1216" s="24" t="s">
        <v>54</v>
      </c>
      <c r="H1216" s="24" t="s">
        <v>60</v>
      </c>
      <c r="I1216" s="24" t="s">
        <v>56</v>
      </c>
      <c r="J1216" s="26" t="n">
        <f aca="false">IF(A1216="","",YEAR(A1216))</f>
        <v>2025</v>
      </c>
      <c r="K1216" s="26" t="n">
        <f aca="false">IF(A1216="","",MONTH(A1216))</f>
        <v>12</v>
      </c>
      <c r="L1216" s="26" t="n">
        <f aca="false">IF(B1216="","",VALUE(LEFT(B1216,2)))</f>
        <v>15</v>
      </c>
      <c r="M1216" s="26" t="n">
        <f aca="false">IF(A1216="","",IF(COUNTIFS($C$2:$C$5001,C1216,$J$2:$J$5001,J1216,$A$2:$A$5001,"&lt;"&amp;A1216)=0,1,0))</f>
        <v>0</v>
      </c>
    </row>
    <row r="1217" customFormat="false" ht="15" hidden="false" customHeight="false" outlineLevel="0" collapsed="false">
      <c r="A1217" s="23" t="n">
        <v>46001.75</v>
      </c>
      <c r="B1217" s="24" t="s">
        <v>641</v>
      </c>
      <c r="C1217" s="24" t="s">
        <v>391</v>
      </c>
      <c r="D1217" s="24" t="s">
        <v>66</v>
      </c>
      <c r="E1217" s="24" t="n">
        <v>83</v>
      </c>
      <c r="F1217" s="25" t="n">
        <v>3000</v>
      </c>
      <c r="G1217" s="24" t="s">
        <v>69</v>
      </c>
      <c r="H1217" s="24" t="s">
        <v>80</v>
      </c>
      <c r="I1217" s="24" t="s">
        <v>61</v>
      </c>
      <c r="J1217" s="26" t="n">
        <f aca="false">IF(A1217="","",YEAR(A1217))</f>
        <v>2025</v>
      </c>
      <c r="K1217" s="26" t="n">
        <f aca="false">IF(A1217="","",MONTH(A1217))</f>
        <v>12</v>
      </c>
      <c r="L1217" s="26" t="n">
        <f aca="false">IF(B1217="","",VALUE(LEFT(B1217,2)))</f>
        <v>16</v>
      </c>
      <c r="M1217" s="26" t="n">
        <f aca="false">IF(A1217="","",IF(COUNTIFS($C$2:$C$5001,C1217,$J$2:$J$5001,J1217,$A$2:$A$5001,"&lt;"&amp;A1217)=0,1,0))</f>
        <v>0</v>
      </c>
    </row>
    <row r="1218" customFormat="false" ht="15" hidden="false" customHeight="false" outlineLevel="0" collapsed="false">
      <c r="A1218" s="23" t="n">
        <v>46001.7868055556</v>
      </c>
      <c r="B1218" s="24" t="s">
        <v>871</v>
      </c>
      <c r="C1218" s="24" t="s">
        <v>235</v>
      </c>
      <c r="D1218" s="24" t="s">
        <v>88</v>
      </c>
      <c r="E1218" s="24" t="n">
        <v>115</v>
      </c>
      <c r="F1218" s="25" t="n">
        <v>0</v>
      </c>
      <c r="G1218" s="24" t="s">
        <v>59</v>
      </c>
      <c r="H1218" s="24" t="s">
        <v>60</v>
      </c>
      <c r="I1218" s="24" t="s">
        <v>56</v>
      </c>
      <c r="J1218" s="26" t="n">
        <f aca="false">IF(A1218="","",YEAR(A1218))</f>
        <v>2025</v>
      </c>
      <c r="K1218" s="26" t="n">
        <f aca="false">IF(A1218="","",MONTH(A1218))</f>
        <v>12</v>
      </c>
      <c r="L1218" s="26" t="n">
        <f aca="false">IF(B1218="","",VALUE(LEFT(B1218,2)))</f>
        <v>16</v>
      </c>
      <c r="M1218" s="26" t="n">
        <f aca="false">IF(A1218="","",IF(COUNTIFS($C$2:$C$5001,C1218,$J$2:$J$5001,J1218,$A$2:$A$5001,"&lt;"&amp;A1218)=0,1,0))</f>
        <v>0</v>
      </c>
    </row>
    <row r="1219" customFormat="false" ht="15" hidden="false" customHeight="false" outlineLevel="0" collapsed="false">
      <c r="A1219" s="23" t="n">
        <v>46001.8625</v>
      </c>
      <c r="B1219" s="24" t="s">
        <v>844</v>
      </c>
      <c r="C1219" s="24" t="s">
        <v>184</v>
      </c>
      <c r="D1219" s="24" t="s">
        <v>53</v>
      </c>
      <c r="E1219" s="24" t="n">
        <v>395</v>
      </c>
      <c r="F1219" s="25" t="n">
        <v>7000</v>
      </c>
      <c r="G1219" s="24" t="s">
        <v>69</v>
      </c>
      <c r="H1219" s="24" t="s">
        <v>60</v>
      </c>
      <c r="I1219" s="24" t="s">
        <v>61</v>
      </c>
      <c r="J1219" s="26" t="n">
        <f aca="false">IF(A1219="","",YEAR(A1219))</f>
        <v>2025</v>
      </c>
      <c r="K1219" s="26" t="n">
        <f aca="false">IF(A1219="","",MONTH(A1219))</f>
        <v>12</v>
      </c>
      <c r="L1219" s="26" t="n">
        <f aca="false">IF(B1219="","",VALUE(LEFT(B1219,2)))</f>
        <v>14</v>
      </c>
      <c r="M1219" s="26" t="n">
        <f aca="false">IF(A1219="","",IF(COUNTIFS($C$2:$C$5001,C1219,$J$2:$J$5001,J1219,$A$2:$A$5001,"&lt;"&amp;A1219)=0,1,0))</f>
        <v>0</v>
      </c>
    </row>
    <row r="1220" customFormat="false" ht="15" hidden="false" customHeight="false" outlineLevel="0" collapsed="false">
      <c r="A1220" s="23" t="n">
        <v>46002.6291666667</v>
      </c>
      <c r="B1220" s="24" t="s">
        <v>872</v>
      </c>
      <c r="C1220" s="24" t="s">
        <v>82</v>
      </c>
      <c r="D1220" s="24" t="s">
        <v>66</v>
      </c>
      <c r="E1220" s="24" t="n">
        <v>273</v>
      </c>
      <c r="F1220" s="25" t="n">
        <v>0</v>
      </c>
      <c r="G1220" s="24" t="s">
        <v>69</v>
      </c>
      <c r="H1220" s="24" t="s">
        <v>55</v>
      </c>
      <c r="I1220" s="24" t="s">
        <v>56</v>
      </c>
      <c r="J1220" s="26" t="n">
        <f aca="false">IF(A1220="","",YEAR(A1220))</f>
        <v>2025</v>
      </c>
      <c r="K1220" s="26" t="n">
        <f aca="false">IF(A1220="","",MONTH(A1220))</f>
        <v>12</v>
      </c>
      <c r="L1220" s="26" t="n">
        <f aca="false">IF(B1220="","",VALUE(LEFT(B1220,2)))</f>
        <v>10</v>
      </c>
      <c r="M1220" s="26" t="n">
        <f aca="false">IF(A1220="","",IF(COUNTIFS($C$2:$C$5001,C1220,$J$2:$J$5001,J1220,$A$2:$A$5001,"&lt;"&amp;A1220)=0,1,0))</f>
        <v>0</v>
      </c>
    </row>
    <row r="1221" customFormat="false" ht="15" hidden="false" customHeight="false" outlineLevel="0" collapsed="false">
      <c r="A1221" s="23" t="n">
        <v>46002.7041666667</v>
      </c>
      <c r="B1221" s="24" t="s">
        <v>739</v>
      </c>
      <c r="C1221" s="24" t="s">
        <v>609</v>
      </c>
      <c r="D1221" s="24" t="s">
        <v>53</v>
      </c>
      <c r="E1221" s="24" t="n">
        <v>67</v>
      </c>
      <c r="F1221" s="25" t="n">
        <v>1500</v>
      </c>
      <c r="G1221" s="24" t="s">
        <v>69</v>
      </c>
      <c r="H1221" s="24" t="s">
        <v>55</v>
      </c>
      <c r="I1221" s="24" t="s">
        <v>61</v>
      </c>
      <c r="J1221" s="26" t="n">
        <f aca="false">IF(A1221="","",YEAR(A1221))</f>
        <v>2025</v>
      </c>
      <c r="K1221" s="26" t="n">
        <f aca="false">IF(A1221="","",MONTH(A1221))</f>
        <v>12</v>
      </c>
      <c r="L1221" s="26" t="n">
        <f aca="false">IF(B1221="","",VALUE(LEFT(B1221,2)))</f>
        <v>15</v>
      </c>
      <c r="M1221" s="26" t="n">
        <f aca="false">IF(A1221="","",IF(COUNTIFS($C$2:$C$5001,C1221,$J$2:$J$5001,J1221,$A$2:$A$5001,"&lt;"&amp;A1221)=0,1,0))</f>
        <v>0</v>
      </c>
    </row>
    <row r="1222" customFormat="false" ht="15" hidden="false" customHeight="false" outlineLevel="0" collapsed="false">
      <c r="A1222" s="23" t="n">
        <v>46002.7652777778</v>
      </c>
      <c r="B1222" s="24" t="s">
        <v>873</v>
      </c>
      <c r="C1222" s="24" t="s">
        <v>98</v>
      </c>
      <c r="D1222" s="24" t="s">
        <v>53</v>
      </c>
      <c r="E1222" s="24" t="n">
        <v>193</v>
      </c>
      <c r="F1222" s="25" t="n">
        <v>3500</v>
      </c>
      <c r="G1222" s="24" t="s">
        <v>59</v>
      </c>
      <c r="H1222" s="24" t="s">
        <v>80</v>
      </c>
      <c r="I1222" s="24" t="s">
        <v>61</v>
      </c>
      <c r="J1222" s="26" t="n">
        <f aca="false">IF(A1222="","",YEAR(A1222))</f>
        <v>2025</v>
      </c>
      <c r="K1222" s="26" t="n">
        <f aca="false">IF(A1222="","",MONTH(A1222))</f>
        <v>12</v>
      </c>
      <c r="L1222" s="26" t="n">
        <f aca="false">IF(B1222="","",VALUE(LEFT(B1222,2)))</f>
        <v>15</v>
      </c>
      <c r="M1222" s="26" t="n">
        <f aca="false">IF(A1222="","",IF(COUNTIFS($C$2:$C$5001,C1222,$J$2:$J$5001,J1222,$A$2:$A$5001,"&lt;"&amp;A1222)=0,1,0))</f>
        <v>0</v>
      </c>
    </row>
    <row r="1223" customFormat="false" ht="15" hidden="false" customHeight="false" outlineLevel="0" collapsed="false">
      <c r="A1223" s="23" t="n">
        <v>46003.5493055556</v>
      </c>
      <c r="B1223" s="24" t="s">
        <v>631</v>
      </c>
      <c r="C1223" s="24" t="s">
        <v>116</v>
      </c>
      <c r="D1223" s="24" t="s">
        <v>53</v>
      </c>
      <c r="E1223" s="24" t="n">
        <v>187</v>
      </c>
      <c r="F1223" s="25" t="n">
        <v>0</v>
      </c>
      <c r="G1223" s="24" t="s">
        <v>59</v>
      </c>
      <c r="H1223" s="24" t="s">
        <v>80</v>
      </c>
      <c r="I1223" s="24" t="s">
        <v>56</v>
      </c>
      <c r="J1223" s="26" t="n">
        <f aca="false">IF(A1223="","",YEAR(A1223))</f>
        <v>2025</v>
      </c>
      <c r="K1223" s="26" t="n">
        <f aca="false">IF(A1223="","",MONTH(A1223))</f>
        <v>12</v>
      </c>
      <c r="L1223" s="26" t="n">
        <f aca="false">IF(B1223="","",VALUE(LEFT(B1223,2)))</f>
        <v>10</v>
      </c>
      <c r="M1223" s="26" t="n">
        <f aca="false">IF(A1223="","",IF(COUNTIFS($C$2:$C$5001,C1223,$J$2:$J$5001,J1223,$A$2:$A$5001,"&lt;"&amp;A1223)=0,1,0))</f>
        <v>0</v>
      </c>
    </row>
    <row r="1224" customFormat="false" ht="15" hidden="false" customHeight="false" outlineLevel="0" collapsed="false">
      <c r="A1224" s="23" t="n">
        <v>46003.7298611111</v>
      </c>
      <c r="B1224" s="24" t="s">
        <v>606</v>
      </c>
      <c r="C1224" s="24" t="s">
        <v>263</v>
      </c>
      <c r="D1224" s="24" t="s">
        <v>53</v>
      </c>
      <c r="E1224" s="24" t="n">
        <v>156</v>
      </c>
      <c r="F1224" s="25" t="n">
        <v>3000</v>
      </c>
      <c r="G1224" s="24" t="s">
        <v>59</v>
      </c>
      <c r="H1224" s="24" t="s">
        <v>55</v>
      </c>
      <c r="I1224" s="24" t="s">
        <v>61</v>
      </c>
      <c r="J1224" s="26" t="n">
        <f aca="false">IF(A1224="","",YEAR(A1224))</f>
        <v>2025</v>
      </c>
      <c r="K1224" s="26" t="n">
        <f aca="false">IF(A1224="","",MONTH(A1224))</f>
        <v>12</v>
      </c>
      <c r="L1224" s="26" t="n">
        <f aca="false">IF(B1224="","",VALUE(LEFT(B1224,2)))</f>
        <v>14</v>
      </c>
      <c r="M1224" s="26" t="n">
        <f aca="false">IF(A1224="","",IF(COUNTIFS($C$2:$C$5001,C1224,$J$2:$J$5001,J1224,$A$2:$A$5001,"&lt;"&amp;A1224)=0,1,0))</f>
        <v>0</v>
      </c>
    </row>
    <row r="1225" customFormat="false" ht="15" hidden="false" customHeight="false" outlineLevel="0" collapsed="false">
      <c r="A1225" s="23" t="n">
        <v>46003.7458333333</v>
      </c>
      <c r="B1225" s="24" t="s">
        <v>496</v>
      </c>
      <c r="C1225" s="24" t="s">
        <v>147</v>
      </c>
      <c r="D1225" s="24" t="s">
        <v>66</v>
      </c>
      <c r="E1225" s="24" t="n">
        <v>183</v>
      </c>
      <c r="F1225" s="25" t="n">
        <v>7000</v>
      </c>
      <c r="G1225" s="24" t="s">
        <v>59</v>
      </c>
      <c r="H1225" s="24" t="s">
        <v>60</v>
      </c>
      <c r="I1225" s="24" t="s">
        <v>61</v>
      </c>
      <c r="J1225" s="26" t="n">
        <f aca="false">IF(A1225="","",YEAR(A1225))</f>
        <v>2025</v>
      </c>
      <c r="K1225" s="26" t="n">
        <f aca="false">IF(A1225="","",MONTH(A1225))</f>
        <v>12</v>
      </c>
      <c r="L1225" s="26" t="n">
        <f aca="false">IF(B1225="","",VALUE(LEFT(B1225,2)))</f>
        <v>14</v>
      </c>
      <c r="M1225" s="26" t="n">
        <f aca="false">IF(A1225="","",IF(COUNTIFS($C$2:$C$5001,C1225,$J$2:$J$5001,J1225,$A$2:$A$5001,"&lt;"&amp;A1225)=0,1,0))</f>
        <v>0</v>
      </c>
    </row>
    <row r="1226" customFormat="false" ht="15" hidden="false" customHeight="false" outlineLevel="0" collapsed="false">
      <c r="A1226" s="23" t="n">
        <v>46003.9986111111</v>
      </c>
      <c r="B1226" s="24" t="s">
        <v>874</v>
      </c>
      <c r="C1226" s="24" t="s">
        <v>179</v>
      </c>
      <c r="D1226" s="24" t="s">
        <v>66</v>
      </c>
      <c r="E1226" s="24" t="n">
        <v>324</v>
      </c>
      <c r="F1226" s="25" t="n">
        <v>11000</v>
      </c>
      <c r="G1226" s="24" t="s">
        <v>54</v>
      </c>
      <c r="H1226" s="24" t="s">
        <v>60</v>
      </c>
      <c r="I1226" s="24" t="s">
        <v>61</v>
      </c>
      <c r="J1226" s="26" t="n">
        <f aca="false">IF(A1226="","",YEAR(A1226))</f>
        <v>2025</v>
      </c>
      <c r="K1226" s="26" t="n">
        <f aca="false">IF(A1226="","",MONTH(A1226))</f>
        <v>12</v>
      </c>
      <c r="L1226" s="26" t="n">
        <f aca="false">IF(B1226="","",VALUE(LEFT(B1226,2)))</f>
        <v>18</v>
      </c>
      <c r="M1226" s="26" t="n">
        <f aca="false">IF(A1226="","",IF(COUNTIFS($C$2:$C$5001,C1226,$J$2:$J$5001,J1226,$A$2:$A$5001,"&lt;"&amp;A1226)=0,1,0))</f>
        <v>0</v>
      </c>
    </row>
    <row r="1227" customFormat="false" ht="15" hidden="false" customHeight="false" outlineLevel="0" collapsed="false">
      <c r="A1227" s="23" t="n">
        <v>46004.0090277778</v>
      </c>
      <c r="B1227" s="24" t="s">
        <v>527</v>
      </c>
      <c r="C1227" s="24" t="s">
        <v>360</v>
      </c>
      <c r="D1227" s="24" t="s">
        <v>66</v>
      </c>
      <c r="E1227" s="24" t="n">
        <v>400</v>
      </c>
      <c r="F1227" s="25" t="n">
        <v>14000</v>
      </c>
      <c r="G1227" s="24" t="s">
        <v>59</v>
      </c>
      <c r="H1227" s="24" t="s">
        <v>80</v>
      </c>
      <c r="I1227" s="24" t="s">
        <v>61</v>
      </c>
      <c r="J1227" s="26" t="n">
        <f aca="false">IF(A1227="","",YEAR(A1227))</f>
        <v>2025</v>
      </c>
      <c r="K1227" s="26" t="n">
        <f aca="false">IF(A1227="","",MONTH(A1227))</f>
        <v>12</v>
      </c>
      <c r="L1227" s="26" t="n">
        <f aca="false">IF(B1227="","",VALUE(LEFT(B1227,2)))</f>
        <v>17</v>
      </c>
      <c r="M1227" s="26" t="n">
        <f aca="false">IF(A1227="","",IF(COUNTIFS($C$2:$C$5001,C1227,$J$2:$J$5001,J1227,$A$2:$A$5001,"&lt;"&amp;A1227)=0,1,0))</f>
        <v>0</v>
      </c>
    </row>
    <row r="1228" customFormat="false" ht="15" hidden="false" customHeight="false" outlineLevel="0" collapsed="false">
      <c r="A1228" s="23" t="n">
        <v>46004.3395833333</v>
      </c>
      <c r="B1228" s="24" t="s">
        <v>281</v>
      </c>
      <c r="C1228" s="24" t="s">
        <v>430</v>
      </c>
      <c r="D1228" s="24" t="s">
        <v>66</v>
      </c>
      <c r="E1228" s="24" t="n">
        <v>31</v>
      </c>
      <c r="F1228" s="25" t="n">
        <v>2000</v>
      </c>
      <c r="G1228" s="24" t="s">
        <v>59</v>
      </c>
      <c r="H1228" s="24" t="s">
        <v>80</v>
      </c>
      <c r="I1228" s="24" t="s">
        <v>61</v>
      </c>
      <c r="J1228" s="26" t="n">
        <f aca="false">IF(A1228="","",YEAR(A1228))</f>
        <v>2025</v>
      </c>
      <c r="K1228" s="26" t="n">
        <f aca="false">IF(A1228="","",MONTH(A1228))</f>
        <v>12</v>
      </c>
      <c r="L1228" s="26" t="n">
        <f aca="false">IF(B1228="","",VALUE(LEFT(B1228,2)))</f>
        <v>7</v>
      </c>
      <c r="M1228" s="26" t="n">
        <f aca="false">IF(A1228="","",IF(COUNTIFS($C$2:$C$5001,C1228,$J$2:$J$5001,J1228,$A$2:$A$5001,"&lt;"&amp;A1228)=0,1,0))</f>
        <v>0</v>
      </c>
    </row>
    <row r="1229" customFormat="false" ht="15" hidden="false" customHeight="false" outlineLevel="0" collapsed="false">
      <c r="A1229" s="23" t="n">
        <v>46004.4548611111</v>
      </c>
      <c r="B1229" s="24" t="s">
        <v>875</v>
      </c>
      <c r="C1229" s="24" t="s">
        <v>324</v>
      </c>
      <c r="D1229" s="24" t="s">
        <v>88</v>
      </c>
      <c r="E1229" s="24" t="n">
        <v>67</v>
      </c>
      <c r="F1229" s="25" t="n">
        <v>4500</v>
      </c>
      <c r="G1229" s="24" t="s">
        <v>59</v>
      </c>
      <c r="H1229" s="24" t="s">
        <v>80</v>
      </c>
      <c r="I1229" s="24" t="s">
        <v>61</v>
      </c>
      <c r="J1229" s="26" t="n">
        <f aca="false">IF(A1229="","",YEAR(A1229))</f>
        <v>2025</v>
      </c>
      <c r="K1229" s="26" t="n">
        <f aca="false">IF(A1229="","",MONTH(A1229))</f>
        <v>12</v>
      </c>
      <c r="L1229" s="26" t="n">
        <f aca="false">IF(B1229="","",VALUE(LEFT(B1229,2)))</f>
        <v>9</v>
      </c>
      <c r="M1229" s="26" t="n">
        <f aca="false">IF(A1229="","",IF(COUNTIFS($C$2:$C$5001,C1229,$J$2:$J$5001,J1229,$A$2:$A$5001,"&lt;"&amp;A1229)=0,1,0))</f>
        <v>0</v>
      </c>
    </row>
    <row r="1230" customFormat="false" ht="15" hidden="false" customHeight="false" outlineLevel="0" collapsed="false">
      <c r="A1230" s="23" t="n">
        <v>46004.5166666667</v>
      </c>
      <c r="B1230" s="24" t="s">
        <v>161</v>
      </c>
      <c r="C1230" s="24" t="s">
        <v>147</v>
      </c>
      <c r="D1230" s="24" t="s">
        <v>53</v>
      </c>
      <c r="E1230" s="24" t="n">
        <v>318</v>
      </c>
      <c r="F1230" s="25" t="n">
        <v>5500</v>
      </c>
      <c r="G1230" s="24" t="s">
        <v>54</v>
      </c>
      <c r="H1230" s="24" t="s">
        <v>60</v>
      </c>
      <c r="I1230" s="24" t="s">
        <v>61</v>
      </c>
      <c r="J1230" s="26" t="n">
        <f aca="false">IF(A1230="","",YEAR(A1230))</f>
        <v>2025</v>
      </c>
      <c r="K1230" s="26" t="n">
        <f aca="false">IF(A1230="","",MONTH(A1230))</f>
        <v>12</v>
      </c>
      <c r="L1230" s="26" t="n">
        <f aca="false">IF(B1230="","",VALUE(LEFT(B1230,2)))</f>
        <v>7</v>
      </c>
      <c r="M1230" s="26" t="n">
        <f aca="false">IF(A1230="","",IF(COUNTIFS($C$2:$C$5001,C1230,$J$2:$J$5001,J1230,$A$2:$A$5001,"&lt;"&amp;A1230)=0,1,0))</f>
        <v>0</v>
      </c>
    </row>
    <row r="1231" customFormat="false" ht="15" hidden="false" customHeight="false" outlineLevel="0" collapsed="false">
      <c r="A1231" s="23" t="n">
        <v>46004.6479166667</v>
      </c>
      <c r="B1231" s="24" t="s">
        <v>340</v>
      </c>
      <c r="C1231" s="24" t="s">
        <v>463</v>
      </c>
      <c r="D1231" s="24" t="s">
        <v>66</v>
      </c>
      <c r="E1231" s="24" t="n">
        <v>307</v>
      </c>
      <c r="F1231" s="25" t="n">
        <v>9350</v>
      </c>
      <c r="G1231" s="24" t="s">
        <v>59</v>
      </c>
      <c r="H1231" s="24" t="s">
        <v>80</v>
      </c>
      <c r="I1231" s="24" t="s">
        <v>113</v>
      </c>
      <c r="J1231" s="26" t="n">
        <f aca="false">IF(A1231="","",YEAR(A1231))</f>
        <v>2025</v>
      </c>
      <c r="K1231" s="26" t="n">
        <f aca="false">IF(A1231="","",MONTH(A1231))</f>
        <v>12</v>
      </c>
      <c r="L1231" s="26" t="n">
        <f aca="false">IF(B1231="","",VALUE(LEFT(B1231,2)))</f>
        <v>10</v>
      </c>
      <c r="M1231" s="26" t="n">
        <f aca="false">IF(A1231="","",IF(COUNTIFS($C$2:$C$5001,C1231,$J$2:$J$5001,J1231,$A$2:$A$5001,"&lt;"&amp;A1231)=0,1,0))</f>
        <v>0</v>
      </c>
    </row>
    <row r="1232" customFormat="false" ht="15" hidden="false" customHeight="false" outlineLevel="0" collapsed="false">
      <c r="A1232" s="23" t="n">
        <v>46004.8027777778</v>
      </c>
      <c r="B1232" s="24" t="s">
        <v>772</v>
      </c>
      <c r="C1232" s="24" t="s">
        <v>203</v>
      </c>
      <c r="D1232" s="24" t="s">
        <v>72</v>
      </c>
      <c r="E1232" s="24" t="n">
        <v>361</v>
      </c>
      <c r="F1232" s="25" t="n">
        <v>26000</v>
      </c>
      <c r="G1232" s="24" t="s">
        <v>59</v>
      </c>
      <c r="H1232" s="24" t="s">
        <v>55</v>
      </c>
      <c r="I1232" s="24" t="s">
        <v>61</v>
      </c>
      <c r="J1232" s="26" t="n">
        <f aca="false">IF(A1232="","",YEAR(A1232))</f>
        <v>2025</v>
      </c>
      <c r="K1232" s="26" t="n">
        <f aca="false">IF(A1232="","",MONTH(A1232))</f>
        <v>12</v>
      </c>
      <c r="L1232" s="26" t="n">
        <f aca="false">IF(B1232="","",VALUE(LEFT(B1232,2)))</f>
        <v>13</v>
      </c>
      <c r="M1232" s="26" t="n">
        <f aca="false">IF(A1232="","",IF(COUNTIFS($C$2:$C$5001,C1232,$J$2:$J$5001,J1232,$A$2:$A$5001,"&lt;"&amp;A1232)=0,1,0))</f>
        <v>0</v>
      </c>
    </row>
    <row r="1233" customFormat="false" ht="15" hidden="false" customHeight="false" outlineLevel="0" collapsed="false">
      <c r="A1233" s="23" t="n">
        <v>46004.9527777778</v>
      </c>
      <c r="B1233" s="24" t="s">
        <v>733</v>
      </c>
      <c r="C1233" s="24" t="s">
        <v>268</v>
      </c>
      <c r="D1233" s="24" t="s">
        <v>66</v>
      </c>
      <c r="E1233" s="24" t="n">
        <v>315</v>
      </c>
      <c r="F1233" s="25" t="n">
        <v>11000</v>
      </c>
      <c r="G1233" s="24" t="s">
        <v>59</v>
      </c>
      <c r="H1233" s="24" t="s">
        <v>60</v>
      </c>
      <c r="I1233" s="24" t="s">
        <v>61</v>
      </c>
      <c r="J1233" s="26" t="n">
        <f aca="false">IF(A1233="","",YEAR(A1233))</f>
        <v>2025</v>
      </c>
      <c r="K1233" s="26" t="n">
        <f aca="false">IF(A1233="","",MONTH(A1233))</f>
        <v>12</v>
      </c>
      <c r="L1233" s="26" t="n">
        <f aca="false">IF(B1233="","",VALUE(LEFT(B1233,2)))</f>
        <v>17</v>
      </c>
      <c r="M1233" s="26" t="n">
        <f aca="false">IF(A1233="","",IF(COUNTIFS($C$2:$C$5001,C1233,$J$2:$J$5001,J1233,$A$2:$A$5001,"&lt;"&amp;A1233)=0,1,0))</f>
        <v>0</v>
      </c>
    </row>
    <row r="1234" customFormat="false" ht="15" hidden="false" customHeight="false" outlineLevel="0" collapsed="false">
      <c r="A1234" s="23" t="n">
        <v>46005.4055555556</v>
      </c>
      <c r="B1234" s="24" t="s">
        <v>298</v>
      </c>
      <c r="C1234" s="24" t="s">
        <v>403</v>
      </c>
      <c r="D1234" s="24" t="s">
        <v>127</v>
      </c>
      <c r="E1234" s="24" t="n">
        <v>112</v>
      </c>
      <c r="F1234" s="25" t="n">
        <v>7000</v>
      </c>
      <c r="G1234" s="24" t="s">
        <v>59</v>
      </c>
      <c r="H1234" s="24" t="s">
        <v>55</v>
      </c>
      <c r="I1234" s="24" t="s">
        <v>61</v>
      </c>
      <c r="J1234" s="26" t="n">
        <f aca="false">IF(A1234="","",YEAR(A1234))</f>
        <v>2025</v>
      </c>
      <c r="K1234" s="26" t="n">
        <f aca="false">IF(A1234="","",MONTH(A1234))</f>
        <v>12</v>
      </c>
      <c r="L1234" s="26" t="n">
        <f aca="false">IF(B1234="","",VALUE(LEFT(B1234,2)))</f>
        <v>7</v>
      </c>
      <c r="M1234" s="26" t="n">
        <f aca="false">IF(A1234="","",IF(COUNTIFS($C$2:$C$5001,C1234,$J$2:$J$5001,J1234,$A$2:$A$5001,"&lt;"&amp;A1234)=0,1,0))</f>
        <v>0</v>
      </c>
    </row>
    <row r="1235" customFormat="false" ht="15" hidden="false" customHeight="false" outlineLevel="0" collapsed="false">
      <c r="A1235" s="23" t="n">
        <v>46005.5784722222</v>
      </c>
      <c r="B1235" s="24" t="s">
        <v>135</v>
      </c>
      <c r="C1235" s="24" t="s">
        <v>213</v>
      </c>
      <c r="D1235" s="24" t="s">
        <v>66</v>
      </c>
      <c r="E1235" s="24" t="n">
        <v>149</v>
      </c>
      <c r="F1235" s="25" t="n">
        <v>4250</v>
      </c>
      <c r="G1235" s="24" t="s">
        <v>59</v>
      </c>
      <c r="H1235" s="24" t="s">
        <v>55</v>
      </c>
      <c r="I1235" s="24" t="s">
        <v>113</v>
      </c>
      <c r="J1235" s="26" t="n">
        <f aca="false">IF(A1235="","",YEAR(A1235))</f>
        <v>2025</v>
      </c>
      <c r="K1235" s="26" t="n">
        <f aca="false">IF(A1235="","",MONTH(A1235))</f>
        <v>12</v>
      </c>
      <c r="L1235" s="26" t="n">
        <f aca="false">IF(B1235="","",VALUE(LEFT(B1235,2)))</f>
        <v>11</v>
      </c>
      <c r="M1235" s="26" t="n">
        <f aca="false">IF(A1235="","",IF(COUNTIFS($C$2:$C$5001,C1235,$J$2:$J$5001,J1235,$A$2:$A$5001,"&lt;"&amp;A1235)=0,1,0))</f>
        <v>0</v>
      </c>
    </row>
    <row r="1236" customFormat="false" ht="15" hidden="false" customHeight="false" outlineLevel="0" collapsed="false">
      <c r="A1236" s="23" t="n">
        <v>46005.7319444444</v>
      </c>
      <c r="B1236" s="24" t="s">
        <v>460</v>
      </c>
      <c r="C1236" s="24" t="s">
        <v>85</v>
      </c>
      <c r="D1236" s="24" t="s">
        <v>66</v>
      </c>
      <c r="E1236" s="24" t="n">
        <v>274</v>
      </c>
      <c r="F1236" s="25" t="n">
        <v>0</v>
      </c>
      <c r="G1236" s="24" t="s">
        <v>59</v>
      </c>
      <c r="H1236" s="24" t="s">
        <v>60</v>
      </c>
      <c r="I1236" s="24" t="s">
        <v>56</v>
      </c>
      <c r="J1236" s="26" t="n">
        <f aca="false">IF(A1236="","",YEAR(A1236))</f>
        <v>2025</v>
      </c>
      <c r="K1236" s="26" t="n">
        <f aca="false">IF(A1236="","",MONTH(A1236))</f>
        <v>12</v>
      </c>
      <c r="L1236" s="26" t="n">
        <f aca="false">IF(B1236="","",VALUE(LEFT(B1236,2)))</f>
        <v>13</v>
      </c>
      <c r="M1236" s="26" t="n">
        <f aca="false">IF(A1236="","",IF(COUNTIFS($C$2:$C$5001,C1236,$J$2:$J$5001,J1236,$A$2:$A$5001,"&lt;"&amp;A1236)=0,1,0))</f>
        <v>0</v>
      </c>
    </row>
    <row r="1237" customFormat="false" ht="15" hidden="false" customHeight="false" outlineLevel="0" collapsed="false">
      <c r="A1237" s="23" t="n">
        <v>46005.7638888889</v>
      </c>
      <c r="B1237" s="24" t="s">
        <v>525</v>
      </c>
      <c r="C1237" s="24" t="s">
        <v>876</v>
      </c>
      <c r="D1237" s="24" t="s">
        <v>53</v>
      </c>
      <c r="E1237" s="24" t="n">
        <v>236</v>
      </c>
      <c r="F1237" s="25" t="n">
        <v>4000</v>
      </c>
      <c r="G1237" s="24" t="s">
        <v>59</v>
      </c>
      <c r="H1237" s="24" t="s">
        <v>80</v>
      </c>
      <c r="I1237" s="24" t="s">
        <v>61</v>
      </c>
      <c r="J1237" s="26" t="n">
        <f aca="false">IF(A1237="","",YEAR(A1237))</f>
        <v>2025</v>
      </c>
      <c r="K1237" s="26" t="n">
        <f aca="false">IF(A1237="","",MONTH(A1237))</f>
        <v>12</v>
      </c>
      <c r="L1237" s="26" t="n">
        <f aca="false">IF(B1237="","",VALUE(LEFT(B1237,2)))</f>
        <v>14</v>
      </c>
      <c r="M1237" s="26" t="n">
        <f aca="false">IF(A1237="","",IF(COUNTIFS($C$2:$C$5001,C1237,$J$2:$J$5001,J1237,$A$2:$A$5001,"&lt;"&amp;A1237)=0,1,0))</f>
        <v>1</v>
      </c>
    </row>
    <row r="1238" customFormat="false" ht="15" hidden="false" customHeight="false" outlineLevel="0" collapsed="false">
      <c r="A1238" s="23" t="n">
        <v>46005.9548611111</v>
      </c>
      <c r="B1238" s="24" t="s">
        <v>877</v>
      </c>
      <c r="C1238" s="24" t="s">
        <v>343</v>
      </c>
      <c r="D1238" s="24" t="s">
        <v>66</v>
      </c>
      <c r="E1238" s="24" t="n">
        <v>400</v>
      </c>
      <c r="F1238" s="25" t="n">
        <v>14000</v>
      </c>
      <c r="G1238" s="24" t="s">
        <v>69</v>
      </c>
      <c r="H1238" s="24" t="s">
        <v>55</v>
      </c>
      <c r="I1238" s="24" t="s">
        <v>61</v>
      </c>
      <c r="J1238" s="26" t="n">
        <f aca="false">IF(A1238="","",YEAR(A1238))</f>
        <v>2025</v>
      </c>
      <c r="K1238" s="26" t="n">
        <f aca="false">IF(A1238="","",MONTH(A1238))</f>
        <v>12</v>
      </c>
      <c r="L1238" s="26" t="n">
        <f aca="false">IF(B1238="","",VALUE(LEFT(B1238,2)))</f>
        <v>16</v>
      </c>
      <c r="M1238" s="26" t="n">
        <f aca="false">IF(A1238="","",IF(COUNTIFS($C$2:$C$5001,C1238,$J$2:$J$5001,J1238,$A$2:$A$5001,"&lt;"&amp;A1238)=0,1,0))</f>
        <v>0</v>
      </c>
    </row>
    <row r="1239" customFormat="false" ht="15" hidden="false" customHeight="false" outlineLevel="0" collapsed="false">
      <c r="A1239" s="23" t="n">
        <v>46006.43125</v>
      </c>
      <c r="B1239" s="24" t="s">
        <v>878</v>
      </c>
      <c r="C1239" s="24" t="s">
        <v>152</v>
      </c>
      <c r="D1239" s="24" t="s">
        <v>72</v>
      </c>
      <c r="E1239" s="24" t="n">
        <v>99</v>
      </c>
      <c r="F1239" s="25" t="n">
        <v>6800</v>
      </c>
      <c r="G1239" s="24" t="s">
        <v>59</v>
      </c>
      <c r="H1239" s="24" t="s">
        <v>55</v>
      </c>
      <c r="I1239" s="24" t="s">
        <v>113</v>
      </c>
      <c r="J1239" s="26" t="n">
        <f aca="false">IF(A1239="","",YEAR(A1239))</f>
        <v>2025</v>
      </c>
      <c r="K1239" s="26" t="n">
        <f aca="false">IF(A1239="","",MONTH(A1239))</f>
        <v>12</v>
      </c>
      <c r="L1239" s="26" t="n">
        <f aca="false">IF(B1239="","",VALUE(LEFT(B1239,2)))</f>
        <v>8</v>
      </c>
      <c r="M1239" s="26" t="n">
        <f aca="false">IF(A1239="","",IF(COUNTIFS($C$2:$C$5001,C1239,$J$2:$J$5001,J1239,$A$2:$A$5001,"&lt;"&amp;A1239)=0,1,0))</f>
        <v>0</v>
      </c>
    </row>
    <row r="1240" customFormat="false" ht="15" hidden="false" customHeight="false" outlineLevel="0" collapsed="false">
      <c r="A1240" s="23" t="n">
        <v>46006.4520833333</v>
      </c>
      <c r="B1240" s="24" t="s">
        <v>272</v>
      </c>
      <c r="C1240" s="24" t="s">
        <v>188</v>
      </c>
      <c r="D1240" s="24" t="s">
        <v>66</v>
      </c>
      <c r="E1240" s="24" t="n">
        <v>134</v>
      </c>
      <c r="F1240" s="25" t="n">
        <v>5000</v>
      </c>
      <c r="G1240" s="24" t="s">
        <v>69</v>
      </c>
      <c r="H1240" s="24" t="s">
        <v>55</v>
      </c>
      <c r="I1240" s="24" t="s">
        <v>61</v>
      </c>
      <c r="J1240" s="26" t="n">
        <f aca="false">IF(A1240="","",YEAR(A1240))</f>
        <v>2025</v>
      </c>
      <c r="K1240" s="26" t="n">
        <f aca="false">IF(A1240="","",MONTH(A1240))</f>
        <v>12</v>
      </c>
      <c r="L1240" s="26" t="n">
        <f aca="false">IF(B1240="","",VALUE(LEFT(B1240,2)))</f>
        <v>8</v>
      </c>
      <c r="M1240" s="26" t="n">
        <f aca="false">IF(A1240="","",IF(COUNTIFS($C$2:$C$5001,C1240,$J$2:$J$5001,J1240,$A$2:$A$5001,"&lt;"&amp;A1240)=0,1,0))</f>
        <v>0</v>
      </c>
    </row>
    <row r="1241" customFormat="false" ht="15" hidden="false" customHeight="false" outlineLevel="0" collapsed="false">
      <c r="A1241" s="23" t="n">
        <v>46006.4541666667</v>
      </c>
      <c r="B1241" s="24" t="s">
        <v>600</v>
      </c>
      <c r="C1241" s="24" t="s">
        <v>268</v>
      </c>
      <c r="D1241" s="24" t="s">
        <v>53</v>
      </c>
      <c r="E1241" s="24" t="n">
        <v>26</v>
      </c>
      <c r="F1241" s="25" t="n">
        <v>500</v>
      </c>
      <c r="G1241" s="24" t="s">
        <v>59</v>
      </c>
      <c r="H1241" s="24" t="s">
        <v>80</v>
      </c>
      <c r="I1241" s="24" t="s">
        <v>61</v>
      </c>
      <c r="J1241" s="26" t="n">
        <f aca="false">IF(A1241="","",YEAR(A1241))</f>
        <v>2025</v>
      </c>
      <c r="K1241" s="26" t="n">
        <f aca="false">IF(A1241="","",MONTH(A1241))</f>
        <v>12</v>
      </c>
      <c r="L1241" s="26" t="n">
        <f aca="false">IF(B1241="","",VALUE(LEFT(B1241,2)))</f>
        <v>10</v>
      </c>
      <c r="M1241" s="26" t="n">
        <f aca="false">IF(A1241="","",IF(COUNTIFS($C$2:$C$5001,C1241,$J$2:$J$5001,J1241,$A$2:$A$5001,"&lt;"&amp;A1241)=0,1,0))</f>
        <v>0</v>
      </c>
    </row>
    <row r="1242" customFormat="false" ht="15" hidden="false" customHeight="false" outlineLevel="0" collapsed="false">
      <c r="A1242" s="23" t="n">
        <v>46006.4993055556</v>
      </c>
      <c r="B1242" s="24" t="s">
        <v>707</v>
      </c>
      <c r="C1242" s="24" t="s">
        <v>58</v>
      </c>
      <c r="D1242" s="24" t="s">
        <v>66</v>
      </c>
      <c r="E1242" s="24" t="n">
        <v>85</v>
      </c>
      <c r="F1242" s="25" t="n">
        <v>0</v>
      </c>
      <c r="G1242" s="24" t="s">
        <v>59</v>
      </c>
      <c r="H1242" s="24" t="s">
        <v>55</v>
      </c>
      <c r="I1242" s="24" t="s">
        <v>56</v>
      </c>
      <c r="J1242" s="26" t="n">
        <f aca="false">IF(A1242="","",YEAR(A1242))</f>
        <v>2025</v>
      </c>
      <c r="K1242" s="26" t="n">
        <f aca="false">IF(A1242="","",MONTH(A1242))</f>
        <v>12</v>
      </c>
      <c r="L1242" s="26" t="n">
        <f aca="false">IF(B1242="","",VALUE(LEFT(B1242,2)))</f>
        <v>10</v>
      </c>
      <c r="M1242" s="26" t="n">
        <f aca="false">IF(A1242="","",IF(COUNTIFS($C$2:$C$5001,C1242,$J$2:$J$5001,J1242,$A$2:$A$5001,"&lt;"&amp;A1242)=0,1,0))</f>
        <v>0</v>
      </c>
    </row>
    <row r="1243" customFormat="false" ht="15" hidden="false" customHeight="false" outlineLevel="0" collapsed="false">
      <c r="A1243" s="23" t="n">
        <v>46006.7527777778</v>
      </c>
      <c r="B1243" s="24" t="s">
        <v>775</v>
      </c>
      <c r="C1243" s="24" t="s">
        <v>314</v>
      </c>
      <c r="D1243" s="24" t="s">
        <v>72</v>
      </c>
      <c r="E1243" s="24" t="n">
        <v>86</v>
      </c>
      <c r="F1243" s="25" t="n">
        <v>6000</v>
      </c>
      <c r="G1243" s="24" t="s">
        <v>69</v>
      </c>
      <c r="H1243" s="24" t="s">
        <v>80</v>
      </c>
      <c r="I1243" s="24" t="s">
        <v>61</v>
      </c>
      <c r="J1243" s="26" t="n">
        <f aca="false">IF(A1243="","",YEAR(A1243))</f>
        <v>2025</v>
      </c>
      <c r="K1243" s="26" t="n">
        <f aca="false">IF(A1243="","",MONTH(A1243))</f>
        <v>12</v>
      </c>
      <c r="L1243" s="26" t="n">
        <f aca="false">IF(B1243="","",VALUE(LEFT(B1243,2)))</f>
        <v>16</v>
      </c>
      <c r="M1243" s="26" t="n">
        <f aca="false">IF(A1243="","",IF(COUNTIFS($C$2:$C$5001,C1243,$J$2:$J$5001,J1243,$A$2:$A$5001,"&lt;"&amp;A1243)=0,1,0))</f>
        <v>0</v>
      </c>
    </row>
    <row r="1244" customFormat="false" ht="15" hidden="false" customHeight="false" outlineLevel="0" collapsed="false">
      <c r="A1244" s="23" t="n">
        <v>46006.9604166667</v>
      </c>
      <c r="B1244" s="24" t="s">
        <v>533</v>
      </c>
      <c r="C1244" s="24" t="s">
        <v>152</v>
      </c>
      <c r="D1244" s="24" t="s">
        <v>53</v>
      </c>
      <c r="E1244" s="24" t="n">
        <v>377</v>
      </c>
      <c r="F1244" s="25" t="n">
        <v>6500</v>
      </c>
      <c r="G1244" s="24" t="s">
        <v>69</v>
      </c>
      <c r="H1244" s="24" t="s">
        <v>60</v>
      </c>
      <c r="I1244" s="24" t="s">
        <v>61</v>
      </c>
      <c r="J1244" s="26" t="n">
        <f aca="false">IF(A1244="","",YEAR(A1244))</f>
        <v>2025</v>
      </c>
      <c r="K1244" s="26" t="n">
        <f aca="false">IF(A1244="","",MONTH(A1244))</f>
        <v>12</v>
      </c>
      <c r="L1244" s="26" t="n">
        <f aca="false">IF(B1244="","",VALUE(LEFT(B1244,2)))</f>
        <v>16</v>
      </c>
      <c r="M1244" s="26" t="n">
        <f aca="false">IF(A1244="","",IF(COUNTIFS($C$2:$C$5001,C1244,$J$2:$J$5001,J1244,$A$2:$A$5001,"&lt;"&amp;A1244)=0,1,0))</f>
        <v>0</v>
      </c>
    </row>
    <row r="1245" customFormat="false" ht="15" hidden="false" customHeight="false" outlineLevel="0" collapsed="false">
      <c r="A1245" s="23" t="n">
        <v>46007.3659722222</v>
      </c>
      <c r="B1245" s="24" t="s">
        <v>230</v>
      </c>
      <c r="C1245" s="24" t="s">
        <v>150</v>
      </c>
      <c r="D1245" s="24" t="s">
        <v>53</v>
      </c>
      <c r="E1245" s="24" t="n">
        <v>115</v>
      </c>
      <c r="F1245" s="25" t="n">
        <v>2000</v>
      </c>
      <c r="G1245" s="24" t="s">
        <v>59</v>
      </c>
      <c r="H1245" s="24" t="s">
        <v>55</v>
      </c>
      <c r="I1245" s="24" t="s">
        <v>61</v>
      </c>
      <c r="J1245" s="26" t="n">
        <f aca="false">IF(A1245="","",YEAR(A1245))</f>
        <v>2025</v>
      </c>
      <c r="K1245" s="26" t="n">
        <f aca="false">IF(A1245="","",MONTH(A1245))</f>
        <v>12</v>
      </c>
      <c r="L1245" s="26" t="n">
        <f aca="false">IF(B1245="","",VALUE(LEFT(B1245,2)))</f>
        <v>6</v>
      </c>
      <c r="M1245" s="26" t="n">
        <f aca="false">IF(A1245="","",IF(COUNTIFS($C$2:$C$5001,C1245,$J$2:$J$5001,J1245,$A$2:$A$5001,"&lt;"&amp;A1245)=0,1,0))</f>
        <v>0</v>
      </c>
    </row>
    <row r="1246" customFormat="false" ht="15" hidden="false" customHeight="false" outlineLevel="0" collapsed="false">
      <c r="A1246" s="23" t="n">
        <v>46007.4388888889</v>
      </c>
      <c r="B1246" s="24" t="s">
        <v>336</v>
      </c>
      <c r="C1246" s="24" t="s">
        <v>164</v>
      </c>
      <c r="D1246" s="24" t="s">
        <v>66</v>
      </c>
      <c r="E1246" s="24" t="n">
        <v>132</v>
      </c>
      <c r="F1246" s="25" t="n">
        <v>5000</v>
      </c>
      <c r="G1246" s="24" t="s">
        <v>59</v>
      </c>
      <c r="H1246" s="24" t="s">
        <v>80</v>
      </c>
      <c r="I1246" s="24" t="s">
        <v>61</v>
      </c>
      <c r="J1246" s="26" t="n">
        <f aca="false">IF(A1246="","",YEAR(A1246))</f>
        <v>2025</v>
      </c>
      <c r="K1246" s="26" t="n">
        <f aca="false">IF(A1246="","",MONTH(A1246))</f>
        <v>12</v>
      </c>
      <c r="L1246" s="26" t="n">
        <f aca="false">IF(B1246="","",VALUE(LEFT(B1246,2)))</f>
        <v>8</v>
      </c>
      <c r="M1246" s="26" t="n">
        <f aca="false">IF(A1246="","",IF(COUNTIFS($C$2:$C$5001,C1246,$J$2:$J$5001,J1246,$A$2:$A$5001,"&lt;"&amp;A1246)=0,1,0))</f>
        <v>0</v>
      </c>
    </row>
    <row r="1247" customFormat="false" ht="15" hidden="false" customHeight="false" outlineLevel="0" collapsed="false">
      <c r="A1247" s="23" t="n">
        <v>46007.9520833333</v>
      </c>
      <c r="B1247" s="24" t="s">
        <v>244</v>
      </c>
      <c r="C1247" s="24" t="s">
        <v>85</v>
      </c>
      <c r="D1247" s="24" t="s">
        <v>66</v>
      </c>
      <c r="E1247" s="24" t="n">
        <v>416</v>
      </c>
      <c r="F1247" s="25" t="n">
        <v>14000</v>
      </c>
      <c r="G1247" s="24" t="s">
        <v>59</v>
      </c>
      <c r="H1247" s="24" t="s">
        <v>60</v>
      </c>
      <c r="I1247" s="24" t="s">
        <v>61</v>
      </c>
      <c r="J1247" s="26" t="n">
        <f aca="false">IF(A1247="","",YEAR(A1247))</f>
        <v>2025</v>
      </c>
      <c r="K1247" s="26" t="n">
        <f aca="false">IF(A1247="","",MONTH(A1247))</f>
        <v>12</v>
      </c>
      <c r="L1247" s="26" t="n">
        <f aca="false">IF(B1247="","",VALUE(LEFT(B1247,2)))</f>
        <v>15</v>
      </c>
      <c r="M1247" s="26" t="n">
        <f aca="false">IF(A1247="","",IF(COUNTIFS($C$2:$C$5001,C1247,$J$2:$J$5001,J1247,$A$2:$A$5001,"&lt;"&amp;A1247)=0,1,0))</f>
        <v>0</v>
      </c>
    </row>
    <row r="1248" customFormat="false" ht="15" hidden="false" customHeight="false" outlineLevel="0" collapsed="false">
      <c r="A1248" s="23" t="n">
        <v>46008.3965277778</v>
      </c>
      <c r="B1248" s="24" t="s">
        <v>270</v>
      </c>
      <c r="C1248" s="24" t="s">
        <v>314</v>
      </c>
      <c r="D1248" s="24" t="s">
        <v>66</v>
      </c>
      <c r="E1248" s="24" t="n">
        <v>78</v>
      </c>
      <c r="F1248" s="25" t="n">
        <v>3000</v>
      </c>
      <c r="G1248" s="24" t="s">
        <v>59</v>
      </c>
      <c r="H1248" s="24" t="s">
        <v>55</v>
      </c>
      <c r="I1248" s="24" t="s">
        <v>61</v>
      </c>
      <c r="J1248" s="26" t="n">
        <f aca="false">IF(A1248="","",YEAR(A1248))</f>
        <v>2025</v>
      </c>
      <c r="K1248" s="26" t="n">
        <f aca="false">IF(A1248="","",MONTH(A1248))</f>
        <v>12</v>
      </c>
      <c r="L1248" s="26" t="n">
        <f aca="false">IF(B1248="","",VALUE(LEFT(B1248,2)))</f>
        <v>8</v>
      </c>
      <c r="M1248" s="26" t="n">
        <f aca="false">IF(A1248="","",IF(COUNTIFS($C$2:$C$5001,C1248,$J$2:$J$5001,J1248,$A$2:$A$5001,"&lt;"&amp;A1248)=0,1,0))</f>
        <v>0</v>
      </c>
    </row>
    <row r="1249" customFormat="false" ht="15" hidden="false" customHeight="false" outlineLevel="0" collapsed="false">
      <c r="A1249" s="23" t="n">
        <v>46008.4388888889</v>
      </c>
      <c r="B1249" s="24" t="s">
        <v>272</v>
      </c>
      <c r="C1249" s="24" t="s">
        <v>71</v>
      </c>
      <c r="D1249" s="24" t="s">
        <v>53</v>
      </c>
      <c r="E1249" s="24" t="n">
        <v>115</v>
      </c>
      <c r="F1249" s="25" t="n">
        <v>2000</v>
      </c>
      <c r="G1249" s="24" t="s">
        <v>69</v>
      </c>
      <c r="H1249" s="24" t="s">
        <v>55</v>
      </c>
      <c r="I1249" s="24" t="s">
        <v>61</v>
      </c>
      <c r="J1249" s="26" t="n">
        <f aca="false">IF(A1249="","",YEAR(A1249))</f>
        <v>2025</v>
      </c>
      <c r="K1249" s="26" t="n">
        <f aca="false">IF(A1249="","",MONTH(A1249))</f>
        <v>12</v>
      </c>
      <c r="L1249" s="26" t="n">
        <f aca="false">IF(B1249="","",VALUE(LEFT(B1249,2)))</f>
        <v>8</v>
      </c>
      <c r="M1249" s="26" t="n">
        <f aca="false">IF(A1249="","",IF(COUNTIFS($C$2:$C$5001,C1249,$J$2:$J$5001,J1249,$A$2:$A$5001,"&lt;"&amp;A1249)=0,1,0))</f>
        <v>0</v>
      </c>
    </row>
    <row r="1250" customFormat="false" ht="15" hidden="false" customHeight="false" outlineLevel="0" collapsed="false">
      <c r="A1250" s="23" t="n">
        <v>46008.7368055556</v>
      </c>
      <c r="B1250" s="24" t="s">
        <v>803</v>
      </c>
      <c r="C1250" s="24" t="s">
        <v>389</v>
      </c>
      <c r="D1250" s="24" t="s">
        <v>53</v>
      </c>
      <c r="E1250" s="24" t="n">
        <v>418</v>
      </c>
      <c r="F1250" s="25" t="n">
        <v>7000</v>
      </c>
      <c r="G1250" s="24" t="s">
        <v>59</v>
      </c>
      <c r="H1250" s="24" t="s">
        <v>60</v>
      </c>
      <c r="I1250" s="24" t="s">
        <v>61</v>
      </c>
      <c r="J1250" s="26" t="n">
        <f aca="false">IF(A1250="","",YEAR(A1250))</f>
        <v>2025</v>
      </c>
      <c r="K1250" s="26" t="n">
        <f aca="false">IF(A1250="","",MONTH(A1250))</f>
        <v>12</v>
      </c>
      <c r="L1250" s="26" t="n">
        <f aca="false">IF(B1250="","",VALUE(LEFT(B1250,2)))</f>
        <v>10</v>
      </c>
      <c r="M1250" s="26" t="n">
        <f aca="false">IF(A1250="","",IF(COUNTIFS($C$2:$C$5001,C1250,$J$2:$J$5001,J1250,$A$2:$A$5001,"&lt;"&amp;A1250)=0,1,0))</f>
        <v>0</v>
      </c>
    </row>
    <row r="1251" customFormat="false" ht="15" hidden="false" customHeight="false" outlineLevel="0" collapsed="false">
      <c r="A1251" s="23" t="n">
        <v>46008.7729166667</v>
      </c>
      <c r="B1251" s="24" t="s">
        <v>654</v>
      </c>
      <c r="C1251" s="24" t="s">
        <v>68</v>
      </c>
      <c r="D1251" s="24" t="s">
        <v>88</v>
      </c>
      <c r="E1251" s="24" t="n">
        <v>415</v>
      </c>
      <c r="F1251" s="25" t="n">
        <v>21000</v>
      </c>
      <c r="G1251" s="24" t="s">
        <v>59</v>
      </c>
      <c r="H1251" s="24" t="s">
        <v>60</v>
      </c>
      <c r="I1251" s="24" t="s">
        <v>61</v>
      </c>
      <c r="J1251" s="26" t="n">
        <f aca="false">IF(A1251="","",YEAR(A1251))</f>
        <v>2025</v>
      </c>
      <c r="K1251" s="26" t="n">
        <f aca="false">IF(A1251="","",MONTH(A1251))</f>
        <v>12</v>
      </c>
      <c r="L1251" s="26" t="n">
        <f aca="false">IF(B1251="","",VALUE(LEFT(B1251,2)))</f>
        <v>11</v>
      </c>
      <c r="M1251" s="26" t="n">
        <f aca="false">IF(A1251="","",IF(COUNTIFS($C$2:$C$5001,C1251,$J$2:$J$5001,J1251,$A$2:$A$5001,"&lt;"&amp;A1251)=0,1,0))</f>
        <v>0</v>
      </c>
    </row>
    <row r="1252" customFormat="false" ht="15" hidden="false" customHeight="false" outlineLevel="0" collapsed="false">
      <c r="A1252" s="23" t="n">
        <v>46009.3583333333</v>
      </c>
      <c r="B1252" s="24" t="s">
        <v>363</v>
      </c>
      <c r="C1252" s="24" t="s">
        <v>138</v>
      </c>
      <c r="D1252" s="24" t="s">
        <v>66</v>
      </c>
      <c r="E1252" s="24" t="n">
        <v>24</v>
      </c>
      <c r="F1252" s="25" t="n">
        <v>0</v>
      </c>
      <c r="G1252" s="24" t="s">
        <v>59</v>
      </c>
      <c r="H1252" s="24" t="s">
        <v>80</v>
      </c>
      <c r="I1252" s="24" t="s">
        <v>56</v>
      </c>
      <c r="J1252" s="26" t="n">
        <f aca="false">IF(A1252="","",YEAR(A1252))</f>
        <v>2025</v>
      </c>
      <c r="K1252" s="26" t="n">
        <f aca="false">IF(A1252="","",MONTH(A1252))</f>
        <v>12</v>
      </c>
      <c r="L1252" s="26" t="n">
        <f aca="false">IF(B1252="","",VALUE(LEFT(B1252,2)))</f>
        <v>8</v>
      </c>
      <c r="M1252" s="26" t="n">
        <f aca="false">IF(A1252="","",IF(COUNTIFS($C$2:$C$5001,C1252,$J$2:$J$5001,J1252,$A$2:$A$5001,"&lt;"&amp;A1252)=0,1,0))</f>
        <v>0</v>
      </c>
    </row>
    <row r="1253" customFormat="false" ht="15" hidden="false" customHeight="false" outlineLevel="0" collapsed="false">
      <c r="A1253" s="23" t="n">
        <v>46009.5368055556</v>
      </c>
      <c r="B1253" s="24" t="s">
        <v>757</v>
      </c>
      <c r="C1253" s="24" t="s">
        <v>263</v>
      </c>
      <c r="D1253" s="24" t="s">
        <v>127</v>
      </c>
      <c r="E1253" s="24" t="n">
        <v>135</v>
      </c>
      <c r="F1253" s="25" t="n">
        <v>8750</v>
      </c>
      <c r="G1253" s="24" t="s">
        <v>59</v>
      </c>
      <c r="H1253" s="24" t="s">
        <v>55</v>
      </c>
      <c r="I1253" s="24" t="s">
        <v>61</v>
      </c>
      <c r="J1253" s="26" t="n">
        <f aca="false">IF(A1253="","",YEAR(A1253))</f>
        <v>2025</v>
      </c>
      <c r="K1253" s="26" t="n">
        <f aca="false">IF(A1253="","",MONTH(A1253))</f>
        <v>12</v>
      </c>
      <c r="L1253" s="26" t="n">
        <f aca="false">IF(B1253="","",VALUE(LEFT(B1253,2)))</f>
        <v>10</v>
      </c>
      <c r="M1253" s="26" t="n">
        <f aca="false">IF(A1253="","",IF(COUNTIFS($C$2:$C$5001,C1253,$J$2:$J$5001,J1253,$A$2:$A$5001,"&lt;"&amp;A1253)=0,1,0))</f>
        <v>0</v>
      </c>
    </row>
    <row r="1254" customFormat="false" ht="15" hidden="false" customHeight="false" outlineLevel="0" collapsed="false">
      <c r="A1254" s="23" t="n">
        <v>46009.8055555556</v>
      </c>
      <c r="B1254" s="24" t="s">
        <v>95</v>
      </c>
      <c r="C1254" s="24" t="s">
        <v>174</v>
      </c>
      <c r="D1254" s="24" t="s">
        <v>53</v>
      </c>
      <c r="E1254" s="24" t="n">
        <v>254</v>
      </c>
      <c r="F1254" s="25" t="n">
        <v>4500</v>
      </c>
      <c r="G1254" s="24" t="s">
        <v>69</v>
      </c>
      <c r="H1254" s="24" t="s">
        <v>80</v>
      </c>
      <c r="I1254" s="24" t="s">
        <v>61</v>
      </c>
      <c r="J1254" s="26" t="n">
        <f aca="false">IF(A1254="","",YEAR(A1254))</f>
        <v>2025</v>
      </c>
      <c r="K1254" s="26" t="n">
        <f aca="false">IF(A1254="","",MONTH(A1254))</f>
        <v>12</v>
      </c>
      <c r="L1254" s="26" t="n">
        <f aca="false">IF(B1254="","",VALUE(LEFT(B1254,2)))</f>
        <v>15</v>
      </c>
      <c r="M1254" s="26" t="n">
        <f aca="false">IF(A1254="","",IF(COUNTIFS($C$2:$C$5001,C1254,$J$2:$J$5001,J1254,$A$2:$A$5001,"&lt;"&amp;A1254)=0,1,0))</f>
        <v>0</v>
      </c>
    </row>
    <row r="1255" customFormat="false" ht="15" hidden="false" customHeight="false" outlineLevel="0" collapsed="false">
      <c r="A1255" s="23" t="n">
        <v>46009.96875</v>
      </c>
      <c r="B1255" s="24" t="s">
        <v>800</v>
      </c>
      <c r="C1255" s="24" t="s">
        <v>78</v>
      </c>
      <c r="D1255" s="24" t="s">
        <v>66</v>
      </c>
      <c r="E1255" s="24" t="n">
        <v>312</v>
      </c>
      <c r="F1255" s="25" t="n">
        <v>11000</v>
      </c>
      <c r="G1255" s="24" t="s">
        <v>69</v>
      </c>
      <c r="H1255" s="24" t="s">
        <v>60</v>
      </c>
      <c r="I1255" s="24" t="s">
        <v>61</v>
      </c>
      <c r="J1255" s="26" t="n">
        <f aca="false">IF(A1255="","",YEAR(A1255))</f>
        <v>2025</v>
      </c>
      <c r="K1255" s="26" t="n">
        <f aca="false">IF(A1255="","",MONTH(A1255))</f>
        <v>12</v>
      </c>
      <c r="L1255" s="26" t="n">
        <f aca="false">IF(B1255="","",VALUE(LEFT(B1255,2)))</f>
        <v>18</v>
      </c>
      <c r="M1255" s="26" t="n">
        <f aca="false">IF(A1255="","",IF(COUNTIFS($C$2:$C$5001,C1255,$J$2:$J$5001,J1255,$A$2:$A$5001,"&lt;"&amp;A1255)=0,1,0))</f>
        <v>0</v>
      </c>
    </row>
    <row r="1256" customFormat="false" ht="15" hidden="false" customHeight="false" outlineLevel="0" collapsed="false">
      <c r="A1256" s="23" t="n">
        <v>46009.98125</v>
      </c>
      <c r="B1256" s="24" t="s">
        <v>295</v>
      </c>
      <c r="C1256" s="24" t="s">
        <v>188</v>
      </c>
      <c r="D1256" s="24" t="s">
        <v>88</v>
      </c>
      <c r="E1256" s="24" t="n">
        <v>332</v>
      </c>
      <c r="F1256" s="25" t="n">
        <v>18000</v>
      </c>
      <c r="G1256" s="24" t="s">
        <v>59</v>
      </c>
      <c r="H1256" s="24" t="s">
        <v>60</v>
      </c>
      <c r="I1256" s="24" t="s">
        <v>61</v>
      </c>
      <c r="J1256" s="26" t="n">
        <f aca="false">IF(A1256="","",YEAR(A1256))</f>
        <v>2025</v>
      </c>
      <c r="K1256" s="26" t="n">
        <f aca="false">IF(A1256="","",MONTH(A1256))</f>
        <v>12</v>
      </c>
      <c r="L1256" s="26" t="n">
        <f aca="false">IF(B1256="","",VALUE(LEFT(B1256,2)))</f>
        <v>18</v>
      </c>
      <c r="M1256" s="26" t="n">
        <f aca="false">IF(A1256="","",IF(COUNTIFS($C$2:$C$5001,C1256,$J$2:$J$5001,J1256,$A$2:$A$5001,"&lt;"&amp;A1256)=0,1,0))</f>
        <v>0</v>
      </c>
    </row>
    <row r="1257" customFormat="false" ht="15" hidden="false" customHeight="false" outlineLevel="0" collapsed="false">
      <c r="A1257" s="23" t="n">
        <v>46010.4854166667</v>
      </c>
      <c r="B1257" s="24" t="s">
        <v>627</v>
      </c>
      <c r="C1257" s="24" t="s">
        <v>301</v>
      </c>
      <c r="D1257" s="24" t="s">
        <v>66</v>
      </c>
      <c r="E1257" s="24" t="n">
        <v>224</v>
      </c>
      <c r="F1257" s="25" t="n">
        <v>8000</v>
      </c>
      <c r="G1257" s="24" t="s">
        <v>59</v>
      </c>
      <c r="H1257" s="24" t="s">
        <v>80</v>
      </c>
      <c r="I1257" s="24" t="s">
        <v>61</v>
      </c>
      <c r="J1257" s="26" t="n">
        <f aca="false">IF(A1257="","",YEAR(A1257))</f>
        <v>2025</v>
      </c>
      <c r="K1257" s="26" t="n">
        <f aca="false">IF(A1257="","",MONTH(A1257))</f>
        <v>12</v>
      </c>
      <c r="L1257" s="26" t="n">
        <f aca="false">IF(B1257="","",VALUE(LEFT(B1257,2)))</f>
        <v>7</v>
      </c>
      <c r="M1257" s="26" t="n">
        <f aca="false">IF(A1257="","",IF(COUNTIFS($C$2:$C$5001,C1257,$J$2:$J$5001,J1257,$A$2:$A$5001,"&lt;"&amp;A1257)=0,1,0))</f>
        <v>0</v>
      </c>
    </row>
    <row r="1258" customFormat="false" ht="15" hidden="false" customHeight="false" outlineLevel="0" collapsed="false">
      <c r="A1258" s="23" t="n">
        <v>46010.8354166667</v>
      </c>
      <c r="B1258" s="24" t="s">
        <v>879</v>
      </c>
      <c r="C1258" s="24" t="s">
        <v>164</v>
      </c>
      <c r="D1258" s="24" t="s">
        <v>53</v>
      </c>
      <c r="E1258" s="24" t="n">
        <v>250</v>
      </c>
      <c r="F1258" s="25" t="n">
        <v>4500</v>
      </c>
      <c r="G1258" s="24" t="s">
        <v>59</v>
      </c>
      <c r="H1258" s="24" t="s">
        <v>60</v>
      </c>
      <c r="I1258" s="24" t="s">
        <v>61</v>
      </c>
      <c r="J1258" s="26" t="n">
        <f aca="false">IF(A1258="","",YEAR(A1258))</f>
        <v>2025</v>
      </c>
      <c r="K1258" s="26" t="n">
        <f aca="false">IF(A1258="","",MONTH(A1258))</f>
        <v>12</v>
      </c>
      <c r="L1258" s="26" t="n">
        <f aca="false">IF(B1258="","",VALUE(LEFT(B1258,2)))</f>
        <v>15</v>
      </c>
      <c r="M1258" s="26" t="n">
        <f aca="false">IF(A1258="","",IF(COUNTIFS($C$2:$C$5001,C1258,$J$2:$J$5001,J1258,$A$2:$A$5001,"&lt;"&amp;A1258)=0,1,0))</f>
        <v>0</v>
      </c>
    </row>
    <row r="1259" customFormat="false" ht="15" hidden="false" customHeight="false" outlineLevel="0" collapsed="false">
      <c r="A1259" s="23" t="n">
        <v>46010.9027777778</v>
      </c>
      <c r="B1259" s="24" t="s">
        <v>777</v>
      </c>
      <c r="C1259" s="24" t="s">
        <v>475</v>
      </c>
      <c r="D1259" s="24" t="s">
        <v>53</v>
      </c>
      <c r="E1259" s="24" t="n">
        <v>259</v>
      </c>
      <c r="F1259" s="25" t="n">
        <v>0</v>
      </c>
      <c r="G1259" s="24" t="s">
        <v>69</v>
      </c>
      <c r="H1259" s="24" t="s">
        <v>60</v>
      </c>
      <c r="I1259" s="24" t="s">
        <v>56</v>
      </c>
      <c r="J1259" s="26" t="n">
        <f aca="false">IF(A1259="","",YEAR(A1259))</f>
        <v>2025</v>
      </c>
      <c r="K1259" s="26" t="n">
        <f aca="false">IF(A1259="","",MONTH(A1259))</f>
        <v>12</v>
      </c>
      <c r="L1259" s="26" t="n">
        <f aca="false">IF(B1259="","",VALUE(LEFT(B1259,2)))</f>
        <v>17</v>
      </c>
      <c r="M1259" s="26" t="n">
        <f aca="false">IF(A1259="","",IF(COUNTIFS($C$2:$C$5001,C1259,$J$2:$J$5001,J1259,$A$2:$A$5001,"&lt;"&amp;A1259)=0,1,0))</f>
        <v>0</v>
      </c>
    </row>
    <row r="1260" customFormat="false" ht="15" hidden="false" customHeight="false" outlineLevel="0" collapsed="false">
      <c r="A1260" s="23" t="n">
        <v>46010.9506944444</v>
      </c>
      <c r="B1260" s="24" t="s">
        <v>501</v>
      </c>
      <c r="C1260" s="24" t="s">
        <v>112</v>
      </c>
      <c r="D1260" s="24" t="s">
        <v>72</v>
      </c>
      <c r="E1260" s="24" t="n">
        <v>155</v>
      </c>
      <c r="F1260" s="25" t="n">
        <v>0</v>
      </c>
      <c r="G1260" s="24" t="s">
        <v>59</v>
      </c>
      <c r="H1260" s="24" t="s">
        <v>60</v>
      </c>
      <c r="I1260" s="24" t="s">
        <v>56</v>
      </c>
      <c r="J1260" s="26" t="n">
        <f aca="false">IF(A1260="","",YEAR(A1260))</f>
        <v>2025</v>
      </c>
      <c r="K1260" s="26" t="n">
        <f aca="false">IF(A1260="","",MONTH(A1260))</f>
        <v>12</v>
      </c>
      <c r="L1260" s="26" t="n">
        <f aca="false">IF(B1260="","",VALUE(LEFT(B1260,2)))</f>
        <v>20</v>
      </c>
      <c r="M1260" s="26" t="n">
        <f aca="false">IF(A1260="","",IF(COUNTIFS($C$2:$C$5001,C1260,$J$2:$J$5001,J1260,$A$2:$A$5001,"&lt;"&amp;A1260)=0,1,0))</f>
        <v>0</v>
      </c>
    </row>
    <row r="1261" customFormat="false" ht="15" hidden="false" customHeight="false" outlineLevel="0" collapsed="false">
      <c r="A1261" s="23" t="n">
        <v>46011.2826388889</v>
      </c>
      <c r="B1261" s="24" t="s">
        <v>211</v>
      </c>
      <c r="C1261" s="24" t="s">
        <v>74</v>
      </c>
      <c r="D1261" s="24" t="s">
        <v>66</v>
      </c>
      <c r="E1261" s="24" t="n">
        <v>46</v>
      </c>
      <c r="F1261" s="25" t="n">
        <v>2000</v>
      </c>
      <c r="G1261" s="24" t="s">
        <v>59</v>
      </c>
      <c r="H1261" s="24" t="s">
        <v>80</v>
      </c>
      <c r="I1261" s="24" t="s">
        <v>61</v>
      </c>
      <c r="J1261" s="26" t="n">
        <f aca="false">IF(A1261="","",YEAR(A1261))</f>
        <v>2025</v>
      </c>
      <c r="K1261" s="26" t="n">
        <f aca="false">IF(A1261="","",MONTH(A1261))</f>
        <v>12</v>
      </c>
      <c r="L1261" s="26" t="n">
        <f aca="false">IF(B1261="","",VALUE(LEFT(B1261,2)))</f>
        <v>6</v>
      </c>
      <c r="M1261" s="26" t="n">
        <f aca="false">IF(A1261="","",IF(COUNTIFS($C$2:$C$5001,C1261,$J$2:$J$5001,J1261,$A$2:$A$5001,"&lt;"&amp;A1261)=0,1,0))</f>
        <v>0</v>
      </c>
    </row>
    <row r="1262" customFormat="false" ht="15" hidden="false" customHeight="false" outlineLevel="0" collapsed="false">
      <c r="A1262" s="23" t="n">
        <v>46011.4131944445</v>
      </c>
      <c r="B1262" s="24" t="s">
        <v>115</v>
      </c>
      <c r="C1262" s="24" t="s">
        <v>201</v>
      </c>
      <c r="D1262" s="24" t="s">
        <v>88</v>
      </c>
      <c r="E1262" s="24" t="n">
        <v>206</v>
      </c>
      <c r="F1262" s="25" t="n">
        <v>10500</v>
      </c>
      <c r="G1262" s="24" t="s">
        <v>59</v>
      </c>
      <c r="H1262" s="24" t="s">
        <v>80</v>
      </c>
      <c r="I1262" s="24" t="s">
        <v>61</v>
      </c>
      <c r="J1262" s="26" t="n">
        <f aca="false">IF(A1262="","",YEAR(A1262))</f>
        <v>2025</v>
      </c>
      <c r="K1262" s="26" t="n">
        <f aca="false">IF(A1262="","",MONTH(A1262))</f>
        <v>12</v>
      </c>
      <c r="L1262" s="26" t="n">
        <f aca="false">IF(B1262="","",VALUE(LEFT(B1262,2)))</f>
        <v>6</v>
      </c>
      <c r="M1262" s="26" t="n">
        <f aca="false">IF(A1262="","",IF(COUNTIFS($C$2:$C$5001,C1262,$J$2:$J$5001,J1262,$A$2:$A$5001,"&lt;"&amp;A1262)=0,1,0))</f>
        <v>0</v>
      </c>
    </row>
    <row r="1263" customFormat="false" ht="15" hidden="false" customHeight="false" outlineLevel="0" collapsed="false">
      <c r="A1263" s="23" t="n">
        <v>46011.5298611111</v>
      </c>
      <c r="B1263" s="24" t="s">
        <v>680</v>
      </c>
      <c r="C1263" s="24" t="s">
        <v>143</v>
      </c>
      <c r="D1263" s="24" t="s">
        <v>53</v>
      </c>
      <c r="E1263" s="24" t="n">
        <v>71</v>
      </c>
      <c r="F1263" s="25" t="n">
        <v>1500</v>
      </c>
      <c r="G1263" s="24" t="s">
        <v>59</v>
      </c>
      <c r="H1263" s="24" t="s">
        <v>55</v>
      </c>
      <c r="I1263" s="24" t="s">
        <v>61</v>
      </c>
      <c r="J1263" s="26" t="n">
        <f aca="false">IF(A1263="","",YEAR(A1263))</f>
        <v>2025</v>
      </c>
      <c r="K1263" s="26" t="n">
        <f aca="false">IF(A1263="","",MONTH(A1263))</f>
        <v>12</v>
      </c>
      <c r="L1263" s="26" t="n">
        <f aca="false">IF(B1263="","",VALUE(LEFT(B1263,2)))</f>
        <v>11</v>
      </c>
      <c r="M1263" s="26" t="n">
        <f aca="false">IF(A1263="","",IF(COUNTIFS($C$2:$C$5001,C1263,$J$2:$J$5001,J1263,$A$2:$A$5001,"&lt;"&amp;A1263)=0,1,0))</f>
        <v>0</v>
      </c>
    </row>
    <row r="1264" customFormat="false" ht="15" hidden="false" customHeight="false" outlineLevel="0" collapsed="false">
      <c r="A1264" s="23" t="n">
        <v>46011.5902777778</v>
      </c>
      <c r="B1264" s="24" t="s">
        <v>880</v>
      </c>
      <c r="C1264" s="24" t="s">
        <v>312</v>
      </c>
      <c r="D1264" s="24" t="s">
        <v>66</v>
      </c>
      <c r="E1264" s="24" t="n">
        <v>153</v>
      </c>
      <c r="F1264" s="25" t="n">
        <v>6000</v>
      </c>
      <c r="G1264" s="24" t="s">
        <v>69</v>
      </c>
      <c r="H1264" s="24" t="s">
        <v>60</v>
      </c>
      <c r="I1264" s="24" t="s">
        <v>61</v>
      </c>
      <c r="J1264" s="26" t="n">
        <f aca="false">IF(A1264="","",YEAR(A1264))</f>
        <v>2025</v>
      </c>
      <c r="K1264" s="26" t="n">
        <f aca="false">IF(A1264="","",MONTH(A1264))</f>
        <v>12</v>
      </c>
      <c r="L1264" s="26" t="n">
        <f aca="false">IF(B1264="","",VALUE(LEFT(B1264,2)))</f>
        <v>11</v>
      </c>
      <c r="M1264" s="26" t="n">
        <f aca="false">IF(A1264="","",IF(COUNTIFS($C$2:$C$5001,C1264,$J$2:$J$5001,J1264,$A$2:$A$5001,"&lt;"&amp;A1264)=0,1,0))</f>
        <v>0</v>
      </c>
    </row>
    <row r="1265" customFormat="false" ht="15" hidden="false" customHeight="false" outlineLevel="0" collapsed="false">
      <c r="A1265" s="23" t="n">
        <v>46011.6479166667</v>
      </c>
      <c r="B1265" s="24" t="s">
        <v>881</v>
      </c>
      <c r="C1265" s="24" t="s">
        <v>58</v>
      </c>
      <c r="D1265" s="24" t="s">
        <v>53</v>
      </c>
      <c r="E1265" s="24" t="n">
        <v>129</v>
      </c>
      <c r="F1265" s="25" t="n">
        <v>2500</v>
      </c>
      <c r="G1265" s="24" t="s">
        <v>59</v>
      </c>
      <c r="H1265" s="24" t="s">
        <v>60</v>
      </c>
      <c r="I1265" s="24" t="s">
        <v>61</v>
      </c>
      <c r="J1265" s="26" t="n">
        <f aca="false">IF(A1265="","",YEAR(A1265))</f>
        <v>2025</v>
      </c>
      <c r="K1265" s="26" t="n">
        <f aca="false">IF(A1265="","",MONTH(A1265))</f>
        <v>12</v>
      </c>
      <c r="L1265" s="26" t="n">
        <f aca="false">IF(B1265="","",VALUE(LEFT(B1265,2)))</f>
        <v>13</v>
      </c>
      <c r="M1265" s="26" t="n">
        <f aca="false">IF(A1265="","",IF(COUNTIFS($C$2:$C$5001,C1265,$J$2:$J$5001,J1265,$A$2:$A$5001,"&lt;"&amp;A1265)=0,1,0))</f>
        <v>0</v>
      </c>
    </row>
    <row r="1266" customFormat="false" ht="15" hidden="false" customHeight="false" outlineLevel="0" collapsed="false">
      <c r="A1266" s="23" t="n">
        <v>46011.6875</v>
      </c>
      <c r="B1266" s="24" t="s">
        <v>236</v>
      </c>
      <c r="C1266" s="24" t="s">
        <v>177</v>
      </c>
      <c r="D1266" s="24" t="s">
        <v>66</v>
      </c>
      <c r="E1266" s="24" t="n">
        <v>78</v>
      </c>
      <c r="F1266" s="25" t="n">
        <v>3000</v>
      </c>
      <c r="G1266" s="24" t="s">
        <v>69</v>
      </c>
      <c r="H1266" s="24" t="s">
        <v>55</v>
      </c>
      <c r="I1266" s="24" t="s">
        <v>61</v>
      </c>
      <c r="J1266" s="26" t="n">
        <f aca="false">IF(A1266="","",YEAR(A1266))</f>
        <v>2025</v>
      </c>
      <c r="K1266" s="26" t="n">
        <f aca="false">IF(A1266="","",MONTH(A1266))</f>
        <v>12</v>
      </c>
      <c r="L1266" s="26" t="n">
        <f aca="false">IF(B1266="","",VALUE(LEFT(B1266,2)))</f>
        <v>15</v>
      </c>
      <c r="M1266" s="26" t="n">
        <f aca="false">IF(A1266="","",IF(COUNTIFS($C$2:$C$5001,C1266,$J$2:$J$5001,J1266,$A$2:$A$5001,"&lt;"&amp;A1266)=0,1,0))</f>
        <v>0</v>
      </c>
    </row>
    <row r="1267" customFormat="false" ht="15" hidden="false" customHeight="false" outlineLevel="0" collapsed="false">
      <c r="A1267" s="23" t="n">
        <v>46011.8847222222</v>
      </c>
      <c r="B1267" s="24" t="s">
        <v>732</v>
      </c>
      <c r="C1267" s="24" t="s">
        <v>78</v>
      </c>
      <c r="D1267" s="24" t="s">
        <v>66</v>
      </c>
      <c r="E1267" s="24" t="n">
        <v>96</v>
      </c>
      <c r="F1267" s="25" t="n">
        <v>4000</v>
      </c>
      <c r="G1267" s="24" t="s">
        <v>59</v>
      </c>
      <c r="H1267" s="24" t="s">
        <v>80</v>
      </c>
      <c r="I1267" s="24" t="s">
        <v>61</v>
      </c>
      <c r="J1267" s="26" t="n">
        <f aca="false">IF(A1267="","",YEAR(A1267))</f>
        <v>2025</v>
      </c>
      <c r="K1267" s="26" t="n">
        <f aca="false">IF(A1267="","",MONTH(A1267))</f>
        <v>12</v>
      </c>
      <c r="L1267" s="26" t="n">
        <f aca="false">IF(B1267="","",VALUE(LEFT(B1267,2)))</f>
        <v>19</v>
      </c>
      <c r="M1267" s="26" t="n">
        <f aca="false">IF(A1267="","",IF(COUNTIFS($C$2:$C$5001,C1267,$J$2:$J$5001,J1267,$A$2:$A$5001,"&lt;"&amp;A1267)=0,1,0))</f>
        <v>0</v>
      </c>
    </row>
    <row r="1268" customFormat="false" ht="15" hidden="false" customHeight="false" outlineLevel="0" collapsed="false">
      <c r="A1268" s="23" t="n">
        <v>46011.9923611111</v>
      </c>
      <c r="B1268" s="24" t="s">
        <v>815</v>
      </c>
      <c r="C1268" s="24" t="s">
        <v>277</v>
      </c>
      <c r="D1268" s="24" t="s">
        <v>88</v>
      </c>
      <c r="E1268" s="24" t="n">
        <v>283</v>
      </c>
      <c r="F1268" s="25" t="n">
        <v>15000</v>
      </c>
      <c r="G1268" s="24" t="s">
        <v>69</v>
      </c>
      <c r="H1268" s="24" t="s">
        <v>60</v>
      </c>
      <c r="I1268" s="24" t="s">
        <v>61</v>
      </c>
      <c r="J1268" s="26" t="n">
        <f aca="false">IF(A1268="","",YEAR(A1268))</f>
        <v>2025</v>
      </c>
      <c r="K1268" s="26" t="n">
        <f aca="false">IF(A1268="","",MONTH(A1268))</f>
        <v>12</v>
      </c>
      <c r="L1268" s="26" t="n">
        <f aca="false">IF(B1268="","",VALUE(LEFT(B1268,2)))</f>
        <v>19</v>
      </c>
      <c r="M1268" s="26" t="n">
        <f aca="false">IF(A1268="","",IF(COUNTIFS($C$2:$C$5001,C1268,$J$2:$J$5001,J1268,$A$2:$A$5001,"&lt;"&amp;A1268)=0,1,0))</f>
        <v>0</v>
      </c>
    </row>
    <row r="1269" customFormat="false" ht="15" hidden="false" customHeight="false" outlineLevel="0" collapsed="false">
      <c r="A1269" s="23" t="n">
        <v>46012.01875</v>
      </c>
      <c r="B1269" s="24" t="s">
        <v>760</v>
      </c>
      <c r="C1269" s="24" t="s">
        <v>156</v>
      </c>
      <c r="D1269" s="24" t="s">
        <v>66</v>
      </c>
      <c r="E1269" s="24" t="n">
        <v>231</v>
      </c>
      <c r="F1269" s="25" t="n">
        <v>8000</v>
      </c>
      <c r="G1269" s="24" t="s">
        <v>59</v>
      </c>
      <c r="H1269" s="24" t="s">
        <v>55</v>
      </c>
      <c r="I1269" s="24" t="s">
        <v>61</v>
      </c>
      <c r="J1269" s="26" t="n">
        <f aca="false">IF(A1269="","",YEAR(A1269))</f>
        <v>2025</v>
      </c>
      <c r="K1269" s="26" t="n">
        <f aca="false">IF(A1269="","",MONTH(A1269))</f>
        <v>12</v>
      </c>
      <c r="L1269" s="26" t="n">
        <f aca="false">IF(B1269="","",VALUE(LEFT(B1269,2)))</f>
        <v>20</v>
      </c>
      <c r="M1269" s="26" t="n">
        <f aca="false">IF(A1269="","",IF(COUNTIFS($C$2:$C$5001,C1269,$J$2:$J$5001,J1269,$A$2:$A$5001,"&lt;"&amp;A1269)=0,1,0))</f>
        <v>0</v>
      </c>
    </row>
    <row r="1270" customFormat="false" ht="15" hidden="false" customHeight="false" outlineLevel="0" collapsed="false">
      <c r="A1270" s="23" t="n">
        <v>46012.3847222222</v>
      </c>
      <c r="B1270" s="24" t="s">
        <v>528</v>
      </c>
      <c r="C1270" s="24" t="s">
        <v>267</v>
      </c>
      <c r="D1270" s="24" t="s">
        <v>72</v>
      </c>
      <c r="E1270" s="24" t="n">
        <v>85</v>
      </c>
      <c r="F1270" s="25" t="n">
        <v>6000</v>
      </c>
      <c r="G1270" s="24" t="s">
        <v>69</v>
      </c>
      <c r="H1270" s="24" t="s">
        <v>80</v>
      </c>
      <c r="I1270" s="24" t="s">
        <v>61</v>
      </c>
      <c r="J1270" s="26" t="n">
        <f aca="false">IF(A1270="","",YEAR(A1270))</f>
        <v>2025</v>
      </c>
      <c r="K1270" s="26" t="n">
        <f aca="false">IF(A1270="","",MONTH(A1270))</f>
        <v>12</v>
      </c>
      <c r="L1270" s="26" t="n">
        <f aca="false">IF(B1270="","",VALUE(LEFT(B1270,2)))</f>
        <v>7</v>
      </c>
      <c r="M1270" s="26" t="n">
        <f aca="false">IF(A1270="","",IF(COUNTIFS($C$2:$C$5001,C1270,$J$2:$J$5001,J1270,$A$2:$A$5001,"&lt;"&amp;A1270)=0,1,0))</f>
        <v>0</v>
      </c>
    </row>
    <row r="1271" customFormat="false" ht="15" hidden="false" customHeight="false" outlineLevel="0" collapsed="false">
      <c r="A1271" s="23" t="n">
        <v>46012.3972222222</v>
      </c>
      <c r="B1271" s="24" t="s">
        <v>577</v>
      </c>
      <c r="C1271" s="24" t="s">
        <v>482</v>
      </c>
      <c r="D1271" s="24" t="s">
        <v>66</v>
      </c>
      <c r="E1271" s="24" t="n">
        <v>64</v>
      </c>
      <c r="F1271" s="25" t="n">
        <v>0</v>
      </c>
      <c r="G1271" s="24" t="s">
        <v>59</v>
      </c>
      <c r="H1271" s="24" t="s">
        <v>80</v>
      </c>
      <c r="I1271" s="24" t="s">
        <v>56</v>
      </c>
      <c r="J1271" s="26" t="n">
        <f aca="false">IF(A1271="","",YEAR(A1271))</f>
        <v>2025</v>
      </c>
      <c r="K1271" s="26" t="n">
        <f aca="false">IF(A1271="","",MONTH(A1271))</f>
        <v>12</v>
      </c>
      <c r="L1271" s="26" t="n">
        <f aca="false">IF(B1271="","",VALUE(LEFT(B1271,2)))</f>
        <v>8</v>
      </c>
      <c r="M1271" s="26" t="n">
        <f aca="false">IF(A1271="","",IF(COUNTIFS($C$2:$C$5001,C1271,$J$2:$J$5001,J1271,$A$2:$A$5001,"&lt;"&amp;A1271)=0,1,0))</f>
        <v>0</v>
      </c>
    </row>
    <row r="1272" customFormat="false" ht="15" hidden="false" customHeight="false" outlineLevel="0" collapsed="false">
      <c r="A1272" s="23" t="n">
        <v>46012.4395833333</v>
      </c>
      <c r="B1272" s="24" t="s">
        <v>435</v>
      </c>
      <c r="C1272" s="24" t="s">
        <v>213</v>
      </c>
      <c r="D1272" s="24" t="s">
        <v>66</v>
      </c>
      <c r="E1272" s="24" t="n">
        <v>194</v>
      </c>
      <c r="F1272" s="25" t="n">
        <v>7000</v>
      </c>
      <c r="G1272" s="24" t="s">
        <v>59</v>
      </c>
      <c r="H1272" s="24" t="s">
        <v>80</v>
      </c>
      <c r="I1272" s="24" t="s">
        <v>61</v>
      </c>
      <c r="J1272" s="26" t="n">
        <f aca="false">IF(A1272="","",YEAR(A1272))</f>
        <v>2025</v>
      </c>
      <c r="K1272" s="26" t="n">
        <f aca="false">IF(A1272="","",MONTH(A1272))</f>
        <v>12</v>
      </c>
      <c r="L1272" s="26" t="n">
        <f aca="false">IF(B1272="","",VALUE(LEFT(B1272,2)))</f>
        <v>7</v>
      </c>
      <c r="M1272" s="26" t="n">
        <f aca="false">IF(A1272="","",IF(COUNTIFS($C$2:$C$5001,C1272,$J$2:$J$5001,J1272,$A$2:$A$5001,"&lt;"&amp;A1272)=0,1,0))</f>
        <v>0</v>
      </c>
    </row>
    <row r="1273" customFormat="false" ht="15" hidden="false" customHeight="false" outlineLevel="0" collapsed="false">
      <c r="A1273" s="23" t="n">
        <v>46013.5444444444</v>
      </c>
      <c r="B1273" s="24" t="s">
        <v>824</v>
      </c>
      <c r="C1273" s="24" t="s">
        <v>126</v>
      </c>
      <c r="D1273" s="24" t="s">
        <v>88</v>
      </c>
      <c r="E1273" s="24" t="n">
        <v>224</v>
      </c>
      <c r="F1273" s="25" t="n">
        <v>12000</v>
      </c>
      <c r="G1273" s="24" t="s">
        <v>69</v>
      </c>
      <c r="H1273" s="24" t="s">
        <v>80</v>
      </c>
      <c r="I1273" s="24" t="s">
        <v>61</v>
      </c>
      <c r="J1273" s="26" t="n">
        <f aca="false">IF(A1273="","",YEAR(A1273))</f>
        <v>2025</v>
      </c>
      <c r="K1273" s="26" t="n">
        <f aca="false">IF(A1273="","",MONTH(A1273))</f>
        <v>12</v>
      </c>
      <c r="L1273" s="26" t="n">
        <f aca="false">IF(B1273="","",VALUE(LEFT(B1273,2)))</f>
        <v>9</v>
      </c>
      <c r="M1273" s="26" t="n">
        <f aca="false">IF(A1273="","",IF(COUNTIFS($C$2:$C$5001,C1273,$J$2:$J$5001,J1273,$A$2:$A$5001,"&lt;"&amp;A1273)=0,1,0))</f>
        <v>0</v>
      </c>
    </row>
    <row r="1274" customFormat="false" ht="15" hidden="false" customHeight="false" outlineLevel="0" collapsed="false">
      <c r="A1274" s="23" t="n">
        <v>46013.5465277778</v>
      </c>
      <c r="B1274" s="24" t="s">
        <v>806</v>
      </c>
      <c r="C1274" s="24" t="s">
        <v>467</v>
      </c>
      <c r="D1274" s="24" t="s">
        <v>88</v>
      </c>
      <c r="E1274" s="24" t="n">
        <v>108</v>
      </c>
      <c r="F1274" s="25" t="n">
        <v>5100</v>
      </c>
      <c r="G1274" s="24" t="s">
        <v>59</v>
      </c>
      <c r="H1274" s="24" t="s">
        <v>80</v>
      </c>
      <c r="I1274" s="24" t="s">
        <v>113</v>
      </c>
      <c r="J1274" s="26" t="n">
        <f aca="false">IF(A1274="","",YEAR(A1274))</f>
        <v>2025</v>
      </c>
      <c r="K1274" s="26" t="n">
        <f aca="false">IF(A1274="","",MONTH(A1274))</f>
        <v>12</v>
      </c>
      <c r="L1274" s="26" t="n">
        <f aca="false">IF(B1274="","",VALUE(LEFT(B1274,2)))</f>
        <v>11</v>
      </c>
      <c r="M1274" s="26" t="n">
        <f aca="false">IF(A1274="","",IF(COUNTIFS($C$2:$C$5001,C1274,$J$2:$J$5001,J1274,$A$2:$A$5001,"&lt;"&amp;A1274)=0,1,0))</f>
        <v>0</v>
      </c>
    </row>
    <row r="1275" customFormat="false" ht="15" hidden="false" customHeight="false" outlineLevel="0" collapsed="false">
      <c r="A1275" s="23" t="n">
        <v>46013.625</v>
      </c>
      <c r="B1275" s="24" t="s">
        <v>882</v>
      </c>
      <c r="C1275" s="24" t="s">
        <v>123</v>
      </c>
      <c r="D1275" s="24" t="s">
        <v>53</v>
      </c>
      <c r="E1275" s="24" t="n">
        <v>187</v>
      </c>
      <c r="F1275" s="25" t="n">
        <v>3500</v>
      </c>
      <c r="G1275" s="24" t="s">
        <v>59</v>
      </c>
      <c r="H1275" s="24" t="s">
        <v>60</v>
      </c>
      <c r="I1275" s="24" t="s">
        <v>61</v>
      </c>
      <c r="J1275" s="26" t="n">
        <f aca="false">IF(A1275="","",YEAR(A1275))</f>
        <v>2025</v>
      </c>
      <c r="K1275" s="26" t="n">
        <f aca="false">IF(A1275="","",MONTH(A1275))</f>
        <v>12</v>
      </c>
      <c r="L1275" s="26" t="n">
        <f aca="false">IF(B1275="","",VALUE(LEFT(B1275,2)))</f>
        <v>11</v>
      </c>
      <c r="M1275" s="26" t="n">
        <f aca="false">IF(A1275="","",IF(COUNTIFS($C$2:$C$5001,C1275,$J$2:$J$5001,J1275,$A$2:$A$5001,"&lt;"&amp;A1275)=0,1,0))</f>
        <v>0</v>
      </c>
    </row>
    <row r="1276" customFormat="false" ht="15" hidden="false" customHeight="false" outlineLevel="0" collapsed="false">
      <c r="A1276" s="23" t="n">
        <v>46013.6263888889</v>
      </c>
      <c r="B1276" s="24" t="s">
        <v>362</v>
      </c>
      <c r="C1276" s="24" t="s">
        <v>110</v>
      </c>
      <c r="D1276" s="24" t="s">
        <v>53</v>
      </c>
      <c r="E1276" s="24" t="n">
        <v>124</v>
      </c>
      <c r="F1276" s="25" t="n">
        <v>2500</v>
      </c>
      <c r="G1276" s="24" t="s">
        <v>69</v>
      </c>
      <c r="H1276" s="24" t="s">
        <v>80</v>
      </c>
      <c r="I1276" s="24" t="s">
        <v>61</v>
      </c>
      <c r="J1276" s="26" t="n">
        <f aca="false">IF(A1276="","",YEAR(A1276))</f>
        <v>2025</v>
      </c>
      <c r="K1276" s="26" t="n">
        <f aca="false">IF(A1276="","",MONTH(A1276))</f>
        <v>12</v>
      </c>
      <c r="L1276" s="26" t="n">
        <f aca="false">IF(B1276="","",VALUE(LEFT(B1276,2)))</f>
        <v>12</v>
      </c>
      <c r="M1276" s="26" t="n">
        <f aca="false">IF(A1276="","",IF(COUNTIFS($C$2:$C$5001,C1276,$J$2:$J$5001,J1276,$A$2:$A$5001,"&lt;"&amp;A1276)=0,1,0))</f>
        <v>0</v>
      </c>
    </row>
    <row r="1277" customFormat="false" ht="15" hidden="false" customHeight="false" outlineLevel="0" collapsed="false">
      <c r="A1277" s="23" t="n">
        <v>46013.6347222222</v>
      </c>
      <c r="B1277" s="24" t="s">
        <v>359</v>
      </c>
      <c r="C1277" s="24" t="s">
        <v>58</v>
      </c>
      <c r="D1277" s="24" t="s">
        <v>66</v>
      </c>
      <c r="E1277" s="24" t="n">
        <v>142</v>
      </c>
      <c r="F1277" s="25" t="n">
        <v>5000</v>
      </c>
      <c r="G1277" s="24" t="s">
        <v>69</v>
      </c>
      <c r="H1277" s="24" t="s">
        <v>55</v>
      </c>
      <c r="I1277" s="24" t="s">
        <v>61</v>
      </c>
      <c r="J1277" s="26" t="n">
        <f aca="false">IF(A1277="","",YEAR(A1277))</f>
        <v>2025</v>
      </c>
      <c r="K1277" s="26" t="n">
        <f aca="false">IF(A1277="","",MONTH(A1277))</f>
        <v>12</v>
      </c>
      <c r="L1277" s="26" t="n">
        <f aca="false">IF(B1277="","",VALUE(LEFT(B1277,2)))</f>
        <v>12</v>
      </c>
      <c r="M1277" s="26" t="n">
        <f aca="false">IF(A1277="","",IF(COUNTIFS($C$2:$C$5001,C1277,$J$2:$J$5001,J1277,$A$2:$A$5001,"&lt;"&amp;A1277)=0,1,0))</f>
        <v>0</v>
      </c>
    </row>
    <row r="1278" customFormat="false" ht="15" hidden="false" customHeight="false" outlineLevel="0" collapsed="false">
      <c r="A1278" s="23" t="n">
        <v>46013.7972222222</v>
      </c>
      <c r="B1278" s="24" t="s">
        <v>799</v>
      </c>
      <c r="C1278" s="24" t="s">
        <v>271</v>
      </c>
      <c r="D1278" s="24" t="s">
        <v>66</v>
      </c>
      <c r="E1278" s="24" t="n">
        <v>176</v>
      </c>
      <c r="F1278" s="25" t="n">
        <v>5100</v>
      </c>
      <c r="G1278" s="24" t="s">
        <v>59</v>
      </c>
      <c r="H1278" s="24" t="s">
        <v>55</v>
      </c>
      <c r="I1278" s="24" t="s">
        <v>113</v>
      </c>
      <c r="J1278" s="26" t="n">
        <f aca="false">IF(A1278="","",YEAR(A1278))</f>
        <v>2025</v>
      </c>
      <c r="K1278" s="26" t="n">
        <f aca="false">IF(A1278="","",MONTH(A1278))</f>
        <v>12</v>
      </c>
      <c r="L1278" s="26" t="n">
        <f aca="false">IF(B1278="","",VALUE(LEFT(B1278,2)))</f>
        <v>16</v>
      </c>
      <c r="M1278" s="26" t="n">
        <f aca="false">IF(A1278="","",IF(COUNTIFS($C$2:$C$5001,C1278,$J$2:$J$5001,J1278,$A$2:$A$5001,"&lt;"&amp;A1278)=0,1,0))</f>
        <v>0</v>
      </c>
    </row>
    <row r="1279" customFormat="false" ht="15" hidden="false" customHeight="false" outlineLevel="0" collapsed="false">
      <c r="A1279" s="23" t="n">
        <v>46013.8569444444</v>
      </c>
      <c r="B1279" s="24" t="s">
        <v>873</v>
      </c>
      <c r="C1279" s="24" t="s">
        <v>263</v>
      </c>
      <c r="D1279" s="24" t="s">
        <v>66</v>
      </c>
      <c r="E1279" s="24" t="n">
        <v>325</v>
      </c>
      <c r="F1279" s="25" t="n">
        <v>11000</v>
      </c>
      <c r="G1279" s="24" t="s">
        <v>69</v>
      </c>
      <c r="H1279" s="24" t="s">
        <v>60</v>
      </c>
      <c r="I1279" s="24" t="s">
        <v>61</v>
      </c>
      <c r="J1279" s="26" t="n">
        <f aca="false">IF(A1279="","",YEAR(A1279))</f>
        <v>2025</v>
      </c>
      <c r="K1279" s="26" t="n">
        <f aca="false">IF(A1279="","",MONTH(A1279))</f>
        <v>12</v>
      </c>
      <c r="L1279" s="26" t="n">
        <f aca="false">IF(B1279="","",VALUE(LEFT(B1279,2)))</f>
        <v>15</v>
      </c>
      <c r="M1279" s="26" t="n">
        <f aca="false">IF(A1279="","",IF(COUNTIFS($C$2:$C$5001,C1279,$J$2:$J$5001,J1279,$A$2:$A$5001,"&lt;"&amp;A1279)=0,1,0))</f>
        <v>0</v>
      </c>
    </row>
    <row r="1280" customFormat="false" ht="15" hidden="false" customHeight="false" outlineLevel="0" collapsed="false">
      <c r="A1280" s="23" t="n">
        <v>46014.0027777778</v>
      </c>
      <c r="B1280" s="24" t="s">
        <v>695</v>
      </c>
      <c r="C1280" s="24" t="s">
        <v>227</v>
      </c>
      <c r="D1280" s="24" t="s">
        <v>53</v>
      </c>
      <c r="E1280" s="24" t="n">
        <v>188</v>
      </c>
      <c r="F1280" s="25" t="n">
        <v>3500</v>
      </c>
      <c r="G1280" s="24" t="s">
        <v>59</v>
      </c>
      <c r="H1280" s="24" t="s">
        <v>60</v>
      </c>
      <c r="I1280" s="24" t="s">
        <v>61</v>
      </c>
      <c r="J1280" s="26" t="n">
        <f aca="false">IF(A1280="","",YEAR(A1280))</f>
        <v>2025</v>
      </c>
      <c r="K1280" s="26" t="n">
        <f aca="false">IF(A1280="","",MONTH(A1280))</f>
        <v>12</v>
      </c>
      <c r="L1280" s="26" t="n">
        <f aca="false">IF(B1280="","",VALUE(LEFT(B1280,2)))</f>
        <v>20</v>
      </c>
      <c r="M1280" s="26" t="n">
        <f aca="false">IF(A1280="","",IF(COUNTIFS($C$2:$C$5001,C1280,$J$2:$J$5001,J1280,$A$2:$A$5001,"&lt;"&amp;A1280)=0,1,0))</f>
        <v>0</v>
      </c>
    </row>
    <row r="1281" customFormat="false" ht="15" hidden="false" customHeight="false" outlineLevel="0" collapsed="false">
      <c r="A1281" s="23" t="n">
        <v>46014.1298611111</v>
      </c>
      <c r="B1281" s="24" t="s">
        <v>883</v>
      </c>
      <c r="C1281" s="24" t="s">
        <v>152</v>
      </c>
      <c r="D1281" s="24" t="s">
        <v>66</v>
      </c>
      <c r="E1281" s="24" t="n">
        <v>372</v>
      </c>
      <c r="F1281" s="25" t="n">
        <v>13000</v>
      </c>
      <c r="G1281" s="24" t="s">
        <v>59</v>
      </c>
      <c r="H1281" s="24" t="s">
        <v>55</v>
      </c>
      <c r="I1281" s="24" t="s">
        <v>61</v>
      </c>
      <c r="J1281" s="26" t="n">
        <f aca="false">IF(A1281="","",YEAR(A1281))</f>
        <v>2025</v>
      </c>
      <c r="K1281" s="26" t="n">
        <f aca="false">IF(A1281="","",MONTH(A1281))</f>
        <v>12</v>
      </c>
      <c r="L1281" s="26" t="n">
        <f aca="false">IF(B1281="","",VALUE(LEFT(B1281,2)))</f>
        <v>20</v>
      </c>
      <c r="M1281" s="26" t="n">
        <f aca="false">IF(A1281="","",IF(COUNTIFS($C$2:$C$5001,C1281,$J$2:$J$5001,J1281,$A$2:$A$5001,"&lt;"&amp;A1281)=0,1,0))</f>
        <v>0</v>
      </c>
    </row>
    <row r="1282" customFormat="false" ht="15" hidden="false" customHeight="false" outlineLevel="0" collapsed="false">
      <c r="A1282" s="23" t="n">
        <v>46014.4361111111</v>
      </c>
      <c r="B1282" s="24" t="s">
        <v>432</v>
      </c>
      <c r="C1282" s="24" t="s">
        <v>240</v>
      </c>
      <c r="D1282" s="24" t="s">
        <v>66</v>
      </c>
      <c r="E1282" s="24" t="n">
        <v>37</v>
      </c>
      <c r="F1282" s="25" t="n">
        <v>2000</v>
      </c>
      <c r="G1282" s="24" t="s">
        <v>79</v>
      </c>
      <c r="H1282" s="24" t="s">
        <v>55</v>
      </c>
      <c r="I1282" s="24" t="s">
        <v>61</v>
      </c>
      <c r="J1282" s="26" t="n">
        <f aca="false">IF(A1282="","",YEAR(A1282))</f>
        <v>2025</v>
      </c>
      <c r="K1282" s="26" t="n">
        <f aca="false">IF(A1282="","",MONTH(A1282))</f>
        <v>12</v>
      </c>
      <c r="L1282" s="26" t="n">
        <f aca="false">IF(B1282="","",VALUE(LEFT(B1282,2)))</f>
        <v>9</v>
      </c>
      <c r="M1282" s="26" t="n">
        <f aca="false">IF(A1282="","",IF(COUNTIFS($C$2:$C$5001,C1282,$J$2:$J$5001,J1282,$A$2:$A$5001,"&lt;"&amp;A1282)=0,1,0))</f>
        <v>0</v>
      </c>
    </row>
    <row r="1283" customFormat="false" ht="15" hidden="false" customHeight="false" outlineLevel="0" collapsed="false">
      <c r="A1283" s="23" t="n">
        <v>46014.58125</v>
      </c>
      <c r="B1283" s="24" t="s">
        <v>524</v>
      </c>
      <c r="C1283" s="24" t="s">
        <v>177</v>
      </c>
      <c r="D1283" s="24" t="s">
        <v>66</v>
      </c>
      <c r="E1283" s="24" t="n">
        <v>402</v>
      </c>
      <c r="F1283" s="25" t="n">
        <v>14000</v>
      </c>
      <c r="G1283" s="24" t="s">
        <v>59</v>
      </c>
      <c r="H1283" s="24" t="s">
        <v>55</v>
      </c>
      <c r="I1283" s="24" t="s">
        <v>61</v>
      </c>
      <c r="J1283" s="26" t="n">
        <f aca="false">IF(A1283="","",YEAR(A1283))</f>
        <v>2025</v>
      </c>
      <c r="K1283" s="26" t="n">
        <f aca="false">IF(A1283="","",MONTH(A1283))</f>
        <v>12</v>
      </c>
      <c r="L1283" s="26" t="n">
        <f aca="false">IF(B1283="","",VALUE(LEFT(B1283,2)))</f>
        <v>7</v>
      </c>
      <c r="M1283" s="26" t="n">
        <f aca="false">IF(A1283="","",IF(COUNTIFS($C$2:$C$5001,C1283,$J$2:$J$5001,J1283,$A$2:$A$5001,"&lt;"&amp;A1283)=0,1,0))</f>
        <v>0</v>
      </c>
    </row>
    <row r="1284" customFormat="false" ht="15" hidden="false" customHeight="false" outlineLevel="0" collapsed="false">
      <c r="A1284" s="23" t="n">
        <v>46014.6222222222</v>
      </c>
      <c r="B1284" s="24" t="s">
        <v>288</v>
      </c>
      <c r="C1284" s="24" t="s">
        <v>448</v>
      </c>
      <c r="D1284" s="24" t="s">
        <v>88</v>
      </c>
      <c r="E1284" s="24" t="n">
        <v>377</v>
      </c>
      <c r="F1284" s="25" t="n">
        <v>19500</v>
      </c>
      <c r="G1284" s="24" t="s">
        <v>59</v>
      </c>
      <c r="H1284" s="24" t="s">
        <v>55</v>
      </c>
      <c r="I1284" s="24" t="s">
        <v>61</v>
      </c>
      <c r="J1284" s="26" t="n">
        <f aca="false">IF(A1284="","",YEAR(A1284))</f>
        <v>2025</v>
      </c>
      <c r="K1284" s="26" t="n">
        <f aca="false">IF(A1284="","",MONTH(A1284))</f>
        <v>12</v>
      </c>
      <c r="L1284" s="26" t="n">
        <f aca="false">IF(B1284="","",VALUE(LEFT(B1284,2)))</f>
        <v>8</v>
      </c>
      <c r="M1284" s="26" t="n">
        <f aca="false">IF(A1284="","",IF(COUNTIFS($C$2:$C$5001,C1284,$J$2:$J$5001,J1284,$A$2:$A$5001,"&lt;"&amp;A1284)=0,1,0))</f>
        <v>0</v>
      </c>
    </row>
    <row r="1285" customFormat="false" ht="15" hidden="false" customHeight="false" outlineLevel="0" collapsed="false">
      <c r="A1285" s="23" t="n">
        <v>46014.8548611111</v>
      </c>
      <c r="B1285" s="24" t="s">
        <v>472</v>
      </c>
      <c r="C1285" s="24" t="s">
        <v>235</v>
      </c>
      <c r="D1285" s="24" t="s">
        <v>72</v>
      </c>
      <c r="E1285" s="24" t="n">
        <v>116</v>
      </c>
      <c r="F1285" s="25" t="n">
        <v>6800</v>
      </c>
      <c r="G1285" s="24" t="s">
        <v>59</v>
      </c>
      <c r="H1285" s="24" t="s">
        <v>60</v>
      </c>
      <c r="I1285" s="24" t="s">
        <v>113</v>
      </c>
      <c r="J1285" s="26" t="n">
        <f aca="false">IF(A1285="","",YEAR(A1285))</f>
        <v>2025</v>
      </c>
      <c r="K1285" s="26" t="n">
        <f aca="false">IF(A1285="","",MONTH(A1285))</f>
        <v>12</v>
      </c>
      <c r="L1285" s="26" t="n">
        <f aca="false">IF(B1285="","",VALUE(LEFT(B1285,2)))</f>
        <v>18</v>
      </c>
      <c r="M1285" s="26" t="n">
        <f aca="false">IF(A1285="","",IF(COUNTIFS($C$2:$C$5001,C1285,$J$2:$J$5001,J1285,$A$2:$A$5001,"&lt;"&amp;A1285)=0,1,0))</f>
        <v>0</v>
      </c>
    </row>
    <row r="1286" customFormat="false" ht="15" hidden="false" customHeight="false" outlineLevel="0" collapsed="false">
      <c r="A1286" s="23" t="n">
        <v>46014.91875</v>
      </c>
      <c r="B1286" s="24" t="s">
        <v>207</v>
      </c>
      <c r="C1286" s="24" t="s">
        <v>463</v>
      </c>
      <c r="D1286" s="24" t="s">
        <v>53</v>
      </c>
      <c r="E1286" s="24" t="n">
        <v>385</v>
      </c>
      <c r="F1286" s="25" t="n">
        <v>6500</v>
      </c>
      <c r="G1286" s="24" t="s">
        <v>59</v>
      </c>
      <c r="H1286" s="24" t="s">
        <v>60</v>
      </c>
      <c r="I1286" s="24" t="s">
        <v>61</v>
      </c>
      <c r="J1286" s="26" t="n">
        <f aca="false">IF(A1286="","",YEAR(A1286))</f>
        <v>2025</v>
      </c>
      <c r="K1286" s="26" t="n">
        <f aca="false">IF(A1286="","",MONTH(A1286))</f>
        <v>12</v>
      </c>
      <c r="L1286" s="26" t="n">
        <f aca="false">IF(B1286="","",VALUE(LEFT(B1286,2)))</f>
        <v>15</v>
      </c>
      <c r="M1286" s="26" t="n">
        <f aca="false">IF(A1286="","",IF(COUNTIFS($C$2:$C$5001,C1286,$J$2:$J$5001,J1286,$A$2:$A$5001,"&lt;"&amp;A1286)=0,1,0))</f>
        <v>0</v>
      </c>
    </row>
    <row r="1287" customFormat="false" ht="15" hidden="false" customHeight="false" outlineLevel="0" collapsed="false">
      <c r="A1287" s="23" t="n">
        <v>46014.9347222222</v>
      </c>
      <c r="B1287" s="24" t="s">
        <v>216</v>
      </c>
      <c r="C1287" s="24" t="s">
        <v>174</v>
      </c>
      <c r="D1287" s="24" t="s">
        <v>53</v>
      </c>
      <c r="E1287" s="24" t="n">
        <v>303</v>
      </c>
      <c r="F1287" s="25" t="n">
        <v>5500</v>
      </c>
      <c r="G1287" s="24" t="s">
        <v>59</v>
      </c>
      <c r="H1287" s="24" t="s">
        <v>55</v>
      </c>
      <c r="I1287" s="24" t="s">
        <v>61</v>
      </c>
      <c r="J1287" s="26" t="n">
        <f aca="false">IF(A1287="","",YEAR(A1287))</f>
        <v>2025</v>
      </c>
      <c r="K1287" s="26" t="n">
        <f aca="false">IF(A1287="","",MONTH(A1287))</f>
        <v>12</v>
      </c>
      <c r="L1287" s="26" t="n">
        <f aca="false">IF(B1287="","",VALUE(LEFT(B1287,2)))</f>
        <v>17</v>
      </c>
      <c r="M1287" s="26" t="n">
        <f aca="false">IF(A1287="","",IF(COUNTIFS($C$2:$C$5001,C1287,$J$2:$J$5001,J1287,$A$2:$A$5001,"&lt;"&amp;A1287)=0,1,0))</f>
        <v>0</v>
      </c>
    </row>
    <row r="1288" customFormat="false" ht="15" hidden="false" customHeight="false" outlineLevel="0" collapsed="false">
      <c r="A1288" s="23" t="n">
        <v>46014.94375</v>
      </c>
      <c r="B1288" s="24" t="s">
        <v>871</v>
      </c>
      <c r="C1288" s="24" t="s">
        <v>160</v>
      </c>
      <c r="D1288" s="24" t="s">
        <v>88</v>
      </c>
      <c r="E1288" s="24" t="n">
        <v>341</v>
      </c>
      <c r="F1288" s="25" t="n">
        <v>18000</v>
      </c>
      <c r="G1288" s="24" t="s">
        <v>59</v>
      </c>
      <c r="H1288" s="24" t="s">
        <v>55</v>
      </c>
      <c r="I1288" s="24" t="s">
        <v>61</v>
      </c>
      <c r="J1288" s="26" t="n">
        <f aca="false">IF(A1288="","",YEAR(A1288))</f>
        <v>2025</v>
      </c>
      <c r="K1288" s="26" t="n">
        <f aca="false">IF(A1288="","",MONTH(A1288))</f>
        <v>12</v>
      </c>
      <c r="L1288" s="26" t="n">
        <f aca="false">IF(B1288="","",VALUE(LEFT(B1288,2)))</f>
        <v>16</v>
      </c>
      <c r="M1288" s="26" t="n">
        <f aca="false">IF(A1288="","",IF(COUNTIFS($C$2:$C$5001,C1288,$J$2:$J$5001,J1288,$A$2:$A$5001,"&lt;"&amp;A1288)=0,1,0))</f>
        <v>0</v>
      </c>
    </row>
    <row r="1289" customFormat="false" ht="15" hidden="false" customHeight="false" outlineLevel="0" collapsed="false">
      <c r="A1289" s="23" t="n">
        <v>46015.0104166667</v>
      </c>
      <c r="B1289" s="24" t="s">
        <v>523</v>
      </c>
      <c r="C1289" s="24" t="s">
        <v>68</v>
      </c>
      <c r="D1289" s="24" t="s">
        <v>88</v>
      </c>
      <c r="E1289" s="24" t="n">
        <v>354</v>
      </c>
      <c r="F1289" s="25" t="n">
        <v>18000</v>
      </c>
      <c r="G1289" s="24" t="s">
        <v>59</v>
      </c>
      <c r="H1289" s="24" t="s">
        <v>60</v>
      </c>
      <c r="I1289" s="24" t="s">
        <v>61</v>
      </c>
      <c r="J1289" s="26" t="n">
        <f aca="false">IF(A1289="","",YEAR(A1289))</f>
        <v>2025</v>
      </c>
      <c r="K1289" s="26" t="n">
        <f aca="false">IF(A1289="","",MONTH(A1289))</f>
        <v>12</v>
      </c>
      <c r="L1289" s="26" t="n">
        <f aca="false">IF(B1289="","",VALUE(LEFT(B1289,2)))</f>
        <v>18</v>
      </c>
      <c r="M1289" s="26" t="n">
        <f aca="false">IF(A1289="","",IF(COUNTIFS($C$2:$C$5001,C1289,$J$2:$J$5001,J1289,$A$2:$A$5001,"&lt;"&amp;A1289)=0,1,0))</f>
        <v>0</v>
      </c>
    </row>
    <row r="1290" customFormat="false" ht="15" hidden="false" customHeight="false" outlineLevel="0" collapsed="false">
      <c r="A1290" s="23" t="n">
        <v>46015.6305555556</v>
      </c>
      <c r="B1290" s="24" t="s">
        <v>404</v>
      </c>
      <c r="C1290" s="24" t="s">
        <v>87</v>
      </c>
      <c r="D1290" s="24" t="s">
        <v>66</v>
      </c>
      <c r="E1290" s="24" t="n">
        <v>373</v>
      </c>
      <c r="F1290" s="25" t="n">
        <v>11050</v>
      </c>
      <c r="G1290" s="24" t="s">
        <v>59</v>
      </c>
      <c r="H1290" s="24" t="s">
        <v>55</v>
      </c>
      <c r="I1290" s="24" t="s">
        <v>113</v>
      </c>
      <c r="J1290" s="26" t="n">
        <f aca="false">IF(A1290="","",YEAR(A1290))</f>
        <v>2025</v>
      </c>
      <c r="K1290" s="26" t="n">
        <f aca="false">IF(A1290="","",MONTH(A1290))</f>
        <v>12</v>
      </c>
      <c r="L1290" s="26" t="n">
        <f aca="false">IF(B1290="","",VALUE(LEFT(B1290,2)))</f>
        <v>8</v>
      </c>
      <c r="M1290" s="26" t="n">
        <f aca="false">IF(A1290="","",IF(COUNTIFS($C$2:$C$5001,C1290,$J$2:$J$5001,J1290,$A$2:$A$5001,"&lt;"&amp;A1290)=0,1,0))</f>
        <v>0</v>
      </c>
    </row>
    <row r="1291" customFormat="false" ht="15" hidden="false" customHeight="false" outlineLevel="0" collapsed="false">
      <c r="A1291" s="23" t="n">
        <v>46015.6479166667</v>
      </c>
      <c r="B1291" s="24" t="s">
        <v>884</v>
      </c>
      <c r="C1291" s="24" t="s">
        <v>535</v>
      </c>
      <c r="D1291" s="24" t="s">
        <v>66</v>
      </c>
      <c r="E1291" s="24" t="n">
        <v>33</v>
      </c>
      <c r="F1291" s="25" t="n">
        <v>2000</v>
      </c>
      <c r="G1291" s="24" t="s">
        <v>54</v>
      </c>
      <c r="H1291" s="24" t="s">
        <v>55</v>
      </c>
      <c r="I1291" s="24" t="s">
        <v>61</v>
      </c>
      <c r="J1291" s="26" t="n">
        <f aca="false">IF(A1291="","",YEAR(A1291))</f>
        <v>2025</v>
      </c>
      <c r="K1291" s="26" t="n">
        <f aca="false">IF(A1291="","",MONTH(A1291))</f>
        <v>12</v>
      </c>
      <c r="L1291" s="26" t="n">
        <f aca="false">IF(B1291="","",VALUE(LEFT(B1291,2)))</f>
        <v>15</v>
      </c>
      <c r="M1291" s="26" t="n">
        <f aca="false">IF(A1291="","",IF(COUNTIFS($C$2:$C$5001,C1291,$J$2:$J$5001,J1291,$A$2:$A$5001,"&lt;"&amp;A1291)=0,1,0))</f>
        <v>0</v>
      </c>
    </row>
    <row r="1292" customFormat="false" ht="15" hidden="false" customHeight="false" outlineLevel="0" collapsed="false">
      <c r="A1292" s="23" t="n">
        <v>46015.8055555556</v>
      </c>
      <c r="B1292" s="24" t="s">
        <v>885</v>
      </c>
      <c r="C1292" s="24" t="s">
        <v>92</v>
      </c>
      <c r="D1292" s="24" t="s">
        <v>66</v>
      </c>
      <c r="E1292" s="24" t="n">
        <v>333</v>
      </c>
      <c r="F1292" s="25" t="n">
        <v>12000</v>
      </c>
      <c r="G1292" s="24" t="s">
        <v>59</v>
      </c>
      <c r="H1292" s="24" t="s">
        <v>60</v>
      </c>
      <c r="I1292" s="24" t="s">
        <v>61</v>
      </c>
      <c r="J1292" s="26" t="n">
        <f aca="false">IF(A1292="","",YEAR(A1292))</f>
        <v>2025</v>
      </c>
      <c r="K1292" s="26" t="n">
        <f aca="false">IF(A1292="","",MONTH(A1292))</f>
        <v>12</v>
      </c>
      <c r="L1292" s="26" t="n">
        <f aca="false">IF(B1292="","",VALUE(LEFT(B1292,2)))</f>
        <v>13</v>
      </c>
      <c r="M1292" s="26" t="n">
        <f aca="false">IF(A1292="","",IF(COUNTIFS($C$2:$C$5001,C1292,$J$2:$J$5001,J1292,$A$2:$A$5001,"&lt;"&amp;A1292)=0,1,0))</f>
        <v>0</v>
      </c>
    </row>
    <row r="1293" customFormat="false" ht="15" hidden="false" customHeight="false" outlineLevel="0" collapsed="false">
      <c r="A1293" s="23" t="n">
        <v>46016.0125</v>
      </c>
      <c r="B1293" s="24" t="s">
        <v>886</v>
      </c>
      <c r="C1293" s="24" t="s">
        <v>197</v>
      </c>
      <c r="D1293" s="24" t="s">
        <v>66</v>
      </c>
      <c r="E1293" s="24" t="n">
        <v>385</v>
      </c>
      <c r="F1293" s="25" t="n">
        <v>13000</v>
      </c>
      <c r="G1293" s="24" t="s">
        <v>59</v>
      </c>
      <c r="H1293" s="24" t="s">
        <v>55</v>
      </c>
      <c r="I1293" s="24" t="s">
        <v>61</v>
      </c>
      <c r="J1293" s="26" t="n">
        <f aca="false">IF(A1293="","",YEAR(A1293))</f>
        <v>2025</v>
      </c>
      <c r="K1293" s="26" t="n">
        <f aca="false">IF(A1293="","",MONTH(A1293))</f>
        <v>12</v>
      </c>
      <c r="L1293" s="26" t="n">
        <f aca="false">IF(B1293="","",VALUE(LEFT(B1293,2)))</f>
        <v>17</v>
      </c>
      <c r="M1293" s="26" t="n">
        <f aca="false">IF(A1293="","",IF(COUNTIFS($C$2:$C$5001,C1293,$J$2:$J$5001,J1293,$A$2:$A$5001,"&lt;"&amp;A1293)=0,1,0))</f>
        <v>0</v>
      </c>
    </row>
    <row r="1294" customFormat="false" ht="15" hidden="false" customHeight="false" outlineLevel="0" collapsed="false">
      <c r="A1294" s="23" t="n">
        <v>46016.4923611111</v>
      </c>
      <c r="B1294" s="24" t="s">
        <v>426</v>
      </c>
      <c r="C1294" s="24" t="s">
        <v>317</v>
      </c>
      <c r="D1294" s="24" t="s">
        <v>66</v>
      </c>
      <c r="E1294" s="24" t="n">
        <v>272</v>
      </c>
      <c r="F1294" s="25" t="n">
        <v>10000</v>
      </c>
      <c r="G1294" s="24" t="s">
        <v>59</v>
      </c>
      <c r="H1294" s="24" t="s">
        <v>60</v>
      </c>
      <c r="I1294" s="24" t="s">
        <v>61</v>
      </c>
      <c r="J1294" s="26" t="n">
        <f aca="false">IF(A1294="","",YEAR(A1294))</f>
        <v>2025</v>
      </c>
      <c r="K1294" s="26" t="n">
        <f aca="false">IF(A1294="","",MONTH(A1294))</f>
        <v>12</v>
      </c>
      <c r="L1294" s="26" t="n">
        <f aca="false">IF(B1294="","",VALUE(LEFT(B1294,2)))</f>
        <v>7</v>
      </c>
      <c r="M1294" s="26" t="n">
        <f aca="false">IF(A1294="","",IF(COUNTIFS($C$2:$C$5001,C1294,$J$2:$J$5001,J1294,$A$2:$A$5001,"&lt;"&amp;A1294)=0,1,0))</f>
        <v>0</v>
      </c>
    </row>
    <row r="1295" customFormat="false" ht="15" hidden="false" customHeight="false" outlineLevel="0" collapsed="false">
      <c r="A1295" s="23" t="n">
        <v>46016.5916666667</v>
      </c>
      <c r="B1295" s="24" t="s">
        <v>671</v>
      </c>
      <c r="C1295" s="24" t="s">
        <v>194</v>
      </c>
      <c r="D1295" s="24" t="s">
        <v>66</v>
      </c>
      <c r="E1295" s="24" t="n">
        <v>412</v>
      </c>
      <c r="F1295" s="25" t="n">
        <v>11900</v>
      </c>
      <c r="G1295" s="24" t="s">
        <v>54</v>
      </c>
      <c r="H1295" s="24" t="s">
        <v>60</v>
      </c>
      <c r="I1295" s="24" t="s">
        <v>113</v>
      </c>
      <c r="J1295" s="26" t="n">
        <f aca="false">IF(A1295="","",YEAR(A1295))</f>
        <v>2025</v>
      </c>
      <c r="K1295" s="26" t="n">
        <f aca="false">IF(A1295="","",MONTH(A1295))</f>
        <v>12</v>
      </c>
      <c r="L1295" s="26" t="n">
        <f aca="false">IF(B1295="","",VALUE(LEFT(B1295,2)))</f>
        <v>7</v>
      </c>
      <c r="M1295" s="26" t="n">
        <f aca="false">IF(A1295="","",IF(COUNTIFS($C$2:$C$5001,C1295,$J$2:$J$5001,J1295,$A$2:$A$5001,"&lt;"&amp;A1295)=0,1,0))</f>
        <v>0</v>
      </c>
    </row>
    <row r="1296" customFormat="false" ht="15" hidden="false" customHeight="false" outlineLevel="0" collapsed="false">
      <c r="A1296" s="23" t="n">
        <v>46016.7048611111</v>
      </c>
      <c r="B1296" s="24" t="s">
        <v>887</v>
      </c>
      <c r="C1296" s="24" t="s">
        <v>448</v>
      </c>
      <c r="D1296" s="24" t="s">
        <v>66</v>
      </c>
      <c r="E1296" s="24" t="n">
        <v>415</v>
      </c>
      <c r="F1296" s="25" t="n">
        <v>14000</v>
      </c>
      <c r="G1296" s="24" t="s">
        <v>59</v>
      </c>
      <c r="H1296" s="24" t="s">
        <v>80</v>
      </c>
      <c r="I1296" s="24" t="s">
        <v>61</v>
      </c>
      <c r="J1296" s="26" t="n">
        <f aca="false">IF(A1296="","",YEAR(A1296))</f>
        <v>2025</v>
      </c>
      <c r="K1296" s="26" t="n">
        <f aca="false">IF(A1296="","",MONTH(A1296))</f>
        <v>12</v>
      </c>
      <c r="L1296" s="26" t="n">
        <f aca="false">IF(B1296="","",VALUE(LEFT(B1296,2)))</f>
        <v>10</v>
      </c>
      <c r="M1296" s="26" t="n">
        <f aca="false">IF(A1296="","",IF(COUNTIFS($C$2:$C$5001,C1296,$J$2:$J$5001,J1296,$A$2:$A$5001,"&lt;"&amp;A1296)=0,1,0))</f>
        <v>0</v>
      </c>
    </row>
    <row r="1297" customFormat="false" ht="15" hidden="false" customHeight="false" outlineLevel="0" collapsed="false">
      <c r="A1297" s="23" t="n">
        <v>46016.7736111111</v>
      </c>
      <c r="B1297" s="24" t="s">
        <v>880</v>
      </c>
      <c r="C1297" s="24" t="s">
        <v>71</v>
      </c>
      <c r="D1297" s="24" t="s">
        <v>66</v>
      </c>
      <c r="E1297" s="24" t="n">
        <v>417</v>
      </c>
      <c r="F1297" s="25" t="n">
        <v>0</v>
      </c>
      <c r="G1297" s="24" t="s">
        <v>59</v>
      </c>
      <c r="H1297" s="24" t="s">
        <v>80</v>
      </c>
      <c r="I1297" s="24" t="s">
        <v>56</v>
      </c>
      <c r="J1297" s="26" t="n">
        <f aca="false">IF(A1297="","",YEAR(A1297))</f>
        <v>2025</v>
      </c>
      <c r="K1297" s="26" t="n">
        <f aca="false">IF(A1297="","",MONTH(A1297))</f>
        <v>12</v>
      </c>
      <c r="L1297" s="26" t="n">
        <f aca="false">IF(B1297="","",VALUE(LEFT(B1297,2)))</f>
        <v>11</v>
      </c>
      <c r="M1297" s="26" t="n">
        <f aca="false">IF(A1297="","",IF(COUNTIFS($C$2:$C$5001,C1297,$J$2:$J$5001,J1297,$A$2:$A$5001,"&lt;"&amp;A1297)=0,1,0))</f>
        <v>0</v>
      </c>
    </row>
    <row r="1298" customFormat="false" ht="15" hidden="false" customHeight="false" outlineLevel="0" collapsed="false">
      <c r="A1298" s="23" t="n">
        <v>46017.4013888889</v>
      </c>
      <c r="B1298" s="24" t="s">
        <v>453</v>
      </c>
      <c r="C1298" s="24" t="s">
        <v>94</v>
      </c>
      <c r="D1298" s="24" t="s">
        <v>88</v>
      </c>
      <c r="E1298" s="24" t="n">
        <v>214</v>
      </c>
      <c r="F1298" s="25" t="n">
        <v>12000</v>
      </c>
      <c r="G1298" s="24" t="s">
        <v>59</v>
      </c>
      <c r="H1298" s="24" t="s">
        <v>60</v>
      </c>
      <c r="I1298" s="24" t="s">
        <v>61</v>
      </c>
      <c r="J1298" s="26" t="n">
        <f aca="false">IF(A1298="","",YEAR(A1298))</f>
        <v>2025</v>
      </c>
      <c r="K1298" s="26" t="n">
        <f aca="false">IF(A1298="","",MONTH(A1298))</f>
        <v>12</v>
      </c>
      <c r="L1298" s="26" t="n">
        <f aca="false">IF(B1298="","",VALUE(LEFT(B1298,2)))</f>
        <v>6</v>
      </c>
      <c r="M1298" s="26" t="n">
        <f aca="false">IF(A1298="","",IF(COUNTIFS($C$2:$C$5001,C1298,$J$2:$J$5001,J1298,$A$2:$A$5001,"&lt;"&amp;A1298)=0,1,0))</f>
        <v>0</v>
      </c>
    </row>
    <row r="1299" customFormat="false" ht="15" hidden="false" customHeight="false" outlineLevel="0" collapsed="false">
      <c r="A1299" s="23" t="n">
        <v>46017.4166666667</v>
      </c>
      <c r="B1299" s="24" t="s">
        <v>565</v>
      </c>
      <c r="C1299" s="24" t="s">
        <v>271</v>
      </c>
      <c r="D1299" s="24" t="s">
        <v>72</v>
      </c>
      <c r="E1299" s="24" t="n">
        <v>114</v>
      </c>
      <c r="F1299" s="25" t="n">
        <v>8000</v>
      </c>
      <c r="G1299" s="24" t="s">
        <v>59</v>
      </c>
      <c r="H1299" s="24" t="s">
        <v>60</v>
      </c>
      <c r="I1299" s="24" t="s">
        <v>61</v>
      </c>
      <c r="J1299" s="26" t="n">
        <f aca="false">IF(A1299="","",YEAR(A1299))</f>
        <v>2025</v>
      </c>
      <c r="K1299" s="26" t="n">
        <f aca="false">IF(A1299="","",MONTH(A1299))</f>
        <v>12</v>
      </c>
      <c r="L1299" s="26" t="n">
        <f aca="false">IF(B1299="","",VALUE(LEFT(B1299,2)))</f>
        <v>8</v>
      </c>
      <c r="M1299" s="26" t="n">
        <f aca="false">IF(A1299="","",IF(COUNTIFS($C$2:$C$5001,C1299,$J$2:$J$5001,J1299,$A$2:$A$5001,"&lt;"&amp;A1299)=0,1,0))</f>
        <v>0</v>
      </c>
    </row>
    <row r="1300" customFormat="false" ht="15" hidden="false" customHeight="false" outlineLevel="0" collapsed="false">
      <c r="A1300" s="23" t="n">
        <v>46017.4756944445</v>
      </c>
      <c r="B1300" s="24" t="s">
        <v>649</v>
      </c>
      <c r="C1300" s="24" t="s">
        <v>484</v>
      </c>
      <c r="D1300" s="24" t="s">
        <v>53</v>
      </c>
      <c r="E1300" s="24" t="n">
        <v>311</v>
      </c>
      <c r="F1300" s="25" t="n">
        <v>5500</v>
      </c>
      <c r="G1300" s="24" t="s">
        <v>59</v>
      </c>
      <c r="H1300" s="24" t="s">
        <v>80</v>
      </c>
      <c r="I1300" s="24" t="s">
        <v>61</v>
      </c>
      <c r="J1300" s="26" t="n">
        <f aca="false">IF(A1300="","",YEAR(A1300))</f>
        <v>2025</v>
      </c>
      <c r="K1300" s="26" t="n">
        <f aca="false">IF(A1300="","",MONTH(A1300))</f>
        <v>12</v>
      </c>
      <c r="L1300" s="26" t="n">
        <f aca="false">IF(B1300="","",VALUE(LEFT(B1300,2)))</f>
        <v>6</v>
      </c>
      <c r="M1300" s="26" t="n">
        <f aca="false">IF(A1300="","",IF(COUNTIFS($C$2:$C$5001,C1300,$J$2:$J$5001,J1300,$A$2:$A$5001,"&lt;"&amp;A1300)=0,1,0))</f>
        <v>0</v>
      </c>
    </row>
    <row r="1301" customFormat="false" ht="15" hidden="false" customHeight="false" outlineLevel="0" collapsed="false">
      <c r="A1301" s="23" t="n">
        <v>46017.5881944444</v>
      </c>
      <c r="B1301" s="24" t="s">
        <v>554</v>
      </c>
      <c r="C1301" s="24" t="s">
        <v>65</v>
      </c>
      <c r="D1301" s="24" t="s">
        <v>66</v>
      </c>
      <c r="E1301" s="24" t="n">
        <v>122</v>
      </c>
      <c r="F1301" s="25" t="n">
        <v>5000</v>
      </c>
      <c r="G1301" s="24" t="s">
        <v>59</v>
      </c>
      <c r="H1301" s="24" t="s">
        <v>60</v>
      </c>
      <c r="I1301" s="24" t="s">
        <v>61</v>
      </c>
      <c r="J1301" s="26" t="n">
        <f aca="false">IF(A1301="","",YEAR(A1301))</f>
        <v>2025</v>
      </c>
      <c r="K1301" s="26" t="n">
        <f aca="false">IF(A1301="","",MONTH(A1301))</f>
        <v>12</v>
      </c>
      <c r="L1301" s="26" t="n">
        <f aca="false">IF(B1301="","",VALUE(LEFT(B1301,2)))</f>
        <v>12</v>
      </c>
      <c r="M1301" s="26" t="n">
        <f aca="false">IF(A1301="","",IF(COUNTIFS($C$2:$C$5001,C1301,$J$2:$J$5001,J1301,$A$2:$A$5001,"&lt;"&amp;A1301)=0,1,0))</f>
        <v>0</v>
      </c>
    </row>
    <row r="1302" customFormat="false" ht="15" hidden="false" customHeight="false" outlineLevel="0" collapsed="false">
      <c r="A1302" s="23" t="n">
        <v>46017.7375</v>
      </c>
      <c r="B1302" s="24" t="s">
        <v>888</v>
      </c>
      <c r="C1302" s="24" t="s">
        <v>309</v>
      </c>
      <c r="D1302" s="24" t="s">
        <v>66</v>
      </c>
      <c r="E1302" s="24" t="n">
        <v>249</v>
      </c>
      <c r="F1302" s="25" t="n">
        <v>9000</v>
      </c>
      <c r="G1302" s="24" t="s">
        <v>59</v>
      </c>
      <c r="H1302" s="24" t="s">
        <v>80</v>
      </c>
      <c r="I1302" s="24" t="s">
        <v>61</v>
      </c>
      <c r="J1302" s="26" t="n">
        <f aca="false">IF(A1302="","",YEAR(A1302))</f>
        <v>2025</v>
      </c>
      <c r="K1302" s="26" t="n">
        <f aca="false">IF(A1302="","",MONTH(A1302))</f>
        <v>12</v>
      </c>
      <c r="L1302" s="26" t="n">
        <f aca="false">IF(B1302="","",VALUE(LEFT(B1302,2)))</f>
        <v>13</v>
      </c>
      <c r="M1302" s="26" t="n">
        <f aca="false">IF(A1302="","",IF(COUNTIFS($C$2:$C$5001,C1302,$J$2:$J$5001,J1302,$A$2:$A$5001,"&lt;"&amp;A1302)=0,1,0))</f>
        <v>0</v>
      </c>
    </row>
    <row r="1303" customFormat="false" ht="15" hidden="false" customHeight="false" outlineLevel="0" collapsed="false">
      <c r="A1303" s="23" t="n">
        <v>46018.0479166667</v>
      </c>
      <c r="B1303" s="24" t="s">
        <v>794</v>
      </c>
      <c r="C1303" s="24" t="s">
        <v>85</v>
      </c>
      <c r="D1303" s="24" t="s">
        <v>66</v>
      </c>
      <c r="E1303" s="24" t="n">
        <v>381</v>
      </c>
      <c r="F1303" s="25" t="n">
        <v>13000</v>
      </c>
      <c r="G1303" s="24" t="s">
        <v>69</v>
      </c>
      <c r="H1303" s="24" t="s">
        <v>60</v>
      </c>
      <c r="I1303" s="24" t="s">
        <v>61</v>
      </c>
      <c r="J1303" s="26" t="n">
        <f aca="false">IF(A1303="","",YEAR(A1303))</f>
        <v>2025</v>
      </c>
      <c r="K1303" s="26" t="n">
        <f aca="false">IF(A1303="","",MONTH(A1303))</f>
        <v>12</v>
      </c>
      <c r="L1303" s="26" t="n">
        <f aca="false">IF(B1303="","",VALUE(LEFT(B1303,2)))</f>
        <v>18</v>
      </c>
      <c r="M1303" s="26" t="n">
        <f aca="false">IF(A1303="","",IF(COUNTIFS($C$2:$C$5001,C1303,$J$2:$J$5001,J1303,$A$2:$A$5001,"&lt;"&amp;A1303)=0,1,0))</f>
        <v>0</v>
      </c>
    </row>
    <row r="1304" customFormat="false" ht="15" hidden="false" customHeight="false" outlineLevel="0" collapsed="false">
      <c r="A1304" s="23" t="n">
        <v>46018.4722222222</v>
      </c>
      <c r="B1304" s="24" t="s">
        <v>889</v>
      </c>
      <c r="C1304" s="24" t="s">
        <v>71</v>
      </c>
      <c r="D1304" s="24" t="s">
        <v>66</v>
      </c>
      <c r="E1304" s="24" t="n">
        <v>281</v>
      </c>
      <c r="F1304" s="25" t="n">
        <v>0</v>
      </c>
      <c r="G1304" s="24" t="s">
        <v>83</v>
      </c>
      <c r="H1304" s="24" t="s">
        <v>60</v>
      </c>
      <c r="I1304" s="24" t="s">
        <v>56</v>
      </c>
      <c r="J1304" s="26" t="n">
        <f aca="false">IF(A1304="","",YEAR(A1304))</f>
        <v>2025</v>
      </c>
      <c r="K1304" s="26" t="n">
        <f aca="false">IF(A1304="","",MONTH(A1304))</f>
        <v>12</v>
      </c>
      <c r="L1304" s="26" t="n">
        <f aca="false">IF(B1304="","",VALUE(LEFT(B1304,2)))</f>
        <v>6</v>
      </c>
      <c r="M1304" s="26" t="n">
        <f aca="false">IF(A1304="","",IF(COUNTIFS($C$2:$C$5001,C1304,$J$2:$J$5001,J1304,$A$2:$A$5001,"&lt;"&amp;A1304)=0,1,0))</f>
        <v>0</v>
      </c>
    </row>
    <row r="1305" customFormat="false" ht="15" hidden="false" customHeight="false" outlineLevel="0" collapsed="false">
      <c r="A1305" s="23" t="n">
        <v>46018.6111111111</v>
      </c>
      <c r="B1305" s="24" t="s">
        <v>163</v>
      </c>
      <c r="C1305" s="24" t="s">
        <v>220</v>
      </c>
      <c r="D1305" s="24" t="s">
        <v>66</v>
      </c>
      <c r="E1305" s="24" t="n">
        <v>343</v>
      </c>
      <c r="F1305" s="25" t="n">
        <v>12000</v>
      </c>
      <c r="G1305" s="24" t="s">
        <v>59</v>
      </c>
      <c r="H1305" s="24" t="s">
        <v>55</v>
      </c>
      <c r="I1305" s="24" t="s">
        <v>61</v>
      </c>
      <c r="J1305" s="26" t="n">
        <f aca="false">IF(A1305="","",YEAR(A1305))</f>
        <v>2025</v>
      </c>
      <c r="K1305" s="26" t="n">
        <f aca="false">IF(A1305="","",MONTH(A1305))</f>
        <v>12</v>
      </c>
      <c r="L1305" s="26" t="n">
        <f aca="false">IF(B1305="","",VALUE(LEFT(B1305,2)))</f>
        <v>8</v>
      </c>
      <c r="M1305" s="26" t="n">
        <f aca="false">IF(A1305="","",IF(COUNTIFS($C$2:$C$5001,C1305,$J$2:$J$5001,J1305,$A$2:$A$5001,"&lt;"&amp;A1305)=0,1,0))</f>
        <v>0</v>
      </c>
    </row>
    <row r="1306" customFormat="false" ht="15" hidden="false" customHeight="false" outlineLevel="0" collapsed="false">
      <c r="A1306" s="23" t="n">
        <v>46019.5340277778</v>
      </c>
      <c r="B1306" s="24" t="s">
        <v>890</v>
      </c>
      <c r="C1306" s="24" t="s">
        <v>94</v>
      </c>
      <c r="D1306" s="24" t="s">
        <v>66</v>
      </c>
      <c r="E1306" s="24" t="n">
        <v>101</v>
      </c>
      <c r="F1306" s="25" t="n">
        <v>0</v>
      </c>
      <c r="G1306" s="24" t="s">
        <v>59</v>
      </c>
      <c r="H1306" s="24" t="s">
        <v>55</v>
      </c>
      <c r="I1306" s="24" t="s">
        <v>56</v>
      </c>
      <c r="J1306" s="26" t="n">
        <f aca="false">IF(A1306="","",YEAR(A1306))</f>
        <v>2025</v>
      </c>
      <c r="K1306" s="26" t="n">
        <f aca="false">IF(A1306="","",MONTH(A1306))</f>
        <v>12</v>
      </c>
      <c r="L1306" s="26" t="n">
        <f aca="false">IF(B1306="","",VALUE(LEFT(B1306,2)))</f>
        <v>11</v>
      </c>
      <c r="M1306" s="26" t="n">
        <f aca="false">IF(A1306="","",IF(COUNTIFS($C$2:$C$5001,C1306,$J$2:$J$5001,J1306,$A$2:$A$5001,"&lt;"&amp;A1306)=0,1,0))</f>
        <v>0</v>
      </c>
    </row>
    <row r="1307" customFormat="false" ht="15" hidden="false" customHeight="false" outlineLevel="0" collapsed="false">
      <c r="A1307" s="23" t="n">
        <v>46019.6194444444</v>
      </c>
      <c r="B1307" s="24" t="s">
        <v>617</v>
      </c>
      <c r="C1307" s="24" t="s">
        <v>467</v>
      </c>
      <c r="D1307" s="24" t="s">
        <v>88</v>
      </c>
      <c r="E1307" s="24" t="n">
        <v>315</v>
      </c>
      <c r="F1307" s="25" t="n">
        <v>16500</v>
      </c>
      <c r="G1307" s="24" t="s">
        <v>83</v>
      </c>
      <c r="H1307" s="24" t="s">
        <v>60</v>
      </c>
      <c r="I1307" s="24" t="s">
        <v>61</v>
      </c>
      <c r="J1307" s="26" t="n">
        <f aca="false">IF(A1307="","",YEAR(A1307))</f>
        <v>2025</v>
      </c>
      <c r="K1307" s="26" t="n">
        <f aca="false">IF(A1307="","",MONTH(A1307))</f>
        <v>12</v>
      </c>
      <c r="L1307" s="26" t="n">
        <f aca="false">IF(B1307="","",VALUE(LEFT(B1307,2)))</f>
        <v>9</v>
      </c>
      <c r="M1307" s="26" t="n">
        <f aca="false">IF(A1307="","",IF(COUNTIFS($C$2:$C$5001,C1307,$J$2:$J$5001,J1307,$A$2:$A$5001,"&lt;"&amp;A1307)=0,1,0))</f>
        <v>0</v>
      </c>
    </row>
    <row r="1308" customFormat="false" ht="15" hidden="false" customHeight="false" outlineLevel="0" collapsed="false">
      <c r="A1308" s="23" t="n">
        <v>46019.6361111111</v>
      </c>
      <c r="B1308" s="24" t="s">
        <v>466</v>
      </c>
      <c r="C1308" s="24" t="s">
        <v>352</v>
      </c>
      <c r="D1308" s="24" t="s">
        <v>66</v>
      </c>
      <c r="E1308" s="24" t="n">
        <v>362</v>
      </c>
      <c r="F1308" s="25" t="n">
        <v>13000</v>
      </c>
      <c r="G1308" s="24" t="s">
        <v>59</v>
      </c>
      <c r="H1308" s="24" t="s">
        <v>60</v>
      </c>
      <c r="I1308" s="24" t="s">
        <v>61</v>
      </c>
      <c r="J1308" s="26" t="n">
        <f aca="false">IF(A1308="","",YEAR(A1308))</f>
        <v>2025</v>
      </c>
      <c r="K1308" s="26" t="n">
        <f aca="false">IF(A1308="","",MONTH(A1308))</f>
        <v>12</v>
      </c>
      <c r="L1308" s="26" t="n">
        <f aca="false">IF(B1308="","",VALUE(LEFT(B1308,2)))</f>
        <v>9</v>
      </c>
      <c r="M1308" s="26" t="n">
        <f aca="false">IF(A1308="","",IF(COUNTIFS($C$2:$C$5001,C1308,$J$2:$J$5001,J1308,$A$2:$A$5001,"&lt;"&amp;A1308)=0,1,0))</f>
        <v>0</v>
      </c>
    </row>
    <row r="1309" customFormat="false" ht="15" hidden="false" customHeight="false" outlineLevel="0" collapsed="false">
      <c r="A1309" s="23" t="n">
        <v>46019.7479166667</v>
      </c>
      <c r="B1309" s="24" t="s">
        <v>891</v>
      </c>
      <c r="C1309" s="24" t="s">
        <v>78</v>
      </c>
      <c r="D1309" s="24" t="s">
        <v>53</v>
      </c>
      <c r="E1309" s="24" t="n">
        <v>51</v>
      </c>
      <c r="F1309" s="25" t="n">
        <v>1000</v>
      </c>
      <c r="G1309" s="24" t="s">
        <v>59</v>
      </c>
      <c r="H1309" s="24" t="s">
        <v>55</v>
      </c>
      <c r="I1309" s="24" t="s">
        <v>61</v>
      </c>
      <c r="J1309" s="26" t="n">
        <f aca="false">IF(A1309="","",YEAR(A1309))</f>
        <v>2025</v>
      </c>
      <c r="K1309" s="26" t="n">
        <f aca="false">IF(A1309="","",MONTH(A1309))</f>
        <v>12</v>
      </c>
      <c r="L1309" s="26" t="n">
        <f aca="false">IF(B1309="","",VALUE(LEFT(B1309,2)))</f>
        <v>17</v>
      </c>
      <c r="M1309" s="26" t="n">
        <f aca="false">IF(A1309="","",IF(COUNTIFS($C$2:$C$5001,C1309,$J$2:$J$5001,J1309,$A$2:$A$5001,"&lt;"&amp;A1309)=0,1,0))</f>
        <v>0</v>
      </c>
    </row>
    <row r="1310" customFormat="false" ht="15" hidden="false" customHeight="false" outlineLevel="0" collapsed="false">
      <c r="A1310" s="23" t="n">
        <v>46019.8923611111</v>
      </c>
      <c r="B1310" s="24" t="s">
        <v>892</v>
      </c>
      <c r="C1310" s="24" t="s">
        <v>290</v>
      </c>
      <c r="D1310" s="24" t="s">
        <v>66</v>
      </c>
      <c r="E1310" s="24" t="n">
        <v>67</v>
      </c>
      <c r="F1310" s="25" t="n">
        <v>3000</v>
      </c>
      <c r="G1310" s="24" t="s">
        <v>59</v>
      </c>
      <c r="H1310" s="24" t="s">
        <v>60</v>
      </c>
      <c r="I1310" s="24" t="s">
        <v>61</v>
      </c>
      <c r="J1310" s="26" t="n">
        <f aca="false">IF(A1310="","",YEAR(A1310))</f>
        <v>2025</v>
      </c>
      <c r="K1310" s="26" t="n">
        <f aca="false">IF(A1310="","",MONTH(A1310))</f>
        <v>12</v>
      </c>
      <c r="L1310" s="26" t="n">
        <f aca="false">IF(B1310="","",VALUE(LEFT(B1310,2)))</f>
        <v>20</v>
      </c>
      <c r="M1310" s="26" t="n">
        <f aca="false">IF(A1310="","",IF(COUNTIFS($C$2:$C$5001,C1310,$J$2:$J$5001,J1310,$A$2:$A$5001,"&lt;"&amp;A1310)=0,1,0))</f>
        <v>0</v>
      </c>
    </row>
    <row r="1311" customFormat="false" ht="15" hidden="false" customHeight="false" outlineLevel="0" collapsed="false">
      <c r="A1311" s="23" t="n">
        <v>46020.0034722222</v>
      </c>
      <c r="B1311" s="24" t="s">
        <v>440</v>
      </c>
      <c r="C1311" s="24" t="s">
        <v>120</v>
      </c>
      <c r="D1311" s="24" t="s">
        <v>66</v>
      </c>
      <c r="E1311" s="24" t="n">
        <v>377</v>
      </c>
      <c r="F1311" s="25" t="n">
        <v>13000</v>
      </c>
      <c r="G1311" s="24" t="s">
        <v>69</v>
      </c>
      <c r="H1311" s="24" t="s">
        <v>60</v>
      </c>
      <c r="I1311" s="24" t="s">
        <v>61</v>
      </c>
      <c r="J1311" s="26" t="n">
        <f aca="false">IF(A1311="","",YEAR(A1311))</f>
        <v>2025</v>
      </c>
      <c r="K1311" s="26" t="n">
        <f aca="false">IF(A1311="","",MONTH(A1311))</f>
        <v>12</v>
      </c>
      <c r="L1311" s="26" t="n">
        <f aca="false">IF(B1311="","",VALUE(LEFT(B1311,2)))</f>
        <v>17</v>
      </c>
      <c r="M1311" s="26" t="n">
        <f aca="false">IF(A1311="","",IF(COUNTIFS($C$2:$C$5001,C1311,$J$2:$J$5001,J1311,$A$2:$A$5001,"&lt;"&amp;A1311)=0,1,0))</f>
        <v>0</v>
      </c>
    </row>
    <row r="1312" customFormat="false" ht="15" hidden="false" customHeight="false" outlineLevel="0" collapsed="false">
      <c r="A1312" s="23" t="n">
        <v>46023.5361111111</v>
      </c>
      <c r="B1312" s="24" t="s">
        <v>645</v>
      </c>
      <c r="C1312" s="24" t="s">
        <v>87</v>
      </c>
      <c r="D1312" s="24" t="s">
        <v>66</v>
      </c>
      <c r="E1312" s="24" t="n">
        <v>85</v>
      </c>
      <c r="F1312" s="25" t="n">
        <v>3000</v>
      </c>
      <c r="G1312" s="24" t="s">
        <v>69</v>
      </c>
      <c r="H1312" s="24" t="s">
        <v>60</v>
      </c>
      <c r="I1312" s="24" t="s">
        <v>61</v>
      </c>
      <c r="J1312" s="26" t="n">
        <f aca="false">IF(A1312="","",YEAR(A1312))</f>
        <v>2026</v>
      </c>
      <c r="K1312" s="26" t="n">
        <f aca="false">IF(A1312="","",MONTH(A1312))</f>
        <v>1</v>
      </c>
      <c r="L1312" s="26" t="n">
        <f aca="false">IF(B1312="","",VALUE(LEFT(B1312,2)))</f>
        <v>11</v>
      </c>
      <c r="M1312" s="26" t="n">
        <f aca="false">IF(A1312="","",IF(COUNTIFS($C$2:$C$5001,C1312,$J$2:$J$5001,J1312,$A$2:$A$5001,"&lt;"&amp;A1312)=0,1,0))</f>
        <v>1</v>
      </c>
    </row>
    <row r="1313" customFormat="false" ht="15" hidden="false" customHeight="false" outlineLevel="0" collapsed="false">
      <c r="A1313" s="23" t="n">
        <v>46023.6006944445</v>
      </c>
      <c r="B1313" s="24" t="s">
        <v>565</v>
      </c>
      <c r="C1313" s="24" t="s">
        <v>147</v>
      </c>
      <c r="D1313" s="24" t="s">
        <v>72</v>
      </c>
      <c r="E1313" s="24" t="n">
        <v>379</v>
      </c>
      <c r="F1313" s="25" t="n">
        <v>26000</v>
      </c>
      <c r="G1313" s="24" t="s">
        <v>59</v>
      </c>
      <c r="H1313" s="24" t="s">
        <v>80</v>
      </c>
      <c r="I1313" s="24" t="s">
        <v>61</v>
      </c>
      <c r="J1313" s="26" t="n">
        <f aca="false">IF(A1313="","",YEAR(A1313))</f>
        <v>2026</v>
      </c>
      <c r="K1313" s="26" t="n">
        <f aca="false">IF(A1313="","",MONTH(A1313))</f>
        <v>1</v>
      </c>
      <c r="L1313" s="26" t="n">
        <f aca="false">IF(B1313="","",VALUE(LEFT(B1313,2)))</f>
        <v>8</v>
      </c>
      <c r="M1313" s="26" t="n">
        <f aca="false">IF(A1313="","",IF(COUNTIFS($C$2:$C$5001,C1313,$J$2:$J$5001,J1313,$A$2:$A$5001,"&lt;"&amp;A1313)=0,1,0))</f>
        <v>1</v>
      </c>
    </row>
    <row r="1314" customFormat="false" ht="15" hidden="false" customHeight="false" outlineLevel="0" collapsed="false">
      <c r="A1314" s="23" t="n">
        <v>46023.6576388889</v>
      </c>
      <c r="B1314" s="24" t="s">
        <v>893</v>
      </c>
      <c r="C1314" s="24" t="s">
        <v>116</v>
      </c>
      <c r="D1314" s="24" t="s">
        <v>66</v>
      </c>
      <c r="E1314" s="24" t="n">
        <v>148</v>
      </c>
      <c r="F1314" s="25" t="n">
        <v>5000</v>
      </c>
      <c r="G1314" s="24" t="s">
        <v>59</v>
      </c>
      <c r="H1314" s="24" t="s">
        <v>60</v>
      </c>
      <c r="I1314" s="24" t="s">
        <v>61</v>
      </c>
      <c r="J1314" s="26" t="n">
        <f aca="false">IF(A1314="","",YEAR(A1314))</f>
        <v>2026</v>
      </c>
      <c r="K1314" s="26" t="n">
        <f aca="false">IF(A1314="","",MONTH(A1314))</f>
        <v>1</v>
      </c>
      <c r="L1314" s="26" t="n">
        <f aca="false">IF(B1314="","",VALUE(LEFT(B1314,2)))</f>
        <v>13</v>
      </c>
      <c r="M1314" s="26" t="n">
        <f aca="false">IF(A1314="","",IF(COUNTIFS($C$2:$C$5001,C1314,$J$2:$J$5001,J1314,$A$2:$A$5001,"&lt;"&amp;A1314)=0,1,0))</f>
        <v>1</v>
      </c>
    </row>
    <row r="1315" customFormat="false" ht="15" hidden="false" customHeight="false" outlineLevel="0" collapsed="false">
      <c r="A1315" s="23" t="n">
        <v>46024.3576388889</v>
      </c>
      <c r="B1315" s="24" t="s">
        <v>319</v>
      </c>
      <c r="C1315" s="24" t="s">
        <v>413</v>
      </c>
      <c r="D1315" s="24" t="s">
        <v>53</v>
      </c>
      <c r="E1315" s="24" t="n">
        <v>24</v>
      </c>
      <c r="F1315" s="25" t="n">
        <v>500</v>
      </c>
      <c r="G1315" s="24" t="s">
        <v>83</v>
      </c>
      <c r="H1315" s="24" t="s">
        <v>80</v>
      </c>
      <c r="I1315" s="24" t="s">
        <v>61</v>
      </c>
      <c r="J1315" s="26" t="n">
        <f aca="false">IF(A1315="","",YEAR(A1315))</f>
        <v>2026</v>
      </c>
      <c r="K1315" s="26" t="n">
        <f aca="false">IF(A1315="","",MONTH(A1315))</f>
        <v>1</v>
      </c>
      <c r="L1315" s="26" t="n">
        <f aca="false">IF(B1315="","",VALUE(LEFT(B1315,2)))</f>
        <v>8</v>
      </c>
      <c r="M1315" s="26" t="n">
        <f aca="false">IF(A1315="","",IF(COUNTIFS($C$2:$C$5001,C1315,$J$2:$J$5001,J1315,$A$2:$A$5001,"&lt;"&amp;A1315)=0,1,0))</f>
        <v>1</v>
      </c>
    </row>
    <row r="1316" customFormat="false" ht="15" hidden="false" customHeight="false" outlineLevel="0" collapsed="false">
      <c r="A1316" s="23" t="n">
        <v>46024.4215277778</v>
      </c>
      <c r="B1316" s="24" t="s">
        <v>178</v>
      </c>
      <c r="C1316" s="24" t="s">
        <v>448</v>
      </c>
      <c r="D1316" s="24" t="s">
        <v>66</v>
      </c>
      <c r="E1316" s="24" t="n">
        <v>36</v>
      </c>
      <c r="F1316" s="25" t="n">
        <v>0</v>
      </c>
      <c r="G1316" s="24" t="s">
        <v>59</v>
      </c>
      <c r="H1316" s="24" t="s">
        <v>60</v>
      </c>
      <c r="I1316" s="24" t="s">
        <v>56</v>
      </c>
      <c r="J1316" s="26" t="n">
        <f aca="false">IF(A1316="","",YEAR(A1316))</f>
        <v>2026</v>
      </c>
      <c r="K1316" s="26" t="n">
        <f aca="false">IF(A1316="","",MONTH(A1316))</f>
        <v>1</v>
      </c>
      <c r="L1316" s="26" t="n">
        <f aca="false">IF(B1316="","",VALUE(LEFT(B1316,2)))</f>
        <v>9</v>
      </c>
      <c r="M1316" s="26" t="n">
        <f aca="false">IF(A1316="","",IF(COUNTIFS($C$2:$C$5001,C1316,$J$2:$J$5001,J1316,$A$2:$A$5001,"&lt;"&amp;A1316)=0,1,0))</f>
        <v>1</v>
      </c>
    </row>
    <row r="1317" customFormat="false" ht="15" hidden="false" customHeight="false" outlineLevel="0" collapsed="false">
      <c r="A1317" s="23" t="n">
        <v>46024.5215277778</v>
      </c>
      <c r="B1317" s="24" t="s">
        <v>432</v>
      </c>
      <c r="C1317" s="24" t="s">
        <v>158</v>
      </c>
      <c r="D1317" s="24" t="s">
        <v>53</v>
      </c>
      <c r="E1317" s="24" t="n">
        <v>160</v>
      </c>
      <c r="F1317" s="25" t="n">
        <v>3000</v>
      </c>
      <c r="G1317" s="24" t="s">
        <v>59</v>
      </c>
      <c r="H1317" s="24" t="s">
        <v>80</v>
      </c>
      <c r="I1317" s="24" t="s">
        <v>61</v>
      </c>
      <c r="J1317" s="26" t="n">
        <f aca="false">IF(A1317="","",YEAR(A1317))</f>
        <v>2026</v>
      </c>
      <c r="K1317" s="26" t="n">
        <f aca="false">IF(A1317="","",MONTH(A1317))</f>
        <v>1</v>
      </c>
      <c r="L1317" s="26" t="n">
        <f aca="false">IF(B1317="","",VALUE(LEFT(B1317,2)))</f>
        <v>9</v>
      </c>
      <c r="M1317" s="26" t="n">
        <f aca="false">IF(A1317="","",IF(COUNTIFS($C$2:$C$5001,C1317,$J$2:$J$5001,J1317,$A$2:$A$5001,"&lt;"&amp;A1317)=0,1,0))</f>
        <v>1</v>
      </c>
    </row>
    <row r="1318" customFormat="false" ht="15" hidden="false" customHeight="false" outlineLevel="0" collapsed="false">
      <c r="A1318" s="23" t="n">
        <v>46024.6208333333</v>
      </c>
      <c r="B1318" s="24" t="s">
        <v>894</v>
      </c>
      <c r="C1318" s="24" t="s">
        <v>116</v>
      </c>
      <c r="D1318" s="24" t="s">
        <v>66</v>
      </c>
      <c r="E1318" s="24" t="n">
        <v>79</v>
      </c>
      <c r="F1318" s="25" t="n">
        <v>3000</v>
      </c>
      <c r="G1318" s="24" t="s">
        <v>59</v>
      </c>
      <c r="H1318" s="24" t="s">
        <v>55</v>
      </c>
      <c r="I1318" s="24" t="s">
        <v>61</v>
      </c>
      <c r="J1318" s="26" t="n">
        <f aca="false">IF(A1318="","",YEAR(A1318))</f>
        <v>2026</v>
      </c>
      <c r="K1318" s="26" t="n">
        <f aca="false">IF(A1318="","",MONTH(A1318))</f>
        <v>1</v>
      </c>
      <c r="L1318" s="26" t="n">
        <f aca="false">IF(B1318="","",VALUE(LEFT(B1318,2)))</f>
        <v>13</v>
      </c>
      <c r="M1318" s="26" t="n">
        <f aca="false">IF(A1318="","",IF(COUNTIFS($C$2:$C$5001,C1318,$J$2:$J$5001,J1318,$A$2:$A$5001,"&lt;"&amp;A1318)=0,1,0))</f>
        <v>0</v>
      </c>
    </row>
    <row r="1319" customFormat="false" ht="15" hidden="false" customHeight="false" outlineLevel="0" collapsed="false">
      <c r="A1319" s="23" t="n">
        <v>46024.6756944444</v>
      </c>
      <c r="B1319" s="24" t="s">
        <v>895</v>
      </c>
      <c r="C1319" s="24" t="s">
        <v>110</v>
      </c>
      <c r="D1319" s="24" t="s">
        <v>66</v>
      </c>
      <c r="E1319" s="24" t="n">
        <v>400</v>
      </c>
      <c r="F1319" s="25" t="n">
        <v>14000</v>
      </c>
      <c r="G1319" s="24" t="s">
        <v>69</v>
      </c>
      <c r="H1319" s="24" t="s">
        <v>60</v>
      </c>
      <c r="I1319" s="24" t="s">
        <v>61</v>
      </c>
      <c r="J1319" s="26" t="n">
        <f aca="false">IF(A1319="","",YEAR(A1319))</f>
        <v>2026</v>
      </c>
      <c r="K1319" s="26" t="n">
        <f aca="false">IF(A1319="","",MONTH(A1319))</f>
        <v>1</v>
      </c>
      <c r="L1319" s="26" t="n">
        <f aca="false">IF(B1319="","",VALUE(LEFT(B1319,2)))</f>
        <v>9</v>
      </c>
      <c r="M1319" s="26" t="n">
        <f aca="false">IF(A1319="","",IF(COUNTIFS($C$2:$C$5001,C1319,$J$2:$J$5001,J1319,$A$2:$A$5001,"&lt;"&amp;A1319)=0,1,0))</f>
        <v>1</v>
      </c>
    </row>
    <row r="1320" customFormat="false" ht="15" hidden="false" customHeight="false" outlineLevel="0" collapsed="false">
      <c r="A1320" s="23" t="n">
        <v>46024.7402777778</v>
      </c>
      <c r="B1320" s="24" t="s">
        <v>135</v>
      </c>
      <c r="C1320" s="24" t="s">
        <v>896</v>
      </c>
      <c r="D1320" s="24" t="s">
        <v>66</v>
      </c>
      <c r="E1320" s="24" t="n">
        <v>382</v>
      </c>
      <c r="F1320" s="25" t="n">
        <v>13000</v>
      </c>
      <c r="G1320" s="24" t="s">
        <v>54</v>
      </c>
      <c r="H1320" s="24" t="s">
        <v>55</v>
      </c>
      <c r="I1320" s="24" t="s">
        <v>61</v>
      </c>
      <c r="J1320" s="26" t="n">
        <f aca="false">IF(A1320="","",YEAR(A1320))</f>
        <v>2026</v>
      </c>
      <c r="K1320" s="26" t="n">
        <f aca="false">IF(A1320="","",MONTH(A1320))</f>
        <v>1</v>
      </c>
      <c r="L1320" s="26" t="n">
        <f aca="false">IF(B1320="","",VALUE(LEFT(B1320,2)))</f>
        <v>11</v>
      </c>
      <c r="M1320" s="26" t="n">
        <f aca="false">IF(A1320="","",IF(COUNTIFS($C$2:$C$5001,C1320,$J$2:$J$5001,J1320,$A$2:$A$5001,"&lt;"&amp;A1320)=0,1,0))</f>
        <v>1</v>
      </c>
    </row>
    <row r="1321" customFormat="false" ht="15" hidden="false" customHeight="false" outlineLevel="0" collapsed="false">
      <c r="A1321" s="23" t="n">
        <v>46025.7625</v>
      </c>
      <c r="B1321" s="24" t="s">
        <v>897</v>
      </c>
      <c r="C1321" s="24" t="s">
        <v>192</v>
      </c>
      <c r="D1321" s="24" t="s">
        <v>53</v>
      </c>
      <c r="E1321" s="24" t="n">
        <v>376</v>
      </c>
      <c r="F1321" s="25" t="n">
        <v>6500</v>
      </c>
      <c r="G1321" s="24" t="s">
        <v>69</v>
      </c>
      <c r="H1321" s="24" t="s">
        <v>60</v>
      </c>
      <c r="I1321" s="24" t="s">
        <v>61</v>
      </c>
      <c r="J1321" s="26" t="n">
        <f aca="false">IF(A1321="","",YEAR(A1321))</f>
        <v>2026</v>
      </c>
      <c r="K1321" s="26" t="n">
        <f aca="false">IF(A1321="","",MONTH(A1321))</f>
        <v>1</v>
      </c>
      <c r="L1321" s="26" t="n">
        <f aca="false">IF(B1321="","",VALUE(LEFT(B1321,2)))</f>
        <v>12</v>
      </c>
      <c r="M1321" s="26" t="n">
        <f aca="false">IF(A1321="","",IF(COUNTIFS($C$2:$C$5001,C1321,$J$2:$J$5001,J1321,$A$2:$A$5001,"&lt;"&amp;A1321)=0,1,0))</f>
        <v>1</v>
      </c>
    </row>
    <row r="1322" customFormat="false" ht="15" hidden="false" customHeight="false" outlineLevel="0" collapsed="false">
      <c r="A1322" s="23" t="n">
        <v>46025.9493055556</v>
      </c>
      <c r="B1322" s="24" t="s">
        <v>557</v>
      </c>
      <c r="C1322" s="24" t="s">
        <v>314</v>
      </c>
      <c r="D1322" s="24" t="s">
        <v>66</v>
      </c>
      <c r="E1322" s="24" t="n">
        <v>197</v>
      </c>
      <c r="F1322" s="25" t="n">
        <v>7000</v>
      </c>
      <c r="G1322" s="24" t="s">
        <v>69</v>
      </c>
      <c r="H1322" s="24" t="s">
        <v>60</v>
      </c>
      <c r="I1322" s="24" t="s">
        <v>61</v>
      </c>
      <c r="J1322" s="26" t="n">
        <f aca="false">IF(A1322="","",YEAR(A1322))</f>
        <v>2026</v>
      </c>
      <c r="K1322" s="26" t="n">
        <f aca="false">IF(A1322="","",MONTH(A1322))</f>
        <v>1</v>
      </c>
      <c r="L1322" s="26" t="n">
        <f aca="false">IF(B1322="","",VALUE(LEFT(B1322,2)))</f>
        <v>19</v>
      </c>
      <c r="M1322" s="26" t="n">
        <f aca="false">IF(A1322="","",IF(COUNTIFS($C$2:$C$5001,C1322,$J$2:$J$5001,J1322,$A$2:$A$5001,"&lt;"&amp;A1322)=0,1,0))</f>
        <v>1</v>
      </c>
    </row>
    <row r="1323" customFormat="false" ht="15" hidden="false" customHeight="false" outlineLevel="0" collapsed="false">
      <c r="A1323" s="23" t="n">
        <v>46026.0611111111</v>
      </c>
      <c r="B1323" s="24" t="s">
        <v>395</v>
      </c>
      <c r="C1323" s="24" t="s">
        <v>126</v>
      </c>
      <c r="D1323" s="24" t="s">
        <v>53</v>
      </c>
      <c r="E1323" s="24" t="n">
        <v>306</v>
      </c>
      <c r="F1323" s="25" t="n">
        <v>4675</v>
      </c>
      <c r="G1323" s="24" t="s">
        <v>79</v>
      </c>
      <c r="H1323" s="24" t="s">
        <v>55</v>
      </c>
      <c r="I1323" s="24" t="s">
        <v>113</v>
      </c>
      <c r="J1323" s="26" t="n">
        <f aca="false">IF(A1323="","",YEAR(A1323))</f>
        <v>2026</v>
      </c>
      <c r="K1323" s="26" t="n">
        <f aca="false">IF(A1323="","",MONTH(A1323))</f>
        <v>1</v>
      </c>
      <c r="L1323" s="26" t="n">
        <f aca="false">IF(B1323="","",VALUE(LEFT(B1323,2)))</f>
        <v>20</v>
      </c>
      <c r="M1323" s="26" t="n">
        <f aca="false">IF(A1323="","",IF(COUNTIFS($C$2:$C$5001,C1323,$J$2:$J$5001,J1323,$A$2:$A$5001,"&lt;"&amp;A1323)=0,1,0))</f>
        <v>1</v>
      </c>
    </row>
    <row r="1324" customFormat="false" ht="15" hidden="false" customHeight="false" outlineLevel="0" collapsed="false">
      <c r="A1324" s="23" t="n">
        <v>46026.3895833333</v>
      </c>
      <c r="B1324" s="24" t="s">
        <v>132</v>
      </c>
      <c r="C1324" s="24" t="s">
        <v>71</v>
      </c>
      <c r="D1324" s="24" t="s">
        <v>66</v>
      </c>
      <c r="E1324" s="24" t="n">
        <v>76</v>
      </c>
      <c r="F1324" s="25" t="n">
        <v>3000</v>
      </c>
      <c r="G1324" s="24" t="s">
        <v>79</v>
      </c>
      <c r="H1324" s="24" t="s">
        <v>80</v>
      </c>
      <c r="I1324" s="24" t="s">
        <v>61</v>
      </c>
      <c r="J1324" s="26" t="n">
        <f aca="false">IF(A1324="","",YEAR(A1324))</f>
        <v>2026</v>
      </c>
      <c r="K1324" s="26" t="n">
        <f aca="false">IF(A1324="","",MONTH(A1324))</f>
        <v>1</v>
      </c>
      <c r="L1324" s="26" t="n">
        <f aca="false">IF(B1324="","",VALUE(LEFT(B1324,2)))</f>
        <v>8</v>
      </c>
      <c r="M1324" s="26" t="n">
        <f aca="false">IF(A1324="","",IF(COUNTIFS($C$2:$C$5001,C1324,$J$2:$J$5001,J1324,$A$2:$A$5001,"&lt;"&amp;A1324)=0,1,0))</f>
        <v>1</v>
      </c>
    </row>
    <row r="1325" customFormat="false" ht="15" hidden="false" customHeight="false" outlineLevel="0" collapsed="false">
      <c r="A1325" s="23" t="n">
        <v>46026.525</v>
      </c>
      <c r="B1325" s="24" t="s">
        <v>898</v>
      </c>
      <c r="C1325" s="24" t="s">
        <v>131</v>
      </c>
      <c r="D1325" s="24" t="s">
        <v>88</v>
      </c>
      <c r="E1325" s="24" t="n">
        <v>390</v>
      </c>
      <c r="F1325" s="25" t="n">
        <v>19500</v>
      </c>
      <c r="G1325" s="24" t="s">
        <v>69</v>
      </c>
      <c r="H1325" s="24" t="s">
        <v>80</v>
      </c>
      <c r="I1325" s="24" t="s">
        <v>61</v>
      </c>
      <c r="J1325" s="26" t="n">
        <f aca="false">IF(A1325="","",YEAR(A1325))</f>
        <v>2026</v>
      </c>
      <c r="K1325" s="26" t="n">
        <f aca="false">IF(A1325="","",MONTH(A1325))</f>
        <v>1</v>
      </c>
      <c r="L1325" s="26" t="n">
        <f aca="false">IF(B1325="","",VALUE(LEFT(B1325,2)))</f>
        <v>6</v>
      </c>
      <c r="M1325" s="26" t="n">
        <f aca="false">IF(A1325="","",IF(COUNTIFS($C$2:$C$5001,C1325,$J$2:$J$5001,J1325,$A$2:$A$5001,"&lt;"&amp;A1325)=0,1,0))</f>
        <v>1</v>
      </c>
    </row>
    <row r="1326" customFormat="false" ht="15" hidden="false" customHeight="false" outlineLevel="0" collapsed="false">
      <c r="A1326" s="23" t="n">
        <v>46026.5472222222</v>
      </c>
      <c r="B1326" s="24" t="s">
        <v>554</v>
      </c>
      <c r="C1326" s="24" t="s">
        <v>442</v>
      </c>
      <c r="D1326" s="24" t="s">
        <v>66</v>
      </c>
      <c r="E1326" s="24" t="n">
        <v>63</v>
      </c>
      <c r="F1326" s="25" t="n">
        <v>3000</v>
      </c>
      <c r="G1326" s="24" t="s">
        <v>59</v>
      </c>
      <c r="H1326" s="24" t="s">
        <v>80</v>
      </c>
      <c r="I1326" s="24" t="s">
        <v>61</v>
      </c>
      <c r="J1326" s="26" t="n">
        <f aca="false">IF(A1326="","",YEAR(A1326))</f>
        <v>2026</v>
      </c>
      <c r="K1326" s="26" t="n">
        <f aca="false">IF(A1326="","",MONTH(A1326))</f>
        <v>1</v>
      </c>
      <c r="L1326" s="26" t="n">
        <f aca="false">IF(B1326="","",VALUE(LEFT(B1326,2)))</f>
        <v>12</v>
      </c>
      <c r="M1326" s="26" t="n">
        <f aca="false">IF(A1326="","",IF(COUNTIFS($C$2:$C$5001,C1326,$J$2:$J$5001,J1326,$A$2:$A$5001,"&lt;"&amp;A1326)=0,1,0))</f>
        <v>1</v>
      </c>
    </row>
    <row r="1327" customFormat="false" ht="15" hidden="false" customHeight="false" outlineLevel="0" collapsed="false">
      <c r="A1327" s="23" t="n">
        <v>46026.5798611111</v>
      </c>
      <c r="B1327" s="24" t="s">
        <v>856</v>
      </c>
      <c r="C1327" s="24" t="s">
        <v>116</v>
      </c>
      <c r="D1327" s="24" t="s">
        <v>53</v>
      </c>
      <c r="E1327" s="24" t="n">
        <v>376</v>
      </c>
      <c r="F1327" s="25" t="n">
        <v>6500</v>
      </c>
      <c r="G1327" s="24" t="s">
        <v>69</v>
      </c>
      <c r="H1327" s="24" t="s">
        <v>80</v>
      </c>
      <c r="I1327" s="24" t="s">
        <v>61</v>
      </c>
      <c r="J1327" s="26" t="n">
        <f aca="false">IF(A1327="","",YEAR(A1327))</f>
        <v>2026</v>
      </c>
      <c r="K1327" s="26" t="n">
        <f aca="false">IF(A1327="","",MONTH(A1327))</f>
        <v>1</v>
      </c>
      <c r="L1327" s="26" t="n">
        <f aca="false">IF(B1327="","",VALUE(LEFT(B1327,2)))</f>
        <v>7</v>
      </c>
      <c r="M1327" s="26" t="n">
        <f aca="false">IF(A1327="","",IF(COUNTIFS($C$2:$C$5001,C1327,$J$2:$J$5001,J1327,$A$2:$A$5001,"&lt;"&amp;A1327)=0,1,0))</f>
        <v>0</v>
      </c>
    </row>
    <row r="1328" customFormat="false" ht="15" hidden="false" customHeight="false" outlineLevel="0" collapsed="false">
      <c r="A1328" s="23" t="n">
        <v>46026.6902777778</v>
      </c>
      <c r="B1328" s="24" t="s">
        <v>899</v>
      </c>
      <c r="C1328" s="24" t="s">
        <v>519</v>
      </c>
      <c r="D1328" s="24" t="s">
        <v>66</v>
      </c>
      <c r="E1328" s="24" t="n">
        <v>218</v>
      </c>
      <c r="F1328" s="25" t="n">
        <v>0</v>
      </c>
      <c r="G1328" s="24" t="s">
        <v>59</v>
      </c>
      <c r="H1328" s="24" t="s">
        <v>60</v>
      </c>
      <c r="I1328" s="24" t="s">
        <v>56</v>
      </c>
      <c r="J1328" s="26" t="n">
        <f aca="false">IF(A1328="","",YEAR(A1328))</f>
        <v>2026</v>
      </c>
      <c r="K1328" s="26" t="n">
        <f aca="false">IF(A1328="","",MONTH(A1328))</f>
        <v>1</v>
      </c>
      <c r="L1328" s="26" t="n">
        <f aca="false">IF(B1328="","",VALUE(LEFT(B1328,2)))</f>
        <v>12</v>
      </c>
      <c r="M1328" s="26" t="n">
        <f aca="false">IF(A1328="","",IF(COUNTIFS($C$2:$C$5001,C1328,$J$2:$J$5001,J1328,$A$2:$A$5001,"&lt;"&amp;A1328)=0,1,0))</f>
        <v>1</v>
      </c>
    </row>
    <row r="1329" customFormat="false" ht="15" hidden="false" customHeight="false" outlineLevel="0" collapsed="false">
      <c r="A1329" s="23" t="n">
        <v>46026.8798611111</v>
      </c>
      <c r="B1329" s="24" t="s">
        <v>269</v>
      </c>
      <c r="C1329" s="24" t="s">
        <v>593</v>
      </c>
      <c r="D1329" s="24" t="s">
        <v>72</v>
      </c>
      <c r="E1329" s="24" t="n">
        <v>67</v>
      </c>
      <c r="F1329" s="25" t="n">
        <v>6000</v>
      </c>
      <c r="G1329" s="24" t="s">
        <v>59</v>
      </c>
      <c r="H1329" s="24" t="s">
        <v>55</v>
      </c>
      <c r="I1329" s="24" t="s">
        <v>61</v>
      </c>
      <c r="J1329" s="26" t="n">
        <f aca="false">IF(A1329="","",YEAR(A1329))</f>
        <v>2026</v>
      </c>
      <c r="K1329" s="26" t="n">
        <f aca="false">IF(A1329="","",MONTH(A1329))</f>
        <v>1</v>
      </c>
      <c r="L1329" s="26" t="n">
        <f aca="false">IF(B1329="","",VALUE(LEFT(B1329,2)))</f>
        <v>20</v>
      </c>
      <c r="M1329" s="26" t="n">
        <f aca="false">IF(A1329="","",IF(COUNTIFS($C$2:$C$5001,C1329,$J$2:$J$5001,J1329,$A$2:$A$5001,"&lt;"&amp;A1329)=0,1,0))</f>
        <v>1</v>
      </c>
    </row>
    <row r="1330" customFormat="false" ht="15" hidden="false" customHeight="false" outlineLevel="0" collapsed="false">
      <c r="A1330" s="23" t="n">
        <v>46027.7048611111</v>
      </c>
      <c r="B1330" s="24" t="s">
        <v>900</v>
      </c>
      <c r="C1330" s="24" t="s">
        <v>182</v>
      </c>
      <c r="D1330" s="24" t="s">
        <v>66</v>
      </c>
      <c r="E1330" s="24" t="n">
        <v>343</v>
      </c>
      <c r="F1330" s="25" t="n">
        <v>12000</v>
      </c>
      <c r="G1330" s="24" t="s">
        <v>59</v>
      </c>
      <c r="H1330" s="24" t="s">
        <v>55</v>
      </c>
      <c r="I1330" s="24" t="s">
        <v>61</v>
      </c>
      <c r="J1330" s="26" t="n">
        <f aca="false">IF(A1330="","",YEAR(A1330))</f>
        <v>2026</v>
      </c>
      <c r="K1330" s="26" t="n">
        <f aca="false">IF(A1330="","",MONTH(A1330))</f>
        <v>1</v>
      </c>
      <c r="L1330" s="26" t="n">
        <f aca="false">IF(B1330="","",VALUE(LEFT(B1330,2)))</f>
        <v>11</v>
      </c>
      <c r="M1330" s="26" t="n">
        <f aca="false">IF(A1330="","",IF(COUNTIFS($C$2:$C$5001,C1330,$J$2:$J$5001,J1330,$A$2:$A$5001,"&lt;"&amp;A1330)=0,1,0))</f>
        <v>1</v>
      </c>
    </row>
    <row r="1331" customFormat="false" ht="15" hidden="false" customHeight="false" outlineLevel="0" collapsed="false">
      <c r="A1331" s="23" t="n">
        <v>46027.7381944444</v>
      </c>
      <c r="B1331" s="24" t="s">
        <v>444</v>
      </c>
      <c r="C1331" s="24" t="s">
        <v>512</v>
      </c>
      <c r="D1331" s="24" t="s">
        <v>66</v>
      </c>
      <c r="E1331" s="24" t="n">
        <v>281</v>
      </c>
      <c r="F1331" s="25" t="n">
        <v>10000</v>
      </c>
      <c r="G1331" s="24" t="s">
        <v>54</v>
      </c>
      <c r="H1331" s="24" t="s">
        <v>55</v>
      </c>
      <c r="I1331" s="24" t="s">
        <v>61</v>
      </c>
      <c r="J1331" s="26" t="n">
        <f aca="false">IF(A1331="","",YEAR(A1331))</f>
        <v>2026</v>
      </c>
      <c r="K1331" s="26" t="n">
        <f aca="false">IF(A1331="","",MONTH(A1331))</f>
        <v>1</v>
      </c>
      <c r="L1331" s="26" t="n">
        <f aca="false">IF(B1331="","",VALUE(LEFT(B1331,2)))</f>
        <v>13</v>
      </c>
      <c r="M1331" s="26" t="n">
        <f aca="false">IF(A1331="","",IF(COUNTIFS($C$2:$C$5001,C1331,$J$2:$J$5001,J1331,$A$2:$A$5001,"&lt;"&amp;A1331)=0,1,0))</f>
        <v>1</v>
      </c>
    </row>
    <row r="1332" customFormat="false" ht="15" hidden="false" customHeight="false" outlineLevel="0" collapsed="false">
      <c r="A1332" s="23" t="n">
        <v>46027.9104166667</v>
      </c>
      <c r="B1332" s="24" t="s">
        <v>709</v>
      </c>
      <c r="C1332" s="24" t="s">
        <v>901</v>
      </c>
      <c r="D1332" s="24" t="s">
        <v>66</v>
      </c>
      <c r="E1332" s="24" t="n">
        <v>217</v>
      </c>
      <c r="F1332" s="25" t="n">
        <v>8000</v>
      </c>
      <c r="G1332" s="24" t="s">
        <v>79</v>
      </c>
      <c r="H1332" s="24" t="s">
        <v>80</v>
      </c>
      <c r="I1332" s="24" t="s">
        <v>61</v>
      </c>
      <c r="J1332" s="26" t="n">
        <f aca="false">IF(A1332="","",YEAR(A1332))</f>
        <v>2026</v>
      </c>
      <c r="K1332" s="26" t="n">
        <f aca="false">IF(A1332="","",MONTH(A1332))</f>
        <v>1</v>
      </c>
      <c r="L1332" s="26" t="n">
        <f aca="false">IF(B1332="","",VALUE(LEFT(B1332,2)))</f>
        <v>18</v>
      </c>
      <c r="M1332" s="26" t="n">
        <f aca="false">IF(A1332="","",IF(COUNTIFS($C$2:$C$5001,C1332,$J$2:$J$5001,J1332,$A$2:$A$5001,"&lt;"&amp;A1332)=0,1,0))</f>
        <v>1</v>
      </c>
    </row>
    <row r="1333" customFormat="false" ht="15" hidden="false" customHeight="false" outlineLevel="0" collapsed="false">
      <c r="A1333" s="23" t="n">
        <v>46027.9680555556</v>
      </c>
      <c r="B1333" s="24" t="s">
        <v>275</v>
      </c>
      <c r="C1333" s="24" t="s">
        <v>396</v>
      </c>
      <c r="D1333" s="24" t="s">
        <v>53</v>
      </c>
      <c r="E1333" s="24" t="n">
        <v>320</v>
      </c>
      <c r="F1333" s="25" t="n">
        <v>5500</v>
      </c>
      <c r="G1333" s="24" t="s">
        <v>69</v>
      </c>
      <c r="H1333" s="24" t="s">
        <v>80</v>
      </c>
      <c r="I1333" s="24" t="s">
        <v>61</v>
      </c>
      <c r="J1333" s="26" t="n">
        <f aca="false">IF(A1333="","",YEAR(A1333))</f>
        <v>2026</v>
      </c>
      <c r="K1333" s="26" t="n">
        <f aca="false">IF(A1333="","",MONTH(A1333))</f>
        <v>1</v>
      </c>
      <c r="L1333" s="26" t="n">
        <f aca="false">IF(B1333="","",VALUE(LEFT(B1333,2)))</f>
        <v>17</v>
      </c>
      <c r="M1333" s="26" t="n">
        <f aca="false">IF(A1333="","",IF(COUNTIFS($C$2:$C$5001,C1333,$J$2:$J$5001,J1333,$A$2:$A$5001,"&lt;"&amp;A1333)=0,1,0))</f>
        <v>1</v>
      </c>
    </row>
    <row r="1334" customFormat="false" ht="15" hidden="false" customHeight="false" outlineLevel="0" collapsed="false">
      <c r="A1334" s="23" t="n">
        <v>46028.0347222222</v>
      </c>
      <c r="B1334" s="24" t="s">
        <v>637</v>
      </c>
      <c r="C1334" s="24" t="s">
        <v>609</v>
      </c>
      <c r="D1334" s="24" t="s">
        <v>53</v>
      </c>
      <c r="E1334" s="24" t="n">
        <v>266</v>
      </c>
      <c r="F1334" s="25" t="n">
        <v>4500</v>
      </c>
      <c r="G1334" s="24" t="s">
        <v>54</v>
      </c>
      <c r="H1334" s="24" t="s">
        <v>60</v>
      </c>
      <c r="I1334" s="24" t="s">
        <v>61</v>
      </c>
      <c r="J1334" s="26" t="n">
        <f aca="false">IF(A1334="","",YEAR(A1334))</f>
        <v>2026</v>
      </c>
      <c r="K1334" s="26" t="n">
        <f aca="false">IF(A1334="","",MONTH(A1334))</f>
        <v>1</v>
      </c>
      <c r="L1334" s="26" t="n">
        <f aca="false">IF(B1334="","",VALUE(LEFT(B1334,2)))</f>
        <v>20</v>
      </c>
      <c r="M1334" s="26" t="n">
        <f aca="false">IF(A1334="","",IF(COUNTIFS($C$2:$C$5001,C1334,$J$2:$J$5001,J1334,$A$2:$A$5001,"&lt;"&amp;A1334)=0,1,0))</f>
        <v>1</v>
      </c>
    </row>
    <row r="1335" customFormat="false" ht="15" hidden="false" customHeight="false" outlineLevel="0" collapsed="false">
      <c r="A1335" s="23" t="n">
        <v>46028.0909722222</v>
      </c>
      <c r="B1335" s="24" t="s">
        <v>667</v>
      </c>
      <c r="C1335" s="24" t="s">
        <v>112</v>
      </c>
      <c r="D1335" s="24" t="s">
        <v>53</v>
      </c>
      <c r="E1335" s="24" t="n">
        <v>375</v>
      </c>
      <c r="F1335" s="25" t="n">
        <v>6500</v>
      </c>
      <c r="G1335" s="24" t="s">
        <v>59</v>
      </c>
      <c r="H1335" s="24" t="s">
        <v>60</v>
      </c>
      <c r="I1335" s="24" t="s">
        <v>61</v>
      </c>
      <c r="J1335" s="26" t="n">
        <f aca="false">IF(A1335="","",YEAR(A1335))</f>
        <v>2026</v>
      </c>
      <c r="K1335" s="26" t="n">
        <f aca="false">IF(A1335="","",MONTH(A1335))</f>
        <v>1</v>
      </c>
      <c r="L1335" s="26" t="n">
        <f aca="false">IF(B1335="","",VALUE(LEFT(B1335,2)))</f>
        <v>19</v>
      </c>
      <c r="M1335" s="26" t="n">
        <f aca="false">IF(A1335="","",IF(COUNTIFS($C$2:$C$5001,C1335,$J$2:$J$5001,J1335,$A$2:$A$5001,"&lt;"&amp;A1335)=0,1,0))</f>
        <v>1</v>
      </c>
    </row>
    <row r="1336" customFormat="false" ht="15" hidden="false" customHeight="false" outlineLevel="0" collapsed="false">
      <c r="A1336" s="23" t="n">
        <v>46028.7375</v>
      </c>
      <c r="B1336" s="24" t="s">
        <v>871</v>
      </c>
      <c r="C1336" s="24" t="s">
        <v>343</v>
      </c>
      <c r="D1336" s="24" t="s">
        <v>53</v>
      </c>
      <c r="E1336" s="24" t="n">
        <v>44</v>
      </c>
      <c r="F1336" s="25" t="n">
        <v>1000</v>
      </c>
      <c r="G1336" s="24" t="s">
        <v>59</v>
      </c>
      <c r="H1336" s="24" t="s">
        <v>55</v>
      </c>
      <c r="I1336" s="24" t="s">
        <v>61</v>
      </c>
      <c r="J1336" s="26" t="n">
        <f aca="false">IF(A1336="","",YEAR(A1336))</f>
        <v>2026</v>
      </c>
      <c r="K1336" s="26" t="n">
        <f aca="false">IF(A1336="","",MONTH(A1336))</f>
        <v>1</v>
      </c>
      <c r="L1336" s="26" t="n">
        <f aca="false">IF(B1336="","",VALUE(LEFT(B1336,2)))</f>
        <v>16</v>
      </c>
      <c r="M1336" s="26" t="n">
        <f aca="false">IF(A1336="","",IF(COUNTIFS($C$2:$C$5001,C1336,$J$2:$J$5001,J1336,$A$2:$A$5001,"&lt;"&amp;A1336)=0,1,0))</f>
        <v>1</v>
      </c>
    </row>
    <row r="1337" customFormat="false" ht="15" hidden="false" customHeight="false" outlineLevel="0" collapsed="false">
      <c r="A1337" s="23" t="n">
        <v>46029.5722222222</v>
      </c>
      <c r="B1337" s="24" t="s">
        <v>299</v>
      </c>
      <c r="C1337" s="24" t="s">
        <v>123</v>
      </c>
      <c r="D1337" s="24" t="s">
        <v>53</v>
      </c>
      <c r="E1337" s="24" t="n">
        <v>320</v>
      </c>
      <c r="F1337" s="25" t="n">
        <v>4675</v>
      </c>
      <c r="G1337" s="24" t="s">
        <v>69</v>
      </c>
      <c r="H1337" s="24" t="s">
        <v>80</v>
      </c>
      <c r="I1337" s="24" t="s">
        <v>113</v>
      </c>
      <c r="J1337" s="26" t="n">
        <f aca="false">IF(A1337="","",YEAR(A1337))</f>
        <v>2026</v>
      </c>
      <c r="K1337" s="26" t="n">
        <f aca="false">IF(A1337="","",MONTH(A1337))</f>
        <v>1</v>
      </c>
      <c r="L1337" s="26" t="n">
        <f aca="false">IF(B1337="","",VALUE(LEFT(B1337,2)))</f>
        <v>8</v>
      </c>
      <c r="M1337" s="26" t="n">
        <f aca="false">IF(A1337="","",IF(COUNTIFS($C$2:$C$5001,C1337,$J$2:$J$5001,J1337,$A$2:$A$5001,"&lt;"&amp;A1337)=0,1,0))</f>
        <v>1</v>
      </c>
    </row>
    <row r="1338" customFormat="false" ht="15" hidden="false" customHeight="false" outlineLevel="0" collapsed="false">
      <c r="A1338" s="23" t="n">
        <v>46029.8548611111</v>
      </c>
      <c r="B1338" s="24" t="s">
        <v>902</v>
      </c>
      <c r="C1338" s="24" t="s">
        <v>112</v>
      </c>
      <c r="D1338" s="24" t="s">
        <v>66</v>
      </c>
      <c r="E1338" s="24" t="n">
        <v>134</v>
      </c>
      <c r="F1338" s="25" t="n">
        <v>5000</v>
      </c>
      <c r="G1338" s="24" t="s">
        <v>59</v>
      </c>
      <c r="H1338" s="24" t="s">
        <v>55</v>
      </c>
      <c r="I1338" s="24" t="s">
        <v>61</v>
      </c>
      <c r="J1338" s="26" t="n">
        <f aca="false">IF(A1338="","",YEAR(A1338))</f>
        <v>2026</v>
      </c>
      <c r="K1338" s="26" t="n">
        <f aca="false">IF(A1338="","",MONTH(A1338))</f>
        <v>1</v>
      </c>
      <c r="L1338" s="26" t="n">
        <f aca="false">IF(B1338="","",VALUE(LEFT(B1338,2)))</f>
        <v>18</v>
      </c>
      <c r="M1338" s="26" t="n">
        <f aca="false">IF(A1338="","",IF(COUNTIFS($C$2:$C$5001,C1338,$J$2:$J$5001,J1338,$A$2:$A$5001,"&lt;"&amp;A1338)=0,1,0))</f>
        <v>0</v>
      </c>
    </row>
    <row r="1339" customFormat="false" ht="15" hidden="false" customHeight="false" outlineLevel="0" collapsed="false">
      <c r="A1339" s="23" t="n">
        <v>46030.1069444444</v>
      </c>
      <c r="B1339" s="24" t="s">
        <v>903</v>
      </c>
      <c r="C1339" s="24" t="s">
        <v>461</v>
      </c>
      <c r="D1339" s="24" t="s">
        <v>66</v>
      </c>
      <c r="E1339" s="24" t="n">
        <v>414</v>
      </c>
      <c r="F1339" s="25" t="n">
        <v>11900</v>
      </c>
      <c r="G1339" s="24" t="s">
        <v>69</v>
      </c>
      <c r="H1339" s="24" t="s">
        <v>80</v>
      </c>
      <c r="I1339" s="24" t="s">
        <v>113</v>
      </c>
      <c r="J1339" s="26" t="n">
        <f aca="false">IF(A1339="","",YEAR(A1339))</f>
        <v>2026</v>
      </c>
      <c r="K1339" s="26" t="n">
        <f aca="false">IF(A1339="","",MONTH(A1339))</f>
        <v>1</v>
      </c>
      <c r="L1339" s="26" t="n">
        <f aca="false">IF(B1339="","",VALUE(LEFT(B1339,2)))</f>
        <v>19</v>
      </c>
      <c r="M1339" s="26" t="n">
        <f aca="false">IF(A1339="","",IF(COUNTIFS($C$2:$C$5001,C1339,$J$2:$J$5001,J1339,$A$2:$A$5001,"&lt;"&amp;A1339)=0,1,0))</f>
        <v>1</v>
      </c>
    </row>
    <row r="1340" customFormat="false" ht="15" hidden="false" customHeight="false" outlineLevel="0" collapsed="false">
      <c r="A1340" s="23" t="n">
        <v>46030.5388888889</v>
      </c>
      <c r="B1340" s="24" t="s">
        <v>613</v>
      </c>
      <c r="C1340" s="24" t="s">
        <v>156</v>
      </c>
      <c r="D1340" s="24" t="s">
        <v>66</v>
      </c>
      <c r="E1340" s="24" t="n">
        <v>334</v>
      </c>
      <c r="F1340" s="25" t="n">
        <v>12000</v>
      </c>
      <c r="G1340" s="24" t="s">
        <v>79</v>
      </c>
      <c r="H1340" s="24" t="s">
        <v>80</v>
      </c>
      <c r="I1340" s="24" t="s">
        <v>61</v>
      </c>
      <c r="J1340" s="26" t="n">
        <f aca="false">IF(A1340="","",YEAR(A1340))</f>
        <v>2026</v>
      </c>
      <c r="K1340" s="26" t="n">
        <f aca="false">IF(A1340="","",MONTH(A1340))</f>
        <v>1</v>
      </c>
      <c r="L1340" s="26" t="n">
        <f aca="false">IF(B1340="","",VALUE(LEFT(B1340,2)))</f>
        <v>7</v>
      </c>
      <c r="M1340" s="26" t="n">
        <f aca="false">IF(A1340="","",IF(COUNTIFS($C$2:$C$5001,C1340,$J$2:$J$5001,J1340,$A$2:$A$5001,"&lt;"&amp;A1340)=0,1,0))</f>
        <v>1</v>
      </c>
    </row>
    <row r="1341" customFormat="false" ht="15" hidden="false" customHeight="false" outlineLevel="0" collapsed="false">
      <c r="A1341" s="23" t="n">
        <v>46030.7243055556</v>
      </c>
      <c r="B1341" s="24" t="s">
        <v>477</v>
      </c>
      <c r="C1341" s="24" t="s">
        <v>110</v>
      </c>
      <c r="D1341" s="24" t="s">
        <v>66</v>
      </c>
      <c r="E1341" s="24" t="n">
        <v>99</v>
      </c>
      <c r="F1341" s="25" t="n">
        <v>4000</v>
      </c>
      <c r="G1341" s="24" t="s">
        <v>59</v>
      </c>
      <c r="H1341" s="24" t="s">
        <v>55</v>
      </c>
      <c r="I1341" s="24" t="s">
        <v>61</v>
      </c>
      <c r="J1341" s="26" t="n">
        <f aca="false">IF(A1341="","",YEAR(A1341))</f>
        <v>2026</v>
      </c>
      <c r="K1341" s="26" t="n">
        <f aca="false">IF(A1341="","",MONTH(A1341))</f>
        <v>1</v>
      </c>
      <c r="L1341" s="26" t="n">
        <f aca="false">IF(B1341="","",VALUE(LEFT(B1341,2)))</f>
        <v>15</v>
      </c>
      <c r="M1341" s="26" t="n">
        <f aca="false">IF(A1341="","",IF(COUNTIFS($C$2:$C$5001,C1341,$J$2:$J$5001,J1341,$A$2:$A$5001,"&lt;"&amp;A1341)=0,1,0))</f>
        <v>0</v>
      </c>
    </row>
    <row r="1342" customFormat="false" ht="15" hidden="false" customHeight="false" outlineLevel="0" collapsed="false">
      <c r="A1342" s="23" t="n">
        <v>46030.7951388889</v>
      </c>
      <c r="B1342" s="24" t="s">
        <v>210</v>
      </c>
      <c r="C1342" s="24" t="s">
        <v>126</v>
      </c>
      <c r="D1342" s="24" t="s">
        <v>72</v>
      </c>
      <c r="E1342" s="24" t="n">
        <v>82</v>
      </c>
      <c r="F1342" s="25" t="n">
        <v>6000</v>
      </c>
      <c r="G1342" s="24" t="s">
        <v>69</v>
      </c>
      <c r="H1342" s="24" t="s">
        <v>60</v>
      </c>
      <c r="I1342" s="24" t="s">
        <v>61</v>
      </c>
      <c r="J1342" s="26" t="n">
        <f aca="false">IF(A1342="","",YEAR(A1342))</f>
        <v>2026</v>
      </c>
      <c r="K1342" s="26" t="n">
        <f aca="false">IF(A1342="","",MONTH(A1342))</f>
        <v>1</v>
      </c>
      <c r="L1342" s="26" t="n">
        <f aca="false">IF(B1342="","",VALUE(LEFT(B1342,2)))</f>
        <v>17</v>
      </c>
      <c r="M1342" s="26" t="n">
        <f aca="false">IF(A1342="","",IF(COUNTIFS($C$2:$C$5001,C1342,$J$2:$J$5001,J1342,$A$2:$A$5001,"&lt;"&amp;A1342)=0,1,0))</f>
        <v>0</v>
      </c>
    </row>
    <row r="1343" customFormat="false" ht="15" hidden="false" customHeight="false" outlineLevel="0" collapsed="false">
      <c r="A1343" s="23" t="n">
        <v>46030.80625</v>
      </c>
      <c r="B1343" s="24" t="s">
        <v>776</v>
      </c>
      <c r="C1343" s="24" t="s">
        <v>345</v>
      </c>
      <c r="D1343" s="24" t="s">
        <v>88</v>
      </c>
      <c r="E1343" s="24" t="n">
        <v>192</v>
      </c>
      <c r="F1343" s="25" t="n">
        <v>10500</v>
      </c>
      <c r="G1343" s="24" t="s">
        <v>69</v>
      </c>
      <c r="H1343" s="24" t="s">
        <v>55</v>
      </c>
      <c r="I1343" s="24" t="s">
        <v>61</v>
      </c>
      <c r="J1343" s="26" t="n">
        <f aca="false">IF(A1343="","",YEAR(A1343))</f>
        <v>2026</v>
      </c>
      <c r="K1343" s="26" t="n">
        <f aca="false">IF(A1343="","",MONTH(A1343))</f>
        <v>1</v>
      </c>
      <c r="L1343" s="26" t="n">
        <f aca="false">IF(B1343="","",VALUE(LEFT(B1343,2)))</f>
        <v>16</v>
      </c>
      <c r="M1343" s="26" t="n">
        <f aca="false">IF(A1343="","",IF(COUNTIFS($C$2:$C$5001,C1343,$J$2:$J$5001,J1343,$A$2:$A$5001,"&lt;"&amp;A1343)=0,1,0))</f>
        <v>1</v>
      </c>
    </row>
    <row r="1344" customFormat="false" ht="15" hidden="false" customHeight="false" outlineLevel="0" collapsed="false">
      <c r="A1344" s="23" t="n">
        <v>46031.4013888889</v>
      </c>
      <c r="B1344" s="24" t="s">
        <v>624</v>
      </c>
      <c r="C1344" s="24" t="s">
        <v>123</v>
      </c>
      <c r="D1344" s="24" t="s">
        <v>53</v>
      </c>
      <c r="E1344" s="24" t="n">
        <v>66</v>
      </c>
      <c r="F1344" s="25" t="n">
        <v>1500</v>
      </c>
      <c r="G1344" s="24" t="s">
        <v>59</v>
      </c>
      <c r="H1344" s="24" t="s">
        <v>55</v>
      </c>
      <c r="I1344" s="24" t="s">
        <v>61</v>
      </c>
      <c r="J1344" s="26" t="n">
        <f aca="false">IF(A1344="","",YEAR(A1344))</f>
        <v>2026</v>
      </c>
      <c r="K1344" s="26" t="n">
        <f aca="false">IF(A1344="","",MONTH(A1344))</f>
        <v>1</v>
      </c>
      <c r="L1344" s="26" t="n">
        <f aca="false">IF(B1344="","",VALUE(LEFT(B1344,2)))</f>
        <v>8</v>
      </c>
      <c r="M1344" s="26" t="n">
        <f aca="false">IF(A1344="","",IF(COUNTIFS($C$2:$C$5001,C1344,$J$2:$J$5001,J1344,$A$2:$A$5001,"&lt;"&amp;A1344)=0,1,0))</f>
        <v>0</v>
      </c>
    </row>
    <row r="1345" customFormat="false" ht="15" hidden="false" customHeight="false" outlineLevel="0" collapsed="false">
      <c r="A1345" s="23" t="n">
        <v>46031.5875</v>
      </c>
      <c r="B1345" s="24" t="s">
        <v>541</v>
      </c>
      <c r="C1345" s="24" t="s">
        <v>85</v>
      </c>
      <c r="D1345" s="24" t="s">
        <v>66</v>
      </c>
      <c r="E1345" s="24" t="n">
        <v>253</v>
      </c>
      <c r="F1345" s="25" t="n">
        <v>7650</v>
      </c>
      <c r="G1345" s="24" t="s">
        <v>59</v>
      </c>
      <c r="H1345" s="24" t="s">
        <v>60</v>
      </c>
      <c r="I1345" s="24" t="s">
        <v>113</v>
      </c>
      <c r="J1345" s="26" t="n">
        <f aca="false">IF(A1345="","",YEAR(A1345))</f>
        <v>2026</v>
      </c>
      <c r="K1345" s="26" t="n">
        <f aca="false">IF(A1345="","",MONTH(A1345))</f>
        <v>1</v>
      </c>
      <c r="L1345" s="26" t="n">
        <f aca="false">IF(B1345="","",VALUE(LEFT(B1345,2)))</f>
        <v>9</v>
      </c>
      <c r="M1345" s="26" t="n">
        <f aca="false">IF(A1345="","",IF(COUNTIFS($C$2:$C$5001,C1345,$J$2:$J$5001,J1345,$A$2:$A$5001,"&lt;"&amp;A1345)=0,1,0))</f>
        <v>1</v>
      </c>
    </row>
    <row r="1346" customFormat="false" ht="15" hidden="false" customHeight="false" outlineLevel="0" collapsed="false">
      <c r="A1346" s="23" t="n">
        <v>46031.7576388889</v>
      </c>
      <c r="B1346" s="24" t="s">
        <v>185</v>
      </c>
      <c r="C1346" s="24" t="s">
        <v>76</v>
      </c>
      <c r="D1346" s="24" t="s">
        <v>66</v>
      </c>
      <c r="E1346" s="24" t="n">
        <v>127</v>
      </c>
      <c r="F1346" s="25" t="n">
        <v>0</v>
      </c>
      <c r="G1346" s="24" t="s">
        <v>59</v>
      </c>
      <c r="H1346" s="24" t="s">
        <v>60</v>
      </c>
      <c r="I1346" s="24" t="s">
        <v>56</v>
      </c>
      <c r="J1346" s="26" t="n">
        <f aca="false">IF(A1346="","",YEAR(A1346))</f>
        <v>2026</v>
      </c>
      <c r="K1346" s="26" t="n">
        <f aca="false">IF(A1346="","",MONTH(A1346))</f>
        <v>1</v>
      </c>
      <c r="L1346" s="26" t="n">
        <f aca="false">IF(B1346="","",VALUE(LEFT(B1346,2)))</f>
        <v>16</v>
      </c>
      <c r="M1346" s="26" t="n">
        <f aca="false">IF(A1346="","",IF(COUNTIFS($C$2:$C$5001,C1346,$J$2:$J$5001,J1346,$A$2:$A$5001,"&lt;"&amp;A1346)=0,1,0))</f>
        <v>1</v>
      </c>
    </row>
    <row r="1347" customFormat="false" ht="15" hidden="false" customHeight="false" outlineLevel="0" collapsed="false">
      <c r="A1347" s="23" t="n">
        <v>46031.83125</v>
      </c>
      <c r="B1347" s="24" t="s">
        <v>291</v>
      </c>
      <c r="C1347" s="24" t="s">
        <v>467</v>
      </c>
      <c r="D1347" s="24" t="s">
        <v>66</v>
      </c>
      <c r="E1347" s="24" t="n">
        <v>146</v>
      </c>
      <c r="F1347" s="25" t="n">
        <v>5000</v>
      </c>
      <c r="G1347" s="24" t="s">
        <v>59</v>
      </c>
      <c r="H1347" s="24" t="s">
        <v>55</v>
      </c>
      <c r="I1347" s="24" t="s">
        <v>61</v>
      </c>
      <c r="J1347" s="26" t="n">
        <f aca="false">IF(A1347="","",YEAR(A1347))</f>
        <v>2026</v>
      </c>
      <c r="K1347" s="26" t="n">
        <f aca="false">IF(A1347="","",MONTH(A1347))</f>
        <v>1</v>
      </c>
      <c r="L1347" s="26" t="n">
        <f aca="false">IF(B1347="","",VALUE(LEFT(B1347,2)))</f>
        <v>17</v>
      </c>
      <c r="M1347" s="26" t="n">
        <f aca="false">IF(A1347="","",IF(COUNTIFS($C$2:$C$5001,C1347,$J$2:$J$5001,J1347,$A$2:$A$5001,"&lt;"&amp;A1347)=0,1,0))</f>
        <v>1</v>
      </c>
    </row>
    <row r="1348" customFormat="false" ht="15" hidden="false" customHeight="false" outlineLevel="0" collapsed="false">
      <c r="A1348" s="23" t="n">
        <v>46031.9513888889</v>
      </c>
      <c r="B1348" s="24" t="s">
        <v>610</v>
      </c>
      <c r="C1348" s="24" t="s">
        <v>172</v>
      </c>
      <c r="D1348" s="24" t="s">
        <v>66</v>
      </c>
      <c r="E1348" s="24" t="n">
        <v>221</v>
      </c>
      <c r="F1348" s="25" t="n">
        <v>8000</v>
      </c>
      <c r="G1348" s="24" t="s">
        <v>59</v>
      </c>
      <c r="H1348" s="24" t="s">
        <v>80</v>
      </c>
      <c r="I1348" s="24" t="s">
        <v>61</v>
      </c>
      <c r="J1348" s="26" t="n">
        <f aca="false">IF(A1348="","",YEAR(A1348))</f>
        <v>2026</v>
      </c>
      <c r="K1348" s="26" t="n">
        <f aca="false">IF(A1348="","",MONTH(A1348))</f>
        <v>1</v>
      </c>
      <c r="L1348" s="26" t="n">
        <f aca="false">IF(B1348="","",VALUE(LEFT(B1348,2)))</f>
        <v>19</v>
      </c>
      <c r="M1348" s="26" t="n">
        <f aca="false">IF(A1348="","",IF(COUNTIFS($C$2:$C$5001,C1348,$J$2:$J$5001,J1348,$A$2:$A$5001,"&lt;"&amp;A1348)=0,1,0))</f>
        <v>1</v>
      </c>
    </row>
    <row r="1349" customFormat="false" ht="15" hidden="false" customHeight="false" outlineLevel="0" collapsed="false">
      <c r="A1349" s="23" t="n">
        <v>46032.7041666667</v>
      </c>
      <c r="B1349" s="24" t="s">
        <v>634</v>
      </c>
      <c r="C1349" s="24" t="s">
        <v>158</v>
      </c>
      <c r="D1349" s="24" t="s">
        <v>66</v>
      </c>
      <c r="E1349" s="24" t="n">
        <v>222</v>
      </c>
      <c r="F1349" s="25" t="n">
        <v>8000</v>
      </c>
      <c r="G1349" s="24" t="s">
        <v>59</v>
      </c>
      <c r="H1349" s="24" t="s">
        <v>80</v>
      </c>
      <c r="I1349" s="24" t="s">
        <v>61</v>
      </c>
      <c r="J1349" s="26" t="n">
        <f aca="false">IF(A1349="","",YEAR(A1349))</f>
        <v>2026</v>
      </c>
      <c r="K1349" s="26" t="n">
        <f aca="false">IF(A1349="","",MONTH(A1349))</f>
        <v>1</v>
      </c>
      <c r="L1349" s="26" t="n">
        <f aca="false">IF(B1349="","",VALUE(LEFT(B1349,2)))</f>
        <v>13</v>
      </c>
      <c r="M1349" s="26" t="n">
        <f aca="false">IF(A1349="","",IF(COUNTIFS($C$2:$C$5001,C1349,$J$2:$J$5001,J1349,$A$2:$A$5001,"&lt;"&amp;A1349)=0,1,0))</f>
        <v>0</v>
      </c>
    </row>
    <row r="1350" customFormat="false" ht="15" hidden="false" customHeight="false" outlineLevel="0" collapsed="false">
      <c r="A1350" s="23" t="n">
        <v>46032.7048611111</v>
      </c>
      <c r="B1350" s="24" t="s">
        <v>904</v>
      </c>
      <c r="C1350" s="24" t="s">
        <v>602</v>
      </c>
      <c r="D1350" s="24" t="s">
        <v>66</v>
      </c>
      <c r="E1350" s="24" t="n">
        <v>258</v>
      </c>
      <c r="F1350" s="25" t="n">
        <v>9000</v>
      </c>
      <c r="G1350" s="24" t="s">
        <v>59</v>
      </c>
      <c r="H1350" s="24" t="s">
        <v>55</v>
      </c>
      <c r="I1350" s="24" t="s">
        <v>61</v>
      </c>
      <c r="J1350" s="26" t="n">
        <f aca="false">IF(A1350="","",YEAR(A1350))</f>
        <v>2026</v>
      </c>
      <c r="K1350" s="26" t="n">
        <f aca="false">IF(A1350="","",MONTH(A1350))</f>
        <v>1</v>
      </c>
      <c r="L1350" s="26" t="n">
        <f aca="false">IF(B1350="","",VALUE(LEFT(B1350,2)))</f>
        <v>12</v>
      </c>
      <c r="M1350" s="26" t="n">
        <f aca="false">IF(A1350="","",IF(COUNTIFS($C$2:$C$5001,C1350,$J$2:$J$5001,J1350,$A$2:$A$5001,"&lt;"&amp;A1350)=0,1,0))</f>
        <v>1</v>
      </c>
    </row>
    <row r="1351" customFormat="false" ht="15" hidden="false" customHeight="false" outlineLevel="0" collapsed="false">
      <c r="A1351" s="23" t="n">
        <v>46032.7965277778</v>
      </c>
      <c r="B1351" s="24" t="s">
        <v>905</v>
      </c>
      <c r="C1351" s="24" t="s">
        <v>397</v>
      </c>
      <c r="D1351" s="24" t="s">
        <v>53</v>
      </c>
      <c r="E1351" s="24" t="n">
        <v>156</v>
      </c>
      <c r="F1351" s="25" t="n">
        <v>3000</v>
      </c>
      <c r="G1351" s="24" t="s">
        <v>59</v>
      </c>
      <c r="H1351" s="24" t="s">
        <v>80</v>
      </c>
      <c r="I1351" s="24" t="s">
        <v>61</v>
      </c>
      <c r="J1351" s="26" t="n">
        <f aca="false">IF(A1351="","",YEAR(A1351))</f>
        <v>2026</v>
      </c>
      <c r="K1351" s="26" t="n">
        <f aca="false">IF(A1351="","",MONTH(A1351))</f>
        <v>1</v>
      </c>
      <c r="L1351" s="26" t="n">
        <f aca="false">IF(B1351="","",VALUE(LEFT(B1351,2)))</f>
        <v>16</v>
      </c>
      <c r="M1351" s="26" t="n">
        <f aca="false">IF(A1351="","",IF(COUNTIFS($C$2:$C$5001,C1351,$J$2:$J$5001,J1351,$A$2:$A$5001,"&lt;"&amp;A1351)=0,1,0))</f>
        <v>1</v>
      </c>
    </row>
    <row r="1352" customFormat="false" ht="15" hidden="false" customHeight="false" outlineLevel="0" collapsed="false">
      <c r="A1352" s="23" t="n">
        <v>46032.9569444444</v>
      </c>
      <c r="B1352" s="24" t="s">
        <v>763</v>
      </c>
      <c r="C1352" s="24" t="s">
        <v>430</v>
      </c>
      <c r="D1352" s="24" t="s">
        <v>66</v>
      </c>
      <c r="E1352" s="24" t="n">
        <v>341</v>
      </c>
      <c r="F1352" s="25" t="n">
        <v>12000</v>
      </c>
      <c r="G1352" s="24" t="s">
        <v>59</v>
      </c>
      <c r="H1352" s="24" t="s">
        <v>60</v>
      </c>
      <c r="I1352" s="24" t="s">
        <v>61</v>
      </c>
      <c r="J1352" s="26" t="n">
        <f aca="false">IF(A1352="","",YEAR(A1352))</f>
        <v>2026</v>
      </c>
      <c r="K1352" s="26" t="n">
        <f aca="false">IF(A1352="","",MONTH(A1352))</f>
        <v>1</v>
      </c>
      <c r="L1352" s="26" t="n">
        <f aca="false">IF(B1352="","",VALUE(LEFT(B1352,2)))</f>
        <v>17</v>
      </c>
      <c r="M1352" s="26" t="n">
        <f aca="false">IF(A1352="","",IF(COUNTIFS($C$2:$C$5001,C1352,$J$2:$J$5001,J1352,$A$2:$A$5001,"&lt;"&amp;A1352)=0,1,0))</f>
        <v>1</v>
      </c>
    </row>
    <row r="1353" customFormat="false" ht="15" hidden="false" customHeight="false" outlineLevel="0" collapsed="false">
      <c r="A1353" s="23" t="n">
        <v>46033.3076388889</v>
      </c>
      <c r="B1353" s="24" t="s">
        <v>906</v>
      </c>
      <c r="C1353" s="24" t="s">
        <v>102</v>
      </c>
      <c r="D1353" s="24" t="s">
        <v>53</v>
      </c>
      <c r="E1353" s="24" t="n">
        <v>35</v>
      </c>
      <c r="F1353" s="25" t="n">
        <v>1000</v>
      </c>
      <c r="G1353" s="24" t="s">
        <v>69</v>
      </c>
      <c r="H1353" s="24" t="s">
        <v>55</v>
      </c>
      <c r="I1353" s="24" t="s">
        <v>61</v>
      </c>
      <c r="J1353" s="26" t="n">
        <f aca="false">IF(A1353="","",YEAR(A1353))</f>
        <v>2026</v>
      </c>
      <c r="K1353" s="26" t="n">
        <f aca="false">IF(A1353="","",MONTH(A1353))</f>
        <v>1</v>
      </c>
      <c r="L1353" s="26" t="n">
        <f aca="false">IF(B1353="","",VALUE(LEFT(B1353,2)))</f>
        <v>6</v>
      </c>
      <c r="M1353" s="26" t="n">
        <f aca="false">IF(A1353="","",IF(COUNTIFS($C$2:$C$5001,C1353,$J$2:$J$5001,J1353,$A$2:$A$5001,"&lt;"&amp;A1353)=0,1,0))</f>
        <v>1</v>
      </c>
    </row>
    <row r="1354" customFormat="false" ht="15" hidden="false" customHeight="false" outlineLevel="0" collapsed="false">
      <c r="A1354" s="23" t="n">
        <v>46033.4006944444</v>
      </c>
      <c r="B1354" s="24" t="s">
        <v>907</v>
      </c>
      <c r="C1354" s="24" t="s">
        <v>314</v>
      </c>
      <c r="D1354" s="24" t="s">
        <v>66</v>
      </c>
      <c r="E1354" s="24" t="n">
        <v>114</v>
      </c>
      <c r="F1354" s="25" t="n">
        <v>4000</v>
      </c>
      <c r="G1354" s="24" t="s">
        <v>59</v>
      </c>
      <c r="H1354" s="24" t="s">
        <v>80</v>
      </c>
      <c r="I1354" s="24" t="s">
        <v>61</v>
      </c>
      <c r="J1354" s="26" t="n">
        <f aca="false">IF(A1354="","",YEAR(A1354))</f>
        <v>2026</v>
      </c>
      <c r="K1354" s="26" t="n">
        <f aca="false">IF(A1354="","",MONTH(A1354))</f>
        <v>1</v>
      </c>
      <c r="L1354" s="26" t="n">
        <f aca="false">IF(B1354="","",VALUE(LEFT(B1354,2)))</f>
        <v>7</v>
      </c>
      <c r="M1354" s="26" t="n">
        <f aca="false">IF(A1354="","",IF(COUNTIFS($C$2:$C$5001,C1354,$J$2:$J$5001,J1354,$A$2:$A$5001,"&lt;"&amp;A1354)=0,1,0))</f>
        <v>0</v>
      </c>
    </row>
    <row r="1355" customFormat="false" ht="15" hidden="false" customHeight="false" outlineLevel="0" collapsed="false">
      <c r="A1355" s="23" t="n">
        <v>46033.4298611111</v>
      </c>
      <c r="B1355" s="24" t="s">
        <v>878</v>
      </c>
      <c r="C1355" s="24" t="s">
        <v>314</v>
      </c>
      <c r="D1355" s="24" t="s">
        <v>88</v>
      </c>
      <c r="E1355" s="24" t="n">
        <v>97</v>
      </c>
      <c r="F1355" s="25" t="n">
        <v>6000</v>
      </c>
      <c r="G1355" s="24" t="s">
        <v>59</v>
      </c>
      <c r="H1355" s="24" t="s">
        <v>60</v>
      </c>
      <c r="I1355" s="24" t="s">
        <v>61</v>
      </c>
      <c r="J1355" s="26" t="n">
        <f aca="false">IF(A1355="","",YEAR(A1355))</f>
        <v>2026</v>
      </c>
      <c r="K1355" s="26" t="n">
        <f aca="false">IF(A1355="","",MONTH(A1355))</f>
        <v>1</v>
      </c>
      <c r="L1355" s="26" t="n">
        <f aca="false">IF(B1355="","",VALUE(LEFT(B1355,2)))</f>
        <v>8</v>
      </c>
      <c r="M1355" s="26" t="n">
        <f aca="false">IF(A1355="","",IF(COUNTIFS($C$2:$C$5001,C1355,$J$2:$J$5001,J1355,$A$2:$A$5001,"&lt;"&amp;A1355)=0,1,0))</f>
        <v>0</v>
      </c>
    </row>
    <row r="1356" customFormat="false" ht="15" hidden="false" customHeight="false" outlineLevel="0" collapsed="false">
      <c r="A1356" s="23" t="n">
        <v>46033.4625</v>
      </c>
      <c r="B1356" s="24" t="s">
        <v>489</v>
      </c>
      <c r="C1356" s="24" t="s">
        <v>578</v>
      </c>
      <c r="D1356" s="24" t="s">
        <v>53</v>
      </c>
      <c r="E1356" s="24" t="n">
        <v>221</v>
      </c>
      <c r="F1356" s="25" t="n">
        <v>4000</v>
      </c>
      <c r="G1356" s="24" t="s">
        <v>59</v>
      </c>
      <c r="H1356" s="24" t="s">
        <v>60</v>
      </c>
      <c r="I1356" s="24" t="s">
        <v>61</v>
      </c>
      <c r="J1356" s="26" t="n">
        <f aca="false">IF(A1356="","",YEAR(A1356))</f>
        <v>2026</v>
      </c>
      <c r="K1356" s="26" t="n">
        <f aca="false">IF(A1356="","",MONTH(A1356))</f>
        <v>1</v>
      </c>
      <c r="L1356" s="26" t="n">
        <f aca="false">IF(B1356="","",VALUE(LEFT(B1356,2)))</f>
        <v>7</v>
      </c>
      <c r="M1356" s="26" t="n">
        <f aca="false">IF(A1356="","",IF(COUNTIFS($C$2:$C$5001,C1356,$J$2:$J$5001,J1356,$A$2:$A$5001,"&lt;"&amp;A1356)=0,1,0))</f>
        <v>1</v>
      </c>
    </row>
    <row r="1357" customFormat="false" ht="15" hidden="false" customHeight="false" outlineLevel="0" collapsed="false">
      <c r="A1357" s="23" t="n">
        <v>46033.7027777778</v>
      </c>
      <c r="B1357" s="24" t="s">
        <v>487</v>
      </c>
      <c r="C1357" s="24" t="s">
        <v>391</v>
      </c>
      <c r="D1357" s="24" t="s">
        <v>127</v>
      </c>
      <c r="E1357" s="24" t="n">
        <v>190</v>
      </c>
      <c r="F1357" s="25" t="n">
        <v>10412</v>
      </c>
      <c r="G1357" s="24" t="s">
        <v>69</v>
      </c>
      <c r="H1357" s="24" t="s">
        <v>55</v>
      </c>
      <c r="I1357" s="24" t="s">
        <v>113</v>
      </c>
      <c r="J1357" s="26" t="n">
        <f aca="false">IF(A1357="","",YEAR(A1357))</f>
        <v>2026</v>
      </c>
      <c r="K1357" s="26" t="n">
        <f aca="false">IF(A1357="","",MONTH(A1357))</f>
        <v>1</v>
      </c>
      <c r="L1357" s="26" t="n">
        <f aca="false">IF(B1357="","",VALUE(LEFT(B1357,2)))</f>
        <v>13</v>
      </c>
      <c r="M1357" s="26" t="n">
        <f aca="false">IF(A1357="","",IF(COUNTIFS($C$2:$C$5001,C1357,$J$2:$J$5001,J1357,$A$2:$A$5001,"&lt;"&amp;A1357)=0,1,0))</f>
        <v>1</v>
      </c>
    </row>
    <row r="1358" customFormat="false" ht="15" hidden="false" customHeight="false" outlineLevel="0" collapsed="false">
      <c r="A1358" s="23" t="n">
        <v>46033.7506944445</v>
      </c>
      <c r="B1358" s="24" t="s">
        <v>642</v>
      </c>
      <c r="C1358" s="24" t="s">
        <v>243</v>
      </c>
      <c r="D1358" s="24" t="s">
        <v>53</v>
      </c>
      <c r="E1358" s="24" t="n">
        <v>129</v>
      </c>
      <c r="F1358" s="25" t="n">
        <v>2500</v>
      </c>
      <c r="G1358" s="24" t="s">
        <v>83</v>
      </c>
      <c r="H1358" s="24" t="s">
        <v>80</v>
      </c>
      <c r="I1358" s="24" t="s">
        <v>61</v>
      </c>
      <c r="J1358" s="26" t="n">
        <f aca="false">IF(A1358="","",YEAR(A1358))</f>
        <v>2026</v>
      </c>
      <c r="K1358" s="26" t="n">
        <f aca="false">IF(A1358="","",MONTH(A1358))</f>
        <v>1</v>
      </c>
      <c r="L1358" s="26" t="n">
        <f aca="false">IF(B1358="","",VALUE(LEFT(B1358,2)))</f>
        <v>15</v>
      </c>
      <c r="M1358" s="26" t="n">
        <f aca="false">IF(A1358="","",IF(COUNTIFS($C$2:$C$5001,C1358,$J$2:$J$5001,J1358,$A$2:$A$5001,"&lt;"&amp;A1358)=0,1,0))</f>
        <v>1</v>
      </c>
    </row>
    <row r="1359" customFormat="false" ht="15" hidden="false" customHeight="false" outlineLevel="0" collapsed="false">
      <c r="A1359" s="23" t="n">
        <v>46033.7958333333</v>
      </c>
      <c r="B1359" s="24" t="s">
        <v>908</v>
      </c>
      <c r="C1359" s="24" t="s">
        <v>177</v>
      </c>
      <c r="D1359" s="24" t="s">
        <v>66</v>
      </c>
      <c r="E1359" s="24" t="n">
        <v>420</v>
      </c>
      <c r="F1359" s="25" t="n">
        <v>14000</v>
      </c>
      <c r="G1359" s="24" t="s">
        <v>69</v>
      </c>
      <c r="H1359" s="24" t="s">
        <v>80</v>
      </c>
      <c r="I1359" s="24" t="s">
        <v>61</v>
      </c>
      <c r="J1359" s="26" t="n">
        <f aca="false">IF(A1359="","",YEAR(A1359))</f>
        <v>2026</v>
      </c>
      <c r="K1359" s="26" t="n">
        <f aca="false">IF(A1359="","",MONTH(A1359))</f>
        <v>1</v>
      </c>
      <c r="L1359" s="26" t="n">
        <f aca="false">IF(B1359="","",VALUE(LEFT(B1359,2)))</f>
        <v>12</v>
      </c>
      <c r="M1359" s="26" t="n">
        <f aca="false">IF(A1359="","",IF(COUNTIFS($C$2:$C$5001,C1359,$J$2:$J$5001,J1359,$A$2:$A$5001,"&lt;"&amp;A1359)=0,1,0))</f>
        <v>1</v>
      </c>
    </row>
    <row r="1360" customFormat="false" ht="15" hidden="false" customHeight="false" outlineLevel="0" collapsed="false">
      <c r="A1360" s="23" t="n">
        <v>46033.7958333333</v>
      </c>
      <c r="B1360" s="24" t="s">
        <v>249</v>
      </c>
      <c r="C1360" s="24" t="s">
        <v>286</v>
      </c>
      <c r="D1360" s="24" t="s">
        <v>53</v>
      </c>
      <c r="E1360" s="24" t="n">
        <v>415</v>
      </c>
      <c r="F1360" s="25" t="n">
        <v>7000</v>
      </c>
      <c r="G1360" s="24" t="s">
        <v>79</v>
      </c>
      <c r="H1360" s="24" t="s">
        <v>55</v>
      </c>
      <c r="I1360" s="24" t="s">
        <v>61</v>
      </c>
      <c r="J1360" s="26" t="n">
        <f aca="false">IF(A1360="","",YEAR(A1360))</f>
        <v>2026</v>
      </c>
      <c r="K1360" s="26" t="n">
        <f aca="false">IF(A1360="","",MONTH(A1360))</f>
        <v>1</v>
      </c>
      <c r="L1360" s="26" t="n">
        <f aca="false">IF(B1360="","",VALUE(LEFT(B1360,2)))</f>
        <v>12</v>
      </c>
      <c r="M1360" s="26" t="n">
        <f aca="false">IF(A1360="","",IF(COUNTIFS($C$2:$C$5001,C1360,$J$2:$J$5001,J1360,$A$2:$A$5001,"&lt;"&amp;A1360)=0,1,0))</f>
        <v>1</v>
      </c>
    </row>
    <row r="1361" customFormat="false" ht="15" hidden="false" customHeight="false" outlineLevel="0" collapsed="false">
      <c r="A1361" s="23" t="n">
        <v>46033.975</v>
      </c>
      <c r="B1361" s="24" t="s">
        <v>909</v>
      </c>
      <c r="C1361" s="24" t="s">
        <v>519</v>
      </c>
      <c r="D1361" s="24" t="s">
        <v>53</v>
      </c>
      <c r="E1361" s="24" t="n">
        <v>146</v>
      </c>
      <c r="F1361" s="25" t="n">
        <v>2500</v>
      </c>
      <c r="G1361" s="24" t="s">
        <v>69</v>
      </c>
      <c r="H1361" s="24" t="s">
        <v>55</v>
      </c>
      <c r="I1361" s="24" t="s">
        <v>61</v>
      </c>
      <c r="J1361" s="26" t="n">
        <f aca="false">IF(A1361="","",YEAR(A1361))</f>
        <v>2026</v>
      </c>
      <c r="K1361" s="26" t="n">
        <f aca="false">IF(A1361="","",MONTH(A1361))</f>
        <v>1</v>
      </c>
      <c r="L1361" s="26" t="n">
        <f aca="false">IF(B1361="","",VALUE(LEFT(B1361,2)))</f>
        <v>20</v>
      </c>
      <c r="M1361" s="26" t="n">
        <f aca="false">IF(A1361="","",IF(COUNTIFS($C$2:$C$5001,C1361,$J$2:$J$5001,J1361,$A$2:$A$5001,"&lt;"&amp;A1361)=0,1,0))</f>
        <v>0</v>
      </c>
    </row>
    <row r="1362" customFormat="false" ht="15" hidden="false" customHeight="false" outlineLevel="0" collapsed="false">
      <c r="A1362" s="23" t="n">
        <v>46034.3333333333</v>
      </c>
      <c r="B1362" s="24" t="s">
        <v>349</v>
      </c>
      <c r="C1362" s="24" t="s">
        <v>389</v>
      </c>
      <c r="D1362" s="24" t="s">
        <v>53</v>
      </c>
      <c r="E1362" s="24" t="n">
        <v>32</v>
      </c>
      <c r="F1362" s="25" t="n">
        <v>1000</v>
      </c>
      <c r="G1362" s="24" t="s">
        <v>69</v>
      </c>
      <c r="H1362" s="24" t="s">
        <v>80</v>
      </c>
      <c r="I1362" s="24" t="s">
        <v>61</v>
      </c>
      <c r="J1362" s="26" t="n">
        <f aca="false">IF(A1362="","",YEAR(A1362))</f>
        <v>2026</v>
      </c>
      <c r="K1362" s="26" t="n">
        <f aca="false">IF(A1362="","",MONTH(A1362))</f>
        <v>1</v>
      </c>
      <c r="L1362" s="26" t="n">
        <f aca="false">IF(B1362="","",VALUE(LEFT(B1362,2)))</f>
        <v>7</v>
      </c>
      <c r="M1362" s="26" t="n">
        <f aca="false">IF(A1362="","",IF(COUNTIFS($C$2:$C$5001,C1362,$J$2:$J$5001,J1362,$A$2:$A$5001,"&lt;"&amp;A1362)=0,1,0))</f>
        <v>1</v>
      </c>
    </row>
    <row r="1363" customFormat="false" ht="15" hidden="false" customHeight="false" outlineLevel="0" collapsed="false">
      <c r="A1363" s="23" t="n">
        <v>46034.5298611111</v>
      </c>
      <c r="B1363" s="24" t="s">
        <v>624</v>
      </c>
      <c r="C1363" s="24" t="s">
        <v>910</v>
      </c>
      <c r="D1363" s="24" t="s">
        <v>66</v>
      </c>
      <c r="E1363" s="24" t="n">
        <v>251</v>
      </c>
      <c r="F1363" s="25" t="n">
        <v>0</v>
      </c>
      <c r="G1363" s="24" t="s">
        <v>59</v>
      </c>
      <c r="H1363" s="24" t="s">
        <v>55</v>
      </c>
      <c r="I1363" s="24" t="s">
        <v>56</v>
      </c>
      <c r="J1363" s="26" t="n">
        <f aca="false">IF(A1363="","",YEAR(A1363))</f>
        <v>2026</v>
      </c>
      <c r="K1363" s="26" t="n">
        <f aca="false">IF(A1363="","",MONTH(A1363))</f>
        <v>1</v>
      </c>
      <c r="L1363" s="26" t="n">
        <f aca="false">IF(B1363="","",VALUE(LEFT(B1363,2)))</f>
        <v>8</v>
      </c>
      <c r="M1363" s="26" t="n">
        <f aca="false">IF(A1363="","",IF(COUNTIFS($C$2:$C$5001,C1363,$J$2:$J$5001,J1363,$A$2:$A$5001,"&lt;"&amp;A1363)=0,1,0))</f>
        <v>1</v>
      </c>
    </row>
    <row r="1364" customFormat="false" ht="15" hidden="false" customHeight="false" outlineLevel="0" collapsed="false">
      <c r="A1364" s="23" t="n">
        <v>46034.6631944445</v>
      </c>
      <c r="B1364" s="24" t="s">
        <v>466</v>
      </c>
      <c r="C1364" s="24" t="s">
        <v>58</v>
      </c>
      <c r="D1364" s="24" t="s">
        <v>88</v>
      </c>
      <c r="E1364" s="24" t="n">
        <v>401</v>
      </c>
      <c r="F1364" s="25" t="n">
        <v>21000</v>
      </c>
      <c r="G1364" s="24" t="s">
        <v>69</v>
      </c>
      <c r="H1364" s="24" t="s">
        <v>80</v>
      </c>
      <c r="I1364" s="24" t="s">
        <v>61</v>
      </c>
      <c r="J1364" s="26" t="n">
        <f aca="false">IF(A1364="","",YEAR(A1364))</f>
        <v>2026</v>
      </c>
      <c r="K1364" s="26" t="n">
        <f aca="false">IF(A1364="","",MONTH(A1364))</f>
        <v>1</v>
      </c>
      <c r="L1364" s="26" t="n">
        <f aca="false">IF(B1364="","",VALUE(LEFT(B1364,2)))</f>
        <v>9</v>
      </c>
      <c r="M1364" s="26" t="n">
        <f aca="false">IF(A1364="","",IF(COUNTIFS($C$2:$C$5001,C1364,$J$2:$J$5001,J1364,$A$2:$A$5001,"&lt;"&amp;A1364)=0,1,0))</f>
        <v>1</v>
      </c>
    </row>
    <row r="1365" customFormat="false" ht="15" hidden="false" customHeight="false" outlineLevel="0" collapsed="false">
      <c r="A1365" s="23" t="n">
        <v>46034.7097222222</v>
      </c>
      <c r="B1365" s="24" t="s">
        <v>146</v>
      </c>
      <c r="C1365" s="24" t="s">
        <v>52</v>
      </c>
      <c r="D1365" s="24" t="s">
        <v>66</v>
      </c>
      <c r="E1365" s="24" t="n">
        <v>21</v>
      </c>
      <c r="F1365" s="25" t="n">
        <v>1000</v>
      </c>
      <c r="G1365" s="24" t="s">
        <v>83</v>
      </c>
      <c r="H1365" s="24" t="s">
        <v>80</v>
      </c>
      <c r="I1365" s="24" t="s">
        <v>61</v>
      </c>
      <c r="J1365" s="26" t="n">
        <f aca="false">IF(A1365="","",YEAR(A1365))</f>
        <v>2026</v>
      </c>
      <c r="K1365" s="26" t="n">
        <f aca="false">IF(A1365="","",MONTH(A1365))</f>
        <v>1</v>
      </c>
      <c r="L1365" s="26" t="n">
        <f aca="false">IF(B1365="","",VALUE(LEFT(B1365,2)))</f>
        <v>16</v>
      </c>
      <c r="M1365" s="26" t="n">
        <f aca="false">IF(A1365="","",IF(COUNTIFS($C$2:$C$5001,C1365,$J$2:$J$5001,J1365,$A$2:$A$5001,"&lt;"&amp;A1365)=0,1,0))</f>
        <v>1</v>
      </c>
    </row>
    <row r="1366" customFormat="false" ht="15" hidden="false" customHeight="false" outlineLevel="0" collapsed="false">
      <c r="A1366" s="23" t="n">
        <v>46034.7173611111</v>
      </c>
      <c r="B1366" s="24" t="s">
        <v>249</v>
      </c>
      <c r="C1366" s="24" t="s">
        <v>164</v>
      </c>
      <c r="D1366" s="24" t="s">
        <v>66</v>
      </c>
      <c r="E1366" s="24" t="n">
        <v>302</v>
      </c>
      <c r="F1366" s="25" t="n">
        <v>11000</v>
      </c>
      <c r="G1366" s="24" t="s">
        <v>59</v>
      </c>
      <c r="H1366" s="24" t="s">
        <v>60</v>
      </c>
      <c r="I1366" s="24" t="s">
        <v>61</v>
      </c>
      <c r="J1366" s="26" t="n">
        <f aca="false">IF(A1366="","",YEAR(A1366))</f>
        <v>2026</v>
      </c>
      <c r="K1366" s="26" t="n">
        <f aca="false">IF(A1366="","",MONTH(A1366))</f>
        <v>1</v>
      </c>
      <c r="L1366" s="26" t="n">
        <f aca="false">IF(B1366="","",VALUE(LEFT(B1366,2)))</f>
        <v>12</v>
      </c>
      <c r="M1366" s="26" t="n">
        <f aca="false">IF(A1366="","",IF(COUNTIFS($C$2:$C$5001,C1366,$J$2:$J$5001,J1366,$A$2:$A$5001,"&lt;"&amp;A1366)=0,1,0))</f>
        <v>1</v>
      </c>
    </row>
    <row r="1367" customFormat="false" ht="15" hidden="false" customHeight="false" outlineLevel="0" collapsed="false">
      <c r="A1367" s="23" t="n">
        <v>46034.9256944444</v>
      </c>
      <c r="B1367" s="24" t="s">
        <v>911</v>
      </c>
      <c r="C1367" s="24" t="s">
        <v>186</v>
      </c>
      <c r="D1367" s="24" t="s">
        <v>53</v>
      </c>
      <c r="E1367" s="24" t="n">
        <v>416</v>
      </c>
      <c r="F1367" s="25" t="n">
        <v>7000</v>
      </c>
      <c r="G1367" s="24" t="s">
        <v>83</v>
      </c>
      <c r="H1367" s="24" t="s">
        <v>55</v>
      </c>
      <c r="I1367" s="24" t="s">
        <v>61</v>
      </c>
      <c r="J1367" s="26" t="n">
        <f aca="false">IF(A1367="","",YEAR(A1367))</f>
        <v>2026</v>
      </c>
      <c r="K1367" s="26" t="n">
        <f aca="false">IF(A1367="","",MONTH(A1367))</f>
        <v>1</v>
      </c>
      <c r="L1367" s="26" t="n">
        <f aca="false">IF(B1367="","",VALUE(LEFT(B1367,2)))</f>
        <v>15</v>
      </c>
      <c r="M1367" s="26" t="n">
        <f aca="false">IF(A1367="","",IF(COUNTIFS($C$2:$C$5001,C1367,$J$2:$J$5001,J1367,$A$2:$A$5001,"&lt;"&amp;A1367)=0,1,0))</f>
        <v>1</v>
      </c>
    </row>
    <row r="1368" customFormat="false" ht="15" hidden="false" customHeight="false" outlineLevel="0" collapsed="false">
      <c r="A1368" s="23" t="n">
        <v>46036.5951388889</v>
      </c>
      <c r="B1368" s="24" t="s">
        <v>912</v>
      </c>
      <c r="C1368" s="24" t="s">
        <v>188</v>
      </c>
      <c r="D1368" s="24" t="s">
        <v>53</v>
      </c>
      <c r="E1368" s="24" t="n">
        <v>370</v>
      </c>
      <c r="F1368" s="25" t="n">
        <v>6500</v>
      </c>
      <c r="G1368" s="24" t="s">
        <v>69</v>
      </c>
      <c r="H1368" s="24" t="s">
        <v>80</v>
      </c>
      <c r="I1368" s="24" t="s">
        <v>61</v>
      </c>
      <c r="J1368" s="26" t="n">
        <f aca="false">IF(A1368="","",YEAR(A1368))</f>
        <v>2026</v>
      </c>
      <c r="K1368" s="26" t="n">
        <f aca="false">IF(A1368="","",MONTH(A1368))</f>
        <v>1</v>
      </c>
      <c r="L1368" s="26" t="n">
        <f aca="false">IF(B1368="","",VALUE(LEFT(B1368,2)))</f>
        <v>8</v>
      </c>
      <c r="M1368" s="26" t="n">
        <f aca="false">IF(A1368="","",IF(COUNTIFS($C$2:$C$5001,C1368,$J$2:$J$5001,J1368,$A$2:$A$5001,"&lt;"&amp;A1368)=0,1,0))</f>
        <v>1</v>
      </c>
    </row>
    <row r="1369" customFormat="false" ht="15" hidden="false" customHeight="false" outlineLevel="0" collapsed="false">
      <c r="A1369" s="23" t="n">
        <v>46036.7416666667</v>
      </c>
      <c r="B1369" s="24" t="s">
        <v>913</v>
      </c>
      <c r="C1369" s="24" t="s">
        <v>136</v>
      </c>
      <c r="D1369" s="24" t="s">
        <v>66</v>
      </c>
      <c r="E1369" s="24" t="n">
        <v>57</v>
      </c>
      <c r="F1369" s="25" t="n">
        <v>2000</v>
      </c>
      <c r="G1369" s="24" t="s">
        <v>69</v>
      </c>
      <c r="H1369" s="24" t="s">
        <v>80</v>
      </c>
      <c r="I1369" s="24" t="s">
        <v>61</v>
      </c>
      <c r="J1369" s="26" t="n">
        <f aca="false">IF(A1369="","",YEAR(A1369))</f>
        <v>2026</v>
      </c>
      <c r="K1369" s="26" t="n">
        <f aca="false">IF(A1369="","",MONTH(A1369))</f>
        <v>1</v>
      </c>
      <c r="L1369" s="26" t="n">
        <f aca="false">IF(B1369="","",VALUE(LEFT(B1369,2)))</f>
        <v>16</v>
      </c>
      <c r="M1369" s="26" t="n">
        <f aca="false">IF(A1369="","",IF(COUNTIFS($C$2:$C$5001,C1369,$J$2:$J$5001,J1369,$A$2:$A$5001,"&lt;"&amp;A1369)=0,1,0))</f>
        <v>1</v>
      </c>
    </row>
    <row r="1370" customFormat="false" ht="15" hidden="false" customHeight="false" outlineLevel="0" collapsed="false">
      <c r="A1370" s="23" t="n">
        <v>46036.7625</v>
      </c>
      <c r="B1370" s="24" t="s">
        <v>402</v>
      </c>
      <c r="C1370" s="24" t="s">
        <v>213</v>
      </c>
      <c r="D1370" s="24" t="s">
        <v>66</v>
      </c>
      <c r="E1370" s="24" t="n">
        <v>43</v>
      </c>
      <c r="F1370" s="25" t="n">
        <v>2000</v>
      </c>
      <c r="G1370" s="24" t="s">
        <v>54</v>
      </c>
      <c r="H1370" s="24" t="s">
        <v>80</v>
      </c>
      <c r="I1370" s="24" t="s">
        <v>61</v>
      </c>
      <c r="J1370" s="26" t="n">
        <f aca="false">IF(A1370="","",YEAR(A1370))</f>
        <v>2026</v>
      </c>
      <c r="K1370" s="26" t="n">
        <f aca="false">IF(A1370="","",MONTH(A1370))</f>
        <v>1</v>
      </c>
      <c r="L1370" s="26" t="n">
        <f aca="false">IF(B1370="","",VALUE(LEFT(B1370,2)))</f>
        <v>17</v>
      </c>
      <c r="M1370" s="26" t="n">
        <f aca="false">IF(A1370="","",IF(COUNTIFS($C$2:$C$5001,C1370,$J$2:$J$5001,J1370,$A$2:$A$5001,"&lt;"&amp;A1370)=0,1,0))</f>
        <v>1</v>
      </c>
    </row>
    <row r="1371" customFormat="false" ht="15" hidden="false" customHeight="false" outlineLevel="0" collapsed="false">
      <c r="A1371" s="23" t="n">
        <v>46036.8319444444</v>
      </c>
      <c r="B1371" s="24" t="s">
        <v>514</v>
      </c>
      <c r="C1371" s="24" t="s">
        <v>164</v>
      </c>
      <c r="D1371" s="24" t="s">
        <v>66</v>
      </c>
      <c r="E1371" s="24" t="n">
        <v>133</v>
      </c>
      <c r="F1371" s="25" t="n">
        <v>5000</v>
      </c>
      <c r="G1371" s="24" t="s">
        <v>59</v>
      </c>
      <c r="H1371" s="24" t="s">
        <v>55</v>
      </c>
      <c r="I1371" s="24" t="s">
        <v>61</v>
      </c>
      <c r="J1371" s="26" t="n">
        <f aca="false">IF(A1371="","",YEAR(A1371))</f>
        <v>2026</v>
      </c>
      <c r="K1371" s="26" t="n">
        <f aca="false">IF(A1371="","",MONTH(A1371))</f>
        <v>1</v>
      </c>
      <c r="L1371" s="26" t="n">
        <f aca="false">IF(B1371="","",VALUE(LEFT(B1371,2)))</f>
        <v>17</v>
      </c>
      <c r="M1371" s="26" t="n">
        <f aca="false">IF(A1371="","",IF(COUNTIFS($C$2:$C$5001,C1371,$J$2:$J$5001,J1371,$A$2:$A$5001,"&lt;"&amp;A1371)=0,1,0))</f>
        <v>0</v>
      </c>
    </row>
    <row r="1372" customFormat="false" ht="15" hidden="false" customHeight="false" outlineLevel="0" collapsed="false">
      <c r="A1372" s="23" t="n">
        <v>46036.8611111111</v>
      </c>
      <c r="B1372" s="24" t="s">
        <v>200</v>
      </c>
      <c r="C1372" s="24" t="s">
        <v>138</v>
      </c>
      <c r="D1372" s="24" t="s">
        <v>66</v>
      </c>
      <c r="E1372" s="24" t="n">
        <v>194</v>
      </c>
      <c r="F1372" s="25" t="n">
        <v>7000</v>
      </c>
      <c r="G1372" s="24" t="s">
        <v>79</v>
      </c>
      <c r="H1372" s="24" t="s">
        <v>80</v>
      </c>
      <c r="I1372" s="24" t="s">
        <v>61</v>
      </c>
      <c r="J1372" s="26" t="n">
        <f aca="false">IF(A1372="","",YEAR(A1372))</f>
        <v>2026</v>
      </c>
      <c r="K1372" s="26" t="n">
        <f aca="false">IF(A1372="","",MONTH(A1372))</f>
        <v>1</v>
      </c>
      <c r="L1372" s="26" t="n">
        <f aca="false">IF(B1372="","",VALUE(LEFT(B1372,2)))</f>
        <v>17</v>
      </c>
      <c r="M1372" s="26" t="n">
        <f aca="false">IF(A1372="","",IF(COUNTIFS($C$2:$C$5001,C1372,$J$2:$J$5001,J1372,$A$2:$A$5001,"&lt;"&amp;A1372)=0,1,0))</f>
        <v>1</v>
      </c>
    </row>
    <row r="1373" customFormat="false" ht="15" hidden="false" customHeight="false" outlineLevel="0" collapsed="false">
      <c r="A1373" s="23" t="n">
        <v>46036.9743055556</v>
      </c>
      <c r="B1373" s="24" t="s">
        <v>583</v>
      </c>
      <c r="C1373" s="24" t="s">
        <v>203</v>
      </c>
      <c r="D1373" s="24" t="s">
        <v>66</v>
      </c>
      <c r="E1373" s="24" t="n">
        <v>299</v>
      </c>
      <c r="F1373" s="25" t="n">
        <v>8500</v>
      </c>
      <c r="G1373" s="24" t="s">
        <v>59</v>
      </c>
      <c r="H1373" s="24" t="s">
        <v>55</v>
      </c>
      <c r="I1373" s="24" t="s">
        <v>113</v>
      </c>
      <c r="J1373" s="26" t="n">
        <f aca="false">IF(A1373="","",YEAR(A1373))</f>
        <v>2026</v>
      </c>
      <c r="K1373" s="26" t="n">
        <f aca="false">IF(A1373="","",MONTH(A1373))</f>
        <v>1</v>
      </c>
      <c r="L1373" s="26" t="n">
        <f aca="false">IF(B1373="","",VALUE(LEFT(B1373,2)))</f>
        <v>18</v>
      </c>
      <c r="M1373" s="26" t="n">
        <f aca="false">IF(A1373="","",IF(COUNTIFS($C$2:$C$5001,C1373,$J$2:$J$5001,J1373,$A$2:$A$5001,"&lt;"&amp;A1373)=0,1,0))</f>
        <v>1</v>
      </c>
    </row>
    <row r="1374" customFormat="false" ht="15" hidden="false" customHeight="false" outlineLevel="0" collapsed="false">
      <c r="A1374" s="23" t="n">
        <v>46037.7784722222</v>
      </c>
      <c r="B1374" s="24" t="s">
        <v>914</v>
      </c>
      <c r="C1374" s="24" t="s">
        <v>145</v>
      </c>
      <c r="D1374" s="24" t="s">
        <v>66</v>
      </c>
      <c r="E1374" s="24" t="n">
        <v>43</v>
      </c>
      <c r="F1374" s="25" t="n">
        <v>2000</v>
      </c>
      <c r="G1374" s="24" t="s">
        <v>69</v>
      </c>
      <c r="H1374" s="24" t="s">
        <v>55</v>
      </c>
      <c r="I1374" s="24" t="s">
        <v>61</v>
      </c>
      <c r="J1374" s="26" t="n">
        <f aca="false">IF(A1374="","",YEAR(A1374))</f>
        <v>2026</v>
      </c>
      <c r="K1374" s="26" t="n">
        <f aca="false">IF(A1374="","",MONTH(A1374))</f>
        <v>1</v>
      </c>
      <c r="L1374" s="26" t="n">
        <f aca="false">IF(B1374="","",VALUE(LEFT(B1374,2)))</f>
        <v>17</v>
      </c>
      <c r="M1374" s="26" t="n">
        <f aca="false">IF(A1374="","",IF(COUNTIFS($C$2:$C$5001,C1374,$J$2:$J$5001,J1374,$A$2:$A$5001,"&lt;"&amp;A1374)=0,1,0))</f>
        <v>1</v>
      </c>
    </row>
    <row r="1375" customFormat="false" ht="15" hidden="false" customHeight="false" outlineLevel="0" collapsed="false">
      <c r="A1375" s="23" t="n">
        <v>46037.7881944445</v>
      </c>
      <c r="B1375" s="24" t="s">
        <v>612</v>
      </c>
      <c r="C1375" s="24" t="s">
        <v>263</v>
      </c>
      <c r="D1375" s="24" t="s">
        <v>53</v>
      </c>
      <c r="E1375" s="24" t="n">
        <v>167</v>
      </c>
      <c r="F1375" s="25" t="n">
        <v>3000</v>
      </c>
      <c r="G1375" s="24" t="s">
        <v>59</v>
      </c>
      <c r="H1375" s="24" t="s">
        <v>60</v>
      </c>
      <c r="I1375" s="24" t="s">
        <v>61</v>
      </c>
      <c r="J1375" s="26" t="n">
        <f aca="false">IF(A1375="","",YEAR(A1375))</f>
        <v>2026</v>
      </c>
      <c r="K1375" s="26" t="n">
        <f aca="false">IF(A1375="","",MONTH(A1375))</f>
        <v>1</v>
      </c>
      <c r="L1375" s="26" t="n">
        <f aca="false">IF(B1375="","",VALUE(LEFT(B1375,2)))</f>
        <v>16</v>
      </c>
      <c r="M1375" s="26" t="n">
        <f aca="false">IF(A1375="","",IF(COUNTIFS($C$2:$C$5001,C1375,$J$2:$J$5001,J1375,$A$2:$A$5001,"&lt;"&amp;A1375)=0,1,0))</f>
        <v>1</v>
      </c>
    </row>
    <row r="1376" customFormat="false" ht="15" hidden="false" customHeight="false" outlineLevel="0" collapsed="false">
      <c r="A1376" s="23" t="n">
        <v>46037.8791666667</v>
      </c>
      <c r="B1376" s="24" t="s">
        <v>802</v>
      </c>
      <c r="C1376" s="24" t="s">
        <v>129</v>
      </c>
      <c r="D1376" s="24" t="s">
        <v>66</v>
      </c>
      <c r="E1376" s="24" t="n">
        <v>338</v>
      </c>
      <c r="F1376" s="25" t="n">
        <v>12000</v>
      </c>
      <c r="G1376" s="24" t="s">
        <v>69</v>
      </c>
      <c r="H1376" s="24" t="s">
        <v>60</v>
      </c>
      <c r="I1376" s="24" t="s">
        <v>61</v>
      </c>
      <c r="J1376" s="26" t="n">
        <f aca="false">IF(A1376="","",YEAR(A1376))</f>
        <v>2026</v>
      </c>
      <c r="K1376" s="26" t="n">
        <f aca="false">IF(A1376="","",MONTH(A1376))</f>
        <v>1</v>
      </c>
      <c r="L1376" s="26" t="n">
        <f aca="false">IF(B1376="","",VALUE(LEFT(B1376,2)))</f>
        <v>15</v>
      </c>
      <c r="M1376" s="26" t="n">
        <f aca="false">IF(A1376="","",IF(COUNTIFS($C$2:$C$5001,C1376,$J$2:$J$5001,J1376,$A$2:$A$5001,"&lt;"&amp;A1376)=0,1,0))</f>
        <v>1</v>
      </c>
    </row>
    <row r="1377" customFormat="false" ht="15" hidden="false" customHeight="false" outlineLevel="0" collapsed="false">
      <c r="A1377" s="23" t="n">
        <v>46038.4847222222</v>
      </c>
      <c r="B1377" s="24" t="s">
        <v>915</v>
      </c>
      <c r="C1377" s="24" t="s">
        <v>512</v>
      </c>
      <c r="D1377" s="24" t="s">
        <v>53</v>
      </c>
      <c r="E1377" s="24" t="n">
        <v>29</v>
      </c>
      <c r="F1377" s="25" t="n">
        <v>500</v>
      </c>
      <c r="G1377" s="24" t="s">
        <v>69</v>
      </c>
      <c r="H1377" s="24" t="s">
        <v>80</v>
      </c>
      <c r="I1377" s="24" t="s">
        <v>61</v>
      </c>
      <c r="J1377" s="26" t="n">
        <f aca="false">IF(A1377="","",YEAR(A1377))</f>
        <v>2026</v>
      </c>
      <c r="K1377" s="26" t="n">
        <f aca="false">IF(A1377="","",MONTH(A1377))</f>
        <v>1</v>
      </c>
      <c r="L1377" s="26" t="n">
        <f aca="false">IF(B1377="","",VALUE(LEFT(B1377,2)))</f>
        <v>11</v>
      </c>
      <c r="M1377" s="26" t="n">
        <f aca="false">IF(A1377="","",IF(COUNTIFS($C$2:$C$5001,C1377,$J$2:$J$5001,J1377,$A$2:$A$5001,"&lt;"&amp;A1377)=0,1,0))</f>
        <v>0</v>
      </c>
    </row>
    <row r="1378" customFormat="false" ht="15" hidden="false" customHeight="false" outlineLevel="0" collapsed="false">
      <c r="A1378" s="23" t="n">
        <v>46039.6673611111</v>
      </c>
      <c r="B1378" s="24" t="s">
        <v>685</v>
      </c>
      <c r="C1378" s="24" t="s">
        <v>145</v>
      </c>
      <c r="D1378" s="24" t="s">
        <v>66</v>
      </c>
      <c r="E1378" s="24" t="n">
        <v>379</v>
      </c>
      <c r="F1378" s="25" t="n">
        <v>13000</v>
      </c>
      <c r="G1378" s="24" t="s">
        <v>54</v>
      </c>
      <c r="H1378" s="24" t="s">
        <v>60</v>
      </c>
      <c r="I1378" s="24" t="s">
        <v>61</v>
      </c>
      <c r="J1378" s="26" t="n">
        <f aca="false">IF(A1378="","",YEAR(A1378))</f>
        <v>2026</v>
      </c>
      <c r="K1378" s="26" t="n">
        <f aca="false">IF(A1378="","",MONTH(A1378))</f>
        <v>1</v>
      </c>
      <c r="L1378" s="26" t="n">
        <f aca="false">IF(B1378="","",VALUE(LEFT(B1378,2)))</f>
        <v>9</v>
      </c>
      <c r="M1378" s="26" t="n">
        <f aca="false">IF(A1378="","",IF(COUNTIFS($C$2:$C$5001,C1378,$J$2:$J$5001,J1378,$A$2:$A$5001,"&lt;"&amp;A1378)=0,1,0))</f>
        <v>0</v>
      </c>
    </row>
    <row r="1379" customFormat="false" ht="15" hidden="false" customHeight="false" outlineLevel="0" collapsed="false">
      <c r="A1379" s="23" t="n">
        <v>46039.6791666667</v>
      </c>
      <c r="B1379" s="24" t="s">
        <v>676</v>
      </c>
      <c r="C1379" s="24" t="s">
        <v>156</v>
      </c>
      <c r="D1379" s="24" t="s">
        <v>53</v>
      </c>
      <c r="E1379" s="24" t="n">
        <v>227</v>
      </c>
      <c r="F1379" s="25" t="n">
        <v>4000</v>
      </c>
      <c r="G1379" s="24" t="s">
        <v>69</v>
      </c>
      <c r="H1379" s="24" t="s">
        <v>80</v>
      </c>
      <c r="I1379" s="24" t="s">
        <v>61</v>
      </c>
      <c r="J1379" s="26" t="n">
        <f aca="false">IF(A1379="","",YEAR(A1379))</f>
        <v>2026</v>
      </c>
      <c r="K1379" s="26" t="n">
        <f aca="false">IF(A1379="","",MONTH(A1379))</f>
        <v>1</v>
      </c>
      <c r="L1379" s="26" t="n">
        <f aca="false">IF(B1379="","",VALUE(LEFT(B1379,2)))</f>
        <v>12</v>
      </c>
      <c r="M1379" s="26" t="n">
        <f aca="false">IF(A1379="","",IF(COUNTIFS($C$2:$C$5001,C1379,$J$2:$J$5001,J1379,$A$2:$A$5001,"&lt;"&amp;A1379)=0,1,0))</f>
        <v>0</v>
      </c>
    </row>
    <row r="1380" customFormat="false" ht="15" hidden="false" customHeight="false" outlineLevel="0" collapsed="false">
      <c r="A1380" s="23" t="n">
        <v>46039.8361111111</v>
      </c>
      <c r="B1380" s="24" t="s">
        <v>440</v>
      </c>
      <c r="C1380" s="24" t="s">
        <v>141</v>
      </c>
      <c r="D1380" s="24" t="s">
        <v>66</v>
      </c>
      <c r="E1380" s="24" t="n">
        <v>136</v>
      </c>
      <c r="F1380" s="25" t="n">
        <v>5000</v>
      </c>
      <c r="G1380" s="24" t="s">
        <v>59</v>
      </c>
      <c r="H1380" s="24" t="s">
        <v>55</v>
      </c>
      <c r="I1380" s="24" t="s">
        <v>61</v>
      </c>
      <c r="J1380" s="26" t="n">
        <f aca="false">IF(A1380="","",YEAR(A1380))</f>
        <v>2026</v>
      </c>
      <c r="K1380" s="26" t="n">
        <f aca="false">IF(A1380="","",MONTH(A1380))</f>
        <v>1</v>
      </c>
      <c r="L1380" s="26" t="n">
        <f aca="false">IF(B1380="","",VALUE(LEFT(B1380,2)))</f>
        <v>17</v>
      </c>
      <c r="M1380" s="26" t="n">
        <f aca="false">IF(A1380="","",IF(COUNTIFS($C$2:$C$5001,C1380,$J$2:$J$5001,J1380,$A$2:$A$5001,"&lt;"&amp;A1380)=0,1,0))</f>
        <v>1</v>
      </c>
    </row>
    <row r="1381" customFormat="false" ht="15" hidden="false" customHeight="false" outlineLevel="0" collapsed="false">
      <c r="A1381" s="23" t="n">
        <v>46040.5326388889</v>
      </c>
      <c r="B1381" s="24" t="s">
        <v>577</v>
      </c>
      <c r="C1381" s="24" t="s">
        <v>63</v>
      </c>
      <c r="D1381" s="24" t="s">
        <v>66</v>
      </c>
      <c r="E1381" s="24" t="n">
        <v>259</v>
      </c>
      <c r="F1381" s="25" t="n">
        <v>9000</v>
      </c>
      <c r="G1381" s="24" t="s">
        <v>59</v>
      </c>
      <c r="H1381" s="24" t="s">
        <v>55</v>
      </c>
      <c r="I1381" s="24" t="s">
        <v>61</v>
      </c>
      <c r="J1381" s="26" t="n">
        <f aca="false">IF(A1381="","",YEAR(A1381))</f>
        <v>2026</v>
      </c>
      <c r="K1381" s="26" t="n">
        <f aca="false">IF(A1381="","",MONTH(A1381))</f>
        <v>1</v>
      </c>
      <c r="L1381" s="26" t="n">
        <f aca="false">IF(B1381="","",VALUE(LEFT(B1381,2)))</f>
        <v>8</v>
      </c>
      <c r="M1381" s="26" t="n">
        <f aca="false">IF(A1381="","",IF(COUNTIFS($C$2:$C$5001,C1381,$J$2:$J$5001,J1381,$A$2:$A$5001,"&lt;"&amp;A1381)=0,1,0))</f>
        <v>1</v>
      </c>
    </row>
    <row r="1382" customFormat="false" ht="15" hidden="false" customHeight="false" outlineLevel="0" collapsed="false">
      <c r="A1382" s="23" t="n">
        <v>46040.5736111111</v>
      </c>
      <c r="B1382" s="24" t="s">
        <v>916</v>
      </c>
      <c r="C1382" s="24" t="s">
        <v>442</v>
      </c>
      <c r="D1382" s="24" t="s">
        <v>66</v>
      </c>
      <c r="E1382" s="24" t="n">
        <v>262</v>
      </c>
      <c r="F1382" s="25" t="n">
        <v>9000</v>
      </c>
      <c r="G1382" s="24" t="s">
        <v>59</v>
      </c>
      <c r="H1382" s="24" t="s">
        <v>80</v>
      </c>
      <c r="I1382" s="24" t="s">
        <v>61</v>
      </c>
      <c r="J1382" s="26" t="n">
        <f aca="false">IF(A1382="","",YEAR(A1382))</f>
        <v>2026</v>
      </c>
      <c r="K1382" s="26" t="n">
        <f aca="false">IF(A1382="","",MONTH(A1382))</f>
        <v>1</v>
      </c>
      <c r="L1382" s="26" t="n">
        <f aca="false">IF(B1382="","",VALUE(LEFT(B1382,2)))</f>
        <v>9</v>
      </c>
      <c r="M1382" s="26" t="n">
        <f aca="false">IF(A1382="","",IF(COUNTIFS($C$2:$C$5001,C1382,$J$2:$J$5001,J1382,$A$2:$A$5001,"&lt;"&amp;A1382)=0,1,0))</f>
        <v>0</v>
      </c>
    </row>
    <row r="1383" customFormat="false" ht="15" hidden="false" customHeight="false" outlineLevel="0" collapsed="false">
      <c r="A1383" s="23" t="n">
        <v>46040.6638888889</v>
      </c>
      <c r="B1383" s="24" t="s">
        <v>157</v>
      </c>
      <c r="C1383" s="24" t="s">
        <v>182</v>
      </c>
      <c r="D1383" s="24" t="s">
        <v>53</v>
      </c>
      <c r="E1383" s="24" t="n">
        <v>32</v>
      </c>
      <c r="F1383" s="25" t="n">
        <v>1000</v>
      </c>
      <c r="G1383" s="24" t="s">
        <v>59</v>
      </c>
      <c r="H1383" s="24" t="s">
        <v>60</v>
      </c>
      <c r="I1383" s="24" t="s">
        <v>61</v>
      </c>
      <c r="J1383" s="26" t="n">
        <f aca="false">IF(A1383="","",YEAR(A1383))</f>
        <v>2026</v>
      </c>
      <c r="K1383" s="26" t="n">
        <f aca="false">IF(A1383="","",MONTH(A1383))</f>
        <v>1</v>
      </c>
      <c r="L1383" s="26" t="n">
        <f aca="false">IF(B1383="","",VALUE(LEFT(B1383,2)))</f>
        <v>15</v>
      </c>
      <c r="M1383" s="26" t="n">
        <f aca="false">IF(A1383="","",IF(COUNTIFS($C$2:$C$5001,C1383,$J$2:$J$5001,J1383,$A$2:$A$5001,"&lt;"&amp;A1383)=0,1,0))</f>
        <v>0</v>
      </c>
    </row>
    <row r="1384" customFormat="false" ht="15" hidden="false" customHeight="false" outlineLevel="0" collapsed="false">
      <c r="A1384" s="23" t="n">
        <v>46040.8354166667</v>
      </c>
      <c r="B1384" s="24" t="s">
        <v>792</v>
      </c>
      <c r="C1384" s="24" t="s">
        <v>179</v>
      </c>
      <c r="D1384" s="24" t="s">
        <v>127</v>
      </c>
      <c r="E1384" s="24" t="n">
        <v>331</v>
      </c>
      <c r="F1384" s="25" t="n">
        <v>21000</v>
      </c>
      <c r="G1384" s="24" t="s">
        <v>69</v>
      </c>
      <c r="H1384" s="24" t="s">
        <v>55</v>
      </c>
      <c r="I1384" s="24" t="s">
        <v>61</v>
      </c>
      <c r="J1384" s="26" t="n">
        <f aca="false">IF(A1384="","",YEAR(A1384))</f>
        <v>2026</v>
      </c>
      <c r="K1384" s="26" t="n">
        <f aca="false">IF(A1384="","",MONTH(A1384))</f>
        <v>1</v>
      </c>
      <c r="L1384" s="26" t="n">
        <f aca="false">IF(B1384="","",VALUE(LEFT(B1384,2)))</f>
        <v>14</v>
      </c>
      <c r="M1384" s="26" t="n">
        <f aca="false">IF(A1384="","",IF(COUNTIFS($C$2:$C$5001,C1384,$J$2:$J$5001,J1384,$A$2:$A$5001,"&lt;"&amp;A1384)=0,1,0))</f>
        <v>1</v>
      </c>
    </row>
    <row r="1385" customFormat="false" ht="15" hidden="false" customHeight="false" outlineLevel="0" collapsed="false">
      <c r="A1385" s="23" t="n">
        <v>46040.8840277778</v>
      </c>
      <c r="B1385" s="24" t="s">
        <v>488</v>
      </c>
      <c r="C1385" s="24" t="s">
        <v>110</v>
      </c>
      <c r="D1385" s="24" t="s">
        <v>66</v>
      </c>
      <c r="E1385" s="24" t="n">
        <v>147</v>
      </c>
      <c r="F1385" s="25" t="n">
        <v>4250</v>
      </c>
      <c r="G1385" s="24" t="s">
        <v>69</v>
      </c>
      <c r="H1385" s="24" t="s">
        <v>55</v>
      </c>
      <c r="I1385" s="24" t="s">
        <v>113</v>
      </c>
      <c r="J1385" s="26" t="n">
        <f aca="false">IF(A1385="","",YEAR(A1385))</f>
        <v>2026</v>
      </c>
      <c r="K1385" s="26" t="n">
        <f aca="false">IF(A1385="","",MONTH(A1385))</f>
        <v>1</v>
      </c>
      <c r="L1385" s="26" t="n">
        <f aca="false">IF(B1385="","",VALUE(LEFT(B1385,2)))</f>
        <v>18</v>
      </c>
      <c r="M1385" s="26" t="n">
        <f aca="false">IF(A1385="","",IF(COUNTIFS($C$2:$C$5001,C1385,$J$2:$J$5001,J1385,$A$2:$A$5001,"&lt;"&amp;A1385)=0,1,0))</f>
        <v>0</v>
      </c>
    </row>
    <row r="1386" customFormat="false" ht="15" hidden="false" customHeight="false" outlineLevel="0" collapsed="false">
      <c r="A1386" s="23" t="n">
        <v>46041.3340277778</v>
      </c>
      <c r="B1386" s="24" t="s">
        <v>917</v>
      </c>
      <c r="C1386" s="24" t="s">
        <v>74</v>
      </c>
      <c r="D1386" s="24" t="s">
        <v>66</v>
      </c>
      <c r="E1386" s="24" t="n">
        <v>71</v>
      </c>
      <c r="F1386" s="25" t="n">
        <v>3000</v>
      </c>
      <c r="G1386" s="24" t="s">
        <v>59</v>
      </c>
      <c r="H1386" s="24" t="s">
        <v>55</v>
      </c>
      <c r="I1386" s="24" t="s">
        <v>61</v>
      </c>
      <c r="J1386" s="26" t="n">
        <f aca="false">IF(A1386="","",YEAR(A1386))</f>
        <v>2026</v>
      </c>
      <c r="K1386" s="26" t="n">
        <f aca="false">IF(A1386="","",MONTH(A1386))</f>
        <v>1</v>
      </c>
      <c r="L1386" s="26" t="n">
        <f aca="false">IF(B1386="","",VALUE(LEFT(B1386,2)))</f>
        <v>6</v>
      </c>
      <c r="M1386" s="26" t="n">
        <f aca="false">IF(A1386="","",IF(COUNTIFS($C$2:$C$5001,C1386,$J$2:$J$5001,J1386,$A$2:$A$5001,"&lt;"&amp;A1386)=0,1,0))</f>
        <v>1</v>
      </c>
    </row>
    <row r="1387" customFormat="false" ht="15" hidden="false" customHeight="false" outlineLevel="0" collapsed="false">
      <c r="A1387" s="23" t="n">
        <v>46041.3798611111</v>
      </c>
      <c r="B1387" s="24" t="s">
        <v>677</v>
      </c>
      <c r="C1387" s="24" t="s">
        <v>201</v>
      </c>
      <c r="D1387" s="24" t="s">
        <v>66</v>
      </c>
      <c r="E1387" s="24" t="n">
        <v>163</v>
      </c>
      <c r="F1387" s="25" t="n">
        <v>6000</v>
      </c>
      <c r="G1387" s="24" t="s">
        <v>69</v>
      </c>
      <c r="H1387" s="24" t="s">
        <v>60</v>
      </c>
      <c r="I1387" s="24" t="s">
        <v>61</v>
      </c>
      <c r="J1387" s="26" t="n">
        <f aca="false">IF(A1387="","",YEAR(A1387))</f>
        <v>2026</v>
      </c>
      <c r="K1387" s="26" t="n">
        <f aca="false">IF(A1387="","",MONTH(A1387))</f>
        <v>1</v>
      </c>
      <c r="L1387" s="26" t="n">
        <f aca="false">IF(B1387="","",VALUE(LEFT(B1387,2)))</f>
        <v>6</v>
      </c>
      <c r="M1387" s="26" t="n">
        <f aca="false">IF(A1387="","",IF(COUNTIFS($C$2:$C$5001,C1387,$J$2:$J$5001,J1387,$A$2:$A$5001,"&lt;"&amp;A1387)=0,1,0))</f>
        <v>1</v>
      </c>
    </row>
    <row r="1388" customFormat="false" ht="15" hidden="false" customHeight="false" outlineLevel="0" collapsed="false">
      <c r="A1388" s="23" t="n">
        <v>46041.6284722222</v>
      </c>
      <c r="B1388" s="24" t="s">
        <v>326</v>
      </c>
      <c r="C1388" s="24" t="s">
        <v>78</v>
      </c>
      <c r="D1388" s="24" t="s">
        <v>66</v>
      </c>
      <c r="E1388" s="24" t="n">
        <v>353</v>
      </c>
      <c r="F1388" s="25" t="n">
        <v>0</v>
      </c>
      <c r="G1388" s="24" t="s">
        <v>59</v>
      </c>
      <c r="H1388" s="24" t="s">
        <v>55</v>
      </c>
      <c r="I1388" s="24" t="s">
        <v>56</v>
      </c>
      <c r="J1388" s="26" t="n">
        <f aca="false">IF(A1388="","",YEAR(A1388))</f>
        <v>2026</v>
      </c>
      <c r="K1388" s="26" t="n">
        <f aca="false">IF(A1388="","",MONTH(A1388))</f>
        <v>1</v>
      </c>
      <c r="L1388" s="26" t="n">
        <f aca="false">IF(B1388="","",VALUE(LEFT(B1388,2)))</f>
        <v>9</v>
      </c>
      <c r="M1388" s="26" t="n">
        <f aca="false">IF(A1388="","",IF(COUNTIFS($C$2:$C$5001,C1388,$J$2:$J$5001,J1388,$A$2:$A$5001,"&lt;"&amp;A1388)=0,1,0))</f>
        <v>1</v>
      </c>
    </row>
    <row r="1389" customFormat="false" ht="15" hidden="false" customHeight="false" outlineLevel="0" collapsed="false">
      <c r="A1389" s="23" t="n">
        <v>46041.6777777778</v>
      </c>
      <c r="B1389" s="24" t="s">
        <v>918</v>
      </c>
      <c r="C1389" s="24" t="s">
        <v>164</v>
      </c>
      <c r="D1389" s="24" t="s">
        <v>66</v>
      </c>
      <c r="E1389" s="24" t="n">
        <v>118</v>
      </c>
      <c r="F1389" s="25" t="n">
        <v>3400</v>
      </c>
      <c r="G1389" s="24" t="s">
        <v>59</v>
      </c>
      <c r="H1389" s="24" t="s">
        <v>80</v>
      </c>
      <c r="I1389" s="24" t="s">
        <v>113</v>
      </c>
      <c r="J1389" s="26" t="n">
        <f aca="false">IF(A1389="","",YEAR(A1389))</f>
        <v>2026</v>
      </c>
      <c r="K1389" s="26" t="n">
        <f aca="false">IF(A1389="","",MONTH(A1389))</f>
        <v>1</v>
      </c>
      <c r="L1389" s="26" t="n">
        <f aca="false">IF(B1389="","",VALUE(LEFT(B1389,2)))</f>
        <v>14</v>
      </c>
      <c r="M1389" s="26" t="n">
        <f aca="false">IF(A1389="","",IF(COUNTIFS($C$2:$C$5001,C1389,$J$2:$J$5001,J1389,$A$2:$A$5001,"&lt;"&amp;A1389)=0,1,0))</f>
        <v>0</v>
      </c>
    </row>
    <row r="1390" customFormat="false" ht="15" hidden="false" customHeight="false" outlineLevel="0" collapsed="false">
      <c r="A1390" s="23" t="n">
        <v>46041.6826388889</v>
      </c>
      <c r="B1390" s="24" t="s">
        <v>370</v>
      </c>
      <c r="C1390" s="24" t="s">
        <v>467</v>
      </c>
      <c r="D1390" s="24" t="s">
        <v>53</v>
      </c>
      <c r="E1390" s="24" t="n">
        <v>297</v>
      </c>
      <c r="F1390" s="25" t="n">
        <v>5000</v>
      </c>
      <c r="G1390" s="24" t="s">
        <v>59</v>
      </c>
      <c r="H1390" s="24" t="s">
        <v>55</v>
      </c>
      <c r="I1390" s="24" t="s">
        <v>61</v>
      </c>
      <c r="J1390" s="26" t="n">
        <f aca="false">IF(A1390="","",YEAR(A1390))</f>
        <v>2026</v>
      </c>
      <c r="K1390" s="26" t="n">
        <f aca="false">IF(A1390="","",MONTH(A1390))</f>
        <v>1</v>
      </c>
      <c r="L1390" s="26" t="n">
        <f aca="false">IF(B1390="","",VALUE(LEFT(B1390,2)))</f>
        <v>11</v>
      </c>
      <c r="M1390" s="26" t="n">
        <f aca="false">IF(A1390="","",IF(COUNTIFS($C$2:$C$5001,C1390,$J$2:$J$5001,J1390,$A$2:$A$5001,"&lt;"&amp;A1390)=0,1,0))</f>
        <v>0</v>
      </c>
    </row>
    <row r="1391" customFormat="false" ht="15" hidden="false" customHeight="false" outlineLevel="0" collapsed="false">
      <c r="A1391" s="23" t="n">
        <v>46041.9472222222</v>
      </c>
      <c r="B1391" s="24" t="s">
        <v>919</v>
      </c>
      <c r="C1391" s="24" t="s">
        <v>82</v>
      </c>
      <c r="D1391" s="24" t="s">
        <v>66</v>
      </c>
      <c r="E1391" s="24" t="n">
        <v>304</v>
      </c>
      <c r="F1391" s="25" t="n">
        <v>11000</v>
      </c>
      <c r="G1391" s="24" t="s">
        <v>59</v>
      </c>
      <c r="H1391" s="24" t="s">
        <v>80</v>
      </c>
      <c r="I1391" s="24" t="s">
        <v>61</v>
      </c>
      <c r="J1391" s="26" t="n">
        <f aca="false">IF(A1391="","",YEAR(A1391))</f>
        <v>2026</v>
      </c>
      <c r="K1391" s="26" t="n">
        <f aca="false">IF(A1391="","",MONTH(A1391))</f>
        <v>1</v>
      </c>
      <c r="L1391" s="26" t="n">
        <f aca="false">IF(B1391="","",VALUE(LEFT(B1391,2)))</f>
        <v>17</v>
      </c>
      <c r="M1391" s="26" t="n">
        <f aca="false">IF(A1391="","",IF(COUNTIFS($C$2:$C$5001,C1391,$J$2:$J$5001,J1391,$A$2:$A$5001,"&lt;"&amp;A1391)=0,1,0))</f>
        <v>1</v>
      </c>
    </row>
    <row r="1392" customFormat="false" ht="15" hidden="false" customHeight="false" outlineLevel="0" collapsed="false">
      <c r="A1392" s="23" t="n">
        <v>46041.9583333333</v>
      </c>
      <c r="B1392" s="24" t="s">
        <v>579</v>
      </c>
      <c r="C1392" s="24" t="s">
        <v>265</v>
      </c>
      <c r="D1392" s="24" t="s">
        <v>53</v>
      </c>
      <c r="E1392" s="24" t="n">
        <v>155</v>
      </c>
      <c r="F1392" s="25" t="n">
        <v>3000</v>
      </c>
      <c r="G1392" s="24" t="s">
        <v>69</v>
      </c>
      <c r="H1392" s="24" t="s">
        <v>80</v>
      </c>
      <c r="I1392" s="24" t="s">
        <v>61</v>
      </c>
      <c r="J1392" s="26" t="n">
        <f aca="false">IF(A1392="","",YEAR(A1392))</f>
        <v>2026</v>
      </c>
      <c r="K1392" s="26" t="n">
        <f aca="false">IF(A1392="","",MONTH(A1392))</f>
        <v>1</v>
      </c>
      <c r="L1392" s="26" t="n">
        <f aca="false">IF(B1392="","",VALUE(LEFT(B1392,2)))</f>
        <v>20</v>
      </c>
      <c r="M1392" s="26" t="n">
        <f aca="false">IF(A1392="","",IF(COUNTIFS($C$2:$C$5001,C1392,$J$2:$J$5001,J1392,$A$2:$A$5001,"&lt;"&amp;A1392)=0,1,0))</f>
        <v>1</v>
      </c>
    </row>
    <row r="1393" customFormat="false" ht="15" hidden="false" customHeight="false" outlineLevel="0" collapsed="false">
      <c r="A1393" s="23" t="n">
        <v>46042.3965277778</v>
      </c>
      <c r="B1393" s="24" t="s">
        <v>823</v>
      </c>
      <c r="C1393" s="24" t="s">
        <v>701</v>
      </c>
      <c r="D1393" s="24" t="s">
        <v>66</v>
      </c>
      <c r="E1393" s="24" t="n">
        <v>195</v>
      </c>
      <c r="F1393" s="25" t="n">
        <v>7000</v>
      </c>
      <c r="G1393" s="24" t="s">
        <v>59</v>
      </c>
      <c r="H1393" s="24" t="s">
        <v>55</v>
      </c>
      <c r="I1393" s="24" t="s">
        <v>61</v>
      </c>
      <c r="J1393" s="26" t="n">
        <f aca="false">IF(A1393="","",YEAR(A1393))</f>
        <v>2026</v>
      </c>
      <c r="K1393" s="26" t="n">
        <f aca="false">IF(A1393="","",MONTH(A1393))</f>
        <v>1</v>
      </c>
      <c r="L1393" s="26" t="n">
        <f aca="false">IF(B1393="","",VALUE(LEFT(B1393,2)))</f>
        <v>6</v>
      </c>
      <c r="M1393" s="26" t="n">
        <f aca="false">IF(A1393="","",IF(COUNTIFS($C$2:$C$5001,C1393,$J$2:$J$5001,J1393,$A$2:$A$5001,"&lt;"&amp;A1393)=0,1,0))</f>
        <v>1</v>
      </c>
    </row>
    <row r="1394" customFormat="false" ht="15" hidden="false" customHeight="false" outlineLevel="0" collapsed="false">
      <c r="A1394" s="23" t="n">
        <v>46042.4131944445</v>
      </c>
      <c r="B1394" s="24" t="s">
        <v>128</v>
      </c>
      <c r="C1394" s="24" t="s">
        <v>352</v>
      </c>
      <c r="D1394" s="24" t="s">
        <v>53</v>
      </c>
      <c r="E1394" s="24" t="n">
        <v>189</v>
      </c>
      <c r="F1394" s="25" t="n">
        <v>3500</v>
      </c>
      <c r="G1394" s="24" t="s">
        <v>79</v>
      </c>
      <c r="H1394" s="24" t="s">
        <v>60</v>
      </c>
      <c r="I1394" s="24" t="s">
        <v>61</v>
      </c>
      <c r="J1394" s="26" t="n">
        <f aca="false">IF(A1394="","",YEAR(A1394))</f>
        <v>2026</v>
      </c>
      <c r="K1394" s="26" t="n">
        <f aca="false">IF(A1394="","",MONTH(A1394))</f>
        <v>1</v>
      </c>
      <c r="L1394" s="26" t="n">
        <f aca="false">IF(B1394="","",VALUE(LEFT(B1394,2)))</f>
        <v>6</v>
      </c>
      <c r="M1394" s="26" t="n">
        <f aca="false">IF(A1394="","",IF(COUNTIFS($C$2:$C$5001,C1394,$J$2:$J$5001,J1394,$A$2:$A$5001,"&lt;"&amp;A1394)=0,1,0))</f>
        <v>1</v>
      </c>
    </row>
    <row r="1395" customFormat="false" ht="15" hidden="false" customHeight="false" outlineLevel="0" collapsed="false">
      <c r="A1395" s="23" t="n">
        <v>46042.8159722222</v>
      </c>
      <c r="B1395" s="24" t="s">
        <v>920</v>
      </c>
      <c r="C1395" s="24" t="s">
        <v>120</v>
      </c>
      <c r="D1395" s="24" t="s">
        <v>66</v>
      </c>
      <c r="E1395" s="24" t="n">
        <v>248</v>
      </c>
      <c r="F1395" s="25" t="n">
        <v>0</v>
      </c>
      <c r="G1395" s="24" t="s">
        <v>83</v>
      </c>
      <c r="H1395" s="24" t="s">
        <v>80</v>
      </c>
      <c r="I1395" s="24" t="s">
        <v>56</v>
      </c>
      <c r="J1395" s="26" t="n">
        <f aca="false">IF(A1395="","",YEAR(A1395))</f>
        <v>2026</v>
      </c>
      <c r="K1395" s="26" t="n">
        <f aca="false">IF(A1395="","",MONTH(A1395))</f>
        <v>1</v>
      </c>
      <c r="L1395" s="26" t="n">
        <f aca="false">IF(B1395="","",VALUE(LEFT(B1395,2)))</f>
        <v>15</v>
      </c>
      <c r="M1395" s="26" t="n">
        <f aca="false">IF(A1395="","",IF(COUNTIFS($C$2:$C$5001,C1395,$J$2:$J$5001,J1395,$A$2:$A$5001,"&lt;"&amp;A1395)=0,1,0))</f>
        <v>1</v>
      </c>
    </row>
    <row r="1396" customFormat="false" ht="15" hidden="false" customHeight="false" outlineLevel="0" collapsed="false">
      <c r="A1396" s="23" t="n">
        <v>46043.0097222222</v>
      </c>
      <c r="B1396" s="24" t="s">
        <v>124</v>
      </c>
      <c r="C1396" s="24" t="s">
        <v>332</v>
      </c>
      <c r="D1396" s="24" t="s">
        <v>66</v>
      </c>
      <c r="E1396" s="24" t="n">
        <v>214</v>
      </c>
      <c r="F1396" s="25" t="n">
        <v>8000</v>
      </c>
      <c r="G1396" s="24" t="s">
        <v>69</v>
      </c>
      <c r="H1396" s="24" t="s">
        <v>80</v>
      </c>
      <c r="I1396" s="24" t="s">
        <v>61</v>
      </c>
      <c r="J1396" s="26" t="n">
        <f aca="false">IF(A1396="","",YEAR(A1396))</f>
        <v>2026</v>
      </c>
      <c r="K1396" s="26" t="n">
        <f aca="false">IF(A1396="","",MONTH(A1396))</f>
        <v>1</v>
      </c>
      <c r="L1396" s="26" t="n">
        <f aca="false">IF(B1396="","",VALUE(LEFT(B1396,2)))</f>
        <v>20</v>
      </c>
      <c r="M1396" s="26" t="n">
        <f aca="false">IF(A1396="","",IF(COUNTIFS($C$2:$C$5001,C1396,$J$2:$J$5001,J1396,$A$2:$A$5001,"&lt;"&amp;A1396)=0,1,0))</f>
        <v>1</v>
      </c>
    </row>
    <row r="1397" customFormat="false" ht="15" hidden="false" customHeight="false" outlineLevel="0" collapsed="false">
      <c r="A1397" s="23" t="n">
        <v>46043.4381944445</v>
      </c>
      <c r="B1397" s="24" t="s">
        <v>432</v>
      </c>
      <c r="C1397" s="24" t="s">
        <v>138</v>
      </c>
      <c r="D1397" s="24" t="s">
        <v>66</v>
      </c>
      <c r="E1397" s="24" t="n">
        <v>40</v>
      </c>
      <c r="F1397" s="25" t="n">
        <v>2000</v>
      </c>
      <c r="G1397" s="24" t="s">
        <v>54</v>
      </c>
      <c r="H1397" s="24" t="s">
        <v>80</v>
      </c>
      <c r="I1397" s="24" t="s">
        <v>61</v>
      </c>
      <c r="J1397" s="26" t="n">
        <f aca="false">IF(A1397="","",YEAR(A1397))</f>
        <v>2026</v>
      </c>
      <c r="K1397" s="26" t="n">
        <f aca="false">IF(A1397="","",MONTH(A1397))</f>
        <v>1</v>
      </c>
      <c r="L1397" s="26" t="n">
        <f aca="false">IF(B1397="","",VALUE(LEFT(B1397,2)))</f>
        <v>9</v>
      </c>
      <c r="M1397" s="26" t="n">
        <f aca="false">IF(A1397="","",IF(COUNTIFS($C$2:$C$5001,C1397,$J$2:$J$5001,J1397,$A$2:$A$5001,"&lt;"&amp;A1397)=0,1,0))</f>
        <v>0</v>
      </c>
    </row>
    <row r="1398" customFormat="false" ht="15" hidden="false" customHeight="false" outlineLevel="0" collapsed="false">
      <c r="A1398" s="23" t="n">
        <v>46043.9173611111</v>
      </c>
      <c r="B1398" s="24" t="s">
        <v>841</v>
      </c>
      <c r="C1398" s="24" t="s">
        <v>68</v>
      </c>
      <c r="D1398" s="24" t="s">
        <v>66</v>
      </c>
      <c r="E1398" s="24" t="n">
        <v>191</v>
      </c>
      <c r="F1398" s="25" t="n">
        <v>7000</v>
      </c>
      <c r="G1398" s="24" t="s">
        <v>59</v>
      </c>
      <c r="H1398" s="24" t="s">
        <v>60</v>
      </c>
      <c r="I1398" s="24" t="s">
        <v>61</v>
      </c>
      <c r="J1398" s="26" t="n">
        <f aca="false">IF(A1398="","",YEAR(A1398))</f>
        <v>2026</v>
      </c>
      <c r="K1398" s="26" t="n">
        <f aca="false">IF(A1398="","",MONTH(A1398))</f>
        <v>1</v>
      </c>
      <c r="L1398" s="26" t="n">
        <f aca="false">IF(B1398="","",VALUE(LEFT(B1398,2)))</f>
        <v>18</v>
      </c>
      <c r="M1398" s="26" t="n">
        <f aca="false">IF(A1398="","",IF(COUNTIFS($C$2:$C$5001,C1398,$J$2:$J$5001,J1398,$A$2:$A$5001,"&lt;"&amp;A1398)=0,1,0))</f>
        <v>1</v>
      </c>
    </row>
    <row r="1399" customFormat="false" ht="15" hidden="false" customHeight="false" outlineLevel="0" collapsed="false">
      <c r="A1399" s="23" t="n">
        <v>46043.9666666667</v>
      </c>
      <c r="B1399" s="24" t="s">
        <v>656</v>
      </c>
      <c r="C1399" s="24" t="s">
        <v>65</v>
      </c>
      <c r="D1399" s="24" t="s">
        <v>88</v>
      </c>
      <c r="E1399" s="24" t="n">
        <v>331</v>
      </c>
      <c r="F1399" s="25" t="n">
        <v>18000</v>
      </c>
      <c r="G1399" s="24" t="s">
        <v>83</v>
      </c>
      <c r="H1399" s="24" t="s">
        <v>80</v>
      </c>
      <c r="I1399" s="24" t="s">
        <v>61</v>
      </c>
      <c r="J1399" s="26" t="n">
        <f aca="false">IF(A1399="","",YEAR(A1399))</f>
        <v>2026</v>
      </c>
      <c r="K1399" s="26" t="n">
        <f aca="false">IF(A1399="","",MONTH(A1399))</f>
        <v>1</v>
      </c>
      <c r="L1399" s="26" t="n">
        <f aca="false">IF(B1399="","",VALUE(LEFT(B1399,2)))</f>
        <v>17</v>
      </c>
      <c r="M1399" s="26" t="n">
        <f aca="false">IF(A1399="","",IF(COUNTIFS($C$2:$C$5001,C1399,$J$2:$J$5001,J1399,$A$2:$A$5001,"&lt;"&amp;A1399)=0,1,0))</f>
        <v>1</v>
      </c>
    </row>
    <row r="1400" customFormat="false" ht="15" hidden="false" customHeight="false" outlineLevel="0" collapsed="false">
      <c r="A1400" s="23" t="n">
        <v>46043.9986111111</v>
      </c>
      <c r="B1400" s="24" t="s">
        <v>777</v>
      </c>
      <c r="C1400" s="24" t="s">
        <v>220</v>
      </c>
      <c r="D1400" s="24" t="s">
        <v>66</v>
      </c>
      <c r="E1400" s="24" t="n">
        <v>397</v>
      </c>
      <c r="F1400" s="25" t="n">
        <v>14000</v>
      </c>
      <c r="G1400" s="24" t="s">
        <v>59</v>
      </c>
      <c r="H1400" s="24" t="s">
        <v>80</v>
      </c>
      <c r="I1400" s="24" t="s">
        <v>61</v>
      </c>
      <c r="J1400" s="26" t="n">
        <f aca="false">IF(A1400="","",YEAR(A1400))</f>
        <v>2026</v>
      </c>
      <c r="K1400" s="26" t="n">
        <f aca="false">IF(A1400="","",MONTH(A1400))</f>
        <v>1</v>
      </c>
      <c r="L1400" s="26" t="n">
        <f aca="false">IF(B1400="","",VALUE(LEFT(B1400,2)))</f>
        <v>17</v>
      </c>
      <c r="M1400" s="26" t="n">
        <f aca="false">IF(A1400="","",IF(COUNTIFS($C$2:$C$5001,C1400,$J$2:$J$5001,J1400,$A$2:$A$5001,"&lt;"&amp;A1400)=0,1,0))</f>
        <v>1</v>
      </c>
    </row>
    <row r="1401" customFormat="false" ht="15" hidden="false" customHeight="false" outlineLevel="0" collapsed="false">
      <c r="A1401" s="23" t="n">
        <v>46044.0361111111</v>
      </c>
      <c r="B1401" s="24" t="s">
        <v>476</v>
      </c>
      <c r="C1401" s="24" t="s">
        <v>277</v>
      </c>
      <c r="D1401" s="24" t="s">
        <v>66</v>
      </c>
      <c r="E1401" s="24" t="n">
        <v>399</v>
      </c>
      <c r="F1401" s="25" t="n">
        <v>14000</v>
      </c>
      <c r="G1401" s="24" t="s">
        <v>59</v>
      </c>
      <c r="H1401" s="24" t="s">
        <v>80</v>
      </c>
      <c r="I1401" s="24" t="s">
        <v>61</v>
      </c>
      <c r="J1401" s="26" t="n">
        <f aca="false">IF(A1401="","",YEAR(A1401))</f>
        <v>2026</v>
      </c>
      <c r="K1401" s="26" t="n">
        <f aca="false">IF(A1401="","",MONTH(A1401))</f>
        <v>1</v>
      </c>
      <c r="L1401" s="26" t="n">
        <f aca="false">IF(B1401="","",VALUE(LEFT(B1401,2)))</f>
        <v>18</v>
      </c>
      <c r="M1401" s="26" t="n">
        <f aca="false">IF(A1401="","",IF(COUNTIFS($C$2:$C$5001,C1401,$J$2:$J$5001,J1401,$A$2:$A$5001,"&lt;"&amp;A1401)=0,1,0))</f>
        <v>1</v>
      </c>
    </row>
    <row r="1402" customFormat="false" ht="15" hidden="false" customHeight="false" outlineLevel="0" collapsed="false">
      <c r="A1402" s="23" t="n">
        <v>46045.0263888889</v>
      </c>
      <c r="B1402" s="24" t="s">
        <v>269</v>
      </c>
      <c r="C1402" s="24" t="s">
        <v>345</v>
      </c>
      <c r="D1402" s="24" t="s">
        <v>66</v>
      </c>
      <c r="E1402" s="24" t="n">
        <v>278</v>
      </c>
      <c r="F1402" s="25" t="n">
        <v>10000</v>
      </c>
      <c r="G1402" s="24" t="s">
        <v>69</v>
      </c>
      <c r="H1402" s="24" t="s">
        <v>60</v>
      </c>
      <c r="I1402" s="24" t="s">
        <v>61</v>
      </c>
      <c r="J1402" s="26" t="n">
        <f aca="false">IF(A1402="","",YEAR(A1402))</f>
        <v>2026</v>
      </c>
      <c r="K1402" s="26" t="n">
        <f aca="false">IF(A1402="","",MONTH(A1402))</f>
        <v>1</v>
      </c>
      <c r="L1402" s="26" t="n">
        <f aca="false">IF(B1402="","",VALUE(LEFT(B1402,2)))</f>
        <v>20</v>
      </c>
      <c r="M1402" s="26" t="n">
        <f aca="false">IF(A1402="","",IF(COUNTIFS($C$2:$C$5001,C1402,$J$2:$J$5001,J1402,$A$2:$A$5001,"&lt;"&amp;A1402)=0,1,0))</f>
        <v>0</v>
      </c>
    </row>
    <row r="1403" customFormat="false" ht="15" hidden="false" customHeight="false" outlineLevel="0" collapsed="false">
      <c r="A1403" s="23" t="n">
        <v>46045.6083333333</v>
      </c>
      <c r="B1403" s="24" t="s">
        <v>682</v>
      </c>
      <c r="C1403" s="24" t="s">
        <v>345</v>
      </c>
      <c r="D1403" s="24" t="s">
        <v>53</v>
      </c>
      <c r="E1403" s="24" t="n">
        <v>365</v>
      </c>
      <c r="F1403" s="25" t="n">
        <v>6500</v>
      </c>
      <c r="G1403" s="24" t="s">
        <v>59</v>
      </c>
      <c r="H1403" s="24" t="s">
        <v>55</v>
      </c>
      <c r="I1403" s="24" t="s">
        <v>61</v>
      </c>
      <c r="J1403" s="26" t="n">
        <f aca="false">IF(A1403="","",YEAR(A1403))</f>
        <v>2026</v>
      </c>
      <c r="K1403" s="26" t="n">
        <f aca="false">IF(A1403="","",MONTH(A1403))</f>
        <v>1</v>
      </c>
      <c r="L1403" s="26" t="n">
        <f aca="false">IF(B1403="","",VALUE(LEFT(B1403,2)))</f>
        <v>8</v>
      </c>
      <c r="M1403" s="26" t="n">
        <f aca="false">IF(A1403="","",IF(COUNTIFS($C$2:$C$5001,C1403,$J$2:$J$5001,J1403,$A$2:$A$5001,"&lt;"&amp;A1403)=0,1,0))</f>
        <v>0</v>
      </c>
    </row>
    <row r="1404" customFormat="false" ht="15" hidden="false" customHeight="false" outlineLevel="0" collapsed="false">
      <c r="A1404" s="23" t="n">
        <v>46045.6118055556</v>
      </c>
      <c r="B1404" s="24" t="s">
        <v>912</v>
      </c>
      <c r="C1404" s="24" t="s">
        <v>293</v>
      </c>
      <c r="D1404" s="24" t="s">
        <v>66</v>
      </c>
      <c r="E1404" s="24" t="n">
        <v>394</v>
      </c>
      <c r="F1404" s="25" t="n">
        <v>11900</v>
      </c>
      <c r="G1404" s="24" t="s">
        <v>59</v>
      </c>
      <c r="H1404" s="24" t="s">
        <v>80</v>
      </c>
      <c r="I1404" s="24" t="s">
        <v>113</v>
      </c>
      <c r="J1404" s="26" t="n">
        <f aca="false">IF(A1404="","",YEAR(A1404))</f>
        <v>2026</v>
      </c>
      <c r="K1404" s="26" t="n">
        <f aca="false">IF(A1404="","",MONTH(A1404))</f>
        <v>1</v>
      </c>
      <c r="L1404" s="26" t="n">
        <f aca="false">IF(B1404="","",VALUE(LEFT(B1404,2)))</f>
        <v>8</v>
      </c>
      <c r="M1404" s="26" t="n">
        <f aca="false">IF(A1404="","",IF(COUNTIFS($C$2:$C$5001,C1404,$J$2:$J$5001,J1404,$A$2:$A$5001,"&lt;"&amp;A1404)=0,1,0))</f>
        <v>1</v>
      </c>
    </row>
    <row r="1405" customFormat="false" ht="15" hidden="false" customHeight="false" outlineLevel="0" collapsed="false">
      <c r="A1405" s="23" t="n">
        <v>46045.7083333333</v>
      </c>
      <c r="B1405" s="24" t="s">
        <v>921</v>
      </c>
      <c r="C1405" s="24" t="s">
        <v>158</v>
      </c>
      <c r="D1405" s="24" t="s">
        <v>88</v>
      </c>
      <c r="E1405" s="24" t="n">
        <v>139</v>
      </c>
      <c r="F1405" s="25" t="n">
        <v>7500</v>
      </c>
      <c r="G1405" s="24" t="s">
        <v>83</v>
      </c>
      <c r="H1405" s="24" t="s">
        <v>80</v>
      </c>
      <c r="I1405" s="24" t="s">
        <v>61</v>
      </c>
      <c r="J1405" s="26" t="n">
        <f aca="false">IF(A1405="","",YEAR(A1405))</f>
        <v>2026</v>
      </c>
      <c r="K1405" s="26" t="n">
        <f aca="false">IF(A1405="","",MONTH(A1405))</f>
        <v>1</v>
      </c>
      <c r="L1405" s="26" t="n">
        <f aca="false">IF(B1405="","",VALUE(LEFT(B1405,2)))</f>
        <v>14</v>
      </c>
      <c r="M1405" s="26" t="n">
        <f aca="false">IF(A1405="","",IF(COUNTIFS($C$2:$C$5001,C1405,$J$2:$J$5001,J1405,$A$2:$A$5001,"&lt;"&amp;A1405)=0,1,0))</f>
        <v>0</v>
      </c>
    </row>
    <row r="1406" customFormat="false" ht="15" hidden="false" customHeight="false" outlineLevel="0" collapsed="false">
      <c r="A1406" s="23" t="n">
        <v>46045.7083333333</v>
      </c>
      <c r="B1406" s="24" t="s">
        <v>922</v>
      </c>
      <c r="C1406" s="24" t="s">
        <v>309</v>
      </c>
      <c r="D1406" s="24" t="s">
        <v>66</v>
      </c>
      <c r="E1406" s="24" t="n">
        <v>321</v>
      </c>
      <c r="F1406" s="25" t="n">
        <v>11000</v>
      </c>
      <c r="G1406" s="24" t="s">
        <v>59</v>
      </c>
      <c r="H1406" s="24" t="s">
        <v>55</v>
      </c>
      <c r="I1406" s="24" t="s">
        <v>61</v>
      </c>
      <c r="J1406" s="26" t="n">
        <f aca="false">IF(A1406="","",YEAR(A1406))</f>
        <v>2026</v>
      </c>
      <c r="K1406" s="26" t="n">
        <f aca="false">IF(A1406="","",MONTH(A1406))</f>
        <v>1</v>
      </c>
      <c r="L1406" s="26" t="n">
        <f aca="false">IF(B1406="","",VALUE(LEFT(B1406,2)))</f>
        <v>11</v>
      </c>
      <c r="M1406" s="26" t="n">
        <f aca="false">IF(A1406="","",IF(COUNTIFS($C$2:$C$5001,C1406,$J$2:$J$5001,J1406,$A$2:$A$5001,"&lt;"&amp;A1406)=0,1,0))</f>
        <v>1</v>
      </c>
    </row>
    <row r="1407" customFormat="false" ht="15" hidden="false" customHeight="false" outlineLevel="0" collapsed="false">
      <c r="A1407" s="23" t="n">
        <v>46045.8097222222</v>
      </c>
      <c r="B1407" s="24" t="s">
        <v>371</v>
      </c>
      <c r="C1407" s="24" t="s">
        <v>268</v>
      </c>
      <c r="D1407" s="24" t="s">
        <v>66</v>
      </c>
      <c r="E1407" s="24" t="n">
        <v>177</v>
      </c>
      <c r="F1407" s="25" t="n">
        <v>6000</v>
      </c>
      <c r="G1407" s="24" t="s">
        <v>83</v>
      </c>
      <c r="H1407" s="24" t="s">
        <v>55</v>
      </c>
      <c r="I1407" s="24" t="s">
        <v>61</v>
      </c>
      <c r="J1407" s="26" t="n">
        <f aca="false">IF(A1407="","",YEAR(A1407))</f>
        <v>2026</v>
      </c>
      <c r="K1407" s="26" t="n">
        <f aca="false">IF(A1407="","",MONTH(A1407))</f>
        <v>1</v>
      </c>
      <c r="L1407" s="26" t="n">
        <f aca="false">IF(B1407="","",VALUE(LEFT(B1407,2)))</f>
        <v>16</v>
      </c>
      <c r="M1407" s="26" t="n">
        <f aca="false">IF(A1407="","",IF(COUNTIFS($C$2:$C$5001,C1407,$J$2:$J$5001,J1407,$A$2:$A$5001,"&lt;"&amp;A1407)=0,1,0))</f>
        <v>1</v>
      </c>
    </row>
    <row r="1408" customFormat="false" ht="15" hidden="false" customHeight="false" outlineLevel="0" collapsed="false">
      <c r="A1408" s="23" t="n">
        <v>46045.8277777778</v>
      </c>
      <c r="B1408" s="24" t="s">
        <v>505</v>
      </c>
      <c r="C1408" s="24" t="s">
        <v>475</v>
      </c>
      <c r="D1408" s="24" t="s">
        <v>66</v>
      </c>
      <c r="E1408" s="24" t="n">
        <v>206</v>
      </c>
      <c r="F1408" s="25" t="n">
        <v>7000</v>
      </c>
      <c r="G1408" s="24" t="s">
        <v>59</v>
      </c>
      <c r="H1408" s="24" t="s">
        <v>60</v>
      </c>
      <c r="I1408" s="24" t="s">
        <v>61</v>
      </c>
      <c r="J1408" s="26" t="n">
        <f aca="false">IF(A1408="","",YEAR(A1408))</f>
        <v>2026</v>
      </c>
      <c r="K1408" s="26" t="n">
        <f aca="false">IF(A1408="","",MONTH(A1408))</f>
        <v>1</v>
      </c>
      <c r="L1408" s="26" t="n">
        <f aca="false">IF(B1408="","",VALUE(LEFT(B1408,2)))</f>
        <v>16</v>
      </c>
      <c r="M1408" s="26" t="n">
        <f aca="false">IF(A1408="","",IF(COUNTIFS($C$2:$C$5001,C1408,$J$2:$J$5001,J1408,$A$2:$A$5001,"&lt;"&amp;A1408)=0,1,0))</f>
        <v>1</v>
      </c>
    </row>
    <row r="1409" customFormat="false" ht="15" hidden="false" customHeight="false" outlineLevel="0" collapsed="false">
      <c r="A1409" s="23" t="n">
        <v>46045.9347222222</v>
      </c>
      <c r="B1409" s="24" t="s">
        <v>795</v>
      </c>
      <c r="C1409" s="24" t="s">
        <v>68</v>
      </c>
      <c r="D1409" s="24" t="s">
        <v>53</v>
      </c>
      <c r="E1409" s="24" t="n">
        <v>240</v>
      </c>
      <c r="F1409" s="25" t="n">
        <v>4000</v>
      </c>
      <c r="G1409" s="24" t="s">
        <v>59</v>
      </c>
      <c r="H1409" s="24" t="s">
        <v>80</v>
      </c>
      <c r="I1409" s="24" t="s">
        <v>61</v>
      </c>
      <c r="J1409" s="26" t="n">
        <f aca="false">IF(A1409="","",YEAR(A1409))</f>
        <v>2026</v>
      </c>
      <c r="K1409" s="26" t="n">
        <f aca="false">IF(A1409="","",MONTH(A1409))</f>
        <v>1</v>
      </c>
      <c r="L1409" s="26" t="n">
        <f aca="false">IF(B1409="","",VALUE(LEFT(B1409,2)))</f>
        <v>18</v>
      </c>
      <c r="M1409" s="26" t="n">
        <f aca="false">IF(A1409="","",IF(COUNTIFS($C$2:$C$5001,C1409,$J$2:$J$5001,J1409,$A$2:$A$5001,"&lt;"&amp;A1409)=0,1,0))</f>
        <v>0</v>
      </c>
    </row>
    <row r="1410" customFormat="false" ht="15" hidden="false" customHeight="false" outlineLevel="0" collapsed="false">
      <c r="A1410" s="23" t="n">
        <v>46046.0201388889</v>
      </c>
      <c r="B1410" s="24" t="s">
        <v>329</v>
      </c>
      <c r="C1410" s="24" t="s">
        <v>475</v>
      </c>
      <c r="D1410" s="24" t="s">
        <v>66</v>
      </c>
      <c r="E1410" s="24" t="n">
        <v>215</v>
      </c>
      <c r="F1410" s="25" t="n">
        <v>8000</v>
      </c>
      <c r="G1410" s="24" t="s">
        <v>79</v>
      </c>
      <c r="H1410" s="24" t="s">
        <v>55</v>
      </c>
      <c r="I1410" s="24" t="s">
        <v>61</v>
      </c>
      <c r="J1410" s="26" t="n">
        <f aca="false">IF(A1410="","",YEAR(A1410))</f>
        <v>2026</v>
      </c>
      <c r="K1410" s="26" t="n">
        <f aca="false">IF(A1410="","",MONTH(A1410))</f>
        <v>1</v>
      </c>
      <c r="L1410" s="26" t="n">
        <f aca="false">IF(B1410="","",VALUE(LEFT(B1410,2)))</f>
        <v>20</v>
      </c>
      <c r="M1410" s="26" t="n">
        <f aca="false">IF(A1410="","",IF(COUNTIFS($C$2:$C$5001,C1410,$J$2:$J$5001,J1410,$A$2:$A$5001,"&lt;"&amp;A1410)=0,1,0))</f>
        <v>0</v>
      </c>
    </row>
    <row r="1411" customFormat="false" ht="15" hidden="false" customHeight="false" outlineLevel="0" collapsed="false">
      <c r="A1411" s="23" t="n">
        <v>46046.3597222222</v>
      </c>
      <c r="B1411" s="24" t="s">
        <v>671</v>
      </c>
      <c r="C1411" s="24" t="s">
        <v>120</v>
      </c>
      <c r="D1411" s="24" t="s">
        <v>53</v>
      </c>
      <c r="E1411" s="24" t="n">
        <v>78</v>
      </c>
      <c r="F1411" s="25" t="n">
        <v>1275</v>
      </c>
      <c r="G1411" s="24" t="s">
        <v>69</v>
      </c>
      <c r="H1411" s="24" t="s">
        <v>55</v>
      </c>
      <c r="I1411" s="24" t="s">
        <v>113</v>
      </c>
      <c r="J1411" s="26" t="n">
        <f aca="false">IF(A1411="","",YEAR(A1411))</f>
        <v>2026</v>
      </c>
      <c r="K1411" s="26" t="n">
        <f aca="false">IF(A1411="","",MONTH(A1411))</f>
        <v>1</v>
      </c>
      <c r="L1411" s="26" t="n">
        <f aca="false">IF(B1411="","",VALUE(LEFT(B1411,2)))</f>
        <v>7</v>
      </c>
      <c r="M1411" s="26" t="n">
        <f aca="false">IF(A1411="","",IF(COUNTIFS($C$2:$C$5001,C1411,$J$2:$J$5001,J1411,$A$2:$A$5001,"&lt;"&amp;A1411)=0,1,0))</f>
        <v>0</v>
      </c>
    </row>
    <row r="1412" customFormat="false" ht="15" hidden="false" customHeight="false" outlineLevel="0" collapsed="false">
      <c r="A1412" s="23" t="n">
        <v>46046.5458333333</v>
      </c>
      <c r="B1412" s="24" t="s">
        <v>336</v>
      </c>
      <c r="C1412" s="24" t="s">
        <v>118</v>
      </c>
      <c r="D1412" s="24" t="s">
        <v>66</v>
      </c>
      <c r="E1412" s="24" t="n">
        <v>286</v>
      </c>
      <c r="F1412" s="25" t="n">
        <v>10000</v>
      </c>
      <c r="G1412" s="24" t="s">
        <v>59</v>
      </c>
      <c r="H1412" s="24" t="s">
        <v>60</v>
      </c>
      <c r="I1412" s="24" t="s">
        <v>61</v>
      </c>
      <c r="J1412" s="26" t="n">
        <f aca="false">IF(A1412="","",YEAR(A1412))</f>
        <v>2026</v>
      </c>
      <c r="K1412" s="26" t="n">
        <f aca="false">IF(A1412="","",MONTH(A1412))</f>
        <v>1</v>
      </c>
      <c r="L1412" s="26" t="n">
        <f aca="false">IF(B1412="","",VALUE(LEFT(B1412,2)))</f>
        <v>8</v>
      </c>
      <c r="M1412" s="26" t="n">
        <f aca="false">IF(A1412="","",IF(COUNTIFS($C$2:$C$5001,C1412,$J$2:$J$5001,J1412,$A$2:$A$5001,"&lt;"&amp;A1412)=0,1,0))</f>
        <v>1</v>
      </c>
    </row>
    <row r="1413" customFormat="false" ht="15" hidden="false" customHeight="false" outlineLevel="0" collapsed="false">
      <c r="A1413" s="23" t="n">
        <v>46047.45</v>
      </c>
      <c r="B1413" s="24" t="s">
        <v>638</v>
      </c>
      <c r="C1413" s="24" t="s">
        <v>182</v>
      </c>
      <c r="D1413" s="24" t="s">
        <v>66</v>
      </c>
      <c r="E1413" s="24" t="n">
        <v>227</v>
      </c>
      <c r="F1413" s="25" t="n">
        <v>0</v>
      </c>
      <c r="G1413" s="24" t="s">
        <v>83</v>
      </c>
      <c r="H1413" s="24" t="s">
        <v>80</v>
      </c>
      <c r="I1413" s="24" t="s">
        <v>56</v>
      </c>
      <c r="J1413" s="26" t="n">
        <f aca="false">IF(A1413="","",YEAR(A1413))</f>
        <v>2026</v>
      </c>
      <c r="K1413" s="26" t="n">
        <f aca="false">IF(A1413="","",MONTH(A1413))</f>
        <v>1</v>
      </c>
      <c r="L1413" s="26" t="n">
        <f aca="false">IF(B1413="","",VALUE(LEFT(B1413,2)))</f>
        <v>7</v>
      </c>
      <c r="M1413" s="26" t="n">
        <f aca="false">IF(A1413="","",IF(COUNTIFS($C$2:$C$5001,C1413,$J$2:$J$5001,J1413,$A$2:$A$5001,"&lt;"&amp;A1413)=0,1,0))</f>
        <v>0</v>
      </c>
    </row>
    <row r="1414" customFormat="false" ht="15" hidden="false" customHeight="false" outlineLevel="0" collapsed="false">
      <c r="A1414" s="23" t="n">
        <v>46047.58125</v>
      </c>
      <c r="B1414" s="24" t="s">
        <v>923</v>
      </c>
      <c r="C1414" s="24" t="s">
        <v>172</v>
      </c>
      <c r="D1414" s="24" t="s">
        <v>72</v>
      </c>
      <c r="E1414" s="24" t="n">
        <v>118</v>
      </c>
      <c r="F1414" s="25" t="n">
        <v>8000</v>
      </c>
      <c r="G1414" s="24" t="s">
        <v>59</v>
      </c>
      <c r="H1414" s="24" t="s">
        <v>80</v>
      </c>
      <c r="I1414" s="24" t="s">
        <v>61</v>
      </c>
      <c r="J1414" s="26" t="n">
        <f aca="false">IF(A1414="","",YEAR(A1414))</f>
        <v>2026</v>
      </c>
      <c r="K1414" s="26" t="n">
        <f aca="false">IF(A1414="","",MONTH(A1414))</f>
        <v>1</v>
      </c>
      <c r="L1414" s="26" t="n">
        <f aca="false">IF(B1414="","",VALUE(LEFT(B1414,2)))</f>
        <v>11</v>
      </c>
      <c r="M1414" s="26" t="n">
        <f aca="false">IF(A1414="","",IF(COUNTIFS($C$2:$C$5001,C1414,$J$2:$J$5001,J1414,$A$2:$A$5001,"&lt;"&amp;A1414)=0,1,0))</f>
        <v>0</v>
      </c>
    </row>
    <row r="1415" customFormat="false" ht="15" hidden="false" customHeight="false" outlineLevel="0" collapsed="false">
      <c r="A1415" s="23" t="n">
        <v>46047.7722222222</v>
      </c>
      <c r="B1415" s="24" t="s">
        <v>924</v>
      </c>
      <c r="C1415" s="24" t="s">
        <v>172</v>
      </c>
      <c r="D1415" s="24" t="s">
        <v>88</v>
      </c>
      <c r="E1415" s="24" t="n">
        <v>307</v>
      </c>
      <c r="F1415" s="25" t="n">
        <v>16500</v>
      </c>
      <c r="G1415" s="24" t="s">
        <v>79</v>
      </c>
      <c r="H1415" s="24" t="s">
        <v>60</v>
      </c>
      <c r="I1415" s="24" t="s">
        <v>61</v>
      </c>
      <c r="J1415" s="26" t="n">
        <f aca="false">IF(A1415="","",YEAR(A1415))</f>
        <v>2026</v>
      </c>
      <c r="K1415" s="26" t="n">
        <f aca="false">IF(A1415="","",MONTH(A1415))</f>
        <v>1</v>
      </c>
      <c r="L1415" s="26" t="n">
        <f aca="false">IF(B1415="","",VALUE(LEFT(B1415,2)))</f>
        <v>13</v>
      </c>
      <c r="M1415" s="26" t="n">
        <f aca="false">IF(A1415="","",IF(COUNTIFS($C$2:$C$5001,C1415,$J$2:$J$5001,J1415,$A$2:$A$5001,"&lt;"&amp;A1415)=0,1,0))</f>
        <v>0</v>
      </c>
    </row>
    <row r="1416" customFormat="false" ht="15" hidden="false" customHeight="false" outlineLevel="0" collapsed="false">
      <c r="A1416" s="23" t="n">
        <v>46047.9208333333</v>
      </c>
      <c r="B1416" s="24" t="s">
        <v>925</v>
      </c>
      <c r="C1416" s="24" t="s">
        <v>126</v>
      </c>
      <c r="D1416" s="24" t="s">
        <v>53</v>
      </c>
      <c r="E1416" s="24" t="n">
        <v>392</v>
      </c>
      <c r="F1416" s="25" t="n">
        <v>7000</v>
      </c>
      <c r="G1416" s="24" t="s">
        <v>59</v>
      </c>
      <c r="H1416" s="24" t="s">
        <v>80</v>
      </c>
      <c r="I1416" s="24" t="s">
        <v>61</v>
      </c>
      <c r="J1416" s="26" t="n">
        <f aca="false">IF(A1416="","",YEAR(A1416))</f>
        <v>2026</v>
      </c>
      <c r="K1416" s="26" t="n">
        <f aca="false">IF(A1416="","",MONTH(A1416))</f>
        <v>1</v>
      </c>
      <c r="L1416" s="26" t="n">
        <f aca="false">IF(B1416="","",VALUE(LEFT(B1416,2)))</f>
        <v>15</v>
      </c>
      <c r="M1416" s="26" t="n">
        <f aca="false">IF(A1416="","",IF(COUNTIFS($C$2:$C$5001,C1416,$J$2:$J$5001,J1416,$A$2:$A$5001,"&lt;"&amp;A1416)=0,1,0))</f>
        <v>0</v>
      </c>
    </row>
    <row r="1417" customFormat="false" ht="15" hidden="false" customHeight="false" outlineLevel="0" collapsed="false">
      <c r="A1417" s="23" t="n">
        <v>46048.0215277778</v>
      </c>
      <c r="B1417" s="24" t="s">
        <v>452</v>
      </c>
      <c r="C1417" s="24" t="s">
        <v>398</v>
      </c>
      <c r="D1417" s="24" t="s">
        <v>66</v>
      </c>
      <c r="E1417" s="24" t="n">
        <v>348</v>
      </c>
      <c r="F1417" s="25" t="n">
        <v>12000</v>
      </c>
      <c r="G1417" s="24" t="s">
        <v>79</v>
      </c>
      <c r="H1417" s="24" t="s">
        <v>60</v>
      </c>
      <c r="I1417" s="24" t="s">
        <v>61</v>
      </c>
      <c r="J1417" s="26" t="n">
        <f aca="false">IF(A1417="","",YEAR(A1417))</f>
        <v>2026</v>
      </c>
      <c r="K1417" s="26" t="n">
        <f aca="false">IF(A1417="","",MONTH(A1417))</f>
        <v>1</v>
      </c>
      <c r="L1417" s="26" t="n">
        <f aca="false">IF(B1417="","",VALUE(LEFT(B1417,2)))</f>
        <v>18</v>
      </c>
      <c r="M1417" s="26" t="n">
        <f aca="false">IF(A1417="","",IF(COUNTIFS($C$2:$C$5001,C1417,$J$2:$J$5001,J1417,$A$2:$A$5001,"&lt;"&amp;A1417)=0,1,0))</f>
        <v>1</v>
      </c>
    </row>
    <row r="1418" customFormat="false" ht="15" hidden="false" customHeight="false" outlineLevel="0" collapsed="false">
      <c r="A1418" s="23" t="n">
        <v>46048.4291666667</v>
      </c>
      <c r="B1418" s="24" t="s">
        <v>310</v>
      </c>
      <c r="C1418" s="24" t="s">
        <v>290</v>
      </c>
      <c r="D1418" s="24" t="s">
        <v>66</v>
      </c>
      <c r="E1418" s="24" t="n">
        <v>231</v>
      </c>
      <c r="F1418" s="25" t="n">
        <v>8000</v>
      </c>
      <c r="G1418" s="24" t="s">
        <v>59</v>
      </c>
      <c r="H1418" s="24" t="s">
        <v>55</v>
      </c>
      <c r="I1418" s="24" t="s">
        <v>61</v>
      </c>
      <c r="J1418" s="26" t="n">
        <f aca="false">IF(A1418="","",YEAR(A1418))</f>
        <v>2026</v>
      </c>
      <c r="K1418" s="26" t="n">
        <f aca="false">IF(A1418="","",MONTH(A1418))</f>
        <v>1</v>
      </c>
      <c r="L1418" s="26" t="n">
        <f aca="false">IF(B1418="","",VALUE(LEFT(B1418,2)))</f>
        <v>6</v>
      </c>
      <c r="M1418" s="26" t="n">
        <f aca="false">IF(A1418="","",IF(COUNTIFS($C$2:$C$5001,C1418,$J$2:$J$5001,J1418,$A$2:$A$5001,"&lt;"&amp;A1418)=0,1,0))</f>
        <v>1</v>
      </c>
    </row>
    <row r="1419" customFormat="false" ht="15" hidden="false" customHeight="false" outlineLevel="0" collapsed="false">
      <c r="A1419" s="23" t="n">
        <v>46048.8576388889</v>
      </c>
      <c r="B1419" s="24" t="s">
        <v>496</v>
      </c>
      <c r="C1419" s="24" t="s">
        <v>332</v>
      </c>
      <c r="D1419" s="24" t="s">
        <v>66</v>
      </c>
      <c r="E1419" s="24" t="n">
        <v>344</v>
      </c>
      <c r="F1419" s="25" t="n">
        <v>12000</v>
      </c>
      <c r="G1419" s="24" t="s">
        <v>59</v>
      </c>
      <c r="H1419" s="24" t="s">
        <v>80</v>
      </c>
      <c r="I1419" s="24" t="s">
        <v>61</v>
      </c>
      <c r="J1419" s="26" t="n">
        <f aca="false">IF(A1419="","",YEAR(A1419))</f>
        <v>2026</v>
      </c>
      <c r="K1419" s="26" t="n">
        <f aca="false">IF(A1419="","",MONTH(A1419))</f>
        <v>1</v>
      </c>
      <c r="L1419" s="26" t="n">
        <f aca="false">IF(B1419="","",VALUE(LEFT(B1419,2)))</f>
        <v>14</v>
      </c>
      <c r="M1419" s="26" t="n">
        <f aca="false">IF(A1419="","",IF(COUNTIFS($C$2:$C$5001,C1419,$J$2:$J$5001,J1419,$A$2:$A$5001,"&lt;"&amp;A1419)=0,1,0))</f>
        <v>0</v>
      </c>
    </row>
    <row r="1420" customFormat="false" ht="15" hidden="false" customHeight="false" outlineLevel="0" collapsed="false">
      <c r="A1420" s="23" t="n">
        <v>46048.8590277778</v>
      </c>
      <c r="B1420" s="24" t="s">
        <v>223</v>
      </c>
      <c r="C1420" s="24" t="s">
        <v>213</v>
      </c>
      <c r="D1420" s="24" t="s">
        <v>66</v>
      </c>
      <c r="E1420" s="24" t="n">
        <v>21</v>
      </c>
      <c r="F1420" s="25" t="n">
        <v>1000</v>
      </c>
      <c r="G1420" s="24" t="s">
        <v>83</v>
      </c>
      <c r="H1420" s="24" t="s">
        <v>80</v>
      </c>
      <c r="I1420" s="24" t="s">
        <v>61</v>
      </c>
      <c r="J1420" s="26" t="n">
        <f aca="false">IF(A1420="","",YEAR(A1420))</f>
        <v>2026</v>
      </c>
      <c r="K1420" s="26" t="n">
        <f aca="false">IF(A1420="","",MONTH(A1420))</f>
        <v>1</v>
      </c>
      <c r="L1420" s="26" t="n">
        <f aca="false">IF(B1420="","",VALUE(LEFT(B1420,2)))</f>
        <v>20</v>
      </c>
      <c r="M1420" s="26" t="n">
        <f aca="false">IF(A1420="","",IF(COUNTIFS($C$2:$C$5001,C1420,$J$2:$J$5001,J1420,$A$2:$A$5001,"&lt;"&amp;A1420)=0,1,0))</f>
        <v>0</v>
      </c>
    </row>
    <row r="1421" customFormat="false" ht="15" hidden="false" customHeight="false" outlineLevel="0" collapsed="false">
      <c r="A1421" s="23" t="n">
        <v>46050.1020833333</v>
      </c>
      <c r="B1421" s="24" t="s">
        <v>825</v>
      </c>
      <c r="C1421" s="24" t="s">
        <v>290</v>
      </c>
      <c r="D1421" s="24" t="s">
        <v>88</v>
      </c>
      <c r="E1421" s="24" t="n">
        <v>349</v>
      </c>
      <c r="F1421" s="25" t="n">
        <v>18000</v>
      </c>
      <c r="G1421" s="24" t="s">
        <v>59</v>
      </c>
      <c r="H1421" s="24" t="s">
        <v>80</v>
      </c>
      <c r="I1421" s="24" t="s">
        <v>61</v>
      </c>
      <c r="J1421" s="26" t="n">
        <f aca="false">IF(A1421="","",YEAR(A1421))</f>
        <v>2026</v>
      </c>
      <c r="K1421" s="26" t="n">
        <f aca="false">IF(A1421="","",MONTH(A1421))</f>
        <v>1</v>
      </c>
      <c r="L1421" s="26" t="n">
        <f aca="false">IF(B1421="","",VALUE(LEFT(B1421,2)))</f>
        <v>20</v>
      </c>
      <c r="M1421" s="26" t="n">
        <f aca="false">IF(A1421="","",IF(COUNTIFS($C$2:$C$5001,C1421,$J$2:$J$5001,J1421,$A$2:$A$5001,"&lt;"&amp;A1421)=0,1,0))</f>
        <v>0</v>
      </c>
    </row>
    <row r="1422" customFormat="false" ht="15" hidden="false" customHeight="false" outlineLevel="0" collapsed="false">
      <c r="A1422" s="23" t="n">
        <v>46050.3756944445</v>
      </c>
      <c r="B1422" s="24" t="s">
        <v>104</v>
      </c>
      <c r="C1422" s="24" t="s">
        <v>352</v>
      </c>
      <c r="D1422" s="24" t="s">
        <v>127</v>
      </c>
      <c r="E1422" s="24" t="n">
        <v>124</v>
      </c>
      <c r="F1422" s="25" t="n">
        <v>8750</v>
      </c>
      <c r="G1422" s="24" t="s">
        <v>69</v>
      </c>
      <c r="H1422" s="24" t="s">
        <v>55</v>
      </c>
      <c r="I1422" s="24" t="s">
        <v>61</v>
      </c>
      <c r="J1422" s="26" t="n">
        <f aca="false">IF(A1422="","",YEAR(A1422))</f>
        <v>2026</v>
      </c>
      <c r="K1422" s="26" t="n">
        <f aca="false">IF(A1422="","",MONTH(A1422))</f>
        <v>1</v>
      </c>
      <c r="L1422" s="26" t="n">
        <f aca="false">IF(B1422="","",VALUE(LEFT(B1422,2)))</f>
        <v>6</v>
      </c>
      <c r="M1422" s="26" t="n">
        <f aca="false">IF(A1422="","",IF(COUNTIFS($C$2:$C$5001,C1422,$J$2:$J$5001,J1422,$A$2:$A$5001,"&lt;"&amp;A1422)=0,1,0))</f>
        <v>0</v>
      </c>
    </row>
    <row r="1423" customFormat="false" ht="15" hidden="false" customHeight="false" outlineLevel="0" collapsed="false">
      <c r="A1423" s="23" t="n">
        <v>46050.3868055556</v>
      </c>
      <c r="B1423" s="24" t="s">
        <v>569</v>
      </c>
      <c r="C1423" s="24" t="s">
        <v>199</v>
      </c>
      <c r="D1423" s="24" t="s">
        <v>53</v>
      </c>
      <c r="E1423" s="24" t="n">
        <v>96</v>
      </c>
      <c r="F1423" s="25" t="n">
        <v>2000</v>
      </c>
      <c r="G1423" s="24" t="s">
        <v>79</v>
      </c>
      <c r="H1423" s="24" t="s">
        <v>55</v>
      </c>
      <c r="I1423" s="24" t="s">
        <v>61</v>
      </c>
      <c r="J1423" s="26" t="n">
        <f aca="false">IF(A1423="","",YEAR(A1423))</f>
        <v>2026</v>
      </c>
      <c r="K1423" s="26" t="n">
        <f aca="false">IF(A1423="","",MONTH(A1423))</f>
        <v>1</v>
      </c>
      <c r="L1423" s="26" t="n">
        <f aca="false">IF(B1423="","",VALUE(LEFT(B1423,2)))</f>
        <v>7</v>
      </c>
      <c r="M1423" s="26" t="n">
        <f aca="false">IF(A1423="","",IF(COUNTIFS($C$2:$C$5001,C1423,$J$2:$J$5001,J1423,$A$2:$A$5001,"&lt;"&amp;A1423)=0,1,0))</f>
        <v>1</v>
      </c>
    </row>
    <row r="1424" customFormat="false" ht="15" hidden="false" customHeight="false" outlineLevel="0" collapsed="false">
      <c r="A1424" s="23" t="n">
        <v>46050.5152777778</v>
      </c>
      <c r="B1424" s="24" t="s">
        <v>748</v>
      </c>
      <c r="C1424" s="24" t="s">
        <v>218</v>
      </c>
      <c r="D1424" s="24" t="s">
        <v>127</v>
      </c>
      <c r="E1424" s="24" t="n">
        <v>274</v>
      </c>
      <c r="F1424" s="25" t="n">
        <v>17500</v>
      </c>
      <c r="G1424" s="24" t="s">
        <v>59</v>
      </c>
      <c r="H1424" s="24" t="s">
        <v>55</v>
      </c>
      <c r="I1424" s="24" t="s">
        <v>61</v>
      </c>
      <c r="J1424" s="26" t="n">
        <f aca="false">IF(A1424="","",YEAR(A1424))</f>
        <v>2026</v>
      </c>
      <c r="K1424" s="26" t="n">
        <f aca="false">IF(A1424="","",MONTH(A1424))</f>
        <v>1</v>
      </c>
      <c r="L1424" s="26" t="n">
        <f aca="false">IF(B1424="","",VALUE(LEFT(B1424,2)))</f>
        <v>7</v>
      </c>
      <c r="M1424" s="26" t="n">
        <f aca="false">IF(A1424="","",IF(COUNTIFS($C$2:$C$5001,C1424,$J$2:$J$5001,J1424,$A$2:$A$5001,"&lt;"&amp;A1424)=0,1,0))</f>
        <v>1</v>
      </c>
    </row>
    <row r="1425" customFormat="false" ht="15" hidden="false" customHeight="false" outlineLevel="0" collapsed="false">
      <c r="A1425" s="23" t="n">
        <v>46050.5638888889</v>
      </c>
      <c r="B1425" s="24" t="s">
        <v>704</v>
      </c>
      <c r="C1425" s="24" t="s">
        <v>201</v>
      </c>
      <c r="D1425" s="24" t="s">
        <v>127</v>
      </c>
      <c r="E1425" s="24" t="n">
        <v>246</v>
      </c>
      <c r="F1425" s="25" t="n">
        <v>15750</v>
      </c>
      <c r="G1425" s="24" t="s">
        <v>69</v>
      </c>
      <c r="H1425" s="24" t="s">
        <v>80</v>
      </c>
      <c r="I1425" s="24" t="s">
        <v>61</v>
      </c>
      <c r="J1425" s="26" t="n">
        <f aca="false">IF(A1425="","",YEAR(A1425))</f>
        <v>2026</v>
      </c>
      <c r="K1425" s="26" t="n">
        <f aca="false">IF(A1425="","",MONTH(A1425))</f>
        <v>1</v>
      </c>
      <c r="L1425" s="26" t="n">
        <f aca="false">IF(B1425="","",VALUE(LEFT(B1425,2)))</f>
        <v>9</v>
      </c>
      <c r="M1425" s="26" t="n">
        <f aca="false">IF(A1425="","",IF(COUNTIFS($C$2:$C$5001,C1425,$J$2:$J$5001,J1425,$A$2:$A$5001,"&lt;"&amp;A1425)=0,1,0))</f>
        <v>0</v>
      </c>
    </row>
    <row r="1426" customFormat="false" ht="15" hidden="false" customHeight="false" outlineLevel="0" collapsed="false">
      <c r="A1426" s="23" t="n">
        <v>46050.8881944444</v>
      </c>
      <c r="B1426" s="24" t="s">
        <v>598</v>
      </c>
      <c r="C1426" s="24" t="s">
        <v>389</v>
      </c>
      <c r="D1426" s="24" t="s">
        <v>66</v>
      </c>
      <c r="E1426" s="24" t="n">
        <v>71</v>
      </c>
      <c r="F1426" s="25" t="n">
        <v>3000</v>
      </c>
      <c r="G1426" s="24" t="s">
        <v>69</v>
      </c>
      <c r="H1426" s="24" t="s">
        <v>80</v>
      </c>
      <c r="I1426" s="24" t="s">
        <v>61</v>
      </c>
      <c r="J1426" s="26" t="n">
        <f aca="false">IF(A1426="","",YEAR(A1426))</f>
        <v>2026</v>
      </c>
      <c r="K1426" s="26" t="n">
        <f aca="false">IF(A1426="","",MONTH(A1426))</f>
        <v>1</v>
      </c>
      <c r="L1426" s="26" t="n">
        <f aca="false">IF(B1426="","",VALUE(LEFT(B1426,2)))</f>
        <v>20</v>
      </c>
      <c r="M1426" s="26" t="n">
        <f aca="false">IF(A1426="","",IF(COUNTIFS($C$2:$C$5001,C1426,$J$2:$J$5001,J1426,$A$2:$A$5001,"&lt;"&amp;A1426)=0,1,0))</f>
        <v>0</v>
      </c>
    </row>
    <row r="1427" customFormat="false" ht="15" hidden="false" customHeight="false" outlineLevel="0" collapsed="false">
      <c r="A1427" s="23" t="n">
        <v>46054.5069444445</v>
      </c>
      <c r="B1427" s="24" t="s">
        <v>351</v>
      </c>
      <c r="C1427" s="24" t="s">
        <v>286</v>
      </c>
      <c r="D1427" s="24" t="s">
        <v>53</v>
      </c>
      <c r="E1427" s="24" t="n">
        <v>118</v>
      </c>
      <c r="F1427" s="25" t="n">
        <v>2000</v>
      </c>
      <c r="G1427" s="24" t="s">
        <v>59</v>
      </c>
      <c r="H1427" s="24" t="s">
        <v>60</v>
      </c>
      <c r="I1427" s="24" t="s">
        <v>61</v>
      </c>
      <c r="J1427" s="26" t="n">
        <f aca="false">IF(A1427="","",YEAR(A1427))</f>
        <v>2026</v>
      </c>
      <c r="K1427" s="26" t="n">
        <f aca="false">IF(A1427="","",MONTH(A1427))</f>
        <v>2</v>
      </c>
      <c r="L1427" s="26" t="n">
        <f aca="false">IF(B1427="","",VALUE(LEFT(B1427,2)))</f>
        <v>10</v>
      </c>
      <c r="M1427" s="26" t="n">
        <f aca="false">IF(A1427="","",IF(COUNTIFS($C$2:$C$5001,C1427,$J$2:$J$5001,J1427,$A$2:$A$5001,"&lt;"&amp;A1427)=0,1,0))</f>
        <v>0</v>
      </c>
    </row>
    <row r="1428" customFormat="false" ht="15" hidden="false" customHeight="false" outlineLevel="0" collapsed="false">
      <c r="A1428" s="23" t="n">
        <v>46054.55625</v>
      </c>
      <c r="B1428" s="24" t="s">
        <v>190</v>
      </c>
      <c r="C1428" s="24" t="s">
        <v>100</v>
      </c>
      <c r="D1428" s="24" t="s">
        <v>127</v>
      </c>
      <c r="E1428" s="24" t="n">
        <v>298</v>
      </c>
      <c r="F1428" s="25" t="n">
        <v>17500</v>
      </c>
      <c r="G1428" s="24" t="s">
        <v>59</v>
      </c>
      <c r="H1428" s="24" t="s">
        <v>60</v>
      </c>
      <c r="I1428" s="24" t="s">
        <v>61</v>
      </c>
      <c r="J1428" s="26" t="n">
        <f aca="false">IF(A1428="","",YEAR(A1428))</f>
        <v>2026</v>
      </c>
      <c r="K1428" s="26" t="n">
        <f aca="false">IF(A1428="","",MONTH(A1428))</f>
        <v>2</v>
      </c>
      <c r="L1428" s="26" t="n">
        <f aca="false">IF(B1428="","",VALUE(LEFT(B1428,2)))</f>
        <v>8</v>
      </c>
      <c r="M1428" s="26" t="n">
        <f aca="false">IF(A1428="","",IF(COUNTIFS($C$2:$C$5001,C1428,$J$2:$J$5001,J1428,$A$2:$A$5001,"&lt;"&amp;A1428)=0,1,0))</f>
        <v>1</v>
      </c>
    </row>
    <row r="1429" customFormat="false" ht="15" hidden="false" customHeight="false" outlineLevel="0" collapsed="false">
      <c r="A1429" s="23" t="n">
        <v>46054.6694444444</v>
      </c>
      <c r="B1429" s="24" t="s">
        <v>926</v>
      </c>
      <c r="C1429" s="24" t="s">
        <v>108</v>
      </c>
      <c r="D1429" s="24" t="s">
        <v>66</v>
      </c>
      <c r="E1429" s="24" t="n">
        <v>222</v>
      </c>
      <c r="F1429" s="25" t="n">
        <v>8000</v>
      </c>
      <c r="G1429" s="24" t="s">
        <v>83</v>
      </c>
      <c r="H1429" s="24" t="s">
        <v>55</v>
      </c>
      <c r="I1429" s="24" t="s">
        <v>61</v>
      </c>
      <c r="J1429" s="26" t="n">
        <f aca="false">IF(A1429="","",YEAR(A1429))</f>
        <v>2026</v>
      </c>
      <c r="K1429" s="26" t="n">
        <f aca="false">IF(A1429="","",MONTH(A1429))</f>
        <v>2</v>
      </c>
      <c r="L1429" s="26" t="n">
        <f aca="false">IF(B1429="","",VALUE(LEFT(B1429,2)))</f>
        <v>12</v>
      </c>
      <c r="M1429" s="26" t="n">
        <f aca="false">IF(A1429="","",IF(COUNTIFS($C$2:$C$5001,C1429,$J$2:$J$5001,J1429,$A$2:$A$5001,"&lt;"&amp;A1429)=0,1,0))</f>
        <v>1</v>
      </c>
    </row>
    <row r="1430" customFormat="false" ht="15" hidden="false" customHeight="false" outlineLevel="0" collapsed="false">
      <c r="A1430" s="23" t="n">
        <v>46054.7715277778</v>
      </c>
      <c r="B1430" s="24" t="s">
        <v>679</v>
      </c>
      <c r="C1430" s="24" t="s">
        <v>74</v>
      </c>
      <c r="D1430" s="24" t="s">
        <v>53</v>
      </c>
      <c r="E1430" s="24" t="n">
        <v>286</v>
      </c>
      <c r="F1430" s="25" t="n">
        <v>4250</v>
      </c>
      <c r="G1430" s="24" t="s">
        <v>59</v>
      </c>
      <c r="H1430" s="24" t="s">
        <v>60</v>
      </c>
      <c r="I1430" s="24" t="s">
        <v>113</v>
      </c>
      <c r="J1430" s="26" t="n">
        <f aca="false">IF(A1430="","",YEAR(A1430))</f>
        <v>2026</v>
      </c>
      <c r="K1430" s="26" t="n">
        <f aca="false">IF(A1430="","",MONTH(A1430))</f>
        <v>2</v>
      </c>
      <c r="L1430" s="26" t="n">
        <f aca="false">IF(B1430="","",VALUE(LEFT(B1430,2)))</f>
        <v>13</v>
      </c>
      <c r="M1430" s="26" t="n">
        <f aca="false">IF(A1430="","",IF(COUNTIFS($C$2:$C$5001,C1430,$J$2:$J$5001,J1430,$A$2:$A$5001,"&lt;"&amp;A1430)=0,1,0))</f>
        <v>0</v>
      </c>
    </row>
    <row r="1431" customFormat="false" ht="15" hidden="false" customHeight="false" outlineLevel="0" collapsed="false">
      <c r="A1431" s="23" t="n">
        <v>46054.8986111111</v>
      </c>
      <c r="B1431" s="24" t="s">
        <v>355</v>
      </c>
      <c r="C1431" s="24" t="s">
        <v>152</v>
      </c>
      <c r="D1431" s="24" t="s">
        <v>53</v>
      </c>
      <c r="E1431" s="24" t="n">
        <v>277</v>
      </c>
      <c r="F1431" s="25" t="n">
        <v>5000</v>
      </c>
      <c r="G1431" s="24" t="s">
        <v>59</v>
      </c>
      <c r="H1431" s="24" t="s">
        <v>80</v>
      </c>
      <c r="I1431" s="24" t="s">
        <v>61</v>
      </c>
      <c r="J1431" s="26" t="n">
        <f aca="false">IF(A1431="","",YEAR(A1431))</f>
        <v>2026</v>
      </c>
      <c r="K1431" s="26" t="n">
        <f aca="false">IF(A1431="","",MONTH(A1431))</f>
        <v>2</v>
      </c>
      <c r="L1431" s="26" t="n">
        <f aca="false">IF(B1431="","",VALUE(LEFT(B1431,2)))</f>
        <v>16</v>
      </c>
      <c r="M1431" s="26" t="n">
        <f aca="false">IF(A1431="","",IF(COUNTIFS($C$2:$C$5001,C1431,$J$2:$J$5001,J1431,$A$2:$A$5001,"&lt;"&amp;A1431)=0,1,0))</f>
        <v>1</v>
      </c>
    </row>
    <row r="1432" customFormat="false" ht="15" hidden="false" customHeight="false" outlineLevel="0" collapsed="false">
      <c r="A1432" s="23" t="n">
        <v>46054.9</v>
      </c>
      <c r="B1432" s="24" t="s">
        <v>819</v>
      </c>
      <c r="C1432" s="24" t="s">
        <v>406</v>
      </c>
      <c r="D1432" s="24" t="s">
        <v>66</v>
      </c>
      <c r="E1432" s="24" t="n">
        <v>397</v>
      </c>
      <c r="F1432" s="25" t="n">
        <v>14000</v>
      </c>
      <c r="G1432" s="24" t="s">
        <v>59</v>
      </c>
      <c r="H1432" s="24" t="s">
        <v>60</v>
      </c>
      <c r="I1432" s="24" t="s">
        <v>61</v>
      </c>
      <c r="J1432" s="26" t="n">
        <f aca="false">IF(A1432="","",YEAR(A1432))</f>
        <v>2026</v>
      </c>
      <c r="K1432" s="26" t="n">
        <f aca="false">IF(A1432="","",MONTH(A1432))</f>
        <v>2</v>
      </c>
      <c r="L1432" s="26" t="n">
        <f aca="false">IF(B1432="","",VALUE(LEFT(B1432,2)))</f>
        <v>14</v>
      </c>
      <c r="M1432" s="26" t="n">
        <f aca="false">IF(A1432="","",IF(COUNTIFS($C$2:$C$5001,C1432,$J$2:$J$5001,J1432,$A$2:$A$5001,"&lt;"&amp;A1432)=0,1,0))</f>
        <v>1</v>
      </c>
    </row>
    <row r="1433" customFormat="false" ht="15" hidden="false" customHeight="false" outlineLevel="0" collapsed="false">
      <c r="A1433" s="23" t="n">
        <v>46054.9659722222</v>
      </c>
      <c r="B1433" s="24" t="s">
        <v>835</v>
      </c>
      <c r="C1433" s="24" t="s">
        <v>512</v>
      </c>
      <c r="D1433" s="24" t="s">
        <v>66</v>
      </c>
      <c r="E1433" s="24" t="n">
        <v>288</v>
      </c>
      <c r="F1433" s="25" t="n">
        <v>10000</v>
      </c>
      <c r="G1433" s="24" t="s">
        <v>59</v>
      </c>
      <c r="H1433" s="24" t="s">
        <v>80</v>
      </c>
      <c r="I1433" s="24" t="s">
        <v>61</v>
      </c>
      <c r="J1433" s="26" t="n">
        <f aca="false">IF(A1433="","",YEAR(A1433))</f>
        <v>2026</v>
      </c>
      <c r="K1433" s="26" t="n">
        <f aca="false">IF(A1433="","",MONTH(A1433))</f>
        <v>2</v>
      </c>
      <c r="L1433" s="26" t="n">
        <f aca="false">IF(B1433="","",VALUE(LEFT(B1433,2)))</f>
        <v>18</v>
      </c>
      <c r="M1433" s="26" t="n">
        <f aca="false">IF(A1433="","",IF(COUNTIFS($C$2:$C$5001,C1433,$J$2:$J$5001,J1433,$A$2:$A$5001,"&lt;"&amp;A1433)=0,1,0))</f>
        <v>0</v>
      </c>
    </row>
    <row r="1434" customFormat="false" ht="15" hidden="false" customHeight="false" outlineLevel="0" collapsed="false">
      <c r="A1434" s="23" t="n">
        <v>46055.0048611111</v>
      </c>
      <c r="B1434" s="24" t="s">
        <v>777</v>
      </c>
      <c r="C1434" s="24" t="s">
        <v>177</v>
      </c>
      <c r="D1434" s="24" t="s">
        <v>53</v>
      </c>
      <c r="E1434" s="24" t="n">
        <v>406</v>
      </c>
      <c r="F1434" s="25" t="n">
        <v>7000</v>
      </c>
      <c r="G1434" s="24" t="s">
        <v>69</v>
      </c>
      <c r="H1434" s="24" t="s">
        <v>60</v>
      </c>
      <c r="I1434" s="24" t="s">
        <v>61</v>
      </c>
      <c r="J1434" s="26" t="n">
        <f aca="false">IF(A1434="","",YEAR(A1434))</f>
        <v>2026</v>
      </c>
      <c r="K1434" s="26" t="n">
        <f aca="false">IF(A1434="","",MONTH(A1434))</f>
        <v>2</v>
      </c>
      <c r="L1434" s="26" t="n">
        <f aca="false">IF(B1434="","",VALUE(LEFT(B1434,2)))</f>
        <v>17</v>
      </c>
      <c r="M1434" s="26" t="n">
        <f aca="false">IF(A1434="","",IF(COUNTIFS($C$2:$C$5001,C1434,$J$2:$J$5001,J1434,$A$2:$A$5001,"&lt;"&amp;A1434)=0,1,0))</f>
        <v>0</v>
      </c>
    </row>
    <row r="1435" customFormat="false" ht="15" hidden="false" customHeight="false" outlineLevel="0" collapsed="false">
      <c r="A1435" s="23" t="n">
        <v>46055.5305555556</v>
      </c>
      <c r="B1435" s="24" t="s">
        <v>84</v>
      </c>
      <c r="C1435" s="24" t="s">
        <v>901</v>
      </c>
      <c r="D1435" s="24" t="s">
        <v>127</v>
      </c>
      <c r="E1435" s="24" t="n">
        <v>132</v>
      </c>
      <c r="F1435" s="25" t="n">
        <v>8750</v>
      </c>
      <c r="G1435" s="24" t="s">
        <v>54</v>
      </c>
      <c r="H1435" s="24" t="s">
        <v>55</v>
      </c>
      <c r="I1435" s="24" t="s">
        <v>61</v>
      </c>
      <c r="J1435" s="26" t="n">
        <f aca="false">IF(A1435="","",YEAR(A1435))</f>
        <v>2026</v>
      </c>
      <c r="K1435" s="26" t="n">
        <f aca="false">IF(A1435="","",MONTH(A1435))</f>
        <v>2</v>
      </c>
      <c r="L1435" s="26" t="n">
        <f aca="false">IF(B1435="","",VALUE(LEFT(B1435,2)))</f>
        <v>10</v>
      </c>
      <c r="M1435" s="26" t="n">
        <f aca="false">IF(A1435="","",IF(COUNTIFS($C$2:$C$5001,C1435,$J$2:$J$5001,J1435,$A$2:$A$5001,"&lt;"&amp;A1435)=0,1,0))</f>
        <v>0</v>
      </c>
    </row>
    <row r="1436" customFormat="false" ht="15" hidden="false" customHeight="false" outlineLevel="0" collapsed="false">
      <c r="A1436" s="23" t="n">
        <v>46055.6055555556</v>
      </c>
      <c r="B1436" s="24" t="s">
        <v>627</v>
      </c>
      <c r="C1436" s="24" t="s">
        <v>82</v>
      </c>
      <c r="D1436" s="24" t="s">
        <v>88</v>
      </c>
      <c r="E1436" s="24" t="n">
        <v>397</v>
      </c>
      <c r="F1436" s="25" t="n">
        <v>21000</v>
      </c>
      <c r="G1436" s="24" t="s">
        <v>83</v>
      </c>
      <c r="H1436" s="24" t="s">
        <v>55</v>
      </c>
      <c r="I1436" s="24" t="s">
        <v>61</v>
      </c>
      <c r="J1436" s="26" t="n">
        <f aca="false">IF(A1436="","",YEAR(A1436))</f>
        <v>2026</v>
      </c>
      <c r="K1436" s="26" t="n">
        <f aca="false">IF(A1436="","",MONTH(A1436))</f>
        <v>2</v>
      </c>
      <c r="L1436" s="26" t="n">
        <f aca="false">IF(B1436="","",VALUE(LEFT(B1436,2)))</f>
        <v>7</v>
      </c>
      <c r="M1436" s="26" t="n">
        <f aca="false">IF(A1436="","",IF(COUNTIFS($C$2:$C$5001,C1436,$J$2:$J$5001,J1436,$A$2:$A$5001,"&lt;"&amp;A1436)=0,1,0))</f>
        <v>0</v>
      </c>
    </row>
    <row r="1437" customFormat="false" ht="15" hidden="false" customHeight="false" outlineLevel="0" collapsed="false">
      <c r="A1437" s="23" t="n">
        <v>46055.7902777778</v>
      </c>
      <c r="B1437" s="24" t="s">
        <v>209</v>
      </c>
      <c r="C1437" s="24" t="s">
        <v>116</v>
      </c>
      <c r="D1437" s="24" t="s">
        <v>66</v>
      </c>
      <c r="E1437" s="24" t="n">
        <v>130</v>
      </c>
      <c r="F1437" s="25" t="n">
        <v>0</v>
      </c>
      <c r="G1437" s="24" t="s">
        <v>59</v>
      </c>
      <c r="H1437" s="24" t="s">
        <v>60</v>
      </c>
      <c r="I1437" s="24" t="s">
        <v>56</v>
      </c>
      <c r="J1437" s="26" t="n">
        <f aca="false">IF(A1437="","",YEAR(A1437))</f>
        <v>2026</v>
      </c>
      <c r="K1437" s="26" t="n">
        <f aca="false">IF(A1437="","",MONTH(A1437))</f>
        <v>2</v>
      </c>
      <c r="L1437" s="26" t="n">
        <f aca="false">IF(B1437="","",VALUE(LEFT(B1437,2)))</f>
        <v>16</v>
      </c>
      <c r="M1437" s="26" t="n">
        <f aca="false">IF(A1437="","",IF(COUNTIFS($C$2:$C$5001,C1437,$J$2:$J$5001,J1437,$A$2:$A$5001,"&lt;"&amp;A1437)=0,1,0))</f>
        <v>0</v>
      </c>
    </row>
    <row r="1438" customFormat="false" ht="15" hidden="false" customHeight="false" outlineLevel="0" collapsed="false">
      <c r="A1438" s="23" t="n">
        <v>46056.3916666667</v>
      </c>
      <c r="B1438" s="24" t="s">
        <v>668</v>
      </c>
      <c r="C1438" s="24" t="s">
        <v>213</v>
      </c>
      <c r="D1438" s="24" t="s">
        <v>66</v>
      </c>
      <c r="E1438" s="24" t="n">
        <v>40</v>
      </c>
      <c r="F1438" s="25" t="n">
        <v>2000</v>
      </c>
      <c r="G1438" s="24" t="s">
        <v>69</v>
      </c>
      <c r="H1438" s="24" t="s">
        <v>60</v>
      </c>
      <c r="I1438" s="24" t="s">
        <v>61</v>
      </c>
      <c r="J1438" s="26" t="n">
        <f aca="false">IF(A1438="","",YEAR(A1438))</f>
        <v>2026</v>
      </c>
      <c r="K1438" s="26" t="n">
        <f aca="false">IF(A1438="","",MONTH(A1438))</f>
        <v>2</v>
      </c>
      <c r="L1438" s="26" t="n">
        <f aca="false">IF(B1438="","",VALUE(LEFT(B1438,2)))</f>
        <v>8</v>
      </c>
      <c r="M1438" s="26" t="n">
        <f aca="false">IF(A1438="","",IF(COUNTIFS($C$2:$C$5001,C1438,$J$2:$J$5001,J1438,$A$2:$A$5001,"&lt;"&amp;A1438)=0,1,0))</f>
        <v>0</v>
      </c>
    </row>
    <row r="1439" customFormat="false" ht="15" hidden="false" customHeight="false" outlineLevel="0" collapsed="false">
      <c r="A1439" s="23" t="n">
        <v>46056.5013888889</v>
      </c>
      <c r="B1439" s="24" t="s">
        <v>927</v>
      </c>
      <c r="C1439" s="24" t="s">
        <v>188</v>
      </c>
      <c r="D1439" s="24" t="s">
        <v>66</v>
      </c>
      <c r="E1439" s="24" t="n">
        <v>160</v>
      </c>
      <c r="F1439" s="25" t="n">
        <v>6000</v>
      </c>
      <c r="G1439" s="24" t="s">
        <v>59</v>
      </c>
      <c r="H1439" s="24" t="s">
        <v>55</v>
      </c>
      <c r="I1439" s="24" t="s">
        <v>61</v>
      </c>
      <c r="J1439" s="26" t="n">
        <f aca="false">IF(A1439="","",YEAR(A1439))</f>
        <v>2026</v>
      </c>
      <c r="K1439" s="26" t="n">
        <f aca="false">IF(A1439="","",MONTH(A1439))</f>
        <v>2</v>
      </c>
      <c r="L1439" s="26" t="n">
        <f aca="false">IF(B1439="","",VALUE(LEFT(B1439,2)))</f>
        <v>9</v>
      </c>
      <c r="M1439" s="26" t="n">
        <f aca="false">IF(A1439="","",IF(COUNTIFS($C$2:$C$5001,C1439,$J$2:$J$5001,J1439,$A$2:$A$5001,"&lt;"&amp;A1439)=0,1,0))</f>
        <v>0</v>
      </c>
    </row>
    <row r="1440" customFormat="false" ht="15" hidden="false" customHeight="false" outlineLevel="0" collapsed="false">
      <c r="A1440" s="23" t="n">
        <v>46056.5736111111</v>
      </c>
      <c r="B1440" s="24" t="s">
        <v>325</v>
      </c>
      <c r="C1440" s="24" t="s">
        <v>406</v>
      </c>
      <c r="D1440" s="24" t="s">
        <v>53</v>
      </c>
      <c r="E1440" s="24" t="n">
        <v>234</v>
      </c>
      <c r="F1440" s="25" t="n">
        <v>4000</v>
      </c>
      <c r="G1440" s="24" t="s">
        <v>69</v>
      </c>
      <c r="H1440" s="24" t="s">
        <v>80</v>
      </c>
      <c r="I1440" s="24" t="s">
        <v>61</v>
      </c>
      <c r="J1440" s="26" t="n">
        <f aca="false">IF(A1440="","",YEAR(A1440))</f>
        <v>2026</v>
      </c>
      <c r="K1440" s="26" t="n">
        <f aca="false">IF(A1440="","",MONTH(A1440))</f>
        <v>2</v>
      </c>
      <c r="L1440" s="26" t="n">
        <f aca="false">IF(B1440="","",VALUE(LEFT(B1440,2)))</f>
        <v>9</v>
      </c>
      <c r="M1440" s="26" t="n">
        <f aca="false">IF(A1440="","",IF(COUNTIFS($C$2:$C$5001,C1440,$J$2:$J$5001,J1440,$A$2:$A$5001,"&lt;"&amp;A1440)=0,1,0))</f>
        <v>0</v>
      </c>
    </row>
    <row r="1441" customFormat="false" ht="15" hidden="false" customHeight="false" outlineLevel="0" collapsed="false">
      <c r="A1441" s="23" t="n">
        <v>46056.6770833333</v>
      </c>
      <c r="B1441" s="24" t="s">
        <v>459</v>
      </c>
      <c r="C1441" s="24" t="s">
        <v>90</v>
      </c>
      <c r="D1441" s="24" t="s">
        <v>66</v>
      </c>
      <c r="E1441" s="24" t="n">
        <v>357</v>
      </c>
      <c r="F1441" s="25" t="n">
        <v>12000</v>
      </c>
      <c r="G1441" s="24" t="s">
        <v>69</v>
      </c>
      <c r="H1441" s="24" t="s">
        <v>60</v>
      </c>
      <c r="I1441" s="24" t="s">
        <v>61</v>
      </c>
      <c r="J1441" s="26" t="n">
        <f aca="false">IF(A1441="","",YEAR(A1441))</f>
        <v>2026</v>
      </c>
      <c r="K1441" s="26" t="n">
        <f aca="false">IF(A1441="","",MONTH(A1441))</f>
        <v>2</v>
      </c>
      <c r="L1441" s="26" t="n">
        <f aca="false">IF(B1441="","",VALUE(LEFT(B1441,2)))</f>
        <v>10</v>
      </c>
      <c r="M1441" s="26" t="n">
        <f aca="false">IF(A1441="","",IF(COUNTIFS($C$2:$C$5001,C1441,$J$2:$J$5001,J1441,$A$2:$A$5001,"&lt;"&amp;A1441)=0,1,0))</f>
        <v>1</v>
      </c>
    </row>
    <row r="1442" customFormat="false" ht="15" hidden="false" customHeight="false" outlineLevel="0" collapsed="false">
      <c r="A1442" s="23" t="n">
        <v>46056.6916666667</v>
      </c>
      <c r="B1442" s="24" t="s">
        <v>558</v>
      </c>
      <c r="C1442" s="24" t="s">
        <v>188</v>
      </c>
      <c r="D1442" s="24" t="s">
        <v>72</v>
      </c>
      <c r="E1442" s="24" t="n">
        <v>238</v>
      </c>
      <c r="F1442" s="25" t="n">
        <v>16000</v>
      </c>
      <c r="G1442" s="24" t="s">
        <v>59</v>
      </c>
      <c r="H1442" s="24" t="s">
        <v>55</v>
      </c>
      <c r="I1442" s="24" t="s">
        <v>61</v>
      </c>
      <c r="J1442" s="26" t="n">
        <f aca="false">IF(A1442="","",YEAR(A1442))</f>
        <v>2026</v>
      </c>
      <c r="K1442" s="26" t="n">
        <f aca="false">IF(A1442="","",MONTH(A1442))</f>
        <v>2</v>
      </c>
      <c r="L1442" s="26" t="n">
        <f aca="false">IF(B1442="","",VALUE(LEFT(B1442,2)))</f>
        <v>12</v>
      </c>
      <c r="M1442" s="26" t="n">
        <f aca="false">IF(A1442="","",IF(COUNTIFS($C$2:$C$5001,C1442,$J$2:$J$5001,J1442,$A$2:$A$5001,"&lt;"&amp;A1442)=0,1,0))</f>
        <v>0</v>
      </c>
    </row>
    <row r="1443" customFormat="false" ht="15" hidden="false" customHeight="false" outlineLevel="0" collapsed="false">
      <c r="A1443" s="23" t="n">
        <v>46056.7215277778</v>
      </c>
      <c r="B1443" s="24" t="s">
        <v>424</v>
      </c>
      <c r="C1443" s="24" t="s">
        <v>201</v>
      </c>
      <c r="D1443" s="24" t="s">
        <v>53</v>
      </c>
      <c r="E1443" s="24" t="n">
        <v>44</v>
      </c>
      <c r="F1443" s="25" t="n">
        <v>850</v>
      </c>
      <c r="G1443" s="24" t="s">
        <v>69</v>
      </c>
      <c r="H1443" s="24" t="s">
        <v>80</v>
      </c>
      <c r="I1443" s="24" t="s">
        <v>113</v>
      </c>
      <c r="J1443" s="26" t="n">
        <f aca="false">IF(A1443="","",YEAR(A1443))</f>
        <v>2026</v>
      </c>
      <c r="K1443" s="26" t="n">
        <f aca="false">IF(A1443="","",MONTH(A1443))</f>
        <v>2</v>
      </c>
      <c r="L1443" s="26" t="n">
        <f aca="false">IF(B1443="","",VALUE(LEFT(B1443,2)))</f>
        <v>16</v>
      </c>
      <c r="M1443" s="26" t="n">
        <f aca="false">IF(A1443="","",IF(COUNTIFS($C$2:$C$5001,C1443,$J$2:$J$5001,J1443,$A$2:$A$5001,"&lt;"&amp;A1443)=0,1,0))</f>
        <v>0</v>
      </c>
    </row>
    <row r="1444" customFormat="false" ht="15" hidden="false" customHeight="false" outlineLevel="0" collapsed="false">
      <c r="A1444" s="23" t="n">
        <v>46056.8493055556</v>
      </c>
      <c r="B1444" s="24" t="s">
        <v>664</v>
      </c>
      <c r="C1444" s="24" t="s">
        <v>188</v>
      </c>
      <c r="D1444" s="24" t="s">
        <v>66</v>
      </c>
      <c r="E1444" s="24" t="n">
        <v>235</v>
      </c>
      <c r="F1444" s="25" t="n">
        <v>8000</v>
      </c>
      <c r="G1444" s="24" t="s">
        <v>59</v>
      </c>
      <c r="H1444" s="24" t="s">
        <v>55</v>
      </c>
      <c r="I1444" s="24" t="s">
        <v>61</v>
      </c>
      <c r="J1444" s="26" t="n">
        <f aca="false">IF(A1444="","",YEAR(A1444))</f>
        <v>2026</v>
      </c>
      <c r="K1444" s="26" t="n">
        <f aca="false">IF(A1444="","",MONTH(A1444))</f>
        <v>2</v>
      </c>
      <c r="L1444" s="26" t="n">
        <f aca="false">IF(B1444="","",VALUE(LEFT(B1444,2)))</f>
        <v>16</v>
      </c>
      <c r="M1444" s="26" t="n">
        <f aca="false">IF(A1444="","",IF(COUNTIFS($C$2:$C$5001,C1444,$J$2:$J$5001,J1444,$A$2:$A$5001,"&lt;"&amp;A1444)=0,1,0))</f>
        <v>0</v>
      </c>
    </row>
    <row r="1445" customFormat="false" ht="15" hidden="false" customHeight="false" outlineLevel="0" collapsed="false">
      <c r="A1445" s="23" t="n">
        <v>46056.9361111111</v>
      </c>
      <c r="B1445" s="24" t="s">
        <v>928</v>
      </c>
      <c r="C1445" s="24" t="s">
        <v>78</v>
      </c>
      <c r="D1445" s="24" t="s">
        <v>66</v>
      </c>
      <c r="E1445" s="24" t="n">
        <v>313</v>
      </c>
      <c r="F1445" s="25" t="n">
        <v>11000</v>
      </c>
      <c r="G1445" s="24" t="s">
        <v>69</v>
      </c>
      <c r="H1445" s="24" t="s">
        <v>80</v>
      </c>
      <c r="I1445" s="24" t="s">
        <v>61</v>
      </c>
      <c r="J1445" s="26" t="n">
        <f aca="false">IF(A1445="","",YEAR(A1445))</f>
        <v>2026</v>
      </c>
      <c r="K1445" s="26" t="n">
        <f aca="false">IF(A1445="","",MONTH(A1445))</f>
        <v>2</v>
      </c>
      <c r="L1445" s="26" t="n">
        <f aca="false">IF(B1445="","",VALUE(LEFT(B1445,2)))</f>
        <v>17</v>
      </c>
      <c r="M1445" s="26" t="n">
        <f aca="false">IF(A1445="","",IF(COUNTIFS($C$2:$C$5001,C1445,$J$2:$J$5001,J1445,$A$2:$A$5001,"&lt;"&amp;A1445)=0,1,0))</f>
        <v>0</v>
      </c>
    </row>
    <row r="1446" customFormat="false" ht="15" hidden="false" customHeight="false" outlineLevel="0" collapsed="false">
      <c r="A1446" s="23" t="n">
        <v>46057.4715277778</v>
      </c>
      <c r="B1446" s="24" t="s">
        <v>109</v>
      </c>
      <c r="C1446" s="24" t="s">
        <v>179</v>
      </c>
      <c r="D1446" s="24" t="s">
        <v>66</v>
      </c>
      <c r="E1446" s="24" t="n">
        <v>185</v>
      </c>
      <c r="F1446" s="25" t="n">
        <v>7000</v>
      </c>
      <c r="G1446" s="24" t="s">
        <v>59</v>
      </c>
      <c r="H1446" s="24" t="s">
        <v>55</v>
      </c>
      <c r="I1446" s="24" t="s">
        <v>61</v>
      </c>
      <c r="J1446" s="26" t="n">
        <f aca="false">IF(A1446="","",YEAR(A1446))</f>
        <v>2026</v>
      </c>
      <c r="K1446" s="26" t="n">
        <f aca="false">IF(A1446="","",MONTH(A1446))</f>
        <v>2</v>
      </c>
      <c r="L1446" s="26" t="n">
        <f aca="false">IF(B1446="","",VALUE(LEFT(B1446,2)))</f>
        <v>8</v>
      </c>
      <c r="M1446" s="26" t="n">
        <f aca="false">IF(A1446="","",IF(COUNTIFS($C$2:$C$5001,C1446,$J$2:$J$5001,J1446,$A$2:$A$5001,"&lt;"&amp;A1446)=0,1,0))</f>
        <v>0</v>
      </c>
    </row>
    <row r="1447" customFormat="false" ht="15" hidden="false" customHeight="false" outlineLevel="0" collapsed="false">
      <c r="A1447" s="23" t="n">
        <v>46057.4888888889</v>
      </c>
      <c r="B1447" s="24" t="s">
        <v>368</v>
      </c>
      <c r="C1447" s="24" t="s">
        <v>170</v>
      </c>
      <c r="D1447" s="24" t="s">
        <v>66</v>
      </c>
      <c r="E1447" s="24" t="n">
        <v>251</v>
      </c>
      <c r="F1447" s="25" t="n">
        <v>0</v>
      </c>
      <c r="G1447" s="24" t="s">
        <v>59</v>
      </c>
      <c r="H1447" s="24" t="s">
        <v>55</v>
      </c>
      <c r="I1447" s="24" t="s">
        <v>56</v>
      </c>
      <c r="J1447" s="26" t="n">
        <f aca="false">IF(A1447="","",YEAR(A1447))</f>
        <v>2026</v>
      </c>
      <c r="K1447" s="26" t="n">
        <f aca="false">IF(A1447="","",MONTH(A1447))</f>
        <v>2</v>
      </c>
      <c r="L1447" s="26" t="n">
        <f aca="false">IF(B1447="","",VALUE(LEFT(B1447,2)))</f>
        <v>7</v>
      </c>
      <c r="M1447" s="26" t="n">
        <f aca="false">IF(A1447="","",IF(COUNTIFS($C$2:$C$5001,C1447,$J$2:$J$5001,J1447,$A$2:$A$5001,"&lt;"&amp;A1447)=0,1,0))</f>
        <v>1</v>
      </c>
    </row>
    <row r="1448" customFormat="false" ht="15" hidden="false" customHeight="false" outlineLevel="0" collapsed="false">
      <c r="A1448" s="23" t="n">
        <v>46057.5534722222</v>
      </c>
      <c r="B1448" s="24" t="s">
        <v>661</v>
      </c>
      <c r="C1448" s="24" t="s">
        <v>203</v>
      </c>
      <c r="D1448" s="24" t="s">
        <v>72</v>
      </c>
      <c r="E1448" s="24" t="n">
        <v>144</v>
      </c>
      <c r="F1448" s="25" t="n">
        <v>10000</v>
      </c>
      <c r="G1448" s="24" t="s">
        <v>69</v>
      </c>
      <c r="H1448" s="24" t="s">
        <v>55</v>
      </c>
      <c r="I1448" s="24" t="s">
        <v>61</v>
      </c>
      <c r="J1448" s="26" t="n">
        <f aca="false">IF(A1448="","",YEAR(A1448))</f>
        <v>2026</v>
      </c>
      <c r="K1448" s="26" t="n">
        <f aca="false">IF(A1448="","",MONTH(A1448))</f>
        <v>2</v>
      </c>
      <c r="L1448" s="26" t="n">
        <f aca="false">IF(B1448="","",VALUE(LEFT(B1448,2)))</f>
        <v>10</v>
      </c>
      <c r="M1448" s="26" t="n">
        <f aca="false">IF(A1448="","",IF(COUNTIFS($C$2:$C$5001,C1448,$J$2:$J$5001,J1448,$A$2:$A$5001,"&lt;"&amp;A1448)=0,1,0))</f>
        <v>0</v>
      </c>
    </row>
    <row r="1449" customFormat="false" ht="15" hidden="false" customHeight="false" outlineLevel="0" collapsed="false">
      <c r="A1449" s="23" t="n">
        <v>46057.6194444444</v>
      </c>
      <c r="B1449" s="24" t="s">
        <v>119</v>
      </c>
      <c r="C1449" s="24" t="s">
        <v>90</v>
      </c>
      <c r="D1449" s="24" t="s">
        <v>53</v>
      </c>
      <c r="E1449" s="24" t="n">
        <v>72</v>
      </c>
      <c r="F1449" s="25" t="n">
        <v>1500</v>
      </c>
      <c r="G1449" s="24" t="s">
        <v>79</v>
      </c>
      <c r="H1449" s="24" t="s">
        <v>55</v>
      </c>
      <c r="I1449" s="24" t="s">
        <v>61</v>
      </c>
      <c r="J1449" s="26" t="n">
        <f aca="false">IF(A1449="","",YEAR(A1449))</f>
        <v>2026</v>
      </c>
      <c r="K1449" s="26" t="n">
        <f aca="false">IF(A1449="","",MONTH(A1449))</f>
        <v>2</v>
      </c>
      <c r="L1449" s="26" t="n">
        <f aca="false">IF(B1449="","",VALUE(LEFT(B1449,2)))</f>
        <v>13</v>
      </c>
      <c r="M1449" s="26" t="n">
        <f aca="false">IF(A1449="","",IF(COUNTIFS($C$2:$C$5001,C1449,$J$2:$J$5001,J1449,$A$2:$A$5001,"&lt;"&amp;A1449)=0,1,0))</f>
        <v>0</v>
      </c>
    </row>
    <row r="1450" customFormat="false" ht="15" hidden="false" customHeight="false" outlineLevel="0" collapsed="false">
      <c r="A1450" s="23" t="n">
        <v>46058.0333333333</v>
      </c>
      <c r="B1450" s="24" t="s">
        <v>385</v>
      </c>
      <c r="C1450" s="24" t="s">
        <v>314</v>
      </c>
      <c r="D1450" s="24" t="s">
        <v>53</v>
      </c>
      <c r="E1450" s="24" t="n">
        <v>262</v>
      </c>
      <c r="F1450" s="25" t="n">
        <v>4500</v>
      </c>
      <c r="G1450" s="24" t="s">
        <v>79</v>
      </c>
      <c r="H1450" s="24" t="s">
        <v>55</v>
      </c>
      <c r="I1450" s="24" t="s">
        <v>61</v>
      </c>
      <c r="J1450" s="26" t="n">
        <f aca="false">IF(A1450="","",YEAR(A1450))</f>
        <v>2026</v>
      </c>
      <c r="K1450" s="26" t="n">
        <f aca="false">IF(A1450="","",MONTH(A1450))</f>
        <v>2</v>
      </c>
      <c r="L1450" s="26" t="n">
        <f aca="false">IF(B1450="","",VALUE(LEFT(B1450,2)))</f>
        <v>20</v>
      </c>
      <c r="M1450" s="26" t="n">
        <f aca="false">IF(A1450="","",IF(COUNTIFS($C$2:$C$5001,C1450,$J$2:$J$5001,J1450,$A$2:$A$5001,"&lt;"&amp;A1450)=0,1,0))</f>
        <v>0</v>
      </c>
    </row>
    <row r="1451" customFormat="false" ht="15" hidden="false" customHeight="false" outlineLevel="0" collapsed="false">
      <c r="A1451" s="23" t="n">
        <v>46058.36875</v>
      </c>
      <c r="B1451" s="24" t="s">
        <v>238</v>
      </c>
      <c r="C1451" s="24" t="s">
        <v>339</v>
      </c>
      <c r="D1451" s="24" t="s">
        <v>88</v>
      </c>
      <c r="E1451" s="24" t="n">
        <v>168</v>
      </c>
      <c r="F1451" s="25" t="n">
        <v>9000</v>
      </c>
      <c r="G1451" s="24" t="s">
        <v>69</v>
      </c>
      <c r="H1451" s="24" t="s">
        <v>60</v>
      </c>
      <c r="I1451" s="24" t="s">
        <v>61</v>
      </c>
      <c r="J1451" s="26" t="n">
        <f aca="false">IF(A1451="","",YEAR(A1451))</f>
        <v>2026</v>
      </c>
      <c r="K1451" s="26" t="n">
        <f aca="false">IF(A1451="","",MONTH(A1451))</f>
        <v>2</v>
      </c>
      <c r="L1451" s="26" t="n">
        <f aca="false">IF(B1451="","",VALUE(LEFT(B1451,2)))</f>
        <v>6</v>
      </c>
      <c r="M1451" s="26" t="n">
        <f aca="false">IF(A1451="","",IF(COUNTIFS($C$2:$C$5001,C1451,$J$2:$J$5001,J1451,$A$2:$A$5001,"&lt;"&amp;A1451)=0,1,0))</f>
        <v>1</v>
      </c>
    </row>
    <row r="1452" customFormat="false" ht="15" hidden="false" customHeight="false" outlineLevel="0" collapsed="false">
      <c r="A1452" s="23" t="n">
        <v>46058.3923611111</v>
      </c>
      <c r="B1452" s="24" t="s">
        <v>756</v>
      </c>
      <c r="C1452" s="24" t="s">
        <v>94</v>
      </c>
      <c r="D1452" s="24" t="s">
        <v>53</v>
      </c>
      <c r="E1452" s="24" t="n">
        <v>134</v>
      </c>
      <c r="F1452" s="25" t="n">
        <v>2500</v>
      </c>
      <c r="G1452" s="24" t="s">
        <v>79</v>
      </c>
      <c r="H1452" s="24" t="s">
        <v>55</v>
      </c>
      <c r="I1452" s="24" t="s">
        <v>61</v>
      </c>
      <c r="J1452" s="26" t="n">
        <f aca="false">IF(A1452="","",YEAR(A1452))</f>
        <v>2026</v>
      </c>
      <c r="K1452" s="26" t="n">
        <f aca="false">IF(A1452="","",MONTH(A1452))</f>
        <v>2</v>
      </c>
      <c r="L1452" s="26" t="n">
        <f aca="false">IF(B1452="","",VALUE(LEFT(B1452,2)))</f>
        <v>7</v>
      </c>
      <c r="M1452" s="26" t="n">
        <f aca="false">IF(A1452="","",IF(COUNTIFS($C$2:$C$5001,C1452,$J$2:$J$5001,J1452,$A$2:$A$5001,"&lt;"&amp;A1452)=0,1,0))</f>
        <v>1</v>
      </c>
    </row>
    <row r="1453" customFormat="false" ht="15" hidden="false" customHeight="false" outlineLevel="0" collapsed="false">
      <c r="A1453" s="23" t="n">
        <v>46058.5416666667</v>
      </c>
      <c r="B1453" s="24" t="s">
        <v>725</v>
      </c>
      <c r="C1453" s="24" t="s">
        <v>265</v>
      </c>
      <c r="D1453" s="24" t="s">
        <v>66</v>
      </c>
      <c r="E1453" s="24" t="n">
        <v>123</v>
      </c>
      <c r="F1453" s="25" t="n">
        <v>0</v>
      </c>
      <c r="G1453" s="24" t="s">
        <v>59</v>
      </c>
      <c r="H1453" s="24" t="s">
        <v>55</v>
      </c>
      <c r="I1453" s="24" t="s">
        <v>56</v>
      </c>
      <c r="J1453" s="26" t="n">
        <f aca="false">IF(A1453="","",YEAR(A1453))</f>
        <v>2026</v>
      </c>
      <c r="K1453" s="26" t="n">
        <f aca="false">IF(A1453="","",MONTH(A1453))</f>
        <v>2</v>
      </c>
      <c r="L1453" s="26" t="n">
        <f aca="false">IF(B1453="","",VALUE(LEFT(B1453,2)))</f>
        <v>10</v>
      </c>
      <c r="M1453" s="26" t="n">
        <f aca="false">IF(A1453="","",IF(COUNTIFS($C$2:$C$5001,C1453,$J$2:$J$5001,J1453,$A$2:$A$5001,"&lt;"&amp;A1453)=0,1,0))</f>
        <v>0</v>
      </c>
    </row>
    <row r="1454" customFormat="false" ht="15" hidden="false" customHeight="false" outlineLevel="0" collapsed="false">
      <c r="A1454" s="23" t="n">
        <v>46058.7111111111</v>
      </c>
      <c r="B1454" s="24" t="s">
        <v>628</v>
      </c>
      <c r="C1454" s="24" t="s">
        <v>389</v>
      </c>
      <c r="D1454" s="24" t="s">
        <v>66</v>
      </c>
      <c r="E1454" s="24" t="n">
        <v>224</v>
      </c>
      <c r="F1454" s="25" t="n">
        <v>8000</v>
      </c>
      <c r="G1454" s="24" t="s">
        <v>59</v>
      </c>
      <c r="H1454" s="24" t="s">
        <v>60</v>
      </c>
      <c r="I1454" s="24" t="s">
        <v>61</v>
      </c>
      <c r="J1454" s="26" t="n">
        <f aca="false">IF(A1454="","",YEAR(A1454))</f>
        <v>2026</v>
      </c>
      <c r="K1454" s="26" t="n">
        <f aca="false">IF(A1454="","",MONTH(A1454))</f>
        <v>2</v>
      </c>
      <c r="L1454" s="26" t="n">
        <f aca="false">IF(B1454="","",VALUE(LEFT(B1454,2)))</f>
        <v>13</v>
      </c>
      <c r="M1454" s="26" t="n">
        <f aca="false">IF(A1454="","",IF(COUNTIFS($C$2:$C$5001,C1454,$J$2:$J$5001,J1454,$A$2:$A$5001,"&lt;"&amp;A1454)=0,1,0))</f>
        <v>0</v>
      </c>
    </row>
    <row r="1455" customFormat="false" ht="15" hidden="false" customHeight="false" outlineLevel="0" collapsed="false">
      <c r="A1455" s="23" t="n">
        <v>46058.7777777778</v>
      </c>
      <c r="B1455" s="24" t="s">
        <v>929</v>
      </c>
      <c r="C1455" s="24" t="s">
        <v>150</v>
      </c>
      <c r="D1455" s="24" t="s">
        <v>66</v>
      </c>
      <c r="E1455" s="24" t="n">
        <v>361</v>
      </c>
      <c r="F1455" s="25" t="n">
        <v>13000</v>
      </c>
      <c r="G1455" s="24" t="s">
        <v>69</v>
      </c>
      <c r="H1455" s="24" t="s">
        <v>55</v>
      </c>
      <c r="I1455" s="24" t="s">
        <v>61</v>
      </c>
      <c r="J1455" s="26" t="n">
        <f aca="false">IF(A1455="","",YEAR(A1455))</f>
        <v>2026</v>
      </c>
      <c r="K1455" s="26" t="n">
        <f aca="false">IF(A1455="","",MONTH(A1455))</f>
        <v>2</v>
      </c>
      <c r="L1455" s="26" t="n">
        <f aca="false">IF(B1455="","",VALUE(LEFT(B1455,2)))</f>
        <v>12</v>
      </c>
      <c r="M1455" s="26" t="n">
        <f aca="false">IF(A1455="","",IF(COUNTIFS($C$2:$C$5001,C1455,$J$2:$J$5001,J1455,$A$2:$A$5001,"&lt;"&amp;A1455)=0,1,0))</f>
        <v>1</v>
      </c>
    </row>
    <row r="1456" customFormat="false" ht="15" hidden="false" customHeight="false" outlineLevel="0" collapsed="false">
      <c r="A1456" s="23" t="n">
        <v>46058.9618055556</v>
      </c>
      <c r="B1456" s="24" t="s">
        <v>635</v>
      </c>
      <c r="C1456" s="24" t="s">
        <v>901</v>
      </c>
      <c r="D1456" s="24" t="s">
        <v>88</v>
      </c>
      <c r="E1456" s="24" t="n">
        <v>323</v>
      </c>
      <c r="F1456" s="25" t="n">
        <v>16500</v>
      </c>
      <c r="G1456" s="24" t="s">
        <v>59</v>
      </c>
      <c r="H1456" s="24" t="s">
        <v>80</v>
      </c>
      <c r="I1456" s="24" t="s">
        <v>61</v>
      </c>
      <c r="J1456" s="26" t="n">
        <f aca="false">IF(A1456="","",YEAR(A1456))</f>
        <v>2026</v>
      </c>
      <c r="K1456" s="26" t="n">
        <f aca="false">IF(A1456="","",MONTH(A1456))</f>
        <v>2</v>
      </c>
      <c r="L1456" s="26" t="n">
        <f aca="false">IF(B1456="","",VALUE(LEFT(B1456,2)))</f>
        <v>17</v>
      </c>
      <c r="M1456" s="26" t="n">
        <f aca="false">IF(A1456="","",IF(COUNTIFS($C$2:$C$5001,C1456,$J$2:$J$5001,J1456,$A$2:$A$5001,"&lt;"&amp;A1456)=0,1,0))</f>
        <v>0</v>
      </c>
    </row>
    <row r="1457" customFormat="false" ht="15" hidden="false" customHeight="false" outlineLevel="0" collapsed="false">
      <c r="A1457" s="23" t="n">
        <v>46059.4305555556</v>
      </c>
      <c r="B1457" s="24" t="s">
        <v>368</v>
      </c>
      <c r="C1457" s="24" t="s">
        <v>168</v>
      </c>
      <c r="D1457" s="24" t="s">
        <v>53</v>
      </c>
      <c r="E1457" s="24" t="n">
        <v>167</v>
      </c>
      <c r="F1457" s="25" t="n">
        <v>2550</v>
      </c>
      <c r="G1457" s="24" t="s">
        <v>69</v>
      </c>
      <c r="H1457" s="24" t="s">
        <v>80</v>
      </c>
      <c r="I1457" s="24" t="s">
        <v>113</v>
      </c>
      <c r="J1457" s="26" t="n">
        <f aca="false">IF(A1457="","",YEAR(A1457))</f>
        <v>2026</v>
      </c>
      <c r="K1457" s="26" t="n">
        <f aca="false">IF(A1457="","",MONTH(A1457))</f>
        <v>2</v>
      </c>
      <c r="L1457" s="26" t="n">
        <f aca="false">IF(B1457="","",VALUE(LEFT(B1457,2)))</f>
        <v>7</v>
      </c>
      <c r="M1457" s="26" t="n">
        <f aca="false">IF(A1457="","",IF(COUNTIFS($C$2:$C$5001,C1457,$J$2:$J$5001,J1457,$A$2:$A$5001,"&lt;"&amp;A1457)=0,1,0))</f>
        <v>1</v>
      </c>
    </row>
    <row r="1458" customFormat="false" ht="15" hidden="false" customHeight="false" outlineLevel="0" collapsed="false">
      <c r="A1458" s="23" t="n">
        <v>46059.4444444445</v>
      </c>
      <c r="B1458" s="24" t="s">
        <v>930</v>
      </c>
      <c r="C1458" s="24" t="s">
        <v>265</v>
      </c>
      <c r="D1458" s="24" t="s">
        <v>127</v>
      </c>
      <c r="E1458" s="24" t="n">
        <v>89</v>
      </c>
      <c r="F1458" s="25" t="n">
        <v>5250</v>
      </c>
      <c r="G1458" s="24" t="s">
        <v>59</v>
      </c>
      <c r="H1458" s="24" t="s">
        <v>60</v>
      </c>
      <c r="I1458" s="24" t="s">
        <v>61</v>
      </c>
      <c r="J1458" s="26" t="n">
        <f aca="false">IF(A1458="","",YEAR(A1458))</f>
        <v>2026</v>
      </c>
      <c r="K1458" s="26" t="n">
        <f aca="false">IF(A1458="","",MONTH(A1458))</f>
        <v>2</v>
      </c>
      <c r="L1458" s="26" t="n">
        <f aca="false">IF(B1458="","",VALUE(LEFT(B1458,2)))</f>
        <v>9</v>
      </c>
      <c r="M1458" s="26" t="n">
        <f aca="false">IF(A1458="","",IF(COUNTIFS($C$2:$C$5001,C1458,$J$2:$J$5001,J1458,$A$2:$A$5001,"&lt;"&amp;A1458)=0,1,0))</f>
        <v>0</v>
      </c>
    </row>
    <row r="1459" customFormat="false" ht="15" hidden="false" customHeight="false" outlineLevel="0" collapsed="false">
      <c r="A1459" s="23" t="n">
        <v>46059.4479166667</v>
      </c>
      <c r="B1459" s="24" t="s">
        <v>178</v>
      </c>
      <c r="C1459" s="24" t="s">
        <v>690</v>
      </c>
      <c r="D1459" s="24" t="s">
        <v>53</v>
      </c>
      <c r="E1459" s="24" t="n">
        <v>74</v>
      </c>
      <c r="F1459" s="25" t="n">
        <v>1500</v>
      </c>
      <c r="G1459" s="24" t="s">
        <v>54</v>
      </c>
      <c r="H1459" s="24" t="s">
        <v>80</v>
      </c>
      <c r="I1459" s="24" t="s">
        <v>61</v>
      </c>
      <c r="J1459" s="26" t="n">
        <f aca="false">IF(A1459="","",YEAR(A1459))</f>
        <v>2026</v>
      </c>
      <c r="K1459" s="26" t="n">
        <f aca="false">IF(A1459="","",MONTH(A1459))</f>
        <v>2</v>
      </c>
      <c r="L1459" s="26" t="n">
        <f aca="false">IF(B1459="","",VALUE(LEFT(B1459,2)))</f>
        <v>9</v>
      </c>
      <c r="M1459" s="26" t="n">
        <f aca="false">IF(A1459="","",IF(COUNTIFS($C$2:$C$5001,C1459,$J$2:$J$5001,J1459,$A$2:$A$5001,"&lt;"&amp;A1459)=0,1,0))</f>
        <v>1</v>
      </c>
    </row>
    <row r="1460" customFormat="false" ht="15" hidden="false" customHeight="false" outlineLevel="0" collapsed="false">
      <c r="A1460" s="23" t="n">
        <v>46059.5506944444</v>
      </c>
      <c r="B1460" s="24" t="s">
        <v>563</v>
      </c>
      <c r="C1460" s="24" t="s">
        <v>143</v>
      </c>
      <c r="D1460" s="24" t="s">
        <v>66</v>
      </c>
      <c r="E1460" s="24" t="n">
        <v>32</v>
      </c>
      <c r="F1460" s="25" t="n">
        <v>2000</v>
      </c>
      <c r="G1460" s="24" t="s">
        <v>59</v>
      </c>
      <c r="H1460" s="24" t="s">
        <v>55</v>
      </c>
      <c r="I1460" s="24" t="s">
        <v>61</v>
      </c>
      <c r="J1460" s="26" t="n">
        <f aca="false">IF(A1460="","",YEAR(A1460))</f>
        <v>2026</v>
      </c>
      <c r="K1460" s="26" t="n">
        <f aca="false">IF(A1460="","",MONTH(A1460))</f>
        <v>2</v>
      </c>
      <c r="L1460" s="26" t="n">
        <f aca="false">IF(B1460="","",VALUE(LEFT(B1460,2)))</f>
        <v>12</v>
      </c>
      <c r="M1460" s="26" t="n">
        <f aca="false">IF(A1460="","",IF(COUNTIFS($C$2:$C$5001,C1460,$J$2:$J$5001,J1460,$A$2:$A$5001,"&lt;"&amp;A1460)=0,1,0))</f>
        <v>1</v>
      </c>
    </row>
    <row r="1461" customFormat="false" ht="15" hidden="false" customHeight="false" outlineLevel="0" collapsed="false">
      <c r="A1461" s="23" t="n">
        <v>46059.7020833333</v>
      </c>
      <c r="B1461" s="24" t="s">
        <v>415</v>
      </c>
      <c r="C1461" s="24" t="s">
        <v>112</v>
      </c>
      <c r="D1461" s="24" t="s">
        <v>72</v>
      </c>
      <c r="E1461" s="24" t="n">
        <v>309</v>
      </c>
      <c r="F1461" s="25" t="n">
        <v>22000</v>
      </c>
      <c r="G1461" s="24" t="s">
        <v>59</v>
      </c>
      <c r="H1461" s="24" t="s">
        <v>60</v>
      </c>
      <c r="I1461" s="24" t="s">
        <v>61</v>
      </c>
      <c r="J1461" s="26" t="n">
        <f aca="false">IF(A1461="","",YEAR(A1461))</f>
        <v>2026</v>
      </c>
      <c r="K1461" s="26" t="n">
        <f aca="false">IF(A1461="","",MONTH(A1461))</f>
        <v>2</v>
      </c>
      <c r="L1461" s="26" t="n">
        <f aca="false">IF(B1461="","",VALUE(LEFT(B1461,2)))</f>
        <v>11</v>
      </c>
      <c r="M1461" s="26" t="n">
        <f aca="false">IF(A1461="","",IF(COUNTIFS($C$2:$C$5001,C1461,$J$2:$J$5001,J1461,$A$2:$A$5001,"&lt;"&amp;A1461)=0,1,0))</f>
        <v>0</v>
      </c>
    </row>
    <row r="1462" customFormat="false" ht="15" hidden="false" customHeight="false" outlineLevel="0" collapsed="false">
      <c r="A1462" s="23" t="n">
        <v>46059.8479166667</v>
      </c>
      <c r="B1462" s="24" t="s">
        <v>931</v>
      </c>
      <c r="C1462" s="24" t="s">
        <v>152</v>
      </c>
      <c r="D1462" s="24" t="s">
        <v>66</v>
      </c>
      <c r="E1462" s="24" t="n">
        <v>157</v>
      </c>
      <c r="F1462" s="25" t="n">
        <v>6000</v>
      </c>
      <c r="G1462" s="24" t="s">
        <v>79</v>
      </c>
      <c r="H1462" s="24" t="s">
        <v>60</v>
      </c>
      <c r="I1462" s="24" t="s">
        <v>61</v>
      </c>
      <c r="J1462" s="26" t="n">
        <f aca="false">IF(A1462="","",YEAR(A1462))</f>
        <v>2026</v>
      </c>
      <c r="K1462" s="26" t="n">
        <f aca="false">IF(A1462="","",MONTH(A1462))</f>
        <v>2</v>
      </c>
      <c r="L1462" s="26" t="n">
        <f aca="false">IF(B1462="","",VALUE(LEFT(B1462,2)))</f>
        <v>17</v>
      </c>
      <c r="M1462" s="26" t="n">
        <f aca="false">IF(A1462="","",IF(COUNTIFS($C$2:$C$5001,C1462,$J$2:$J$5001,J1462,$A$2:$A$5001,"&lt;"&amp;A1462)=0,1,0))</f>
        <v>0</v>
      </c>
    </row>
    <row r="1463" customFormat="false" ht="15" hidden="false" customHeight="false" outlineLevel="0" collapsed="false">
      <c r="A1463" s="23" t="n">
        <v>46059.9305555556</v>
      </c>
      <c r="B1463" s="24" t="s">
        <v>417</v>
      </c>
      <c r="C1463" s="24" t="s">
        <v>218</v>
      </c>
      <c r="D1463" s="24" t="s">
        <v>66</v>
      </c>
      <c r="E1463" s="24" t="n">
        <v>89</v>
      </c>
      <c r="F1463" s="25" t="n">
        <v>3000</v>
      </c>
      <c r="G1463" s="24" t="s">
        <v>79</v>
      </c>
      <c r="H1463" s="24" t="s">
        <v>80</v>
      </c>
      <c r="I1463" s="24" t="s">
        <v>61</v>
      </c>
      <c r="J1463" s="26" t="n">
        <f aca="false">IF(A1463="","",YEAR(A1463))</f>
        <v>2026</v>
      </c>
      <c r="K1463" s="26" t="n">
        <f aca="false">IF(A1463="","",MONTH(A1463))</f>
        <v>2</v>
      </c>
      <c r="L1463" s="26" t="n">
        <f aca="false">IF(B1463="","",VALUE(LEFT(B1463,2)))</f>
        <v>20</v>
      </c>
      <c r="M1463" s="26" t="n">
        <f aca="false">IF(A1463="","",IF(COUNTIFS($C$2:$C$5001,C1463,$J$2:$J$5001,J1463,$A$2:$A$5001,"&lt;"&amp;A1463)=0,1,0))</f>
        <v>0</v>
      </c>
    </row>
    <row r="1464" customFormat="false" ht="15" hidden="false" customHeight="false" outlineLevel="0" collapsed="false">
      <c r="A1464" s="23" t="n">
        <v>46060.4361111111</v>
      </c>
      <c r="B1464" s="24" t="s">
        <v>195</v>
      </c>
      <c r="C1464" s="24" t="s">
        <v>267</v>
      </c>
      <c r="D1464" s="24" t="s">
        <v>66</v>
      </c>
      <c r="E1464" s="24" t="n">
        <v>48</v>
      </c>
      <c r="F1464" s="25" t="n">
        <v>2000</v>
      </c>
      <c r="G1464" s="24" t="s">
        <v>79</v>
      </c>
      <c r="H1464" s="24" t="s">
        <v>60</v>
      </c>
      <c r="I1464" s="24" t="s">
        <v>61</v>
      </c>
      <c r="J1464" s="26" t="n">
        <f aca="false">IF(A1464="","",YEAR(A1464))</f>
        <v>2026</v>
      </c>
      <c r="K1464" s="26" t="n">
        <f aca="false">IF(A1464="","",MONTH(A1464))</f>
        <v>2</v>
      </c>
      <c r="L1464" s="26" t="n">
        <f aca="false">IF(B1464="","",VALUE(LEFT(B1464,2)))</f>
        <v>9</v>
      </c>
      <c r="M1464" s="26" t="n">
        <f aca="false">IF(A1464="","",IF(COUNTIFS($C$2:$C$5001,C1464,$J$2:$J$5001,J1464,$A$2:$A$5001,"&lt;"&amp;A1464)=0,1,0))</f>
        <v>1</v>
      </c>
    </row>
    <row r="1465" customFormat="false" ht="15" hidden="false" customHeight="false" outlineLevel="0" collapsed="false">
      <c r="A1465" s="23" t="n">
        <v>46060.5194444444</v>
      </c>
      <c r="B1465" s="24" t="s">
        <v>404</v>
      </c>
      <c r="C1465" s="24" t="s">
        <v>110</v>
      </c>
      <c r="D1465" s="24" t="s">
        <v>53</v>
      </c>
      <c r="E1465" s="24" t="n">
        <v>213</v>
      </c>
      <c r="F1465" s="25" t="n">
        <v>4000</v>
      </c>
      <c r="G1465" s="24" t="s">
        <v>59</v>
      </c>
      <c r="H1465" s="24" t="s">
        <v>55</v>
      </c>
      <c r="I1465" s="24" t="s">
        <v>61</v>
      </c>
      <c r="J1465" s="26" t="n">
        <f aca="false">IF(A1465="","",YEAR(A1465))</f>
        <v>2026</v>
      </c>
      <c r="K1465" s="26" t="n">
        <f aca="false">IF(A1465="","",MONTH(A1465))</f>
        <v>2</v>
      </c>
      <c r="L1465" s="26" t="n">
        <f aca="false">IF(B1465="","",VALUE(LEFT(B1465,2)))</f>
        <v>8</v>
      </c>
      <c r="M1465" s="26" t="n">
        <f aca="false">IF(A1465="","",IF(COUNTIFS($C$2:$C$5001,C1465,$J$2:$J$5001,J1465,$A$2:$A$5001,"&lt;"&amp;A1465)=0,1,0))</f>
        <v>0</v>
      </c>
    </row>
    <row r="1466" customFormat="false" ht="15" hidden="false" customHeight="false" outlineLevel="0" collapsed="false">
      <c r="A1466" s="23" t="n">
        <v>46060.5291666667</v>
      </c>
      <c r="B1466" s="24" t="s">
        <v>529</v>
      </c>
      <c r="C1466" s="24" t="s">
        <v>156</v>
      </c>
      <c r="D1466" s="24" t="s">
        <v>88</v>
      </c>
      <c r="E1466" s="24" t="n">
        <v>338</v>
      </c>
      <c r="F1466" s="25" t="n">
        <v>18000</v>
      </c>
      <c r="G1466" s="24" t="s">
        <v>69</v>
      </c>
      <c r="H1466" s="24" t="s">
        <v>80</v>
      </c>
      <c r="I1466" s="24" t="s">
        <v>61</v>
      </c>
      <c r="J1466" s="26" t="n">
        <f aca="false">IF(A1466="","",YEAR(A1466))</f>
        <v>2026</v>
      </c>
      <c r="K1466" s="26" t="n">
        <f aca="false">IF(A1466="","",MONTH(A1466))</f>
        <v>2</v>
      </c>
      <c r="L1466" s="26" t="n">
        <f aca="false">IF(B1466="","",VALUE(LEFT(B1466,2)))</f>
        <v>7</v>
      </c>
      <c r="M1466" s="26" t="n">
        <f aca="false">IF(A1466="","",IF(COUNTIFS($C$2:$C$5001,C1466,$J$2:$J$5001,J1466,$A$2:$A$5001,"&lt;"&amp;A1466)=0,1,0))</f>
        <v>0</v>
      </c>
    </row>
    <row r="1467" customFormat="false" ht="15" hidden="false" customHeight="false" outlineLevel="0" collapsed="false">
      <c r="A1467" s="23" t="n">
        <v>46060.6520833333</v>
      </c>
      <c r="B1467" s="24" t="s">
        <v>932</v>
      </c>
      <c r="C1467" s="24" t="s">
        <v>290</v>
      </c>
      <c r="D1467" s="24" t="s">
        <v>66</v>
      </c>
      <c r="E1467" s="24" t="n">
        <v>207</v>
      </c>
      <c r="F1467" s="25" t="n">
        <v>7000</v>
      </c>
      <c r="G1467" s="24" t="s">
        <v>59</v>
      </c>
      <c r="H1467" s="24" t="s">
        <v>60</v>
      </c>
      <c r="I1467" s="24" t="s">
        <v>61</v>
      </c>
      <c r="J1467" s="26" t="n">
        <f aca="false">IF(A1467="","",YEAR(A1467))</f>
        <v>2026</v>
      </c>
      <c r="K1467" s="26" t="n">
        <f aca="false">IF(A1467="","",MONTH(A1467))</f>
        <v>2</v>
      </c>
      <c r="L1467" s="26" t="n">
        <f aca="false">IF(B1467="","",VALUE(LEFT(B1467,2)))</f>
        <v>12</v>
      </c>
      <c r="M1467" s="26" t="n">
        <f aca="false">IF(A1467="","",IF(COUNTIFS($C$2:$C$5001,C1467,$J$2:$J$5001,J1467,$A$2:$A$5001,"&lt;"&amp;A1467)=0,1,0))</f>
        <v>0</v>
      </c>
    </row>
    <row r="1468" customFormat="false" ht="15" hidden="false" customHeight="false" outlineLevel="0" collapsed="false">
      <c r="A1468" s="23" t="n">
        <v>46060.8097222222</v>
      </c>
      <c r="B1468" s="24" t="s">
        <v>721</v>
      </c>
      <c r="C1468" s="24" t="s">
        <v>92</v>
      </c>
      <c r="D1468" s="24" t="s">
        <v>53</v>
      </c>
      <c r="E1468" s="24" t="n">
        <v>91</v>
      </c>
      <c r="F1468" s="25" t="n">
        <v>2000</v>
      </c>
      <c r="G1468" s="24" t="s">
        <v>59</v>
      </c>
      <c r="H1468" s="24" t="s">
        <v>55</v>
      </c>
      <c r="I1468" s="24" t="s">
        <v>61</v>
      </c>
      <c r="J1468" s="26" t="n">
        <f aca="false">IF(A1468="","",YEAR(A1468))</f>
        <v>2026</v>
      </c>
      <c r="K1468" s="26" t="n">
        <f aca="false">IF(A1468="","",MONTH(A1468))</f>
        <v>2</v>
      </c>
      <c r="L1468" s="26" t="n">
        <f aca="false">IF(B1468="","",VALUE(LEFT(B1468,2)))</f>
        <v>17</v>
      </c>
      <c r="M1468" s="26" t="n">
        <f aca="false">IF(A1468="","",IF(COUNTIFS($C$2:$C$5001,C1468,$J$2:$J$5001,J1468,$A$2:$A$5001,"&lt;"&amp;A1468)=0,1,0))</f>
        <v>1</v>
      </c>
    </row>
    <row r="1469" customFormat="false" ht="15" hidden="false" customHeight="false" outlineLevel="0" collapsed="false">
      <c r="A1469" s="23" t="n">
        <v>46060.9166666667</v>
      </c>
      <c r="B1469" s="24" t="s">
        <v>603</v>
      </c>
      <c r="C1469" s="24" t="s">
        <v>398</v>
      </c>
      <c r="D1469" s="24" t="s">
        <v>66</v>
      </c>
      <c r="E1469" s="24" t="n">
        <v>271</v>
      </c>
      <c r="F1469" s="25" t="n">
        <v>10000</v>
      </c>
      <c r="G1469" s="24" t="s">
        <v>54</v>
      </c>
      <c r="H1469" s="24" t="s">
        <v>80</v>
      </c>
      <c r="I1469" s="24" t="s">
        <v>61</v>
      </c>
      <c r="J1469" s="26" t="n">
        <f aca="false">IF(A1469="","",YEAR(A1469))</f>
        <v>2026</v>
      </c>
      <c r="K1469" s="26" t="n">
        <f aca="false">IF(A1469="","",MONTH(A1469))</f>
        <v>2</v>
      </c>
      <c r="L1469" s="26" t="n">
        <f aca="false">IF(B1469="","",VALUE(LEFT(B1469,2)))</f>
        <v>17</v>
      </c>
      <c r="M1469" s="26" t="n">
        <f aca="false">IF(A1469="","",IF(COUNTIFS($C$2:$C$5001,C1469,$J$2:$J$5001,J1469,$A$2:$A$5001,"&lt;"&amp;A1469)=0,1,0))</f>
        <v>0</v>
      </c>
    </row>
    <row r="1470" customFormat="false" ht="15" hidden="false" customHeight="false" outlineLevel="0" collapsed="false">
      <c r="A1470" s="23" t="n">
        <v>46061.4270833333</v>
      </c>
      <c r="B1470" s="24" t="s">
        <v>457</v>
      </c>
      <c r="C1470" s="24" t="s">
        <v>78</v>
      </c>
      <c r="D1470" s="24" t="s">
        <v>66</v>
      </c>
      <c r="E1470" s="24" t="n">
        <v>149</v>
      </c>
      <c r="F1470" s="25" t="n">
        <v>5000</v>
      </c>
      <c r="G1470" s="24" t="s">
        <v>59</v>
      </c>
      <c r="H1470" s="24" t="s">
        <v>80</v>
      </c>
      <c r="I1470" s="24" t="s">
        <v>61</v>
      </c>
      <c r="J1470" s="26" t="n">
        <f aca="false">IF(A1470="","",YEAR(A1470))</f>
        <v>2026</v>
      </c>
      <c r="K1470" s="26" t="n">
        <f aca="false">IF(A1470="","",MONTH(A1470))</f>
        <v>2</v>
      </c>
      <c r="L1470" s="26" t="n">
        <f aca="false">IF(B1470="","",VALUE(LEFT(B1470,2)))</f>
        <v>7</v>
      </c>
      <c r="M1470" s="26" t="n">
        <f aca="false">IF(A1470="","",IF(COUNTIFS($C$2:$C$5001,C1470,$J$2:$J$5001,J1470,$A$2:$A$5001,"&lt;"&amp;A1470)=0,1,0))</f>
        <v>0</v>
      </c>
    </row>
    <row r="1471" customFormat="false" ht="15" hidden="false" customHeight="false" outlineLevel="0" collapsed="false">
      <c r="A1471" s="23" t="n">
        <v>46061.5395833333</v>
      </c>
      <c r="B1471" s="24" t="s">
        <v>300</v>
      </c>
      <c r="C1471" s="24" t="s">
        <v>197</v>
      </c>
      <c r="D1471" s="24" t="s">
        <v>66</v>
      </c>
      <c r="E1471" s="24" t="n">
        <v>235</v>
      </c>
      <c r="F1471" s="25" t="n">
        <v>0</v>
      </c>
      <c r="G1471" s="24" t="s">
        <v>83</v>
      </c>
      <c r="H1471" s="24" t="s">
        <v>80</v>
      </c>
      <c r="I1471" s="24" t="s">
        <v>56</v>
      </c>
      <c r="J1471" s="26" t="n">
        <f aca="false">IF(A1471="","",YEAR(A1471))</f>
        <v>2026</v>
      </c>
      <c r="K1471" s="26" t="n">
        <f aca="false">IF(A1471="","",MONTH(A1471))</f>
        <v>2</v>
      </c>
      <c r="L1471" s="26" t="n">
        <f aca="false">IF(B1471="","",VALUE(LEFT(B1471,2)))</f>
        <v>9</v>
      </c>
      <c r="M1471" s="26" t="n">
        <f aca="false">IF(A1471="","",IF(COUNTIFS($C$2:$C$5001,C1471,$J$2:$J$5001,J1471,$A$2:$A$5001,"&lt;"&amp;A1471)=0,1,0))</f>
        <v>1</v>
      </c>
    </row>
    <row r="1472" customFormat="false" ht="15" hidden="false" customHeight="false" outlineLevel="0" collapsed="false">
      <c r="A1472" s="23" t="n">
        <v>46061.6361111111</v>
      </c>
      <c r="B1472" s="24" t="s">
        <v>933</v>
      </c>
      <c r="C1472" s="24" t="s">
        <v>166</v>
      </c>
      <c r="D1472" s="24" t="s">
        <v>53</v>
      </c>
      <c r="E1472" s="24" t="n">
        <v>407</v>
      </c>
      <c r="F1472" s="25" t="n">
        <v>7000</v>
      </c>
      <c r="G1472" s="24" t="s">
        <v>69</v>
      </c>
      <c r="H1472" s="24" t="s">
        <v>60</v>
      </c>
      <c r="I1472" s="24" t="s">
        <v>61</v>
      </c>
      <c r="J1472" s="26" t="n">
        <f aca="false">IF(A1472="","",YEAR(A1472))</f>
        <v>2026</v>
      </c>
      <c r="K1472" s="26" t="n">
        <f aca="false">IF(A1472="","",MONTH(A1472))</f>
        <v>2</v>
      </c>
      <c r="L1472" s="26" t="n">
        <f aca="false">IF(B1472="","",VALUE(LEFT(B1472,2)))</f>
        <v>8</v>
      </c>
      <c r="M1472" s="26" t="n">
        <f aca="false">IF(A1472="","",IF(COUNTIFS($C$2:$C$5001,C1472,$J$2:$J$5001,J1472,$A$2:$A$5001,"&lt;"&amp;A1472)=0,1,0))</f>
        <v>1</v>
      </c>
    </row>
    <row r="1473" customFormat="false" ht="15" hidden="false" customHeight="false" outlineLevel="0" collapsed="false">
      <c r="A1473" s="23" t="n">
        <v>46061.6763888889</v>
      </c>
      <c r="B1473" s="24" t="s">
        <v>934</v>
      </c>
      <c r="C1473" s="24" t="s">
        <v>609</v>
      </c>
      <c r="D1473" s="24" t="s">
        <v>53</v>
      </c>
      <c r="E1473" s="24" t="n">
        <v>281</v>
      </c>
      <c r="F1473" s="25" t="n">
        <v>5000</v>
      </c>
      <c r="G1473" s="24" t="s">
        <v>59</v>
      </c>
      <c r="H1473" s="24" t="s">
        <v>80</v>
      </c>
      <c r="I1473" s="24" t="s">
        <v>61</v>
      </c>
      <c r="J1473" s="26" t="n">
        <f aca="false">IF(A1473="","",YEAR(A1473))</f>
        <v>2026</v>
      </c>
      <c r="K1473" s="26" t="n">
        <f aca="false">IF(A1473="","",MONTH(A1473))</f>
        <v>2</v>
      </c>
      <c r="L1473" s="26" t="n">
        <f aca="false">IF(B1473="","",VALUE(LEFT(B1473,2)))</f>
        <v>11</v>
      </c>
      <c r="M1473" s="26" t="n">
        <f aca="false">IF(A1473="","",IF(COUNTIFS($C$2:$C$5001,C1473,$J$2:$J$5001,J1473,$A$2:$A$5001,"&lt;"&amp;A1473)=0,1,0))</f>
        <v>0</v>
      </c>
    </row>
    <row r="1474" customFormat="false" ht="15" hidden="false" customHeight="false" outlineLevel="0" collapsed="false">
      <c r="A1474" s="23" t="n">
        <v>46061.7527777778</v>
      </c>
      <c r="B1474" s="24" t="s">
        <v>935</v>
      </c>
      <c r="C1474" s="24" t="s">
        <v>314</v>
      </c>
      <c r="D1474" s="24" t="s">
        <v>66</v>
      </c>
      <c r="E1474" s="24" t="n">
        <v>171</v>
      </c>
      <c r="F1474" s="25" t="n">
        <v>6000</v>
      </c>
      <c r="G1474" s="24" t="s">
        <v>83</v>
      </c>
      <c r="H1474" s="24" t="s">
        <v>60</v>
      </c>
      <c r="I1474" s="24" t="s">
        <v>61</v>
      </c>
      <c r="J1474" s="26" t="n">
        <f aca="false">IF(A1474="","",YEAR(A1474))</f>
        <v>2026</v>
      </c>
      <c r="K1474" s="26" t="n">
        <f aca="false">IF(A1474="","",MONTH(A1474))</f>
        <v>2</v>
      </c>
      <c r="L1474" s="26" t="n">
        <f aca="false">IF(B1474="","",VALUE(LEFT(B1474,2)))</f>
        <v>15</v>
      </c>
      <c r="M1474" s="26" t="n">
        <f aca="false">IF(A1474="","",IF(COUNTIFS($C$2:$C$5001,C1474,$J$2:$J$5001,J1474,$A$2:$A$5001,"&lt;"&amp;A1474)=0,1,0))</f>
        <v>0</v>
      </c>
    </row>
    <row r="1475" customFormat="false" ht="15" hidden="false" customHeight="false" outlineLevel="0" collapsed="false">
      <c r="A1475" s="23" t="n">
        <v>46061.7645833333</v>
      </c>
      <c r="B1475" s="24" t="s">
        <v>135</v>
      </c>
      <c r="C1475" s="24" t="s">
        <v>512</v>
      </c>
      <c r="D1475" s="24" t="s">
        <v>66</v>
      </c>
      <c r="E1475" s="24" t="n">
        <v>417</v>
      </c>
      <c r="F1475" s="25" t="n">
        <v>14000</v>
      </c>
      <c r="G1475" s="24" t="s">
        <v>59</v>
      </c>
      <c r="H1475" s="24" t="s">
        <v>55</v>
      </c>
      <c r="I1475" s="24" t="s">
        <v>61</v>
      </c>
      <c r="J1475" s="26" t="n">
        <f aca="false">IF(A1475="","",YEAR(A1475))</f>
        <v>2026</v>
      </c>
      <c r="K1475" s="26" t="n">
        <f aca="false">IF(A1475="","",MONTH(A1475))</f>
        <v>2</v>
      </c>
      <c r="L1475" s="26" t="n">
        <f aca="false">IF(B1475="","",VALUE(LEFT(B1475,2)))</f>
        <v>11</v>
      </c>
      <c r="M1475" s="26" t="n">
        <f aca="false">IF(A1475="","",IF(COUNTIFS($C$2:$C$5001,C1475,$J$2:$J$5001,J1475,$A$2:$A$5001,"&lt;"&amp;A1475)=0,1,0))</f>
        <v>0</v>
      </c>
    </row>
    <row r="1476" customFormat="false" ht="15" hidden="false" customHeight="false" outlineLevel="0" collapsed="false">
      <c r="A1476" s="23" t="n">
        <v>46061.9611111111</v>
      </c>
      <c r="B1476" s="24" t="s">
        <v>936</v>
      </c>
      <c r="C1476" s="24" t="s">
        <v>347</v>
      </c>
      <c r="D1476" s="24" t="s">
        <v>88</v>
      </c>
      <c r="E1476" s="24" t="n">
        <v>305</v>
      </c>
      <c r="F1476" s="25" t="n">
        <v>16500</v>
      </c>
      <c r="G1476" s="24" t="s">
        <v>59</v>
      </c>
      <c r="H1476" s="24" t="s">
        <v>80</v>
      </c>
      <c r="I1476" s="24" t="s">
        <v>61</v>
      </c>
      <c r="J1476" s="26" t="n">
        <f aca="false">IF(A1476="","",YEAR(A1476))</f>
        <v>2026</v>
      </c>
      <c r="K1476" s="26" t="n">
        <f aca="false">IF(A1476="","",MONTH(A1476))</f>
        <v>2</v>
      </c>
      <c r="L1476" s="26" t="n">
        <f aca="false">IF(B1476="","",VALUE(LEFT(B1476,2)))</f>
        <v>17</v>
      </c>
      <c r="M1476" s="26" t="n">
        <f aca="false">IF(A1476="","",IF(COUNTIFS($C$2:$C$5001,C1476,$J$2:$J$5001,J1476,$A$2:$A$5001,"&lt;"&amp;A1476)=0,1,0))</f>
        <v>1</v>
      </c>
    </row>
    <row r="1477" customFormat="false" ht="15" hidden="false" customHeight="false" outlineLevel="0" collapsed="false">
      <c r="A1477" s="23" t="n">
        <v>46062.5125</v>
      </c>
      <c r="B1477" s="24" t="s">
        <v>387</v>
      </c>
      <c r="C1477" s="24" t="s">
        <v>58</v>
      </c>
      <c r="D1477" s="24" t="s">
        <v>66</v>
      </c>
      <c r="E1477" s="24" t="n">
        <v>300</v>
      </c>
      <c r="F1477" s="25" t="n">
        <v>8500</v>
      </c>
      <c r="G1477" s="24" t="s">
        <v>59</v>
      </c>
      <c r="H1477" s="24" t="s">
        <v>60</v>
      </c>
      <c r="I1477" s="24" t="s">
        <v>113</v>
      </c>
      <c r="J1477" s="26" t="n">
        <f aca="false">IF(A1477="","",YEAR(A1477))</f>
        <v>2026</v>
      </c>
      <c r="K1477" s="26" t="n">
        <f aca="false">IF(A1477="","",MONTH(A1477))</f>
        <v>2</v>
      </c>
      <c r="L1477" s="26" t="n">
        <f aca="false">IF(B1477="","",VALUE(LEFT(B1477,2)))</f>
        <v>7</v>
      </c>
      <c r="M1477" s="26" t="n">
        <f aca="false">IF(A1477="","",IF(COUNTIFS($C$2:$C$5001,C1477,$J$2:$J$5001,J1477,$A$2:$A$5001,"&lt;"&amp;A1477)=0,1,0))</f>
        <v>0</v>
      </c>
    </row>
    <row r="1478" customFormat="false" ht="15" hidden="false" customHeight="false" outlineLevel="0" collapsed="false">
      <c r="A1478" s="23" t="n">
        <v>46062.6798611111</v>
      </c>
      <c r="B1478" s="24" t="s">
        <v>590</v>
      </c>
      <c r="C1478" s="24" t="s">
        <v>110</v>
      </c>
      <c r="D1478" s="24" t="s">
        <v>66</v>
      </c>
      <c r="E1478" s="24" t="n">
        <v>131</v>
      </c>
      <c r="F1478" s="25" t="n">
        <v>5000</v>
      </c>
      <c r="G1478" s="24" t="s">
        <v>79</v>
      </c>
      <c r="H1478" s="24" t="s">
        <v>60</v>
      </c>
      <c r="I1478" s="24" t="s">
        <v>61</v>
      </c>
      <c r="J1478" s="26" t="n">
        <f aca="false">IF(A1478="","",YEAR(A1478))</f>
        <v>2026</v>
      </c>
      <c r="K1478" s="26" t="n">
        <f aca="false">IF(A1478="","",MONTH(A1478))</f>
        <v>2</v>
      </c>
      <c r="L1478" s="26" t="n">
        <f aca="false">IF(B1478="","",VALUE(LEFT(B1478,2)))</f>
        <v>14</v>
      </c>
      <c r="M1478" s="26" t="n">
        <f aca="false">IF(A1478="","",IF(COUNTIFS($C$2:$C$5001,C1478,$J$2:$J$5001,J1478,$A$2:$A$5001,"&lt;"&amp;A1478)=0,1,0))</f>
        <v>0</v>
      </c>
    </row>
    <row r="1479" customFormat="false" ht="15" hidden="false" customHeight="false" outlineLevel="0" collapsed="false">
      <c r="A1479" s="23" t="n">
        <v>46062.7680555556</v>
      </c>
      <c r="B1479" s="24" t="s">
        <v>928</v>
      </c>
      <c r="C1479" s="24" t="s">
        <v>467</v>
      </c>
      <c r="D1479" s="24" t="s">
        <v>53</v>
      </c>
      <c r="E1479" s="24" t="n">
        <v>71</v>
      </c>
      <c r="F1479" s="25" t="n">
        <v>1500</v>
      </c>
      <c r="G1479" s="24" t="s">
        <v>59</v>
      </c>
      <c r="H1479" s="24" t="s">
        <v>60</v>
      </c>
      <c r="I1479" s="24" t="s">
        <v>61</v>
      </c>
      <c r="J1479" s="26" t="n">
        <f aca="false">IF(A1479="","",YEAR(A1479))</f>
        <v>2026</v>
      </c>
      <c r="K1479" s="26" t="n">
        <f aca="false">IF(A1479="","",MONTH(A1479))</f>
        <v>2</v>
      </c>
      <c r="L1479" s="26" t="n">
        <f aca="false">IF(B1479="","",VALUE(LEFT(B1479,2)))</f>
        <v>17</v>
      </c>
      <c r="M1479" s="26" t="n">
        <f aca="false">IF(A1479="","",IF(COUNTIFS($C$2:$C$5001,C1479,$J$2:$J$5001,J1479,$A$2:$A$5001,"&lt;"&amp;A1479)=0,1,0))</f>
        <v>0</v>
      </c>
    </row>
    <row r="1480" customFormat="false" ht="15" hidden="false" customHeight="false" outlineLevel="0" collapsed="false">
      <c r="A1480" s="23" t="n">
        <v>46062.7729166667</v>
      </c>
      <c r="B1480" s="24" t="s">
        <v>525</v>
      </c>
      <c r="C1480" s="24" t="s">
        <v>194</v>
      </c>
      <c r="D1480" s="24" t="s">
        <v>53</v>
      </c>
      <c r="E1480" s="24" t="n">
        <v>249</v>
      </c>
      <c r="F1480" s="25" t="n">
        <v>4500</v>
      </c>
      <c r="G1480" s="24" t="s">
        <v>83</v>
      </c>
      <c r="H1480" s="24" t="s">
        <v>60</v>
      </c>
      <c r="I1480" s="24" t="s">
        <v>61</v>
      </c>
      <c r="J1480" s="26" t="n">
        <f aca="false">IF(A1480="","",YEAR(A1480))</f>
        <v>2026</v>
      </c>
      <c r="K1480" s="26" t="n">
        <f aca="false">IF(A1480="","",MONTH(A1480))</f>
        <v>2</v>
      </c>
      <c r="L1480" s="26" t="n">
        <f aca="false">IF(B1480="","",VALUE(LEFT(B1480,2)))</f>
        <v>14</v>
      </c>
      <c r="M1480" s="26" t="n">
        <f aca="false">IF(A1480="","",IF(COUNTIFS($C$2:$C$5001,C1480,$J$2:$J$5001,J1480,$A$2:$A$5001,"&lt;"&amp;A1480)=0,1,0))</f>
        <v>1</v>
      </c>
    </row>
    <row r="1481" customFormat="false" ht="15" hidden="false" customHeight="false" outlineLevel="0" collapsed="false">
      <c r="A1481" s="23" t="n">
        <v>46062.8236111111</v>
      </c>
      <c r="B1481" s="24" t="s">
        <v>308</v>
      </c>
      <c r="C1481" s="24" t="s">
        <v>561</v>
      </c>
      <c r="D1481" s="24" t="s">
        <v>53</v>
      </c>
      <c r="E1481" s="24" t="n">
        <v>130</v>
      </c>
      <c r="F1481" s="25" t="n">
        <v>2500</v>
      </c>
      <c r="G1481" s="24" t="s">
        <v>69</v>
      </c>
      <c r="H1481" s="24" t="s">
        <v>80</v>
      </c>
      <c r="I1481" s="24" t="s">
        <v>61</v>
      </c>
      <c r="J1481" s="26" t="n">
        <f aca="false">IF(A1481="","",YEAR(A1481))</f>
        <v>2026</v>
      </c>
      <c r="K1481" s="26" t="n">
        <f aca="false">IF(A1481="","",MONTH(A1481))</f>
        <v>2</v>
      </c>
      <c r="L1481" s="26" t="n">
        <f aca="false">IF(B1481="","",VALUE(LEFT(B1481,2)))</f>
        <v>17</v>
      </c>
      <c r="M1481" s="26" t="n">
        <f aca="false">IF(A1481="","",IF(COUNTIFS($C$2:$C$5001,C1481,$J$2:$J$5001,J1481,$A$2:$A$5001,"&lt;"&amp;A1481)=0,1,0))</f>
        <v>1</v>
      </c>
    </row>
    <row r="1482" customFormat="false" ht="15" hidden="false" customHeight="false" outlineLevel="0" collapsed="false">
      <c r="A1482" s="23" t="n">
        <v>46063.08125</v>
      </c>
      <c r="B1482" s="24" t="s">
        <v>937</v>
      </c>
      <c r="C1482" s="24" t="s">
        <v>373</v>
      </c>
      <c r="D1482" s="24" t="s">
        <v>127</v>
      </c>
      <c r="E1482" s="24" t="n">
        <v>358</v>
      </c>
      <c r="F1482" s="25" t="n">
        <v>0</v>
      </c>
      <c r="G1482" s="24" t="s">
        <v>59</v>
      </c>
      <c r="H1482" s="24" t="s">
        <v>55</v>
      </c>
      <c r="I1482" s="24" t="s">
        <v>56</v>
      </c>
      <c r="J1482" s="26" t="n">
        <f aca="false">IF(A1482="","",YEAR(A1482))</f>
        <v>2026</v>
      </c>
      <c r="K1482" s="26" t="n">
        <f aca="false">IF(A1482="","",MONTH(A1482))</f>
        <v>2</v>
      </c>
      <c r="L1482" s="26" t="n">
        <f aca="false">IF(B1482="","",VALUE(LEFT(B1482,2)))</f>
        <v>19</v>
      </c>
      <c r="M1482" s="26" t="n">
        <f aca="false">IF(A1482="","",IF(COUNTIFS($C$2:$C$5001,C1482,$J$2:$J$5001,J1482,$A$2:$A$5001,"&lt;"&amp;A1482)=0,1,0))</f>
        <v>1</v>
      </c>
    </row>
    <row r="1483" customFormat="false" ht="15" hidden="false" customHeight="false" outlineLevel="0" collapsed="false">
      <c r="A1483" s="23" t="n">
        <v>46063.4340277778</v>
      </c>
      <c r="B1483" s="24" t="s">
        <v>270</v>
      </c>
      <c r="C1483" s="24" t="s">
        <v>343</v>
      </c>
      <c r="D1483" s="24" t="s">
        <v>66</v>
      </c>
      <c r="E1483" s="24" t="n">
        <v>132</v>
      </c>
      <c r="F1483" s="25" t="n">
        <v>5000</v>
      </c>
      <c r="G1483" s="24" t="s">
        <v>69</v>
      </c>
      <c r="H1483" s="24" t="s">
        <v>55</v>
      </c>
      <c r="I1483" s="24" t="s">
        <v>61</v>
      </c>
      <c r="J1483" s="26" t="n">
        <f aca="false">IF(A1483="","",YEAR(A1483))</f>
        <v>2026</v>
      </c>
      <c r="K1483" s="26" t="n">
        <f aca="false">IF(A1483="","",MONTH(A1483))</f>
        <v>2</v>
      </c>
      <c r="L1483" s="26" t="n">
        <f aca="false">IF(B1483="","",VALUE(LEFT(B1483,2)))</f>
        <v>8</v>
      </c>
      <c r="M1483" s="26" t="n">
        <f aca="false">IF(A1483="","",IF(COUNTIFS($C$2:$C$5001,C1483,$J$2:$J$5001,J1483,$A$2:$A$5001,"&lt;"&amp;A1483)=0,1,0))</f>
        <v>0</v>
      </c>
    </row>
    <row r="1484" customFormat="false" ht="15" hidden="false" customHeight="false" outlineLevel="0" collapsed="false">
      <c r="A1484" s="23" t="n">
        <v>46063.4493055556</v>
      </c>
      <c r="B1484" s="24" t="s">
        <v>457</v>
      </c>
      <c r="C1484" s="24" t="s">
        <v>312</v>
      </c>
      <c r="D1484" s="24" t="s">
        <v>53</v>
      </c>
      <c r="E1484" s="24" t="n">
        <v>181</v>
      </c>
      <c r="F1484" s="25" t="n">
        <v>3500</v>
      </c>
      <c r="G1484" s="24" t="s">
        <v>59</v>
      </c>
      <c r="H1484" s="24" t="s">
        <v>55</v>
      </c>
      <c r="I1484" s="24" t="s">
        <v>61</v>
      </c>
      <c r="J1484" s="26" t="n">
        <f aca="false">IF(A1484="","",YEAR(A1484))</f>
        <v>2026</v>
      </c>
      <c r="K1484" s="26" t="n">
        <f aca="false">IF(A1484="","",MONTH(A1484))</f>
        <v>2</v>
      </c>
      <c r="L1484" s="26" t="n">
        <f aca="false">IF(B1484="","",VALUE(LEFT(B1484,2)))</f>
        <v>7</v>
      </c>
      <c r="M1484" s="26" t="n">
        <f aca="false">IF(A1484="","",IF(COUNTIFS($C$2:$C$5001,C1484,$J$2:$J$5001,J1484,$A$2:$A$5001,"&lt;"&amp;A1484)=0,1,0))</f>
        <v>1</v>
      </c>
    </row>
    <row r="1485" customFormat="false" ht="15" hidden="false" customHeight="false" outlineLevel="0" collapsed="false">
      <c r="A1485" s="23" t="n">
        <v>46063.4493055556</v>
      </c>
      <c r="B1485" s="24" t="s">
        <v>753</v>
      </c>
      <c r="C1485" s="24" t="s">
        <v>602</v>
      </c>
      <c r="D1485" s="24" t="s">
        <v>53</v>
      </c>
      <c r="E1485" s="24" t="n">
        <v>79</v>
      </c>
      <c r="F1485" s="25" t="n">
        <v>1500</v>
      </c>
      <c r="G1485" s="24" t="s">
        <v>69</v>
      </c>
      <c r="H1485" s="24" t="s">
        <v>60</v>
      </c>
      <c r="I1485" s="24" t="s">
        <v>61</v>
      </c>
      <c r="J1485" s="26" t="n">
        <f aca="false">IF(A1485="","",YEAR(A1485))</f>
        <v>2026</v>
      </c>
      <c r="K1485" s="26" t="n">
        <f aca="false">IF(A1485="","",MONTH(A1485))</f>
        <v>2</v>
      </c>
      <c r="L1485" s="26" t="n">
        <f aca="false">IF(B1485="","",VALUE(LEFT(B1485,2)))</f>
        <v>9</v>
      </c>
      <c r="M1485" s="26" t="n">
        <f aca="false">IF(A1485="","",IF(COUNTIFS($C$2:$C$5001,C1485,$J$2:$J$5001,J1485,$A$2:$A$5001,"&lt;"&amp;A1485)=0,1,0))</f>
        <v>0</v>
      </c>
    </row>
    <row r="1486" customFormat="false" ht="15" hidden="false" customHeight="false" outlineLevel="0" collapsed="false">
      <c r="A1486" s="23" t="n">
        <v>46063.5083333333</v>
      </c>
      <c r="B1486" s="24" t="s">
        <v>457</v>
      </c>
      <c r="C1486" s="24" t="s">
        <v>268</v>
      </c>
      <c r="D1486" s="24" t="s">
        <v>66</v>
      </c>
      <c r="E1486" s="24" t="n">
        <v>266</v>
      </c>
      <c r="F1486" s="25" t="n">
        <v>9000</v>
      </c>
      <c r="G1486" s="24" t="s">
        <v>59</v>
      </c>
      <c r="H1486" s="24" t="s">
        <v>80</v>
      </c>
      <c r="I1486" s="24" t="s">
        <v>61</v>
      </c>
      <c r="J1486" s="26" t="n">
        <f aca="false">IF(A1486="","",YEAR(A1486))</f>
        <v>2026</v>
      </c>
      <c r="K1486" s="26" t="n">
        <f aca="false">IF(A1486="","",MONTH(A1486))</f>
        <v>2</v>
      </c>
      <c r="L1486" s="26" t="n">
        <f aca="false">IF(B1486="","",VALUE(LEFT(B1486,2)))</f>
        <v>7</v>
      </c>
      <c r="M1486" s="26" t="n">
        <f aca="false">IF(A1486="","",IF(COUNTIFS($C$2:$C$5001,C1486,$J$2:$J$5001,J1486,$A$2:$A$5001,"&lt;"&amp;A1486)=0,1,0))</f>
        <v>0</v>
      </c>
    </row>
    <row r="1487" customFormat="false" ht="15" hidden="false" customHeight="false" outlineLevel="0" collapsed="false">
      <c r="A1487" s="23" t="n">
        <v>46063.5118055556</v>
      </c>
      <c r="B1487" s="24" t="s">
        <v>639</v>
      </c>
      <c r="C1487" s="24" t="s">
        <v>467</v>
      </c>
      <c r="D1487" s="24" t="s">
        <v>127</v>
      </c>
      <c r="E1487" s="24" t="n">
        <v>221</v>
      </c>
      <c r="F1487" s="25" t="n">
        <v>14000</v>
      </c>
      <c r="G1487" s="24" t="s">
        <v>69</v>
      </c>
      <c r="H1487" s="24" t="s">
        <v>55</v>
      </c>
      <c r="I1487" s="24" t="s">
        <v>61</v>
      </c>
      <c r="J1487" s="26" t="n">
        <f aca="false">IF(A1487="","",YEAR(A1487))</f>
        <v>2026</v>
      </c>
      <c r="K1487" s="26" t="n">
        <f aca="false">IF(A1487="","",MONTH(A1487))</f>
        <v>2</v>
      </c>
      <c r="L1487" s="26" t="n">
        <f aca="false">IF(B1487="","",VALUE(LEFT(B1487,2)))</f>
        <v>8</v>
      </c>
      <c r="M1487" s="26" t="n">
        <f aca="false">IF(A1487="","",IF(COUNTIFS($C$2:$C$5001,C1487,$J$2:$J$5001,J1487,$A$2:$A$5001,"&lt;"&amp;A1487)=0,1,0))</f>
        <v>0</v>
      </c>
    </row>
    <row r="1488" customFormat="false" ht="15" hidden="false" customHeight="false" outlineLevel="0" collapsed="false">
      <c r="A1488" s="23" t="n">
        <v>46063.5402777778</v>
      </c>
      <c r="B1488" s="24" t="s">
        <v>458</v>
      </c>
      <c r="C1488" s="24" t="s">
        <v>100</v>
      </c>
      <c r="D1488" s="24" t="s">
        <v>53</v>
      </c>
      <c r="E1488" s="24" t="n">
        <v>129</v>
      </c>
      <c r="F1488" s="25" t="n">
        <v>2500</v>
      </c>
      <c r="G1488" s="24" t="s">
        <v>59</v>
      </c>
      <c r="H1488" s="24" t="s">
        <v>80</v>
      </c>
      <c r="I1488" s="24" t="s">
        <v>61</v>
      </c>
      <c r="J1488" s="26" t="n">
        <f aca="false">IF(A1488="","",YEAR(A1488))</f>
        <v>2026</v>
      </c>
      <c r="K1488" s="26" t="n">
        <f aca="false">IF(A1488="","",MONTH(A1488))</f>
        <v>2</v>
      </c>
      <c r="L1488" s="26" t="n">
        <f aca="false">IF(B1488="","",VALUE(LEFT(B1488,2)))</f>
        <v>10</v>
      </c>
      <c r="M1488" s="26" t="n">
        <f aca="false">IF(A1488="","",IF(COUNTIFS($C$2:$C$5001,C1488,$J$2:$J$5001,J1488,$A$2:$A$5001,"&lt;"&amp;A1488)=0,1,0))</f>
        <v>0</v>
      </c>
    </row>
    <row r="1489" customFormat="false" ht="15" hidden="false" customHeight="false" outlineLevel="0" collapsed="false">
      <c r="A1489" s="23" t="n">
        <v>46063.6208333333</v>
      </c>
      <c r="B1489" s="24" t="s">
        <v>575</v>
      </c>
      <c r="C1489" s="24" t="s">
        <v>345</v>
      </c>
      <c r="D1489" s="24" t="s">
        <v>72</v>
      </c>
      <c r="E1489" s="24" t="n">
        <v>127</v>
      </c>
      <c r="F1489" s="25" t="n">
        <v>10000</v>
      </c>
      <c r="G1489" s="24" t="s">
        <v>69</v>
      </c>
      <c r="H1489" s="24" t="s">
        <v>55</v>
      </c>
      <c r="I1489" s="24" t="s">
        <v>61</v>
      </c>
      <c r="J1489" s="26" t="n">
        <f aca="false">IF(A1489="","",YEAR(A1489))</f>
        <v>2026</v>
      </c>
      <c r="K1489" s="26" t="n">
        <f aca="false">IF(A1489="","",MONTH(A1489))</f>
        <v>2</v>
      </c>
      <c r="L1489" s="26" t="n">
        <f aca="false">IF(B1489="","",VALUE(LEFT(B1489,2)))</f>
        <v>12</v>
      </c>
      <c r="M1489" s="26" t="n">
        <f aca="false">IF(A1489="","",IF(COUNTIFS($C$2:$C$5001,C1489,$J$2:$J$5001,J1489,$A$2:$A$5001,"&lt;"&amp;A1489)=0,1,0))</f>
        <v>0</v>
      </c>
    </row>
    <row r="1490" customFormat="false" ht="15" hidden="false" customHeight="false" outlineLevel="0" collapsed="false">
      <c r="A1490" s="23" t="n">
        <v>46063.6979166667</v>
      </c>
      <c r="B1490" s="24" t="s">
        <v>923</v>
      </c>
      <c r="C1490" s="24" t="s">
        <v>938</v>
      </c>
      <c r="D1490" s="24" t="s">
        <v>66</v>
      </c>
      <c r="E1490" s="24" t="n">
        <v>286</v>
      </c>
      <c r="F1490" s="25" t="n">
        <v>0</v>
      </c>
      <c r="G1490" s="24" t="s">
        <v>59</v>
      </c>
      <c r="H1490" s="24" t="s">
        <v>80</v>
      </c>
      <c r="I1490" s="24" t="s">
        <v>56</v>
      </c>
      <c r="J1490" s="26" t="n">
        <f aca="false">IF(A1490="","",YEAR(A1490))</f>
        <v>2026</v>
      </c>
      <c r="K1490" s="26" t="n">
        <f aca="false">IF(A1490="","",MONTH(A1490))</f>
        <v>2</v>
      </c>
      <c r="L1490" s="26" t="n">
        <f aca="false">IF(B1490="","",VALUE(LEFT(B1490,2)))</f>
        <v>11</v>
      </c>
      <c r="M1490" s="26" t="n">
        <f aca="false">IF(A1490="","",IF(COUNTIFS($C$2:$C$5001,C1490,$J$2:$J$5001,J1490,$A$2:$A$5001,"&lt;"&amp;A1490)=0,1,0))</f>
        <v>1</v>
      </c>
    </row>
    <row r="1491" customFormat="false" ht="15" hidden="false" customHeight="false" outlineLevel="0" collapsed="false">
      <c r="A1491" s="23" t="n">
        <v>46063.7243055556</v>
      </c>
      <c r="B1491" s="24" t="s">
        <v>745</v>
      </c>
      <c r="C1491" s="24" t="s">
        <v>240</v>
      </c>
      <c r="D1491" s="24" t="s">
        <v>66</v>
      </c>
      <c r="E1491" s="24" t="n">
        <v>399</v>
      </c>
      <c r="F1491" s="25" t="n">
        <v>14000</v>
      </c>
      <c r="G1491" s="24" t="s">
        <v>69</v>
      </c>
      <c r="H1491" s="24" t="s">
        <v>55</v>
      </c>
      <c r="I1491" s="24" t="s">
        <v>61</v>
      </c>
      <c r="J1491" s="26" t="n">
        <f aca="false">IF(A1491="","",YEAR(A1491))</f>
        <v>2026</v>
      </c>
      <c r="K1491" s="26" t="n">
        <f aca="false">IF(A1491="","",MONTH(A1491))</f>
        <v>2</v>
      </c>
      <c r="L1491" s="26" t="n">
        <f aca="false">IF(B1491="","",VALUE(LEFT(B1491,2)))</f>
        <v>10</v>
      </c>
      <c r="M1491" s="26" t="n">
        <f aca="false">IF(A1491="","",IF(COUNTIFS($C$2:$C$5001,C1491,$J$2:$J$5001,J1491,$A$2:$A$5001,"&lt;"&amp;A1491)=0,1,0))</f>
        <v>1</v>
      </c>
    </row>
    <row r="1492" customFormat="false" ht="15" hidden="false" customHeight="false" outlineLevel="0" collapsed="false">
      <c r="A1492" s="23" t="n">
        <v>46063.83125</v>
      </c>
      <c r="B1492" s="24" t="s">
        <v>720</v>
      </c>
      <c r="C1492" s="24" t="s">
        <v>353</v>
      </c>
      <c r="D1492" s="24" t="s">
        <v>66</v>
      </c>
      <c r="E1492" s="24" t="n">
        <v>337</v>
      </c>
      <c r="F1492" s="25" t="n">
        <v>12000</v>
      </c>
      <c r="G1492" s="24" t="s">
        <v>69</v>
      </c>
      <c r="H1492" s="24" t="s">
        <v>55</v>
      </c>
      <c r="I1492" s="24" t="s">
        <v>61</v>
      </c>
      <c r="J1492" s="26" t="n">
        <f aca="false">IF(A1492="","",YEAR(A1492))</f>
        <v>2026</v>
      </c>
      <c r="K1492" s="26" t="n">
        <f aca="false">IF(A1492="","",MONTH(A1492))</f>
        <v>2</v>
      </c>
      <c r="L1492" s="26" t="n">
        <f aca="false">IF(B1492="","",VALUE(LEFT(B1492,2)))</f>
        <v>14</v>
      </c>
      <c r="M1492" s="26" t="n">
        <f aca="false">IF(A1492="","",IF(COUNTIFS($C$2:$C$5001,C1492,$J$2:$J$5001,J1492,$A$2:$A$5001,"&lt;"&amp;A1492)=0,1,0))</f>
        <v>1</v>
      </c>
    </row>
    <row r="1493" customFormat="false" ht="15" hidden="false" customHeight="false" outlineLevel="0" collapsed="false">
      <c r="A1493" s="23" t="n">
        <v>46063.9375</v>
      </c>
      <c r="B1493" s="24" t="s">
        <v>728</v>
      </c>
      <c r="C1493" s="24" t="s">
        <v>353</v>
      </c>
      <c r="D1493" s="24" t="s">
        <v>66</v>
      </c>
      <c r="E1493" s="24" t="n">
        <v>420</v>
      </c>
      <c r="F1493" s="25" t="n">
        <v>14000</v>
      </c>
      <c r="G1493" s="24" t="s">
        <v>59</v>
      </c>
      <c r="H1493" s="24" t="s">
        <v>60</v>
      </c>
      <c r="I1493" s="24" t="s">
        <v>61</v>
      </c>
      <c r="J1493" s="26" t="n">
        <f aca="false">IF(A1493="","",YEAR(A1493))</f>
        <v>2026</v>
      </c>
      <c r="K1493" s="26" t="n">
        <f aca="false">IF(A1493="","",MONTH(A1493))</f>
        <v>2</v>
      </c>
      <c r="L1493" s="26" t="n">
        <f aca="false">IF(B1493="","",VALUE(LEFT(B1493,2)))</f>
        <v>15</v>
      </c>
      <c r="M1493" s="26" t="n">
        <f aca="false">IF(A1493="","",IF(COUNTIFS($C$2:$C$5001,C1493,$J$2:$J$5001,J1493,$A$2:$A$5001,"&lt;"&amp;A1493)=0,1,0))</f>
        <v>0</v>
      </c>
    </row>
    <row r="1494" customFormat="false" ht="15" hidden="false" customHeight="false" outlineLevel="0" collapsed="false">
      <c r="A1494" s="23" t="n">
        <v>46064.0965277778</v>
      </c>
      <c r="B1494" s="24" t="s">
        <v>765</v>
      </c>
      <c r="C1494" s="24" t="s">
        <v>172</v>
      </c>
      <c r="D1494" s="24" t="s">
        <v>53</v>
      </c>
      <c r="E1494" s="24" t="n">
        <v>389</v>
      </c>
      <c r="F1494" s="25" t="n">
        <v>6500</v>
      </c>
      <c r="G1494" s="24" t="s">
        <v>59</v>
      </c>
      <c r="H1494" s="24" t="s">
        <v>60</v>
      </c>
      <c r="I1494" s="24" t="s">
        <v>61</v>
      </c>
      <c r="J1494" s="26" t="n">
        <f aca="false">IF(A1494="","",YEAR(A1494))</f>
        <v>2026</v>
      </c>
      <c r="K1494" s="26" t="n">
        <f aca="false">IF(A1494="","",MONTH(A1494))</f>
        <v>2</v>
      </c>
      <c r="L1494" s="26" t="n">
        <f aca="false">IF(B1494="","",VALUE(LEFT(B1494,2)))</f>
        <v>19</v>
      </c>
      <c r="M1494" s="26" t="n">
        <f aca="false">IF(A1494="","",IF(COUNTIFS($C$2:$C$5001,C1494,$J$2:$J$5001,J1494,$A$2:$A$5001,"&lt;"&amp;A1494)=0,1,0))</f>
        <v>0</v>
      </c>
    </row>
    <row r="1495" customFormat="false" ht="15" hidden="false" customHeight="false" outlineLevel="0" collapsed="false">
      <c r="A1495" s="23" t="n">
        <v>46064.3805555556</v>
      </c>
      <c r="B1495" s="24" t="s">
        <v>889</v>
      </c>
      <c r="C1495" s="24" t="s">
        <v>286</v>
      </c>
      <c r="D1495" s="24" t="s">
        <v>66</v>
      </c>
      <c r="E1495" s="24" t="n">
        <v>149</v>
      </c>
      <c r="F1495" s="25" t="n">
        <v>0</v>
      </c>
      <c r="G1495" s="24" t="s">
        <v>83</v>
      </c>
      <c r="H1495" s="24" t="s">
        <v>55</v>
      </c>
      <c r="I1495" s="24" t="s">
        <v>56</v>
      </c>
      <c r="J1495" s="26" t="n">
        <f aca="false">IF(A1495="","",YEAR(A1495))</f>
        <v>2026</v>
      </c>
      <c r="K1495" s="26" t="n">
        <f aca="false">IF(A1495="","",MONTH(A1495))</f>
        <v>2</v>
      </c>
      <c r="L1495" s="26" t="n">
        <f aca="false">IF(B1495="","",VALUE(LEFT(B1495,2)))</f>
        <v>6</v>
      </c>
      <c r="M1495" s="26" t="n">
        <f aca="false">IF(A1495="","",IF(COUNTIFS($C$2:$C$5001,C1495,$J$2:$J$5001,J1495,$A$2:$A$5001,"&lt;"&amp;A1495)=0,1,0))</f>
        <v>0</v>
      </c>
    </row>
    <row r="1496" customFormat="false" ht="15" hidden="false" customHeight="false" outlineLevel="0" collapsed="false">
      <c r="A1496" s="23" t="n">
        <v>46064.6027777778</v>
      </c>
      <c r="B1496" s="24" t="s">
        <v>758</v>
      </c>
      <c r="C1496" s="24" t="s">
        <v>201</v>
      </c>
      <c r="D1496" s="24" t="s">
        <v>66</v>
      </c>
      <c r="E1496" s="24" t="n">
        <v>298</v>
      </c>
      <c r="F1496" s="25" t="n">
        <v>10000</v>
      </c>
      <c r="G1496" s="24" t="s">
        <v>59</v>
      </c>
      <c r="H1496" s="24" t="s">
        <v>60</v>
      </c>
      <c r="I1496" s="24" t="s">
        <v>61</v>
      </c>
      <c r="J1496" s="26" t="n">
        <f aca="false">IF(A1496="","",YEAR(A1496))</f>
        <v>2026</v>
      </c>
      <c r="K1496" s="26" t="n">
        <f aca="false">IF(A1496="","",MONTH(A1496))</f>
        <v>2</v>
      </c>
      <c r="L1496" s="26" t="n">
        <f aca="false">IF(B1496="","",VALUE(LEFT(B1496,2)))</f>
        <v>9</v>
      </c>
      <c r="M1496" s="26" t="n">
        <f aca="false">IF(A1496="","",IF(COUNTIFS($C$2:$C$5001,C1496,$J$2:$J$5001,J1496,$A$2:$A$5001,"&lt;"&amp;A1496)=0,1,0))</f>
        <v>0</v>
      </c>
    </row>
    <row r="1497" customFormat="false" ht="15" hidden="false" customHeight="false" outlineLevel="0" collapsed="false">
      <c r="A1497" s="23" t="n">
        <v>46064.6291666667</v>
      </c>
      <c r="B1497" s="24" t="s">
        <v>215</v>
      </c>
      <c r="C1497" s="24" t="s">
        <v>345</v>
      </c>
      <c r="D1497" s="24" t="s">
        <v>72</v>
      </c>
      <c r="E1497" s="24" t="n">
        <v>215</v>
      </c>
      <c r="F1497" s="25" t="n">
        <v>13600</v>
      </c>
      <c r="G1497" s="24" t="s">
        <v>59</v>
      </c>
      <c r="H1497" s="24" t="s">
        <v>55</v>
      </c>
      <c r="I1497" s="24" t="s">
        <v>113</v>
      </c>
      <c r="J1497" s="26" t="n">
        <f aca="false">IF(A1497="","",YEAR(A1497))</f>
        <v>2026</v>
      </c>
      <c r="K1497" s="26" t="n">
        <f aca="false">IF(A1497="","",MONTH(A1497))</f>
        <v>2</v>
      </c>
      <c r="L1497" s="26" t="n">
        <f aca="false">IF(B1497="","",VALUE(LEFT(B1497,2)))</f>
        <v>11</v>
      </c>
      <c r="M1497" s="26" t="n">
        <f aca="false">IF(A1497="","",IF(COUNTIFS($C$2:$C$5001,C1497,$J$2:$J$5001,J1497,$A$2:$A$5001,"&lt;"&amp;A1497)=0,1,0))</f>
        <v>0</v>
      </c>
    </row>
    <row r="1498" customFormat="false" ht="15" hidden="false" customHeight="false" outlineLevel="0" collapsed="false">
      <c r="A1498" s="23" t="n">
        <v>46064.8173611111</v>
      </c>
      <c r="B1498" s="24" t="s">
        <v>146</v>
      </c>
      <c r="C1498" s="24" t="s">
        <v>240</v>
      </c>
      <c r="D1498" s="24" t="s">
        <v>66</v>
      </c>
      <c r="E1498" s="24" t="n">
        <v>176</v>
      </c>
      <c r="F1498" s="25" t="n">
        <v>5100</v>
      </c>
      <c r="G1498" s="24" t="s">
        <v>59</v>
      </c>
      <c r="H1498" s="24" t="s">
        <v>55</v>
      </c>
      <c r="I1498" s="24" t="s">
        <v>113</v>
      </c>
      <c r="J1498" s="26" t="n">
        <f aca="false">IF(A1498="","",YEAR(A1498))</f>
        <v>2026</v>
      </c>
      <c r="K1498" s="26" t="n">
        <f aca="false">IF(A1498="","",MONTH(A1498))</f>
        <v>2</v>
      </c>
      <c r="L1498" s="26" t="n">
        <f aca="false">IF(B1498="","",VALUE(LEFT(B1498,2)))</f>
        <v>16</v>
      </c>
      <c r="M1498" s="26" t="n">
        <f aca="false">IF(A1498="","",IF(COUNTIFS($C$2:$C$5001,C1498,$J$2:$J$5001,J1498,$A$2:$A$5001,"&lt;"&amp;A1498)=0,1,0))</f>
        <v>0</v>
      </c>
    </row>
    <row r="1499" customFormat="false" ht="15" hidden="false" customHeight="false" outlineLevel="0" collapsed="false">
      <c r="A1499" s="23" t="n">
        <v>46065.0138888889</v>
      </c>
      <c r="B1499" s="24" t="s">
        <v>909</v>
      </c>
      <c r="C1499" s="24" t="s">
        <v>289</v>
      </c>
      <c r="D1499" s="24" t="s">
        <v>53</v>
      </c>
      <c r="E1499" s="24" t="n">
        <v>202</v>
      </c>
      <c r="F1499" s="25" t="n">
        <v>3500</v>
      </c>
      <c r="G1499" s="24" t="s">
        <v>54</v>
      </c>
      <c r="H1499" s="24" t="s">
        <v>55</v>
      </c>
      <c r="I1499" s="24" t="s">
        <v>61</v>
      </c>
      <c r="J1499" s="26" t="n">
        <f aca="false">IF(A1499="","",YEAR(A1499))</f>
        <v>2026</v>
      </c>
      <c r="K1499" s="26" t="n">
        <f aca="false">IF(A1499="","",MONTH(A1499))</f>
        <v>2</v>
      </c>
      <c r="L1499" s="26" t="n">
        <f aca="false">IF(B1499="","",VALUE(LEFT(B1499,2)))</f>
        <v>20</v>
      </c>
      <c r="M1499" s="26" t="n">
        <f aca="false">IF(A1499="","",IF(COUNTIFS($C$2:$C$5001,C1499,$J$2:$J$5001,J1499,$A$2:$A$5001,"&lt;"&amp;A1499)=0,1,0))</f>
        <v>1</v>
      </c>
    </row>
    <row r="1500" customFormat="false" ht="15" hidden="false" customHeight="false" outlineLevel="0" collapsed="false">
      <c r="A1500" s="23" t="n">
        <v>46065.3118055556</v>
      </c>
      <c r="B1500" s="24" t="s">
        <v>115</v>
      </c>
      <c r="C1500" s="24" t="s">
        <v>158</v>
      </c>
      <c r="D1500" s="24" t="s">
        <v>53</v>
      </c>
      <c r="E1500" s="24" t="n">
        <v>60</v>
      </c>
      <c r="F1500" s="25" t="n">
        <v>1000</v>
      </c>
      <c r="G1500" s="24" t="s">
        <v>59</v>
      </c>
      <c r="H1500" s="24" t="s">
        <v>80</v>
      </c>
      <c r="I1500" s="24" t="s">
        <v>61</v>
      </c>
      <c r="J1500" s="26" t="n">
        <f aca="false">IF(A1500="","",YEAR(A1500))</f>
        <v>2026</v>
      </c>
      <c r="K1500" s="26" t="n">
        <f aca="false">IF(A1500="","",MONTH(A1500))</f>
        <v>2</v>
      </c>
      <c r="L1500" s="26" t="n">
        <f aca="false">IF(B1500="","",VALUE(LEFT(B1500,2)))</f>
        <v>6</v>
      </c>
      <c r="M1500" s="26" t="n">
        <f aca="false">IF(A1500="","",IF(COUNTIFS($C$2:$C$5001,C1500,$J$2:$J$5001,J1500,$A$2:$A$5001,"&lt;"&amp;A1500)=0,1,0))</f>
        <v>0</v>
      </c>
    </row>
    <row r="1501" customFormat="false" ht="15" hidden="false" customHeight="false" outlineLevel="0" collapsed="false">
      <c r="A1501" s="23" t="n">
        <v>46065.4493055556</v>
      </c>
      <c r="B1501" s="24" t="s">
        <v>655</v>
      </c>
      <c r="C1501" s="24" t="s">
        <v>235</v>
      </c>
      <c r="D1501" s="24" t="s">
        <v>53</v>
      </c>
      <c r="E1501" s="24" t="n">
        <v>99</v>
      </c>
      <c r="F1501" s="25" t="n">
        <v>2000</v>
      </c>
      <c r="G1501" s="24" t="s">
        <v>83</v>
      </c>
      <c r="H1501" s="24" t="s">
        <v>80</v>
      </c>
      <c r="I1501" s="24" t="s">
        <v>61</v>
      </c>
      <c r="J1501" s="26" t="n">
        <f aca="false">IF(A1501="","",YEAR(A1501))</f>
        <v>2026</v>
      </c>
      <c r="K1501" s="26" t="n">
        <f aca="false">IF(A1501="","",MONTH(A1501))</f>
        <v>2</v>
      </c>
      <c r="L1501" s="26" t="n">
        <f aca="false">IF(B1501="","",VALUE(LEFT(B1501,2)))</f>
        <v>9</v>
      </c>
      <c r="M1501" s="26" t="n">
        <f aca="false">IF(A1501="","",IF(COUNTIFS($C$2:$C$5001,C1501,$J$2:$J$5001,J1501,$A$2:$A$5001,"&lt;"&amp;A1501)=0,1,0))</f>
        <v>1</v>
      </c>
    </row>
    <row r="1502" customFormat="false" ht="15" hidden="false" customHeight="false" outlineLevel="0" collapsed="false">
      <c r="A1502" s="23" t="n">
        <v>46065.4604166667</v>
      </c>
      <c r="B1502" s="24" t="s">
        <v>939</v>
      </c>
      <c r="C1502" s="24" t="s">
        <v>373</v>
      </c>
      <c r="D1502" s="24" t="s">
        <v>66</v>
      </c>
      <c r="E1502" s="24" t="n">
        <v>198</v>
      </c>
      <c r="F1502" s="25" t="n">
        <v>7000</v>
      </c>
      <c r="G1502" s="24" t="s">
        <v>69</v>
      </c>
      <c r="H1502" s="24" t="s">
        <v>55</v>
      </c>
      <c r="I1502" s="24" t="s">
        <v>61</v>
      </c>
      <c r="J1502" s="26" t="n">
        <f aca="false">IF(A1502="","",YEAR(A1502))</f>
        <v>2026</v>
      </c>
      <c r="K1502" s="26" t="n">
        <f aca="false">IF(A1502="","",MONTH(A1502))</f>
        <v>2</v>
      </c>
      <c r="L1502" s="26" t="n">
        <f aca="false">IF(B1502="","",VALUE(LEFT(B1502,2)))</f>
        <v>7</v>
      </c>
      <c r="M1502" s="26" t="n">
        <f aca="false">IF(A1502="","",IF(COUNTIFS($C$2:$C$5001,C1502,$J$2:$J$5001,J1502,$A$2:$A$5001,"&lt;"&amp;A1502)=0,1,0))</f>
        <v>0</v>
      </c>
    </row>
    <row r="1503" customFormat="false" ht="15" hidden="false" customHeight="false" outlineLevel="0" collapsed="false">
      <c r="A1503" s="23" t="n">
        <v>46065.5423611111</v>
      </c>
      <c r="B1503" s="24" t="s">
        <v>187</v>
      </c>
      <c r="C1503" s="24" t="s">
        <v>172</v>
      </c>
      <c r="D1503" s="24" t="s">
        <v>53</v>
      </c>
      <c r="E1503" s="24" t="n">
        <v>232</v>
      </c>
      <c r="F1503" s="25" t="n">
        <v>3400</v>
      </c>
      <c r="G1503" s="24" t="s">
        <v>59</v>
      </c>
      <c r="H1503" s="24" t="s">
        <v>80</v>
      </c>
      <c r="I1503" s="24" t="s">
        <v>113</v>
      </c>
      <c r="J1503" s="26" t="n">
        <f aca="false">IF(A1503="","",YEAR(A1503))</f>
        <v>2026</v>
      </c>
      <c r="K1503" s="26" t="n">
        <f aca="false">IF(A1503="","",MONTH(A1503))</f>
        <v>2</v>
      </c>
      <c r="L1503" s="26" t="n">
        <f aca="false">IF(B1503="","",VALUE(LEFT(B1503,2)))</f>
        <v>9</v>
      </c>
      <c r="M1503" s="26" t="n">
        <f aca="false">IF(A1503="","",IF(COUNTIFS($C$2:$C$5001,C1503,$J$2:$J$5001,J1503,$A$2:$A$5001,"&lt;"&amp;A1503)=0,1,0))</f>
        <v>0</v>
      </c>
    </row>
    <row r="1504" customFormat="false" ht="15" hidden="false" customHeight="false" outlineLevel="0" collapsed="false">
      <c r="A1504" s="23" t="n">
        <v>46065.5951388889</v>
      </c>
      <c r="B1504" s="24" t="s">
        <v>748</v>
      </c>
      <c r="C1504" s="24" t="s">
        <v>112</v>
      </c>
      <c r="D1504" s="24" t="s">
        <v>66</v>
      </c>
      <c r="E1504" s="24" t="n">
        <v>389</v>
      </c>
      <c r="F1504" s="25" t="n">
        <v>13000</v>
      </c>
      <c r="G1504" s="24" t="s">
        <v>79</v>
      </c>
      <c r="H1504" s="24" t="s">
        <v>60</v>
      </c>
      <c r="I1504" s="24" t="s">
        <v>61</v>
      </c>
      <c r="J1504" s="26" t="n">
        <f aca="false">IF(A1504="","",YEAR(A1504))</f>
        <v>2026</v>
      </c>
      <c r="K1504" s="26" t="n">
        <f aca="false">IF(A1504="","",MONTH(A1504))</f>
        <v>2</v>
      </c>
      <c r="L1504" s="26" t="n">
        <f aca="false">IF(B1504="","",VALUE(LEFT(B1504,2)))</f>
        <v>7</v>
      </c>
      <c r="M1504" s="26" t="n">
        <f aca="false">IF(A1504="","",IF(COUNTIFS($C$2:$C$5001,C1504,$J$2:$J$5001,J1504,$A$2:$A$5001,"&lt;"&amp;A1504)=0,1,0))</f>
        <v>0</v>
      </c>
    </row>
    <row r="1505" customFormat="false" ht="15" hidden="false" customHeight="false" outlineLevel="0" collapsed="false">
      <c r="A1505" s="23" t="n">
        <v>46065.6972222222</v>
      </c>
      <c r="B1505" s="24" t="s">
        <v>626</v>
      </c>
      <c r="C1505" s="24" t="s">
        <v>186</v>
      </c>
      <c r="D1505" s="24" t="s">
        <v>66</v>
      </c>
      <c r="E1505" s="24" t="n">
        <v>380</v>
      </c>
      <c r="F1505" s="25" t="n">
        <v>11050</v>
      </c>
      <c r="G1505" s="24" t="s">
        <v>69</v>
      </c>
      <c r="H1505" s="24" t="s">
        <v>55</v>
      </c>
      <c r="I1505" s="24" t="s">
        <v>113</v>
      </c>
      <c r="J1505" s="26" t="n">
        <f aca="false">IF(A1505="","",YEAR(A1505))</f>
        <v>2026</v>
      </c>
      <c r="K1505" s="26" t="n">
        <f aca="false">IF(A1505="","",MONTH(A1505))</f>
        <v>2</v>
      </c>
      <c r="L1505" s="26" t="n">
        <f aca="false">IF(B1505="","",VALUE(LEFT(B1505,2)))</f>
        <v>10</v>
      </c>
      <c r="M1505" s="26" t="n">
        <f aca="false">IF(A1505="","",IF(COUNTIFS($C$2:$C$5001,C1505,$J$2:$J$5001,J1505,$A$2:$A$5001,"&lt;"&amp;A1505)=0,1,0))</f>
        <v>0</v>
      </c>
    </row>
    <row r="1506" customFormat="false" ht="15" hidden="false" customHeight="false" outlineLevel="0" collapsed="false">
      <c r="A1506" s="23" t="n">
        <v>46065.6979166667</v>
      </c>
      <c r="B1506" s="24" t="s">
        <v>95</v>
      </c>
      <c r="C1506" s="24" t="s">
        <v>192</v>
      </c>
      <c r="D1506" s="24" t="s">
        <v>66</v>
      </c>
      <c r="E1506" s="24" t="n">
        <v>99</v>
      </c>
      <c r="F1506" s="25" t="n">
        <v>3400</v>
      </c>
      <c r="G1506" s="24" t="s">
        <v>69</v>
      </c>
      <c r="H1506" s="24" t="s">
        <v>80</v>
      </c>
      <c r="I1506" s="24" t="s">
        <v>113</v>
      </c>
      <c r="J1506" s="26" t="n">
        <f aca="false">IF(A1506="","",YEAR(A1506))</f>
        <v>2026</v>
      </c>
      <c r="K1506" s="26" t="n">
        <f aca="false">IF(A1506="","",MONTH(A1506))</f>
        <v>2</v>
      </c>
      <c r="L1506" s="26" t="n">
        <f aca="false">IF(B1506="","",VALUE(LEFT(B1506,2)))</f>
        <v>15</v>
      </c>
      <c r="M1506" s="26" t="n">
        <f aca="false">IF(A1506="","",IF(COUNTIFS($C$2:$C$5001,C1506,$J$2:$J$5001,J1506,$A$2:$A$5001,"&lt;"&amp;A1506)=0,1,0))</f>
        <v>0</v>
      </c>
    </row>
    <row r="1507" customFormat="false" ht="15" hidden="false" customHeight="false" outlineLevel="0" collapsed="false">
      <c r="A1507" s="23" t="n">
        <v>46066.4493055556</v>
      </c>
      <c r="B1507" s="24" t="s">
        <v>432</v>
      </c>
      <c r="C1507" s="24" t="s">
        <v>314</v>
      </c>
      <c r="D1507" s="24" t="s">
        <v>66</v>
      </c>
      <c r="E1507" s="24" t="n">
        <v>56</v>
      </c>
      <c r="F1507" s="25" t="n">
        <v>0</v>
      </c>
      <c r="G1507" s="24" t="s">
        <v>59</v>
      </c>
      <c r="H1507" s="24" t="s">
        <v>60</v>
      </c>
      <c r="I1507" s="24" t="s">
        <v>56</v>
      </c>
      <c r="J1507" s="26" t="n">
        <f aca="false">IF(A1507="","",YEAR(A1507))</f>
        <v>2026</v>
      </c>
      <c r="K1507" s="26" t="n">
        <f aca="false">IF(A1507="","",MONTH(A1507))</f>
        <v>2</v>
      </c>
      <c r="L1507" s="26" t="n">
        <f aca="false">IF(B1507="","",VALUE(LEFT(B1507,2)))</f>
        <v>9</v>
      </c>
      <c r="M1507" s="26" t="n">
        <f aca="false">IF(A1507="","",IF(COUNTIFS($C$2:$C$5001,C1507,$J$2:$J$5001,J1507,$A$2:$A$5001,"&lt;"&amp;A1507)=0,1,0))</f>
        <v>0</v>
      </c>
    </row>
    <row r="1508" customFormat="false" ht="15" hidden="false" customHeight="false" outlineLevel="0" collapsed="false">
      <c r="A1508" s="23" t="n">
        <v>46066.5097222222</v>
      </c>
      <c r="B1508" s="24" t="s">
        <v>229</v>
      </c>
      <c r="C1508" s="24" t="s">
        <v>87</v>
      </c>
      <c r="D1508" s="24" t="s">
        <v>53</v>
      </c>
      <c r="E1508" s="24" t="n">
        <v>272</v>
      </c>
      <c r="F1508" s="25" t="n">
        <v>5000</v>
      </c>
      <c r="G1508" s="24" t="s">
        <v>59</v>
      </c>
      <c r="H1508" s="24" t="s">
        <v>80</v>
      </c>
      <c r="I1508" s="24" t="s">
        <v>61</v>
      </c>
      <c r="J1508" s="26" t="n">
        <f aca="false">IF(A1508="","",YEAR(A1508))</f>
        <v>2026</v>
      </c>
      <c r="K1508" s="26" t="n">
        <f aca="false">IF(A1508="","",MONTH(A1508))</f>
        <v>2</v>
      </c>
      <c r="L1508" s="26" t="n">
        <f aca="false">IF(B1508="","",VALUE(LEFT(B1508,2)))</f>
        <v>7</v>
      </c>
      <c r="M1508" s="26" t="n">
        <f aca="false">IF(A1508="","",IF(COUNTIFS($C$2:$C$5001,C1508,$J$2:$J$5001,J1508,$A$2:$A$5001,"&lt;"&amp;A1508)=0,1,0))</f>
        <v>0</v>
      </c>
    </row>
    <row r="1509" customFormat="false" ht="15" hidden="false" customHeight="false" outlineLevel="0" collapsed="false">
      <c r="A1509" s="23" t="n">
        <v>46066.5493055556</v>
      </c>
      <c r="B1509" s="24" t="s">
        <v>404</v>
      </c>
      <c r="C1509" s="24" t="s">
        <v>182</v>
      </c>
      <c r="D1509" s="24" t="s">
        <v>127</v>
      </c>
      <c r="E1509" s="24" t="n">
        <v>256</v>
      </c>
      <c r="F1509" s="25" t="n">
        <v>15750</v>
      </c>
      <c r="G1509" s="24" t="s">
        <v>69</v>
      </c>
      <c r="H1509" s="24" t="s">
        <v>80</v>
      </c>
      <c r="I1509" s="24" t="s">
        <v>61</v>
      </c>
      <c r="J1509" s="26" t="n">
        <f aca="false">IF(A1509="","",YEAR(A1509))</f>
        <v>2026</v>
      </c>
      <c r="K1509" s="26" t="n">
        <f aca="false">IF(A1509="","",MONTH(A1509))</f>
        <v>2</v>
      </c>
      <c r="L1509" s="26" t="n">
        <f aca="false">IF(B1509="","",VALUE(LEFT(B1509,2)))</f>
        <v>8</v>
      </c>
      <c r="M1509" s="26" t="n">
        <f aca="false">IF(A1509="","",IF(COUNTIFS($C$2:$C$5001,C1509,$J$2:$J$5001,J1509,$A$2:$A$5001,"&lt;"&amp;A1509)=0,1,0))</f>
        <v>0</v>
      </c>
    </row>
    <row r="1510" customFormat="false" ht="15" hidden="false" customHeight="false" outlineLevel="0" collapsed="false">
      <c r="A1510" s="23" t="n">
        <v>46066.6145833333</v>
      </c>
      <c r="B1510" s="24" t="s">
        <v>130</v>
      </c>
      <c r="C1510" s="24" t="s">
        <v>289</v>
      </c>
      <c r="D1510" s="24" t="s">
        <v>66</v>
      </c>
      <c r="E1510" s="24" t="n">
        <v>302</v>
      </c>
      <c r="F1510" s="25" t="n">
        <v>11000</v>
      </c>
      <c r="G1510" s="24" t="s">
        <v>69</v>
      </c>
      <c r="H1510" s="24" t="s">
        <v>80</v>
      </c>
      <c r="I1510" s="24" t="s">
        <v>61</v>
      </c>
      <c r="J1510" s="26" t="n">
        <f aca="false">IF(A1510="","",YEAR(A1510))</f>
        <v>2026</v>
      </c>
      <c r="K1510" s="26" t="n">
        <f aca="false">IF(A1510="","",MONTH(A1510))</f>
        <v>2</v>
      </c>
      <c r="L1510" s="26" t="n">
        <f aca="false">IF(B1510="","",VALUE(LEFT(B1510,2)))</f>
        <v>9</v>
      </c>
      <c r="M1510" s="26" t="n">
        <f aca="false">IF(A1510="","",IF(COUNTIFS($C$2:$C$5001,C1510,$J$2:$J$5001,J1510,$A$2:$A$5001,"&lt;"&amp;A1510)=0,1,0))</f>
        <v>0</v>
      </c>
    </row>
    <row r="1511" customFormat="false" ht="15" hidden="false" customHeight="false" outlineLevel="0" collapsed="false">
      <c r="A1511" s="23" t="n">
        <v>46066.7083333333</v>
      </c>
      <c r="B1511" s="24" t="s">
        <v>641</v>
      </c>
      <c r="C1511" s="24" t="s">
        <v>160</v>
      </c>
      <c r="D1511" s="24" t="s">
        <v>88</v>
      </c>
      <c r="E1511" s="24" t="n">
        <v>23</v>
      </c>
      <c r="F1511" s="25" t="n">
        <v>1500</v>
      </c>
      <c r="G1511" s="24" t="s">
        <v>69</v>
      </c>
      <c r="H1511" s="24" t="s">
        <v>80</v>
      </c>
      <c r="I1511" s="24" t="s">
        <v>61</v>
      </c>
      <c r="J1511" s="26" t="n">
        <f aca="false">IF(A1511="","",YEAR(A1511))</f>
        <v>2026</v>
      </c>
      <c r="K1511" s="26" t="n">
        <f aca="false">IF(A1511="","",MONTH(A1511))</f>
        <v>2</v>
      </c>
      <c r="L1511" s="26" t="n">
        <f aca="false">IF(B1511="","",VALUE(LEFT(B1511,2)))</f>
        <v>16</v>
      </c>
      <c r="M1511" s="26" t="n">
        <f aca="false">IF(A1511="","",IF(COUNTIFS($C$2:$C$5001,C1511,$J$2:$J$5001,J1511,$A$2:$A$5001,"&lt;"&amp;A1511)=0,1,0))</f>
        <v>1</v>
      </c>
    </row>
    <row r="1512" customFormat="false" ht="15" hidden="false" customHeight="false" outlineLevel="0" collapsed="false">
      <c r="A1512" s="23" t="n">
        <v>46066.73125</v>
      </c>
      <c r="B1512" s="24" t="s">
        <v>460</v>
      </c>
      <c r="C1512" s="24" t="s">
        <v>92</v>
      </c>
      <c r="D1512" s="24" t="s">
        <v>66</v>
      </c>
      <c r="E1512" s="24" t="n">
        <v>273</v>
      </c>
      <c r="F1512" s="25" t="n">
        <v>0</v>
      </c>
      <c r="G1512" s="24" t="s">
        <v>83</v>
      </c>
      <c r="H1512" s="24" t="s">
        <v>60</v>
      </c>
      <c r="I1512" s="24" t="s">
        <v>56</v>
      </c>
      <c r="J1512" s="26" t="n">
        <f aca="false">IF(A1512="","",YEAR(A1512))</f>
        <v>2026</v>
      </c>
      <c r="K1512" s="26" t="n">
        <f aca="false">IF(A1512="","",MONTH(A1512))</f>
        <v>2</v>
      </c>
      <c r="L1512" s="26" t="n">
        <f aca="false">IF(B1512="","",VALUE(LEFT(B1512,2)))</f>
        <v>13</v>
      </c>
      <c r="M1512" s="26" t="n">
        <f aca="false">IF(A1512="","",IF(COUNTIFS($C$2:$C$5001,C1512,$J$2:$J$5001,J1512,$A$2:$A$5001,"&lt;"&amp;A1512)=0,1,0))</f>
        <v>0</v>
      </c>
    </row>
    <row r="1513" customFormat="false" ht="15" hidden="false" customHeight="false" outlineLevel="0" collapsed="false">
      <c r="A1513" s="23" t="n">
        <v>46066.8451388889</v>
      </c>
      <c r="B1513" s="24" t="s">
        <v>700</v>
      </c>
      <c r="C1513" s="24" t="s">
        <v>442</v>
      </c>
      <c r="D1513" s="24" t="s">
        <v>66</v>
      </c>
      <c r="E1513" s="24" t="n">
        <v>294</v>
      </c>
      <c r="F1513" s="25" t="n">
        <v>10000</v>
      </c>
      <c r="G1513" s="24" t="s">
        <v>79</v>
      </c>
      <c r="H1513" s="24" t="s">
        <v>55</v>
      </c>
      <c r="I1513" s="24" t="s">
        <v>61</v>
      </c>
      <c r="J1513" s="26" t="n">
        <f aca="false">IF(A1513="","",YEAR(A1513))</f>
        <v>2026</v>
      </c>
      <c r="K1513" s="26" t="n">
        <f aca="false">IF(A1513="","",MONTH(A1513))</f>
        <v>2</v>
      </c>
      <c r="L1513" s="26" t="n">
        <f aca="false">IF(B1513="","",VALUE(LEFT(B1513,2)))</f>
        <v>15</v>
      </c>
      <c r="M1513" s="26" t="n">
        <f aca="false">IF(A1513="","",IF(COUNTIFS($C$2:$C$5001,C1513,$J$2:$J$5001,J1513,$A$2:$A$5001,"&lt;"&amp;A1513)=0,1,0))</f>
        <v>0</v>
      </c>
    </row>
    <row r="1514" customFormat="false" ht="15" hidden="false" customHeight="false" outlineLevel="0" collapsed="false">
      <c r="A1514" s="23" t="n">
        <v>46066.8895833333</v>
      </c>
      <c r="B1514" s="24" t="s">
        <v>940</v>
      </c>
      <c r="C1514" s="24" t="s">
        <v>131</v>
      </c>
      <c r="D1514" s="24" t="s">
        <v>88</v>
      </c>
      <c r="E1514" s="24" t="n">
        <v>294</v>
      </c>
      <c r="F1514" s="25" t="n">
        <v>15000</v>
      </c>
      <c r="G1514" s="24" t="s">
        <v>59</v>
      </c>
      <c r="H1514" s="24" t="s">
        <v>55</v>
      </c>
      <c r="I1514" s="24" t="s">
        <v>61</v>
      </c>
      <c r="J1514" s="26" t="n">
        <f aca="false">IF(A1514="","",YEAR(A1514))</f>
        <v>2026</v>
      </c>
      <c r="K1514" s="26" t="n">
        <f aca="false">IF(A1514="","",MONTH(A1514))</f>
        <v>2</v>
      </c>
      <c r="L1514" s="26" t="n">
        <f aca="false">IF(B1514="","",VALUE(LEFT(B1514,2)))</f>
        <v>16</v>
      </c>
      <c r="M1514" s="26" t="n">
        <f aca="false">IF(A1514="","",IF(COUNTIFS($C$2:$C$5001,C1514,$J$2:$J$5001,J1514,$A$2:$A$5001,"&lt;"&amp;A1514)=0,1,0))</f>
        <v>0</v>
      </c>
    </row>
    <row r="1515" customFormat="false" ht="15" hidden="false" customHeight="false" outlineLevel="0" collapsed="false">
      <c r="A1515" s="23" t="n">
        <v>46067.4673611111</v>
      </c>
      <c r="B1515" s="24" t="s">
        <v>270</v>
      </c>
      <c r="C1515" s="24" t="s">
        <v>182</v>
      </c>
      <c r="D1515" s="24" t="s">
        <v>66</v>
      </c>
      <c r="E1515" s="24" t="n">
        <v>180</v>
      </c>
      <c r="F1515" s="25" t="n">
        <v>6000</v>
      </c>
      <c r="G1515" s="24" t="s">
        <v>69</v>
      </c>
      <c r="H1515" s="24" t="s">
        <v>55</v>
      </c>
      <c r="I1515" s="24" t="s">
        <v>61</v>
      </c>
      <c r="J1515" s="26" t="n">
        <f aca="false">IF(A1515="","",YEAR(A1515))</f>
        <v>2026</v>
      </c>
      <c r="K1515" s="26" t="n">
        <f aca="false">IF(A1515="","",MONTH(A1515))</f>
        <v>2</v>
      </c>
      <c r="L1515" s="26" t="n">
        <f aca="false">IF(B1515="","",VALUE(LEFT(B1515,2)))</f>
        <v>8</v>
      </c>
      <c r="M1515" s="26" t="n">
        <f aca="false">IF(A1515="","",IF(COUNTIFS($C$2:$C$5001,C1515,$J$2:$J$5001,J1515,$A$2:$A$5001,"&lt;"&amp;A1515)=0,1,0))</f>
        <v>0</v>
      </c>
    </row>
    <row r="1516" customFormat="false" ht="15" hidden="false" customHeight="false" outlineLevel="0" collapsed="false">
      <c r="A1516" s="23" t="n">
        <v>46067.5444444444</v>
      </c>
      <c r="B1516" s="24" t="s">
        <v>699</v>
      </c>
      <c r="C1516" s="24" t="s">
        <v>277</v>
      </c>
      <c r="D1516" s="24" t="s">
        <v>66</v>
      </c>
      <c r="E1516" s="24" t="n">
        <v>307</v>
      </c>
      <c r="F1516" s="25" t="n">
        <v>11000</v>
      </c>
      <c r="G1516" s="24" t="s">
        <v>69</v>
      </c>
      <c r="H1516" s="24" t="s">
        <v>60</v>
      </c>
      <c r="I1516" s="24" t="s">
        <v>61</v>
      </c>
      <c r="J1516" s="26" t="n">
        <f aca="false">IF(A1516="","",YEAR(A1516))</f>
        <v>2026</v>
      </c>
      <c r="K1516" s="26" t="n">
        <f aca="false">IF(A1516="","",MONTH(A1516))</f>
        <v>2</v>
      </c>
      <c r="L1516" s="26" t="n">
        <f aca="false">IF(B1516="","",VALUE(LEFT(B1516,2)))</f>
        <v>7</v>
      </c>
      <c r="M1516" s="26" t="n">
        <f aca="false">IF(A1516="","",IF(COUNTIFS($C$2:$C$5001,C1516,$J$2:$J$5001,J1516,$A$2:$A$5001,"&lt;"&amp;A1516)=0,1,0))</f>
        <v>0</v>
      </c>
    </row>
    <row r="1517" customFormat="false" ht="15" hidden="false" customHeight="false" outlineLevel="0" collapsed="false">
      <c r="A1517" s="23" t="n">
        <v>46067.6527777778</v>
      </c>
      <c r="B1517" s="24" t="s">
        <v>941</v>
      </c>
      <c r="C1517" s="24" t="s">
        <v>82</v>
      </c>
      <c r="D1517" s="24" t="s">
        <v>53</v>
      </c>
      <c r="E1517" s="24" t="n">
        <v>216</v>
      </c>
      <c r="F1517" s="25" t="n">
        <v>4000</v>
      </c>
      <c r="G1517" s="24" t="s">
        <v>59</v>
      </c>
      <c r="H1517" s="24" t="s">
        <v>55</v>
      </c>
      <c r="I1517" s="24" t="s">
        <v>61</v>
      </c>
      <c r="J1517" s="26" t="n">
        <f aca="false">IF(A1517="","",YEAR(A1517))</f>
        <v>2026</v>
      </c>
      <c r="K1517" s="26" t="n">
        <f aca="false">IF(A1517="","",MONTH(A1517))</f>
        <v>2</v>
      </c>
      <c r="L1517" s="26" t="n">
        <f aca="false">IF(B1517="","",VALUE(LEFT(B1517,2)))</f>
        <v>12</v>
      </c>
      <c r="M1517" s="26" t="n">
        <f aca="false">IF(A1517="","",IF(COUNTIFS($C$2:$C$5001,C1517,$J$2:$J$5001,J1517,$A$2:$A$5001,"&lt;"&amp;A1517)=0,1,0))</f>
        <v>0</v>
      </c>
    </row>
    <row r="1518" customFormat="false" ht="15" hidden="false" customHeight="false" outlineLevel="0" collapsed="false">
      <c r="A1518" s="23" t="n">
        <v>46068.0020833333</v>
      </c>
      <c r="B1518" s="24" t="s">
        <v>801</v>
      </c>
      <c r="C1518" s="24" t="s">
        <v>152</v>
      </c>
      <c r="D1518" s="24" t="s">
        <v>88</v>
      </c>
      <c r="E1518" s="24" t="n">
        <v>330</v>
      </c>
      <c r="F1518" s="25" t="n">
        <v>16500</v>
      </c>
      <c r="G1518" s="24" t="s">
        <v>59</v>
      </c>
      <c r="H1518" s="24" t="s">
        <v>80</v>
      </c>
      <c r="I1518" s="24" t="s">
        <v>61</v>
      </c>
      <c r="J1518" s="26" t="n">
        <f aca="false">IF(A1518="","",YEAR(A1518))</f>
        <v>2026</v>
      </c>
      <c r="K1518" s="26" t="n">
        <f aca="false">IF(A1518="","",MONTH(A1518))</f>
        <v>2</v>
      </c>
      <c r="L1518" s="26" t="n">
        <f aca="false">IF(B1518="","",VALUE(LEFT(B1518,2)))</f>
        <v>18</v>
      </c>
      <c r="M1518" s="26" t="n">
        <f aca="false">IF(A1518="","",IF(COUNTIFS($C$2:$C$5001,C1518,$J$2:$J$5001,J1518,$A$2:$A$5001,"&lt;"&amp;A1518)=0,1,0))</f>
        <v>0</v>
      </c>
    </row>
    <row r="1519" customFormat="false" ht="15" hidden="false" customHeight="false" outlineLevel="0" collapsed="false">
      <c r="A1519" s="23" t="n">
        <v>46068.5833333333</v>
      </c>
      <c r="B1519" s="24" t="s">
        <v>434</v>
      </c>
      <c r="C1519" s="24" t="s">
        <v>118</v>
      </c>
      <c r="D1519" s="24" t="s">
        <v>66</v>
      </c>
      <c r="E1519" s="24" t="n">
        <v>52</v>
      </c>
      <c r="F1519" s="25" t="n">
        <v>2000</v>
      </c>
      <c r="G1519" s="24" t="s">
        <v>69</v>
      </c>
      <c r="H1519" s="24" t="s">
        <v>60</v>
      </c>
      <c r="I1519" s="24" t="s">
        <v>61</v>
      </c>
      <c r="J1519" s="26" t="n">
        <f aca="false">IF(A1519="","",YEAR(A1519))</f>
        <v>2026</v>
      </c>
      <c r="K1519" s="26" t="n">
        <f aca="false">IF(A1519="","",MONTH(A1519))</f>
        <v>2</v>
      </c>
      <c r="L1519" s="26" t="n">
        <f aca="false">IF(B1519="","",VALUE(LEFT(B1519,2)))</f>
        <v>13</v>
      </c>
      <c r="M1519" s="26" t="n">
        <f aca="false">IF(A1519="","",IF(COUNTIFS($C$2:$C$5001,C1519,$J$2:$J$5001,J1519,$A$2:$A$5001,"&lt;"&amp;A1519)=0,1,0))</f>
        <v>0</v>
      </c>
    </row>
    <row r="1520" customFormat="false" ht="15" hidden="false" customHeight="false" outlineLevel="0" collapsed="false">
      <c r="A1520" s="23" t="n">
        <v>46068.7576388889</v>
      </c>
      <c r="B1520" s="24" t="s">
        <v>942</v>
      </c>
      <c r="C1520" s="24" t="s">
        <v>166</v>
      </c>
      <c r="D1520" s="24" t="s">
        <v>53</v>
      </c>
      <c r="E1520" s="24" t="n">
        <v>239</v>
      </c>
      <c r="F1520" s="25" t="n">
        <v>4000</v>
      </c>
      <c r="G1520" s="24" t="s">
        <v>69</v>
      </c>
      <c r="H1520" s="24" t="s">
        <v>55</v>
      </c>
      <c r="I1520" s="24" t="s">
        <v>61</v>
      </c>
      <c r="J1520" s="26" t="n">
        <f aca="false">IF(A1520="","",YEAR(A1520))</f>
        <v>2026</v>
      </c>
      <c r="K1520" s="26" t="n">
        <f aca="false">IF(A1520="","",MONTH(A1520))</f>
        <v>2</v>
      </c>
      <c r="L1520" s="26" t="n">
        <f aca="false">IF(B1520="","",VALUE(LEFT(B1520,2)))</f>
        <v>14</v>
      </c>
      <c r="M1520" s="26" t="n">
        <f aca="false">IF(A1520="","",IF(COUNTIFS($C$2:$C$5001,C1520,$J$2:$J$5001,J1520,$A$2:$A$5001,"&lt;"&amp;A1520)=0,1,0))</f>
        <v>0</v>
      </c>
    </row>
    <row r="1521" customFormat="false" ht="15" hidden="false" customHeight="false" outlineLevel="0" collapsed="false">
      <c r="A1521" s="23" t="n">
        <v>46068.8111111111</v>
      </c>
      <c r="B1521" s="24" t="s">
        <v>905</v>
      </c>
      <c r="C1521" s="24" t="s">
        <v>147</v>
      </c>
      <c r="D1521" s="24" t="s">
        <v>66</v>
      </c>
      <c r="E1521" s="24" t="n">
        <v>177</v>
      </c>
      <c r="F1521" s="25" t="n">
        <v>6000</v>
      </c>
      <c r="G1521" s="24" t="s">
        <v>59</v>
      </c>
      <c r="H1521" s="24" t="s">
        <v>80</v>
      </c>
      <c r="I1521" s="24" t="s">
        <v>61</v>
      </c>
      <c r="J1521" s="26" t="n">
        <f aca="false">IF(A1521="","",YEAR(A1521))</f>
        <v>2026</v>
      </c>
      <c r="K1521" s="26" t="n">
        <f aca="false">IF(A1521="","",MONTH(A1521))</f>
        <v>2</v>
      </c>
      <c r="L1521" s="26" t="n">
        <f aca="false">IF(B1521="","",VALUE(LEFT(B1521,2)))</f>
        <v>16</v>
      </c>
      <c r="M1521" s="26" t="n">
        <f aca="false">IF(A1521="","",IF(COUNTIFS($C$2:$C$5001,C1521,$J$2:$J$5001,J1521,$A$2:$A$5001,"&lt;"&amp;A1521)=0,1,0))</f>
        <v>0</v>
      </c>
    </row>
    <row r="1522" customFormat="false" ht="15" hidden="false" customHeight="false" outlineLevel="0" collapsed="false">
      <c r="A1522" s="23" t="n">
        <v>46068.8673611111</v>
      </c>
      <c r="B1522" s="24" t="s">
        <v>743</v>
      </c>
      <c r="C1522" s="24" t="s">
        <v>413</v>
      </c>
      <c r="D1522" s="24" t="s">
        <v>53</v>
      </c>
      <c r="E1522" s="24" t="n">
        <v>408</v>
      </c>
      <c r="F1522" s="25" t="n">
        <v>7000</v>
      </c>
      <c r="G1522" s="24" t="s">
        <v>59</v>
      </c>
      <c r="H1522" s="24" t="s">
        <v>60</v>
      </c>
      <c r="I1522" s="24" t="s">
        <v>61</v>
      </c>
      <c r="J1522" s="26" t="n">
        <f aca="false">IF(A1522="","",YEAR(A1522))</f>
        <v>2026</v>
      </c>
      <c r="K1522" s="26" t="n">
        <f aca="false">IF(A1522="","",MONTH(A1522))</f>
        <v>2</v>
      </c>
      <c r="L1522" s="26" t="n">
        <f aca="false">IF(B1522="","",VALUE(LEFT(B1522,2)))</f>
        <v>14</v>
      </c>
      <c r="M1522" s="26" t="n">
        <f aca="false">IF(A1522="","",IF(COUNTIFS($C$2:$C$5001,C1522,$J$2:$J$5001,J1522,$A$2:$A$5001,"&lt;"&amp;A1522)=0,1,0))</f>
        <v>0</v>
      </c>
    </row>
    <row r="1523" customFormat="false" ht="15" hidden="false" customHeight="false" outlineLevel="0" collapsed="false">
      <c r="A1523" s="23" t="n">
        <v>46068.9034722222</v>
      </c>
      <c r="B1523" s="24" t="s">
        <v>943</v>
      </c>
      <c r="C1523" s="24" t="s">
        <v>123</v>
      </c>
      <c r="D1523" s="24" t="s">
        <v>53</v>
      </c>
      <c r="E1523" s="24" t="n">
        <v>68</v>
      </c>
      <c r="F1523" s="25" t="n">
        <v>1500</v>
      </c>
      <c r="G1523" s="24" t="s">
        <v>59</v>
      </c>
      <c r="H1523" s="24" t="s">
        <v>80</v>
      </c>
      <c r="I1523" s="24" t="s">
        <v>61</v>
      </c>
      <c r="J1523" s="26" t="n">
        <f aca="false">IF(A1523="","",YEAR(A1523))</f>
        <v>2026</v>
      </c>
      <c r="K1523" s="26" t="n">
        <f aca="false">IF(A1523="","",MONTH(A1523))</f>
        <v>2</v>
      </c>
      <c r="L1523" s="26" t="n">
        <f aca="false">IF(B1523="","",VALUE(LEFT(B1523,2)))</f>
        <v>20</v>
      </c>
      <c r="M1523" s="26" t="n">
        <f aca="false">IF(A1523="","",IF(COUNTIFS($C$2:$C$5001,C1523,$J$2:$J$5001,J1523,$A$2:$A$5001,"&lt;"&amp;A1523)=0,1,0))</f>
        <v>0</v>
      </c>
    </row>
    <row r="1524" customFormat="false" ht="15" hidden="false" customHeight="false" outlineLevel="0" collapsed="false">
      <c r="A1524" s="23" t="n">
        <v>46069.3930555556</v>
      </c>
      <c r="B1524" s="24" t="s">
        <v>363</v>
      </c>
      <c r="C1524" s="24" t="s">
        <v>158</v>
      </c>
      <c r="D1524" s="24" t="s">
        <v>53</v>
      </c>
      <c r="E1524" s="24" t="n">
        <v>74</v>
      </c>
      <c r="F1524" s="25" t="n">
        <v>0</v>
      </c>
      <c r="G1524" s="24" t="s">
        <v>59</v>
      </c>
      <c r="H1524" s="24" t="s">
        <v>55</v>
      </c>
      <c r="I1524" s="24" t="s">
        <v>56</v>
      </c>
      <c r="J1524" s="26" t="n">
        <f aca="false">IF(A1524="","",YEAR(A1524))</f>
        <v>2026</v>
      </c>
      <c r="K1524" s="26" t="n">
        <f aca="false">IF(A1524="","",MONTH(A1524))</f>
        <v>2</v>
      </c>
      <c r="L1524" s="26" t="n">
        <f aca="false">IF(B1524="","",VALUE(LEFT(B1524,2)))</f>
        <v>8</v>
      </c>
      <c r="M1524" s="26" t="n">
        <f aca="false">IF(A1524="","",IF(COUNTIFS($C$2:$C$5001,C1524,$J$2:$J$5001,J1524,$A$2:$A$5001,"&lt;"&amp;A1524)=0,1,0))</f>
        <v>0</v>
      </c>
    </row>
    <row r="1525" customFormat="false" ht="15" hidden="false" customHeight="false" outlineLevel="0" collapsed="false">
      <c r="A1525" s="23" t="n">
        <v>46069.60625</v>
      </c>
      <c r="B1525" s="24" t="s">
        <v>208</v>
      </c>
      <c r="C1525" s="24" t="s">
        <v>737</v>
      </c>
      <c r="D1525" s="24" t="s">
        <v>53</v>
      </c>
      <c r="E1525" s="24" t="n">
        <v>264</v>
      </c>
      <c r="F1525" s="25" t="n">
        <v>4500</v>
      </c>
      <c r="G1525" s="24" t="s">
        <v>69</v>
      </c>
      <c r="H1525" s="24" t="s">
        <v>55</v>
      </c>
      <c r="I1525" s="24" t="s">
        <v>61</v>
      </c>
      <c r="J1525" s="26" t="n">
        <f aca="false">IF(A1525="","",YEAR(A1525))</f>
        <v>2026</v>
      </c>
      <c r="K1525" s="26" t="n">
        <f aca="false">IF(A1525="","",MONTH(A1525))</f>
        <v>2</v>
      </c>
      <c r="L1525" s="26" t="n">
        <f aca="false">IF(B1525="","",VALUE(LEFT(B1525,2)))</f>
        <v>10</v>
      </c>
      <c r="M1525" s="26" t="n">
        <f aca="false">IF(A1525="","",IF(COUNTIFS($C$2:$C$5001,C1525,$J$2:$J$5001,J1525,$A$2:$A$5001,"&lt;"&amp;A1525)=0,1,0))</f>
        <v>1</v>
      </c>
    </row>
    <row r="1526" customFormat="false" ht="15" hidden="false" customHeight="false" outlineLevel="0" collapsed="false">
      <c r="A1526" s="23" t="n">
        <v>46069.6631944445</v>
      </c>
      <c r="B1526" s="24" t="s">
        <v>640</v>
      </c>
      <c r="C1526" s="24" t="s">
        <v>860</v>
      </c>
      <c r="D1526" s="24" t="s">
        <v>66</v>
      </c>
      <c r="E1526" s="24" t="n">
        <v>374</v>
      </c>
      <c r="F1526" s="25" t="n">
        <v>0</v>
      </c>
      <c r="G1526" s="24" t="s">
        <v>59</v>
      </c>
      <c r="H1526" s="24" t="s">
        <v>80</v>
      </c>
      <c r="I1526" s="24" t="s">
        <v>56</v>
      </c>
      <c r="J1526" s="26" t="n">
        <f aca="false">IF(A1526="","",YEAR(A1526))</f>
        <v>2026</v>
      </c>
      <c r="K1526" s="26" t="n">
        <f aca="false">IF(A1526="","",MONTH(A1526))</f>
        <v>2</v>
      </c>
      <c r="L1526" s="26" t="n">
        <f aca="false">IF(B1526="","",VALUE(LEFT(B1526,2)))</f>
        <v>9</v>
      </c>
      <c r="M1526" s="26" t="n">
        <f aca="false">IF(A1526="","",IF(COUNTIFS($C$2:$C$5001,C1526,$J$2:$J$5001,J1526,$A$2:$A$5001,"&lt;"&amp;A1526)=0,1,0))</f>
        <v>1</v>
      </c>
    </row>
    <row r="1527" customFormat="false" ht="15" hidden="false" customHeight="false" outlineLevel="0" collapsed="false">
      <c r="A1527" s="23" t="n">
        <v>46069.6979166667</v>
      </c>
      <c r="B1527" s="24" t="s">
        <v>576</v>
      </c>
      <c r="C1527" s="24" t="s">
        <v>519</v>
      </c>
      <c r="D1527" s="24" t="s">
        <v>53</v>
      </c>
      <c r="E1527" s="24" t="n">
        <v>266</v>
      </c>
      <c r="F1527" s="25" t="n">
        <v>4500</v>
      </c>
      <c r="G1527" s="24" t="s">
        <v>83</v>
      </c>
      <c r="H1527" s="24" t="s">
        <v>80</v>
      </c>
      <c r="I1527" s="24" t="s">
        <v>61</v>
      </c>
      <c r="J1527" s="26" t="n">
        <f aca="false">IF(A1527="","",YEAR(A1527))</f>
        <v>2026</v>
      </c>
      <c r="K1527" s="26" t="n">
        <f aca="false">IF(A1527="","",MONTH(A1527))</f>
        <v>2</v>
      </c>
      <c r="L1527" s="26" t="n">
        <f aca="false">IF(B1527="","",VALUE(LEFT(B1527,2)))</f>
        <v>12</v>
      </c>
      <c r="M1527" s="26" t="n">
        <f aca="false">IF(A1527="","",IF(COUNTIFS($C$2:$C$5001,C1527,$J$2:$J$5001,J1527,$A$2:$A$5001,"&lt;"&amp;A1527)=0,1,0))</f>
        <v>0</v>
      </c>
    </row>
    <row r="1528" customFormat="false" ht="15" hidden="false" customHeight="false" outlineLevel="0" collapsed="false">
      <c r="A1528" s="23" t="n">
        <v>46069.8048611111</v>
      </c>
      <c r="B1528" s="24" t="s">
        <v>582</v>
      </c>
      <c r="C1528" s="24" t="s">
        <v>403</v>
      </c>
      <c r="D1528" s="24" t="s">
        <v>66</v>
      </c>
      <c r="E1528" s="24" t="n">
        <v>185</v>
      </c>
      <c r="F1528" s="25" t="n">
        <v>7000</v>
      </c>
      <c r="G1528" s="24" t="s">
        <v>59</v>
      </c>
      <c r="H1528" s="24" t="s">
        <v>55</v>
      </c>
      <c r="I1528" s="24" t="s">
        <v>61</v>
      </c>
      <c r="J1528" s="26" t="n">
        <f aca="false">IF(A1528="","",YEAR(A1528))</f>
        <v>2026</v>
      </c>
      <c r="K1528" s="26" t="n">
        <f aca="false">IF(A1528="","",MONTH(A1528))</f>
        <v>2</v>
      </c>
      <c r="L1528" s="26" t="n">
        <f aca="false">IF(B1528="","",VALUE(LEFT(B1528,2)))</f>
        <v>16</v>
      </c>
      <c r="M1528" s="26" t="n">
        <f aca="false">IF(A1528="","",IF(COUNTIFS($C$2:$C$5001,C1528,$J$2:$J$5001,J1528,$A$2:$A$5001,"&lt;"&amp;A1528)=0,1,0))</f>
        <v>1</v>
      </c>
    </row>
    <row r="1529" customFormat="false" ht="15" hidden="false" customHeight="false" outlineLevel="0" collapsed="false">
      <c r="A1529" s="23" t="n">
        <v>46069.9798611111</v>
      </c>
      <c r="B1529" s="24" t="s">
        <v>321</v>
      </c>
      <c r="C1529" s="24" t="s">
        <v>865</v>
      </c>
      <c r="D1529" s="24" t="s">
        <v>53</v>
      </c>
      <c r="E1529" s="24" t="n">
        <v>300</v>
      </c>
      <c r="F1529" s="25" t="n">
        <v>5000</v>
      </c>
      <c r="G1529" s="24" t="s">
        <v>59</v>
      </c>
      <c r="H1529" s="24" t="s">
        <v>55</v>
      </c>
      <c r="I1529" s="24" t="s">
        <v>61</v>
      </c>
      <c r="J1529" s="26" t="n">
        <f aca="false">IF(A1529="","",YEAR(A1529))</f>
        <v>2026</v>
      </c>
      <c r="K1529" s="26" t="n">
        <f aca="false">IF(A1529="","",MONTH(A1529))</f>
        <v>2</v>
      </c>
      <c r="L1529" s="26" t="n">
        <f aca="false">IF(B1529="","",VALUE(LEFT(B1529,2)))</f>
        <v>18</v>
      </c>
      <c r="M1529" s="26" t="n">
        <f aca="false">IF(A1529="","",IF(COUNTIFS($C$2:$C$5001,C1529,$J$2:$J$5001,J1529,$A$2:$A$5001,"&lt;"&amp;A1529)=0,1,0))</f>
        <v>1</v>
      </c>
    </row>
    <row r="1530" customFormat="false" ht="15" hidden="false" customHeight="false" outlineLevel="0" collapsed="false">
      <c r="A1530" s="23" t="n">
        <v>46069.9868055556</v>
      </c>
      <c r="B1530" s="24" t="s">
        <v>944</v>
      </c>
      <c r="C1530" s="24" t="s">
        <v>186</v>
      </c>
      <c r="D1530" s="24" t="s">
        <v>66</v>
      </c>
      <c r="E1530" s="24" t="n">
        <v>250</v>
      </c>
      <c r="F1530" s="25" t="n">
        <v>9000</v>
      </c>
      <c r="G1530" s="24" t="s">
        <v>59</v>
      </c>
      <c r="H1530" s="24" t="s">
        <v>55</v>
      </c>
      <c r="I1530" s="24" t="s">
        <v>61</v>
      </c>
      <c r="J1530" s="26" t="n">
        <f aca="false">IF(A1530="","",YEAR(A1530))</f>
        <v>2026</v>
      </c>
      <c r="K1530" s="26" t="n">
        <f aca="false">IF(A1530="","",MONTH(A1530))</f>
        <v>2</v>
      </c>
      <c r="L1530" s="26" t="n">
        <f aca="false">IF(B1530="","",VALUE(LEFT(B1530,2)))</f>
        <v>19</v>
      </c>
      <c r="M1530" s="26" t="n">
        <f aca="false">IF(A1530="","",IF(COUNTIFS($C$2:$C$5001,C1530,$J$2:$J$5001,J1530,$A$2:$A$5001,"&lt;"&amp;A1530)=0,1,0))</f>
        <v>0</v>
      </c>
    </row>
    <row r="1531" customFormat="false" ht="15" hidden="false" customHeight="false" outlineLevel="0" collapsed="false">
      <c r="A1531" s="23" t="n">
        <v>46070.1152777778</v>
      </c>
      <c r="B1531" s="24" t="s">
        <v>344</v>
      </c>
      <c r="C1531" s="24" t="s">
        <v>102</v>
      </c>
      <c r="D1531" s="24" t="s">
        <v>72</v>
      </c>
      <c r="E1531" s="24" t="n">
        <v>360</v>
      </c>
      <c r="F1531" s="25" t="n">
        <v>24000</v>
      </c>
      <c r="G1531" s="24" t="s">
        <v>59</v>
      </c>
      <c r="H1531" s="24" t="s">
        <v>60</v>
      </c>
      <c r="I1531" s="24" t="s">
        <v>61</v>
      </c>
      <c r="J1531" s="26" t="n">
        <f aca="false">IF(A1531="","",YEAR(A1531))</f>
        <v>2026</v>
      </c>
      <c r="K1531" s="26" t="n">
        <f aca="false">IF(A1531="","",MONTH(A1531))</f>
        <v>2</v>
      </c>
      <c r="L1531" s="26" t="n">
        <f aca="false">IF(B1531="","",VALUE(LEFT(B1531,2)))</f>
        <v>20</v>
      </c>
      <c r="M1531" s="26" t="n">
        <f aca="false">IF(A1531="","",IF(COUNTIFS($C$2:$C$5001,C1531,$J$2:$J$5001,J1531,$A$2:$A$5001,"&lt;"&amp;A1531)=0,1,0))</f>
        <v>0</v>
      </c>
    </row>
    <row r="1532" customFormat="false" ht="15" hidden="false" customHeight="false" outlineLevel="0" collapsed="false">
      <c r="A1532" s="23" t="n">
        <v>46070.3576388889</v>
      </c>
      <c r="B1532" s="24" t="s">
        <v>945</v>
      </c>
      <c r="C1532" s="24" t="s">
        <v>90</v>
      </c>
      <c r="D1532" s="24" t="s">
        <v>66</v>
      </c>
      <c r="E1532" s="24" t="n">
        <v>140</v>
      </c>
      <c r="F1532" s="25" t="n">
        <v>5000</v>
      </c>
      <c r="G1532" s="24" t="s">
        <v>59</v>
      </c>
      <c r="H1532" s="24" t="s">
        <v>80</v>
      </c>
      <c r="I1532" s="24" t="s">
        <v>61</v>
      </c>
      <c r="J1532" s="26" t="n">
        <f aca="false">IF(A1532="","",YEAR(A1532))</f>
        <v>2026</v>
      </c>
      <c r="K1532" s="26" t="n">
        <f aca="false">IF(A1532="","",MONTH(A1532))</f>
        <v>2</v>
      </c>
      <c r="L1532" s="26" t="n">
        <f aca="false">IF(B1532="","",VALUE(LEFT(B1532,2)))</f>
        <v>6</v>
      </c>
      <c r="M1532" s="26" t="n">
        <f aca="false">IF(A1532="","",IF(COUNTIFS($C$2:$C$5001,C1532,$J$2:$J$5001,J1532,$A$2:$A$5001,"&lt;"&amp;A1532)=0,1,0))</f>
        <v>0</v>
      </c>
    </row>
    <row r="1533" customFormat="false" ht="15" hidden="false" customHeight="false" outlineLevel="0" collapsed="false">
      <c r="A1533" s="23" t="n">
        <v>46070.5131944444</v>
      </c>
      <c r="B1533" s="24" t="s">
        <v>699</v>
      </c>
      <c r="C1533" s="24" t="s">
        <v>63</v>
      </c>
      <c r="D1533" s="24" t="s">
        <v>66</v>
      </c>
      <c r="E1533" s="24" t="n">
        <v>262</v>
      </c>
      <c r="F1533" s="25" t="n">
        <v>9000</v>
      </c>
      <c r="G1533" s="24" t="s">
        <v>59</v>
      </c>
      <c r="H1533" s="24" t="s">
        <v>80</v>
      </c>
      <c r="I1533" s="24" t="s">
        <v>61</v>
      </c>
      <c r="J1533" s="26" t="n">
        <f aca="false">IF(A1533="","",YEAR(A1533))</f>
        <v>2026</v>
      </c>
      <c r="K1533" s="26" t="n">
        <f aca="false">IF(A1533="","",MONTH(A1533))</f>
        <v>2</v>
      </c>
      <c r="L1533" s="26" t="n">
        <f aca="false">IF(B1533="","",VALUE(LEFT(B1533,2)))</f>
        <v>7</v>
      </c>
      <c r="M1533" s="26" t="n">
        <f aca="false">IF(A1533="","",IF(COUNTIFS($C$2:$C$5001,C1533,$J$2:$J$5001,J1533,$A$2:$A$5001,"&lt;"&amp;A1533)=0,1,0))</f>
        <v>0</v>
      </c>
    </row>
    <row r="1534" customFormat="false" ht="15" hidden="false" customHeight="false" outlineLevel="0" collapsed="false">
      <c r="A1534" s="23" t="n">
        <v>46070.5909722222</v>
      </c>
      <c r="B1534" s="24" t="s">
        <v>457</v>
      </c>
      <c r="C1534" s="24" t="s">
        <v>263</v>
      </c>
      <c r="D1534" s="24" t="s">
        <v>53</v>
      </c>
      <c r="E1534" s="24" t="n">
        <v>385</v>
      </c>
      <c r="F1534" s="25" t="n">
        <v>6500</v>
      </c>
      <c r="G1534" s="24" t="s">
        <v>59</v>
      </c>
      <c r="H1534" s="24" t="s">
        <v>60</v>
      </c>
      <c r="I1534" s="24" t="s">
        <v>61</v>
      </c>
      <c r="J1534" s="26" t="n">
        <f aca="false">IF(A1534="","",YEAR(A1534))</f>
        <v>2026</v>
      </c>
      <c r="K1534" s="26" t="n">
        <f aca="false">IF(A1534="","",MONTH(A1534))</f>
        <v>2</v>
      </c>
      <c r="L1534" s="26" t="n">
        <f aca="false">IF(B1534="","",VALUE(LEFT(B1534,2)))</f>
        <v>7</v>
      </c>
      <c r="M1534" s="26" t="n">
        <f aca="false">IF(A1534="","",IF(COUNTIFS($C$2:$C$5001,C1534,$J$2:$J$5001,J1534,$A$2:$A$5001,"&lt;"&amp;A1534)=0,1,0))</f>
        <v>0</v>
      </c>
    </row>
    <row r="1535" customFormat="false" ht="15" hidden="false" customHeight="false" outlineLevel="0" collapsed="false">
      <c r="A1535" s="23" t="n">
        <v>46070.84375</v>
      </c>
      <c r="B1535" s="24" t="s">
        <v>433</v>
      </c>
      <c r="C1535" s="24" t="s">
        <v>876</v>
      </c>
      <c r="D1535" s="24" t="s">
        <v>66</v>
      </c>
      <c r="E1535" s="24" t="n">
        <v>404</v>
      </c>
      <c r="F1535" s="25" t="n">
        <v>11900</v>
      </c>
      <c r="G1535" s="24" t="s">
        <v>69</v>
      </c>
      <c r="H1535" s="24" t="s">
        <v>55</v>
      </c>
      <c r="I1535" s="24" t="s">
        <v>113</v>
      </c>
      <c r="J1535" s="26" t="n">
        <f aca="false">IF(A1535="","",YEAR(A1535))</f>
        <v>2026</v>
      </c>
      <c r="K1535" s="26" t="n">
        <f aca="false">IF(A1535="","",MONTH(A1535))</f>
        <v>2</v>
      </c>
      <c r="L1535" s="26" t="n">
        <f aca="false">IF(B1535="","",VALUE(LEFT(B1535,2)))</f>
        <v>13</v>
      </c>
      <c r="M1535" s="26" t="n">
        <f aca="false">IF(A1535="","",IF(COUNTIFS($C$2:$C$5001,C1535,$J$2:$J$5001,J1535,$A$2:$A$5001,"&lt;"&amp;A1535)=0,1,0))</f>
        <v>1</v>
      </c>
    </row>
    <row r="1536" customFormat="false" ht="15" hidden="false" customHeight="false" outlineLevel="0" collapsed="false">
      <c r="A1536" s="23" t="n">
        <v>46070.8493055556</v>
      </c>
      <c r="B1536" s="24" t="s">
        <v>95</v>
      </c>
      <c r="C1536" s="24" t="s">
        <v>227</v>
      </c>
      <c r="D1536" s="24" t="s">
        <v>66</v>
      </c>
      <c r="E1536" s="24" t="n">
        <v>317</v>
      </c>
      <c r="F1536" s="25" t="n">
        <v>11000</v>
      </c>
      <c r="G1536" s="24" t="s">
        <v>83</v>
      </c>
      <c r="H1536" s="24" t="s">
        <v>55</v>
      </c>
      <c r="I1536" s="24" t="s">
        <v>61</v>
      </c>
      <c r="J1536" s="26" t="n">
        <f aca="false">IF(A1536="","",YEAR(A1536))</f>
        <v>2026</v>
      </c>
      <c r="K1536" s="26" t="n">
        <f aca="false">IF(A1536="","",MONTH(A1536))</f>
        <v>2</v>
      </c>
      <c r="L1536" s="26" t="n">
        <f aca="false">IF(B1536="","",VALUE(LEFT(B1536,2)))</f>
        <v>15</v>
      </c>
      <c r="M1536" s="26" t="n">
        <f aca="false">IF(A1536="","",IF(COUNTIFS($C$2:$C$5001,C1536,$J$2:$J$5001,J1536,$A$2:$A$5001,"&lt;"&amp;A1536)=0,1,0))</f>
        <v>1</v>
      </c>
    </row>
    <row r="1537" customFormat="false" ht="15" hidden="false" customHeight="false" outlineLevel="0" collapsed="false">
      <c r="A1537" s="23" t="n">
        <v>46070.9104166667</v>
      </c>
      <c r="B1537" s="24" t="s">
        <v>606</v>
      </c>
      <c r="C1537" s="24" t="s">
        <v>467</v>
      </c>
      <c r="D1537" s="24" t="s">
        <v>66</v>
      </c>
      <c r="E1537" s="24" t="n">
        <v>416</v>
      </c>
      <c r="F1537" s="25" t="n">
        <v>14000</v>
      </c>
      <c r="G1537" s="24" t="s">
        <v>59</v>
      </c>
      <c r="H1537" s="24" t="s">
        <v>80</v>
      </c>
      <c r="I1537" s="24" t="s">
        <v>61</v>
      </c>
      <c r="J1537" s="26" t="n">
        <f aca="false">IF(A1537="","",YEAR(A1537))</f>
        <v>2026</v>
      </c>
      <c r="K1537" s="26" t="n">
        <f aca="false">IF(A1537="","",MONTH(A1537))</f>
        <v>2</v>
      </c>
      <c r="L1537" s="26" t="n">
        <f aca="false">IF(B1537="","",VALUE(LEFT(B1537,2)))</f>
        <v>14</v>
      </c>
      <c r="M1537" s="26" t="n">
        <f aca="false">IF(A1537="","",IF(COUNTIFS($C$2:$C$5001,C1537,$J$2:$J$5001,J1537,$A$2:$A$5001,"&lt;"&amp;A1537)=0,1,0))</f>
        <v>0</v>
      </c>
    </row>
    <row r="1538" customFormat="false" ht="15" hidden="false" customHeight="false" outlineLevel="0" collapsed="false">
      <c r="A1538" s="23" t="n">
        <v>46070.9180555556</v>
      </c>
      <c r="B1538" s="24" t="s">
        <v>946</v>
      </c>
      <c r="C1538" s="24" t="s">
        <v>74</v>
      </c>
      <c r="D1538" s="24" t="s">
        <v>66</v>
      </c>
      <c r="E1538" s="24" t="n">
        <v>383</v>
      </c>
      <c r="F1538" s="25" t="n">
        <v>13000</v>
      </c>
      <c r="G1538" s="24" t="s">
        <v>54</v>
      </c>
      <c r="H1538" s="24" t="s">
        <v>55</v>
      </c>
      <c r="I1538" s="24" t="s">
        <v>61</v>
      </c>
      <c r="J1538" s="26" t="n">
        <f aca="false">IF(A1538="","",YEAR(A1538))</f>
        <v>2026</v>
      </c>
      <c r="K1538" s="26" t="n">
        <f aca="false">IF(A1538="","",MONTH(A1538))</f>
        <v>2</v>
      </c>
      <c r="L1538" s="26" t="n">
        <f aca="false">IF(B1538="","",VALUE(LEFT(B1538,2)))</f>
        <v>15</v>
      </c>
      <c r="M1538" s="26" t="n">
        <f aca="false">IF(A1538="","",IF(COUNTIFS($C$2:$C$5001,C1538,$J$2:$J$5001,J1538,$A$2:$A$5001,"&lt;"&amp;A1538)=0,1,0))</f>
        <v>0</v>
      </c>
    </row>
    <row r="1539" customFormat="false" ht="15" hidden="false" customHeight="false" outlineLevel="0" collapsed="false">
      <c r="A1539" s="23" t="n">
        <v>46070.9416666667</v>
      </c>
      <c r="B1539" s="24" t="s">
        <v>947</v>
      </c>
      <c r="C1539" s="24" t="s">
        <v>467</v>
      </c>
      <c r="D1539" s="24" t="s">
        <v>66</v>
      </c>
      <c r="E1539" s="24" t="n">
        <v>146</v>
      </c>
      <c r="F1539" s="25" t="n">
        <v>5000</v>
      </c>
      <c r="G1539" s="24" t="s">
        <v>59</v>
      </c>
      <c r="H1539" s="24" t="s">
        <v>60</v>
      </c>
      <c r="I1539" s="24" t="s">
        <v>61</v>
      </c>
      <c r="J1539" s="26" t="n">
        <f aca="false">IF(A1539="","",YEAR(A1539))</f>
        <v>2026</v>
      </c>
      <c r="K1539" s="26" t="n">
        <f aca="false">IF(A1539="","",MONTH(A1539))</f>
        <v>2</v>
      </c>
      <c r="L1539" s="26" t="n">
        <f aca="false">IF(B1539="","",VALUE(LEFT(B1539,2)))</f>
        <v>20</v>
      </c>
      <c r="M1539" s="26" t="n">
        <f aca="false">IF(A1539="","",IF(COUNTIFS($C$2:$C$5001,C1539,$J$2:$J$5001,J1539,$A$2:$A$5001,"&lt;"&amp;A1539)=0,1,0))</f>
        <v>0</v>
      </c>
    </row>
    <row r="1540" customFormat="false" ht="15" hidden="false" customHeight="false" outlineLevel="0" collapsed="false">
      <c r="A1540" s="23" t="n">
        <v>46071.5284722222</v>
      </c>
      <c r="B1540" s="24" t="s">
        <v>453</v>
      </c>
      <c r="C1540" s="24" t="s">
        <v>68</v>
      </c>
      <c r="D1540" s="24" t="s">
        <v>53</v>
      </c>
      <c r="E1540" s="24" t="n">
        <v>397</v>
      </c>
      <c r="F1540" s="25" t="n">
        <v>7000</v>
      </c>
      <c r="G1540" s="24" t="s">
        <v>59</v>
      </c>
      <c r="H1540" s="24" t="s">
        <v>80</v>
      </c>
      <c r="I1540" s="24" t="s">
        <v>61</v>
      </c>
      <c r="J1540" s="26" t="n">
        <f aca="false">IF(A1540="","",YEAR(A1540))</f>
        <v>2026</v>
      </c>
      <c r="K1540" s="26" t="n">
        <f aca="false">IF(A1540="","",MONTH(A1540))</f>
        <v>2</v>
      </c>
      <c r="L1540" s="26" t="n">
        <f aca="false">IF(B1540="","",VALUE(LEFT(B1540,2)))</f>
        <v>6</v>
      </c>
      <c r="M1540" s="26" t="n">
        <f aca="false">IF(A1540="","",IF(COUNTIFS($C$2:$C$5001,C1540,$J$2:$J$5001,J1540,$A$2:$A$5001,"&lt;"&amp;A1540)=0,1,0))</f>
        <v>0</v>
      </c>
    </row>
    <row r="1541" customFormat="false" ht="15" hidden="false" customHeight="false" outlineLevel="0" collapsed="false">
      <c r="A1541" s="23" t="n">
        <v>46071.5715277778</v>
      </c>
      <c r="B1541" s="24" t="s">
        <v>948</v>
      </c>
      <c r="C1541" s="24" t="s">
        <v>324</v>
      </c>
      <c r="D1541" s="24" t="s">
        <v>66</v>
      </c>
      <c r="E1541" s="24" t="n">
        <v>67</v>
      </c>
      <c r="F1541" s="25" t="n">
        <v>2550</v>
      </c>
      <c r="G1541" s="24" t="s">
        <v>79</v>
      </c>
      <c r="H1541" s="24" t="s">
        <v>80</v>
      </c>
      <c r="I1541" s="24" t="s">
        <v>113</v>
      </c>
      <c r="J1541" s="26" t="n">
        <f aca="false">IF(A1541="","",YEAR(A1541))</f>
        <v>2026</v>
      </c>
      <c r="K1541" s="26" t="n">
        <f aca="false">IF(A1541="","",MONTH(A1541))</f>
        <v>2</v>
      </c>
      <c r="L1541" s="26" t="n">
        <f aca="false">IF(B1541="","",VALUE(LEFT(B1541,2)))</f>
        <v>12</v>
      </c>
      <c r="M1541" s="26" t="n">
        <f aca="false">IF(A1541="","",IF(COUNTIFS($C$2:$C$5001,C1541,$J$2:$J$5001,J1541,$A$2:$A$5001,"&lt;"&amp;A1541)=0,1,0))</f>
        <v>1</v>
      </c>
    </row>
    <row r="1542" customFormat="false" ht="15" hidden="false" customHeight="false" outlineLevel="0" collapsed="false">
      <c r="A1542" s="23" t="n">
        <v>46071.6284722222</v>
      </c>
      <c r="B1542" s="24" t="s">
        <v>908</v>
      </c>
      <c r="C1542" s="24" t="s">
        <v>172</v>
      </c>
      <c r="D1542" s="24" t="s">
        <v>66</v>
      </c>
      <c r="E1542" s="24" t="n">
        <v>179</v>
      </c>
      <c r="F1542" s="25" t="n">
        <v>6000</v>
      </c>
      <c r="G1542" s="24" t="s">
        <v>79</v>
      </c>
      <c r="H1542" s="24" t="s">
        <v>80</v>
      </c>
      <c r="I1542" s="24" t="s">
        <v>61</v>
      </c>
      <c r="J1542" s="26" t="n">
        <f aca="false">IF(A1542="","",YEAR(A1542))</f>
        <v>2026</v>
      </c>
      <c r="K1542" s="26" t="n">
        <f aca="false">IF(A1542="","",MONTH(A1542))</f>
        <v>2</v>
      </c>
      <c r="L1542" s="26" t="n">
        <f aca="false">IF(B1542="","",VALUE(LEFT(B1542,2)))</f>
        <v>12</v>
      </c>
      <c r="M1542" s="26" t="n">
        <f aca="false">IF(A1542="","",IF(COUNTIFS($C$2:$C$5001,C1542,$J$2:$J$5001,J1542,$A$2:$A$5001,"&lt;"&amp;A1542)=0,1,0))</f>
        <v>0</v>
      </c>
    </row>
    <row r="1543" customFormat="false" ht="15" hidden="false" customHeight="false" outlineLevel="0" collapsed="false">
      <c r="A1543" s="23" t="n">
        <v>46071.6770833333</v>
      </c>
      <c r="B1543" s="24" t="s">
        <v>759</v>
      </c>
      <c r="C1543" s="24" t="s">
        <v>82</v>
      </c>
      <c r="D1543" s="24" t="s">
        <v>66</v>
      </c>
      <c r="E1543" s="24" t="n">
        <v>108</v>
      </c>
      <c r="F1543" s="25" t="n">
        <v>4000</v>
      </c>
      <c r="G1543" s="24" t="s">
        <v>59</v>
      </c>
      <c r="H1543" s="24" t="s">
        <v>80</v>
      </c>
      <c r="I1543" s="24" t="s">
        <v>61</v>
      </c>
      <c r="J1543" s="26" t="n">
        <f aca="false">IF(A1543="","",YEAR(A1543))</f>
        <v>2026</v>
      </c>
      <c r="K1543" s="26" t="n">
        <f aca="false">IF(A1543="","",MONTH(A1543))</f>
        <v>2</v>
      </c>
      <c r="L1543" s="26" t="n">
        <f aca="false">IF(B1543="","",VALUE(LEFT(B1543,2)))</f>
        <v>14</v>
      </c>
      <c r="M1543" s="26" t="n">
        <f aca="false">IF(A1543="","",IF(COUNTIFS($C$2:$C$5001,C1543,$J$2:$J$5001,J1543,$A$2:$A$5001,"&lt;"&amp;A1543)=0,1,0))</f>
        <v>0</v>
      </c>
    </row>
    <row r="1544" customFormat="false" ht="15" hidden="false" customHeight="false" outlineLevel="0" collapsed="false">
      <c r="A1544" s="23" t="n">
        <v>46071.8423611111</v>
      </c>
      <c r="B1544" s="24" t="s">
        <v>949</v>
      </c>
      <c r="C1544" s="24" t="s">
        <v>306</v>
      </c>
      <c r="D1544" s="24" t="s">
        <v>66</v>
      </c>
      <c r="E1544" s="24" t="n">
        <v>113</v>
      </c>
      <c r="F1544" s="25" t="n">
        <v>3400</v>
      </c>
      <c r="G1544" s="24" t="s">
        <v>69</v>
      </c>
      <c r="H1544" s="24" t="s">
        <v>60</v>
      </c>
      <c r="I1544" s="24" t="s">
        <v>113</v>
      </c>
      <c r="J1544" s="26" t="n">
        <f aca="false">IF(A1544="","",YEAR(A1544))</f>
        <v>2026</v>
      </c>
      <c r="K1544" s="26" t="n">
        <f aca="false">IF(A1544="","",MONTH(A1544))</f>
        <v>2</v>
      </c>
      <c r="L1544" s="26" t="n">
        <f aca="false">IF(B1544="","",VALUE(LEFT(B1544,2)))</f>
        <v>18</v>
      </c>
      <c r="M1544" s="26" t="n">
        <f aca="false">IF(A1544="","",IF(COUNTIFS($C$2:$C$5001,C1544,$J$2:$J$5001,J1544,$A$2:$A$5001,"&lt;"&amp;A1544)=0,1,0))</f>
        <v>1</v>
      </c>
    </row>
    <row r="1545" customFormat="false" ht="15" hidden="false" customHeight="false" outlineLevel="0" collapsed="false">
      <c r="A1545" s="23" t="n">
        <v>46071.9847222222</v>
      </c>
      <c r="B1545" s="24" t="s">
        <v>361</v>
      </c>
      <c r="C1545" s="24" t="s">
        <v>240</v>
      </c>
      <c r="D1545" s="24" t="s">
        <v>66</v>
      </c>
      <c r="E1545" s="24" t="n">
        <v>419</v>
      </c>
      <c r="F1545" s="25" t="n">
        <v>14000</v>
      </c>
      <c r="G1545" s="24" t="s">
        <v>69</v>
      </c>
      <c r="H1545" s="24" t="s">
        <v>60</v>
      </c>
      <c r="I1545" s="24" t="s">
        <v>61</v>
      </c>
      <c r="J1545" s="26" t="n">
        <f aca="false">IF(A1545="","",YEAR(A1545))</f>
        <v>2026</v>
      </c>
      <c r="K1545" s="26" t="n">
        <f aca="false">IF(A1545="","",MONTH(A1545))</f>
        <v>2</v>
      </c>
      <c r="L1545" s="26" t="n">
        <f aca="false">IF(B1545="","",VALUE(LEFT(B1545,2)))</f>
        <v>16</v>
      </c>
      <c r="M1545" s="26" t="n">
        <f aca="false">IF(A1545="","",IF(COUNTIFS($C$2:$C$5001,C1545,$J$2:$J$5001,J1545,$A$2:$A$5001,"&lt;"&amp;A1545)=0,1,0))</f>
        <v>0</v>
      </c>
    </row>
    <row r="1546" customFormat="false" ht="15" hidden="false" customHeight="false" outlineLevel="0" collapsed="false">
      <c r="A1546" s="23" t="n">
        <v>46072.0465277778</v>
      </c>
      <c r="B1546" s="24" t="s">
        <v>702</v>
      </c>
      <c r="C1546" s="24" t="s">
        <v>222</v>
      </c>
      <c r="D1546" s="24" t="s">
        <v>72</v>
      </c>
      <c r="E1546" s="24" t="n">
        <v>332</v>
      </c>
      <c r="F1546" s="25" t="n">
        <v>24000</v>
      </c>
      <c r="G1546" s="24" t="s">
        <v>83</v>
      </c>
      <c r="H1546" s="24" t="s">
        <v>80</v>
      </c>
      <c r="I1546" s="24" t="s">
        <v>61</v>
      </c>
      <c r="J1546" s="26" t="n">
        <f aca="false">IF(A1546="","",YEAR(A1546))</f>
        <v>2026</v>
      </c>
      <c r="K1546" s="26" t="n">
        <f aca="false">IF(A1546="","",MONTH(A1546))</f>
        <v>2</v>
      </c>
      <c r="L1546" s="26" t="n">
        <f aca="false">IF(B1546="","",VALUE(LEFT(B1546,2)))</f>
        <v>19</v>
      </c>
      <c r="M1546" s="26" t="n">
        <f aca="false">IF(A1546="","",IF(COUNTIFS($C$2:$C$5001,C1546,$J$2:$J$5001,J1546,$A$2:$A$5001,"&lt;"&amp;A1546)=0,1,0))</f>
        <v>1</v>
      </c>
    </row>
    <row r="1547" customFormat="false" ht="15" hidden="false" customHeight="false" outlineLevel="0" collapsed="false">
      <c r="A1547" s="23" t="n">
        <v>46072.0659722222</v>
      </c>
      <c r="B1547" s="24" t="s">
        <v>827</v>
      </c>
      <c r="C1547" s="24" t="s">
        <v>475</v>
      </c>
      <c r="D1547" s="24" t="s">
        <v>66</v>
      </c>
      <c r="E1547" s="24" t="n">
        <v>374</v>
      </c>
      <c r="F1547" s="25" t="n">
        <v>13000</v>
      </c>
      <c r="G1547" s="24" t="s">
        <v>59</v>
      </c>
      <c r="H1547" s="24" t="s">
        <v>80</v>
      </c>
      <c r="I1547" s="24" t="s">
        <v>61</v>
      </c>
      <c r="J1547" s="26" t="n">
        <f aca="false">IF(A1547="","",YEAR(A1547))</f>
        <v>2026</v>
      </c>
      <c r="K1547" s="26" t="n">
        <f aca="false">IF(A1547="","",MONTH(A1547))</f>
        <v>2</v>
      </c>
      <c r="L1547" s="26" t="n">
        <f aca="false">IF(B1547="","",VALUE(LEFT(B1547,2)))</f>
        <v>19</v>
      </c>
      <c r="M1547" s="26" t="n">
        <f aca="false">IF(A1547="","",IF(COUNTIFS($C$2:$C$5001,C1547,$J$2:$J$5001,J1547,$A$2:$A$5001,"&lt;"&amp;A1547)=0,1,0))</f>
        <v>0</v>
      </c>
    </row>
    <row r="1548" customFormat="false" ht="15" hidden="false" customHeight="false" outlineLevel="0" collapsed="false">
      <c r="A1548" s="23" t="n">
        <v>46072.4472222222</v>
      </c>
      <c r="B1548" s="24" t="s">
        <v>64</v>
      </c>
      <c r="C1548" s="24" t="s">
        <v>467</v>
      </c>
      <c r="D1548" s="24" t="s">
        <v>66</v>
      </c>
      <c r="E1548" s="24" t="n">
        <v>190</v>
      </c>
      <c r="F1548" s="25" t="n">
        <v>0</v>
      </c>
      <c r="G1548" s="24" t="s">
        <v>59</v>
      </c>
      <c r="H1548" s="24" t="s">
        <v>60</v>
      </c>
      <c r="I1548" s="24" t="s">
        <v>56</v>
      </c>
      <c r="J1548" s="26" t="n">
        <f aca="false">IF(A1548="","",YEAR(A1548))</f>
        <v>2026</v>
      </c>
      <c r="K1548" s="26" t="n">
        <f aca="false">IF(A1548="","",MONTH(A1548))</f>
        <v>2</v>
      </c>
      <c r="L1548" s="26" t="n">
        <f aca="false">IF(B1548="","",VALUE(LEFT(B1548,2)))</f>
        <v>7</v>
      </c>
      <c r="M1548" s="26" t="n">
        <f aca="false">IF(A1548="","",IF(COUNTIFS($C$2:$C$5001,C1548,$J$2:$J$5001,J1548,$A$2:$A$5001,"&lt;"&amp;A1548)=0,1,0))</f>
        <v>0</v>
      </c>
    </row>
    <row r="1549" customFormat="false" ht="15" hidden="false" customHeight="false" outlineLevel="0" collapsed="false">
      <c r="A1549" s="23" t="n">
        <v>46072.8083333333</v>
      </c>
      <c r="B1549" s="24" t="s">
        <v>724</v>
      </c>
      <c r="C1549" s="24" t="s">
        <v>475</v>
      </c>
      <c r="D1549" s="24" t="s">
        <v>66</v>
      </c>
      <c r="E1549" s="24" t="n">
        <v>280</v>
      </c>
      <c r="F1549" s="25" t="n">
        <v>10000</v>
      </c>
      <c r="G1549" s="24" t="s">
        <v>59</v>
      </c>
      <c r="H1549" s="24" t="s">
        <v>80</v>
      </c>
      <c r="I1549" s="24" t="s">
        <v>61</v>
      </c>
      <c r="J1549" s="26" t="n">
        <f aca="false">IF(A1549="","",YEAR(A1549))</f>
        <v>2026</v>
      </c>
      <c r="K1549" s="26" t="n">
        <f aca="false">IF(A1549="","",MONTH(A1549))</f>
        <v>2</v>
      </c>
      <c r="L1549" s="26" t="n">
        <f aca="false">IF(B1549="","",VALUE(LEFT(B1549,2)))</f>
        <v>14</v>
      </c>
      <c r="M1549" s="26" t="n">
        <f aca="false">IF(A1549="","",IF(COUNTIFS($C$2:$C$5001,C1549,$J$2:$J$5001,J1549,$A$2:$A$5001,"&lt;"&amp;A1549)=0,1,0))</f>
        <v>0</v>
      </c>
    </row>
    <row r="1550" customFormat="false" ht="15" hidden="false" customHeight="false" outlineLevel="0" collapsed="false">
      <c r="A1550" s="23" t="n">
        <v>46073.0388888889</v>
      </c>
      <c r="B1550" s="24" t="s">
        <v>797</v>
      </c>
      <c r="C1550" s="24" t="s">
        <v>339</v>
      </c>
      <c r="D1550" s="24" t="s">
        <v>66</v>
      </c>
      <c r="E1550" s="24" t="n">
        <v>324</v>
      </c>
      <c r="F1550" s="25" t="n">
        <v>11000</v>
      </c>
      <c r="G1550" s="24" t="s">
        <v>83</v>
      </c>
      <c r="H1550" s="24" t="s">
        <v>80</v>
      </c>
      <c r="I1550" s="24" t="s">
        <v>61</v>
      </c>
      <c r="J1550" s="26" t="n">
        <f aca="false">IF(A1550="","",YEAR(A1550))</f>
        <v>2026</v>
      </c>
      <c r="K1550" s="26" t="n">
        <f aca="false">IF(A1550="","",MONTH(A1550))</f>
        <v>2</v>
      </c>
      <c r="L1550" s="26" t="n">
        <f aca="false">IF(B1550="","",VALUE(LEFT(B1550,2)))</f>
        <v>19</v>
      </c>
      <c r="M1550" s="26" t="n">
        <f aca="false">IF(A1550="","",IF(COUNTIFS($C$2:$C$5001,C1550,$J$2:$J$5001,J1550,$A$2:$A$5001,"&lt;"&amp;A1550)=0,1,0))</f>
        <v>0</v>
      </c>
    </row>
    <row r="1551" customFormat="false" ht="15" hidden="false" customHeight="false" outlineLevel="0" collapsed="false">
      <c r="A1551" s="23" t="n">
        <v>46073.5513888889</v>
      </c>
      <c r="B1551" s="24" t="s">
        <v>248</v>
      </c>
      <c r="C1551" s="24" t="s">
        <v>240</v>
      </c>
      <c r="D1551" s="24" t="s">
        <v>53</v>
      </c>
      <c r="E1551" s="24" t="n">
        <v>210</v>
      </c>
      <c r="F1551" s="25" t="n">
        <v>3500</v>
      </c>
      <c r="G1551" s="24" t="s">
        <v>59</v>
      </c>
      <c r="H1551" s="24" t="s">
        <v>55</v>
      </c>
      <c r="I1551" s="24" t="s">
        <v>61</v>
      </c>
      <c r="J1551" s="26" t="n">
        <f aca="false">IF(A1551="","",YEAR(A1551))</f>
        <v>2026</v>
      </c>
      <c r="K1551" s="26" t="n">
        <f aca="false">IF(A1551="","",MONTH(A1551))</f>
        <v>2</v>
      </c>
      <c r="L1551" s="26" t="n">
        <f aca="false">IF(B1551="","",VALUE(LEFT(B1551,2)))</f>
        <v>9</v>
      </c>
      <c r="M1551" s="26" t="n">
        <f aca="false">IF(A1551="","",IF(COUNTIFS($C$2:$C$5001,C1551,$J$2:$J$5001,J1551,$A$2:$A$5001,"&lt;"&amp;A1551)=0,1,0))</f>
        <v>0</v>
      </c>
    </row>
    <row r="1552" customFormat="false" ht="15" hidden="false" customHeight="false" outlineLevel="0" collapsed="false">
      <c r="A1552" s="23" t="n">
        <v>46073.6270833333</v>
      </c>
      <c r="B1552" s="24" t="s">
        <v>351</v>
      </c>
      <c r="C1552" s="24" t="s">
        <v>85</v>
      </c>
      <c r="D1552" s="24" t="s">
        <v>66</v>
      </c>
      <c r="E1552" s="24" t="n">
        <v>291</v>
      </c>
      <c r="F1552" s="25" t="n">
        <v>10000</v>
      </c>
      <c r="G1552" s="24" t="s">
        <v>69</v>
      </c>
      <c r="H1552" s="24" t="s">
        <v>55</v>
      </c>
      <c r="I1552" s="24" t="s">
        <v>61</v>
      </c>
      <c r="J1552" s="26" t="n">
        <f aca="false">IF(A1552="","",YEAR(A1552))</f>
        <v>2026</v>
      </c>
      <c r="K1552" s="26" t="n">
        <f aca="false">IF(A1552="","",MONTH(A1552))</f>
        <v>2</v>
      </c>
      <c r="L1552" s="26" t="n">
        <f aca="false">IF(B1552="","",VALUE(LEFT(B1552,2)))</f>
        <v>10</v>
      </c>
      <c r="M1552" s="26" t="n">
        <f aca="false">IF(A1552="","",IF(COUNTIFS($C$2:$C$5001,C1552,$J$2:$J$5001,J1552,$A$2:$A$5001,"&lt;"&amp;A1552)=0,1,0))</f>
        <v>0</v>
      </c>
    </row>
    <row r="1553" customFormat="false" ht="15" hidden="false" customHeight="false" outlineLevel="0" collapsed="false">
      <c r="A1553" s="23" t="n">
        <v>46074.4097222222</v>
      </c>
      <c r="B1553" s="24" t="s">
        <v>101</v>
      </c>
      <c r="C1553" s="24" t="s">
        <v>243</v>
      </c>
      <c r="D1553" s="24" t="s">
        <v>66</v>
      </c>
      <c r="E1553" s="24" t="n">
        <v>108</v>
      </c>
      <c r="F1553" s="25" t="n">
        <v>4000</v>
      </c>
      <c r="G1553" s="24" t="s">
        <v>59</v>
      </c>
      <c r="H1553" s="24" t="s">
        <v>60</v>
      </c>
      <c r="I1553" s="24" t="s">
        <v>61</v>
      </c>
      <c r="J1553" s="26" t="n">
        <f aca="false">IF(A1553="","",YEAR(A1553))</f>
        <v>2026</v>
      </c>
      <c r="K1553" s="26" t="n">
        <f aca="false">IF(A1553="","",MONTH(A1553))</f>
        <v>2</v>
      </c>
      <c r="L1553" s="26" t="n">
        <f aca="false">IF(B1553="","",VALUE(LEFT(B1553,2)))</f>
        <v>8</v>
      </c>
      <c r="M1553" s="26" t="n">
        <f aca="false">IF(A1553="","",IF(COUNTIFS($C$2:$C$5001,C1553,$J$2:$J$5001,J1553,$A$2:$A$5001,"&lt;"&amp;A1553)=0,1,0))</f>
        <v>0</v>
      </c>
    </row>
    <row r="1554" customFormat="false" ht="15" hidden="false" customHeight="false" outlineLevel="0" collapsed="false">
      <c r="A1554" s="23" t="n">
        <v>46074.4625</v>
      </c>
      <c r="B1554" s="24" t="s">
        <v>300</v>
      </c>
      <c r="C1554" s="24" t="s">
        <v>116</v>
      </c>
      <c r="D1554" s="24" t="s">
        <v>53</v>
      </c>
      <c r="E1554" s="24" t="n">
        <v>124</v>
      </c>
      <c r="F1554" s="25" t="n">
        <v>2500</v>
      </c>
      <c r="G1554" s="24" t="s">
        <v>59</v>
      </c>
      <c r="H1554" s="24" t="s">
        <v>55</v>
      </c>
      <c r="I1554" s="24" t="s">
        <v>61</v>
      </c>
      <c r="J1554" s="26" t="n">
        <f aca="false">IF(A1554="","",YEAR(A1554))</f>
        <v>2026</v>
      </c>
      <c r="K1554" s="26" t="n">
        <f aca="false">IF(A1554="","",MONTH(A1554))</f>
        <v>2</v>
      </c>
      <c r="L1554" s="26" t="n">
        <f aca="false">IF(B1554="","",VALUE(LEFT(B1554,2)))</f>
        <v>9</v>
      </c>
      <c r="M1554" s="26" t="n">
        <f aca="false">IF(A1554="","",IF(COUNTIFS($C$2:$C$5001,C1554,$J$2:$J$5001,J1554,$A$2:$A$5001,"&lt;"&amp;A1554)=0,1,0))</f>
        <v>0</v>
      </c>
    </row>
    <row r="1555" customFormat="false" ht="15" hidden="false" customHeight="false" outlineLevel="0" collapsed="false">
      <c r="A1555" s="23" t="n">
        <v>46074.6215277778</v>
      </c>
      <c r="B1555" s="24" t="s">
        <v>950</v>
      </c>
      <c r="C1555" s="24" t="s">
        <v>71</v>
      </c>
      <c r="D1555" s="24" t="s">
        <v>53</v>
      </c>
      <c r="E1555" s="24" t="n">
        <v>419</v>
      </c>
      <c r="F1555" s="25" t="n">
        <v>7000</v>
      </c>
      <c r="G1555" s="24" t="s">
        <v>59</v>
      </c>
      <c r="H1555" s="24" t="s">
        <v>55</v>
      </c>
      <c r="I1555" s="24" t="s">
        <v>61</v>
      </c>
      <c r="J1555" s="26" t="n">
        <f aca="false">IF(A1555="","",YEAR(A1555))</f>
        <v>2026</v>
      </c>
      <c r="K1555" s="26" t="n">
        <f aca="false">IF(A1555="","",MONTH(A1555))</f>
        <v>2</v>
      </c>
      <c r="L1555" s="26" t="n">
        <f aca="false">IF(B1555="","",VALUE(LEFT(B1555,2)))</f>
        <v>7</v>
      </c>
      <c r="M1555" s="26" t="n">
        <f aca="false">IF(A1555="","",IF(COUNTIFS($C$2:$C$5001,C1555,$J$2:$J$5001,J1555,$A$2:$A$5001,"&lt;"&amp;A1555)=0,1,0))</f>
        <v>0</v>
      </c>
    </row>
    <row r="1556" customFormat="false" ht="15" hidden="false" customHeight="false" outlineLevel="0" collapsed="false">
      <c r="A1556" s="23" t="n">
        <v>46074.7</v>
      </c>
      <c r="B1556" s="24" t="s">
        <v>700</v>
      </c>
      <c r="C1556" s="24" t="s">
        <v>98</v>
      </c>
      <c r="D1556" s="24" t="s">
        <v>66</v>
      </c>
      <c r="E1556" s="24" t="n">
        <v>85</v>
      </c>
      <c r="F1556" s="25" t="n">
        <v>3000</v>
      </c>
      <c r="G1556" s="24" t="s">
        <v>59</v>
      </c>
      <c r="H1556" s="24" t="s">
        <v>55</v>
      </c>
      <c r="I1556" s="24" t="s">
        <v>61</v>
      </c>
      <c r="J1556" s="26" t="n">
        <f aca="false">IF(A1556="","",YEAR(A1556))</f>
        <v>2026</v>
      </c>
      <c r="K1556" s="26" t="n">
        <f aca="false">IF(A1556="","",MONTH(A1556))</f>
        <v>2</v>
      </c>
      <c r="L1556" s="26" t="n">
        <f aca="false">IF(B1556="","",VALUE(LEFT(B1556,2)))</f>
        <v>15</v>
      </c>
      <c r="M1556" s="26" t="n">
        <f aca="false">IF(A1556="","",IF(COUNTIFS($C$2:$C$5001,C1556,$J$2:$J$5001,J1556,$A$2:$A$5001,"&lt;"&amp;A1556)=0,1,0))</f>
        <v>1</v>
      </c>
    </row>
    <row r="1557" customFormat="false" ht="15" hidden="false" customHeight="false" outlineLevel="0" collapsed="false">
      <c r="A1557" s="23" t="n">
        <v>46075.3979166667</v>
      </c>
      <c r="B1557" s="24" t="s">
        <v>951</v>
      </c>
      <c r="C1557" s="24" t="s">
        <v>263</v>
      </c>
      <c r="D1557" s="24" t="s">
        <v>66</v>
      </c>
      <c r="E1557" s="24" t="n">
        <v>200</v>
      </c>
      <c r="F1557" s="25" t="n">
        <v>7000</v>
      </c>
      <c r="G1557" s="24" t="s">
        <v>59</v>
      </c>
      <c r="H1557" s="24" t="s">
        <v>60</v>
      </c>
      <c r="I1557" s="24" t="s">
        <v>61</v>
      </c>
      <c r="J1557" s="26" t="n">
        <f aca="false">IF(A1557="","",YEAR(A1557))</f>
        <v>2026</v>
      </c>
      <c r="K1557" s="26" t="n">
        <f aca="false">IF(A1557="","",MONTH(A1557))</f>
        <v>2</v>
      </c>
      <c r="L1557" s="26" t="n">
        <f aca="false">IF(B1557="","",VALUE(LEFT(B1557,2)))</f>
        <v>6</v>
      </c>
      <c r="M1557" s="26" t="n">
        <f aca="false">IF(A1557="","",IF(COUNTIFS($C$2:$C$5001,C1557,$J$2:$J$5001,J1557,$A$2:$A$5001,"&lt;"&amp;A1557)=0,1,0))</f>
        <v>0</v>
      </c>
    </row>
    <row r="1558" customFormat="false" ht="15" hidden="false" customHeight="false" outlineLevel="0" collapsed="false">
      <c r="A1558" s="23" t="n">
        <v>46075.5263888889</v>
      </c>
      <c r="B1558" s="24" t="s">
        <v>551</v>
      </c>
      <c r="C1558" s="24" t="s">
        <v>393</v>
      </c>
      <c r="D1558" s="24" t="s">
        <v>53</v>
      </c>
      <c r="E1558" s="24" t="n">
        <v>284</v>
      </c>
      <c r="F1558" s="25" t="n">
        <v>5000</v>
      </c>
      <c r="G1558" s="24" t="s">
        <v>59</v>
      </c>
      <c r="H1558" s="24" t="s">
        <v>80</v>
      </c>
      <c r="I1558" s="24" t="s">
        <v>61</v>
      </c>
      <c r="J1558" s="26" t="n">
        <f aca="false">IF(A1558="","",YEAR(A1558))</f>
        <v>2026</v>
      </c>
      <c r="K1558" s="26" t="n">
        <f aca="false">IF(A1558="","",MONTH(A1558))</f>
        <v>2</v>
      </c>
      <c r="L1558" s="26" t="n">
        <f aca="false">IF(B1558="","",VALUE(LEFT(B1558,2)))</f>
        <v>7</v>
      </c>
      <c r="M1558" s="26" t="n">
        <f aca="false">IF(A1558="","",IF(COUNTIFS($C$2:$C$5001,C1558,$J$2:$J$5001,J1558,$A$2:$A$5001,"&lt;"&amp;A1558)=0,1,0))</f>
        <v>1</v>
      </c>
    </row>
    <row r="1559" customFormat="false" ht="15" hidden="false" customHeight="false" outlineLevel="0" collapsed="false">
      <c r="A1559" s="23" t="n">
        <v>46075.6138888889</v>
      </c>
      <c r="B1559" s="24" t="s">
        <v>845</v>
      </c>
      <c r="C1559" s="24" t="s">
        <v>389</v>
      </c>
      <c r="D1559" s="24" t="s">
        <v>66</v>
      </c>
      <c r="E1559" s="24" t="n">
        <v>271</v>
      </c>
      <c r="F1559" s="25" t="n">
        <v>10000</v>
      </c>
      <c r="G1559" s="24" t="s">
        <v>69</v>
      </c>
      <c r="H1559" s="24" t="s">
        <v>55</v>
      </c>
      <c r="I1559" s="24" t="s">
        <v>61</v>
      </c>
      <c r="J1559" s="26" t="n">
        <f aca="false">IF(A1559="","",YEAR(A1559))</f>
        <v>2026</v>
      </c>
      <c r="K1559" s="26" t="n">
        <f aca="false">IF(A1559="","",MONTH(A1559))</f>
        <v>2</v>
      </c>
      <c r="L1559" s="26" t="n">
        <f aca="false">IF(B1559="","",VALUE(LEFT(B1559,2)))</f>
        <v>10</v>
      </c>
      <c r="M1559" s="26" t="n">
        <f aca="false">IF(A1559="","",IF(COUNTIFS($C$2:$C$5001,C1559,$J$2:$J$5001,J1559,$A$2:$A$5001,"&lt;"&amp;A1559)=0,1,0))</f>
        <v>0</v>
      </c>
    </row>
    <row r="1560" customFormat="false" ht="15" hidden="false" customHeight="false" outlineLevel="0" collapsed="false">
      <c r="A1560" s="23" t="n">
        <v>46075.8020833333</v>
      </c>
      <c r="B1560" s="24" t="s">
        <v>885</v>
      </c>
      <c r="C1560" s="24" t="s">
        <v>448</v>
      </c>
      <c r="D1560" s="24" t="s">
        <v>53</v>
      </c>
      <c r="E1560" s="24" t="n">
        <v>328</v>
      </c>
      <c r="F1560" s="25" t="n">
        <v>5500</v>
      </c>
      <c r="G1560" s="24" t="s">
        <v>54</v>
      </c>
      <c r="H1560" s="24" t="s">
        <v>80</v>
      </c>
      <c r="I1560" s="24" t="s">
        <v>61</v>
      </c>
      <c r="J1560" s="26" t="n">
        <f aca="false">IF(A1560="","",YEAR(A1560))</f>
        <v>2026</v>
      </c>
      <c r="K1560" s="26" t="n">
        <f aca="false">IF(A1560="","",MONTH(A1560))</f>
        <v>2</v>
      </c>
      <c r="L1560" s="26" t="n">
        <f aca="false">IF(B1560="","",VALUE(LEFT(B1560,2)))</f>
        <v>13</v>
      </c>
      <c r="M1560" s="26" t="n">
        <f aca="false">IF(A1560="","",IF(COUNTIFS($C$2:$C$5001,C1560,$J$2:$J$5001,J1560,$A$2:$A$5001,"&lt;"&amp;A1560)=0,1,0))</f>
        <v>0</v>
      </c>
    </row>
    <row r="1561" customFormat="false" ht="15" hidden="false" customHeight="false" outlineLevel="0" collapsed="false">
      <c r="A1561" s="23" t="n">
        <v>46076.6138888889</v>
      </c>
      <c r="B1561" s="24" t="s">
        <v>381</v>
      </c>
      <c r="C1561" s="24" t="s">
        <v>156</v>
      </c>
      <c r="D1561" s="24" t="s">
        <v>53</v>
      </c>
      <c r="E1561" s="24" t="n">
        <v>420</v>
      </c>
      <c r="F1561" s="25" t="n">
        <v>7000</v>
      </c>
      <c r="G1561" s="24" t="s">
        <v>59</v>
      </c>
      <c r="H1561" s="24" t="s">
        <v>55</v>
      </c>
      <c r="I1561" s="24" t="s">
        <v>61</v>
      </c>
      <c r="J1561" s="26" t="n">
        <f aca="false">IF(A1561="","",YEAR(A1561))</f>
        <v>2026</v>
      </c>
      <c r="K1561" s="26" t="n">
        <f aca="false">IF(A1561="","",MONTH(A1561))</f>
        <v>2</v>
      </c>
      <c r="L1561" s="26" t="n">
        <f aca="false">IF(B1561="","",VALUE(LEFT(B1561,2)))</f>
        <v>7</v>
      </c>
      <c r="M1561" s="26" t="n">
        <f aca="false">IF(A1561="","",IF(COUNTIFS($C$2:$C$5001,C1561,$J$2:$J$5001,J1561,$A$2:$A$5001,"&lt;"&amp;A1561)=0,1,0))</f>
        <v>0</v>
      </c>
    </row>
    <row r="1562" customFormat="false" ht="15" hidden="false" customHeight="false" outlineLevel="0" collapsed="false">
      <c r="A1562" s="23" t="n">
        <v>46077.0604166667</v>
      </c>
      <c r="B1562" s="24" t="s">
        <v>952</v>
      </c>
      <c r="C1562" s="24" t="s">
        <v>343</v>
      </c>
      <c r="D1562" s="24" t="s">
        <v>53</v>
      </c>
      <c r="E1562" s="24" t="n">
        <v>286</v>
      </c>
      <c r="F1562" s="25" t="n">
        <v>4250</v>
      </c>
      <c r="G1562" s="24" t="s">
        <v>54</v>
      </c>
      <c r="H1562" s="24" t="s">
        <v>80</v>
      </c>
      <c r="I1562" s="24" t="s">
        <v>113</v>
      </c>
      <c r="J1562" s="26" t="n">
        <f aca="false">IF(A1562="","",YEAR(A1562))</f>
        <v>2026</v>
      </c>
      <c r="K1562" s="26" t="n">
        <f aca="false">IF(A1562="","",MONTH(A1562))</f>
        <v>2</v>
      </c>
      <c r="L1562" s="26" t="n">
        <f aca="false">IF(B1562="","",VALUE(LEFT(B1562,2)))</f>
        <v>20</v>
      </c>
      <c r="M1562" s="26" t="n">
        <f aca="false">IF(A1562="","",IF(COUNTIFS($C$2:$C$5001,C1562,$J$2:$J$5001,J1562,$A$2:$A$5001,"&lt;"&amp;A1562)=0,1,0))</f>
        <v>0</v>
      </c>
    </row>
    <row r="1563" customFormat="false" ht="15" hidden="false" customHeight="false" outlineLevel="0" collapsed="false">
      <c r="A1563" s="23" t="n">
        <v>46077.5</v>
      </c>
      <c r="B1563" s="24" t="s">
        <v>866</v>
      </c>
      <c r="C1563" s="24" t="s">
        <v>138</v>
      </c>
      <c r="D1563" s="24" t="s">
        <v>66</v>
      </c>
      <c r="E1563" s="24" t="n">
        <v>53</v>
      </c>
      <c r="F1563" s="25" t="n">
        <v>2000</v>
      </c>
      <c r="G1563" s="24" t="s">
        <v>79</v>
      </c>
      <c r="H1563" s="24" t="s">
        <v>55</v>
      </c>
      <c r="I1563" s="24" t="s">
        <v>61</v>
      </c>
      <c r="J1563" s="26" t="n">
        <f aca="false">IF(A1563="","",YEAR(A1563))</f>
        <v>2026</v>
      </c>
      <c r="K1563" s="26" t="n">
        <f aca="false">IF(A1563="","",MONTH(A1563))</f>
        <v>2</v>
      </c>
      <c r="L1563" s="26" t="n">
        <f aca="false">IF(B1563="","",VALUE(LEFT(B1563,2)))</f>
        <v>11</v>
      </c>
      <c r="M1563" s="26" t="n">
        <f aca="false">IF(A1563="","",IF(COUNTIFS($C$2:$C$5001,C1563,$J$2:$J$5001,J1563,$A$2:$A$5001,"&lt;"&amp;A1563)=0,1,0))</f>
        <v>0</v>
      </c>
    </row>
    <row r="1564" customFormat="false" ht="15" hidden="false" customHeight="false" outlineLevel="0" collapsed="false">
      <c r="A1564" s="23" t="n">
        <v>46077.5576388889</v>
      </c>
      <c r="B1564" s="24" t="s">
        <v>953</v>
      </c>
      <c r="C1564" s="24" t="s">
        <v>467</v>
      </c>
      <c r="D1564" s="24" t="s">
        <v>53</v>
      </c>
      <c r="E1564" s="24" t="n">
        <v>229</v>
      </c>
      <c r="F1564" s="25" t="n">
        <v>4000</v>
      </c>
      <c r="G1564" s="24" t="s">
        <v>69</v>
      </c>
      <c r="H1564" s="24" t="s">
        <v>60</v>
      </c>
      <c r="I1564" s="24" t="s">
        <v>61</v>
      </c>
      <c r="J1564" s="26" t="n">
        <f aca="false">IF(A1564="","",YEAR(A1564))</f>
        <v>2026</v>
      </c>
      <c r="K1564" s="26" t="n">
        <f aca="false">IF(A1564="","",MONTH(A1564))</f>
        <v>2</v>
      </c>
      <c r="L1564" s="26" t="n">
        <f aca="false">IF(B1564="","",VALUE(LEFT(B1564,2)))</f>
        <v>9</v>
      </c>
      <c r="M1564" s="26" t="n">
        <f aca="false">IF(A1564="","",IF(COUNTIFS($C$2:$C$5001,C1564,$J$2:$J$5001,J1564,$A$2:$A$5001,"&lt;"&amp;A1564)=0,1,0))</f>
        <v>0</v>
      </c>
    </row>
    <row r="1565" customFormat="false" ht="15" hidden="false" customHeight="false" outlineLevel="0" collapsed="false">
      <c r="A1565" s="23" t="n">
        <v>46077.5736111111</v>
      </c>
      <c r="B1565" s="24" t="s">
        <v>89</v>
      </c>
      <c r="C1565" s="24" t="s">
        <v>126</v>
      </c>
      <c r="D1565" s="24" t="s">
        <v>66</v>
      </c>
      <c r="E1565" s="24" t="n">
        <v>398</v>
      </c>
      <c r="F1565" s="25" t="n">
        <v>14000</v>
      </c>
      <c r="G1565" s="24" t="s">
        <v>59</v>
      </c>
      <c r="H1565" s="24" t="s">
        <v>60</v>
      </c>
      <c r="I1565" s="24" t="s">
        <v>61</v>
      </c>
      <c r="J1565" s="26" t="n">
        <f aca="false">IF(A1565="","",YEAR(A1565))</f>
        <v>2026</v>
      </c>
      <c r="K1565" s="26" t="n">
        <f aca="false">IF(A1565="","",MONTH(A1565))</f>
        <v>2</v>
      </c>
      <c r="L1565" s="26" t="n">
        <f aca="false">IF(B1565="","",VALUE(LEFT(B1565,2)))</f>
        <v>7</v>
      </c>
      <c r="M1565" s="26" t="n">
        <f aca="false">IF(A1565="","",IF(COUNTIFS($C$2:$C$5001,C1565,$J$2:$J$5001,J1565,$A$2:$A$5001,"&lt;"&amp;A1565)=0,1,0))</f>
        <v>0</v>
      </c>
    </row>
    <row r="1566" customFormat="false" ht="15" hidden="false" customHeight="false" outlineLevel="0" collapsed="false">
      <c r="A1566" s="23" t="n">
        <v>46077.8513888889</v>
      </c>
      <c r="B1566" s="24" t="s">
        <v>632</v>
      </c>
      <c r="C1566" s="24" t="s">
        <v>267</v>
      </c>
      <c r="D1566" s="24" t="s">
        <v>53</v>
      </c>
      <c r="E1566" s="24" t="n">
        <v>370</v>
      </c>
      <c r="F1566" s="25" t="n">
        <v>6500</v>
      </c>
      <c r="G1566" s="24" t="s">
        <v>59</v>
      </c>
      <c r="H1566" s="24" t="s">
        <v>60</v>
      </c>
      <c r="I1566" s="24" t="s">
        <v>61</v>
      </c>
      <c r="J1566" s="26" t="n">
        <f aca="false">IF(A1566="","",YEAR(A1566))</f>
        <v>2026</v>
      </c>
      <c r="K1566" s="26" t="n">
        <f aca="false">IF(A1566="","",MONTH(A1566))</f>
        <v>2</v>
      </c>
      <c r="L1566" s="26" t="n">
        <f aca="false">IF(B1566="","",VALUE(LEFT(B1566,2)))</f>
        <v>14</v>
      </c>
      <c r="M1566" s="26" t="n">
        <f aca="false">IF(A1566="","",IF(COUNTIFS($C$2:$C$5001,C1566,$J$2:$J$5001,J1566,$A$2:$A$5001,"&lt;"&amp;A1566)=0,1,0))</f>
        <v>0</v>
      </c>
    </row>
    <row r="1567" customFormat="false" ht="15" hidden="false" customHeight="false" outlineLevel="0" collapsed="false">
      <c r="A1567" s="23" t="n">
        <v>46077.9194444444</v>
      </c>
      <c r="B1567" s="24" t="s">
        <v>785</v>
      </c>
      <c r="C1567" s="24" t="s">
        <v>220</v>
      </c>
      <c r="D1567" s="24" t="s">
        <v>66</v>
      </c>
      <c r="E1567" s="24" t="n">
        <v>399</v>
      </c>
      <c r="F1567" s="25" t="n">
        <v>14000</v>
      </c>
      <c r="G1567" s="24" t="s">
        <v>59</v>
      </c>
      <c r="H1567" s="24" t="s">
        <v>55</v>
      </c>
      <c r="I1567" s="24" t="s">
        <v>61</v>
      </c>
      <c r="J1567" s="26" t="n">
        <f aca="false">IF(A1567="","",YEAR(A1567))</f>
        <v>2026</v>
      </c>
      <c r="K1567" s="26" t="n">
        <f aca="false">IF(A1567="","",MONTH(A1567))</f>
        <v>2</v>
      </c>
      <c r="L1567" s="26" t="n">
        <f aca="false">IF(B1567="","",VALUE(LEFT(B1567,2)))</f>
        <v>15</v>
      </c>
      <c r="M1567" s="26" t="n">
        <f aca="false">IF(A1567="","",IF(COUNTIFS($C$2:$C$5001,C1567,$J$2:$J$5001,J1567,$A$2:$A$5001,"&lt;"&amp;A1567)=0,1,0))</f>
        <v>0</v>
      </c>
    </row>
    <row r="1568" customFormat="false" ht="15" hidden="false" customHeight="false" outlineLevel="0" collapsed="false">
      <c r="A1568" s="23" t="n">
        <v>46078.3972222222</v>
      </c>
      <c r="B1568" s="24" t="s">
        <v>703</v>
      </c>
      <c r="C1568" s="24" t="s">
        <v>389</v>
      </c>
      <c r="D1568" s="24" t="s">
        <v>66</v>
      </c>
      <c r="E1568" s="24" t="n">
        <v>174</v>
      </c>
      <c r="F1568" s="25" t="n">
        <v>0</v>
      </c>
      <c r="G1568" s="24" t="s">
        <v>59</v>
      </c>
      <c r="H1568" s="24" t="s">
        <v>80</v>
      </c>
      <c r="I1568" s="24" t="s">
        <v>56</v>
      </c>
      <c r="J1568" s="26" t="n">
        <f aca="false">IF(A1568="","",YEAR(A1568))</f>
        <v>2026</v>
      </c>
      <c r="K1568" s="26" t="n">
        <f aca="false">IF(A1568="","",MONTH(A1568))</f>
        <v>2</v>
      </c>
      <c r="L1568" s="26" t="n">
        <f aca="false">IF(B1568="","",VALUE(LEFT(B1568,2)))</f>
        <v>6</v>
      </c>
      <c r="M1568" s="26" t="n">
        <f aca="false">IF(A1568="","",IF(COUNTIFS($C$2:$C$5001,C1568,$J$2:$J$5001,J1568,$A$2:$A$5001,"&lt;"&amp;A1568)=0,1,0))</f>
        <v>0</v>
      </c>
    </row>
    <row r="1569" customFormat="false" ht="15" hidden="false" customHeight="false" outlineLevel="0" collapsed="false">
      <c r="A1569" s="23" t="n">
        <v>46078.4854166667</v>
      </c>
      <c r="B1569" s="24" t="s">
        <v>426</v>
      </c>
      <c r="C1569" s="24" t="s">
        <v>227</v>
      </c>
      <c r="D1569" s="24" t="s">
        <v>66</v>
      </c>
      <c r="E1569" s="24" t="n">
        <v>262</v>
      </c>
      <c r="F1569" s="25" t="n">
        <v>9000</v>
      </c>
      <c r="G1569" s="24" t="s">
        <v>59</v>
      </c>
      <c r="H1569" s="24" t="s">
        <v>80</v>
      </c>
      <c r="I1569" s="24" t="s">
        <v>61</v>
      </c>
      <c r="J1569" s="26" t="n">
        <f aca="false">IF(A1569="","",YEAR(A1569))</f>
        <v>2026</v>
      </c>
      <c r="K1569" s="26" t="n">
        <f aca="false">IF(A1569="","",MONTH(A1569))</f>
        <v>2</v>
      </c>
      <c r="L1569" s="26" t="n">
        <f aca="false">IF(B1569="","",VALUE(LEFT(B1569,2)))</f>
        <v>7</v>
      </c>
      <c r="M1569" s="26" t="n">
        <f aca="false">IF(A1569="","",IF(COUNTIFS($C$2:$C$5001,C1569,$J$2:$J$5001,J1569,$A$2:$A$5001,"&lt;"&amp;A1569)=0,1,0))</f>
        <v>0</v>
      </c>
    </row>
    <row r="1570" customFormat="false" ht="15" hidden="false" customHeight="false" outlineLevel="0" collapsed="false">
      <c r="A1570" s="23" t="n">
        <v>46079.0458333333</v>
      </c>
      <c r="B1570" s="24" t="s">
        <v>571</v>
      </c>
      <c r="C1570" s="24" t="s">
        <v>423</v>
      </c>
      <c r="D1570" s="24" t="s">
        <v>66</v>
      </c>
      <c r="E1570" s="24" t="n">
        <v>416</v>
      </c>
      <c r="F1570" s="25" t="n">
        <v>0</v>
      </c>
      <c r="G1570" s="24" t="s">
        <v>54</v>
      </c>
      <c r="H1570" s="24" t="s">
        <v>80</v>
      </c>
      <c r="I1570" s="24" t="s">
        <v>56</v>
      </c>
      <c r="J1570" s="26" t="n">
        <f aca="false">IF(A1570="","",YEAR(A1570))</f>
        <v>2026</v>
      </c>
      <c r="K1570" s="26" t="n">
        <f aca="false">IF(A1570="","",MONTH(A1570))</f>
        <v>2</v>
      </c>
      <c r="L1570" s="26" t="n">
        <f aca="false">IF(B1570="","",VALUE(LEFT(B1570,2)))</f>
        <v>18</v>
      </c>
      <c r="M1570" s="26" t="n">
        <f aca="false">IF(A1570="","",IF(COUNTIFS($C$2:$C$5001,C1570,$J$2:$J$5001,J1570,$A$2:$A$5001,"&lt;"&amp;A1570)=0,1,0))</f>
        <v>1</v>
      </c>
    </row>
    <row r="1571" customFormat="false" ht="15" hidden="false" customHeight="false" outlineLevel="0" collapsed="false">
      <c r="A1571" s="23" t="n">
        <v>46079.3875</v>
      </c>
      <c r="B1571" s="24" t="s">
        <v>405</v>
      </c>
      <c r="C1571" s="24" t="s">
        <v>376</v>
      </c>
      <c r="D1571" s="24" t="s">
        <v>66</v>
      </c>
      <c r="E1571" s="24" t="n">
        <v>136</v>
      </c>
      <c r="F1571" s="25" t="n">
        <v>5000</v>
      </c>
      <c r="G1571" s="24" t="s">
        <v>69</v>
      </c>
      <c r="H1571" s="24" t="s">
        <v>60</v>
      </c>
      <c r="I1571" s="24" t="s">
        <v>61</v>
      </c>
      <c r="J1571" s="26" t="n">
        <f aca="false">IF(A1571="","",YEAR(A1571))</f>
        <v>2026</v>
      </c>
      <c r="K1571" s="26" t="n">
        <f aca="false">IF(A1571="","",MONTH(A1571))</f>
        <v>2</v>
      </c>
      <c r="L1571" s="26" t="n">
        <f aca="false">IF(B1571="","",VALUE(LEFT(B1571,2)))</f>
        <v>7</v>
      </c>
      <c r="M1571" s="26" t="n">
        <f aca="false">IF(A1571="","",IF(COUNTIFS($C$2:$C$5001,C1571,$J$2:$J$5001,J1571,$A$2:$A$5001,"&lt;"&amp;A1571)=0,1,0))</f>
        <v>1</v>
      </c>
    </row>
    <row r="1572" customFormat="false" ht="15" hidden="false" customHeight="false" outlineLevel="0" collapsed="false">
      <c r="A1572" s="23" t="n">
        <v>46079.4048611111</v>
      </c>
      <c r="B1572" s="24" t="s">
        <v>898</v>
      </c>
      <c r="C1572" s="24" t="s">
        <v>448</v>
      </c>
      <c r="D1572" s="24" t="s">
        <v>53</v>
      </c>
      <c r="E1572" s="24" t="n">
        <v>217</v>
      </c>
      <c r="F1572" s="25" t="n">
        <v>4000</v>
      </c>
      <c r="G1572" s="24" t="s">
        <v>59</v>
      </c>
      <c r="H1572" s="24" t="s">
        <v>60</v>
      </c>
      <c r="I1572" s="24" t="s">
        <v>61</v>
      </c>
      <c r="J1572" s="26" t="n">
        <f aca="false">IF(A1572="","",YEAR(A1572))</f>
        <v>2026</v>
      </c>
      <c r="K1572" s="26" t="n">
        <f aca="false">IF(A1572="","",MONTH(A1572))</f>
        <v>2</v>
      </c>
      <c r="L1572" s="26" t="n">
        <f aca="false">IF(B1572="","",VALUE(LEFT(B1572,2)))</f>
        <v>6</v>
      </c>
      <c r="M1572" s="26" t="n">
        <f aca="false">IF(A1572="","",IF(COUNTIFS($C$2:$C$5001,C1572,$J$2:$J$5001,J1572,$A$2:$A$5001,"&lt;"&amp;A1572)=0,1,0))</f>
        <v>0</v>
      </c>
    </row>
    <row r="1573" customFormat="false" ht="15" hidden="false" customHeight="false" outlineLevel="0" collapsed="false">
      <c r="A1573" s="23" t="n">
        <v>46079.4222222222</v>
      </c>
      <c r="B1573" s="24" t="s">
        <v>954</v>
      </c>
      <c r="C1573" s="24" t="s">
        <v>235</v>
      </c>
      <c r="D1573" s="24" t="s">
        <v>53</v>
      </c>
      <c r="E1573" s="24" t="n">
        <v>128</v>
      </c>
      <c r="F1573" s="25" t="n">
        <v>2500</v>
      </c>
      <c r="G1573" s="24" t="s">
        <v>59</v>
      </c>
      <c r="H1573" s="24" t="s">
        <v>80</v>
      </c>
      <c r="I1573" s="24" t="s">
        <v>61</v>
      </c>
      <c r="J1573" s="26" t="n">
        <f aca="false">IF(A1573="","",YEAR(A1573))</f>
        <v>2026</v>
      </c>
      <c r="K1573" s="26" t="n">
        <f aca="false">IF(A1573="","",MONTH(A1573))</f>
        <v>2</v>
      </c>
      <c r="L1573" s="26" t="n">
        <f aca="false">IF(B1573="","",VALUE(LEFT(B1573,2)))</f>
        <v>8</v>
      </c>
      <c r="M1573" s="26" t="n">
        <f aca="false">IF(A1573="","",IF(COUNTIFS($C$2:$C$5001,C1573,$J$2:$J$5001,J1573,$A$2:$A$5001,"&lt;"&amp;A1573)=0,1,0))</f>
        <v>0</v>
      </c>
    </row>
    <row r="1574" customFormat="false" ht="15" hidden="false" customHeight="false" outlineLevel="0" collapsed="false">
      <c r="A1574" s="23" t="n">
        <v>46079.4548611111</v>
      </c>
      <c r="B1574" s="24" t="s">
        <v>682</v>
      </c>
      <c r="C1574" s="24" t="s">
        <v>192</v>
      </c>
      <c r="D1574" s="24" t="s">
        <v>53</v>
      </c>
      <c r="E1574" s="24" t="n">
        <v>144</v>
      </c>
      <c r="F1574" s="25" t="n">
        <v>2500</v>
      </c>
      <c r="G1574" s="24" t="s">
        <v>79</v>
      </c>
      <c r="H1574" s="24" t="s">
        <v>55</v>
      </c>
      <c r="I1574" s="24" t="s">
        <v>61</v>
      </c>
      <c r="J1574" s="26" t="n">
        <f aca="false">IF(A1574="","",YEAR(A1574))</f>
        <v>2026</v>
      </c>
      <c r="K1574" s="26" t="n">
        <f aca="false">IF(A1574="","",MONTH(A1574))</f>
        <v>2</v>
      </c>
      <c r="L1574" s="26" t="n">
        <f aca="false">IF(B1574="","",VALUE(LEFT(B1574,2)))</f>
        <v>8</v>
      </c>
      <c r="M1574" s="26" t="n">
        <f aca="false">IF(A1574="","",IF(COUNTIFS($C$2:$C$5001,C1574,$J$2:$J$5001,J1574,$A$2:$A$5001,"&lt;"&amp;A1574)=0,1,0))</f>
        <v>0</v>
      </c>
    </row>
    <row r="1575" customFormat="false" ht="15" hidden="false" customHeight="false" outlineLevel="0" collapsed="false">
      <c r="A1575" s="23" t="n">
        <v>46079.56875</v>
      </c>
      <c r="B1575" s="24" t="s">
        <v>230</v>
      </c>
      <c r="C1575" s="24" t="s">
        <v>271</v>
      </c>
      <c r="D1575" s="24" t="s">
        <v>66</v>
      </c>
      <c r="E1575" s="24" t="n">
        <v>407</v>
      </c>
      <c r="F1575" s="25" t="n">
        <v>14000</v>
      </c>
      <c r="G1575" s="24" t="s">
        <v>59</v>
      </c>
      <c r="H1575" s="24" t="s">
        <v>55</v>
      </c>
      <c r="I1575" s="24" t="s">
        <v>61</v>
      </c>
      <c r="J1575" s="26" t="n">
        <f aca="false">IF(A1575="","",YEAR(A1575))</f>
        <v>2026</v>
      </c>
      <c r="K1575" s="26" t="n">
        <f aca="false">IF(A1575="","",MONTH(A1575))</f>
        <v>2</v>
      </c>
      <c r="L1575" s="26" t="n">
        <f aca="false">IF(B1575="","",VALUE(LEFT(B1575,2)))</f>
        <v>6</v>
      </c>
      <c r="M1575" s="26" t="n">
        <f aca="false">IF(A1575="","",IF(COUNTIFS($C$2:$C$5001,C1575,$J$2:$J$5001,J1575,$A$2:$A$5001,"&lt;"&amp;A1575)=0,1,0))</f>
        <v>1</v>
      </c>
    </row>
    <row r="1576" customFormat="false" ht="15" hidden="false" customHeight="false" outlineLevel="0" collapsed="false">
      <c r="A1576" s="23" t="n">
        <v>46079.6243055556</v>
      </c>
      <c r="B1576" s="24" t="s">
        <v>955</v>
      </c>
      <c r="C1576" s="24" t="s">
        <v>263</v>
      </c>
      <c r="D1576" s="24" t="s">
        <v>66</v>
      </c>
      <c r="E1576" s="24" t="n">
        <v>195</v>
      </c>
      <c r="F1576" s="25" t="n">
        <v>7000</v>
      </c>
      <c r="G1576" s="24" t="s">
        <v>69</v>
      </c>
      <c r="H1576" s="24" t="s">
        <v>60</v>
      </c>
      <c r="I1576" s="24" t="s">
        <v>61</v>
      </c>
      <c r="J1576" s="26" t="n">
        <f aca="false">IF(A1576="","",YEAR(A1576))</f>
        <v>2026</v>
      </c>
      <c r="K1576" s="26" t="n">
        <f aca="false">IF(A1576="","",MONTH(A1576))</f>
        <v>2</v>
      </c>
      <c r="L1576" s="26" t="n">
        <f aca="false">IF(B1576="","",VALUE(LEFT(B1576,2)))</f>
        <v>11</v>
      </c>
      <c r="M1576" s="26" t="n">
        <f aca="false">IF(A1576="","",IF(COUNTIFS($C$2:$C$5001,C1576,$J$2:$J$5001,J1576,$A$2:$A$5001,"&lt;"&amp;A1576)=0,1,0))</f>
        <v>0</v>
      </c>
    </row>
    <row r="1577" customFormat="false" ht="15" hidden="false" customHeight="false" outlineLevel="0" collapsed="false">
      <c r="A1577" s="23" t="n">
        <v>46079.7451388889</v>
      </c>
      <c r="B1577" s="24" t="s">
        <v>291</v>
      </c>
      <c r="C1577" s="24" t="s">
        <v>143</v>
      </c>
      <c r="D1577" s="24" t="s">
        <v>66</v>
      </c>
      <c r="E1577" s="24" t="n">
        <v>22</v>
      </c>
      <c r="F1577" s="25" t="n">
        <v>1000</v>
      </c>
      <c r="G1577" s="24" t="s">
        <v>69</v>
      </c>
      <c r="H1577" s="24" t="s">
        <v>60</v>
      </c>
      <c r="I1577" s="24" t="s">
        <v>61</v>
      </c>
      <c r="J1577" s="26" t="n">
        <f aca="false">IF(A1577="","",YEAR(A1577))</f>
        <v>2026</v>
      </c>
      <c r="K1577" s="26" t="n">
        <f aca="false">IF(A1577="","",MONTH(A1577))</f>
        <v>2</v>
      </c>
      <c r="L1577" s="26" t="n">
        <f aca="false">IF(B1577="","",VALUE(LEFT(B1577,2)))</f>
        <v>17</v>
      </c>
      <c r="M1577" s="26" t="n">
        <f aca="false">IF(A1577="","",IF(COUNTIFS($C$2:$C$5001,C1577,$J$2:$J$5001,J1577,$A$2:$A$5001,"&lt;"&amp;A1577)=0,1,0))</f>
        <v>0</v>
      </c>
    </row>
    <row r="1578" customFormat="false" ht="15" hidden="false" customHeight="false" outlineLevel="0" collapsed="false">
      <c r="A1578" s="23" t="n">
        <v>46079.8611111111</v>
      </c>
      <c r="B1578" s="24" t="s">
        <v>783</v>
      </c>
      <c r="C1578" s="24" t="s">
        <v>735</v>
      </c>
      <c r="D1578" s="24" t="s">
        <v>66</v>
      </c>
      <c r="E1578" s="24" t="n">
        <v>230</v>
      </c>
      <c r="F1578" s="25" t="n">
        <v>6800</v>
      </c>
      <c r="G1578" s="24" t="s">
        <v>59</v>
      </c>
      <c r="H1578" s="24" t="s">
        <v>60</v>
      </c>
      <c r="I1578" s="24" t="s">
        <v>113</v>
      </c>
      <c r="J1578" s="26" t="n">
        <f aca="false">IF(A1578="","",YEAR(A1578))</f>
        <v>2026</v>
      </c>
      <c r="K1578" s="26" t="n">
        <f aca="false">IF(A1578="","",MONTH(A1578))</f>
        <v>2</v>
      </c>
      <c r="L1578" s="26" t="n">
        <f aca="false">IF(B1578="","",VALUE(LEFT(B1578,2)))</f>
        <v>16</v>
      </c>
      <c r="M1578" s="26" t="n">
        <f aca="false">IF(A1578="","",IF(COUNTIFS($C$2:$C$5001,C1578,$J$2:$J$5001,J1578,$A$2:$A$5001,"&lt;"&amp;A1578)=0,1,0))</f>
        <v>1</v>
      </c>
    </row>
    <row r="1579" customFormat="false" ht="15" hidden="false" customHeight="false" outlineLevel="0" collapsed="false">
      <c r="A1579" s="23" t="n">
        <v>46080.0965277778</v>
      </c>
      <c r="B1579" s="24" t="s">
        <v>956</v>
      </c>
      <c r="C1579" s="24" t="s">
        <v>290</v>
      </c>
      <c r="D1579" s="24" t="s">
        <v>66</v>
      </c>
      <c r="E1579" s="24" t="n">
        <v>340</v>
      </c>
      <c r="F1579" s="25" t="n">
        <v>0</v>
      </c>
      <c r="G1579" s="24" t="s">
        <v>59</v>
      </c>
      <c r="H1579" s="24" t="s">
        <v>80</v>
      </c>
      <c r="I1579" s="24" t="s">
        <v>56</v>
      </c>
      <c r="J1579" s="26" t="n">
        <f aca="false">IF(A1579="","",YEAR(A1579))</f>
        <v>2026</v>
      </c>
      <c r="K1579" s="26" t="n">
        <f aca="false">IF(A1579="","",MONTH(A1579))</f>
        <v>2</v>
      </c>
      <c r="L1579" s="26" t="n">
        <f aca="false">IF(B1579="","",VALUE(LEFT(B1579,2)))</f>
        <v>20</v>
      </c>
      <c r="M1579" s="26" t="n">
        <f aca="false">IF(A1579="","",IF(COUNTIFS($C$2:$C$5001,C1579,$J$2:$J$5001,J1579,$A$2:$A$5001,"&lt;"&amp;A1579)=0,1,0))</f>
        <v>0</v>
      </c>
    </row>
    <row r="1580" customFormat="false" ht="15" hidden="false" customHeight="false" outlineLevel="0" collapsed="false">
      <c r="A1580" s="23" t="n">
        <v>46080.43125</v>
      </c>
      <c r="B1580" s="24" t="s">
        <v>659</v>
      </c>
      <c r="C1580" s="24" t="s">
        <v>413</v>
      </c>
      <c r="D1580" s="24" t="s">
        <v>66</v>
      </c>
      <c r="E1580" s="24" t="n">
        <v>85</v>
      </c>
      <c r="F1580" s="25" t="n">
        <v>3000</v>
      </c>
      <c r="G1580" s="24" t="s">
        <v>59</v>
      </c>
      <c r="H1580" s="24" t="s">
        <v>60</v>
      </c>
      <c r="I1580" s="24" t="s">
        <v>61</v>
      </c>
      <c r="J1580" s="26" t="n">
        <f aca="false">IF(A1580="","",YEAR(A1580))</f>
        <v>2026</v>
      </c>
      <c r="K1580" s="26" t="n">
        <f aca="false">IF(A1580="","",MONTH(A1580))</f>
        <v>2</v>
      </c>
      <c r="L1580" s="26" t="n">
        <f aca="false">IF(B1580="","",VALUE(LEFT(B1580,2)))</f>
        <v>8</v>
      </c>
      <c r="M1580" s="26" t="n">
        <f aca="false">IF(A1580="","",IF(COUNTIFS($C$2:$C$5001,C1580,$J$2:$J$5001,J1580,$A$2:$A$5001,"&lt;"&amp;A1580)=0,1,0))</f>
        <v>0</v>
      </c>
    </row>
    <row r="1581" customFormat="false" ht="15" hidden="false" customHeight="false" outlineLevel="0" collapsed="false">
      <c r="A1581" s="23" t="n">
        <v>46080.5118055556</v>
      </c>
      <c r="B1581" s="24" t="s">
        <v>254</v>
      </c>
      <c r="C1581" s="24" t="s">
        <v>156</v>
      </c>
      <c r="D1581" s="24" t="s">
        <v>53</v>
      </c>
      <c r="E1581" s="24" t="n">
        <v>100</v>
      </c>
      <c r="F1581" s="25" t="n">
        <v>2000</v>
      </c>
      <c r="G1581" s="24" t="s">
        <v>59</v>
      </c>
      <c r="H1581" s="24" t="s">
        <v>80</v>
      </c>
      <c r="I1581" s="24" t="s">
        <v>61</v>
      </c>
      <c r="J1581" s="26" t="n">
        <f aca="false">IF(A1581="","",YEAR(A1581))</f>
        <v>2026</v>
      </c>
      <c r="K1581" s="26" t="n">
        <f aca="false">IF(A1581="","",MONTH(A1581))</f>
        <v>2</v>
      </c>
      <c r="L1581" s="26" t="n">
        <f aca="false">IF(B1581="","",VALUE(LEFT(B1581,2)))</f>
        <v>10</v>
      </c>
      <c r="M1581" s="26" t="n">
        <f aca="false">IF(A1581="","",IF(COUNTIFS($C$2:$C$5001,C1581,$J$2:$J$5001,J1581,$A$2:$A$5001,"&lt;"&amp;A1581)=0,1,0))</f>
        <v>0</v>
      </c>
    </row>
    <row r="1582" customFormat="false" ht="15" hidden="false" customHeight="false" outlineLevel="0" collapsed="false">
      <c r="A1582" s="23" t="n">
        <v>46080.5256944444</v>
      </c>
      <c r="B1582" s="24" t="s">
        <v>331</v>
      </c>
      <c r="C1582" s="24" t="s">
        <v>240</v>
      </c>
      <c r="D1582" s="24" t="s">
        <v>66</v>
      </c>
      <c r="E1582" s="24" t="n">
        <v>284</v>
      </c>
      <c r="F1582" s="25" t="n">
        <v>10000</v>
      </c>
      <c r="G1582" s="24" t="s">
        <v>59</v>
      </c>
      <c r="H1582" s="24" t="s">
        <v>80</v>
      </c>
      <c r="I1582" s="24" t="s">
        <v>61</v>
      </c>
      <c r="J1582" s="26" t="n">
        <f aca="false">IF(A1582="","",YEAR(A1582))</f>
        <v>2026</v>
      </c>
      <c r="K1582" s="26" t="n">
        <f aca="false">IF(A1582="","",MONTH(A1582))</f>
        <v>2</v>
      </c>
      <c r="L1582" s="26" t="n">
        <f aca="false">IF(B1582="","",VALUE(LEFT(B1582,2)))</f>
        <v>7</v>
      </c>
      <c r="M1582" s="26" t="n">
        <f aca="false">IF(A1582="","",IF(COUNTIFS($C$2:$C$5001,C1582,$J$2:$J$5001,J1582,$A$2:$A$5001,"&lt;"&amp;A1582)=0,1,0))</f>
        <v>0</v>
      </c>
    </row>
    <row r="1583" customFormat="false" ht="15" hidden="false" customHeight="false" outlineLevel="0" collapsed="false">
      <c r="A1583" s="23" t="n">
        <v>46080.5534722222</v>
      </c>
      <c r="B1583" s="24" t="s">
        <v>957</v>
      </c>
      <c r="C1583" s="24" t="s">
        <v>170</v>
      </c>
      <c r="D1583" s="24" t="s">
        <v>66</v>
      </c>
      <c r="E1583" s="24" t="n">
        <v>222</v>
      </c>
      <c r="F1583" s="25" t="n">
        <v>8000</v>
      </c>
      <c r="G1583" s="24" t="s">
        <v>59</v>
      </c>
      <c r="H1583" s="24" t="s">
        <v>55</v>
      </c>
      <c r="I1583" s="24" t="s">
        <v>61</v>
      </c>
      <c r="J1583" s="26" t="n">
        <f aca="false">IF(A1583="","",YEAR(A1583))</f>
        <v>2026</v>
      </c>
      <c r="K1583" s="26" t="n">
        <f aca="false">IF(A1583="","",MONTH(A1583))</f>
        <v>2</v>
      </c>
      <c r="L1583" s="26" t="n">
        <f aca="false">IF(B1583="","",VALUE(LEFT(B1583,2)))</f>
        <v>9</v>
      </c>
      <c r="M1583" s="26" t="n">
        <f aca="false">IF(A1583="","",IF(COUNTIFS($C$2:$C$5001,C1583,$J$2:$J$5001,J1583,$A$2:$A$5001,"&lt;"&amp;A1583)=0,1,0))</f>
        <v>0</v>
      </c>
    </row>
    <row r="1584" customFormat="false" ht="15" hidden="false" customHeight="false" outlineLevel="0" collapsed="false">
      <c r="A1584" s="23" t="n">
        <v>46080.6090277778</v>
      </c>
      <c r="B1584" s="24" t="s">
        <v>359</v>
      </c>
      <c r="C1584" s="24" t="s">
        <v>512</v>
      </c>
      <c r="D1584" s="24" t="s">
        <v>66</v>
      </c>
      <c r="E1584" s="24" t="n">
        <v>105</v>
      </c>
      <c r="F1584" s="25" t="n">
        <v>3400</v>
      </c>
      <c r="G1584" s="24" t="s">
        <v>79</v>
      </c>
      <c r="H1584" s="24" t="s">
        <v>80</v>
      </c>
      <c r="I1584" s="24" t="s">
        <v>113</v>
      </c>
      <c r="J1584" s="26" t="n">
        <f aca="false">IF(A1584="","",YEAR(A1584))</f>
        <v>2026</v>
      </c>
      <c r="K1584" s="26" t="n">
        <f aca="false">IF(A1584="","",MONTH(A1584))</f>
        <v>2</v>
      </c>
      <c r="L1584" s="26" t="n">
        <f aca="false">IF(B1584="","",VALUE(LEFT(B1584,2)))</f>
        <v>12</v>
      </c>
      <c r="M1584" s="26" t="n">
        <f aca="false">IF(A1584="","",IF(COUNTIFS($C$2:$C$5001,C1584,$J$2:$J$5001,J1584,$A$2:$A$5001,"&lt;"&amp;A1584)=0,1,0))</f>
        <v>0</v>
      </c>
    </row>
    <row r="1585" customFormat="false" ht="15" hidden="false" customHeight="false" outlineLevel="0" collapsed="false">
      <c r="A1585" s="23" t="n">
        <v>46080.6798611111</v>
      </c>
      <c r="B1585" s="24" t="s">
        <v>958</v>
      </c>
      <c r="C1585" s="24" t="s">
        <v>243</v>
      </c>
      <c r="D1585" s="24" t="s">
        <v>53</v>
      </c>
      <c r="E1585" s="24" t="n">
        <v>337</v>
      </c>
      <c r="F1585" s="25" t="n">
        <v>5100</v>
      </c>
      <c r="G1585" s="24" t="s">
        <v>79</v>
      </c>
      <c r="H1585" s="24" t="s">
        <v>80</v>
      </c>
      <c r="I1585" s="24" t="s">
        <v>113</v>
      </c>
      <c r="J1585" s="26" t="n">
        <f aca="false">IF(A1585="","",YEAR(A1585))</f>
        <v>2026</v>
      </c>
      <c r="K1585" s="26" t="n">
        <f aca="false">IF(A1585="","",MONTH(A1585))</f>
        <v>2</v>
      </c>
      <c r="L1585" s="26" t="n">
        <f aca="false">IF(B1585="","",VALUE(LEFT(B1585,2)))</f>
        <v>10</v>
      </c>
      <c r="M1585" s="26" t="n">
        <f aca="false">IF(A1585="","",IF(COUNTIFS($C$2:$C$5001,C1585,$J$2:$J$5001,J1585,$A$2:$A$5001,"&lt;"&amp;A1585)=0,1,0))</f>
        <v>0</v>
      </c>
    </row>
    <row r="1586" customFormat="false" ht="15" hidden="false" customHeight="false" outlineLevel="0" collapsed="false">
      <c r="A1586" s="23" t="n">
        <v>46080.8069444444</v>
      </c>
      <c r="B1586" s="24" t="s">
        <v>520</v>
      </c>
      <c r="C1586" s="24" t="s">
        <v>145</v>
      </c>
      <c r="D1586" s="24" t="s">
        <v>72</v>
      </c>
      <c r="E1586" s="24" t="n">
        <v>312</v>
      </c>
      <c r="F1586" s="25" t="n">
        <v>22000</v>
      </c>
      <c r="G1586" s="24" t="s">
        <v>59</v>
      </c>
      <c r="H1586" s="24" t="s">
        <v>60</v>
      </c>
      <c r="I1586" s="24" t="s">
        <v>61</v>
      </c>
      <c r="J1586" s="26" t="n">
        <f aca="false">IF(A1586="","",YEAR(A1586))</f>
        <v>2026</v>
      </c>
      <c r="K1586" s="26" t="n">
        <f aca="false">IF(A1586="","",MONTH(A1586))</f>
        <v>2</v>
      </c>
      <c r="L1586" s="26" t="n">
        <f aca="false">IF(B1586="","",VALUE(LEFT(B1586,2)))</f>
        <v>14</v>
      </c>
      <c r="M1586" s="26" t="n">
        <f aca="false">IF(A1586="","",IF(COUNTIFS($C$2:$C$5001,C1586,$J$2:$J$5001,J1586,$A$2:$A$5001,"&lt;"&amp;A1586)=0,1,0))</f>
        <v>0</v>
      </c>
    </row>
    <row r="1587" customFormat="false" ht="15" hidden="false" customHeight="false" outlineLevel="0" collapsed="false">
      <c r="A1587" s="23" t="n">
        <v>46081.3340277778</v>
      </c>
      <c r="B1587" s="24" t="s">
        <v>426</v>
      </c>
      <c r="C1587" s="24" t="s">
        <v>235</v>
      </c>
      <c r="D1587" s="24" t="s">
        <v>53</v>
      </c>
      <c r="E1587" s="24" t="n">
        <v>44</v>
      </c>
      <c r="F1587" s="25" t="n">
        <v>1000</v>
      </c>
      <c r="G1587" s="24" t="s">
        <v>69</v>
      </c>
      <c r="H1587" s="24" t="s">
        <v>55</v>
      </c>
      <c r="I1587" s="24" t="s">
        <v>61</v>
      </c>
      <c r="J1587" s="26" t="n">
        <f aca="false">IF(A1587="","",YEAR(A1587))</f>
        <v>2026</v>
      </c>
      <c r="K1587" s="26" t="n">
        <f aca="false">IF(A1587="","",MONTH(A1587))</f>
        <v>2</v>
      </c>
      <c r="L1587" s="26" t="n">
        <f aca="false">IF(B1587="","",VALUE(LEFT(B1587,2)))</f>
        <v>7</v>
      </c>
      <c r="M1587" s="26" t="n">
        <f aca="false">IF(A1587="","",IF(COUNTIFS($C$2:$C$5001,C1587,$J$2:$J$5001,J1587,$A$2:$A$5001,"&lt;"&amp;A1587)=0,1,0))</f>
        <v>0</v>
      </c>
    </row>
    <row r="1588" customFormat="false" ht="15" hidden="false" customHeight="false" outlineLevel="0" collapsed="false">
      <c r="A1588" s="23" t="n">
        <v>46081.6388888889</v>
      </c>
      <c r="B1588" s="24" t="s">
        <v>645</v>
      </c>
      <c r="C1588" s="24" t="s">
        <v>448</v>
      </c>
      <c r="D1588" s="24" t="s">
        <v>66</v>
      </c>
      <c r="E1588" s="24" t="n">
        <v>233</v>
      </c>
      <c r="F1588" s="25" t="n">
        <v>8000</v>
      </c>
      <c r="G1588" s="24" t="s">
        <v>69</v>
      </c>
      <c r="H1588" s="24" t="s">
        <v>55</v>
      </c>
      <c r="I1588" s="24" t="s">
        <v>61</v>
      </c>
      <c r="J1588" s="26" t="n">
        <f aca="false">IF(A1588="","",YEAR(A1588))</f>
        <v>2026</v>
      </c>
      <c r="K1588" s="26" t="n">
        <f aca="false">IF(A1588="","",MONTH(A1588))</f>
        <v>2</v>
      </c>
      <c r="L1588" s="26" t="n">
        <f aca="false">IF(B1588="","",VALUE(LEFT(B1588,2)))</f>
        <v>11</v>
      </c>
      <c r="M1588" s="26" t="n">
        <f aca="false">IF(A1588="","",IF(COUNTIFS($C$2:$C$5001,C1588,$J$2:$J$5001,J1588,$A$2:$A$5001,"&lt;"&amp;A1588)=0,1,0))</f>
        <v>0</v>
      </c>
    </row>
    <row r="1589" customFormat="false" ht="15" hidden="false" customHeight="false" outlineLevel="0" collapsed="false">
      <c r="A1589" s="23" t="n">
        <v>46081.7618055556</v>
      </c>
      <c r="B1589" s="24" t="s">
        <v>291</v>
      </c>
      <c r="C1589" s="24" t="s">
        <v>314</v>
      </c>
      <c r="D1589" s="24" t="s">
        <v>66</v>
      </c>
      <c r="E1589" s="24" t="n">
        <v>46</v>
      </c>
      <c r="F1589" s="25" t="n">
        <v>2000</v>
      </c>
      <c r="G1589" s="24" t="s">
        <v>69</v>
      </c>
      <c r="H1589" s="24" t="s">
        <v>60</v>
      </c>
      <c r="I1589" s="24" t="s">
        <v>61</v>
      </c>
      <c r="J1589" s="26" t="n">
        <f aca="false">IF(A1589="","",YEAR(A1589))</f>
        <v>2026</v>
      </c>
      <c r="K1589" s="26" t="n">
        <f aca="false">IF(A1589="","",MONTH(A1589))</f>
        <v>2</v>
      </c>
      <c r="L1589" s="26" t="n">
        <f aca="false">IF(B1589="","",VALUE(LEFT(B1589,2)))</f>
        <v>17</v>
      </c>
      <c r="M1589" s="26" t="n">
        <f aca="false">IF(A1589="","",IF(COUNTIFS($C$2:$C$5001,C1589,$J$2:$J$5001,J1589,$A$2:$A$5001,"&lt;"&amp;A1589)=0,1,0))</f>
        <v>0</v>
      </c>
    </row>
    <row r="1590" customFormat="false" ht="15" hidden="false" customHeight="false" outlineLevel="0" collapsed="false">
      <c r="A1590" s="23" t="n">
        <v>46081.79375</v>
      </c>
      <c r="B1590" s="24" t="s">
        <v>284</v>
      </c>
      <c r="C1590" s="24" t="s">
        <v>267</v>
      </c>
      <c r="D1590" s="24" t="s">
        <v>66</v>
      </c>
      <c r="E1590" s="24" t="n">
        <v>275</v>
      </c>
      <c r="F1590" s="25" t="n">
        <v>10000</v>
      </c>
      <c r="G1590" s="24" t="s">
        <v>59</v>
      </c>
      <c r="H1590" s="24" t="s">
        <v>55</v>
      </c>
      <c r="I1590" s="24" t="s">
        <v>61</v>
      </c>
      <c r="J1590" s="26" t="n">
        <f aca="false">IF(A1590="","",YEAR(A1590))</f>
        <v>2026</v>
      </c>
      <c r="K1590" s="26" t="n">
        <f aca="false">IF(A1590="","",MONTH(A1590))</f>
        <v>2</v>
      </c>
      <c r="L1590" s="26" t="n">
        <f aca="false">IF(B1590="","",VALUE(LEFT(B1590,2)))</f>
        <v>14</v>
      </c>
      <c r="M1590" s="26" t="n">
        <f aca="false">IF(A1590="","",IF(COUNTIFS($C$2:$C$5001,C1590,$J$2:$J$5001,J1590,$A$2:$A$5001,"&lt;"&amp;A1590)=0,1,0))</f>
        <v>0</v>
      </c>
    </row>
    <row r="1591" customFormat="false" ht="15" hidden="false" customHeight="false" outlineLevel="0" collapsed="false">
      <c r="A1591" s="23" t="n">
        <v>46081.80625</v>
      </c>
      <c r="B1591" s="24" t="s">
        <v>402</v>
      </c>
      <c r="C1591" s="24" t="s">
        <v>742</v>
      </c>
      <c r="D1591" s="24" t="s">
        <v>66</v>
      </c>
      <c r="E1591" s="24" t="n">
        <v>106</v>
      </c>
      <c r="F1591" s="25" t="n">
        <v>0</v>
      </c>
      <c r="G1591" s="24" t="s">
        <v>83</v>
      </c>
      <c r="H1591" s="24" t="s">
        <v>60</v>
      </c>
      <c r="I1591" s="24" t="s">
        <v>56</v>
      </c>
      <c r="J1591" s="26" t="n">
        <f aca="false">IF(A1591="","",YEAR(A1591))</f>
        <v>2026</v>
      </c>
      <c r="K1591" s="26" t="n">
        <f aca="false">IF(A1591="","",MONTH(A1591))</f>
        <v>2</v>
      </c>
      <c r="L1591" s="26" t="n">
        <f aca="false">IF(B1591="","",VALUE(LEFT(B1591,2)))</f>
        <v>17</v>
      </c>
      <c r="M1591" s="26" t="n">
        <f aca="false">IF(A1591="","",IF(COUNTIFS($C$2:$C$5001,C1591,$J$2:$J$5001,J1591,$A$2:$A$5001,"&lt;"&amp;A1591)=0,1,0))</f>
        <v>1</v>
      </c>
    </row>
    <row r="1592" customFormat="false" ht="15" hidden="false" customHeight="false" outlineLevel="0" collapsed="false">
      <c r="A1592" s="23" t="n">
        <v>46082.6569444445</v>
      </c>
      <c r="B1592" s="24" t="s">
        <v>959</v>
      </c>
      <c r="C1592" s="24" t="s">
        <v>267</v>
      </c>
      <c r="D1592" s="24" t="s">
        <v>53</v>
      </c>
      <c r="E1592" s="24" t="n">
        <v>181</v>
      </c>
      <c r="F1592" s="25" t="n">
        <v>3500</v>
      </c>
      <c r="G1592" s="24" t="s">
        <v>59</v>
      </c>
      <c r="H1592" s="24" t="s">
        <v>60</v>
      </c>
      <c r="I1592" s="24" t="s">
        <v>61</v>
      </c>
      <c r="J1592" s="26" t="n">
        <f aca="false">IF(A1592="","",YEAR(A1592))</f>
        <v>2026</v>
      </c>
      <c r="K1592" s="26" t="n">
        <f aca="false">IF(A1592="","",MONTH(A1592))</f>
        <v>3</v>
      </c>
      <c r="L1592" s="26" t="n">
        <f aca="false">IF(B1592="","",VALUE(LEFT(B1592,2)))</f>
        <v>12</v>
      </c>
      <c r="M1592" s="26" t="n">
        <f aca="false">IF(A1592="","",IF(COUNTIFS($C$2:$C$5001,C1592,$J$2:$J$5001,J1592,$A$2:$A$5001,"&lt;"&amp;A1592)=0,1,0))</f>
        <v>0</v>
      </c>
    </row>
    <row r="1593" customFormat="false" ht="15" hidden="false" customHeight="false" outlineLevel="0" collapsed="false">
      <c r="A1593" s="23" t="n">
        <v>46082.8548611111</v>
      </c>
      <c r="B1593" s="24" t="s">
        <v>960</v>
      </c>
      <c r="C1593" s="24" t="s">
        <v>448</v>
      </c>
      <c r="D1593" s="24" t="s">
        <v>53</v>
      </c>
      <c r="E1593" s="24" t="n">
        <v>189</v>
      </c>
      <c r="F1593" s="25" t="n">
        <v>2975</v>
      </c>
      <c r="G1593" s="24" t="s">
        <v>69</v>
      </c>
      <c r="H1593" s="24" t="s">
        <v>80</v>
      </c>
      <c r="I1593" s="24" t="s">
        <v>113</v>
      </c>
      <c r="J1593" s="26" t="n">
        <f aca="false">IF(A1593="","",YEAR(A1593))</f>
        <v>2026</v>
      </c>
      <c r="K1593" s="26" t="n">
        <f aca="false">IF(A1593="","",MONTH(A1593))</f>
        <v>3</v>
      </c>
      <c r="L1593" s="26" t="n">
        <f aca="false">IF(B1593="","",VALUE(LEFT(B1593,2)))</f>
        <v>17</v>
      </c>
      <c r="M1593" s="26" t="n">
        <f aca="false">IF(A1593="","",IF(COUNTIFS($C$2:$C$5001,C1593,$J$2:$J$5001,J1593,$A$2:$A$5001,"&lt;"&amp;A1593)=0,1,0))</f>
        <v>0</v>
      </c>
    </row>
    <row r="1594" customFormat="false" ht="15" hidden="false" customHeight="false" outlineLevel="0" collapsed="false">
      <c r="A1594" s="23" t="n">
        <v>46082.8736111111</v>
      </c>
      <c r="B1594" s="24" t="s">
        <v>440</v>
      </c>
      <c r="C1594" s="24" t="s">
        <v>85</v>
      </c>
      <c r="D1594" s="24" t="s">
        <v>88</v>
      </c>
      <c r="E1594" s="24" t="n">
        <v>190</v>
      </c>
      <c r="F1594" s="25" t="n">
        <v>10500</v>
      </c>
      <c r="G1594" s="24" t="s">
        <v>59</v>
      </c>
      <c r="H1594" s="24" t="s">
        <v>60</v>
      </c>
      <c r="I1594" s="24" t="s">
        <v>61</v>
      </c>
      <c r="J1594" s="26" t="n">
        <f aca="false">IF(A1594="","",YEAR(A1594))</f>
        <v>2026</v>
      </c>
      <c r="K1594" s="26" t="n">
        <f aca="false">IF(A1594="","",MONTH(A1594))</f>
        <v>3</v>
      </c>
      <c r="L1594" s="26" t="n">
        <f aca="false">IF(B1594="","",VALUE(LEFT(B1594,2)))</f>
        <v>17</v>
      </c>
      <c r="M1594" s="26" t="n">
        <f aca="false">IF(A1594="","",IF(COUNTIFS($C$2:$C$5001,C1594,$J$2:$J$5001,J1594,$A$2:$A$5001,"&lt;"&amp;A1594)=0,1,0))</f>
        <v>0</v>
      </c>
    </row>
    <row r="1595" customFormat="false" ht="15" hidden="false" customHeight="false" outlineLevel="0" collapsed="false">
      <c r="A1595" s="23" t="n">
        <v>46083.4013888889</v>
      </c>
      <c r="B1595" s="24" t="s">
        <v>318</v>
      </c>
      <c r="C1595" s="24" t="s">
        <v>345</v>
      </c>
      <c r="D1595" s="24" t="s">
        <v>66</v>
      </c>
      <c r="E1595" s="24" t="n">
        <v>53</v>
      </c>
      <c r="F1595" s="25" t="n">
        <v>2000</v>
      </c>
      <c r="G1595" s="24" t="s">
        <v>59</v>
      </c>
      <c r="H1595" s="24" t="s">
        <v>60</v>
      </c>
      <c r="I1595" s="24" t="s">
        <v>61</v>
      </c>
      <c r="J1595" s="26" t="n">
        <f aca="false">IF(A1595="","",YEAR(A1595))</f>
        <v>2026</v>
      </c>
      <c r="K1595" s="26" t="n">
        <f aca="false">IF(A1595="","",MONTH(A1595))</f>
        <v>3</v>
      </c>
      <c r="L1595" s="26" t="n">
        <f aca="false">IF(B1595="","",VALUE(LEFT(B1595,2)))</f>
        <v>8</v>
      </c>
      <c r="M1595" s="26" t="n">
        <f aca="false">IF(A1595="","",IF(COUNTIFS($C$2:$C$5001,C1595,$J$2:$J$5001,J1595,$A$2:$A$5001,"&lt;"&amp;A1595)=0,1,0))</f>
        <v>0</v>
      </c>
    </row>
    <row r="1596" customFormat="false" ht="15" hidden="false" customHeight="false" outlineLevel="0" collapsed="false">
      <c r="A1596" s="23" t="n">
        <v>46083.4083333333</v>
      </c>
      <c r="B1596" s="24" t="s">
        <v>930</v>
      </c>
      <c r="C1596" s="24" t="s">
        <v>222</v>
      </c>
      <c r="D1596" s="24" t="s">
        <v>66</v>
      </c>
      <c r="E1596" s="24" t="n">
        <v>37</v>
      </c>
      <c r="F1596" s="25" t="n">
        <v>0</v>
      </c>
      <c r="G1596" s="24" t="s">
        <v>69</v>
      </c>
      <c r="H1596" s="24" t="s">
        <v>55</v>
      </c>
      <c r="I1596" s="24" t="s">
        <v>56</v>
      </c>
      <c r="J1596" s="26" t="n">
        <f aca="false">IF(A1596="","",YEAR(A1596))</f>
        <v>2026</v>
      </c>
      <c r="K1596" s="26" t="n">
        <f aca="false">IF(A1596="","",MONTH(A1596))</f>
        <v>3</v>
      </c>
      <c r="L1596" s="26" t="n">
        <f aca="false">IF(B1596="","",VALUE(LEFT(B1596,2)))</f>
        <v>9</v>
      </c>
      <c r="M1596" s="26" t="n">
        <f aca="false">IF(A1596="","",IF(COUNTIFS($C$2:$C$5001,C1596,$J$2:$J$5001,J1596,$A$2:$A$5001,"&lt;"&amp;A1596)=0,1,0))</f>
        <v>0</v>
      </c>
    </row>
    <row r="1597" customFormat="false" ht="15" hidden="false" customHeight="false" outlineLevel="0" collapsed="false">
      <c r="A1597" s="23" t="n">
        <v>46083.4375</v>
      </c>
      <c r="B1597" s="24" t="s">
        <v>331</v>
      </c>
      <c r="C1597" s="24" t="s">
        <v>197</v>
      </c>
      <c r="D1597" s="24" t="s">
        <v>66</v>
      </c>
      <c r="E1597" s="24" t="n">
        <v>157</v>
      </c>
      <c r="F1597" s="25" t="n">
        <v>0</v>
      </c>
      <c r="G1597" s="24" t="s">
        <v>69</v>
      </c>
      <c r="H1597" s="24" t="s">
        <v>60</v>
      </c>
      <c r="I1597" s="24" t="s">
        <v>56</v>
      </c>
      <c r="J1597" s="26" t="n">
        <f aca="false">IF(A1597="","",YEAR(A1597))</f>
        <v>2026</v>
      </c>
      <c r="K1597" s="26" t="n">
        <f aca="false">IF(A1597="","",MONTH(A1597))</f>
        <v>3</v>
      </c>
      <c r="L1597" s="26" t="n">
        <f aca="false">IF(B1597="","",VALUE(LEFT(B1597,2)))</f>
        <v>7</v>
      </c>
      <c r="M1597" s="26" t="n">
        <f aca="false">IF(A1597="","",IF(COUNTIFS($C$2:$C$5001,C1597,$J$2:$J$5001,J1597,$A$2:$A$5001,"&lt;"&amp;A1597)=0,1,0))</f>
        <v>0</v>
      </c>
    </row>
    <row r="1598" customFormat="false" ht="15" hidden="false" customHeight="false" outlineLevel="0" collapsed="false">
      <c r="A1598" s="23" t="n">
        <v>46083.7708333333</v>
      </c>
      <c r="B1598" s="24" t="s">
        <v>918</v>
      </c>
      <c r="C1598" s="24" t="s">
        <v>268</v>
      </c>
      <c r="D1598" s="24" t="s">
        <v>72</v>
      </c>
      <c r="E1598" s="24" t="n">
        <v>252</v>
      </c>
      <c r="F1598" s="25" t="n">
        <v>18000</v>
      </c>
      <c r="G1598" s="24" t="s">
        <v>59</v>
      </c>
      <c r="H1598" s="24" t="s">
        <v>80</v>
      </c>
      <c r="I1598" s="24" t="s">
        <v>61</v>
      </c>
      <c r="J1598" s="26" t="n">
        <f aca="false">IF(A1598="","",YEAR(A1598))</f>
        <v>2026</v>
      </c>
      <c r="K1598" s="26" t="n">
        <f aca="false">IF(A1598="","",MONTH(A1598))</f>
        <v>3</v>
      </c>
      <c r="L1598" s="26" t="n">
        <f aca="false">IF(B1598="","",VALUE(LEFT(B1598,2)))</f>
        <v>14</v>
      </c>
      <c r="M1598" s="26" t="n">
        <f aca="false">IF(A1598="","",IF(COUNTIFS($C$2:$C$5001,C1598,$J$2:$J$5001,J1598,$A$2:$A$5001,"&lt;"&amp;A1598)=0,1,0))</f>
        <v>0</v>
      </c>
    </row>
    <row r="1599" customFormat="false" ht="15" hidden="false" customHeight="false" outlineLevel="0" collapsed="false">
      <c r="A1599" s="23" t="n">
        <v>46084.8069444444</v>
      </c>
      <c r="B1599" s="24" t="s">
        <v>961</v>
      </c>
      <c r="C1599" s="24" t="s">
        <v>454</v>
      </c>
      <c r="D1599" s="24" t="s">
        <v>66</v>
      </c>
      <c r="E1599" s="24" t="n">
        <v>366</v>
      </c>
      <c r="F1599" s="25" t="n">
        <v>11050</v>
      </c>
      <c r="G1599" s="24" t="s">
        <v>69</v>
      </c>
      <c r="H1599" s="24" t="s">
        <v>55</v>
      </c>
      <c r="I1599" s="24" t="s">
        <v>113</v>
      </c>
      <c r="J1599" s="26" t="n">
        <f aca="false">IF(A1599="","",YEAR(A1599))</f>
        <v>2026</v>
      </c>
      <c r="K1599" s="26" t="n">
        <f aca="false">IF(A1599="","",MONTH(A1599))</f>
        <v>3</v>
      </c>
      <c r="L1599" s="26" t="n">
        <f aca="false">IF(B1599="","",VALUE(LEFT(B1599,2)))</f>
        <v>13</v>
      </c>
      <c r="M1599" s="26" t="n">
        <f aca="false">IF(A1599="","",IF(COUNTIFS($C$2:$C$5001,C1599,$J$2:$J$5001,J1599,$A$2:$A$5001,"&lt;"&amp;A1599)=0,1,0))</f>
        <v>1</v>
      </c>
    </row>
    <row r="1600" customFormat="false" ht="15" hidden="false" customHeight="false" outlineLevel="0" collapsed="false">
      <c r="A1600" s="23" t="n">
        <v>46084.8784722222</v>
      </c>
      <c r="B1600" s="24" t="s">
        <v>873</v>
      </c>
      <c r="C1600" s="24" t="s">
        <v>160</v>
      </c>
      <c r="D1600" s="24" t="s">
        <v>66</v>
      </c>
      <c r="E1600" s="24" t="n">
        <v>356</v>
      </c>
      <c r="F1600" s="25" t="n">
        <v>0</v>
      </c>
      <c r="G1600" s="24" t="s">
        <v>69</v>
      </c>
      <c r="H1600" s="24" t="s">
        <v>55</v>
      </c>
      <c r="I1600" s="24" t="s">
        <v>56</v>
      </c>
      <c r="J1600" s="26" t="n">
        <f aca="false">IF(A1600="","",YEAR(A1600))</f>
        <v>2026</v>
      </c>
      <c r="K1600" s="26" t="n">
        <f aca="false">IF(A1600="","",MONTH(A1600))</f>
        <v>3</v>
      </c>
      <c r="L1600" s="26" t="n">
        <f aca="false">IF(B1600="","",VALUE(LEFT(B1600,2)))</f>
        <v>15</v>
      </c>
      <c r="M1600" s="26" t="n">
        <f aca="false">IF(A1600="","",IF(COUNTIFS($C$2:$C$5001,C1600,$J$2:$J$5001,J1600,$A$2:$A$5001,"&lt;"&amp;A1600)=0,1,0))</f>
        <v>0</v>
      </c>
    </row>
    <row r="1601" customFormat="false" ht="15" hidden="false" customHeight="false" outlineLevel="0" collapsed="false">
      <c r="A1601" s="23" t="n">
        <v>46085.5479166667</v>
      </c>
      <c r="B1601" s="24" t="s">
        <v>364</v>
      </c>
      <c r="C1601" s="24" t="s">
        <v>389</v>
      </c>
      <c r="D1601" s="24" t="s">
        <v>66</v>
      </c>
      <c r="E1601" s="24" t="n">
        <v>255</v>
      </c>
      <c r="F1601" s="25" t="n">
        <v>9000</v>
      </c>
      <c r="G1601" s="24" t="s">
        <v>59</v>
      </c>
      <c r="H1601" s="24" t="s">
        <v>80</v>
      </c>
      <c r="I1601" s="24" t="s">
        <v>61</v>
      </c>
      <c r="J1601" s="26" t="n">
        <f aca="false">IF(A1601="","",YEAR(A1601))</f>
        <v>2026</v>
      </c>
      <c r="K1601" s="26" t="n">
        <f aca="false">IF(A1601="","",MONTH(A1601))</f>
        <v>3</v>
      </c>
      <c r="L1601" s="26" t="n">
        <f aca="false">IF(B1601="","",VALUE(LEFT(B1601,2)))</f>
        <v>8</v>
      </c>
      <c r="M1601" s="26" t="n">
        <f aca="false">IF(A1601="","",IF(COUNTIFS($C$2:$C$5001,C1601,$J$2:$J$5001,J1601,$A$2:$A$5001,"&lt;"&amp;A1601)=0,1,0))</f>
        <v>0</v>
      </c>
    </row>
    <row r="1602" customFormat="false" ht="15" hidden="false" customHeight="false" outlineLevel="0" collapsed="false">
      <c r="A1602" s="23" t="n">
        <v>46085.6375</v>
      </c>
      <c r="B1602" s="24" t="s">
        <v>444</v>
      </c>
      <c r="C1602" s="24" t="s">
        <v>138</v>
      </c>
      <c r="D1602" s="24" t="s">
        <v>53</v>
      </c>
      <c r="E1602" s="24" t="n">
        <v>136</v>
      </c>
      <c r="F1602" s="25" t="n">
        <v>2125</v>
      </c>
      <c r="G1602" s="24" t="s">
        <v>83</v>
      </c>
      <c r="H1602" s="24" t="s">
        <v>55</v>
      </c>
      <c r="I1602" s="24" t="s">
        <v>113</v>
      </c>
      <c r="J1602" s="26" t="n">
        <f aca="false">IF(A1602="","",YEAR(A1602))</f>
        <v>2026</v>
      </c>
      <c r="K1602" s="26" t="n">
        <f aca="false">IF(A1602="","",MONTH(A1602))</f>
        <v>3</v>
      </c>
      <c r="L1602" s="26" t="n">
        <f aca="false">IF(B1602="","",VALUE(LEFT(B1602,2)))</f>
        <v>13</v>
      </c>
      <c r="M1602" s="26" t="n">
        <f aca="false">IF(A1602="","",IF(COUNTIFS($C$2:$C$5001,C1602,$J$2:$J$5001,J1602,$A$2:$A$5001,"&lt;"&amp;A1602)=0,1,0))</f>
        <v>0</v>
      </c>
    </row>
    <row r="1603" customFormat="false" ht="15" hidden="false" customHeight="false" outlineLevel="0" collapsed="false">
      <c r="A1603" s="23" t="n">
        <v>46086.5270833333</v>
      </c>
      <c r="B1603" s="24" t="s">
        <v>962</v>
      </c>
      <c r="C1603" s="24" t="s">
        <v>92</v>
      </c>
      <c r="D1603" s="24" t="s">
        <v>66</v>
      </c>
      <c r="E1603" s="24" t="n">
        <v>379</v>
      </c>
      <c r="F1603" s="25" t="n">
        <v>13000</v>
      </c>
      <c r="G1603" s="24" t="s">
        <v>59</v>
      </c>
      <c r="H1603" s="24" t="s">
        <v>80</v>
      </c>
      <c r="I1603" s="24" t="s">
        <v>61</v>
      </c>
      <c r="J1603" s="26" t="n">
        <f aca="false">IF(A1603="","",YEAR(A1603))</f>
        <v>2026</v>
      </c>
      <c r="K1603" s="26" t="n">
        <f aca="false">IF(A1603="","",MONTH(A1603))</f>
        <v>3</v>
      </c>
      <c r="L1603" s="26" t="n">
        <f aca="false">IF(B1603="","",VALUE(LEFT(B1603,2)))</f>
        <v>6</v>
      </c>
      <c r="M1603" s="26" t="n">
        <f aca="false">IF(A1603="","",IF(COUNTIFS($C$2:$C$5001,C1603,$J$2:$J$5001,J1603,$A$2:$A$5001,"&lt;"&amp;A1603)=0,1,0))</f>
        <v>0</v>
      </c>
    </row>
    <row r="1604" customFormat="false" ht="15" hidden="false" customHeight="false" outlineLevel="0" collapsed="false">
      <c r="A1604" s="23" t="n">
        <v>46086.5791666667</v>
      </c>
      <c r="B1604" s="24" t="s">
        <v>963</v>
      </c>
      <c r="C1604" s="24" t="s">
        <v>235</v>
      </c>
      <c r="D1604" s="24" t="s">
        <v>66</v>
      </c>
      <c r="E1604" s="24" t="n">
        <v>306</v>
      </c>
      <c r="F1604" s="25" t="n">
        <v>11000</v>
      </c>
      <c r="G1604" s="24" t="s">
        <v>69</v>
      </c>
      <c r="H1604" s="24" t="s">
        <v>60</v>
      </c>
      <c r="I1604" s="24" t="s">
        <v>61</v>
      </c>
      <c r="J1604" s="26" t="n">
        <f aca="false">IF(A1604="","",YEAR(A1604))</f>
        <v>2026</v>
      </c>
      <c r="K1604" s="26" t="n">
        <f aca="false">IF(A1604="","",MONTH(A1604))</f>
        <v>3</v>
      </c>
      <c r="L1604" s="26" t="n">
        <f aca="false">IF(B1604="","",VALUE(LEFT(B1604,2)))</f>
        <v>8</v>
      </c>
      <c r="M1604" s="26" t="n">
        <f aca="false">IF(A1604="","",IF(COUNTIFS($C$2:$C$5001,C1604,$J$2:$J$5001,J1604,$A$2:$A$5001,"&lt;"&amp;A1604)=0,1,0))</f>
        <v>0</v>
      </c>
    </row>
    <row r="1605" customFormat="false" ht="15" hidden="false" customHeight="false" outlineLevel="0" collapsed="false">
      <c r="A1605" s="23" t="n">
        <v>46086.625</v>
      </c>
      <c r="B1605" s="24" t="s">
        <v>855</v>
      </c>
      <c r="C1605" s="24" t="s">
        <v>78</v>
      </c>
      <c r="D1605" s="24" t="s">
        <v>53</v>
      </c>
      <c r="E1605" s="24" t="n">
        <v>371</v>
      </c>
      <c r="F1605" s="25" t="n">
        <v>6500</v>
      </c>
      <c r="G1605" s="24" t="s">
        <v>69</v>
      </c>
      <c r="H1605" s="24" t="s">
        <v>60</v>
      </c>
      <c r="I1605" s="24" t="s">
        <v>61</v>
      </c>
      <c r="J1605" s="26" t="n">
        <f aca="false">IF(A1605="","",YEAR(A1605))</f>
        <v>2026</v>
      </c>
      <c r="K1605" s="26" t="n">
        <f aca="false">IF(A1605="","",MONTH(A1605))</f>
        <v>3</v>
      </c>
      <c r="L1605" s="26" t="n">
        <f aca="false">IF(B1605="","",VALUE(LEFT(B1605,2)))</f>
        <v>8</v>
      </c>
      <c r="M1605" s="26" t="n">
        <f aca="false">IF(A1605="","",IF(COUNTIFS($C$2:$C$5001,C1605,$J$2:$J$5001,J1605,$A$2:$A$5001,"&lt;"&amp;A1605)=0,1,0))</f>
        <v>0</v>
      </c>
    </row>
    <row r="1606" customFormat="false" ht="15" hidden="false" customHeight="false" outlineLevel="0" collapsed="false">
      <c r="A1606" s="23" t="n">
        <v>46086.6756944444</v>
      </c>
      <c r="B1606" s="24" t="s">
        <v>206</v>
      </c>
      <c r="C1606" s="24" t="s">
        <v>166</v>
      </c>
      <c r="D1606" s="24" t="s">
        <v>66</v>
      </c>
      <c r="E1606" s="24" t="n">
        <v>228</v>
      </c>
      <c r="F1606" s="25" t="n">
        <v>8000</v>
      </c>
      <c r="G1606" s="24" t="s">
        <v>83</v>
      </c>
      <c r="H1606" s="24" t="s">
        <v>60</v>
      </c>
      <c r="I1606" s="24" t="s">
        <v>61</v>
      </c>
      <c r="J1606" s="26" t="n">
        <f aca="false">IF(A1606="","",YEAR(A1606))</f>
        <v>2026</v>
      </c>
      <c r="K1606" s="26" t="n">
        <f aca="false">IF(A1606="","",MONTH(A1606))</f>
        <v>3</v>
      </c>
      <c r="L1606" s="26" t="n">
        <f aca="false">IF(B1606="","",VALUE(LEFT(B1606,2)))</f>
        <v>12</v>
      </c>
      <c r="M1606" s="26" t="n">
        <f aca="false">IF(A1606="","",IF(COUNTIFS($C$2:$C$5001,C1606,$J$2:$J$5001,J1606,$A$2:$A$5001,"&lt;"&amp;A1606)=0,1,0))</f>
        <v>0</v>
      </c>
    </row>
    <row r="1607" customFormat="false" ht="15" hidden="false" customHeight="false" outlineLevel="0" collapsed="false">
      <c r="A1607" s="23" t="n">
        <v>46086.7201388889</v>
      </c>
      <c r="B1607" s="24" t="s">
        <v>868</v>
      </c>
      <c r="C1607" s="24" t="s">
        <v>213</v>
      </c>
      <c r="D1607" s="24" t="s">
        <v>66</v>
      </c>
      <c r="E1607" s="24" t="n">
        <v>406</v>
      </c>
      <c r="F1607" s="25" t="n">
        <v>14000</v>
      </c>
      <c r="G1607" s="24" t="s">
        <v>54</v>
      </c>
      <c r="H1607" s="24" t="s">
        <v>55</v>
      </c>
      <c r="I1607" s="24" t="s">
        <v>61</v>
      </c>
      <c r="J1607" s="26" t="n">
        <f aca="false">IF(A1607="","",YEAR(A1607))</f>
        <v>2026</v>
      </c>
      <c r="K1607" s="26" t="n">
        <f aca="false">IF(A1607="","",MONTH(A1607))</f>
        <v>3</v>
      </c>
      <c r="L1607" s="26" t="n">
        <f aca="false">IF(B1607="","",VALUE(LEFT(B1607,2)))</f>
        <v>10</v>
      </c>
      <c r="M1607" s="26" t="n">
        <f aca="false">IF(A1607="","",IF(COUNTIFS($C$2:$C$5001,C1607,$J$2:$J$5001,J1607,$A$2:$A$5001,"&lt;"&amp;A1607)=0,1,0))</f>
        <v>0</v>
      </c>
    </row>
    <row r="1608" customFormat="false" ht="15" hidden="false" customHeight="false" outlineLevel="0" collapsed="false">
      <c r="A1608" s="23" t="n">
        <v>46086.7972222222</v>
      </c>
      <c r="B1608" s="24" t="s">
        <v>273</v>
      </c>
      <c r="C1608" s="24" t="s">
        <v>100</v>
      </c>
      <c r="D1608" s="24" t="s">
        <v>66</v>
      </c>
      <c r="E1608" s="24" t="n">
        <v>170</v>
      </c>
      <c r="F1608" s="25" t="n">
        <v>6000</v>
      </c>
      <c r="G1608" s="24" t="s">
        <v>59</v>
      </c>
      <c r="H1608" s="24" t="s">
        <v>55</v>
      </c>
      <c r="I1608" s="24" t="s">
        <v>61</v>
      </c>
      <c r="J1608" s="26" t="n">
        <f aca="false">IF(A1608="","",YEAR(A1608))</f>
        <v>2026</v>
      </c>
      <c r="K1608" s="26" t="n">
        <f aca="false">IF(A1608="","",MONTH(A1608))</f>
        <v>3</v>
      </c>
      <c r="L1608" s="26" t="n">
        <f aca="false">IF(B1608="","",VALUE(LEFT(B1608,2)))</f>
        <v>16</v>
      </c>
      <c r="M1608" s="26" t="n">
        <f aca="false">IF(A1608="","",IF(COUNTIFS($C$2:$C$5001,C1608,$J$2:$J$5001,J1608,$A$2:$A$5001,"&lt;"&amp;A1608)=0,1,0))</f>
        <v>0</v>
      </c>
    </row>
    <row r="1609" customFormat="false" ht="15" hidden="false" customHeight="false" outlineLevel="0" collapsed="false">
      <c r="A1609" s="23" t="n">
        <v>46086.9361111111</v>
      </c>
      <c r="B1609" s="24" t="s">
        <v>964</v>
      </c>
      <c r="C1609" s="24" t="s">
        <v>174</v>
      </c>
      <c r="D1609" s="24" t="s">
        <v>66</v>
      </c>
      <c r="E1609" s="24" t="n">
        <v>89</v>
      </c>
      <c r="F1609" s="25" t="n">
        <v>0</v>
      </c>
      <c r="G1609" s="24" t="s">
        <v>83</v>
      </c>
      <c r="H1609" s="24" t="s">
        <v>60</v>
      </c>
      <c r="I1609" s="24" t="s">
        <v>56</v>
      </c>
      <c r="J1609" s="26" t="n">
        <f aca="false">IF(A1609="","",YEAR(A1609))</f>
        <v>2026</v>
      </c>
      <c r="K1609" s="26" t="n">
        <f aca="false">IF(A1609="","",MONTH(A1609))</f>
        <v>3</v>
      </c>
      <c r="L1609" s="26" t="n">
        <f aca="false">IF(B1609="","",VALUE(LEFT(B1609,2)))</f>
        <v>20</v>
      </c>
      <c r="M1609" s="26" t="n">
        <f aca="false">IF(A1609="","",IF(COUNTIFS($C$2:$C$5001,C1609,$J$2:$J$5001,J1609,$A$2:$A$5001,"&lt;"&amp;A1609)=0,1,0))</f>
        <v>1</v>
      </c>
    </row>
    <row r="1610" customFormat="false" ht="15" hidden="false" customHeight="false" outlineLevel="0" collapsed="false">
      <c r="A1610" s="23" t="n">
        <v>46087.5763888889</v>
      </c>
      <c r="B1610" s="24" t="s">
        <v>638</v>
      </c>
      <c r="C1610" s="24" t="s">
        <v>201</v>
      </c>
      <c r="D1610" s="24" t="s">
        <v>53</v>
      </c>
      <c r="E1610" s="24" t="n">
        <v>409</v>
      </c>
      <c r="F1610" s="25" t="n">
        <v>7000</v>
      </c>
      <c r="G1610" s="24" t="s">
        <v>59</v>
      </c>
      <c r="H1610" s="24" t="s">
        <v>60</v>
      </c>
      <c r="I1610" s="24" t="s">
        <v>61</v>
      </c>
      <c r="J1610" s="26" t="n">
        <f aca="false">IF(A1610="","",YEAR(A1610))</f>
        <v>2026</v>
      </c>
      <c r="K1610" s="26" t="n">
        <f aca="false">IF(A1610="","",MONTH(A1610))</f>
        <v>3</v>
      </c>
      <c r="L1610" s="26" t="n">
        <f aca="false">IF(B1610="","",VALUE(LEFT(B1610,2)))</f>
        <v>7</v>
      </c>
      <c r="M1610" s="26" t="n">
        <f aca="false">IF(A1610="","",IF(COUNTIFS($C$2:$C$5001,C1610,$J$2:$J$5001,J1610,$A$2:$A$5001,"&lt;"&amp;A1610)=0,1,0))</f>
        <v>0</v>
      </c>
    </row>
    <row r="1611" customFormat="false" ht="15" hidden="false" customHeight="false" outlineLevel="0" collapsed="false">
      <c r="A1611" s="23" t="n">
        <v>46087.9402777778</v>
      </c>
      <c r="B1611" s="24" t="s">
        <v>793</v>
      </c>
      <c r="C1611" s="24" t="s">
        <v>52</v>
      </c>
      <c r="D1611" s="24" t="s">
        <v>53</v>
      </c>
      <c r="E1611" s="24" t="n">
        <v>314</v>
      </c>
      <c r="F1611" s="25" t="n">
        <v>4675</v>
      </c>
      <c r="G1611" s="24" t="s">
        <v>59</v>
      </c>
      <c r="H1611" s="24" t="s">
        <v>60</v>
      </c>
      <c r="I1611" s="24" t="s">
        <v>113</v>
      </c>
      <c r="J1611" s="26" t="n">
        <f aca="false">IF(A1611="","",YEAR(A1611))</f>
        <v>2026</v>
      </c>
      <c r="K1611" s="26" t="n">
        <f aca="false">IF(A1611="","",MONTH(A1611))</f>
        <v>3</v>
      </c>
      <c r="L1611" s="26" t="n">
        <f aca="false">IF(B1611="","",VALUE(LEFT(B1611,2)))</f>
        <v>17</v>
      </c>
      <c r="M1611" s="26" t="n">
        <f aca="false">IF(A1611="","",IF(COUNTIFS($C$2:$C$5001,C1611,$J$2:$J$5001,J1611,$A$2:$A$5001,"&lt;"&amp;A1611)=0,1,0))</f>
        <v>0</v>
      </c>
    </row>
    <row r="1612" customFormat="false" ht="15" hidden="false" customHeight="false" outlineLevel="0" collapsed="false">
      <c r="A1612" s="23" t="n">
        <v>46087.9631944444</v>
      </c>
      <c r="B1612" s="24" t="s">
        <v>814</v>
      </c>
      <c r="C1612" s="24" t="s">
        <v>389</v>
      </c>
      <c r="D1612" s="24" t="s">
        <v>88</v>
      </c>
      <c r="E1612" s="24" t="n">
        <v>279</v>
      </c>
      <c r="F1612" s="25" t="n">
        <v>15000</v>
      </c>
      <c r="G1612" s="24" t="s">
        <v>59</v>
      </c>
      <c r="H1612" s="24" t="s">
        <v>80</v>
      </c>
      <c r="I1612" s="24" t="s">
        <v>61</v>
      </c>
      <c r="J1612" s="26" t="n">
        <f aca="false">IF(A1612="","",YEAR(A1612))</f>
        <v>2026</v>
      </c>
      <c r="K1612" s="26" t="n">
        <f aca="false">IF(A1612="","",MONTH(A1612))</f>
        <v>3</v>
      </c>
      <c r="L1612" s="26" t="n">
        <f aca="false">IF(B1612="","",VALUE(LEFT(B1612,2)))</f>
        <v>18</v>
      </c>
      <c r="M1612" s="26" t="n">
        <f aca="false">IF(A1612="","",IF(COUNTIFS($C$2:$C$5001,C1612,$J$2:$J$5001,J1612,$A$2:$A$5001,"&lt;"&amp;A1612)=0,1,0))</f>
        <v>0</v>
      </c>
    </row>
    <row r="1613" customFormat="false" ht="15" hidden="false" customHeight="false" outlineLevel="0" collapsed="false">
      <c r="A1613" s="23" t="n">
        <v>46088.65</v>
      </c>
      <c r="B1613" s="24" t="s">
        <v>878</v>
      </c>
      <c r="C1613" s="24" t="s">
        <v>436</v>
      </c>
      <c r="D1613" s="24" t="s">
        <v>53</v>
      </c>
      <c r="E1613" s="24" t="n">
        <v>414</v>
      </c>
      <c r="F1613" s="25" t="n">
        <v>7000</v>
      </c>
      <c r="G1613" s="24" t="s">
        <v>54</v>
      </c>
      <c r="H1613" s="24" t="s">
        <v>60</v>
      </c>
      <c r="I1613" s="24" t="s">
        <v>61</v>
      </c>
      <c r="J1613" s="26" t="n">
        <f aca="false">IF(A1613="","",YEAR(A1613))</f>
        <v>2026</v>
      </c>
      <c r="K1613" s="26" t="n">
        <f aca="false">IF(A1613="","",MONTH(A1613))</f>
        <v>3</v>
      </c>
      <c r="L1613" s="26" t="n">
        <f aca="false">IF(B1613="","",VALUE(LEFT(B1613,2)))</f>
        <v>8</v>
      </c>
      <c r="M1613" s="26" t="n">
        <f aca="false">IF(A1613="","",IF(COUNTIFS($C$2:$C$5001,C1613,$J$2:$J$5001,J1613,$A$2:$A$5001,"&lt;"&amp;A1613)=0,1,0))</f>
        <v>1</v>
      </c>
    </row>
    <row r="1614" customFormat="false" ht="15" hidden="false" customHeight="false" outlineLevel="0" collapsed="false">
      <c r="A1614" s="23" t="n">
        <v>46089.8597222222</v>
      </c>
      <c r="B1614" s="24" t="s">
        <v>583</v>
      </c>
      <c r="C1614" s="24" t="s">
        <v>224</v>
      </c>
      <c r="D1614" s="24" t="s">
        <v>53</v>
      </c>
      <c r="E1614" s="24" t="n">
        <v>134</v>
      </c>
      <c r="F1614" s="25" t="n">
        <v>2500</v>
      </c>
      <c r="G1614" s="24" t="s">
        <v>69</v>
      </c>
      <c r="H1614" s="24" t="s">
        <v>60</v>
      </c>
      <c r="I1614" s="24" t="s">
        <v>61</v>
      </c>
      <c r="J1614" s="26" t="n">
        <f aca="false">IF(A1614="","",YEAR(A1614))</f>
        <v>2026</v>
      </c>
      <c r="K1614" s="26" t="n">
        <f aca="false">IF(A1614="","",MONTH(A1614))</f>
        <v>3</v>
      </c>
      <c r="L1614" s="26" t="n">
        <f aca="false">IF(B1614="","",VALUE(LEFT(B1614,2)))</f>
        <v>18</v>
      </c>
      <c r="M1614" s="26" t="n">
        <f aca="false">IF(A1614="","",IF(COUNTIFS($C$2:$C$5001,C1614,$J$2:$J$5001,J1614,$A$2:$A$5001,"&lt;"&amp;A1614)=0,1,0))</f>
        <v>1</v>
      </c>
    </row>
    <row r="1615" customFormat="false" ht="15" hidden="false" customHeight="false" outlineLevel="0" collapsed="false">
      <c r="A1615" s="23" t="n">
        <v>46090.0520833333</v>
      </c>
      <c r="B1615" s="24" t="s">
        <v>965</v>
      </c>
      <c r="C1615" s="24" t="s">
        <v>201</v>
      </c>
      <c r="D1615" s="24" t="s">
        <v>66</v>
      </c>
      <c r="E1615" s="24" t="n">
        <v>364</v>
      </c>
      <c r="F1615" s="25" t="n">
        <v>13000</v>
      </c>
      <c r="G1615" s="24" t="s">
        <v>79</v>
      </c>
      <c r="H1615" s="24" t="s">
        <v>60</v>
      </c>
      <c r="I1615" s="24" t="s">
        <v>61</v>
      </c>
      <c r="J1615" s="26" t="n">
        <f aca="false">IF(A1615="","",YEAR(A1615))</f>
        <v>2026</v>
      </c>
      <c r="K1615" s="26" t="n">
        <f aca="false">IF(A1615="","",MONTH(A1615))</f>
        <v>3</v>
      </c>
      <c r="L1615" s="26" t="n">
        <f aca="false">IF(B1615="","",VALUE(LEFT(B1615,2)))</f>
        <v>19</v>
      </c>
      <c r="M1615" s="26" t="n">
        <f aca="false">IF(A1615="","",IF(COUNTIFS($C$2:$C$5001,C1615,$J$2:$J$5001,J1615,$A$2:$A$5001,"&lt;"&amp;A1615)=0,1,0))</f>
        <v>0</v>
      </c>
    </row>
    <row r="1616" customFormat="false" ht="15" hidden="false" customHeight="false" outlineLevel="0" collapsed="false">
      <c r="A1616" s="23" t="n">
        <v>46090.5798611111</v>
      </c>
      <c r="B1616" s="24" t="s">
        <v>813</v>
      </c>
      <c r="C1616" s="24" t="s">
        <v>52</v>
      </c>
      <c r="D1616" s="24" t="s">
        <v>53</v>
      </c>
      <c r="E1616" s="24" t="n">
        <v>105</v>
      </c>
      <c r="F1616" s="25" t="n">
        <v>2000</v>
      </c>
      <c r="G1616" s="24" t="s">
        <v>59</v>
      </c>
      <c r="H1616" s="24" t="s">
        <v>60</v>
      </c>
      <c r="I1616" s="24" t="s">
        <v>61</v>
      </c>
      <c r="J1616" s="26" t="n">
        <f aca="false">IF(A1616="","",YEAR(A1616))</f>
        <v>2026</v>
      </c>
      <c r="K1616" s="26" t="n">
        <f aca="false">IF(A1616="","",MONTH(A1616))</f>
        <v>3</v>
      </c>
      <c r="L1616" s="26" t="n">
        <f aca="false">IF(B1616="","",VALUE(LEFT(B1616,2)))</f>
        <v>12</v>
      </c>
      <c r="M1616" s="26" t="n">
        <f aca="false">IF(A1616="","",IF(COUNTIFS($C$2:$C$5001,C1616,$J$2:$J$5001,J1616,$A$2:$A$5001,"&lt;"&amp;A1616)=0,1,0))</f>
        <v>0</v>
      </c>
    </row>
    <row r="1617" customFormat="false" ht="15" hidden="false" customHeight="false" outlineLevel="0" collapsed="false">
      <c r="A1617" s="23" t="n">
        <v>46090.5805555556</v>
      </c>
      <c r="B1617" s="24" t="s">
        <v>109</v>
      </c>
      <c r="C1617" s="24" t="s">
        <v>347</v>
      </c>
      <c r="D1617" s="24" t="s">
        <v>66</v>
      </c>
      <c r="E1617" s="24" t="n">
        <v>342</v>
      </c>
      <c r="F1617" s="25" t="n">
        <v>12000</v>
      </c>
      <c r="G1617" s="24" t="s">
        <v>59</v>
      </c>
      <c r="H1617" s="24" t="s">
        <v>55</v>
      </c>
      <c r="I1617" s="24" t="s">
        <v>61</v>
      </c>
      <c r="J1617" s="26" t="n">
        <f aca="false">IF(A1617="","",YEAR(A1617))</f>
        <v>2026</v>
      </c>
      <c r="K1617" s="26" t="n">
        <f aca="false">IF(A1617="","",MONTH(A1617))</f>
        <v>3</v>
      </c>
      <c r="L1617" s="26" t="n">
        <f aca="false">IF(B1617="","",VALUE(LEFT(B1617,2)))</f>
        <v>8</v>
      </c>
      <c r="M1617" s="26" t="n">
        <f aca="false">IF(A1617="","",IF(COUNTIFS($C$2:$C$5001,C1617,$J$2:$J$5001,J1617,$A$2:$A$5001,"&lt;"&amp;A1617)=0,1,0))</f>
        <v>0</v>
      </c>
    </row>
    <row r="1618" customFormat="false" ht="15" hidden="false" customHeight="false" outlineLevel="0" collapsed="false">
      <c r="A1618" s="23" t="n">
        <v>46090.59375</v>
      </c>
      <c r="B1618" s="24" t="s">
        <v>668</v>
      </c>
      <c r="C1618" s="24" t="s">
        <v>222</v>
      </c>
      <c r="D1618" s="24" t="s">
        <v>66</v>
      </c>
      <c r="E1618" s="24" t="n">
        <v>331</v>
      </c>
      <c r="F1618" s="25" t="n">
        <v>12000</v>
      </c>
      <c r="G1618" s="24" t="s">
        <v>83</v>
      </c>
      <c r="H1618" s="24" t="s">
        <v>60</v>
      </c>
      <c r="I1618" s="24" t="s">
        <v>61</v>
      </c>
      <c r="J1618" s="26" t="n">
        <f aca="false">IF(A1618="","",YEAR(A1618))</f>
        <v>2026</v>
      </c>
      <c r="K1618" s="26" t="n">
        <f aca="false">IF(A1618="","",MONTH(A1618))</f>
        <v>3</v>
      </c>
      <c r="L1618" s="26" t="n">
        <f aca="false">IF(B1618="","",VALUE(LEFT(B1618,2)))</f>
        <v>8</v>
      </c>
      <c r="M1618" s="26" t="n">
        <f aca="false">IF(A1618="","",IF(COUNTIFS($C$2:$C$5001,C1618,$J$2:$J$5001,J1618,$A$2:$A$5001,"&lt;"&amp;A1618)=0,1,0))</f>
        <v>0</v>
      </c>
    </row>
    <row r="1619" customFormat="false" ht="15" hidden="false" customHeight="false" outlineLevel="0" collapsed="false">
      <c r="A1619" s="23" t="n">
        <v>46091.0534722222</v>
      </c>
      <c r="B1619" s="24" t="s">
        <v>616</v>
      </c>
      <c r="C1619" s="24" t="s">
        <v>82</v>
      </c>
      <c r="D1619" s="24" t="s">
        <v>66</v>
      </c>
      <c r="E1619" s="24" t="n">
        <v>290</v>
      </c>
      <c r="F1619" s="25" t="n">
        <v>10000</v>
      </c>
      <c r="G1619" s="24" t="s">
        <v>59</v>
      </c>
      <c r="H1619" s="24" t="s">
        <v>60</v>
      </c>
      <c r="I1619" s="24" t="s">
        <v>61</v>
      </c>
      <c r="J1619" s="26" t="n">
        <f aca="false">IF(A1619="","",YEAR(A1619))</f>
        <v>2026</v>
      </c>
      <c r="K1619" s="26" t="n">
        <f aca="false">IF(A1619="","",MONTH(A1619))</f>
        <v>3</v>
      </c>
      <c r="L1619" s="26" t="n">
        <f aca="false">IF(B1619="","",VALUE(LEFT(B1619,2)))</f>
        <v>20</v>
      </c>
      <c r="M1619" s="26" t="n">
        <f aca="false">IF(A1619="","",IF(COUNTIFS($C$2:$C$5001,C1619,$J$2:$J$5001,J1619,$A$2:$A$5001,"&lt;"&amp;A1619)=0,1,0))</f>
        <v>0</v>
      </c>
    </row>
    <row r="1620" customFormat="false" ht="15" hidden="false" customHeight="false" outlineLevel="0" collapsed="false">
      <c r="A1620" s="23" t="n">
        <v>46091.5423611111</v>
      </c>
      <c r="B1620" s="24" t="s">
        <v>331</v>
      </c>
      <c r="C1620" s="24" t="s">
        <v>309</v>
      </c>
      <c r="D1620" s="24" t="s">
        <v>66</v>
      </c>
      <c r="E1620" s="24" t="n">
        <v>308</v>
      </c>
      <c r="F1620" s="25" t="n">
        <v>0</v>
      </c>
      <c r="G1620" s="24" t="s">
        <v>59</v>
      </c>
      <c r="H1620" s="24" t="s">
        <v>60</v>
      </c>
      <c r="I1620" s="24" t="s">
        <v>56</v>
      </c>
      <c r="J1620" s="26" t="n">
        <f aca="false">IF(A1620="","",YEAR(A1620))</f>
        <v>2026</v>
      </c>
      <c r="K1620" s="26" t="n">
        <f aca="false">IF(A1620="","",MONTH(A1620))</f>
        <v>3</v>
      </c>
      <c r="L1620" s="26" t="n">
        <f aca="false">IF(B1620="","",VALUE(LEFT(B1620,2)))</f>
        <v>7</v>
      </c>
      <c r="M1620" s="26" t="n">
        <f aca="false">IF(A1620="","",IF(COUNTIFS($C$2:$C$5001,C1620,$J$2:$J$5001,J1620,$A$2:$A$5001,"&lt;"&amp;A1620)=0,1,0))</f>
        <v>0</v>
      </c>
    </row>
    <row r="1621" customFormat="false" ht="15" hidden="false" customHeight="false" outlineLevel="0" collapsed="false">
      <c r="A1621" s="23" t="n">
        <v>46091.5902777778</v>
      </c>
      <c r="B1621" s="24" t="s">
        <v>828</v>
      </c>
      <c r="C1621" s="24" t="s">
        <v>546</v>
      </c>
      <c r="D1621" s="24" t="s">
        <v>66</v>
      </c>
      <c r="E1621" s="24" t="n">
        <v>355</v>
      </c>
      <c r="F1621" s="25" t="n">
        <v>12000</v>
      </c>
      <c r="G1621" s="24" t="s">
        <v>59</v>
      </c>
      <c r="H1621" s="24" t="s">
        <v>55</v>
      </c>
      <c r="I1621" s="24" t="s">
        <v>61</v>
      </c>
      <c r="J1621" s="26" t="n">
        <f aca="false">IF(A1621="","",YEAR(A1621))</f>
        <v>2026</v>
      </c>
      <c r="K1621" s="26" t="n">
        <f aca="false">IF(A1621="","",MONTH(A1621))</f>
        <v>3</v>
      </c>
      <c r="L1621" s="26" t="n">
        <f aca="false">IF(B1621="","",VALUE(LEFT(B1621,2)))</f>
        <v>8</v>
      </c>
      <c r="M1621" s="26" t="n">
        <f aca="false">IF(A1621="","",IF(COUNTIFS($C$2:$C$5001,C1621,$J$2:$J$5001,J1621,$A$2:$A$5001,"&lt;"&amp;A1621)=0,1,0))</f>
        <v>1</v>
      </c>
    </row>
    <row r="1622" customFormat="false" ht="15" hidden="false" customHeight="false" outlineLevel="0" collapsed="false">
      <c r="A1622" s="23" t="n">
        <v>46091.9972222222</v>
      </c>
      <c r="B1622" s="24" t="s">
        <v>252</v>
      </c>
      <c r="C1622" s="24" t="s">
        <v>367</v>
      </c>
      <c r="D1622" s="24" t="s">
        <v>88</v>
      </c>
      <c r="E1622" s="24" t="n">
        <v>179</v>
      </c>
      <c r="F1622" s="25" t="n">
        <v>0</v>
      </c>
      <c r="G1622" s="24" t="s">
        <v>59</v>
      </c>
      <c r="H1622" s="24" t="s">
        <v>60</v>
      </c>
      <c r="I1622" s="24" t="s">
        <v>56</v>
      </c>
      <c r="J1622" s="26" t="n">
        <f aca="false">IF(A1622="","",YEAR(A1622))</f>
        <v>2026</v>
      </c>
      <c r="K1622" s="26" t="n">
        <f aca="false">IF(A1622="","",MONTH(A1622))</f>
        <v>3</v>
      </c>
      <c r="L1622" s="26" t="n">
        <f aca="false">IF(B1622="","",VALUE(LEFT(B1622,2)))</f>
        <v>20</v>
      </c>
      <c r="M1622" s="26" t="n">
        <f aca="false">IF(A1622="","",IF(COUNTIFS($C$2:$C$5001,C1622,$J$2:$J$5001,J1622,$A$2:$A$5001,"&lt;"&amp;A1622)=0,1,0))</f>
        <v>1</v>
      </c>
    </row>
    <row r="1623" customFormat="false" ht="15" hidden="false" customHeight="false" outlineLevel="0" collapsed="false">
      <c r="A1623" s="23" t="n">
        <v>46093.3708333333</v>
      </c>
      <c r="B1623" s="24" t="s">
        <v>435</v>
      </c>
      <c r="C1623" s="24" t="s">
        <v>737</v>
      </c>
      <c r="D1623" s="24" t="s">
        <v>66</v>
      </c>
      <c r="E1623" s="24" t="n">
        <v>95</v>
      </c>
      <c r="F1623" s="25" t="n">
        <v>4000</v>
      </c>
      <c r="G1623" s="24" t="s">
        <v>59</v>
      </c>
      <c r="H1623" s="24" t="s">
        <v>60</v>
      </c>
      <c r="I1623" s="24" t="s">
        <v>61</v>
      </c>
      <c r="J1623" s="26" t="n">
        <f aca="false">IF(A1623="","",YEAR(A1623))</f>
        <v>2026</v>
      </c>
      <c r="K1623" s="26" t="n">
        <f aca="false">IF(A1623="","",MONTH(A1623))</f>
        <v>3</v>
      </c>
      <c r="L1623" s="26" t="n">
        <f aca="false">IF(B1623="","",VALUE(LEFT(B1623,2)))</f>
        <v>7</v>
      </c>
      <c r="M1623" s="26" t="n">
        <f aca="false">IF(A1623="","",IF(COUNTIFS($C$2:$C$5001,C1623,$J$2:$J$5001,J1623,$A$2:$A$5001,"&lt;"&amp;A1623)=0,1,0))</f>
        <v>0</v>
      </c>
    </row>
    <row r="1624" customFormat="false" ht="15" hidden="false" customHeight="false" outlineLevel="0" collapsed="false">
      <c r="A1624" s="23" t="n">
        <v>46093.4895833333</v>
      </c>
      <c r="B1624" s="24" t="s">
        <v>214</v>
      </c>
      <c r="C1624" s="24" t="s">
        <v>71</v>
      </c>
      <c r="D1624" s="24" t="s">
        <v>53</v>
      </c>
      <c r="E1624" s="24" t="n">
        <v>209</v>
      </c>
      <c r="F1624" s="25" t="n">
        <v>3500</v>
      </c>
      <c r="G1624" s="24" t="s">
        <v>59</v>
      </c>
      <c r="H1624" s="24" t="s">
        <v>55</v>
      </c>
      <c r="I1624" s="24" t="s">
        <v>61</v>
      </c>
      <c r="J1624" s="26" t="n">
        <f aca="false">IF(A1624="","",YEAR(A1624))</f>
        <v>2026</v>
      </c>
      <c r="K1624" s="26" t="n">
        <f aca="false">IF(A1624="","",MONTH(A1624))</f>
        <v>3</v>
      </c>
      <c r="L1624" s="26" t="n">
        <f aca="false">IF(B1624="","",VALUE(LEFT(B1624,2)))</f>
        <v>8</v>
      </c>
      <c r="M1624" s="26" t="n">
        <f aca="false">IF(A1624="","",IF(COUNTIFS($C$2:$C$5001,C1624,$J$2:$J$5001,J1624,$A$2:$A$5001,"&lt;"&amp;A1624)=0,1,0))</f>
        <v>0</v>
      </c>
    </row>
    <row r="1625" customFormat="false" ht="15" hidden="false" customHeight="false" outlineLevel="0" collapsed="false">
      <c r="A1625" s="23" t="n">
        <v>46093.6465277778</v>
      </c>
      <c r="B1625" s="24" t="s">
        <v>380</v>
      </c>
      <c r="C1625" s="24" t="s">
        <v>243</v>
      </c>
      <c r="D1625" s="24" t="s">
        <v>66</v>
      </c>
      <c r="E1625" s="24" t="n">
        <v>315</v>
      </c>
      <c r="F1625" s="25" t="n">
        <v>11000</v>
      </c>
      <c r="G1625" s="24" t="s">
        <v>69</v>
      </c>
      <c r="H1625" s="24" t="s">
        <v>80</v>
      </c>
      <c r="I1625" s="24" t="s">
        <v>61</v>
      </c>
      <c r="J1625" s="26" t="n">
        <f aca="false">IF(A1625="","",YEAR(A1625))</f>
        <v>2026</v>
      </c>
      <c r="K1625" s="26" t="n">
        <f aca="false">IF(A1625="","",MONTH(A1625))</f>
        <v>3</v>
      </c>
      <c r="L1625" s="26" t="n">
        <f aca="false">IF(B1625="","",VALUE(LEFT(B1625,2)))</f>
        <v>10</v>
      </c>
      <c r="M1625" s="26" t="n">
        <f aca="false">IF(A1625="","",IF(COUNTIFS($C$2:$C$5001,C1625,$J$2:$J$5001,J1625,$A$2:$A$5001,"&lt;"&amp;A1625)=0,1,0))</f>
        <v>0</v>
      </c>
    </row>
    <row r="1626" customFormat="false" ht="15" hidden="false" customHeight="false" outlineLevel="0" collapsed="false">
      <c r="A1626" s="23" t="n">
        <v>46094.0354166667</v>
      </c>
      <c r="B1626" s="24" t="s">
        <v>198</v>
      </c>
      <c r="C1626" s="24" t="s">
        <v>309</v>
      </c>
      <c r="D1626" s="24" t="s">
        <v>127</v>
      </c>
      <c r="E1626" s="24" t="n">
        <v>322</v>
      </c>
      <c r="F1626" s="25" t="n">
        <v>19250</v>
      </c>
      <c r="G1626" s="24" t="s">
        <v>59</v>
      </c>
      <c r="H1626" s="24" t="s">
        <v>55</v>
      </c>
      <c r="I1626" s="24" t="s">
        <v>61</v>
      </c>
      <c r="J1626" s="26" t="n">
        <f aca="false">IF(A1626="","",YEAR(A1626))</f>
        <v>2026</v>
      </c>
      <c r="K1626" s="26" t="n">
        <f aca="false">IF(A1626="","",MONTH(A1626))</f>
        <v>3</v>
      </c>
      <c r="L1626" s="26" t="n">
        <f aca="false">IF(B1626="","",VALUE(LEFT(B1626,2)))</f>
        <v>19</v>
      </c>
      <c r="M1626" s="26" t="n">
        <f aca="false">IF(A1626="","",IF(COUNTIFS($C$2:$C$5001,C1626,$J$2:$J$5001,J1626,$A$2:$A$5001,"&lt;"&amp;A1626)=0,1,0))</f>
        <v>0</v>
      </c>
    </row>
    <row r="1627" customFormat="false" ht="15" hidden="false" customHeight="false" outlineLevel="0" collapsed="false">
      <c r="A1627" s="23" t="n">
        <v>46094.4597222222</v>
      </c>
      <c r="B1627" s="24" t="s">
        <v>335</v>
      </c>
      <c r="C1627" s="24" t="s">
        <v>96</v>
      </c>
      <c r="D1627" s="24" t="s">
        <v>66</v>
      </c>
      <c r="E1627" s="24" t="n">
        <v>60</v>
      </c>
      <c r="F1627" s="25" t="n">
        <v>0</v>
      </c>
      <c r="G1627" s="24" t="s">
        <v>59</v>
      </c>
      <c r="H1627" s="24" t="s">
        <v>55</v>
      </c>
      <c r="I1627" s="24" t="s">
        <v>56</v>
      </c>
      <c r="J1627" s="26" t="n">
        <f aca="false">IF(A1627="","",YEAR(A1627))</f>
        <v>2026</v>
      </c>
      <c r="K1627" s="26" t="n">
        <f aca="false">IF(A1627="","",MONTH(A1627))</f>
        <v>3</v>
      </c>
      <c r="L1627" s="26" t="n">
        <f aca="false">IF(B1627="","",VALUE(LEFT(B1627,2)))</f>
        <v>10</v>
      </c>
      <c r="M1627" s="26" t="n">
        <f aca="false">IF(A1627="","",IF(COUNTIFS($C$2:$C$5001,C1627,$J$2:$J$5001,J1627,$A$2:$A$5001,"&lt;"&amp;A1627)=0,1,0))</f>
        <v>1</v>
      </c>
    </row>
    <row r="1628" customFormat="false" ht="15" hidden="false" customHeight="false" outlineLevel="0" collapsed="false">
      <c r="A1628" s="23" t="n">
        <v>46094.4673611111</v>
      </c>
      <c r="B1628" s="24" t="s">
        <v>238</v>
      </c>
      <c r="C1628" s="24" t="s">
        <v>138</v>
      </c>
      <c r="D1628" s="24" t="s">
        <v>66</v>
      </c>
      <c r="E1628" s="24" t="n">
        <v>310</v>
      </c>
      <c r="F1628" s="25" t="n">
        <v>11000</v>
      </c>
      <c r="G1628" s="24" t="s">
        <v>59</v>
      </c>
      <c r="H1628" s="24" t="s">
        <v>80</v>
      </c>
      <c r="I1628" s="24" t="s">
        <v>61</v>
      </c>
      <c r="J1628" s="26" t="n">
        <f aca="false">IF(A1628="","",YEAR(A1628))</f>
        <v>2026</v>
      </c>
      <c r="K1628" s="26" t="n">
        <f aca="false">IF(A1628="","",MONTH(A1628))</f>
        <v>3</v>
      </c>
      <c r="L1628" s="26" t="n">
        <f aca="false">IF(B1628="","",VALUE(LEFT(B1628,2)))</f>
        <v>6</v>
      </c>
      <c r="M1628" s="26" t="n">
        <f aca="false">IF(A1628="","",IF(COUNTIFS($C$2:$C$5001,C1628,$J$2:$J$5001,J1628,$A$2:$A$5001,"&lt;"&amp;A1628)=0,1,0))</f>
        <v>0</v>
      </c>
    </row>
    <row r="1629" customFormat="false" ht="15" hidden="false" customHeight="false" outlineLevel="0" collapsed="false">
      <c r="A1629" s="23" t="n">
        <v>46094.6826388889</v>
      </c>
      <c r="B1629" s="24" t="s">
        <v>966</v>
      </c>
      <c r="C1629" s="24" t="s">
        <v>74</v>
      </c>
      <c r="D1629" s="24" t="s">
        <v>53</v>
      </c>
      <c r="E1629" s="24" t="n">
        <v>269</v>
      </c>
      <c r="F1629" s="25" t="n">
        <v>4500</v>
      </c>
      <c r="G1629" s="24" t="s">
        <v>59</v>
      </c>
      <c r="H1629" s="24" t="s">
        <v>80</v>
      </c>
      <c r="I1629" s="24" t="s">
        <v>61</v>
      </c>
      <c r="J1629" s="26" t="n">
        <f aca="false">IF(A1629="","",YEAR(A1629))</f>
        <v>2026</v>
      </c>
      <c r="K1629" s="26" t="n">
        <f aca="false">IF(A1629="","",MONTH(A1629))</f>
        <v>3</v>
      </c>
      <c r="L1629" s="26" t="n">
        <f aca="false">IF(B1629="","",VALUE(LEFT(B1629,2)))</f>
        <v>11</v>
      </c>
      <c r="M1629" s="26" t="n">
        <f aca="false">IF(A1629="","",IF(COUNTIFS($C$2:$C$5001,C1629,$J$2:$J$5001,J1629,$A$2:$A$5001,"&lt;"&amp;A1629)=0,1,0))</f>
        <v>0</v>
      </c>
    </row>
    <row r="1630" customFormat="false" ht="15" hidden="false" customHeight="false" outlineLevel="0" collapsed="false">
      <c r="A1630" s="23" t="n">
        <v>46094.7472222222</v>
      </c>
      <c r="B1630" s="24" t="s">
        <v>866</v>
      </c>
      <c r="C1630" s="24" t="s">
        <v>150</v>
      </c>
      <c r="D1630" s="24" t="s">
        <v>66</v>
      </c>
      <c r="E1630" s="24" t="n">
        <v>409</v>
      </c>
      <c r="F1630" s="25" t="n">
        <v>0</v>
      </c>
      <c r="G1630" s="24" t="s">
        <v>69</v>
      </c>
      <c r="H1630" s="24" t="s">
        <v>80</v>
      </c>
      <c r="I1630" s="24" t="s">
        <v>56</v>
      </c>
      <c r="J1630" s="26" t="n">
        <f aca="false">IF(A1630="","",YEAR(A1630))</f>
        <v>2026</v>
      </c>
      <c r="K1630" s="26" t="n">
        <f aca="false">IF(A1630="","",MONTH(A1630))</f>
        <v>3</v>
      </c>
      <c r="L1630" s="26" t="n">
        <f aca="false">IF(B1630="","",VALUE(LEFT(B1630,2)))</f>
        <v>11</v>
      </c>
      <c r="M1630" s="26" t="n">
        <f aca="false">IF(A1630="","",IF(COUNTIFS($C$2:$C$5001,C1630,$J$2:$J$5001,J1630,$A$2:$A$5001,"&lt;"&amp;A1630)=0,1,0))</f>
        <v>0</v>
      </c>
    </row>
    <row r="1631" customFormat="false" ht="15" hidden="false" customHeight="false" outlineLevel="0" collapsed="false">
      <c r="A1631" s="23" t="n">
        <v>46094.8097222222</v>
      </c>
      <c r="B1631" s="24" t="s">
        <v>437</v>
      </c>
      <c r="C1631" s="24" t="s">
        <v>120</v>
      </c>
      <c r="D1631" s="24" t="s">
        <v>66</v>
      </c>
      <c r="E1631" s="24" t="n">
        <v>262</v>
      </c>
      <c r="F1631" s="25" t="n">
        <v>9000</v>
      </c>
      <c r="G1631" s="24" t="s">
        <v>83</v>
      </c>
      <c r="H1631" s="24" t="s">
        <v>60</v>
      </c>
      <c r="I1631" s="24" t="s">
        <v>61</v>
      </c>
      <c r="J1631" s="26" t="n">
        <f aca="false">IF(A1631="","",YEAR(A1631))</f>
        <v>2026</v>
      </c>
      <c r="K1631" s="26" t="n">
        <f aca="false">IF(A1631="","",MONTH(A1631))</f>
        <v>3</v>
      </c>
      <c r="L1631" s="26" t="n">
        <f aca="false">IF(B1631="","",VALUE(LEFT(B1631,2)))</f>
        <v>15</v>
      </c>
      <c r="M1631" s="26" t="n">
        <f aca="false">IF(A1631="","",IF(COUNTIFS($C$2:$C$5001,C1631,$J$2:$J$5001,J1631,$A$2:$A$5001,"&lt;"&amp;A1631)=0,1,0))</f>
        <v>0</v>
      </c>
    </row>
    <row r="1632" customFormat="false" ht="15" hidden="false" customHeight="false" outlineLevel="0" collapsed="false">
      <c r="A1632" s="23" t="n">
        <v>46094.8819444445</v>
      </c>
      <c r="B1632" s="24" t="s">
        <v>642</v>
      </c>
      <c r="C1632" s="24" t="s">
        <v>147</v>
      </c>
      <c r="D1632" s="24" t="s">
        <v>66</v>
      </c>
      <c r="E1632" s="24" t="n">
        <v>318</v>
      </c>
      <c r="F1632" s="25" t="n">
        <v>0</v>
      </c>
      <c r="G1632" s="24" t="s">
        <v>59</v>
      </c>
      <c r="H1632" s="24" t="s">
        <v>80</v>
      </c>
      <c r="I1632" s="24" t="s">
        <v>56</v>
      </c>
      <c r="J1632" s="26" t="n">
        <f aca="false">IF(A1632="","",YEAR(A1632))</f>
        <v>2026</v>
      </c>
      <c r="K1632" s="26" t="n">
        <f aca="false">IF(A1632="","",MONTH(A1632))</f>
        <v>3</v>
      </c>
      <c r="L1632" s="26" t="n">
        <f aca="false">IF(B1632="","",VALUE(LEFT(B1632,2)))</f>
        <v>15</v>
      </c>
      <c r="M1632" s="26" t="n">
        <f aca="false">IF(A1632="","",IF(COUNTIFS($C$2:$C$5001,C1632,$J$2:$J$5001,J1632,$A$2:$A$5001,"&lt;"&amp;A1632)=0,1,0))</f>
        <v>0</v>
      </c>
    </row>
    <row r="1633" customFormat="false" ht="15" hidden="false" customHeight="false" outlineLevel="0" collapsed="false">
      <c r="A1633" s="23" t="n">
        <v>46094.9527777778</v>
      </c>
      <c r="B1633" s="24" t="s">
        <v>767</v>
      </c>
      <c r="C1633" s="24" t="s">
        <v>123</v>
      </c>
      <c r="D1633" s="24" t="s">
        <v>66</v>
      </c>
      <c r="E1633" s="24" t="n">
        <v>336</v>
      </c>
      <c r="F1633" s="25" t="n">
        <v>12000</v>
      </c>
      <c r="G1633" s="24" t="s">
        <v>79</v>
      </c>
      <c r="H1633" s="24" t="s">
        <v>60</v>
      </c>
      <c r="I1633" s="24" t="s">
        <v>61</v>
      </c>
      <c r="J1633" s="26" t="n">
        <f aca="false">IF(A1633="","",YEAR(A1633))</f>
        <v>2026</v>
      </c>
      <c r="K1633" s="26" t="n">
        <f aca="false">IF(A1633="","",MONTH(A1633))</f>
        <v>3</v>
      </c>
      <c r="L1633" s="26" t="n">
        <f aca="false">IF(B1633="","",VALUE(LEFT(B1633,2)))</f>
        <v>17</v>
      </c>
      <c r="M1633" s="26" t="n">
        <f aca="false">IF(A1633="","",IF(COUNTIFS($C$2:$C$5001,C1633,$J$2:$J$5001,J1633,$A$2:$A$5001,"&lt;"&amp;A1633)=0,1,0))</f>
        <v>0</v>
      </c>
    </row>
    <row r="1634" customFormat="false" ht="15" hidden="false" customHeight="false" outlineLevel="0" collapsed="false">
      <c r="A1634" s="23" t="n">
        <v>46095.4493055556</v>
      </c>
      <c r="B1634" s="24" t="s">
        <v>335</v>
      </c>
      <c r="C1634" s="24" t="s">
        <v>126</v>
      </c>
      <c r="D1634" s="24" t="s">
        <v>88</v>
      </c>
      <c r="E1634" s="24" t="n">
        <v>45</v>
      </c>
      <c r="F1634" s="25" t="n">
        <v>2550</v>
      </c>
      <c r="G1634" s="24" t="s">
        <v>69</v>
      </c>
      <c r="H1634" s="24" t="s">
        <v>80</v>
      </c>
      <c r="I1634" s="24" t="s">
        <v>113</v>
      </c>
      <c r="J1634" s="26" t="n">
        <f aca="false">IF(A1634="","",YEAR(A1634))</f>
        <v>2026</v>
      </c>
      <c r="K1634" s="26" t="n">
        <f aca="false">IF(A1634="","",MONTH(A1634))</f>
        <v>3</v>
      </c>
      <c r="L1634" s="26" t="n">
        <f aca="false">IF(B1634="","",VALUE(LEFT(B1634,2)))</f>
        <v>10</v>
      </c>
      <c r="M1634" s="26" t="n">
        <f aca="false">IF(A1634="","",IF(COUNTIFS($C$2:$C$5001,C1634,$J$2:$J$5001,J1634,$A$2:$A$5001,"&lt;"&amp;A1634)=0,1,0))</f>
        <v>0</v>
      </c>
    </row>
    <row r="1635" customFormat="false" ht="15" hidden="false" customHeight="false" outlineLevel="0" collapsed="false">
      <c r="A1635" s="23" t="n">
        <v>46095.5076388889</v>
      </c>
      <c r="B1635" s="24" t="s">
        <v>967</v>
      </c>
      <c r="C1635" s="24" t="s">
        <v>625</v>
      </c>
      <c r="D1635" s="24" t="s">
        <v>53</v>
      </c>
      <c r="E1635" s="24" t="n">
        <v>73</v>
      </c>
      <c r="F1635" s="25" t="n">
        <v>1500</v>
      </c>
      <c r="G1635" s="24" t="s">
        <v>59</v>
      </c>
      <c r="H1635" s="24" t="s">
        <v>60</v>
      </c>
      <c r="I1635" s="24" t="s">
        <v>61</v>
      </c>
      <c r="J1635" s="26" t="n">
        <f aca="false">IF(A1635="","",YEAR(A1635))</f>
        <v>2026</v>
      </c>
      <c r="K1635" s="26" t="n">
        <f aca="false">IF(A1635="","",MONTH(A1635))</f>
        <v>3</v>
      </c>
      <c r="L1635" s="26" t="n">
        <f aca="false">IF(B1635="","",VALUE(LEFT(B1635,2)))</f>
        <v>10</v>
      </c>
      <c r="M1635" s="26" t="n">
        <f aca="false">IF(A1635="","",IF(COUNTIFS($C$2:$C$5001,C1635,$J$2:$J$5001,J1635,$A$2:$A$5001,"&lt;"&amp;A1635)=0,1,0))</f>
        <v>1</v>
      </c>
    </row>
    <row r="1636" customFormat="false" ht="15" hidden="false" customHeight="false" outlineLevel="0" collapsed="false">
      <c r="A1636" s="23" t="n">
        <v>46095.5847222222</v>
      </c>
      <c r="B1636" s="24" t="s">
        <v>382</v>
      </c>
      <c r="C1636" s="24" t="s">
        <v>96</v>
      </c>
      <c r="D1636" s="24" t="s">
        <v>66</v>
      </c>
      <c r="E1636" s="24" t="n">
        <v>345</v>
      </c>
      <c r="F1636" s="25" t="n">
        <v>10200</v>
      </c>
      <c r="G1636" s="24" t="s">
        <v>54</v>
      </c>
      <c r="H1636" s="24" t="s">
        <v>55</v>
      </c>
      <c r="I1636" s="24" t="s">
        <v>113</v>
      </c>
      <c r="J1636" s="26" t="n">
        <f aca="false">IF(A1636="","",YEAR(A1636))</f>
        <v>2026</v>
      </c>
      <c r="K1636" s="26" t="n">
        <f aca="false">IF(A1636="","",MONTH(A1636))</f>
        <v>3</v>
      </c>
      <c r="L1636" s="26" t="n">
        <f aca="false">IF(B1636="","",VALUE(LEFT(B1636,2)))</f>
        <v>8</v>
      </c>
      <c r="M1636" s="26" t="n">
        <f aca="false">IF(A1636="","",IF(COUNTIFS($C$2:$C$5001,C1636,$J$2:$J$5001,J1636,$A$2:$A$5001,"&lt;"&amp;A1636)=0,1,0))</f>
        <v>0</v>
      </c>
    </row>
    <row r="1637" customFormat="false" ht="15" hidden="false" customHeight="false" outlineLevel="0" collapsed="false">
      <c r="A1637" s="23" t="n">
        <v>46095.7291666667</v>
      </c>
      <c r="B1637" s="24" t="s">
        <v>890</v>
      </c>
      <c r="C1637" s="24" t="s">
        <v>324</v>
      </c>
      <c r="D1637" s="24" t="s">
        <v>66</v>
      </c>
      <c r="E1637" s="24" t="n">
        <v>382</v>
      </c>
      <c r="F1637" s="25" t="n">
        <v>13000</v>
      </c>
      <c r="G1637" s="24" t="s">
        <v>54</v>
      </c>
      <c r="H1637" s="24" t="s">
        <v>55</v>
      </c>
      <c r="I1637" s="24" t="s">
        <v>61</v>
      </c>
      <c r="J1637" s="26" t="n">
        <f aca="false">IF(A1637="","",YEAR(A1637))</f>
        <v>2026</v>
      </c>
      <c r="K1637" s="26" t="n">
        <f aca="false">IF(A1637="","",MONTH(A1637))</f>
        <v>3</v>
      </c>
      <c r="L1637" s="26" t="n">
        <f aca="false">IF(B1637="","",VALUE(LEFT(B1637,2)))</f>
        <v>11</v>
      </c>
      <c r="M1637" s="26" t="n">
        <f aca="false">IF(A1637="","",IF(COUNTIFS($C$2:$C$5001,C1637,$J$2:$J$5001,J1637,$A$2:$A$5001,"&lt;"&amp;A1637)=0,1,0))</f>
        <v>0</v>
      </c>
    </row>
    <row r="1638" customFormat="false" ht="15" hidden="false" customHeight="false" outlineLevel="0" collapsed="false">
      <c r="A1638" s="23" t="n">
        <v>46095.9159722222</v>
      </c>
      <c r="B1638" s="24" t="s">
        <v>221</v>
      </c>
      <c r="C1638" s="24" t="s">
        <v>314</v>
      </c>
      <c r="D1638" s="24" t="s">
        <v>53</v>
      </c>
      <c r="E1638" s="24" t="n">
        <v>306</v>
      </c>
      <c r="F1638" s="25" t="n">
        <v>5500</v>
      </c>
      <c r="G1638" s="24" t="s">
        <v>59</v>
      </c>
      <c r="H1638" s="24" t="s">
        <v>60</v>
      </c>
      <c r="I1638" s="24" t="s">
        <v>61</v>
      </c>
      <c r="J1638" s="26" t="n">
        <f aca="false">IF(A1638="","",YEAR(A1638))</f>
        <v>2026</v>
      </c>
      <c r="K1638" s="26" t="n">
        <f aca="false">IF(A1638="","",MONTH(A1638))</f>
        <v>3</v>
      </c>
      <c r="L1638" s="26" t="n">
        <f aca="false">IF(B1638="","",VALUE(LEFT(B1638,2)))</f>
        <v>16</v>
      </c>
      <c r="M1638" s="26" t="n">
        <f aca="false">IF(A1638="","",IF(COUNTIFS($C$2:$C$5001,C1638,$J$2:$J$5001,J1638,$A$2:$A$5001,"&lt;"&amp;A1638)=0,1,0))</f>
        <v>0</v>
      </c>
    </row>
    <row r="1639" customFormat="false" ht="15" hidden="false" customHeight="false" outlineLevel="0" collapsed="false">
      <c r="A1639" s="23" t="n">
        <v>46096.5951388889</v>
      </c>
      <c r="B1639" s="24" t="s">
        <v>930</v>
      </c>
      <c r="C1639" s="24" t="s">
        <v>78</v>
      </c>
      <c r="D1639" s="24" t="s">
        <v>66</v>
      </c>
      <c r="E1639" s="24" t="n">
        <v>306</v>
      </c>
      <c r="F1639" s="25" t="n">
        <v>9350</v>
      </c>
      <c r="G1639" s="24" t="s">
        <v>59</v>
      </c>
      <c r="H1639" s="24" t="s">
        <v>80</v>
      </c>
      <c r="I1639" s="24" t="s">
        <v>113</v>
      </c>
      <c r="J1639" s="26" t="n">
        <f aca="false">IF(A1639="","",YEAR(A1639))</f>
        <v>2026</v>
      </c>
      <c r="K1639" s="26" t="n">
        <f aca="false">IF(A1639="","",MONTH(A1639))</f>
        <v>3</v>
      </c>
      <c r="L1639" s="26" t="n">
        <f aca="false">IF(B1639="","",VALUE(LEFT(B1639,2)))</f>
        <v>9</v>
      </c>
      <c r="M1639" s="26" t="n">
        <f aca="false">IF(A1639="","",IF(COUNTIFS($C$2:$C$5001,C1639,$J$2:$J$5001,J1639,$A$2:$A$5001,"&lt;"&amp;A1639)=0,1,0))</f>
        <v>0</v>
      </c>
    </row>
    <row r="1640" customFormat="false" ht="15" hidden="false" customHeight="false" outlineLevel="0" collapsed="false">
      <c r="A1640" s="23" t="n">
        <v>46097.0854166667</v>
      </c>
      <c r="B1640" s="24" t="s">
        <v>968</v>
      </c>
      <c r="C1640" s="24" t="s">
        <v>126</v>
      </c>
      <c r="D1640" s="24" t="s">
        <v>53</v>
      </c>
      <c r="E1640" s="24" t="n">
        <v>350</v>
      </c>
      <c r="F1640" s="25" t="n">
        <v>6000</v>
      </c>
      <c r="G1640" s="24" t="s">
        <v>59</v>
      </c>
      <c r="H1640" s="24" t="s">
        <v>80</v>
      </c>
      <c r="I1640" s="24" t="s">
        <v>61</v>
      </c>
      <c r="J1640" s="26" t="n">
        <f aca="false">IF(A1640="","",YEAR(A1640))</f>
        <v>2026</v>
      </c>
      <c r="K1640" s="26" t="n">
        <f aca="false">IF(A1640="","",MONTH(A1640))</f>
        <v>3</v>
      </c>
      <c r="L1640" s="26" t="n">
        <f aca="false">IF(B1640="","",VALUE(LEFT(B1640,2)))</f>
        <v>20</v>
      </c>
      <c r="M1640" s="26" t="n">
        <f aca="false">IF(A1640="","",IF(COUNTIFS($C$2:$C$5001,C1640,$J$2:$J$5001,J1640,$A$2:$A$5001,"&lt;"&amp;A1640)=0,1,0))</f>
        <v>0</v>
      </c>
    </row>
    <row r="1641" customFormat="false" ht="15" hidden="false" customHeight="false" outlineLevel="0" collapsed="false">
      <c r="A1641" s="23" t="n">
        <v>46098.4763888889</v>
      </c>
      <c r="B1641" s="24" t="s">
        <v>950</v>
      </c>
      <c r="C1641" s="24" t="s">
        <v>423</v>
      </c>
      <c r="D1641" s="24" t="s">
        <v>66</v>
      </c>
      <c r="E1641" s="24" t="n">
        <v>210</v>
      </c>
      <c r="F1641" s="25" t="n">
        <v>7000</v>
      </c>
      <c r="G1641" s="24" t="s">
        <v>69</v>
      </c>
      <c r="H1641" s="24" t="s">
        <v>55</v>
      </c>
      <c r="I1641" s="24" t="s">
        <v>61</v>
      </c>
      <c r="J1641" s="26" t="n">
        <f aca="false">IF(A1641="","",YEAR(A1641))</f>
        <v>2026</v>
      </c>
      <c r="K1641" s="26" t="n">
        <f aca="false">IF(A1641="","",MONTH(A1641))</f>
        <v>3</v>
      </c>
      <c r="L1641" s="26" t="n">
        <f aca="false">IF(B1641="","",VALUE(LEFT(B1641,2)))</f>
        <v>7</v>
      </c>
      <c r="M1641" s="26" t="n">
        <f aca="false">IF(A1641="","",IF(COUNTIFS($C$2:$C$5001,C1641,$J$2:$J$5001,J1641,$A$2:$A$5001,"&lt;"&amp;A1641)=0,1,0))</f>
        <v>0</v>
      </c>
    </row>
    <row r="1642" customFormat="false" ht="15" hidden="false" customHeight="false" outlineLevel="0" collapsed="false">
      <c r="A1642" s="23" t="n">
        <v>46098.4847222222</v>
      </c>
      <c r="B1642" s="24" t="s">
        <v>282</v>
      </c>
      <c r="C1642" s="24" t="s">
        <v>324</v>
      </c>
      <c r="D1642" s="24" t="s">
        <v>53</v>
      </c>
      <c r="E1642" s="24" t="n">
        <v>168</v>
      </c>
      <c r="F1642" s="25" t="n">
        <v>0</v>
      </c>
      <c r="G1642" s="24" t="s">
        <v>59</v>
      </c>
      <c r="H1642" s="24" t="s">
        <v>60</v>
      </c>
      <c r="I1642" s="24" t="s">
        <v>56</v>
      </c>
      <c r="J1642" s="26" t="n">
        <f aca="false">IF(A1642="","",YEAR(A1642))</f>
        <v>2026</v>
      </c>
      <c r="K1642" s="26" t="n">
        <f aca="false">IF(A1642="","",MONTH(A1642))</f>
        <v>3</v>
      </c>
      <c r="L1642" s="26" t="n">
        <f aca="false">IF(B1642="","",VALUE(LEFT(B1642,2)))</f>
        <v>8</v>
      </c>
      <c r="M1642" s="26" t="n">
        <f aca="false">IF(A1642="","",IF(COUNTIFS($C$2:$C$5001,C1642,$J$2:$J$5001,J1642,$A$2:$A$5001,"&lt;"&amp;A1642)=0,1,0))</f>
        <v>0</v>
      </c>
    </row>
    <row r="1643" customFormat="false" ht="15" hidden="false" customHeight="false" outlineLevel="0" collapsed="false">
      <c r="A1643" s="23" t="n">
        <v>46098.8354166667</v>
      </c>
      <c r="B1643" s="24" t="s">
        <v>969</v>
      </c>
      <c r="C1643" s="24" t="s">
        <v>312</v>
      </c>
      <c r="D1643" s="24" t="s">
        <v>66</v>
      </c>
      <c r="E1643" s="24" t="n">
        <v>266</v>
      </c>
      <c r="F1643" s="25" t="n">
        <v>9000</v>
      </c>
      <c r="G1643" s="24" t="s">
        <v>59</v>
      </c>
      <c r="H1643" s="24" t="s">
        <v>60</v>
      </c>
      <c r="I1643" s="24" t="s">
        <v>61</v>
      </c>
      <c r="J1643" s="26" t="n">
        <f aca="false">IF(A1643="","",YEAR(A1643))</f>
        <v>2026</v>
      </c>
      <c r="K1643" s="26" t="n">
        <f aca="false">IF(A1643="","",MONTH(A1643))</f>
        <v>3</v>
      </c>
      <c r="L1643" s="26" t="n">
        <f aca="false">IF(B1643="","",VALUE(LEFT(B1643,2)))</f>
        <v>15</v>
      </c>
      <c r="M1643" s="26" t="n">
        <f aca="false">IF(A1643="","",IF(COUNTIFS($C$2:$C$5001,C1643,$J$2:$J$5001,J1643,$A$2:$A$5001,"&lt;"&amp;A1643)=0,1,0))</f>
        <v>0</v>
      </c>
    </row>
    <row r="1644" customFormat="false" ht="15" hidden="false" customHeight="false" outlineLevel="0" collapsed="false">
      <c r="A1644" s="23" t="n">
        <v>46100.4770833333</v>
      </c>
      <c r="B1644" s="24" t="s">
        <v>912</v>
      </c>
      <c r="C1644" s="24" t="s">
        <v>179</v>
      </c>
      <c r="D1644" s="24" t="s">
        <v>66</v>
      </c>
      <c r="E1644" s="24" t="n">
        <v>200</v>
      </c>
      <c r="F1644" s="25" t="n">
        <v>7000</v>
      </c>
      <c r="G1644" s="24" t="s">
        <v>59</v>
      </c>
      <c r="H1644" s="24" t="s">
        <v>55</v>
      </c>
      <c r="I1644" s="24" t="s">
        <v>61</v>
      </c>
      <c r="J1644" s="26" t="n">
        <f aca="false">IF(A1644="","",YEAR(A1644))</f>
        <v>2026</v>
      </c>
      <c r="K1644" s="26" t="n">
        <f aca="false">IF(A1644="","",MONTH(A1644))</f>
        <v>3</v>
      </c>
      <c r="L1644" s="26" t="n">
        <f aca="false">IF(B1644="","",VALUE(LEFT(B1644,2)))</f>
        <v>8</v>
      </c>
      <c r="M1644" s="26" t="n">
        <f aca="false">IF(A1644="","",IF(COUNTIFS($C$2:$C$5001,C1644,$J$2:$J$5001,J1644,$A$2:$A$5001,"&lt;"&amp;A1644)=0,1,0))</f>
        <v>0</v>
      </c>
    </row>
    <row r="1645" customFormat="false" ht="15" hidden="false" customHeight="false" outlineLevel="0" collapsed="false">
      <c r="A1645" s="23" t="n">
        <v>46100.4875</v>
      </c>
      <c r="B1645" s="24" t="s">
        <v>807</v>
      </c>
      <c r="C1645" s="24" t="s">
        <v>126</v>
      </c>
      <c r="D1645" s="24" t="s">
        <v>53</v>
      </c>
      <c r="E1645" s="24" t="n">
        <v>235</v>
      </c>
      <c r="F1645" s="25" t="n">
        <v>4000</v>
      </c>
      <c r="G1645" s="24" t="s">
        <v>59</v>
      </c>
      <c r="H1645" s="24" t="s">
        <v>55</v>
      </c>
      <c r="I1645" s="24" t="s">
        <v>61</v>
      </c>
      <c r="J1645" s="26" t="n">
        <f aca="false">IF(A1645="","",YEAR(A1645))</f>
        <v>2026</v>
      </c>
      <c r="K1645" s="26" t="n">
        <f aca="false">IF(A1645="","",MONTH(A1645))</f>
        <v>3</v>
      </c>
      <c r="L1645" s="26" t="n">
        <f aca="false">IF(B1645="","",VALUE(LEFT(B1645,2)))</f>
        <v>7</v>
      </c>
      <c r="M1645" s="26" t="n">
        <f aca="false">IF(A1645="","",IF(COUNTIFS($C$2:$C$5001,C1645,$J$2:$J$5001,J1645,$A$2:$A$5001,"&lt;"&amp;A1645)=0,1,0))</f>
        <v>0</v>
      </c>
    </row>
    <row r="1646" customFormat="false" ht="15" hidden="false" customHeight="false" outlineLevel="0" collapsed="false">
      <c r="A1646" s="23" t="n">
        <v>46100.5993055556</v>
      </c>
      <c r="B1646" s="24" t="s">
        <v>592</v>
      </c>
      <c r="C1646" s="24" t="s">
        <v>145</v>
      </c>
      <c r="D1646" s="24" t="s">
        <v>66</v>
      </c>
      <c r="E1646" s="24" t="n">
        <v>253</v>
      </c>
      <c r="F1646" s="25" t="n">
        <v>9000</v>
      </c>
      <c r="G1646" s="24" t="s">
        <v>69</v>
      </c>
      <c r="H1646" s="24" t="s">
        <v>60</v>
      </c>
      <c r="I1646" s="24" t="s">
        <v>61</v>
      </c>
      <c r="J1646" s="26" t="n">
        <f aca="false">IF(A1646="","",YEAR(A1646))</f>
        <v>2026</v>
      </c>
      <c r="K1646" s="26" t="n">
        <f aca="false">IF(A1646="","",MONTH(A1646))</f>
        <v>3</v>
      </c>
      <c r="L1646" s="26" t="n">
        <f aca="false">IF(B1646="","",VALUE(LEFT(B1646,2)))</f>
        <v>10</v>
      </c>
      <c r="M1646" s="26" t="n">
        <f aca="false">IF(A1646="","",IF(COUNTIFS($C$2:$C$5001,C1646,$J$2:$J$5001,J1646,$A$2:$A$5001,"&lt;"&amp;A1646)=0,1,0))</f>
        <v>0</v>
      </c>
    </row>
    <row r="1647" customFormat="false" ht="15" hidden="false" customHeight="false" outlineLevel="0" collapsed="false">
      <c r="A1647" s="23" t="n">
        <v>46100.7993055556</v>
      </c>
      <c r="B1647" s="24" t="s">
        <v>853</v>
      </c>
      <c r="C1647" s="24" t="s">
        <v>290</v>
      </c>
      <c r="D1647" s="24" t="s">
        <v>53</v>
      </c>
      <c r="E1647" s="24" t="n">
        <v>415</v>
      </c>
      <c r="F1647" s="25" t="n">
        <v>7000</v>
      </c>
      <c r="G1647" s="24" t="s">
        <v>59</v>
      </c>
      <c r="H1647" s="24" t="s">
        <v>60</v>
      </c>
      <c r="I1647" s="24" t="s">
        <v>61</v>
      </c>
      <c r="J1647" s="26" t="n">
        <f aca="false">IF(A1647="","",YEAR(A1647))</f>
        <v>2026</v>
      </c>
      <c r="K1647" s="26" t="n">
        <f aca="false">IF(A1647="","",MONTH(A1647))</f>
        <v>3</v>
      </c>
      <c r="L1647" s="26" t="n">
        <f aca="false">IF(B1647="","",VALUE(LEFT(B1647,2)))</f>
        <v>12</v>
      </c>
      <c r="M1647" s="26" t="n">
        <f aca="false">IF(A1647="","",IF(COUNTIFS($C$2:$C$5001,C1647,$J$2:$J$5001,J1647,$A$2:$A$5001,"&lt;"&amp;A1647)=0,1,0))</f>
        <v>0</v>
      </c>
    </row>
    <row r="1648" customFormat="false" ht="15" hidden="false" customHeight="false" outlineLevel="0" collapsed="false">
      <c r="A1648" s="23" t="n">
        <v>46100.8256944444</v>
      </c>
      <c r="B1648" s="24" t="s">
        <v>555</v>
      </c>
      <c r="C1648" s="24" t="s">
        <v>71</v>
      </c>
      <c r="D1648" s="24" t="s">
        <v>53</v>
      </c>
      <c r="E1648" s="24" t="n">
        <v>199</v>
      </c>
      <c r="F1648" s="25" t="n">
        <v>0</v>
      </c>
      <c r="G1648" s="24" t="s">
        <v>59</v>
      </c>
      <c r="H1648" s="24" t="s">
        <v>55</v>
      </c>
      <c r="I1648" s="24" t="s">
        <v>56</v>
      </c>
      <c r="J1648" s="26" t="n">
        <f aca="false">IF(A1648="","",YEAR(A1648))</f>
        <v>2026</v>
      </c>
      <c r="K1648" s="26" t="n">
        <f aca="false">IF(A1648="","",MONTH(A1648))</f>
        <v>3</v>
      </c>
      <c r="L1648" s="26" t="n">
        <f aca="false">IF(B1648="","",VALUE(LEFT(B1648,2)))</f>
        <v>16</v>
      </c>
      <c r="M1648" s="26" t="n">
        <f aca="false">IF(A1648="","",IF(COUNTIFS($C$2:$C$5001,C1648,$J$2:$J$5001,J1648,$A$2:$A$5001,"&lt;"&amp;A1648)=0,1,0))</f>
        <v>0</v>
      </c>
    </row>
    <row r="1649" customFormat="false" ht="15" hidden="false" customHeight="false" outlineLevel="0" collapsed="false">
      <c r="A1649" s="23" t="n">
        <v>46100.9083333333</v>
      </c>
      <c r="B1649" s="24" t="s">
        <v>252</v>
      </c>
      <c r="C1649" s="24" t="s">
        <v>213</v>
      </c>
      <c r="D1649" s="24" t="s">
        <v>88</v>
      </c>
      <c r="E1649" s="24" t="n">
        <v>51</v>
      </c>
      <c r="F1649" s="25" t="n">
        <v>3000</v>
      </c>
      <c r="G1649" s="24" t="s">
        <v>59</v>
      </c>
      <c r="H1649" s="24" t="s">
        <v>55</v>
      </c>
      <c r="I1649" s="24" t="s">
        <v>61</v>
      </c>
      <c r="J1649" s="26" t="n">
        <f aca="false">IF(A1649="","",YEAR(A1649))</f>
        <v>2026</v>
      </c>
      <c r="K1649" s="26" t="n">
        <f aca="false">IF(A1649="","",MONTH(A1649))</f>
        <v>3</v>
      </c>
      <c r="L1649" s="26" t="n">
        <f aca="false">IF(B1649="","",VALUE(LEFT(B1649,2)))</f>
        <v>20</v>
      </c>
      <c r="M1649" s="26" t="n">
        <f aca="false">IF(A1649="","",IF(COUNTIFS($C$2:$C$5001,C1649,$J$2:$J$5001,J1649,$A$2:$A$5001,"&lt;"&amp;A1649)=0,1,0))</f>
        <v>0</v>
      </c>
    </row>
    <row r="1650" customFormat="false" ht="15" hidden="false" customHeight="false" outlineLevel="0" collapsed="false">
      <c r="A1650" s="23" t="n">
        <v>46102.5798611111</v>
      </c>
      <c r="B1650" s="24" t="s">
        <v>650</v>
      </c>
      <c r="C1650" s="24" t="s">
        <v>345</v>
      </c>
      <c r="D1650" s="24" t="s">
        <v>53</v>
      </c>
      <c r="E1650" s="24" t="n">
        <v>410</v>
      </c>
      <c r="F1650" s="25" t="n">
        <v>7000</v>
      </c>
      <c r="G1650" s="24" t="s">
        <v>59</v>
      </c>
      <c r="H1650" s="24" t="s">
        <v>55</v>
      </c>
      <c r="I1650" s="24" t="s">
        <v>61</v>
      </c>
      <c r="J1650" s="26" t="n">
        <f aca="false">IF(A1650="","",YEAR(A1650))</f>
        <v>2026</v>
      </c>
      <c r="K1650" s="26" t="n">
        <f aca="false">IF(A1650="","",MONTH(A1650))</f>
        <v>3</v>
      </c>
      <c r="L1650" s="26" t="n">
        <f aca="false">IF(B1650="","",VALUE(LEFT(B1650,2)))</f>
        <v>7</v>
      </c>
      <c r="M1650" s="26" t="n">
        <f aca="false">IF(A1650="","",IF(COUNTIFS($C$2:$C$5001,C1650,$J$2:$J$5001,J1650,$A$2:$A$5001,"&lt;"&amp;A1650)=0,1,0))</f>
        <v>0</v>
      </c>
    </row>
    <row r="1651" customFormat="false" ht="15" hidden="false" customHeight="false" outlineLevel="0" collapsed="false">
      <c r="A1651" s="23" t="n">
        <v>46102.6569444445</v>
      </c>
      <c r="B1651" s="24" t="s">
        <v>908</v>
      </c>
      <c r="C1651" s="24" t="s">
        <v>222</v>
      </c>
      <c r="D1651" s="24" t="s">
        <v>72</v>
      </c>
      <c r="E1651" s="24" t="n">
        <v>220</v>
      </c>
      <c r="F1651" s="25" t="n">
        <v>16000</v>
      </c>
      <c r="G1651" s="24" t="s">
        <v>59</v>
      </c>
      <c r="H1651" s="24" t="s">
        <v>55</v>
      </c>
      <c r="I1651" s="24" t="s">
        <v>61</v>
      </c>
      <c r="J1651" s="26" t="n">
        <f aca="false">IF(A1651="","",YEAR(A1651))</f>
        <v>2026</v>
      </c>
      <c r="K1651" s="26" t="n">
        <f aca="false">IF(A1651="","",MONTH(A1651))</f>
        <v>3</v>
      </c>
      <c r="L1651" s="26" t="n">
        <f aca="false">IF(B1651="","",VALUE(LEFT(B1651,2)))</f>
        <v>12</v>
      </c>
      <c r="M1651" s="26" t="n">
        <f aca="false">IF(A1651="","",IF(COUNTIFS($C$2:$C$5001,C1651,$J$2:$J$5001,J1651,$A$2:$A$5001,"&lt;"&amp;A1651)=0,1,0))</f>
        <v>0</v>
      </c>
    </row>
    <row r="1652" customFormat="false" ht="15" hidden="false" customHeight="false" outlineLevel="0" collapsed="false">
      <c r="A1652" s="23" t="n">
        <v>46102.9104166667</v>
      </c>
      <c r="B1652" s="24" t="s">
        <v>884</v>
      </c>
      <c r="C1652" s="24" t="s">
        <v>343</v>
      </c>
      <c r="D1652" s="24" t="s">
        <v>66</v>
      </c>
      <c r="E1652" s="24" t="n">
        <v>411</v>
      </c>
      <c r="F1652" s="25" t="n">
        <v>14000</v>
      </c>
      <c r="G1652" s="24" t="s">
        <v>69</v>
      </c>
      <c r="H1652" s="24" t="s">
        <v>80</v>
      </c>
      <c r="I1652" s="24" t="s">
        <v>61</v>
      </c>
      <c r="J1652" s="26" t="n">
        <f aca="false">IF(A1652="","",YEAR(A1652))</f>
        <v>2026</v>
      </c>
      <c r="K1652" s="26" t="n">
        <f aca="false">IF(A1652="","",MONTH(A1652))</f>
        <v>3</v>
      </c>
      <c r="L1652" s="26" t="n">
        <f aca="false">IF(B1652="","",VALUE(LEFT(B1652,2)))</f>
        <v>15</v>
      </c>
      <c r="M1652" s="26" t="n">
        <f aca="false">IF(A1652="","",IF(COUNTIFS($C$2:$C$5001,C1652,$J$2:$J$5001,J1652,$A$2:$A$5001,"&lt;"&amp;A1652)=0,1,0))</f>
        <v>0</v>
      </c>
    </row>
    <row r="1653" customFormat="false" ht="15" hidden="false" customHeight="false" outlineLevel="0" collapsed="false">
      <c r="A1653" s="23" t="n">
        <v>46103.4104166667</v>
      </c>
      <c r="B1653" s="24" t="s">
        <v>318</v>
      </c>
      <c r="C1653" s="24" t="s">
        <v>602</v>
      </c>
      <c r="D1653" s="24" t="s">
        <v>66</v>
      </c>
      <c r="E1653" s="24" t="n">
        <v>66</v>
      </c>
      <c r="F1653" s="25" t="n">
        <v>3000</v>
      </c>
      <c r="G1653" s="24" t="s">
        <v>59</v>
      </c>
      <c r="H1653" s="24" t="s">
        <v>55</v>
      </c>
      <c r="I1653" s="24" t="s">
        <v>61</v>
      </c>
      <c r="J1653" s="26" t="n">
        <f aca="false">IF(A1653="","",YEAR(A1653))</f>
        <v>2026</v>
      </c>
      <c r="K1653" s="26" t="n">
        <f aca="false">IF(A1653="","",MONTH(A1653))</f>
        <v>3</v>
      </c>
      <c r="L1653" s="26" t="n">
        <f aca="false">IF(B1653="","",VALUE(LEFT(B1653,2)))</f>
        <v>8</v>
      </c>
      <c r="M1653" s="26" t="n">
        <f aca="false">IF(A1653="","",IF(COUNTIFS($C$2:$C$5001,C1653,$J$2:$J$5001,J1653,$A$2:$A$5001,"&lt;"&amp;A1653)=0,1,0))</f>
        <v>0</v>
      </c>
    </row>
    <row r="1654" customFormat="false" ht="15" hidden="false" customHeight="false" outlineLevel="0" collapsed="false">
      <c r="A1654" s="23" t="n">
        <v>46103.4423611111</v>
      </c>
      <c r="B1654" s="24" t="s">
        <v>257</v>
      </c>
      <c r="C1654" s="24" t="s">
        <v>663</v>
      </c>
      <c r="D1654" s="24" t="s">
        <v>88</v>
      </c>
      <c r="E1654" s="24" t="n">
        <v>20</v>
      </c>
      <c r="F1654" s="25" t="n">
        <v>1500</v>
      </c>
      <c r="G1654" s="24" t="s">
        <v>69</v>
      </c>
      <c r="H1654" s="24" t="s">
        <v>60</v>
      </c>
      <c r="I1654" s="24" t="s">
        <v>61</v>
      </c>
      <c r="J1654" s="26" t="n">
        <f aca="false">IF(A1654="","",YEAR(A1654))</f>
        <v>2026</v>
      </c>
      <c r="K1654" s="26" t="n">
        <f aca="false">IF(A1654="","",MONTH(A1654))</f>
        <v>3</v>
      </c>
      <c r="L1654" s="26" t="n">
        <f aca="false">IF(B1654="","",VALUE(LEFT(B1654,2)))</f>
        <v>10</v>
      </c>
      <c r="M1654" s="26" t="n">
        <f aca="false">IF(A1654="","",IF(COUNTIFS($C$2:$C$5001,C1654,$J$2:$J$5001,J1654,$A$2:$A$5001,"&lt;"&amp;A1654)=0,1,0))</f>
        <v>1</v>
      </c>
    </row>
    <row r="1655" customFormat="false" ht="15" hidden="false" customHeight="false" outlineLevel="0" collapsed="false">
      <c r="A1655" s="23" t="n">
        <v>46103.9041666667</v>
      </c>
      <c r="B1655" s="24" t="s">
        <v>700</v>
      </c>
      <c r="C1655" s="24" t="s">
        <v>289</v>
      </c>
      <c r="D1655" s="24" t="s">
        <v>66</v>
      </c>
      <c r="E1655" s="24" t="n">
        <v>379</v>
      </c>
      <c r="F1655" s="25" t="n">
        <v>13000</v>
      </c>
      <c r="G1655" s="24" t="s">
        <v>59</v>
      </c>
      <c r="H1655" s="24" t="s">
        <v>55</v>
      </c>
      <c r="I1655" s="24" t="s">
        <v>61</v>
      </c>
      <c r="J1655" s="26" t="n">
        <f aca="false">IF(A1655="","",YEAR(A1655))</f>
        <v>2026</v>
      </c>
      <c r="K1655" s="26" t="n">
        <f aca="false">IF(A1655="","",MONTH(A1655))</f>
        <v>3</v>
      </c>
      <c r="L1655" s="26" t="n">
        <f aca="false">IF(B1655="","",VALUE(LEFT(B1655,2)))</f>
        <v>15</v>
      </c>
      <c r="M1655" s="26" t="n">
        <f aca="false">IF(A1655="","",IF(COUNTIFS($C$2:$C$5001,C1655,$J$2:$J$5001,J1655,$A$2:$A$5001,"&lt;"&amp;A1655)=0,1,0))</f>
        <v>0</v>
      </c>
    </row>
    <row r="1656" customFormat="false" ht="15" hidden="false" customHeight="false" outlineLevel="0" collapsed="false">
      <c r="A1656" s="23" t="n">
        <v>46104.075</v>
      </c>
      <c r="B1656" s="24" t="s">
        <v>943</v>
      </c>
      <c r="C1656" s="24" t="s">
        <v>174</v>
      </c>
      <c r="D1656" s="24" t="s">
        <v>53</v>
      </c>
      <c r="E1656" s="24" t="n">
        <v>315</v>
      </c>
      <c r="F1656" s="25" t="n">
        <v>5500</v>
      </c>
      <c r="G1656" s="24" t="s">
        <v>54</v>
      </c>
      <c r="H1656" s="24" t="s">
        <v>80</v>
      </c>
      <c r="I1656" s="24" t="s">
        <v>61</v>
      </c>
      <c r="J1656" s="26" t="n">
        <f aca="false">IF(A1656="","",YEAR(A1656))</f>
        <v>2026</v>
      </c>
      <c r="K1656" s="26" t="n">
        <f aca="false">IF(A1656="","",MONTH(A1656))</f>
        <v>3</v>
      </c>
      <c r="L1656" s="26" t="n">
        <f aca="false">IF(B1656="","",VALUE(LEFT(B1656,2)))</f>
        <v>20</v>
      </c>
      <c r="M1656" s="26" t="n">
        <f aca="false">IF(A1656="","",IF(COUNTIFS($C$2:$C$5001,C1656,$J$2:$J$5001,J1656,$A$2:$A$5001,"&lt;"&amp;A1656)=0,1,0))</f>
        <v>0</v>
      </c>
    </row>
    <row r="1657" customFormat="false" ht="15" hidden="false" customHeight="false" outlineLevel="0" collapsed="false">
      <c r="A1657" s="23" t="n">
        <v>46104.5875</v>
      </c>
      <c r="B1657" s="24" t="s">
        <v>458</v>
      </c>
      <c r="C1657" s="24" t="s">
        <v>182</v>
      </c>
      <c r="D1657" s="24" t="s">
        <v>66</v>
      </c>
      <c r="E1657" s="24" t="n">
        <v>197</v>
      </c>
      <c r="F1657" s="25" t="n">
        <v>7000</v>
      </c>
      <c r="G1657" s="24" t="s">
        <v>69</v>
      </c>
      <c r="H1657" s="24" t="s">
        <v>60</v>
      </c>
      <c r="I1657" s="24" t="s">
        <v>61</v>
      </c>
      <c r="J1657" s="26" t="n">
        <f aca="false">IF(A1657="","",YEAR(A1657))</f>
        <v>2026</v>
      </c>
      <c r="K1657" s="26" t="n">
        <f aca="false">IF(A1657="","",MONTH(A1657))</f>
        <v>3</v>
      </c>
      <c r="L1657" s="26" t="n">
        <f aca="false">IF(B1657="","",VALUE(LEFT(B1657,2)))</f>
        <v>10</v>
      </c>
      <c r="M1657" s="26" t="n">
        <f aca="false">IF(A1657="","",IF(COUNTIFS($C$2:$C$5001,C1657,$J$2:$J$5001,J1657,$A$2:$A$5001,"&lt;"&amp;A1657)=0,1,0))</f>
        <v>0</v>
      </c>
    </row>
    <row r="1658" customFormat="false" ht="15" hidden="false" customHeight="false" outlineLevel="0" collapsed="false">
      <c r="A1658" s="23" t="n">
        <v>46104.84375</v>
      </c>
      <c r="B1658" s="24" t="s">
        <v>970</v>
      </c>
      <c r="C1658" s="24" t="s">
        <v>237</v>
      </c>
      <c r="D1658" s="24" t="s">
        <v>66</v>
      </c>
      <c r="E1658" s="24" t="n">
        <v>356</v>
      </c>
      <c r="F1658" s="25" t="n">
        <v>12000</v>
      </c>
      <c r="G1658" s="24" t="s">
        <v>59</v>
      </c>
      <c r="H1658" s="24" t="s">
        <v>60</v>
      </c>
      <c r="I1658" s="24" t="s">
        <v>61</v>
      </c>
      <c r="J1658" s="26" t="n">
        <f aca="false">IF(A1658="","",YEAR(A1658))</f>
        <v>2026</v>
      </c>
      <c r="K1658" s="26" t="n">
        <f aca="false">IF(A1658="","",MONTH(A1658))</f>
        <v>3</v>
      </c>
      <c r="L1658" s="26" t="n">
        <f aca="false">IF(B1658="","",VALUE(LEFT(B1658,2)))</f>
        <v>14</v>
      </c>
      <c r="M1658" s="26" t="n">
        <f aca="false">IF(A1658="","",IF(COUNTIFS($C$2:$C$5001,C1658,$J$2:$J$5001,J1658,$A$2:$A$5001,"&lt;"&amp;A1658)=0,1,0))</f>
        <v>1</v>
      </c>
    </row>
    <row r="1659" customFormat="false" ht="15" hidden="false" customHeight="false" outlineLevel="0" collapsed="false">
      <c r="A1659" s="23" t="n">
        <v>46105.1270833333</v>
      </c>
      <c r="B1659" s="24" t="s">
        <v>971</v>
      </c>
      <c r="C1659" s="24" t="s">
        <v>306</v>
      </c>
      <c r="D1659" s="24" t="s">
        <v>127</v>
      </c>
      <c r="E1659" s="24" t="n">
        <v>391</v>
      </c>
      <c r="F1659" s="25" t="n">
        <v>0</v>
      </c>
      <c r="G1659" s="24" t="s">
        <v>59</v>
      </c>
      <c r="H1659" s="24" t="s">
        <v>80</v>
      </c>
      <c r="I1659" s="24" t="s">
        <v>56</v>
      </c>
      <c r="J1659" s="26" t="n">
        <f aca="false">IF(A1659="","",YEAR(A1659))</f>
        <v>2026</v>
      </c>
      <c r="K1659" s="26" t="n">
        <f aca="false">IF(A1659="","",MONTH(A1659))</f>
        <v>3</v>
      </c>
      <c r="L1659" s="26" t="n">
        <f aca="false">IF(B1659="","",VALUE(LEFT(B1659,2)))</f>
        <v>20</v>
      </c>
      <c r="M1659" s="26" t="n">
        <f aca="false">IF(A1659="","",IF(COUNTIFS($C$2:$C$5001,C1659,$J$2:$J$5001,J1659,$A$2:$A$5001,"&lt;"&amp;A1659)=0,1,0))</f>
        <v>0</v>
      </c>
    </row>
    <row r="1660" customFormat="false" ht="15" hidden="false" customHeight="false" outlineLevel="0" collapsed="false">
      <c r="A1660" s="23" t="n">
        <v>46105.3965277778</v>
      </c>
      <c r="B1660" s="24" t="s">
        <v>190</v>
      </c>
      <c r="C1660" s="24" t="s">
        <v>108</v>
      </c>
      <c r="D1660" s="24" t="s">
        <v>66</v>
      </c>
      <c r="E1660" s="24" t="n">
        <v>68</v>
      </c>
      <c r="F1660" s="25" t="n">
        <v>3000</v>
      </c>
      <c r="G1660" s="24" t="s">
        <v>59</v>
      </c>
      <c r="H1660" s="24" t="s">
        <v>55</v>
      </c>
      <c r="I1660" s="24" t="s">
        <v>61</v>
      </c>
      <c r="J1660" s="26" t="n">
        <f aca="false">IF(A1660="","",YEAR(A1660))</f>
        <v>2026</v>
      </c>
      <c r="K1660" s="26" t="n">
        <f aca="false">IF(A1660="","",MONTH(A1660))</f>
        <v>3</v>
      </c>
      <c r="L1660" s="26" t="n">
        <f aca="false">IF(B1660="","",VALUE(LEFT(B1660,2)))</f>
        <v>8</v>
      </c>
      <c r="M1660" s="26" t="n">
        <f aca="false">IF(A1660="","",IF(COUNTIFS($C$2:$C$5001,C1660,$J$2:$J$5001,J1660,$A$2:$A$5001,"&lt;"&amp;A1660)=0,1,0))</f>
        <v>0</v>
      </c>
    </row>
    <row r="1661" customFormat="false" ht="15" hidden="false" customHeight="false" outlineLevel="0" collapsed="false">
      <c r="A1661" s="23" t="n">
        <v>46105.7333333333</v>
      </c>
      <c r="B1661" s="24" t="s">
        <v>926</v>
      </c>
      <c r="C1661" s="24" t="s">
        <v>150</v>
      </c>
      <c r="D1661" s="24" t="s">
        <v>127</v>
      </c>
      <c r="E1661" s="24" t="n">
        <v>314</v>
      </c>
      <c r="F1661" s="25" t="n">
        <v>19250</v>
      </c>
      <c r="G1661" s="24" t="s">
        <v>59</v>
      </c>
      <c r="H1661" s="24" t="s">
        <v>55</v>
      </c>
      <c r="I1661" s="24" t="s">
        <v>61</v>
      </c>
      <c r="J1661" s="26" t="n">
        <f aca="false">IF(A1661="","",YEAR(A1661))</f>
        <v>2026</v>
      </c>
      <c r="K1661" s="26" t="n">
        <f aca="false">IF(A1661="","",MONTH(A1661))</f>
        <v>3</v>
      </c>
      <c r="L1661" s="26" t="n">
        <f aca="false">IF(B1661="","",VALUE(LEFT(B1661,2)))</f>
        <v>12</v>
      </c>
      <c r="M1661" s="26" t="n">
        <f aca="false">IF(A1661="","",IF(COUNTIFS($C$2:$C$5001,C1661,$J$2:$J$5001,J1661,$A$2:$A$5001,"&lt;"&amp;A1661)=0,1,0))</f>
        <v>0</v>
      </c>
    </row>
    <row r="1662" customFormat="false" ht="15" hidden="false" customHeight="false" outlineLevel="0" collapsed="false">
      <c r="A1662" s="23" t="n">
        <v>46105.7368055556</v>
      </c>
      <c r="B1662" s="24" t="s">
        <v>789</v>
      </c>
      <c r="C1662" s="24" t="s">
        <v>448</v>
      </c>
      <c r="D1662" s="24" t="s">
        <v>66</v>
      </c>
      <c r="E1662" s="24" t="n">
        <v>416</v>
      </c>
      <c r="F1662" s="25" t="n">
        <v>14000</v>
      </c>
      <c r="G1662" s="24" t="s">
        <v>59</v>
      </c>
      <c r="H1662" s="24" t="s">
        <v>60</v>
      </c>
      <c r="I1662" s="24" t="s">
        <v>61</v>
      </c>
      <c r="J1662" s="26" t="n">
        <f aca="false">IF(A1662="","",YEAR(A1662))</f>
        <v>2026</v>
      </c>
      <c r="K1662" s="26" t="n">
        <f aca="false">IF(A1662="","",MONTH(A1662))</f>
        <v>3</v>
      </c>
      <c r="L1662" s="26" t="n">
        <f aca="false">IF(B1662="","",VALUE(LEFT(B1662,2)))</f>
        <v>10</v>
      </c>
      <c r="M1662" s="26" t="n">
        <f aca="false">IF(A1662="","",IF(COUNTIFS($C$2:$C$5001,C1662,$J$2:$J$5001,J1662,$A$2:$A$5001,"&lt;"&amp;A1662)=0,1,0))</f>
        <v>0</v>
      </c>
    </row>
    <row r="1663" customFormat="false" ht="15" hidden="false" customHeight="false" outlineLevel="0" collapsed="false">
      <c r="A1663" s="23" t="n">
        <v>46106.3305555556</v>
      </c>
      <c r="B1663" s="24" t="s">
        <v>429</v>
      </c>
      <c r="C1663" s="24" t="s">
        <v>136</v>
      </c>
      <c r="D1663" s="24" t="s">
        <v>53</v>
      </c>
      <c r="E1663" s="24" t="n">
        <v>72</v>
      </c>
      <c r="F1663" s="25" t="n">
        <v>1500</v>
      </c>
      <c r="G1663" s="24" t="s">
        <v>59</v>
      </c>
      <c r="H1663" s="24" t="s">
        <v>55</v>
      </c>
      <c r="I1663" s="24" t="s">
        <v>61</v>
      </c>
      <c r="J1663" s="26" t="n">
        <f aca="false">IF(A1663="","",YEAR(A1663))</f>
        <v>2026</v>
      </c>
      <c r="K1663" s="26" t="n">
        <f aca="false">IF(A1663="","",MONTH(A1663))</f>
        <v>3</v>
      </c>
      <c r="L1663" s="26" t="n">
        <f aca="false">IF(B1663="","",VALUE(LEFT(B1663,2)))</f>
        <v>6</v>
      </c>
      <c r="M1663" s="26" t="n">
        <f aca="false">IF(A1663="","",IF(COUNTIFS($C$2:$C$5001,C1663,$J$2:$J$5001,J1663,$A$2:$A$5001,"&lt;"&amp;A1663)=0,1,0))</f>
        <v>0</v>
      </c>
    </row>
    <row r="1664" customFormat="false" ht="15" hidden="false" customHeight="false" outlineLevel="0" collapsed="false">
      <c r="A1664" s="23" t="n">
        <v>46106.4041666667</v>
      </c>
      <c r="B1664" s="24" t="s">
        <v>350</v>
      </c>
      <c r="C1664" s="24" t="s">
        <v>389</v>
      </c>
      <c r="D1664" s="24" t="s">
        <v>53</v>
      </c>
      <c r="E1664" s="24" t="n">
        <v>112</v>
      </c>
      <c r="F1664" s="25" t="n">
        <v>2000</v>
      </c>
      <c r="G1664" s="24" t="s">
        <v>59</v>
      </c>
      <c r="H1664" s="24" t="s">
        <v>80</v>
      </c>
      <c r="I1664" s="24" t="s">
        <v>61</v>
      </c>
      <c r="J1664" s="26" t="n">
        <f aca="false">IF(A1664="","",YEAR(A1664))</f>
        <v>2026</v>
      </c>
      <c r="K1664" s="26" t="n">
        <f aca="false">IF(A1664="","",MONTH(A1664))</f>
        <v>3</v>
      </c>
      <c r="L1664" s="26" t="n">
        <f aca="false">IF(B1664="","",VALUE(LEFT(B1664,2)))</f>
        <v>7</v>
      </c>
      <c r="M1664" s="26" t="n">
        <f aca="false">IF(A1664="","",IF(COUNTIFS($C$2:$C$5001,C1664,$J$2:$J$5001,J1664,$A$2:$A$5001,"&lt;"&amp;A1664)=0,1,0))</f>
        <v>0</v>
      </c>
    </row>
    <row r="1665" customFormat="false" ht="15" hidden="false" customHeight="false" outlineLevel="0" collapsed="false">
      <c r="A1665" s="23" t="n">
        <v>46106.7055555556</v>
      </c>
      <c r="B1665" s="24" t="s">
        <v>972</v>
      </c>
      <c r="C1665" s="24" t="s">
        <v>170</v>
      </c>
      <c r="D1665" s="24" t="s">
        <v>127</v>
      </c>
      <c r="E1665" s="24" t="n">
        <v>334</v>
      </c>
      <c r="F1665" s="25" t="n">
        <v>21000</v>
      </c>
      <c r="G1665" s="24" t="s">
        <v>59</v>
      </c>
      <c r="H1665" s="24" t="s">
        <v>60</v>
      </c>
      <c r="I1665" s="24" t="s">
        <v>61</v>
      </c>
      <c r="J1665" s="26" t="n">
        <f aca="false">IF(A1665="","",YEAR(A1665))</f>
        <v>2026</v>
      </c>
      <c r="K1665" s="26" t="n">
        <f aca="false">IF(A1665="","",MONTH(A1665))</f>
        <v>3</v>
      </c>
      <c r="L1665" s="26" t="n">
        <f aca="false">IF(B1665="","",VALUE(LEFT(B1665,2)))</f>
        <v>11</v>
      </c>
      <c r="M1665" s="26" t="n">
        <f aca="false">IF(A1665="","",IF(COUNTIFS($C$2:$C$5001,C1665,$J$2:$J$5001,J1665,$A$2:$A$5001,"&lt;"&amp;A1665)=0,1,0))</f>
        <v>0</v>
      </c>
    </row>
    <row r="1666" customFormat="false" ht="15" hidden="false" customHeight="false" outlineLevel="0" collapsed="false">
      <c r="A1666" s="23" t="n">
        <v>46106.71875</v>
      </c>
      <c r="B1666" s="24" t="s">
        <v>274</v>
      </c>
      <c r="C1666" s="24" t="s">
        <v>309</v>
      </c>
      <c r="D1666" s="24" t="s">
        <v>66</v>
      </c>
      <c r="E1666" s="24" t="n">
        <v>200</v>
      </c>
      <c r="F1666" s="25" t="n">
        <v>7000</v>
      </c>
      <c r="G1666" s="24" t="s">
        <v>59</v>
      </c>
      <c r="H1666" s="24" t="s">
        <v>60</v>
      </c>
      <c r="I1666" s="24" t="s">
        <v>61</v>
      </c>
      <c r="J1666" s="26" t="n">
        <f aca="false">IF(A1666="","",YEAR(A1666))</f>
        <v>2026</v>
      </c>
      <c r="K1666" s="26" t="n">
        <f aca="false">IF(A1666="","",MONTH(A1666))</f>
        <v>3</v>
      </c>
      <c r="L1666" s="26" t="n">
        <f aca="false">IF(B1666="","",VALUE(LEFT(B1666,2)))</f>
        <v>13</v>
      </c>
      <c r="M1666" s="26" t="n">
        <f aca="false">IF(A1666="","",IF(COUNTIFS($C$2:$C$5001,C1666,$J$2:$J$5001,J1666,$A$2:$A$5001,"&lt;"&amp;A1666)=0,1,0))</f>
        <v>0</v>
      </c>
    </row>
    <row r="1667" customFormat="false" ht="15" hidden="false" customHeight="false" outlineLevel="0" collapsed="false">
      <c r="A1667" s="23" t="n">
        <v>46106.8159722222</v>
      </c>
      <c r="B1667" s="24" t="s">
        <v>629</v>
      </c>
      <c r="C1667" s="24" t="s">
        <v>179</v>
      </c>
      <c r="D1667" s="24" t="s">
        <v>72</v>
      </c>
      <c r="E1667" s="24" t="n">
        <v>227</v>
      </c>
      <c r="F1667" s="25" t="n">
        <v>16000</v>
      </c>
      <c r="G1667" s="24" t="s">
        <v>83</v>
      </c>
      <c r="H1667" s="24" t="s">
        <v>55</v>
      </c>
      <c r="I1667" s="24" t="s">
        <v>61</v>
      </c>
      <c r="J1667" s="26" t="n">
        <f aca="false">IF(A1667="","",YEAR(A1667))</f>
        <v>2026</v>
      </c>
      <c r="K1667" s="26" t="n">
        <f aca="false">IF(A1667="","",MONTH(A1667))</f>
        <v>3</v>
      </c>
      <c r="L1667" s="26" t="n">
        <f aca="false">IF(B1667="","",VALUE(LEFT(B1667,2)))</f>
        <v>15</v>
      </c>
      <c r="M1667" s="26" t="n">
        <f aca="false">IF(A1667="","",IF(COUNTIFS($C$2:$C$5001,C1667,$J$2:$J$5001,J1667,$A$2:$A$5001,"&lt;"&amp;A1667)=0,1,0))</f>
        <v>0</v>
      </c>
    </row>
    <row r="1668" customFormat="false" ht="15" hidden="false" customHeight="false" outlineLevel="0" collapsed="false">
      <c r="A1668" s="23" t="n">
        <v>46106.8576388889</v>
      </c>
      <c r="B1668" s="24" t="s">
        <v>394</v>
      </c>
      <c r="C1668" s="24" t="s">
        <v>188</v>
      </c>
      <c r="D1668" s="24" t="s">
        <v>66</v>
      </c>
      <c r="E1668" s="24" t="n">
        <v>125</v>
      </c>
      <c r="F1668" s="25" t="n">
        <v>5000</v>
      </c>
      <c r="G1668" s="24" t="s">
        <v>59</v>
      </c>
      <c r="H1668" s="24" t="s">
        <v>55</v>
      </c>
      <c r="I1668" s="24" t="s">
        <v>61</v>
      </c>
      <c r="J1668" s="26" t="n">
        <f aca="false">IF(A1668="","",YEAR(A1668))</f>
        <v>2026</v>
      </c>
      <c r="K1668" s="26" t="n">
        <f aca="false">IF(A1668="","",MONTH(A1668))</f>
        <v>3</v>
      </c>
      <c r="L1668" s="26" t="n">
        <f aca="false">IF(B1668="","",VALUE(LEFT(B1668,2)))</f>
        <v>18</v>
      </c>
      <c r="M1668" s="26" t="n">
        <f aca="false">IF(A1668="","",IF(COUNTIFS($C$2:$C$5001,C1668,$J$2:$J$5001,J1668,$A$2:$A$5001,"&lt;"&amp;A1668)=0,1,0))</f>
        <v>0</v>
      </c>
    </row>
    <row r="1669" customFormat="false" ht="15" hidden="false" customHeight="false" outlineLevel="0" collapsed="false">
      <c r="A1669" s="23" t="n">
        <v>46107.0069444445</v>
      </c>
      <c r="B1669" s="24" t="s">
        <v>568</v>
      </c>
      <c r="C1669" s="24" t="s">
        <v>737</v>
      </c>
      <c r="D1669" s="24" t="s">
        <v>66</v>
      </c>
      <c r="E1669" s="24" t="n">
        <v>264</v>
      </c>
      <c r="F1669" s="25" t="n">
        <v>9000</v>
      </c>
      <c r="G1669" s="24" t="s">
        <v>83</v>
      </c>
      <c r="H1669" s="24" t="s">
        <v>55</v>
      </c>
      <c r="I1669" s="24" t="s">
        <v>61</v>
      </c>
      <c r="J1669" s="26" t="n">
        <f aca="false">IF(A1669="","",YEAR(A1669))</f>
        <v>2026</v>
      </c>
      <c r="K1669" s="26" t="n">
        <f aca="false">IF(A1669="","",MONTH(A1669))</f>
        <v>3</v>
      </c>
      <c r="L1669" s="26" t="n">
        <f aca="false">IF(B1669="","",VALUE(LEFT(B1669,2)))</f>
        <v>19</v>
      </c>
      <c r="M1669" s="26" t="n">
        <f aca="false">IF(A1669="","",IF(COUNTIFS($C$2:$C$5001,C1669,$J$2:$J$5001,J1669,$A$2:$A$5001,"&lt;"&amp;A1669)=0,1,0))</f>
        <v>0</v>
      </c>
    </row>
    <row r="1670" customFormat="false" ht="15" hidden="false" customHeight="false" outlineLevel="0" collapsed="false">
      <c r="A1670" s="23" t="n">
        <v>46107.0194444444</v>
      </c>
      <c r="B1670" s="24" t="s">
        <v>635</v>
      </c>
      <c r="C1670" s="24" t="s">
        <v>391</v>
      </c>
      <c r="D1670" s="24" t="s">
        <v>66</v>
      </c>
      <c r="E1670" s="24" t="n">
        <v>406</v>
      </c>
      <c r="F1670" s="25" t="n">
        <v>11900</v>
      </c>
      <c r="G1670" s="24" t="s">
        <v>59</v>
      </c>
      <c r="H1670" s="24" t="s">
        <v>80</v>
      </c>
      <c r="I1670" s="24" t="s">
        <v>113</v>
      </c>
      <c r="J1670" s="26" t="n">
        <f aca="false">IF(A1670="","",YEAR(A1670))</f>
        <v>2026</v>
      </c>
      <c r="K1670" s="26" t="n">
        <f aca="false">IF(A1670="","",MONTH(A1670))</f>
        <v>3</v>
      </c>
      <c r="L1670" s="26" t="n">
        <f aca="false">IF(B1670="","",VALUE(LEFT(B1670,2)))</f>
        <v>17</v>
      </c>
      <c r="M1670" s="26" t="n">
        <f aca="false">IF(A1670="","",IF(COUNTIFS($C$2:$C$5001,C1670,$J$2:$J$5001,J1670,$A$2:$A$5001,"&lt;"&amp;A1670)=0,1,0))</f>
        <v>0</v>
      </c>
    </row>
    <row r="1671" customFormat="false" ht="15" hidden="false" customHeight="false" outlineLevel="0" collapsed="false">
      <c r="A1671" s="23" t="n">
        <v>46107.0583333333</v>
      </c>
      <c r="B1671" s="24" t="s">
        <v>849</v>
      </c>
      <c r="C1671" s="24" t="s">
        <v>194</v>
      </c>
      <c r="D1671" s="24" t="s">
        <v>66</v>
      </c>
      <c r="E1671" s="24" t="n">
        <v>390</v>
      </c>
      <c r="F1671" s="25" t="n">
        <v>13000</v>
      </c>
      <c r="G1671" s="24" t="s">
        <v>59</v>
      </c>
      <c r="H1671" s="24" t="s">
        <v>55</v>
      </c>
      <c r="I1671" s="24" t="s">
        <v>61</v>
      </c>
      <c r="J1671" s="26" t="n">
        <f aca="false">IF(A1671="","",YEAR(A1671))</f>
        <v>2026</v>
      </c>
      <c r="K1671" s="26" t="n">
        <f aca="false">IF(A1671="","",MONTH(A1671))</f>
        <v>3</v>
      </c>
      <c r="L1671" s="26" t="n">
        <f aca="false">IF(B1671="","",VALUE(LEFT(B1671,2)))</f>
        <v>18</v>
      </c>
      <c r="M1671" s="26" t="n">
        <f aca="false">IF(A1671="","",IF(COUNTIFS($C$2:$C$5001,C1671,$J$2:$J$5001,J1671,$A$2:$A$5001,"&lt;"&amp;A1671)=0,1,0))</f>
        <v>0</v>
      </c>
    </row>
    <row r="1672" customFormat="false" ht="15" hidden="false" customHeight="false" outlineLevel="0" collapsed="false">
      <c r="A1672" s="23" t="n">
        <v>46107.6020833333</v>
      </c>
      <c r="B1672" s="24" t="s">
        <v>757</v>
      </c>
      <c r="C1672" s="24" t="s">
        <v>227</v>
      </c>
      <c r="D1672" s="24" t="s">
        <v>72</v>
      </c>
      <c r="E1672" s="24" t="n">
        <v>229</v>
      </c>
      <c r="F1672" s="25" t="n">
        <v>16000</v>
      </c>
      <c r="G1672" s="24" t="s">
        <v>59</v>
      </c>
      <c r="H1672" s="24" t="s">
        <v>55</v>
      </c>
      <c r="I1672" s="24" t="s">
        <v>61</v>
      </c>
      <c r="J1672" s="26" t="n">
        <f aca="false">IF(A1672="","",YEAR(A1672))</f>
        <v>2026</v>
      </c>
      <c r="K1672" s="26" t="n">
        <f aca="false">IF(A1672="","",MONTH(A1672))</f>
        <v>3</v>
      </c>
      <c r="L1672" s="26" t="n">
        <f aca="false">IF(B1672="","",VALUE(LEFT(B1672,2)))</f>
        <v>10</v>
      </c>
      <c r="M1672" s="26" t="n">
        <f aca="false">IF(A1672="","",IF(COUNTIFS($C$2:$C$5001,C1672,$J$2:$J$5001,J1672,$A$2:$A$5001,"&lt;"&amp;A1672)=0,1,0))</f>
        <v>0</v>
      </c>
    </row>
    <row r="1673" customFormat="false" ht="15" hidden="false" customHeight="false" outlineLevel="0" collapsed="false">
      <c r="A1673" s="23" t="n">
        <v>46107.6541666667</v>
      </c>
      <c r="B1673" s="24" t="s">
        <v>844</v>
      </c>
      <c r="C1673" s="24" t="s">
        <v>690</v>
      </c>
      <c r="D1673" s="24" t="s">
        <v>66</v>
      </c>
      <c r="E1673" s="24" t="n">
        <v>95</v>
      </c>
      <c r="F1673" s="25" t="n">
        <v>4000</v>
      </c>
      <c r="G1673" s="24" t="s">
        <v>59</v>
      </c>
      <c r="H1673" s="24" t="s">
        <v>55</v>
      </c>
      <c r="I1673" s="24" t="s">
        <v>61</v>
      </c>
      <c r="J1673" s="26" t="n">
        <f aca="false">IF(A1673="","",YEAR(A1673))</f>
        <v>2026</v>
      </c>
      <c r="K1673" s="26" t="n">
        <f aca="false">IF(A1673="","",MONTH(A1673))</f>
        <v>3</v>
      </c>
      <c r="L1673" s="26" t="n">
        <f aca="false">IF(B1673="","",VALUE(LEFT(B1673,2)))</f>
        <v>14</v>
      </c>
      <c r="M1673" s="26" t="n">
        <f aca="false">IF(A1673="","",IF(COUNTIFS($C$2:$C$5001,C1673,$J$2:$J$5001,J1673,$A$2:$A$5001,"&lt;"&amp;A1673)=0,1,0))</f>
        <v>0</v>
      </c>
    </row>
    <row r="1674" customFormat="false" ht="15" hidden="false" customHeight="false" outlineLevel="0" collapsed="false">
      <c r="A1674" s="23" t="n">
        <v>46107.6701388889</v>
      </c>
      <c r="B1674" s="24" t="s">
        <v>266</v>
      </c>
      <c r="C1674" s="24" t="s">
        <v>475</v>
      </c>
      <c r="D1674" s="24" t="s">
        <v>53</v>
      </c>
      <c r="E1674" s="24" t="n">
        <v>20</v>
      </c>
      <c r="F1674" s="25" t="n">
        <v>500</v>
      </c>
      <c r="G1674" s="24" t="s">
        <v>83</v>
      </c>
      <c r="H1674" s="24" t="s">
        <v>80</v>
      </c>
      <c r="I1674" s="24" t="s">
        <v>61</v>
      </c>
      <c r="J1674" s="26" t="n">
        <f aca="false">IF(A1674="","",YEAR(A1674))</f>
        <v>2026</v>
      </c>
      <c r="K1674" s="26" t="n">
        <f aca="false">IF(A1674="","",MONTH(A1674))</f>
        <v>3</v>
      </c>
      <c r="L1674" s="26" t="n">
        <f aca="false">IF(B1674="","",VALUE(LEFT(B1674,2)))</f>
        <v>15</v>
      </c>
      <c r="M1674" s="26" t="n">
        <f aca="false">IF(A1674="","",IF(COUNTIFS($C$2:$C$5001,C1674,$J$2:$J$5001,J1674,$A$2:$A$5001,"&lt;"&amp;A1674)=0,1,0))</f>
        <v>0</v>
      </c>
    </row>
    <row r="1675" customFormat="false" ht="15" hidden="false" customHeight="false" outlineLevel="0" collapsed="false">
      <c r="A1675" s="23" t="n">
        <v>46107.8083333333</v>
      </c>
      <c r="B1675" s="24" t="s">
        <v>204</v>
      </c>
      <c r="C1675" s="24" t="s">
        <v>138</v>
      </c>
      <c r="D1675" s="24" t="s">
        <v>66</v>
      </c>
      <c r="E1675" s="24" t="n">
        <v>354</v>
      </c>
      <c r="F1675" s="25" t="n">
        <v>12000</v>
      </c>
      <c r="G1675" s="24" t="s">
        <v>59</v>
      </c>
      <c r="H1675" s="24" t="s">
        <v>60</v>
      </c>
      <c r="I1675" s="24" t="s">
        <v>61</v>
      </c>
      <c r="J1675" s="26" t="n">
        <f aca="false">IF(A1675="","",YEAR(A1675))</f>
        <v>2026</v>
      </c>
      <c r="K1675" s="26" t="n">
        <f aca="false">IF(A1675="","",MONTH(A1675))</f>
        <v>3</v>
      </c>
      <c r="L1675" s="26" t="n">
        <f aca="false">IF(B1675="","",VALUE(LEFT(B1675,2)))</f>
        <v>13</v>
      </c>
      <c r="M1675" s="26" t="n">
        <f aca="false">IF(A1675="","",IF(COUNTIFS($C$2:$C$5001,C1675,$J$2:$J$5001,J1675,$A$2:$A$5001,"&lt;"&amp;A1675)=0,1,0))</f>
        <v>0</v>
      </c>
    </row>
    <row r="1676" customFormat="false" ht="15" hidden="false" customHeight="false" outlineLevel="0" collapsed="false">
      <c r="A1676" s="23" t="n">
        <v>46107.8923611111</v>
      </c>
      <c r="B1676" s="24" t="s">
        <v>424</v>
      </c>
      <c r="C1676" s="24" t="s">
        <v>174</v>
      </c>
      <c r="D1676" s="24" t="s">
        <v>53</v>
      </c>
      <c r="E1676" s="24" t="n">
        <v>290</v>
      </c>
      <c r="F1676" s="25" t="n">
        <v>4250</v>
      </c>
      <c r="G1676" s="24" t="s">
        <v>59</v>
      </c>
      <c r="H1676" s="24" t="s">
        <v>55</v>
      </c>
      <c r="I1676" s="24" t="s">
        <v>113</v>
      </c>
      <c r="J1676" s="26" t="n">
        <f aca="false">IF(A1676="","",YEAR(A1676))</f>
        <v>2026</v>
      </c>
      <c r="K1676" s="26" t="n">
        <f aca="false">IF(A1676="","",MONTH(A1676))</f>
        <v>3</v>
      </c>
      <c r="L1676" s="26" t="n">
        <f aca="false">IF(B1676="","",VALUE(LEFT(B1676,2)))</f>
        <v>16</v>
      </c>
      <c r="M1676" s="26" t="n">
        <f aca="false">IF(A1676="","",IF(COUNTIFS($C$2:$C$5001,C1676,$J$2:$J$5001,J1676,$A$2:$A$5001,"&lt;"&amp;A1676)=0,1,0))</f>
        <v>0</v>
      </c>
    </row>
    <row r="1677" customFormat="false" ht="15" hidden="false" customHeight="false" outlineLevel="0" collapsed="false">
      <c r="A1677" s="23" t="n">
        <v>46108.3388888889</v>
      </c>
      <c r="B1677" s="24" t="s">
        <v>705</v>
      </c>
      <c r="C1677" s="24" t="s">
        <v>160</v>
      </c>
      <c r="D1677" s="24" t="s">
        <v>53</v>
      </c>
      <c r="E1677" s="24" t="n">
        <v>87</v>
      </c>
      <c r="F1677" s="25" t="n">
        <v>1500</v>
      </c>
      <c r="G1677" s="24" t="s">
        <v>69</v>
      </c>
      <c r="H1677" s="24" t="s">
        <v>55</v>
      </c>
      <c r="I1677" s="24" t="s">
        <v>61</v>
      </c>
      <c r="J1677" s="26" t="n">
        <f aca="false">IF(A1677="","",YEAR(A1677))</f>
        <v>2026</v>
      </c>
      <c r="K1677" s="26" t="n">
        <f aca="false">IF(A1677="","",MONTH(A1677))</f>
        <v>3</v>
      </c>
      <c r="L1677" s="26" t="n">
        <f aca="false">IF(B1677="","",VALUE(LEFT(B1677,2)))</f>
        <v>6</v>
      </c>
      <c r="M1677" s="26" t="n">
        <f aca="false">IF(A1677="","",IF(COUNTIFS($C$2:$C$5001,C1677,$J$2:$J$5001,J1677,$A$2:$A$5001,"&lt;"&amp;A1677)=0,1,0))</f>
        <v>0</v>
      </c>
    </row>
    <row r="1678" customFormat="false" ht="15" hidden="false" customHeight="false" outlineLevel="0" collapsed="false">
      <c r="A1678" s="23" t="n">
        <v>46109.5583333333</v>
      </c>
      <c r="B1678" s="24" t="s">
        <v>650</v>
      </c>
      <c r="C1678" s="24" t="s">
        <v>170</v>
      </c>
      <c r="D1678" s="24" t="s">
        <v>66</v>
      </c>
      <c r="E1678" s="24" t="n">
        <v>379</v>
      </c>
      <c r="F1678" s="25" t="n">
        <v>13000</v>
      </c>
      <c r="G1678" s="24" t="s">
        <v>69</v>
      </c>
      <c r="H1678" s="24" t="s">
        <v>60</v>
      </c>
      <c r="I1678" s="24" t="s">
        <v>61</v>
      </c>
      <c r="J1678" s="26" t="n">
        <f aca="false">IF(A1678="","",YEAR(A1678))</f>
        <v>2026</v>
      </c>
      <c r="K1678" s="26" t="n">
        <f aca="false">IF(A1678="","",MONTH(A1678))</f>
        <v>3</v>
      </c>
      <c r="L1678" s="26" t="n">
        <f aca="false">IF(B1678="","",VALUE(LEFT(B1678,2)))</f>
        <v>7</v>
      </c>
      <c r="M1678" s="26" t="n">
        <f aca="false">IF(A1678="","",IF(COUNTIFS($C$2:$C$5001,C1678,$J$2:$J$5001,J1678,$A$2:$A$5001,"&lt;"&amp;A1678)=0,1,0))</f>
        <v>0</v>
      </c>
    </row>
    <row r="1679" customFormat="false" ht="15" hidden="false" customHeight="false" outlineLevel="0" collapsed="false">
      <c r="A1679" s="23" t="n">
        <v>46109.9402777778</v>
      </c>
      <c r="B1679" s="24" t="s">
        <v>973</v>
      </c>
      <c r="C1679" s="24" t="s">
        <v>147</v>
      </c>
      <c r="D1679" s="24" t="s">
        <v>53</v>
      </c>
      <c r="E1679" s="24" t="n">
        <v>230</v>
      </c>
      <c r="F1679" s="25" t="n">
        <v>4000</v>
      </c>
      <c r="G1679" s="24" t="s">
        <v>59</v>
      </c>
      <c r="H1679" s="24" t="s">
        <v>80</v>
      </c>
      <c r="I1679" s="24" t="s">
        <v>61</v>
      </c>
      <c r="J1679" s="26" t="n">
        <f aca="false">IF(A1679="","",YEAR(A1679))</f>
        <v>2026</v>
      </c>
      <c r="K1679" s="26" t="n">
        <f aca="false">IF(A1679="","",MONTH(A1679))</f>
        <v>3</v>
      </c>
      <c r="L1679" s="26" t="n">
        <f aca="false">IF(B1679="","",VALUE(LEFT(B1679,2)))</f>
        <v>18</v>
      </c>
      <c r="M1679" s="26" t="n">
        <f aca="false">IF(A1679="","",IF(COUNTIFS($C$2:$C$5001,C1679,$J$2:$J$5001,J1679,$A$2:$A$5001,"&lt;"&amp;A1679)=0,1,0))</f>
        <v>0</v>
      </c>
    </row>
    <row r="1680" customFormat="false" ht="15" hidden="false" customHeight="false" outlineLevel="0" collapsed="false">
      <c r="A1680" s="23" t="n">
        <v>46109.9645833333</v>
      </c>
      <c r="B1680" s="24" t="s">
        <v>506</v>
      </c>
      <c r="C1680" s="24" t="s">
        <v>430</v>
      </c>
      <c r="D1680" s="24" t="s">
        <v>53</v>
      </c>
      <c r="E1680" s="24" t="n">
        <v>393</v>
      </c>
      <c r="F1680" s="25" t="n">
        <v>7000</v>
      </c>
      <c r="G1680" s="24" t="s">
        <v>69</v>
      </c>
      <c r="H1680" s="24" t="s">
        <v>55</v>
      </c>
      <c r="I1680" s="24" t="s">
        <v>61</v>
      </c>
      <c r="J1680" s="26" t="n">
        <f aca="false">IF(A1680="","",YEAR(A1680))</f>
        <v>2026</v>
      </c>
      <c r="K1680" s="26" t="n">
        <f aca="false">IF(A1680="","",MONTH(A1680))</f>
        <v>3</v>
      </c>
      <c r="L1680" s="26" t="n">
        <f aca="false">IF(B1680="","",VALUE(LEFT(B1680,2)))</f>
        <v>16</v>
      </c>
      <c r="M1680" s="26" t="n">
        <f aca="false">IF(A1680="","",IF(COUNTIFS($C$2:$C$5001,C1680,$J$2:$J$5001,J1680,$A$2:$A$5001,"&lt;"&amp;A1680)=0,1,0))</f>
        <v>0</v>
      </c>
    </row>
    <row r="1681" customFormat="false" ht="15" hidden="false" customHeight="false" outlineLevel="0" collapsed="false">
      <c r="A1681" s="23" t="n">
        <v>46110.0381944445</v>
      </c>
      <c r="B1681" s="24" t="s">
        <v>455</v>
      </c>
      <c r="C1681" s="24" t="s">
        <v>353</v>
      </c>
      <c r="D1681" s="24" t="s">
        <v>66</v>
      </c>
      <c r="E1681" s="24" t="n">
        <v>252</v>
      </c>
      <c r="F1681" s="25" t="n">
        <v>9000</v>
      </c>
      <c r="G1681" s="24" t="s">
        <v>59</v>
      </c>
      <c r="H1681" s="24" t="s">
        <v>80</v>
      </c>
      <c r="I1681" s="24" t="s">
        <v>61</v>
      </c>
      <c r="J1681" s="26" t="n">
        <f aca="false">IF(A1681="","",YEAR(A1681))</f>
        <v>2026</v>
      </c>
      <c r="K1681" s="26" t="n">
        <f aca="false">IF(A1681="","",MONTH(A1681))</f>
        <v>3</v>
      </c>
      <c r="L1681" s="26" t="n">
        <f aca="false">IF(B1681="","",VALUE(LEFT(B1681,2)))</f>
        <v>20</v>
      </c>
      <c r="M1681" s="26" t="n">
        <f aca="false">IF(A1681="","",IF(COUNTIFS($C$2:$C$5001,C1681,$J$2:$J$5001,J1681,$A$2:$A$5001,"&lt;"&amp;A1681)=0,1,0))</f>
        <v>0</v>
      </c>
    </row>
    <row r="1682" customFormat="false" ht="15" hidden="false" customHeight="false" outlineLevel="0" collapsed="false">
      <c r="A1682" s="23" t="n">
        <v>46113.3347222222</v>
      </c>
      <c r="B1682" s="24" t="s">
        <v>81</v>
      </c>
      <c r="C1682" s="24" t="s">
        <v>116</v>
      </c>
      <c r="D1682" s="24" t="s">
        <v>66</v>
      </c>
      <c r="E1682" s="24" t="n">
        <v>62</v>
      </c>
      <c r="F1682" s="25" t="n">
        <v>3000</v>
      </c>
      <c r="G1682" s="24" t="s">
        <v>79</v>
      </c>
      <c r="H1682" s="24" t="s">
        <v>60</v>
      </c>
      <c r="I1682" s="24" t="s">
        <v>61</v>
      </c>
      <c r="J1682" s="26" t="n">
        <f aca="false">IF(A1682="","",YEAR(A1682))</f>
        <v>2026</v>
      </c>
      <c r="K1682" s="26" t="n">
        <f aca="false">IF(A1682="","",MONTH(A1682))</f>
        <v>4</v>
      </c>
      <c r="L1682" s="26" t="n">
        <f aca="false">IF(B1682="","",VALUE(LEFT(B1682,2)))</f>
        <v>7</v>
      </c>
      <c r="M1682" s="26" t="n">
        <f aca="false">IF(A1682="","",IF(COUNTIFS($C$2:$C$5001,C1682,$J$2:$J$5001,J1682,$A$2:$A$5001,"&lt;"&amp;A1682)=0,1,0))</f>
        <v>0</v>
      </c>
    </row>
    <row r="1683" customFormat="false" ht="15" hidden="false" customHeight="false" outlineLevel="0" collapsed="false">
      <c r="A1683" s="23" t="n">
        <v>46113.4243055556</v>
      </c>
      <c r="B1683" s="24" t="s">
        <v>974</v>
      </c>
      <c r="C1683" s="24" t="s">
        <v>179</v>
      </c>
      <c r="D1683" s="24" t="s">
        <v>53</v>
      </c>
      <c r="E1683" s="24" t="n">
        <v>188</v>
      </c>
      <c r="F1683" s="25" t="n">
        <v>3500</v>
      </c>
      <c r="G1683" s="24" t="s">
        <v>59</v>
      </c>
      <c r="H1683" s="24" t="s">
        <v>55</v>
      </c>
      <c r="I1683" s="24" t="s">
        <v>61</v>
      </c>
      <c r="J1683" s="26" t="n">
        <f aca="false">IF(A1683="","",YEAR(A1683))</f>
        <v>2026</v>
      </c>
      <c r="K1683" s="26" t="n">
        <f aca="false">IF(A1683="","",MONTH(A1683))</f>
        <v>4</v>
      </c>
      <c r="L1683" s="26" t="n">
        <f aca="false">IF(B1683="","",VALUE(LEFT(B1683,2)))</f>
        <v>7</v>
      </c>
      <c r="M1683" s="26" t="n">
        <f aca="false">IF(A1683="","",IF(COUNTIFS($C$2:$C$5001,C1683,$J$2:$J$5001,J1683,$A$2:$A$5001,"&lt;"&amp;A1683)=0,1,0))</f>
        <v>0</v>
      </c>
    </row>
    <row r="1684" customFormat="false" ht="15" hidden="false" customHeight="false" outlineLevel="0" collapsed="false">
      <c r="A1684" s="23" t="n">
        <v>46113.4638888889</v>
      </c>
      <c r="B1684" s="24" t="s">
        <v>331</v>
      </c>
      <c r="C1684" s="24" t="s">
        <v>286</v>
      </c>
      <c r="D1684" s="24" t="s">
        <v>53</v>
      </c>
      <c r="E1684" s="24" t="n">
        <v>195</v>
      </c>
      <c r="F1684" s="25" t="n">
        <v>0</v>
      </c>
      <c r="G1684" s="24" t="s">
        <v>79</v>
      </c>
      <c r="H1684" s="24" t="s">
        <v>55</v>
      </c>
      <c r="I1684" s="24" t="s">
        <v>56</v>
      </c>
      <c r="J1684" s="26" t="n">
        <f aca="false">IF(A1684="","",YEAR(A1684))</f>
        <v>2026</v>
      </c>
      <c r="K1684" s="26" t="n">
        <f aca="false">IF(A1684="","",MONTH(A1684))</f>
        <v>4</v>
      </c>
      <c r="L1684" s="26" t="n">
        <f aca="false">IF(B1684="","",VALUE(LEFT(B1684,2)))</f>
        <v>7</v>
      </c>
      <c r="M1684" s="26" t="n">
        <f aca="false">IF(A1684="","",IF(COUNTIFS($C$2:$C$5001,C1684,$J$2:$J$5001,J1684,$A$2:$A$5001,"&lt;"&amp;A1684)=0,1,0))</f>
        <v>0</v>
      </c>
    </row>
    <row r="1685" customFormat="false" ht="15" hidden="false" customHeight="false" outlineLevel="0" collapsed="false">
      <c r="A1685" s="23" t="n">
        <v>46113.4708333333</v>
      </c>
      <c r="B1685" s="24" t="s">
        <v>421</v>
      </c>
      <c r="C1685" s="24" t="s">
        <v>108</v>
      </c>
      <c r="D1685" s="24" t="s">
        <v>66</v>
      </c>
      <c r="E1685" s="24" t="n">
        <v>246</v>
      </c>
      <c r="F1685" s="25" t="n">
        <v>9000</v>
      </c>
      <c r="G1685" s="24" t="s">
        <v>59</v>
      </c>
      <c r="H1685" s="24" t="s">
        <v>60</v>
      </c>
      <c r="I1685" s="24" t="s">
        <v>61</v>
      </c>
      <c r="J1685" s="26" t="n">
        <f aca="false">IF(A1685="","",YEAR(A1685))</f>
        <v>2026</v>
      </c>
      <c r="K1685" s="26" t="n">
        <f aca="false">IF(A1685="","",MONTH(A1685))</f>
        <v>4</v>
      </c>
      <c r="L1685" s="26" t="n">
        <f aca="false">IF(B1685="","",VALUE(LEFT(B1685,2)))</f>
        <v>7</v>
      </c>
      <c r="M1685" s="26" t="n">
        <f aca="false">IF(A1685="","",IF(COUNTIFS($C$2:$C$5001,C1685,$J$2:$J$5001,J1685,$A$2:$A$5001,"&lt;"&amp;A1685)=0,1,0))</f>
        <v>0</v>
      </c>
    </row>
    <row r="1686" customFormat="false" ht="15" hidden="false" customHeight="false" outlineLevel="0" collapsed="false">
      <c r="A1686" s="23" t="n">
        <v>46113.55625</v>
      </c>
      <c r="B1686" s="24" t="s">
        <v>109</v>
      </c>
      <c r="C1686" s="24" t="s">
        <v>87</v>
      </c>
      <c r="D1686" s="24" t="s">
        <v>53</v>
      </c>
      <c r="E1686" s="24" t="n">
        <v>307</v>
      </c>
      <c r="F1686" s="25" t="n">
        <v>4675</v>
      </c>
      <c r="G1686" s="24" t="s">
        <v>69</v>
      </c>
      <c r="H1686" s="24" t="s">
        <v>55</v>
      </c>
      <c r="I1686" s="24" t="s">
        <v>113</v>
      </c>
      <c r="J1686" s="26" t="n">
        <f aca="false">IF(A1686="","",YEAR(A1686))</f>
        <v>2026</v>
      </c>
      <c r="K1686" s="26" t="n">
        <f aca="false">IF(A1686="","",MONTH(A1686))</f>
        <v>4</v>
      </c>
      <c r="L1686" s="26" t="n">
        <f aca="false">IF(B1686="","",VALUE(LEFT(B1686,2)))</f>
        <v>8</v>
      </c>
      <c r="M1686" s="26" t="n">
        <f aca="false">IF(A1686="","",IF(COUNTIFS($C$2:$C$5001,C1686,$J$2:$J$5001,J1686,$A$2:$A$5001,"&lt;"&amp;A1686)=0,1,0))</f>
        <v>0</v>
      </c>
    </row>
    <row r="1687" customFormat="false" ht="15" hidden="false" customHeight="false" outlineLevel="0" collapsed="false">
      <c r="A1687" s="23" t="n">
        <v>46113.7381944444</v>
      </c>
      <c r="B1687" s="24" t="s">
        <v>575</v>
      </c>
      <c r="C1687" s="24" t="s">
        <v>277</v>
      </c>
      <c r="D1687" s="24" t="s">
        <v>66</v>
      </c>
      <c r="E1687" s="24" t="n">
        <v>296</v>
      </c>
      <c r="F1687" s="25" t="n">
        <v>10000</v>
      </c>
      <c r="G1687" s="24" t="s">
        <v>83</v>
      </c>
      <c r="H1687" s="24" t="s">
        <v>60</v>
      </c>
      <c r="I1687" s="24" t="s">
        <v>61</v>
      </c>
      <c r="J1687" s="26" t="n">
        <f aca="false">IF(A1687="","",YEAR(A1687))</f>
        <v>2026</v>
      </c>
      <c r="K1687" s="26" t="n">
        <f aca="false">IF(A1687="","",MONTH(A1687))</f>
        <v>4</v>
      </c>
      <c r="L1687" s="26" t="n">
        <f aca="false">IF(B1687="","",VALUE(LEFT(B1687,2)))</f>
        <v>12</v>
      </c>
      <c r="M1687" s="26" t="n">
        <f aca="false">IF(A1687="","",IF(COUNTIFS($C$2:$C$5001,C1687,$J$2:$J$5001,J1687,$A$2:$A$5001,"&lt;"&amp;A1687)=0,1,0))</f>
        <v>0</v>
      </c>
    </row>
    <row r="1688" customFormat="false" ht="15" hidden="false" customHeight="false" outlineLevel="0" collapsed="false">
      <c r="A1688" s="23" t="n">
        <v>46113.7861111111</v>
      </c>
      <c r="B1688" s="24" t="s">
        <v>975</v>
      </c>
      <c r="C1688" s="24" t="s">
        <v>92</v>
      </c>
      <c r="D1688" s="24" t="s">
        <v>66</v>
      </c>
      <c r="E1688" s="24" t="n">
        <v>259</v>
      </c>
      <c r="F1688" s="25" t="n">
        <v>9000</v>
      </c>
      <c r="G1688" s="24" t="s">
        <v>59</v>
      </c>
      <c r="H1688" s="24" t="s">
        <v>55</v>
      </c>
      <c r="I1688" s="24" t="s">
        <v>61</v>
      </c>
      <c r="J1688" s="26" t="n">
        <f aca="false">IF(A1688="","",YEAR(A1688))</f>
        <v>2026</v>
      </c>
      <c r="K1688" s="26" t="n">
        <f aca="false">IF(A1688="","",MONTH(A1688))</f>
        <v>4</v>
      </c>
      <c r="L1688" s="26" t="n">
        <f aca="false">IF(B1688="","",VALUE(LEFT(B1688,2)))</f>
        <v>14</v>
      </c>
      <c r="M1688" s="26" t="n">
        <f aca="false">IF(A1688="","",IF(COUNTIFS($C$2:$C$5001,C1688,$J$2:$J$5001,J1688,$A$2:$A$5001,"&lt;"&amp;A1688)=0,1,0))</f>
        <v>0</v>
      </c>
    </row>
    <row r="1689" customFormat="false" ht="15" hidden="false" customHeight="false" outlineLevel="0" collapsed="false">
      <c r="A1689" s="23" t="n">
        <v>46113.8145833333</v>
      </c>
      <c r="B1689" s="24" t="s">
        <v>796</v>
      </c>
      <c r="C1689" s="24" t="s">
        <v>938</v>
      </c>
      <c r="D1689" s="24" t="s">
        <v>72</v>
      </c>
      <c r="E1689" s="24" t="n">
        <v>36</v>
      </c>
      <c r="F1689" s="25" t="n">
        <v>4000</v>
      </c>
      <c r="G1689" s="24" t="s">
        <v>83</v>
      </c>
      <c r="H1689" s="24" t="s">
        <v>60</v>
      </c>
      <c r="I1689" s="24" t="s">
        <v>61</v>
      </c>
      <c r="J1689" s="26" t="n">
        <f aca="false">IF(A1689="","",YEAR(A1689))</f>
        <v>2026</v>
      </c>
      <c r="K1689" s="26" t="n">
        <f aca="false">IF(A1689="","",MONTH(A1689))</f>
        <v>4</v>
      </c>
      <c r="L1689" s="26" t="n">
        <f aca="false">IF(B1689="","",VALUE(LEFT(B1689,2)))</f>
        <v>18</v>
      </c>
      <c r="M1689" s="26" t="n">
        <f aca="false">IF(A1689="","",IF(COUNTIFS($C$2:$C$5001,C1689,$J$2:$J$5001,J1689,$A$2:$A$5001,"&lt;"&amp;A1689)=0,1,0))</f>
        <v>0</v>
      </c>
    </row>
    <row r="1690" customFormat="false" ht="15" hidden="false" customHeight="false" outlineLevel="0" collapsed="false">
      <c r="A1690" s="23" t="n">
        <v>46113.8402777778</v>
      </c>
      <c r="B1690" s="24" t="s">
        <v>976</v>
      </c>
      <c r="C1690" s="24" t="s">
        <v>179</v>
      </c>
      <c r="D1690" s="24" t="s">
        <v>66</v>
      </c>
      <c r="E1690" s="24" t="n">
        <v>58</v>
      </c>
      <c r="F1690" s="25" t="n">
        <v>0</v>
      </c>
      <c r="G1690" s="24" t="s">
        <v>54</v>
      </c>
      <c r="H1690" s="24" t="s">
        <v>55</v>
      </c>
      <c r="I1690" s="24" t="s">
        <v>56</v>
      </c>
      <c r="J1690" s="26" t="n">
        <f aca="false">IF(A1690="","",YEAR(A1690))</f>
        <v>2026</v>
      </c>
      <c r="K1690" s="26" t="n">
        <f aca="false">IF(A1690="","",MONTH(A1690))</f>
        <v>4</v>
      </c>
      <c r="L1690" s="26" t="n">
        <f aca="false">IF(B1690="","",VALUE(LEFT(B1690,2)))</f>
        <v>19</v>
      </c>
      <c r="M1690" s="26" t="n">
        <f aca="false">IF(A1690="","",IF(COUNTIFS($C$2:$C$5001,C1690,$J$2:$J$5001,J1690,$A$2:$A$5001,"&lt;"&amp;A1690)=0,1,0))</f>
        <v>0</v>
      </c>
    </row>
    <row r="1691" customFormat="false" ht="15" hidden="false" customHeight="false" outlineLevel="0" collapsed="false">
      <c r="A1691" s="23" t="n">
        <v>46114.0430555556</v>
      </c>
      <c r="B1691" s="24" t="s">
        <v>977</v>
      </c>
      <c r="C1691" s="24" t="s">
        <v>220</v>
      </c>
      <c r="D1691" s="24" t="s">
        <v>66</v>
      </c>
      <c r="E1691" s="24" t="n">
        <v>295</v>
      </c>
      <c r="F1691" s="25" t="n">
        <v>10000</v>
      </c>
      <c r="G1691" s="24" t="s">
        <v>69</v>
      </c>
      <c r="H1691" s="24" t="s">
        <v>55</v>
      </c>
      <c r="I1691" s="24" t="s">
        <v>61</v>
      </c>
      <c r="J1691" s="26" t="n">
        <f aca="false">IF(A1691="","",YEAR(A1691))</f>
        <v>2026</v>
      </c>
      <c r="K1691" s="26" t="n">
        <f aca="false">IF(A1691="","",MONTH(A1691))</f>
        <v>4</v>
      </c>
      <c r="L1691" s="26" t="n">
        <f aca="false">IF(B1691="","",VALUE(LEFT(B1691,2)))</f>
        <v>20</v>
      </c>
      <c r="M1691" s="26" t="n">
        <f aca="false">IF(A1691="","",IF(COUNTIFS($C$2:$C$5001,C1691,$J$2:$J$5001,J1691,$A$2:$A$5001,"&lt;"&amp;A1691)=0,1,0))</f>
        <v>0</v>
      </c>
    </row>
    <row r="1692" customFormat="false" ht="15" hidden="false" customHeight="false" outlineLevel="0" collapsed="false">
      <c r="A1692" s="23" t="n">
        <v>46114.4618055556</v>
      </c>
      <c r="B1692" s="24" t="s">
        <v>761</v>
      </c>
      <c r="C1692" s="24" t="s">
        <v>141</v>
      </c>
      <c r="D1692" s="24" t="s">
        <v>66</v>
      </c>
      <c r="E1692" s="24" t="n">
        <v>275</v>
      </c>
      <c r="F1692" s="25" t="n">
        <v>10000</v>
      </c>
      <c r="G1692" s="24" t="s">
        <v>59</v>
      </c>
      <c r="H1692" s="24" t="s">
        <v>60</v>
      </c>
      <c r="I1692" s="24" t="s">
        <v>61</v>
      </c>
      <c r="J1692" s="26" t="n">
        <f aca="false">IF(A1692="","",YEAR(A1692))</f>
        <v>2026</v>
      </c>
      <c r="K1692" s="26" t="n">
        <f aca="false">IF(A1692="","",MONTH(A1692))</f>
        <v>4</v>
      </c>
      <c r="L1692" s="26" t="n">
        <f aca="false">IF(B1692="","",VALUE(LEFT(B1692,2)))</f>
        <v>6</v>
      </c>
      <c r="M1692" s="26" t="n">
        <f aca="false">IF(A1692="","",IF(COUNTIFS($C$2:$C$5001,C1692,$J$2:$J$5001,J1692,$A$2:$A$5001,"&lt;"&amp;A1692)=0,1,0))</f>
        <v>0</v>
      </c>
    </row>
    <row r="1693" customFormat="false" ht="15" hidden="false" customHeight="false" outlineLevel="0" collapsed="false">
      <c r="A1693" s="23" t="n">
        <v>46114.6763888889</v>
      </c>
      <c r="B1693" s="24" t="s">
        <v>498</v>
      </c>
      <c r="C1693" s="24" t="s">
        <v>396</v>
      </c>
      <c r="D1693" s="24" t="s">
        <v>53</v>
      </c>
      <c r="E1693" s="24" t="n">
        <v>279</v>
      </c>
      <c r="F1693" s="25" t="n">
        <v>5000</v>
      </c>
      <c r="G1693" s="24" t="s">
        <v>69</v>
      </c>
      <c r="H1693" s="24" t="s">
        <v>55</v>
      </c>
      <c r="I1693" s="24" t="s">
        <v>61</v>
      </c>
      <c r="J1693" s="26" t="n">
        <f aca="false">IF(A1693="","",YEAR(A1693))</f>
        <v>2026</v>
      </c>
      <c r="K1693" s="26" t="n">
        <f aca="false">IF(A1693="","",MONTH(A1693))</f>
        <v>4</v>
      </c>
      <c r="L1693" s="26" t="n">
        <f aca="false">IF(B1693="","",VALUE(LEFT(B1693,2)))</f>
        <v>11</v>
      </c>
      <c r="M1693" s="26" t="n">
        <f aca="false">IF(A1693="","",IF(COUNTIFS($C$2:$C$5001,C1693,$J$2:$J$5001,J1693,$A$2:$A$5001,"&lt;"&amp;A1693)=0,1,0))</f>
        <v>0</v>
      </c>
    </row>
    <row r="1694" customFormat="false" ht="15" hidden="false" customHeight="false" outlineLevel="0" collapsed="false">
      <c r="A1694" s="23" t="n">
        <v>46114.8090277778</v>
      </c>
      <c r="B1694" s="24" t="s">
        <v>438</v>
      </c>
      <c r="C1694" s="24" t="s">
        <v>141</v>
      </c>
      <c r="D1694" s="24" t="s">
        <v>88</v>
      </c>
      <c r="E1694" s="24" t="n">
        <v>413</v>
      </c>
      <c r="F1694" s="25" t="n">
        <v>21000</v>
      </c>
      <c r="G1694" s="24" t="s">
        <v>69</v>
      </c>
      <c r="H1694" s="24" t="s">
        <v>80</v>
      </c>
      <c r="I1694" s="24" t="s">
        <v>61</v>
      </c>
      <c r="J1694" s="26" t="n">
        <f aca="false">IF(A1694="","",YEAR(A1694))</f>
        <v>2026</v>
      </c>
      <c r="K1694" s="26" t="n">
        <f aca="false">IF(A1694="","",MONTH(A1694))</f>
        <v>4</v>
      </c>
      <c r="L1694" s="26" t="n">
        <f aca="false">IF(B1694="","",VALUE(LEFT(B1694,2)))</f>
        <v>12</v>
      </c>
      <c r="M1694" s="26" t="n">
        <f aca="false">IF(A1694="","",IF(COUNTIFS($C$2:$C$5001,C1694,$J$2:$J$5001,J1694,$A$2:$A$5001,"&lt;"&amp;A1694)=0,1,0))</f>
        <v>0</v>
      </c>
    </row>
    <row r="1695" customFormat="false" ht="15" hidden="false" customHeight="false" outlineLevel="0" collapsed="false">
      <c r="A1695" s="23" t="n">
        <v>46114.8604166667</v>
      </c>
      <c r="B1695" s="24" t="s">
        <v>372</v>
      </c>
      <c r="C1695" s="24" t="s">
        <v>339</v>
      </c>
      <c r="D1695" s="24" t="s">
        <v>53</v>
      </c>
      <c r="E1695" s="24" t="n">
        <v>119</v>
      </c>
      <c r="F1695" s="25" t="n">
        <v>2000</v>
      </c>
      <c r="G1695" s="24" t="s">
        <v>59</v>
      </c>
      <c r="H1695" s="24" t="s">
        <v>55</v>
      </c>
      <c r="I1695" s="24" t="s">
        <v>61</v>
      </c>
      <c r="J1695" s="26" t="n">
        <f aca="false">IF(A1695="","",YEAR(A1695))</f>
        <v>2026</v>
      </c>
      <c r="K1695" s="26" t="n">
        <f aca="false">IF(A1695="","",MONTH(A1695))</f>
        <v>4</v>
      </c>
      <c r="L1695" s="26" t="n">
        <f aca="false">IF(B1695="","",VALUE(LEFT(B1695,2)))</f>
        <v>18</v>
      </c>
      <c r="M1695" s="26" t="n">
        <f aca="false">IF(A1695="","",IF(COUNTIFS($C$2:$C$5001,C1695,$J$2:$J$5001,J1695,$A$2:$A$5001,"&lt;"&amp;A1695)=0,1,0))</f>
        <v>0</v>
      </c>
    </row>
    <row r="1696" customFormat="false" ht="15" hidden="false" customHeight="false" outlineLevel="0" collapsed="false">
      <c r="A1696" s="23" t="n">
        <v>46114.8659722222</v>
      </c>
      <c r="B1696" s="24" t="s">
        <v>656</v>
      </c>
      <c r="C1696" s="24" t="s">
        <v>147</v>
      </c>
      <c r="D1696" s="24" t="s">
        <v>66</v>
      </c>
      <c r="E1696" s="24" t="n">
        <v>186</v>
      </c>
      <c r="F1696" s="25" t="n">
        <v>7000</v>
      </c>
      <c r="G1696" s="24" t="s">
        <v>59</v>
      </c>
      <c r="H1696" s="24" t="s">
        <v>80</v>
      </c>
      <c r="I1696" s="24" t="s">
        <v>61</v>
      </c>
      <c r="J1696" s="26" t="n">
        <f aca="false">IF(A1696="","",YEAR(A1696))</f>
        <v>2026</v>
      </c>
      <c r="K1696" s="26" t="n">
        <f aca="false">IF(A1696="","",MONTH(A1696))</f>
        <v>4</v>
      </c>
      <c r="L1696" s="26" t="n">
        <f aca="false">IF(B1696="","",VALUE(LEFT(B1696,2)))</f>
        <v>17</v>
      </c>
      <c r="M1696" s="26" t="n">
        <f aca="false">IF(A1696="","",IF(COUNTIFS($C$2:$C$5001,C1696,$J$2:$J$5001,J1696,$A$2:$A$5001,"&lt;"&amp;A1696)=0,1,0))</f>
        <v>0</v>
      </c>
    </row>
    <row r="1697" customFormat="false" ht="15" hidden="false" customHeight="false" outlineLevel="0" collapsed="false">
      <c r="A1697" s="23" t="n">
        <v>46115.0277777778</v>
      </c>
      <c r="B1697" s="24" t="s">
        <v>660</v>
      </c>
      <c r="C1697" s="24" t="s">
        <v>861</v>
      </c>
      <c r="D1697" s="24" t="s">
        <v>53</v>
      </c>
      <c r="E1697" s="24" t="n">
        <v>246</v>
      </c>
      <c r="F1697" s="25" t="n">
        <v>4500</v>
      </c>
      <c r="G1697" s="24" t="s">
        <v>59</v>
      </c>
      <c r="H1697" s="24" t="s">
        <v>60</v>
      </c>
      <c r="I1697" s="24" t="s">
        <v>61</v>
      </c>
      <c r="J1697" s="26" t="n">
        <f aca="false">IF(A1697="","",YEAR(A1697))</f>
        <v>2026</v>
      </c>
      <c r="K1697" s="26" t="n">
        <f aca="false">IF(A1697="","",MONTH(A1697))</f>
        <v>4</v>
      </c>
      <c r="L1697" s="26" t="n">
        <f aca="false">IF(B1697="","",VALUE(LEFT(B1697,2)))</f>
        <v>20</v>
      </c>
      <c r="M1697" s="26" t="n">
        <f aca="false">IF(A1697="","",IF(COUNTIFS($C$2:$C$5001,C1697,$J$2:$J$5001,J1697,$A$2:$A$5001,"&lt;"&amp;A1697)=0,1,0))</f>
        <v>1</v>
      </c>
    </row>
    <row r="1698" customFormat="false" ht="15" hidden="false" customHeight="false" outlineLevel="0" collapsed="false">
      <c r="A1698" s="23" t="n">
        <v>46115.5270833333</v>
      </c>
      <c r="B1698" s="24" t="s">
        <v>978</v>
      </c>
      <c r="C1698" s="24" t="s">
        <v>145</v>
      </c>
      <c r="D1698" s="24" t="s">
        <v>53</v>
      </c>
      <c r="E1698" s="24" t="n">
        <v>160</v>
      </c>
      <c r="F1698" s="25" t="n">
        <v>0</v>
      </c>
      <c r="G1698" s="24" t="s">
        <v>59</v>
      </c>
      <c r="H1698" s="24" t="s">
        <v>55</v>
      </c>
      <c r="I1698" s="24" t="s">
        <v>56</v>
      </c>
      <c r="J1698" s="26" t="n">
        <f aca="false">IF(A1698="","",YEAR(A1698))</f>
        <v>2026</v>
      </c>
      <c r="K1698" s="26" t="n">
        <f aca="false">IF(A1698="","",MONTH(A1698))</f>
        <v>4</v>
      </c>
      <c r="L1698" s="26" t="n">
        <f aca="false">IF(B1698="","",VALUE(LEFT(B1698,2)))</f>
        <v>9</v>
      </c>
      <c r="M1698" s="26" t="n">
        <f aca="false">IF(A1698="","",IF(COUNTIFS($C$2:$C$5001,C1698,$J$2:$J$5001,J1698,$A$2:$A$5001,"&lt;"&amp;A1698)=0,1,0))</f>
        <v>0</v>
      </c>
    </row>
    <row r="1699" customFormat="false" ht="15" hidden="false" customHeight="false" outlineLevel="0" collapsed="false">
      <c r="A1699" s="23" t="n">
        <v>46115.9201388889</v>
      </c>
      <c r="B1699" s="24" t="s">
        <v>641</v>
      </c>
      <c r="C1699" s="24" t="s">
        <v>353</v>
      </c>
      <c r="D1699" s="24" t="s">
        <v>66</v>
      </c>
      <c r="E1699" s="24" t="n">
        <v>328</v>
      </c>
      <c r="F1699" s="25" t="n">
        <v>11000</v>
      </c>
      <c r="G1699" s="24" t="s">
        <v>59</v>
      </c>
      <c r="H1699" s="24" t="s">
        <v>60</v>
      </c>
      <c r="I1699" s="24" t="s">
        <v>61</v>
      </c>
      <c r="J1699" s="26" t="n">
        <f aca="false">IF(A1699="","",YEAR(A1699))</f>
        <v>2026</v>
      </c>
      <c r="K1699" s="26" t="n">
        <f aca="false">IF(A1699="","",MONTH(A1699))</f>
        <v>4</v>
      </c>
      <c r="L1699" s="26" t="n">
        <f aca="false">IF(B1699="","",VALUE(LEFT(B1699,2)))</f>
        <v>16</v>
      </c>
      <c r="M1699" s="26" t="n">
        <f aca="false">IF(A1699="","",IF(COUNTIFS($C$2:$C$5001,C1699,$J$2:$J$5001,J1699,$A$2:$A$5001,"&lt;"&amp;A1699)=0,1,0))</f>
        <v>0</v>
      </c>
    </row>
    <row r="1700" customFormat="false" ht="15" hidden="false" customHeight="false" outlineLevel="0" collapsed="false">
      <c r="A1700" s="23" t="n">
        <v>46116.0763888889</v>
      </c>
      <c r="B1700" s="24" t="s">
        <v>97</v>
      </c>
      <c r="C1700" s="24" t="s">
        <v>118</v>
      </c>
      <c r="D1700" s="24" t="s">
        <v>53</v>
      </c>
      <c r="E1700" s="24" t="n">
        <v>331</v>
      </c>
      <c r="F1700" s="25" t="n">
        <v>6000</v>
      </c>
      <c r="G1700" s="24" t="s">
        <v>59</v>
      </c>
      <c r="H1700" s="24" t="s">
        <v>55</v>
      </c>
      <c r="I1700" s="24" t="s">
        <v>61</v>
      </c>
      <c r="J1700" s="26" t="n">
        <f aca="false">IF(A1700="","",YEAR(A1700))</f>
        <v>2026</v>
      </c>
      <c r="K1700" s="26" t="n">
        <f aca="false">IF(A1700="","",MONTH(A1700))</f>
        <v>4</v>
      </c>
      <c r="L1700" s="26" t="n">
        <f aca="false">IF(B1700="","",VALUE(LEFT(B1700,2)))</f>
        <v>20</v>
      </c>
      <c r="M1700" s="26" t="n">
        <f aca="false">IF(A1700="","",IF(COUNTIFS($C$2:$C$5001,C1700,$J$2:$J$5001,J1700,$A$2:$A$5001,"&lt;"&amp;A1700)=0,1,0))</f>
        <v>0</v>
      </c>
    </row>
    <row r="1701" customFormat="false" ht="15" hidden="false" customHeight="false" outlineLevel="0" collapsed="false">
      <c r="A1701" s="23" t="n">
        <v>46116.7840277778</v>
      </c>
      <c r="B1701" s="24" t="s">
        <v>793</v>
      </c>
      <c r="C1701" s="24" t="s">
        <v>120</v>
      </c>
      <c r="D1701" s="24" t="s">
        <v>66</v>
      </c>
      <c r="E1701" s="24" t="n">
        <v>89</v>
      </c>
      <c r="F1701" s="25" t="n">
        <v>3000</v>
      </c>
      <c r="G1701" s="24" t="s">
        <v>59</v>
      </c>
      <c r="H1701" s="24" t="s">
        <v>55</v>
      </c>
      <c r="I1701" s="24" t="s">
        <v>61</v>
      </c>
      <c r="J1701" s="26" t="n">
        <f aca="false">IF(A1701="","",YEAR(A1701))</f>
        <v>2026</v>
      </c>
      <c r="K1701" s="26" t="n">
        <f aca="false">IF(A1701="","",MONTH(A1701))</f>
        <v>4</v>
      </c>
      <c r="L1701" s="26" t="n">
        <f aca="false">IF(B1701="","",VALUE(LEFT(B1701,2)))</f>
        <v>17</v>
      </c>
      <c r="M1701" s="26" t="n">
        <f aca="false">IF(A1701="","",IF(COUNTIFS($C$2:$C$5001,C1701,$J$2:$J$5001,J1701,$A$2:$A$5001,"&lt;"&amp;A1701)=0,1,0))</f>
        <v>0</v>
      </c>
    </row>
    <row r="1702" customFormat="false" ht="15" hidden="false" customHeight="false" outlineLevel="0" collapsed="false">
      <c r="A1702" s="23" t="n">
        <v>46117.4604166667</v>
      </c>
      <c r="B1702" s="24" t="s">
        <v>375</v>
      </c>
      <c r="C1702" s="24" t="s">
        <v>199</v>
      </c>
      <c r="D1702" s="24" t="s">
        <v>127</v>
      </c>
      <c r="E1702" s="24" t="n">
        <v>136</v>
      </c>
      <c r="F1702" s="25" t="n">
        <v>8750</v>
      </c>
      <c r="G1702" s="24" t="s">
        <v>59</v>
      </c>
      <c r="H1702" s="24" t="s">
        <v>60</v>
      </c>
      <c r="I1702" s="24" t="s">
        <v>61</v>
      </c>
      <c r="J1702" s="26" t="n">
        <f aca="false">IF(A1702="","",YEAR(A1702))</f>
        <v>2026</v>
      </c>
      <c r="K1702" s="26" t="n">
        <f aca="false">IF(A1702="","",MONTH(A1702))</f>
        <v>4</v>
      </c>
      <c r="L1702" s="26" t="n">
        <f aca="false">IF(B1702="","",VALUE(LEFT(B1702,2)))</f>
        <v>8</v>
      </c>
      <c r="M1702" s="26" t="n">
        <f aca="false">IF(A1702="","",IF(COUNTIFS($C$2:$C$5001,C1702,$J$2:$J$5001,J1702,$A$2:$A$5001,"&lt;"&amp;A1702)=0,1,0))</f>
        <v>0</v>
      </c>
    </row>
    <row r="1703" customFormat="false" ht="15" hidden="false" customHeight="false" outlineLevel="0" collapsed="false">
      <c r="A1703" s="23" t="n">
        <v>46117.5152777778</v>
      </c>
      <c r="B1703" s="24" t="s">
        <v>868</v>
      </c>
      <c r="C1703" s="24" t="s">
        <v>508</v>
      </c>
      <c r="D1703" s="24" t="s">
        <v>53</v>
      </c>
      <c r="E1703" s="24" t="n">
        <v>111</v>
      </c>
      <c r="F1703" s="25" t="n">
        <v>2000</v>
      </c>
      <c r="G1703" s="24" t="s">
        <v>59</v>
      </c>
      <c r="H1703" s="24" t="s">
        <v>55</v>
      </c>
      <c r="I1703" s="24" t="s">
        <v>61</v>
      </c>
      <c r="J1703" s="26" t="n">
        <f aca="false">IF(A1703="","",YEAR(A1703))</f>
        <v>2026</v>
      </c>
      <c r="K1703" s="26" t="n">
        <f aca="false">IF(A1703="","",MONTH(A1703))</f>
        <v>4</v>
      </c>
      <c r="L1703" s="26" t="n">
        <f aca="false">IF(B1703="","",VALUE(LEFT(B1703,2)))</f>
        <v>10</v>
      </c>
      <c r="M1703" s="26" t="n">
        <f aca="false">IF(A1703="","",IF(COUNTIFS($C$2:$C$5001,C1703,$J$2:$J$5001,J1703,$A$2:$A$5001,"&lt;"&amp;A1703)=0,1,0))</f>
        <v>1</v>
      </c>
    </row>
    <row r="1704" customFormat="false" ht="15" hidden="false" customHeight="false" outlineLevel="0" collapsed="false">
      <c r="A1704" s="23" t="n">
        <v>46117.6638888889</v>
      </c>
      <c r="B1704" s="24" t="s">
        <v>628</v>
      </c>
      <c r="C1704" s="24" t="s">
        <v>164</v>
      </c>
      <c r="D1704" s="24" t="s">
        <v>66</v>
      </c>
      <c r="E1704" s="24" t="n">
        <v>156</v>
      </c>
      <c r="F1704" s="25" t="n">
        <v>6000</v>
      </c>
      <c r="G1704" s="24" t="s">
        <v>69</v>
      </c>
      <c r="H1704" s="24" t="s">
        <v>80</v>
      </c>
      <c r="I1704" s="24" t="s">
        <v>61</v>
      </c>
      <c r="J1704" s="26" t="n">
        <f aca="false">IF(A1704="","",YEAR(A1704))</f>
        <v>2026</v>
      </c>
      <c r="K1704" s="26" t="n">
        <f aca="false">IF(A1704="","",MONTH(A1704))</f>
        <v>4</v>
      </c>
      <c r="L1704" s="26" t="n">
        <f aca="false">IF(B1704="","",VALUE(LEFT(B1704,2)))</f>
        <v>13</v>
      </c>
      <c r="M1704" s="26" t="n">
        <f aca="false">IF(A1704="","",IF(COUNTIFS($C$2:$C$5001,C1704,$J$2:$J$5001,J1704,$A$2:$A$5001,"&lt;"&amp;A1704)=0,1,0))</f>
        <v>0</v>
      </c>
    </row>
    <row r="1705" customFormat="false" ht="15" hidden="false" customHeight="false" outlineLevel="0" collapsed="false">
      <c r="A1705" s="23" t="n">
        <v>46117.8076388889</v>
      </c>
      <c r="B1705" s="24" t="s">
        <v>979</v>
      </c>
      <c r="C1705" s="24" t="s">
        <v>179</v>
      </c>
      <c r="D1705" s="24" t="s">
        <v>88</v>
      </c>
      <c r="E1705" s="24" t="n">
        <v>190</v>
      </c>
      <c r="F1705" s="25" t="n">
        <v>10500</v>
      </c>
      <c r="G1705" s="24" t="s">
        <v>59</v>
      </c>
      <c r="H1705" s="24" t="s">
        <v>80</v>
      </c>
      <c r="I1705" s="24" t="s">
        <v>61</v>
      </c>
      <c r="J1705" s="26" t="n">
        <f aca="false">IF(A1705="","",YEAR(A1705))</f>
        <v>2026</v>
      </c>
      <c r="K1705" s="26" t="n">
        <f aca="false">IF(A1705="","",MONTH(A1705))</f>
        <v>4</v>
      </c>
      <c r="L1705" s="26" t="n">
        <f aca="false">IF(B1705="","",VALUE(LEFT(B1705,2)))</f>
        <v>16</v>
      </c>
      <c r="M1705" s="26" t="n">
        <f aca="false">IF(A1705="","",IF(COUNTIFS($C$2:$C$5001,C1705,$J$2:$J$5001,J1705,$A$2:$A$5001,"&lt;"&amp;A1705)=0,1,0))</f>
        <v>0</v>
      </c>
    </row>
    <row r="1706" customFormat="false" ht="15" hidden="false" customHeight="false" outlineLevel="0" collapsed="false">
      <c r="A1706" s="23" t="n">
        <v>46117.9125</v>
      </c>
      <c r="B1706" s="24" t="s">
        <v>134</v>
      </c>
      <c r="C1706" s="24" t="s">
        <v>197</v>
      </c>
      <c r="D1706" s="24" t="s">
        <v>53</v>
      </c>
      <c r="E1706" s="24" t="n">
        <v>412</v>
      </c>
      <c r="F1706" s="25" t="n">
        <v>5950</v>
      </c>
      <c r="G1706" s="24" t="s">
        <v>59</v>
      </c>
      <c r="H1706" s="24" t="s">
        <v>55</v>
      </c>
      <c r="I1706" s="24" t="s">
        <v>113</v>
      </c>
      <c r="J1706" s="26" t="n">
        <f aca="false">IF(A1706="","",YEAR(A1706))</f>
        <v>2026</v>
      </c>
      <c r="K1706" s="26" t="n">
        <f aca="false">IF(A1706="","",MONTH(A1706))</f>
        <v>4</v>
      </c>
      <c r="L1706" s="26" t="n">
        <f aca="false">IF(B1706="","",VALUE(LEFT(B1706,2)))</f>
        <v>15</v>
      </c>
      <c r="M1706" s="26" t="n">
        <f aca="false">IF(A1706="","",IF(COUNTIFS($C$2:$C$5001,C1706,$J$2:$J$5001,J1706,$A$2:$A$5001,"&lt;"&amp;A1706)=0,1,0))</f>
        <v>0</v>
      </c>
    </row>
    <row r="1707" customFormat="false" ht="15" hidden="false" customHeight="false" outlineLevel="0" collapsed="false">
      <c r="A1707" s="23" t="n">
        <v>46117.9423611111</v>
      </c>
      <c r="B1707" s="24" t="s">
        <v>804</v>
      </c>
      <c r="C1707" s="24" t="s">
        <v>102</v>
      </c>
      <c r="D1707" s="24" t="s">
        <v>53</v>
      </c>
      <c r="E1707" s="24" t="n">
        <v>262</v>
      </c>
      <c r="F1707" s="25" t="n">
        <v>4500</v>
      </c>
      <c r="G1707" s="24" t="s">
        <v>69</v>
      </c>
      <c r="H1707" s="24" t="s">
        <v>60</v>
      </c>
      <c r="I1707" s="24" t="s">
        <v>61</v>
      </c>
      <c r="J1707" s="26" t="n">
        <f aca="false">IF(A1707="","",YEAR(A1707))</f>
        <v>2026</v>
      </c>
      <c r="K1707" s="26" t="n">
        <f aca="false">IF(A1707="","",MONTH(A1707))</f>
        <v>4</v>
      </c>
      <c r="L1707" s="26" t="n">
        <f aca="false">IF(B1707="","",VALUE(LEFT(B1707,2)))</f>
        <v>18</v>
      </c>
      <c r="M1707" s="26" t="n">
        <f aca="false">IF(A1707="","",IF(COUNTIFS($C$2:$C$5001,C1707,$J$2:$J$5001,J1707,$A$2:$A$5001,"&lt;"&amp;A1707)=0,1,0))</f>
        <v>0</v>
      </c>
    </row>
    <row r="1708" customFormat="false" ht="15" hidden="false" customHeight="false" outlineLevel="0" collapsed="false">
      <c r="A1708" s="23" t="n">
        <v>46118.8381944444</v>
      </c>
      <c r="B1708" s="24" t="s">
        <v>99</v>
      </c>
      <c r="C1708" s="24" t="s">
        <v>112</v>
      </c>
      <c r="D1708" s="24" t="s">
        <v>66</v>
      </c>
      <c r="E1708" s="24" t="n">
        <v>187</v>
      </c>
      <c r="F1708" s="25" t="n">
        <v>7000</v>
      </c>
      <c r="G1708" s="24" t="s">
        <v>59</v>
      </c>
      <c r="H1708" s="24" t="s">
        <v>60</v>
      </c>
      <c r="I1708" s="24" t="s">
        <v>61</v>
      </c>
      <c r="J1708" s="26" t="n">
        <f aca="false">IF(A1708="","",YEAR(A1708))</f>
        <v>2026</v>
      </c>
      <c r="K1708" s="26" t="n">
        <f aca="false">IF(A1708="","",MONTH(A1708))</f>
        <v>4</v>
      </c>
      <c r="L1708" s="26" t="n">
        <f aca="false">IF(B1708="","",VALUE(LEFT(B1708,2)))</f>
        <v>17</v>
      </c>
      <c r="M1708" s="26" t="n">
        <f aca="false">IF(A1708="","",IF(COUNTIFS($C$2:$C$5001,C1708,$J$2:$J$5001,J1708,$A$2:$A$5001,"&lt;"&amp;A1708)=0,1,0))</f>
        <v>0</v>
      </c>
    </row>
    <row r="1709" customFormat="false" ht="15" hidden="false" customHeight="false" outlineLevel="0" collapsed="false">
      <c r="A1709" s="23" t="n">
        <v>46119.1013888889</v>
      </c>
      <c r="B1709" s="24" t="s">
        <v>526</v>
      </c>
      <c r="C1709" s="24" t="s">
        <v>332</v>
      </c>
      <c r="D1709" s="24" t="s">
        <v>66</v>
      </c>
      <c r="E1709" s="24" t="n">
        <v>403</v>
      </c>
      <c r="F1709" s="25" t="n">
        <v>14000</v>
      </c>
      <c r="G1709" s="24" t="s">
        <v>59</v>
      </c>
      <c r="H1709" s="24" t="s">
        <v>60</v>
      </c>
      <c r="I1709" s="24" t="s">
        <v>61</v>
      </c>
      <c r="J1709" s="26" t="n">
        <f aca="false">IF(A1709="","",YEAR(A1709))</f>
        <v>2026</v>
      </c>
      <c r="K1709" s="26" t="n">
        <f aca="false">IF(A1709="","",MONTH(A1709))</f>
        <v>4</v>
      </c>
      <c r="L1709" s="26" t="n">
        <f aca="false">IF(B1709="","",VALUE(LEFT(B1709,2)))</f>
        <v>19</v>
      </c>
      <c r="M1709" s="26" t="n">
        <f aca="false">IF(A1709="","",IF(COUNTIFS($C$2:$C$5001,C1709,$J$2:$J$5001,J1709,$A$2:$A$5001,"&lt;"&amp;A1709)=0,1,0))</f>
        <v>0</v>
      </c>
    </row>
    <row r="1710" customFormat="false" ht="15" hidden="false" customHeight="false" outlineLevel="0" collapsed="false">
      <c r="A1710" s="23" t="n">
        <v>46119.3993055556</v>
      </c>
      <c r="B1710" s="24" t="s">
        <v>791</v>
      </c>
      <c r="C1710" s="24" t="s">
        <v>186</v>
      </c>
      <c r="D1710" s="24" t="s">
        <v>66</v>
      </c>
      <c r="E1710" s="24" t="n">
        <v>168</v>
      </c>
      <c r="F1710" s="25" t="n">
        <v>6000</v>
      </c>
      <c r="G1710" s="24" t="s">
        <v>59</v>
      </c>
      <c r="H1710" s="24" t="s">
        <v>55</v>
      </c>
      <c r="I1710" s="24" t="s">
        <v>61</v>
      </c>
      <c r="J1710" s="26" t="n">
        <f aca="false">IF(A1710="","",YEAR(A1710))</f>
        <v>2026</v>
      </c>
      <c r="K1710" s="26" t="n">
        <f aca="false">IF(A1710="","",MONTH(A1710))</f>
        <v>4</v>
      </c>
      <c r="L1710" s="26" t="n">
        <f aca="false">IF(B1710="","",VALUE(LEFT(B1710,2)))</f>
        <v>6</v>
      </c>
      <c r="M1710" s="26" t="n">
        <f aca="false">IF(A1710="","",IF(COUNTIFS($C$2:$C$5001,C1710,$J$2:$J$5001,J1710,$A$2:$A$5001,"&lt;"&amp;A1710)=0,1,0))</f>
        <v>0</v>
      </c>
    </row>
    <row r="1711" customFormat="false" ht="15" hidden="false" customHeight="false" outlineLevel="0" collapsed="false">
      <c r="A1711" s="23" t="n">
        <v>46119.4027777778</v>
      </c>
      <c r="B1711" s="24" t="s">
        <v>375</v>
      </c>
      <c r="C1711" s="24" t="s">
        <v>290</v>
      </c>
      <c r="D1711" s="24" t="s">
        <v>66</v>
      </c>
      <c r="E1711" s="24" t="n">
        <v>53</v>
      </c>
      <c r="F1711" s="25" t="n">
        <v>2000</v>
      </c>
      <c r="G1711" s="24" t="s">
        <v>54</v>
      </c>
      <c r="H1711" s="24" t="s">
        <v>60</v>
      </c>
      <c r="I1711" s="24" t="s">
        <v>61</v>
      </c>
      <c r="J1711" s="26" t="n">
        <f aca="false">IF(A1711="","",YEAR(A1711))</f>
        <v>2026</v>
      </c>
      <c r="K1711" s="26" t="n">
        <f aca="false">IF(A1711="","",MONTH(A1711))</f>
        <v>4</v>
      </c>
      <c r="L1711" s="26" t="n">
        <f aca="false">IF(B1711="","",VALUE(LEFT(B1711,2)))</f>
        <v>8</v>
      </c>
      <c r="M1711" s="26" t="n">
        <f aca="false">IF(A1711="","",IF(COUNTIFS($C$2:$C$5001,C1711,$J$2:$J$5001,J1711,$A$2:$A$5001,"&lt;"&amp;A1711)=0,1,0))</f>
        <v>0</v>
      </c>
    </row>
    <row r="1712" customFormat="false" ht="15" hidden="false" customHeight="false" outlineLevel="0" collapsed="false">
      <c r="A1712" s="23" t="n">
        <v>46119.4694444445</v>
      </c>
      <c r="B1712" s="24" t="s">
        <v>272</v>
      </c>
      <c r="C1712" s="24" t="s">
        <v>286</v>
      </c>
      <c r="D1712" s="24" t="s">
        <v>88</v>
      </c>
      <c r="E1712" s="24" t="n">
        <v>159</v>
      </c>
      <c r="F1712" s="25" t="n">
        <v>9000</v>
      </c>
      <c r="G1712" s="24" t="s">
        <v>59</v>
      </c>
      <c r="H1712" s="24" t="s">
        <v>60</v>
      </c>
      <c r="I1712" s="24" t="s">
        <v>61</v>
      </c>
      <c r="J1712" s="26" t="n">
        <f aca="false">IF(A1712="","",YEAR(A1712))</f>
        <v>2026</v>
      </c>
      <c r="K1712" s="26" t="n">
        <f aca="false">IF(A1712="","",MONTH(A1712))</f>
        <v>4</v>
      </c>
      <c r="L1712" s="26" t="n">
        <f aca="false">IF(B1712="","",VALUE(LEFT(B1712,2)))</f>
        <v>8</v>
      </c>
      <c r="M1712" s="26" t="n">
        <f aca="false">IF(A1712="","",IF(COUNTIFS($C$2:$C$5001,C1712,$J$2:$J$5001,J1712,$A$2:$A$5001,"&lt;"&amp;A1712)=0,1,0))</f>
        <v>0</v>
      </c>
    </row>
    <row r="1713" customFormat="false" ht="15" hidden="false" customHeight="false" outlineLevel="0" collapsed="false">
      <c r="A1713" s="23" t="n">
        <v>46119.5604166667</v>
      </c>
      <c r="B1713" s="24" t="s">
        <v>500</v>
      </c>
      <c r="C1713" s="24" t="s">
        <v>179</v>
      </c>
      <c r="D1713" s="24" t="s">
        <v>53</v>
      </c>
      <c r="E1713" s="24" t="n">
        <v>37</v>
      </c>
      <c r="F1713" s="25" t="n">
        <v>1000</v>
      </c>
      <c r="G1713" s="24" t="s">
        <v>69</v>
      </c>
      <c r="H1713" s="24" t="s">
        <v>80</v>
      </c>
      <c r="I1713" s="24" t="s">
        <v>61</v>
      </c>
      <c r="J1713" s="26" t="n">
        <f aca="false">IF(A1713="","",YEAR(A1713))</f>
        <v>2026</v>
      </c>
      <c r="K1713" s="26" t="n">
        <f aca="false">IF(A1713="","",MONTH(A1713))</f>
        <v>4</v>
      </c>
      <c r="L1713" s="26" t="n">
        <f aca="false">IF(B1713="","",VALUE(LEFT(B1713,2)))</f>
        <v>12</v>
      </c>
      <c r="M1713" s="26" t="n">
        <f aca="false">IF(A1713="","",IF(COUNTIFS($C$2:$C$5001,C1713,$J$2:$J$5001,J1713,$A$2:$A$5001,"&lt;"&amp;A1713)=0,1,0))</f>
        <v>0</v>
      </c>
    </row>
    <row r="1714" customFormat="false" ht="15" hidden="false" customHeight="false" outlineLevel="0" collapsed="false">
      <c r="A1714" s="23" t="n">
        <v>46119.6402777778</v>
      </c>
      <c r="B1714" s="24" t="s">
        <v>972</v>
      </c>
      <c r="C1714" s="24" t="s">
        <v>398</v>
      </c>
      <c r="D1714" s="24" t="s">
        <v>66</v>
      </c>
      <c r="E1714" s="24" t="n">
        <v>240</v>
      </c>
      <c r="F1714" s="25" t="n">
        <v>8000</v>
      </c>
      <c r="G1714" s="24" t="s">
        <v>59</v>
      </c>
      <c r="H1714" s="24" t="s">
        <v>80</v>
      </c>
      <c r="I1714" s="24" t="s">
        <v>61</v>
      </c>
      <c r="J1714" s="26" t="n">
        <f aca="false">IF(A1714="","",YEAR(A1714))</f>
        <v>2026</v>
      </c>
      <c r="K1714" s="26" t="n">
        <f aca="false">IF(A1714="","",MONTH(A1714))</f>
        <v>4</v>
      </c>
      <c r="L1714" s="26" t="n">
        <f aca="false">IF(B1714="","",VALUE(LEFT(B1714,2)))</f>
        <v>11</v>
      </c>
      <c r="M1714" s="26" t="n">
        <f aca="false">IF(A1714="","",IF(COUNTIFS($C$2:$C$5001,C1714,$J$2:$J$5001,J1714,$A$2:$A$5001,"&lt;"&amp;A1714)=0,1,0))</f>
        <v>0</v>
      </c>
    </row>
    <row r="1715" customFormat="false" ht="15" hidden="false" customHeight="false" outlineLevel="0" collapsed="false">
      <c r="A1715" s="23" t="n">
        <v>46119.73125</v>
      </c>
      <c r="B1715" s="24" t="s">
        <v>518</v>
      </c>
      <c r="C1715" s="24" t="s">
        <v>876</v>
      </c>
      <c r="D1715" s="24" t="s">
        <v>66</v>
      </c>
      <c r="E1715" s="24" t="n">
        <v>117</v>
      </c>
      <c r="F1715" s="25" t="n">
        <v>4000</v>
      </c>
      <c r="G1715" s="24" t="s">
        <v>59</v>
      </c>
      <c r="H1715" s="24" t="s">
        <v>60</v>
      </c>
      <c r="I1715" s="24" t="s">
        <v>61</v>
      </c>
      <c r="J1715" s="26" t="n">
        <f aca="false">IF(A1715="","",YEAR(A1715))</f>
        <v>2026</v>
      </c>
      <c r="K1715" s="26" t="n">
        <f aca="false">IF(A1715="","",MONTH(A1715))</f>
        <v>4</v>
      </c>
      <c r="L1715" s="26" t="n">
        <f aca="false">IF(B1715="","",VALUE(LEFT(B1715,2)))</f>
        <v>15</v>
      </c>
      <c r="M1715" s="26" t="n">
        <f aca="false">IF(A1715="","",IF(COUNTIFS($C$2:$C$5001,C1715,$J$2:$J$5001,J1715,$A$2:$A$5001,"&lt;"&amp;A1715)=0,1,0))</f>
        <v>0</v>
      </c>
    </row>
    <row r="1716" customFormat="false" ht="15" hidden="false" customHeight="false" outlineLevel="0" collapsed="false">
      <c r="A1716" s="23" t="n">
        <v>46119.9125</v>
      </c>
      <c r="B1716" s="24" t="s">
        <v>114</v>
      </c>
      <c r="C1716" s="24" t="s">
        <v>448</v>
      </c>
      <c r="D1716" s="24" t="s">
        <v>66</v>
      </c>
      <c r="E1716" s="24" t="n">
        <v>352</v>
      </c>
      <c r="F1716" s="25" t="n">
        <v>12000</v>
      </c>
      <c r="G1716" s="24" t="s">
        <v>59</v>
      </c>
      <c r="H1716" s="24" t="s">
        <v>80</v>
      </c>
      <c r="I1716" s="24" t="s">
        <v>61</v>
      </c>
      <c r="J1716" s="26" t="n">
        <f aca="false">IF(A1716="","",YEAR(A1716))</f>
        <v>2026</v>
      </c>
      <c r="K1716" s="26" t="n">
        <f aca="false">IF(A1716="","",MONTH(A1716))</f>
        <v>4</v>
      </c>
      <c r="L1716" s="26" t="n">
        <f aca="false">IF(B1716="","",VALUE(LEFT(B1716,2)))</f>
        <v>16</v>
      </c>
      <c r="M1716" s="26" t="n">
        <f aca="false">IF(A1716="","",IF(COUNTIFS($C$2:$C$5001,C1716,$J$2:$J$5001,J1716,$A$2:$A$5001,"&lt;"&amp;A1716)=0,1,0))</f>
        <v>0</v>
      </c>
    </row>
    <row r="1717" customFormat="false" ht="15" hidden="false" customHeight="false" outlineLevel="0" collapsed="false">
      <c r="A1717" s="23" t="n">
        <v>46120.0368055556</v>
      </c>
      <c r="B1717" s="24" t="s">
        <v>980</v>
      </c>
      <c r="C1717" s="24" t="s">
        <v>475</v>
      </c>
      <c r="D1717" s="24" t="s">
        <v>53</v>
      </c>
      <c r="E1717" s="24" t="n">
        <v>312</v>
      </c>
      <c r="F1717" s="25" t="n">
        <v>5500</v>
      </c>
      <c r="G1717" s="24" t="s">
        <v>69</v>
      </c>
      <c r="H1717" s="24" t="s">
        <v>55</v>
      </c>
      <c r="I1717" s="24" t="s">
        <v>61</v>
      </c>
      <c r="J1717" s="26" t="n">
        <f aca="false">IF(A1717="","",YEAR(A1717))</f>
        <v>2026</v>
      </c>
      <c r="K1717" s="26" t="n">
        <f aca="false">IF(A1717="","",MONTH(A1717))</f>
        <v>4</v>
      </c>
      <c r="L1717" s="26" t="n">
        <f aca="false">IF(B1717="","",VALUE(LEFT(B1717,2)))</f>
        <v>19</v>
      </c>
      <c r="M1717" s="26" t="n">
        <f aca="false">IF(A1717="","",IF(COUNTIFS($C$2:$C$5001,C1717,$J$2:$J$5001,J1717,$A$2:$A$5001,"&lt;"&amp;A1717)=0,1,0))</f>
        <v>0</v>
      </c>
    </row>
    <row r="1718" customFormat="false" ht="15" hidden="false" customHeight="false" outlineLevel="0" collapsed="false">
      <c r="A1718" s="23" t="n">
        <v>46120.3833333333</v>
      </c>
      <c r="B1718" s="24" t="s">
        <v>677</v>
      </c>
      <c r="C1718" s="24" t="s">
        <v>593</v>
      </c>
      <c r="D1718" s="24" t="s">
        <v>53</v>
      </c>
      <c r="E1718" s="24" t="n">
        <v>168</v>
      </c>
      <c r="F1718" s="25" t="n">
        <v>0</v>
      </c>
      <c r="G1718" s="24" t="s">
        <v>83</v>
      </c>
      <c r="H1718" s="24" t="s">
        <v>80</v>
      </c>
      <c r="I1718" s="24" t="s">
        <v>56</v>
      </c>
      <c r="J1718" s="26" t="n">
        <f aca="false">IF(A1718="","",YEAR(A1718))</f>
        <v>2026</v>
      </c>
      <c r="K1718" s="26" t="n">
        <f aca="false">IF(A1718="","",MONTH(A1718))</f>
        <v>4</v>
      </c>
      <c r="L1718" s="26" t="n">
        <f aca="false">IF(B1718="","",VALUE(LEFT(B1718,2)))</f>
        <v>6</v>
      </c>
      <c r="M1718" s="26" t="n">
        <f aca="false">IF(A1718="","",IF(COUNTIFS($C$2:$C$5001,C1718,$J$2:$J$5001,J1718,$A$2:$A$5001,"&lt;"&amp;A1718)=0,1,0))</f>
        <v>0</v>
      </c>
    </row>
    <row r="1719" customFormat="false" ht="15" hidden="false" customHeight="false" outlineLevel="0" collapsed="false">
      <c r="A1719" s="23" t="n">
        <v>46120.5416666667</v>
      </c>
      <c r="B1719" s="24" t="s">
        <v>180</v>
      </c>
      <c r="C1719" s="24" t="s">
        <v>126</v>
      </c>
      <c r="D1719" s="24" t="s">
        <v>66</v>
      </c>
      <c r="E1719" s="24" t="n">
        <v>240</v>
      </c>
      <c r="F1719" s="25" t="n">
        <v>6800</v>
      </c>
      <c r="G1719" s="24" t="s">
        <v>83</v>
      </c>
      <c r="H1719" s="24" t="s">
        <v>80</v>
      </c>
      <c r="I1719" s="24" t="s">
        <v>113</v>
      </c>
      <c r="J1719" s="26" t="n">
        <f aca="false">IF(A1719="","",YEAR(A1719))</f>
        <v>2026</v>
      </c>
      <c r="K1719" s="26" t="n">
        <f aca="false">IF(A1719="","",MONTH(A1719))</f>
        <v>4</v>
      </c>
      <c r="L1719" s="26" t="n">
        <f aca="false">IF(B1719="","",VALUE(LEFT(B1719,2)))</f>
        <v>9</v>
      </c>
      <c r="M1719" s="26" t="n">
        <f aca="false">IF(A1719="","",IF(COUNTIFS($C$2:$C$5001,C1719,$J$2:$J$5001,J1719,$A$2:$A$5001,"&lt;"&amp;A1719)=0,1,0))</f>
        <v>0</v>
      </c>
    </row>
    <row r="1720" customFormat="false" ht="15" hidden="false" customHeight="false" outlineLevel="0" collapsed="false">
      <c r="A1720" s="23" t="n">
        <v>46120.6486111111</v>
      </c>
      <c r="B1720" s="24" t="s">
        <v>73</v>
      </c>
      <c r="C1720" s="24" t="s">
        <v>94</v>
      </c>
      <c r="D1720" s="24" t="s">
        <v>53</v>
      </c>
      <c r="E1720" s="24" t="n">
        <v>333</v>
      </c>
      <c r="F1720" s="25" t="n">
        <v>6000</v>
      </c>
      <c r="G1720" s="24" t="s">
        <v>69</v>
      </c>
      <c r="H1720" s="24" t="s">
        <v>55</v>
      </c>
      <c r="I1720" s="24" t="s">
        <v>61</v>
      </c>
      <c r="J1720" s="26" t="n">
        <f aca="false">IF(A1720="","",YEAR(A1720))</f>
        <v>2026</v>
      </c>
      <c r="K1720" s="26" t="n">
        <f aca="false">IF(A1720="","",MONTH(A1720))</f>
        <v>4</v>
      </c>
      <c r="L1720" s="26" t="n">
        <f aca="false">IF(B1720="","",VALUE(LEFT(B1720,2)))</f>
        <v>10</v>
      </c>
      <c r="M1720" s="26" t="n">
        <f aca="false">IF(A1720="","",IF(COUNTIFS($C$2:$C$5001,C1720,$J$2:$J$5001,J1720,$A$2:$A$5001,"&lt;"&amp;A1720)=0,1,0))</f>
        <v>0</v>
      </c>
    </row>
    <row r="1721" customFormat="false" ht="15" hidden="false" customHeight="false" outlineLevel="0" collapsed="false">
      <c r="A1721" s="23" t="n">
        <v>46120.7819444445</v>
      </c>
      <c r="B1721" s="24" t="s">
        <v>633</v>
      </c>
      <c r="C1721" s="24" t="s">
        <v>286</v>
      </c>
      <c r="D1721" s="24" t="s">
        <v>72</v>
      </c>
      <c r="E1721" s="24" t="n">
        <v>72</v>
      </c>
      <c r="F1721" s="25" t="n">
        <v>0</v>
      </c>
      <c r="G1721" s="24" t="s">
        <v>59</v>
      </c>
      <c r="H1721" s="24" t="s">
        <v>80</v>
      </c>
      <c r="I1721" s="24" t="s">
        <v>56</v>
      </c>
      <c r="J1721" s="26" t="n">
        <f aca="false">IF(A1721="","",YEAR(A1721))</f>
        <v>2026</v>
      </c>
      <c r="K1721" s="26" t="n">
        <f aca="false">IF(A1721="","",MONTH(A1721))</f>
        <v>4</v>
      </c>
      <c r="L1721" s="26" t="n">
        <f aca="false">IF(B1721="","",VALUE(LEFT(B1721,2)))</f>
        <v>17</v>
      </c>
      <c r="M1721" s="26" t="n">
        <f aca="false">IF(A1721="","",IF(COUNTIFS($C$2:$C$5001,C1721,$J$2:$J$5001,J1721,$A$2:$A$5001,"&lt;"&amp;A1721)=0,1,0))</f>
        <v>0</v>
      </c>
    </row>
    <row r="1722" customFormat="false" ht="15" hidden="false" customHeight="false" outlineLevel="0" collapsed="false">
      <c r="A1722" s="23" t="n">
        <v>46121.6020833333</v>
      </c>
      <c r="B1722" s="24" t="s">
        <v>673</v>
      </c>
      <c r="C1722" s="24" t="s">
        <v>213</v>
      </c>
      <c r="D1722" s="24" t="s">
        <v>53</v>
      </c>
      <c r="E1722" s="24" t="n">
        <v>416</v>
      </c>
      <c r="F1722" s="25" t="n">
        <v>7000</v>
      </c>
      <c r="G1722" s="24" t="s">
        <v>59</v>
      </c>
      <c r="H1722" s="24" t="s">
        <v>55</v>
      </c>
      <c r="I1722" s="24" t="s">
        <v>61</v>
      </c>
      <c r="J1722" s="26" t="n">
        <f aca="false">IF(A1722="","",YEAR(A1722))</f>
        <v>2026</v>
      </c>
      <c r="K1722" s="26" t="n">
        <f aca="false">IF(A1722="","",MONTH(A1722))</f>
        <v>4</v>
      </c>
      <c r="L1722" s="26" t="n">
        <f aca="false">IF(B1722="","",VALUE(LEFT(B1722,2)))</f>
        <v>7</v>
      </c>
      <c r="M1722" s="26" t="n">
        <f aca="false">IF(A1722="","",IF(COUNTIFS($C$2:$C$5001,C1722,$J$2:$J$5001,J1722,$A$2:$A$5001,"&lt;"&amp;A1722)=0,1,0))</f>
        <v>0</v>
      </c>
    </row>
    <row r="1723" customFormat="false" ht="15" hidden="false" customHeight="false" outlineLevel="0" collapsed="false">
      <c r="A1723" s="23" t="n">
        <v>46121.6895833333</v>
      </c>
      <c r="B1723" s="24" t="s">
        <v>820</v>
      </c>
      <c r="C1723" s="24" t="s">
        <v>277</v>
      </c>
      <c r="D1723" s="24" t="s">
        <v>53</v>
      </c>
      <c r="E1723" s="24" t="n">
        <v>386</v>
      </c>
      <c r="F1723" s="25" t="n">
        <v>6500</v>
      </c>
      <c r="G1723" s="24" t="s">
        <v>59</v>
      </c>
      <c r="H1723" s="24" t="s">
        <v>55</v>
      </c>
      <c r="I1723" s="24" t="s">
        <v>61</v>
      </c>
      <c r="J1723" s="26" t="n">
        <f aca="false">IF(A1723="","",YEAR(A1723))</f>
        <v>2026</v>
      </c>
      <c r="K1723" s="26" t="n">
        <f aca="false">IF(A1723="","",MONTH(A1723))</f>
        <v>4</v>
      </c>
      <c r="L1723" s="26" t="n">
        <f aca="false">IF(B1723="","",VALUE(LEFT(B1723,2)))</f>
        <v>10</v>
      </c>
      <c r="M1723" s="26" t="n">
        <f aca="false">IF(A1723="","",IF(COUNTIFS($C$2:$C$5001,C1723,$J$2:$J$5001,J1723,$A$2:$A$5001,"&lt;"&amp;A1723)=0,1,0))</f>
        <v>0</v>
      </c>
    </row>
    <row r="1724" customFormat="false" ht="15" hidden="false" customHeight="false" outlineLevel="0" collapsed="false">
      <c r="A1724" s="23" t="n">
        <v>46121.7493055556</v>
      </c>
      <c r="B1724" s="24" t="s">
        <v>743</v>
      </c>
      <c r="C1724" s="24" t="s">
        <v>197</v>
      </c>
      <c r="D1724" s="24" t="s">
        <v>53</v>
      </c>
      <c r="E1724" s="24" t="n">
        <v>238</v>
      </c>
      <c r="F1724" s="25" t="n">
        <v>4000</v>
      </c>
      <c r="G1724" s="24" t="s">
        <v>54</v>
      </c>
      <c r="H1724" s="24" t="s">
        <v>55</v>
      </c>
      <c r="I1724" s="24" t="s">
        <v>61</v>
      </c>
      <c r="J1724" s="26" t="n">
        <f aca="false">IF(A1724="","",YEAR(A1724))</f>
        <v>2026</v>
      </c>
      <c r="K1724" s="26" t="n">
        <f aca="false">IF(A1724="","",MONTH(A1724))</f>
        <v>4</v>
      </c>
      <c r="L1724" s="26" t="n">
        <f aca="false">IF(B1724="","",VALUE(LEFT(B1724,2)))</f>
        <v>14</v>
      </c>
      <c r="M1724" s="26" t="n">
        <f aca="false">IF(A1724="","",IF(COUNTIFS($C$2:$C$5001,C1724,$J$2:$J$5001,J1724,$A$2:$A$5001,"&lt;"&amp;A1724)=0,1,0))</f>
        <v>0</v>
      </c>
    </row>
    <row r="1725" customFormat="false" ht="15" hidden="false" customHeight="false" outlineLevel="0" collapsed="false">
      <c r="A1725" s="23" t="n">
        <v>46122.0479166667</v>
      </c>
      <c r="B1725" s="24" t="s">
        <v>623</v>
      </c>
      <c r="C1725" s="24" t="s">
        <v>203</v>
      </c>
      <c r="D1725" s="24" t="s">
        <v>66</v>
      </c>
      <c r="E1725" s="24" t="n">
        <v>330</v>
      </c>
      <c r="F1725" s="25" t="n">
        <v>11000</v>
      </c>
      <c r="G1725" s="24" t="s">
        <v>59</v>
      </c>
      <c r="H1725" s="24" t="s">
        <v>60</v>
      </c>
      <c r="I1725" s="24" t="s">
        <v>61</v>
      </c>
      <c r="J1725" s="26" t="n">
        <f aca="false">IF(A1725="","",YEAR(A1725))</f>
        <v>2026</v>
      </c>
      <c r="K1725" s="26" t="n">
        <f aca="false">IF(A1725="","",MONTH(A1725))</f>
        <v>4</v>
      </c>
      <c r="L1725" s="26" t="n">
        <f aca="false">IF(B1725="","",VALUE(LEFT(B1725,2)))</f>
        <v>19</v>
      </c>
      <c r="M1725" s="26" t="n">
        <f aca="false">IF(A1725="","",IF(COUNTIFS($C$2:$C$5001,C1725,$J$2:$J$5001,J1725,$A$2:$A$5001,"&lt;"&amp;A1725)=0,1,0))</f>
        <v>0</v>
      </c>
    </row>
    <row r="1726" customFormat="false" ht="15" hidden="false" customHeight="false" outlineLevel="0" collapsed="false">
      <c r="A1726" s="23" t="n">
        <v>46122.4020833333</v>
      </c>
      <c r="B1726" s="24" t="s">
        <v>190</v>
      </c>
      <c r="C1726" s="24" t="s">
        <v>74</v>
      </c>
      <c r="D1726" s="24" t="s">
        <v>72</v>
      </c>
      <c r="E1726" s="24" t="n">
        <v>76</v>
      </c>
      <c r="F1726" s="25" t="n">
        <v>6000</v>
      </c>
      <c r="G1726" s="24" t="s">
        <v>59</v>
      </c>
      <c r="H1726" s="24" t="s">
        <v>55</v>
      </c>
      <c r="I1726" s="24" t="s">
        <v>61</v>
      </c>
      <c r="J1726" s="26" t="n">
        <f aca="false">IF(A1726="","",YEAR(A1726))</f>
        <v>2026</v>
      </c>
      <c r="K1726" s="26" t="n">
        <f aca="false">IF(A1726="","",MONTH(A1726))</f>
        <v>4</v>
      </c>
      <c r="L1726" s="26" t="n">
        <f aca="false">IF(B1726="","",VALUE(LEFT(B1726,2)))</f>
        <v>8</v>
      </c>
      <c r="M1726" s="26" t="n">
        <f aca="false">IF(A1726="","",IF(COUNTIFS($C$2:$C$5001,C1726,$J$2:$J$5001,J1726,$A$2:$A$5001,"&lt;"&amp;A1726)=0,1,0))</f>
        <v>0</v>
      </c>
    </row>
    <row r="1727" customFormat="false" ht="15" hidden="false" customHeight="false" outlineLevel="0" collapsed="false">
      <c r="A1727" s="23" t="n">
        <v>46122.44375</v>
      </c>
      <c r="B1727" s="24" t="s">
        <v>981</v>
      </c>
      <c r="C1727" s="24" t="s">
        <v>152</v>
      </c>
      <c r="D1727" s="24" t="s">
        <v>88</v>
      </c>
      <c r="E1727" s="24" t="n">
        <v>52</v>
      </c>
      <c r="F1727" s="25" t="n">
        <v>3000</v>
      </c>
      <c r="G1727" s="24" t="s">
        <v>54</v>
      </c>
      <c r="H1727" s="24" t="s">
        <v>60</v>
      </c>
      <c r="I1727" s="24" t="s">
        <v>61</v>
      </c>
      <c r="J1727" s="26" t="n">
        <f aca="false">IF(A1727="","",YEAR(A1727))</f>
        <v>2026</v>
      </c>
      <c r="K1727" s="26" t="n">
        <f aca="false">IF(A1727="","",MONTH(A1727))</f>
        <v>4</v>
      </c>
      <c r="L1727" s="26" t="n">
        <f aca="false">IF(B1727="","",VALUE(LEFT(B1727,2)))</f>
        <v>9</v>
      </c>
      <c r="M1727" s="26" t="n">
        <f aca="false">IF(A1727="","",IF(COUNTIFS($C$2:$C$5001,C1727,$J$2:$J$5001,J1727,$A$2:$A$5001,"&lt;"&amp;A1727)=0,1,0))</f>
        <v>0</v>
      </c>
    </row>
    <row r="1728" customFormat="false" ht="15" hidden="false" customHeight="false" outlineLevel="0" collapsed="false">
      <c r="A1728" s="23" t="n">
        <v>46122.6097222222</v>
      </c>
      <c r="B1728" s="24" t="s">
        <v>626</v>
      </c>
      <c r="C1728" s="24" t="s">
        <v>463</v>
      </c>
      <c r="D1728" s="24" t="s">
        <v>66</v>
      </c>
      <c r="E1728" s="24" t="n">
        <v>254</v>
      </c>
      <c r="F1728" s="25" t="n">
        <v>9000</v>
      </c>
      <c r="G1728" s="24" t="s">
        <v>69</v>
      </c>
      <c r="H1728" s="24" t="s">
        <v>60</v>
      </c>
      <c r="I1728" s="24" t="s">
        <v>61</v>
      </c>
      <c r="J1728" s="26" t="n">
        <f aca="false">IF(A1728="","",YEAR(A1728))</f>
        <v>2026</v>
      </c>
      <c r="K1728" s="26" t="n">
        <f aca="false">IF(A1728="","",MONTH(A1728))</f>
        <v>4</v>
      </c>
      <c r="L1728" s="26" t="n">
        <f aca="false">IF(B1728="","",VALUE(LEFT(B1728,2)))</f>
        <v>10</v>
      </c>
      <c r="M1728" s="26" t="n">
        <f aca="false">IF(A1728="","",IF(COUNTIFS($C$2:$C$5001,C1728,$J$2:$J$5001,J1728,$A$2:$A$5001,"&lt;"&amp;A1728)=0,1,0))</f>
        <v>1</v>
      </c>
    </row>
    <row r="1729" customFormat="false" ht="15" hidden="false" customHeight="false" outlineLevel="0" collapsed="false">
      <c r="A1729" s="23" t="n">
        <v>46122.6722222222</v>
      </c>
      <c r="B1729" s="24" t="s">
        <v>335</v>
      </c>
      <c r="C1729" s="24" t="s">
        <v>71</v>
      </c>
      <c r="D1729" s="24" t="s">
        <v>53</v>
      </c>
      <c r="E1729" s="24" t="n">
        <v>366</v>
      </c>
      <c r="F1729" s="25" t="n">
        <v>6500</v>
      </c>
      <c r="G1729" s="24" t="s">
        <v>83</v>
      </c>
      <c r="H1729" s="24" t="s">
        <v>60</v>
      </c>
      <c r="I1729" s="24" t="s">
        <v>61</v>
      </c>
      <c r="J1729" s="26" t="n">
        <f aca="false">IF(A1729="","",YEAR(A1729))</f>
        <v>2026</v>
      </c>
      <c r="K1729" s="26" t="n">
        <f aca="false">IF(A1729="","",MONTH(A1729))</f>
        <v>4</v>
      </c>
      <c r="L1729" s="26" t="n">
        <f aca="false">IF(B1729="","",VALUE(LEFT(B1729,2)))</f>
        <v>10</v>
      </c>
      <c r="M1729" s="26" t="n">
        <f aca="false">IF(A1729="","",IF(COUNTIFS($C$2:$C$5001,C1729,$J$2:$J$5001,J1729,$A$2:$A$5001,"&lt;"&amp;A1729)=0,1,0))</f>
        <v>0</v>
      </c>
    </row>
    <row r="1730" customFormat="false" ht="15" hidden="false" customHeight="false" outlineLevel="0" collapsed="false">
      <c r="A1730" s="23" t="n">
        <v>46122.69375</v>
      </c>
      <c r="B1730" s="24" t="s">
        <v>119</v>
      </c>
      <c r="C1730" s="24" t="s">
        <v>158</v>
      </c>
      <c r="D1730" s="24" t="s">
        <v>66</v>
      </c>
      <c r="E1730" s="24" t="n">
        <v>179</v>
      </c>
      <c r="F1730" s="25" t="n">
        <v>6000</v>
      </c>
      <c r="G1730" s="24" t="s">
        <v>59</v>
      </c>
      <c r="H1730" s="24" t="s">
        <v>60</v>
      </c>
      <c r="I1730" s="24" t="s">
        <v>61</v>
      </c>
      <c r="J1730" s="26" t="n">
        <f aca="false">IF(A1730="","",YEAR(A1730))</f>
        <v>2026</v>
      </c>
      <c r="K1730" s="26" t="n">
        <f aca="false">IF(A1730="","",MONTH(A1730))</f>
        <v>4</v>
      </c>
      <c r="L1730" s="26" t="n">
        <f aca="false">IF(B1730="","",VALUE(LEFT(B1730,2)))</f>
        <v>13</v>
      </c>
      <c r="M1730" s="26" t="n">
        <f aca="false">IF(A1730="","",IF(COUNTIFS($C$2:$C$5001,C1730,$J$2:$J$5001,J1730,$A$2:$A$5001,"&lt;"&amp;A1730)=0,1,0))</f>
        <v>0</v>
      </c>
    </row>
    <row r="1731" customFormat="false" ht="15" hidden="false" customHeight="false" outlineLevel="0" collapsed="false">
      <c r="A1731" s="23" t="n">
        <v>46122.7541666667</v>
      </c>
      <c r="B1731" s="24" t="s">
        <v>279</v>
      </c>
      <c r="C1731" s="24" t="s">
        <v>141</v>
      </c>
      <c r="D1731" s="24" t="s">
        <v>53</v>
      </c>
      <c r="E1731" s="24" t="n">
        <v>41</v>
      </c>
      <c r="F1731" s="25" t="n">
        <v>1000</v>
      </c>
      <c r="G1731" s="24" t="s">
        <v>59</v>
      </c>
      <c r="H1731" s="24" t="s">
        <v>80</v>
      </c>
      <c r="I1731" s="24" t="s">
        <v>61</v>
      </c>
      <c r="J1731" s="26" t="n">
        <f aca="false">IF(A1731="","",YEAR(A1731))</f>
        <v>2026</v>
      </c>
      <c r="K1731" s="26" t="n">
        <f aca="false">IF(A1731="","",MONTH(A1731))</f>
        <v>4</v>
      </c>
      <c r="L1731" s="26" t="n">
        <f aca="false">IF(B1731="","",VALUE(LEFT(B1731,2)))</f>
        <v>17</v>
      </c>
      <c r="M1731" s="26" t="n">
        <f aca="false">IF(A1731="","",IF(COUNTIFS($C$2:$C$5001,C1731,$J$2:$J$5001,J1731,$A$2:$A$5001,"&lt;"&amp;A1731)=0,1,0))</f>
        <v>0</v>
      </c>
    </row>
    <row r="1732" customFormat="false" ht="15" hidden="false" customHeight="false" outlineLevel="0" collapsed="false">
      <c r="A1732" s="23" t="n">
        <v>46122.8291666667</v>
      </c>
      <c r="B1732" s="24" t="s">
        <v>338</v>
      </c>
      <c r="C1732" s="24" t="s">
        <v>552</v>
      </c>
      <c r="D1732" s="24" t="s">
        <v>53</v>
      </c>
      <c r="E1732" s="24" t="n">
        <v>413</v>
      </c>
      <c r="F1732" s="25" t="n">
        <v>7000</v>
      </c>
      <c r="G1732" s="24" t="s">
        <v>59</v>
      </c>
      <c r="H1732" s="24" t="s">
        <v>55</v>
      </c>
      <c r="I1732" s="24" t="s">
        <v>61</v>
      </c>
      <c r="J1732" s="26" t="n">
        <f aca="false">IF(A1732="","",YEAR(A1732))</f>
        <v>2026</v>
      </c>
      <c r="K1732" s="26" t="n">
        <f aca="false">IF(A1732="","",MONTH(A1732))</f>
        <v>4</v>
      </c>
      <c r="L1732" s="26" t="n">
        <f aca="false">IF(B1732="","",VALUE(LEFT(B1732,2)))</f>
        <v>13</v>
      </c>
      <c r="M1732" s="26" t="n">
        <f aca="false">IF(A1732="","",IF(COUNTIFS($C$2:$C$5001,C1732,$J$2:$J$5001,J1732,$A$2:$A$5001,"&lt;"&amp;A1732)=0,1,0))</f>
        <v>1</v>
      </c>
    </row>
    <row r="1733" customFormat="false" ht="15" hidden="false" customHeight="false" outlineLevel="0" collapsed="false">
      <c r="A1733" s="23" t="n">
        <v>46122.9013888889</v>
      </c>
      <c r="B1733" s="24" t="s">
        <v>568</v>
      </c>
      <c r="C1733" s="24" t="s">
        <v>94</v>
      </c>
      <c r="D1733" s="24" t="s">
        <v>66</v>
      </c>
      <c r="E1733" s="24" t="n">
        <v>112</v>
      </c>
      <c r="F1733" s="25" t="n">
        <v>4000</v>
      </c>
      <c r="G1733" s="24" t="s">
        <v>69</v>
      </c>
      <c r="H1733" s="24" t="s">
        <v>55</v>
      </c>
      <c r="I1733" s="24" t="s">
        <v>61</v>
      </c>
      <c r="J1733" s="26" t="n">
        <f aca="false">IF(A1733="","",YEAR(A1733))</f>
        <v>2026</v>
      </c>
      <c r="K1733" s="26" t="n">
        <f aca="false">IF(A1733="","",MONTH(A1733))</f>
        <v>4</v>
      </c>
      <c r="L1733" s="26" t="n">
        <f aca="false">IF(B1733="","",VALUE(LEFT(B1733,2)))</f>
        <v>19</v>
      </c>
      <c r="M1733" s="26" t="n">
        <f aca="false">IF(A1733="","",IF(COUNTIFS($C$2:$C$5001,C1733,$J$2:$J$5001,J1733,$A$2:$A$5001,"&lt;"&amp;A1733)=0,1,0))</f>
        <v>0</v>
      </c>
    </row>
    <row r="1734" customFormat="false" ht="15" hidden="false" customHeight="false" outlineLevel="0" collapsed="false">
      <c r="A1734" s="23" t="n">
        <v>46123.0604166667</v>
      </c>
      <c r="B1734" s="24" t="s">
        <v>465</v>
      </c>
      <c r="C1734" s="24" t="s">
        <v>243</v>
      </c>
      <c r="D1734" s="24" t="s">
        <v>66</v>
      </c>
      <c r="E1734" s="24" t="n">
        <v>368</v>
      </c>
      <c r="F1734" s="25" t="n">
        <v>13000</v>
      </c>
      <c r="G1734" s="24" t="s">
        <v>69</v>
      </c>
      <c r="H1734" s="24" t="s">
        <v>80</v>
      </c>
      <c r="I1734" s="24" t="s">
        <v>61</v>
      </c>
      <c r="J1734" s="26" t="n">
        <f aca="false">IF(A1734="","",YEAR(A1734))</f>
        <v>2026</v>
      </c>
      <c r="K1734" s="26" t="n">
        <f aca="false">IF(A1734="","",MONTH(A1734))</f>
        <v>4</v>
      </c>
      <c r="L1734" s="26" t="n">
        <f aca="false">IF(B1734="","",VALUE(LEFT(B1734,2)))</f>
        <v>19</v>
      </c>
      <c r="M1734" s="26" t="n">
        <f aca="false">IF(A1734="","",IF(COUNTIFS($C$2:$C$5001,C1734,$J$2:$J$5001,J1734,$A$2:$A$5001,"&lt;"&amp;A1734)=0,1,0))</f>
        <v>0</v>
      </c>
    </row>
    <row r="1735" customFormat="false" ht="15" hidden="false" customHeight="false" outlineLevel="0" collapsed="false">
      <c r="A1735" s="23" t="n">
        <v>46123.5263888889</v>
      </c>
      <c r="B1735" s="24" t="s">
        <v>712</v>
      </c>
      <c r="C1735" s="24" t="s">
        <v>188</v>
      </c>
      <c r="D1735" s="24" t="s">
        <v>66</v>
      </c>
      <c r="E1735" s="24" t="n">
        <v>245</v>
      </c>
      <c r="F1735" s="25" t="n">
        <v>9000</v>
      </c>
      <c r="G1735" s="24" t="s">
        <v>59</v>
      </c>
      <c r="H1735" s="24" t="s">
        <v>55</v>
      </c>
      <c r="I1735" s="24" t="s">
        <v>61</v>
      </c>
      <c r="J1735" s="26" t="n">
        <f aca="false">IF(A1735="","",YEAR(A1735))</f>
        <v>2026</v>
      </c>
      <c r="K1735" s="26" t="n">
        <f aca="false">IF(A1735="","",MONTH(A1735))</f>
        <v>4</v>
      </c>
      <c r="L1735" s="26" t="n">
        <f aca="false">IF(B1735="","",VALUE(LEFT(B1735,2)))</f>
        <v>8</v>
      </c>
      <c r="M1735" s="26" t="n">
        <f aca="false">IF(A1735="","",IF(COUNTIFS($C$2:$C$5001,C1735,$J$2:$J$5001,J1735,$A$2:$A$5001,"&lt;"&amp;A1735)=0,1,0))</f>
        <v>0</v>
      </c>
    </row>
    <row r="1736" customFormat="false" ht="15" hidden="false" customHeight="false" outlineLevel="0" collapsed="false">
      <c r="A1736" s="23" t="n">
        <v>46123.5277777778</v>
      </c>
      <c r="B1736" s="24" t="s">
        <v>981</v>
      </c>
      <c r="C1736" s="24" t="s">
        <v>436</v>
      </c>
      <c r="D1736" s="24" t="s">
        <v>66</v>
      </c>
      <c r="E1736" s="24" t="n">
        <v>173</v>
      </c>
      <c r="F1736" s="25" t="n">
        <v>0</v>
      </c>
      <c r="G1736" s="24" t="s">
        <v>59</v>
      </c>
      <c r="H1736" s="24" t="s">
        <v>60</v>
      </c>
      <c r="I1736" s="24" t="s">
        <v>56</v>
      </c>
      <c r="J1736" s="26" t="n">
        <f aca="false">IF(A1736="","",YEAR(A1736))</f>
        <v>2026</v>
      </c>
      <c r="K1736" s="26" t="n">
        <f aca="false">IF(A1736="","",MONTH(A1736))</f>
        <v>4</v>
      </c>
      <c r="L1736" s="26" t="n">
        <f aca="false">IF(B1736="","",VALUE(LEFT(B1736,2)))</f>
        <v>9</v>
      </c>
      <c r="M1736" s="26" t="n">
        <f aca="false">IF(A1736="","",IF(COUNTIFS($C$2:$C$5001,C1736,$J$2:$J$5001,J1736,$A$2:$A$5001,"&lt;"&amp;A1736)=0,1,0))</f>
        <v>0</v>
      </c>
    </row>
    <row r="1737" customFormat="false" ht="15" hidden="false" customHeight="false" outlineLevel="0" collapsed="false">
      <c r="A1737" s="23" t="n">
        <v>46123.5604166667</v>
      </c>
      <c r="B1737" s="24" t="s">
        <v>489</v>
      </c>
      <c r="C1737" s="24" t="s">
        <v>436</v>
      </c>
      <c r="D1737" s="24" t="s">
        <v>66</v>
      </c>
      <c r="E1737" s="24" t="n">
        <v>362</v>
      </c>
      <c r="F1737" s="25" t="n">
        <v>13000</v>
      </c>
      <c r="G1737" s="24" t="s">
        <v>59</v>
      </c>
      <c r="H1737" s="24" t="s">
        <v>60</v>
      </c>
      <c r="I1737" s="24" t="s">
        <v>61</v>
      </c>
      <c r="J1737" s="26" t="n">
        <f aca="false">IF(A1737="","",YEAR(A1737))</f>
        <v>2026</v>
      </c>
      <c r="K1737" s="26" t="n">
        <f aca="false">IF(A1737="","",MONTH(A1737))</f>
        <v>4</v>
      </c>
      <c r="L1737" s="26" t="n">
        <f aca="false">IF(B1737="","",VALUE(LEFT(B1737,2)))</f>
        <v>7</v>
      </c>
      <c r="M1737" s="26" t="n">
        <f aca="false">IF(A1737="","",IF(COUNTIFS($C$2:$C$5001,C1737,$J$2:$J$5001,J1737,$A$2:$A$5001,"&lt;"&amp;A1737)=0,1,0))</f>
        <v>0</v>
      </c>
    </row>
    <row r="1738" customFormat="false" ht="15" hidden="false" customHeight="false" outlineLevel="0" collapsed="false">
      <c r="A1738" s="23" t="n">
        <v>46123.5805555556</v>
      </c>
      <c r="B1738" s="24" t="s">
        <v>272</v>
      </c>
      <c r="C1738" s="24" t="s">
        <v>164</v>
      </c>
      <c r="D1738" s="24" t="s">
        <v>53</v>
      </c>
      <c r="E1738" s="24" t="n">
        <v>319</v>
      </c>
      <c r="F1738" s="25" t="n">
        <v>5500</v>
      </c>
      <c r="G1738" s="24" t="s">
        <v>59</v>
      </c>
      <c r="H1738" s="24" t="s">
        <v>55</v>
      </c>
      <c r="I1738" s="24" t="s">
        <v>61</v>
      </c>
      <c r="J1738" s="26" t="n">
        <f aca="false">IF(A1738="","",YEAR(A1738))</f>
        <v>2026</v>
      </c>
      <c r="K1738" s="26" t="n">
        <f aca="false">IF(A1738="","",MONTH(A1738))</f>
        <v>4</v>
      </c>
      <c r="L1738" s="26" t="n">
        <f aca="false">IF(B1738="","",VALUE(LEFT(B1738,2)))</f>
        <v>8</v>
      </c>
      <c r="M1738" s="26" t="n">
        <f aca="false">IF(A1738="","",IF(COUNTIFS($C$2:$C$5001,C1738,$J$2:$J$5001,J1738,$A$2:$A$5001,"&lt;"&amp;A1738)=0,1,0))</f>
        <v>0</v>
      </c>
    </row>
    <row r="1739" customFormat="false" ht="15" hidden="false" customHeight="false" outlineLevel="0" collapsed="false">
      <c r="A1739" s="23" t="n">
        <v>46123.6173611111</v>
      </c>
      <c r="B1739" s="24" t="s">
        <v>704</v>
      </c>
      <c r="C1739" s="24" t="s">
        <v>52</v>
      </c>
      <c r="D1739" s="24" t="s">
        <v>88</v>
      </c>
      <c r="E1739" s="24" t="n">
        <v>323</v>
      </c>
      <c r="F1739" s="25" t="n">
        <v>16500</v>
      </c>
      <c r="G1739" s="24" t="s">
        <v>59</v>
      </c>
      <c r="H1739" s="24" t="s">
        <v>60</v>
      </c>
      <c r="I1739" s="24" t="s">
        <v>61</v>
      </c>
      <c r="J1739" s="26" t="n">
        <f aca="false">IF(A1739="","",YEAR(A1739))</f>
        <v>2026</v>
      </c>
      <c r="K1739" s="26" t="n">
        <f aca="false">IF(A1739="","",MONTH(A1739))</f>
        <v>4</v>
      </c>
      <c r="L1739" s="26" t="n">
        <f aca="false">IF(B1739="","",VALUE(LEFT(B1739,2)))</f>
        <v>9</v>
      </c>
      <c r="M1739" s="26" t="n">
        <f aca="false">IF(A1739="","",IF(COUNTIFS($C$2:$C$5001,C1739,$J$2:$J$5001,J1739,$A$2:$A$5001,"&lt;"&amp;A1739)=0,1,0))</f>
        <v>0</v>
      </c>
    </row>
    <row r="1740" customFormat="false" ht="15" hidden="false" customHeight="false" outlineLevel="0" collapsed="false">
      <c r="A1740" s="23" t="n">
        <v>46123.6368055556</v>
      </c>
      <c r="B1740" s="24" t="s">
        <v>624</v>
      </c>
      <c r="C1740" s="24" t="s">
        <v>324</v>
      </c>
      <c r="D1740" s="24" t="s">
        <v>53</v>
      </c>
      <c r="E1740" s="24" t="n">
        <v>405</v>
      </c>
      <c r="F1740" s="25" t="n">
        <v>7000</v>
      </c>
      <c r="G1740" s="24" t="s">
        <v>59</v>
      </c>
      <c r="H1740" s="24" t="s">
        <v>80</v>
      </c>
      <c r="I1740" s="24" t="s">
        <v>61</v>
      </c>
      <c r="J1740" s="26" t="n">
        <f aca="false">IF(A1740="","",YEAR(A1740))</f>
        <v>2026</v>
      </c>
      <c r="K1740" s="26" t="n">
        <f aca="false">IF(A1740="","",MONTH(A1740))</f>
        <v>4</v>
      </c>
      <c r="L1740" s="26" t="n">
        <f aca="false">IF(B1740="","",VALUE(LEFT(B1740,2)))</f>
        <v>8</v>
      </c>
      <c r="M1740" s="26" t="n">
        <f aca="false">IF(A1740="","",IF(COUNTIFS($C$2:$C$5001,C1740,$J$2:$J$5001,J1740,$A$2:$A$5001,"&lt;"&amp;A1740)=0,1,0))</f>
        <v>0</v>
      </c>
    </row>
    <row r="1741" customFormat="false" ht="15" hidden="false" customHeight="false" outlineLevel="0" collapsed="false">
      <c r="A1741" s="23" t="n">
        <v>46123.6930555556</v>
      </c>
      <c r="B1741" s="24" t="s">
        <v>843</v>
      </c>
      <c r="C1741" s="24" t="s">
        <v>552</v>
      </c>
      <c r="D1741" s="24" t="s">
        <v>53</v>
      </c>
      <c r="E1741" s="24" t="n">
        <v>320</v>
      </c>
      <c r="F1741" s="25" t="n">
        <v>4675</v>
      </c>
      <c r="G1741" s="24" t="s">
        <v>54</v>
      </c>
      <c r="H1741" s="24" t="s">
        <v>55</v>
      </c>
      <c r="I1741" s="24" t="s">
        <v>113</v>
      </c>
      <c r="J1741" s="26" t="n">
        <f aca="false">IF(A1741="","",YEAR(A1741))</f>
        <v>2026</v>
      </c>
      <c r="K1741" s="26" t="n">
        <f aca="false">IF(A1741="","",MONTH(A1741))</f>
        <v>4</v>
      </c>
      <c r="L1741" s="26" t="n">
        <f aca="false">IF(B1741="","",VALUE(LEFT(B1741,2)))</f>
        <v>11</v>
      </c>
      <c r="M1741" s="26" t="n">
        <f aca="false">IF(A1741="","",IF(COUNTIFS($C$2:$C$5001,C1741,$J$2:$J$5001,J1741,$A$2:$A$5001,"&lt;"&amp;A1741)=0,1,0))</f>
        <v>0</v>
      </c>
    </row>
    <row r="1742" customFormat="false" ht="15" hidden="false" customHeight="false" outlineLevel="0" collapsed="false">
      <c r="A1742" s="23" t="n">
        <v>46123.7159722222</v>
      </c>
      <c r="B1742" s="24" t="s">
        <v>337</v>
      </c>
      <c r="C1742" s="24" t="s">
        <v>82</v>
      </c>
      <c r="D1742" s="24" t="s">
        <v>53</v>
      </c>
      <c r="E1742" s="24" t="n">
        <v>326</v>
      </c>
      <c r="F1742" s="25" t="n">
        <v>5500</v>
      </c>
      <c r="G1742" s="24" t="s">
        <v>59</v>
      </c>
      <c r="H1742" s="24" t="s">
        <v>55</v>
      </c>
      <c r="I1742" s="24" t="s">
        <v>61</v>
      </c>
      <c r="J1742" s="26" t="n">
        <f aca="false">IF(A1742="","",YEAR(A1742))</f>
        <v>2026</v>
      </c>
      <c r="K1742" s="26" t="n">
        <f aca="false">IF(A1742="","",MONTH(A1742))</f>
        <v>4</v>
      </c>
      <c r="L1742" s="26" t="n">
        <f aca="false">IF(B1742="","",VALUE(LEFT(B1742,2)))</f>
        <v>11</v>
      </c>
      <c r="M1742" s="26" t="n">
        <f aca="false">IF(A1742="","",IF(COUNTIFS($C$2:$C$5001,C1742,$J$2:$J$5001,J1742,$A$2:$A$5001,"&lt;"&amp;A1742)=0,1,0))</f>
        <v>0</v>
      </c>
    </row>
    <row r="1743" customFormat="false" ht="15" hidden="false" customHeight="false" outlineLevel="0" collapsed="false">
      <c r="A1743" s="23" t="n">
        <v>46123.7458333333</v>
      </c>
      <c r="B1743" s="24" t="s">
        <v>619</v>
      </c>
      <c r="C1743" s="24" t="s">
        <v>201</v>
      </c>
      <c r="D1743" s="24" t="s">
        <v>66</v>
      </c>
      <c r="E1743" s="24" t="n">
        <v>35</v>
      </c>
      <c r="F1743" s="25" t="n">
        <v>0</v>
      </c>
      <c r="G1743" s="24" t="s">
        <v>59</v>
      </c>
      <c r="H1743" s="24" t="s">
        <v>60</v>
      </c>
      <c r="I1743" s="24" t="s">
        <v>56</v>
      </c>
      <c r="J1743" s="26" t="n">
        <f aca="false">IF(A1743="","",YEAR(A1743))</f>
        <v>2026</v>
      </c>
      <c r="K1743" s="26" t="n">
        <f aca="false">IF(A1743="","",MONTH(A1743))</f>
        <v>4</v>
      </c>
      <c r="L1743" s="26" t="n">
        <f aca="false">IF(B1743="","",VALUE(LEFT(B1743,2)))</f>
        <v>17</v>
      </c>
      <c r="M1743" s="26" t="n">
        <f aca="false">IF(A1743="","",IF(COUNTIFS($C$2:$C$5001,C1743,$J$2:$J$5001,J1743,$A$2:$A$5001,"&lt;"&amp;A1743)=0,1,0))</f>
        <v>0</v>
      </c>
    </row>
    <row r="1744" customFormat="false" ht="15" hidden="false" customHeight="false" outlineLevel="0" collapsed="false">
      <c r="A1744" s="23" t="n">
        <v>46123.9020833333</v>
      </c>
      <c r="B1744" s="24" t="s">
        <v>440</v>
      </c>
      <c r="C1744" s="24" t="s">
        <v>197</v>
      </c>
      <c r="D1744" s="24" t="s">
        <v>53</v>
      </c>
      <c r="E1744" s="24" t="n">
        <v>231</v>
      </c>
      <c r="F1744" s="25" t="n">
        <v>4000</v>
      </c>
      <c r="G1744" s="24" t="s">
        <v>69</v>
      </c>
      <c r="H1744" s="24" t="s">
        <v>80</v>
      </c>
      <c r="I1744" s="24" t="s">
        <v>61</v>
      </c>
      <c r="J1744" s="26" t="n">
        <f aca="false">IF(A1744="","",YEAR(A1744))</f>
        <v>2026</v>
      </c>
      <c r="K1744" s="26" t="n">
        <f aca="false">IF(A1744="","",MONTH(A1744))</f>
        <v>4</v>
      </c>
      <c r="L1744" s="26" t="n">
        <f aca="false">IF(B1744="","",VALUE(LEFT(B1744,2)))</f>
        <v>17</v>
      </c>
      <c r="M1744" s="26" t="n">
        <f aca="false">IF(A1744="","",IF(COUNTIFS($C$2:$C$5001,C1744,$J$2:$J$5001,J1744,$A$2:$A$5001,"&lt;"&amp;A1744)=0,1,0))</f>
        <v>0</v>
      </c>
    </row>
    <row r="1745" customFormat="false" ht="15" hidden="false" customHeight="false" outlineLevel="0" collapsed="false">
      <c r="A1745" s="23" t="n">
        <v>46124.31875</v>
      </c>
      <c r="B1745" s="24" t="s">
        <v>962</v>
      </c>
      <c r="C1745" s="24" t="s">
        <v>120</v>
      </c>
      <c r="D1745" s="24" t="s">
        <v>66</v>
      </c>
      <c r="E1745" s="24" t="n">
        <v>79</v>
      </c>
      <c r="F1745" s="25" t="n">
        <v>2550</v>
      </c>
      <c r="G1745" s="24" t="s">
        <v>83</v>
      </c>
      <c r="H1745" s="24" t="s">
        <v>60</v>
      </c>
      <c r="I1745" s="24" t="s">
        <v>113</v>
      </c>
      <c r="J1745" s="26" t="n">
        <f aca="false">IF(A1745="","",YEAR(A1745))</f>
        <v>2026</v>
      </c>
      <c r="K1745" s="26" t="n">
        <f aca="false">IF(A1745="","",MONTH(A1745))</f>
        <v>4</v>
      </c>
      <c r="L1745" s="26" t="n">
        <f aca="false">IF(B1745="","",VALUE(LEFT(B1745,2)))</f>
        <v>6</v>
      </c>
      <c r="M1745" s="26" t="n">
        <f aca="false">IF(A1745="","",IF(COUNTIFS($C$2:$C$5001,C1745,$J$2:$J$5001,J1745,$A$2:$A$5001,"&lt;"&amp;A1745)=0,1,0))</f>
        <v>0</v>
      </c>
    </row>
    <row r="1746" customFormat="false" ht="15" hidden="false" customHeight="false" outlineLevel="0" collapsed="false">
      <c r="A1746" s="23" t="n">
        <v>46124.4236111111</v>
      </c>
      <c r="B1746" s="24" t="s">
        <v>912</v>
      </c>
      <c r="C1746" s="24" t="s">
        <v>90</v>
      </c>
      <c r="D1746" s="24" t="s">
        <v>53</v>
      </c>
      <c r="E1746" s="24" t="n">
        <v>123</v>
      </c>
      <c r="F1746" s="25" t="n">
        <v>2500</v>
      </c>
      <c r="G1746" s="24" t="s">
        <v>59</v>
      </c>
      <c r="H1746" s="24" t="s">
        <v>60</v>
      </c>
      <c r="I1746" s="24" t="s">
        <v>61</v>
      </c>
      <c r="J1746" s="26" t="n">
        <f aca="false">IF(A1746="","",YEAR(A1746))</f>
        <v>2026</v>
      </c>
      <c r="K1746" s="26" t="n">
        <f aca="false">IF(A1746="","",MONTH(A1746))</f>
        <v>4</v>
      </c>
      <c r="L1746" s="26" t="n">
        <f aca="false">IF(B1746="","",VALUE(LEFT(B1746,2)))</f>
        <v>8</v>
      </c>
      <c r="M1746" s="26" t="n">
        <f aca="false">IF(A1746="","",IF(COUNTIFS($C$2:$C$5001,C1746,$J$2:$J$5001,J1746,$A$2:$A$5001,"&lt;"&amp;A1746)=0,1,0))</f>
        <v>0</v>
      </c>
    </row>
    <row r="1747" customFormat="false" ht="15" hidden="false" customHeight="false" outlineLevel="0" collapsed="false">
      <c r="A1747" s="23" t="n">
        <v>46124.5236111111</v>
      </c>
      <c r="B1747" s="24" t="s">
        <v>153</v>
      </c>
      <c r="C1747" s="24" t="s">
        <v>179</v>
      </c>
      <c r="D1747" s="24" t="s">
        <v>66</v>
      </c>
      <c r="E1747" s="24" t="n">
        <v>239</v>
      </c>
      <c r="F1747" s="25" t="n">
        <v>8000</v>
      </c>
      <c r="G1747" s="24" t="s">
        <v>59</v>
      </c>
      <c r="H1747" s="24" t="s">
        <v>80</v>
      </c>
      <c r="I1747" s="24" t="s">
        <v>61</v>
      </c>
      <c r="J1747" s="26" t="n">
        <f aca="false">IF(A1747="","",YEAR(A1747))</f>
        <v>2026</v>
      </c>
      <c r="K1747" s="26" t="n">
        <f aca="false">IF(A1747="","",MONTH(A1747))</f>
        <v>4</v>
      </c>
      <c r="L1747" s="26" t="n">
        <f aca="false">IF(B1747="","",VALUE(LEFT(B1747,2)))</f>
        <v>8</v>
      </c>
      <c r="M1747" s="26" t="n">
        <f aca="false">IF(A1747="","",IF(COUNTIFS($C$2:$C$5001,C1747,$J$2:$J$5001,J1747,$A$2:$A$5001,"&lt;"&amp;A1747)=0,1,0))</f>
        <v>0</v>
      </c>
    </row>
    <row r="1748" customFormat="false" ht="15" hidden="false" customHeight="false" outlineLevel="0" collapsed="false">
      <c r="A1748" s="23" t="n">
        <v>46125.5083333333</v>
      </c>
      <c r="B1748" s="24" t="s">
        <v>350</v>
      </c>
      <c r="C1748" s="24" t="s">
        <v>110</v>
      </c>
      <c r="D1748" s="24" t="s">
        <v>66</v>
      </c>
      <c r="E1748" s="24" t="n">
        <v>262</v>
      </c>
      <c r="F1748" s="25" t="n">
        <v>0</v>
      </c>
      <c r="G1748" s="24" t="s">
        <v>59</v>
      </c>
      <c r="H1748" s="24" t="s">
        <v>55</v>
      </c>
      <c r="I1748" s="24" t="s">
        <v>56</v>
      </c>
      <c r="J1748" s="26" t="n">
        <f aca="false">IF(A1748="","",YEAR(A1748))</f>
        <v>2026</v>
      </c>
      <c r="K1748" s="26" t="n">
        <f aca="false">IF(A1748="","",MONTH(A1748))</f>
        <v>4</v>
      </c>
      <c r="L1748" s="26" t="n">
        <f aca="false">IF(B1748="","",VALUE(LEFT(B1748,2)))</f>
        <v>7</v>
      </c>
      <c r="M1748" s="26" t="n">
        <f aca="false">IF(A1748="","",IF(COUNTIFS($C$2:$C$5001,C1748,$J$2:$J$5001,J1748,$A$2:$A$5001,"&lt;"&amp;A1748)=0,1,0))</f>
        <v>0</v>
      </c>
    </row>
    <row r="1749" customFormat="false" ht="15" hidden="false" customHeight="false" outlineLevel="0" collapsed="false">
      <c r="A1749" s="23" t="n">
        <v>46125.5291666667</v>
      </c>
      <c r="B1749" s="24" t="s">
        <v>280</v>
      </c>
      <c r="C1749" s="24" t="s">
        <v>168</v>
      </c>
      <c r="D1749" s="24" t="s">
        <v>66</v>
      </c>
      <c r="E1749" s="24" t="n">
        <v>333</v>
      </c>
      <c r="F1749" s="25" t="n">
        <v>0</v>
      </c>
      <c r="G1749" s="24" t="s">
        <v>59</v>
      </c>
      <c r="H1749" s="24" t="s">
        <v>80</v>
      </c>
      <c r="I1749" s="24" t="s">
        <v>56</v>
      </c>
      <c r="J1749" s="26" t="n">
        <f aca="false">IF(A1749="","",YEAR(A1749))</f>
        <v>2026</v>
      </c>
      <c r="K1749" s="26" t="n">
        <f aca="false">IF(A1749="","",MONTH(A1749))</f>
        <v>4</v>
      </c>
      <c r="L1749" s="26" t="n">
        <f aca="false">IF(B1749="","",VALUE(LEFT(B1749,2)))</f>
        <v>7</v>
      </c>
      <c r="M1749" s="26" t="n">
        <f aca="false">IF(A1749="","",IF(COUNTIFS($C$2:$C$5001,C1749,$J$2:$J$5001,J1749,$A$2:$A$5001,"&lt;"&amp;A1749)=0,1,0))</f>
        <v>0</v>
      </c>
    </row>
    <row r="1750" customFormat="false" ht="15" hidden="false" customHeight="false" outlineLevel="0" collapsed="false">
      <c r="A1750" s="23" t="n">
        <v>46125.63125</v>
      </c>
      <c r="B1750" s="24" t="s">
        <v>516</v>
      </c>
      <c r="C1750" s="24" t="s">
        <v>85</v>
      </c>
      <c r="D1750" s="24" t="s">
        <v>66</v>
      </c>
      <c r="E1750" s="24" t="n">
        <v>197</v>
      </c>
      <c r="F1750" s="25" t="n">
        <v>7000</v>
      </c>
      <c r="G1750" s="24" t="s">
        <v>59</v>
      </c>
      <c r="H1750" s="24" t="s">
        <v>55</v>
      </c>
      <c r="I1750" s="24" t="s">
        <v>61</v>
      </c>
      <c r="J1750" s="26" t="n">
        <f aca="false">IF(A1750="","",YEAR(A1750))</f>
        <v>2026</v>
      </c>
      <c r="K1750" s="26" t="n">
        <f aca="false">IF(A1750="","",MONTH(A1750))</f>
        <v>4</v>
      </c>
      <c r="L1750" s="26" t="n">
        <f aca="false">IF(B1750="","",VALUE(LEFT(B1750,2)))</f>
        <v>11</v>
      </c>
      <c r="M1750" s="26" t="n">
        <f aca="false">IF(A1750="","",IF(COUNTIFS($C$2:$C$5001,C1750,$J$2:$J$5001,J1750,$A$2:$A$5001,"&lt;"&amp;A1750)=0,1,0))</f>
        <v>0</v>
      </c>
    </row>
    <row r="1751" customFormat="false" ht="15" hidden="false" customHeight="false" outlineLevel="0" collapsed="false">
      <c r="A1751" s="23" t="n">
        <v>46125.8</v>
      </c>
      <c r="B1751" s="24" t="s">
        <v>437</v>
      </c>
      <c r="C1751" s="24" t="s">
        <v>224</v>
      </c>
      <c r="D1751" s="24" t="s">
        <v>66</v>
      </c>
      <c r="E1751" s="24" t="n">
        <v>248</v>
      </c>
      <c r="F1751" s="25" t="n">
        <v>9000</v>
      </c>
      <c r="G1751" s="24" t="s">
        <v>59</v>
      </c>
      <c r="H1751" s="24" t="s">
        <v>80</v>
      </c>
      <c r="I1751" s="24" t="s">
        <v>61</v>
      </c>
      <c r="J1751" s="26" t="n">
        <f aca="false">IF(A1751="","",YEAR(A1751))</f>
        <v>2026</v>
      </c>
      <c r="K1751" s="26" t="n">
        <f aca="false">IF(A1751="","",MONTH(A1751))</f>
        <v>4</v>
      </c>
      <c r="L1751" s="26" t="n">
        <f aca="false">IF(B1751="","",VALUE(LEFT(B1751,2)))</f>
        <v>15</v>
      </c>
      <c r="M1751" s="26" t="n">
        <f aca="false">IF(A1751="","",IF(COUNTIFS($C$2:$C$5001,C1751,$J$2:$J$5001,J1751,$A$2:$A$5001,"&lt;"&amp;A1751)=0,1,0))</f>
        <v>0</v>
      </c>
    </row>
    <row r="1752" customFormat="false" ht="15" hidden="false" customHeight="false" outlineLevel="0" collapsed="false">
      <c r="A1752" s="23" t="n">
        <v>46125.8180555556</v>
      </c>
      <c r="B1752" s="24" t="s">
        <v>949</v>
      </c>
      <c r="C1752" s="24" t="s">
        <v>112</v>
      </c>
      <c r="D1752" s="24" t="s">
        <v>72</v>
      </c>
      <c r="E1752" s="24" t="n">
        <v>78</v>
      </c>
      <c r="F1752" s="25" t="n">
        <v>6000</v>
      </c>
      <c r="G1752" s="24" t="s">
        <v>59</v>
      </c>
      <c r="H1752" s="24" t="s">
        <v>80</v>
      </c>
      <c r="I1752" s="24" t="s">
        <v>61</v>
      </c>
      <c r="J1752" s="26" t="n">
        <f aca="false">IF(A1752="","",YEAR(A1752))</f>
        <v>2026</v>
      </c>
      <c r="K1752" s="26" t="n">
        <f aca="false">IF(A1752="","",MONTH(A1752))</f>
        <v>4</v>
      </c>
      <c r="L1752" s="26" t="n">
        <f aca="false">IF(B1752="","",VALUE(LEFT(B1752,2)))</f>
        <v>18</v>
      </c>
      <c r="M1752" s="26" t="n">
        <f aca="false">IF(A1752="","",IF(COUNTIFS($C$2:$C$5001,C1752,$J$2:$J$5001,J1752,$A$2:$A$5001,"&lt;"&amp;A1752)=0,1,0))</f>
        <v>0</v>
      </c>
    </row>
    <row r="1753" customFormat="false" ht="15" hidden="false" customHeight="false" outlineLevel="0" collapsed="false">
      <c r="A1753" s="23" t="n">
        <v>46125.9013888889</v>
      </c>
      <c r="B1753" s="24" t="s">
        <v>702</v>
      </c>
      <c r="C1753" s="24" t="s">
        <v>177</v>
      </c>
      <c r="D1753" s="24" t="s">
        <v>66</v>
      </c>
      <c r="E1753" s="24" t="n">
        <v>123</v>
      </c>
      <c r="F1753" s="25" t="n">
        <v>5000</v>
      </c>
      <c r="G1753" s="24" t="s">
        <v>59</v>
      </c>
      <c r="H1753" s="24" t="s">
        <v>55</v>
      </c>
      <c r="I1753" s="24" t="s">
        <v>61</v>
      </c>
      <c r="J1753" s="26" t="n">
        <f aca="false">IF(A1753="","",YEAR(A1753))</f>
        <v>2026</v>
      </c>
      <c r="K1753" s="26" t="n">
        <f aca="false">IF(A1753="","",MONTH(A1753))</f>
        <v>4</v>
      </c>
      <c r="L1753" s="26" t="n">
        <f aca="false">IF(B1753="","",VALUE(LEFT(B1753,2)))</f>
        <v>19</v>
      </c>
      <c r="M1753" s="26" t="n">
        <f aca="false">IF(A1753="","",IF(COUNTIFS($C$2:$C$5001,C1753,$J$2:$J$5001,J1753,$A$2:$A$5001,"&lt;"&amp;A1753)=0,1,0))</f>
        <v>0</v>
      </c>
    </row>
    <row r="1754" customFormat="false" ht="15" hidden="false" customHeight="false" outlineLevel="0" collapsed="false">
      <c r="A1754" s="23" t="n">
        <v>46126.5736111111</v>
      </c>
      <c r="B1754" s="24" t="s">
        <v>982</v>
      </c>
      <c r="C1754" s="24" t="s">
        <v>129</v>
      </c>
      <c r="D1754" s="24" t="s">
        <v>53</v>
      </c>
      <c r="E1754" s="24" t="n">
        <v>41</v>
      </c>
      <c r="F1754" s="25" t="n">
        <v>0</v>
      </c>
      <c r="G1754" s="24" t="s">
        <v>59</v>
      </c>
      <c r="H1754" s="24" t="s">
        <v>55</v>
      </c>
      <c r="I1754" s="24" t="s">
        <v>56</v>
      </c>
      <c r="J1754" s="26" t="n">
        <f aca="false">IF(A1754="","",YEAR(A1754))</f>
        <v>2026</v>
      </c>
      <c r="K1754" s="26" t="n">
        <f aca="false">IF(A1754="","",MONTH(A1754))</f>
        <v>4</v>
      </c>
      <c r="L1754" s="26" t="n">
        <f aca="false">IF(B1754="","",VALUE(LEFT(B1754,2)))</f>
        <v>13</v>
      </c>
      <c r="M1754" s="26" t="n">
        <f aca="false">IF(A1754="","",IF(COUNTIFS($C$2:$C$5001,C1754,$J$2:$J$5001,J1754,$A$2:$A$5001,"&lt;"&amp;A1754)=0,1,0))</f>
        <v>0</v>
      </c>
    </row>
    <row r="1755" customFormat="false" ht="15" hidden="false" customHeight="false" outlineLevel="0" collapsed="false">
      <c r="A1755" s="23" t="n">
        <v>46126.7006944444</v>
      </c>
      <c r="B1755" s="24" t="s">
        <v>811</v>
      </c>
      <c r="C1755" s="24" t="s">
        <v>102</v>
      </c>
      <c r="D1755" s="24" t="s">
        <v>66</v>
      </c>
      <c r="E1755" s="24" t="n">
        <v>292</v>
      </c>
      <c r="F1755" s="25" t="n">
        <v>10000</v>
      </c>
      <c r="G1755" s="24" t="s">
        <v>79</v>
      </c>
      <c r="H1755" s="24" t="s">
        <v>55</v>
      </c>
      <c r="I1755" s="24" t="s">
        <v>61</v>
      </c>
      <c r="J1755" s="26" t="n">
        <f aca="false">IF(A1755="","",YEAR(A1755))</f>
        <v>2026</v>
      </c>
      <c r="K1755" s="26" t="n">
        <f aca="false">IF(A1755="","",MONTH(A1755))</f>
        <v>4</v>
      </c>
      <c r="L1755" s="26" t="n">
        <f aca="false">IF(B1755="","",VALUE(LEFT(B1755,2)))</f>
        <v>11</v>
      </c>
      <c r="M1755" s="26" t="n">
        <f aca="false">IF(A1755="","",IF(COUNTIFS($C$2:$C$5001,C1755,$J$2:$J$5001,J1755,$A$2:$A$5001,"&lt;"&amp;A1755)=0,1,0))</f>
        <v>0</v>
      </c>
    </row>
    <row r="1756" customFormat="false" ht="15" hidden="false" customHeight="false" outlineLevel="0" collapsed="false">
      <c r="A1756" s="23" t="n">
        <v>46126.7652777778</v>
      </c>
      <c r="B1756" s="24" t="s">
        <v>983</v>
      </c>
      <c r="C1756" s="24" t="s">
        <v>68</v>
      </c>
      <c r="D1756" s="24" t="s">
        <v>66</v>
      </c>
      <c r="E1756" s="24" t="n">
        <v>171</v>
      </c>
      <c r="F1756" s="25" t="n">
        <v>6000</v>
      </c>
      <c r="G1756" s="24" t="s">
        <v>69</v>
      </c>
      <c r="H1756" s="24" t="s">
        <v>60</v>
      </c>
      <c r="I1756" s="24" t="s">
        <v>61</v>
      </c>
      <c r="J1756" s="26" t="n">
        <f aca="false">IF(A1756="","",YEAR(A1756))</f>
        <v>2026</v>
      </c>
      <c r="K1756" s="26" t="n">
        <f aca="false">IF(A1756="","",MONTH(A1756))</f>
        <v>4</v>
      </c>
      <c r="L1756" s="26" t="n">
        <f aca="false">IF(B1756="","",VALUE(LEFT(B1756,2)))</f>
        <v>15</v>
      </c>
      <c r="M1756" s="26" t="n">
        <f aca="false">IF(A1756="","",IF(COUNTIFS($C$2:$C$5001,C1756,$J$2:$J$5001,J1756,$A$2:$A$5001,"&lt;"&amp;A1756)=0,1,0))</f>
        <v>0</v>
      </c>
    </row>
    <row r="1757" customFormat="false" ht="15" hidden="false" customHeight="false" outlineLevel="0" collapsed="false">
      <c r="A1757" s="23" t="n">
        <v>46126.8159722222</v>
      </c>
      <c r="B1757" s="24" t="s">
        <v>77</v>
      </c>
      <c r="C1757" s="24" t="s">
        <v>442</v>
      </c>
      <c r="D1757" s="24" t="s">
        <v>66</v>
      </c>
      <c r="E1757" s="24" t="n">
        <v>214</v>
      </c>
      <c r="F1757" s="25" t="n">
        <v>0</v>
      </c>
      <c r="G1757" s="24" t="s">
        <v>69</v>
      </c>
      <c r="H1757" s="24" t="s">
        <v>80</v>
      </c>
      <c r="I1757" s="24" t="s">
        <v>56</v>
      </c>
      <c r="J1757" s="26" t="n">
        <f aca="false">IF(A1757="","",YEAR(A1757))</f>
        <v>2026</v>
      </c>
      <c r="K1757" s="26" t="n">
        <f aca="false">IF(A1757="","",MONTH(A1757))</f>
        <v>4</v>
      </c>
      <c r="L1757" s="26" t="n">
        <f aca="false">IF(B1757="","",VALUE(LEFT(B1757,2)))</f>
        <v>16</v>
      </c>
      <c r="M1757" s="26" t="n">
        <f aca="false">IF(A1757="","",IF(COUNTIFS($C$2:$C$5001,C1757,$J$2:$J$5001,J1757,$A$2:$A$5001,"&lt;"&amp;A1757)=0,1,0))</f>
        <v>0</v>
      </c>
    </row>
    <row r="1758" customFormat="false" ht="15" hidden="false" customHeight="false" outlineLevel="0" collapsed="false">
      <c r="A1758" s="23" t="n">
        <v>46127.0611111111</v>
      </c>
      <c r="B1758" s="24" t="s">
        <v>594</v>
      </c>
      <c r="C1758" s="24" t="s">
        <v>170</v>
      </c>
      <c r="D1758" s="24" t="s">
        <v>66</v>
      </c>
      <c r="E1758" s="24" t="n">
        <v>275</v>
      </c>
      <c r="F1758" s="25" t="n">
        <v>10000</v>
      </c>
      <c r="G1758" s="24" t="s">
        <v>59</v>
      </c>
      <c r="H1758" s="24" t="s">
        <v>60</v>
      </c>
      <c r="I1758" s="24" t="s">
        <v>61</v>
      </c>
      <c r="J1758" s="26" t="n">
        <f aca="false">IF(A1758="","",YEAR(A1758))</f>
        <v>2026</v>
      </c>
      <c r="K1758" s="26" t="n">
        <f aca="false">IF(A1758="","",MONTH(A1758))</f>
        <v>4</v>
      </c>
      <c r="L1758" s="26" t="n">
        <f aca="false">IF(B1758="","",VALUE(LEFT(B1758,2)))</f>
        <v>20</v>
      </c>
      <c r="M1758" s="26" t="n">
        <f aca="false">IF(A1758="","",IF(COUNTIFS($C$2:$C$5001,C1758,$J$2:$J$5001,J1758,$A$2:$A$5001,"&lt;"&amp;A1758)=0,1,0))</f>
        <v>0</v>
      </c>
    </row>
    <row r="1759" customFormat="false" ht="15" hidden="false" customHeight="false" outlineLevel="0" collapsed="false">
      <c r="A1759" s="23" t="n">
        <v>46127.6944444445</v>
      </c>
      <c r="B1759" s="24" t="s">
        <v>140</v>
      </c>
      <c r="C1759" s="24" t="s">
        <v>360</v>
      </c>
      <c r="D1759" s="24" t="s">
        <v>66</v>
      </c>
      <c r="E1759" s="24" t="n">
        <v>354</v>
      </c>
      <c r="F1759" s="25" t="n">
        <v>12000</v>
      </c>
      <c r="G1759" s="24" t="s">
        <v>59</v>
      </c>
      <c r="H1759" s="24" t="s">
        <v>55</v>
      </c>
      <c r="I1759" s="24" t="s">
        <v>61</v>
      </c>
      <c r="J1759" s="26" t="n">
        <f aca="false">IF(A1759="","",YEAR(A1759))</f>
        <v>2026</v>
      </c>
      <c r="K1759" s="26" t="n">
        <f aca="false">IF(A1759="","",MONTH(A1759))</f>
        <v>4</v>
      </c>
      <c r="L1759" s="26" t="n">
        <f aca="false">IF(B1759="","",VALUE(LEFT(B1759,2)))</f>
        <v>10</v>
      </c>
      <c r="M1759" s="26" t="n">
        <f aca="false">IF(A1759="","",IF(COUNTIFS($C$2:$C$5001,C1759,$J$2:$J$5001,J1759,$A$2:$A$5001,"&lt;"&amp;A1759)=0,1,0))</f>
        <v>1</v>
      </c>
    </row>
    <row r="1760" customFormat="false" ht="15" hidden="false" customHeight="false" outlineLevel="0" collapsed="false">
      <c r="A1760" s="23" t="n">
        <v>46127.9541666667</v>
      </c>
      <c r="B1760" s="24" t="s">
        <v>825</v>
      </c>
      <c r="C1760" s="24" t="s">
        <v>203</v>
      </c>
      <c r="D1760" s="24" t="s">
        <v>53</v>
      </c>
      <c r="E1760" s="24" t="n">
        <v>136</v>
      </c>
      <c r="F1760" s="25" t="n">
        <v>2125</v>
      </c>
      <c r="G1760" s="24" t="s">
        <v>79</v>
      </c>
      <c r="H1760" s="24" t="s">
        <v>80</v>
      </c>
      <c r="I1760" s="24" t="s">
        <v>113</v>
      </c>
      <c r="J1760" s="26" t="n">
        <f aca="false">IF(A1760="","",YEAR(A1760))</f>
        <v>2026</v>
      </c>
      <c r="K1760" s="26" t="n">
        <f aca="false">IF(A1760="","",MONTH(A1760))</f>
        <v>4</v>
      </c>
      <c r="L1760" s="26" t="n">
        <f aca="false">IF(B1760="","",VALUE(LEFT(B1760,2)))</f>
        <v>20</v>
      </c>
      <c r="M1760" s="26" t="n">
        <f aca="false">IF(A1760="","",IF(COUNTIFS($C$2:$C$5001,C1760,$J$2:$J$5001,J1760,$A$2:$A$5001,"&lt;"&amp;A1760)=0,1,0))</f>
        <v>0</v>
      </c>
    </row>
    <row r="1761" customFormat="false" ht="15" hidden="false" customHeight="false" outlineLevel="0" collapsed="false">
      <c r="A1761" s="23" t="n">
        <v>46127.9909722222</v>
      </c>
      <c r="B1761" s="24" t="s">
        <v>121</v>
      </c>
      <c r="C1761" s="24" t="s">
        <v>71</v>
      </c>
      <c r="D1761" s="24" t="s">
        <v>66</v>
      </c>
      <c r="E1761" s="24" t="n">
        <v>338</v>
      </c>
      <c r="F1761" s="25" t="n">
        <v>12000</v>
      </c>
      <c r="G1761" s="24" t="s">
        <v>69</v>
      </c>
      <c r="H1761" s="24" t="s">
        <v>55</v>
      </c>
      <c r="I1761" s="24" t="s">
        <v>61</v>
      </c>
      <c r="J1761" s="26" t="n">
        <f aca="false">IF(A1761="","",YEAR(A1761))</f>
        <v>2026</v>
      </c>
      <c r="K1761" s="26" t="n">
        <f aca="false">IF(A1761="","",MONTH(A1761))</f>
        <v>4</v>
      </c>
      <c r="L1761" s="26" t="n">
        <f aca="false">IF(B1761="","",VALUE(LEFT(B1761,2)))</f>
        <v>18</v>
      </c>
      <c r="M1761" s="26" t="n">
        <f aca="false">IF(A1761="","",IF(COUNTIFS($C$2:$C$5001,C1761,$J$2:$J$5001,J1761,$A$2:$A$5001,"&lt;"&amp;A1761)=0,1,0))</f>
        <v>0</v>
      </c>
    </row>
    <row r="1762" customFormat="false" ht="15" hidden="false" customHeight="false" outlineLevel="0" collapsed="false">
      <c r="A1762" s="23" t="n">
        <v>46128.3513888889</v>
      </c>
      <c r="B1762" s="24" t="s">
        <v>524</v>
      </c>
      <c r="C1762" s="24" t="s">
        <v>220</v>
      </c>
      <c r="D1762" s="24" t="s">
        <v>53</v>
      </c>
      <c r="E1762" s="24" t="n">
        <v>71</v>
      </c>
      <c r="F1762" s="25" t="n">
        <v>1500</v>
      </c>
      <c r="G1762" s="24" t="s">
        <v>54</v>
      </c>
      <c r="H1762" s="24" t="s">
        <v>60</v>
      </c>
      <c r="I1762" s="24" t="s">
        <v>61</v>
      </c>
      <c r="J1762" s="26" t="n">
        <f aca="false">IF(A1762="","",YEAR(A1762))</f>
        <v>2026</v>
      </c>
      <c r="K1762" s="26" t="n">
        <f aca="false">IF(A1762="","",MONTH(A1762))</f>
        <v>4</v>
      </c>
      <c r="L1762" s="26" t="n">
        <f aca="false">IF(B1762="","",VALUE(LEFT(B1762,2)))</f>
        <v>7</v>
      </c>
      <c r="M1762" s="26" t="n">
        <f aca="false">IF(A1762="","",IF(COUNTIFS($C$2:$C$5001,C1762,$J$2:$J$5001,J1762,$A$2:$A$5001,"&lt;"&amp;A1762)=0,1,0))</f>
        <v>0</v>
      </c>
    </row>
    <row r="1763" customFormat="false" ht="15" hidden="false" customHeight="false" outlineLevel="0" collapsed="false">
      <c r="A1763" s="23" t="n">
        <v>46128.5194444444</v>
      </c>
      <c r="B1763" s="24" t="s">
        <v>548</v>
      </c>
      <c r="C1763" s="24" t="s">
        <v>100</v>
      </c>
      <c r="D1763" s="24" t="s">
        <v>53</v>
      </c>
      <c r="E1763" s="24" t="n">
        <v>201</v>
      </c>
      <c r="F1763" s="25" t="n">
        <v>0</v>
      </c>
      <c r="G1763" s="24" t="s">
        <v>69</v>
      </c>
      <c r="H1763" s="24" t="s">
        <v>60</v>
      </c>
      <c r="I1763" s="24" t="s">
        <v>56</v>
      </c>
      <c r="J1763" s="26" t="n">
        <f aca="false">IF(A1763="","",YEAR(A1763))</f>
        <v>2026</v>
      </c>
      <c r="K1763" s="26" t="n">
        <f aca="false">IF(A1763="","",MONTH(A1763))</f>
        <v>4</v>
      </c>
      <c r="L1763" s="26" t="n">
        <f aca="false">IF(B1763="","",VALUE(LEFT(B1763,2)))</f>
        <v>9</v>
      </c>
      <c r="M1763" s="26" t="n">
        <f aca="false">IF(A1763="","",IF(COUNTIFS($C$2:$C$5001,C1763,$J$2:$J$5001,J1763,$A$2:$A$5001,"&lt;"&amp;A1763)=0,1,0))</f>
        <v>0</v>
      </c>
    </row>
    <row r="1764" customFormat="false" ht="15" hidden="false" customHeight="false" outlineLevel="0" collapsed="false">
      <c r="A1764" s="23" t="n">
        <v>46128.8631944444</v>
      </c>
      <c r="B1764" s="24" t="s">
        <v>970</v>
      </c>
      <c r="C1764" s="24" t="s">
        <v>938</v>
      </c>
      <c r="D1764" s="24" t="s">
        <v>66</v>
      </c>
      <c r="E1764" s="24" t="n">
        <v>384</v>
      </c>
      <c r="F1764" s="25" t="n">
        <v>13000</v>
      </c>
      <c r="G1764" s="24" t="s">
        <v>69</v>
      </c>
      <c r="H1764" s="24" t="s">
        <v>55</v>
      </c>
      <c r="I1764" s="24" t="s">
        <v>61</v>
      </c>
      <c r="J1764" s="26" t="n">
        <f aca="false">IF(A1764="","",YEAR(A1764))</f>
        <v>2026</v>
      </c>
      <c r="K1764" s="26" t="n">
        <f aca="false">IF(A1764="","",MONTH(A1764))</f>
        <v>4</v>
      </c>
      <c r="L1764" s="26" t="n">
        <f aca="false">IF(B1764="","",VALUE(LEFT(B1764,2)))</f>
        <v>14</v>
      </c>
      <c r="M1764" s="26" t="n">
        <f aca="false">IF(A1764="","",IF(COUNTIFS($C$2:$C$5001,C1764,$J$2:$J$5001,J1764,$A$2:$A$5001,"&lt;"&amp;A1764)=0,1,0))</f>
        <v>0</v>
      </c>
    </row>
    <row r="1765" customFormat="false" ht="15" hidden="false" customHeight="false" outlineLevel="0" collapsed="false">
      <c r="A1765" s="23" t="n">
        <v>46128.9166666667</v>
      </c>
      <c r="B1765" s="24" t="s">
        <v>793</v>
      </c>
      <c r="C1765" s="24" t="s">
        <v>141</v>
      </c>
      <c r="D1765" s="24" t="s">
        <v>66</v>
      </c>
      <c r="E1765" s="24" t="n">
        <v>280</v>
      </c>
      <c r="F1765" s="25" t="n">
        <v>10000</v>
      </c>
      <c r="G1765" s="24" t="s">
        <v>79</v>
      </c>
      <c r="H1765" s="24" t="s">
        <v>55</v>
      </c>
      <c r="I1765" s="24" t="s">
        <v>61</v>
      </c>
      <c r="J1765" s="26" t="n">
        <f aca="false">IF(A1765="","",YEAR(A1765))</f>
        <v>2026</v>
      </c>
      <c r="K1765" s="26" t="n">
        <f aca="false">IF(A1765="","",MONTH(A1765))</f>
        <v>4</v>
      </c>
      <c r="L1765" s="26" t="n">
        <f aca="false">IF(B1765="","",VALUE(LEFT(B1765,2)))</f>
        <v>17</v>
      </c>
      <c r="M1765" s="26" t="n">
        <f aca="false">IF(A1765="","",IF(COUNTIFS($C$2:$C$5001,C1765,$J$2:$J$5001,J1765,$A$2:$A$5001,"&lt;"&amp;A1765)=0,1,0))</f>
        <v>0</v>
      </c>
    </row>
    <row r="1766" customFormat="false" ht="15" hidden="false" customHeight="false" outlineLevel="0" collapsed="false">
      <c r="A1766" s="23" t="n">
        <v>46129.0451388889</v>
      </c>
      <c r="B1766" s="24" t="s">
        <v>883</v>
      </c>
      <c r="C1766" s="24" t="s">
        <v>126</v>
      </c>
      <c r="D1766" s="24" t="s">
        <v>66</v>
      </c>
      <c r="E1766" s="24" t="n">
        <v>250</v>
      </c>
      <c r="F1766" s="25" t="n">
        <v>9000</v>
      </c>
      <c r="G1766" s="24" t="s">
        <v>59</v>
      </c>
      <c r="H1766" s="24" t="s">
        <v>80</v>
      </c>
      <c r="I1766" s="24" t="s">
        <v>61</v>
      </c>
      <c r="J1766" s="26" t="n">
        <f aca="false">IF(A1766="","",YEAR(A1766))</f>
        <v>2026</v>
      </c>
      <c r="K1766" s="26" t="n">
        <f aca="false">IF(A1766="","",MONTH(A1766))</f>
        <v>4</v>
      </c>
      <c r="L1766" s="26" t="n">
        <f aca="false">IF(B1766="","",VALUE(LEFT(B1766,2)))</f>
        <v>20</v>
      </c>
      <c r="M1766" s="26" t="n">
        <f aca="false">IF(A1766="","",IF(COUNTIFS($C$2:$C$5001,C1766,$J$2:$J$5001,J1766,$A$2:$A$5001,"&lt;"&amp;A1766)=0,1,0))</f>
        <v>0</v>
      </c>
    </row>
    <row r="1767" customFormat="false" ht="15" hidden="false" customHeight="false" outlineLevel="0" collapsed="false">
      <c r="A1767" s="23" t="n">
        <v>46129.6076388889</v>
      </c>
      <c r="B1767" s="24" t="s">
        <v>953</v>
      </c>
      <c r="C1767" s="24" t="s">
        <v>96</v>
      </c>
      <c r="D1767" s="24" t="s">
        <v>53</v>
      </c>
      <c r="E1767" s="24" t="n">
        <v>301</v>
      </c>
      <c r="F1767" s="25" t="n">
        <v>4675</v>
      </c>
      <c r="G1767" s="24" t="s">
        <v>59</v>
      </c>
      <c r="H1767" s="24" t="s">
        <v>80</v>
      </c>
      <c r="I1767" s="24" t="s">
        <v>113</v>
      </c>
      <c r="J1767" s="26" t="n">
        <f aca="false">IF(A1767="","",YEAR(A1767))</f>
        <v>2026</v>
      </c>
      <c r="K1767" s="26" t="n">
        <f aca="false">IF(A1767="","",MONTH(A1767))</f>
        <v>4</v>
      </c>
      <c r="L1767" s="26" t="n">
        <f aca="false">IF(B1767="","",VALUE(LEFT(B1767,2)))</f>
        <v>9</v>
      </c>
      <c r="M1767" s="26" t="n">
        <f aca="false">IF(A1767="","",IF(COUNTIFS($C$2:$C$5001,C1767,$J$2:$J$5001,J1767,$A$2:$A$5001,"&lt;"&amp;A1767)=0,1,0))</f>
        <v>0</v>
      </c>
    </row>
    <row r="1768" customFormat="false" ht="15" hidden="false" customHeight="false" outlineLevel="0" collapsed="false">
      <c r="A1768" s="23" t="n">
        <v>46129.9597222222</v>
      </c>
      <c r="B1768" s="24" t="s">
        <v>221</v>
      </c>
      <c r="C1768" s="24" t="s">
        <v>129</v>
      </c>
      <c r="D1768" s="24" t="s">
        <v>66</v>
      </c>
      <c r="E1768" s="24" t="n">
        <v>369</v>
      </c>
      <c r="F1768" s="25" t="n">
        <v>0</v>
      </c>
      <c r="G1768" s="24" t="s">
        <v>59</v>
      </c>
      <c r="H1768" s="24" t="s">
        <v>80</v>
      </c>
      <c r="I1768" s="24" t="s">
        <v>56</v>
      </c>
      <c r="J1768" s="26" t="n">
        <f aca="false">IF(A1768="","",YEAR(A1768))</f>
        <v>2026</v>
      </c>
      <c r="K1768" s="26" t="n">
        <f aca="false">IF(A1768="","",MONTH(A1768))</f>
        <v>4</v>
      </c>
      <c r="L1768" s="26" t="n">
        <f aca="false">IF(B1768="","",VALUE(LEFT(B1768,2)))</f>
        <v>16</v>
      </c>
      <c r="M1768" s="26" t="n">
        <f aca="false">IF(A1768="","",IF(COUNTIFS($C$2:$C$5001,C1768,$J$2:$J$5001,J1768,$A$2:$A$5001,"&lt;"&amp;A1768)=0,1,0))</f>
        <v>0</v>
      </c>
    </row>
    <row r="1769" customFormat="false" ht="15" hidden="false" customHeight="false" outlineLevel="0" collapsed="false">
      <c r="A1769" s="23" t="n">
        <v>46130.3881944444</v>
      </c>
      <c r="B1769" s="24" t="s">
        <v>280</v>
      </c>
      <c r="C1769" s="24" t="s">
        <v>398</v>
      </c>
      <c r="D1769" s="24" t="s">
        <v>66</v>
      </c>
      <c r="E1769" s="24" t="n">
        <v>130</v>
      </c>
      <c r="F1769" s="25" t="n">
        <v>5000</v>
      </c>
      <c r="G1769" s="24" t="s">
        <v>69</v>
      </c>
      <c r="H1769" s="24" t="s">
        <v>60</v>
      </c>
      <c r="I1769" s="24" t="s">
        <v>61</v>
      </c>
      <c r="J1769" s="26" t="n">
        <f aca="false">IF(A1769="","",YEAR(A1769))</f>
        <v>2026</v>
      </c>
      <c r="K1769" s="26" t="n">
        <f aca="false">IF(A1769="","",MONTH(A1769))</f>
        <v>4</v>
      </c>
      <c r="L1769" s="26" t="n">
        <f aca="false">IF(B1769="","",VALUE(LEFT(B1769,2)))</f>
        <v>7</v>
      </c>
      <c r="M1769" s="26" t="n">
        <f aca="false">IF(A1769="","",IF(COUNTIFS($C$2:$C$5001,C1769,$J$2:$J$5001,J1769,$A$2:$A$5001,"&lt;"&amp;A1769)=0,1,0))</f>
        <v>0</v>
      </c>
    </row>
    <row r="1770" customFormat="false" ht="15" hidden="false" customHeight="false" outlineLevel="0" collapsed="false">
      <c r="A1770" s="23" t="n">
        <v>46130.4430555556</v>
      </c>
      <c r="B1770" s="24" t="s">
        <v>193</v>
      </c>
      <c r="C1770" s="24" t="s">
        <v>467</v>
      </c>
      <c r="D1770" s="24" t="s">
        <v>66</v>
      </c>
      <c r="E1770" s="24" t="n">
        <v>182</v>
      </c>
      <c r="F1770" s="25" t="n">
        <v>5950</v>
      </c>
      <c r="G1770" s="24" t="s">
        <v>69</v>
      </c>
      <c r="H1770" s="24" t="s">
        <v>80</v>
      </c>
      <c r="I1770" s="24" t="s">
        <v>113</v>
      </c>
      <c r="J1770" s="26" t="n">
        <f aca="false">IF(A1770="","",YEAR(A1770))</f>
        <v>2026</v>
      </c>
      <c r="K1770" s="26" t="n">
        <f aca="false">IF(A1770="","",MONTH(A1770))</f>
        <v>4</v>
      </c>
      <c r="L1770" s="26" t="n">
        <f aca="false">IF(B1770="","",VALUE(LEFT(B1770,2)))</f>
        <v>7</v>
      </c>
      <c r="M1770" s="26" t="n">
        <f aca="false">IF(A1770="","",IF(COUNTIFS($C$2:$C$5001,C1770,$J$2:$J$5001,J1770,$A$2:$A$5001,"&lt;"&amp;A1770)=0,1,0))</f>
        <v>0</v>
      </c>
    </row>
    <row r="1771" customFormat="false" ht="15" hidden="false" customHeight="false" outlineLevel="0" collapsed="false">
      <c r="A1771" s="23" t="n">
        <v>46130.8138888889</v>
      </c>
      <c r="B1771" s="24" t="s">
        <v>681</v>
      </c>
      <c r="C1771" s="24" t="s">
        <v>131</v>
      </c>
      <c r="D1771" s="24" t="s">
        <v>66</v>
      </c>
      <c r="E1771" s="24" t="n">
        <v>298</v>
      </c>
      <c r="F1771" s="25" t="n">
        <v>10000</v>
      </c>
      <c r="G1771" s="24" t="s">
        <v>79</v>
      </c>
      <c r="H1771" s="24" t="s">
        <v>55</v>
      </c>
      <c r="I1771" s="24" t="s">
        <v>61</v>
      </c>
      <c r="J1771" s="26" t="n">
        <f aca="false">IF(A1771="","",YEAR(A1771))</f>
        <v>2026</v>
      </c>
      <c r="K1771" s="26" t="n">
        <f aca="false">IF(A1771="","",MONTH(A1771))</f>
        <v>4</v>
      </c>
      <c r="L1771" s="26" t="n">
        <f aca="false">IF(B1771="","",VALUE(LEFT(B1771,2)))</f>
        <v>14</v>
      </c>
      <c r="M1771" s="26" t="n">
        <f aca="false">IF(A1771="","",IF(COUNTIFS($C$2:$C$5001,C1771,$J$2:$J$5001,J1771,$A$2:$A$5001,"&lt;"&amp;A1771)=0,1,0))</f>
        <v>0</v>
      </c>
    </row>
    <row r="1772" customFormat="false" ht="15" hidden="false" customHeight="false" outlineLevel="0" collapsed="false">
      <c r="A1772" s="23" t="n">
        <v>46131.48125</v>
      </c>
      <c r="B1772" s="24" t="s">
        <v>649</v>
      </c>
      <c r="C1772" s="24" t="s">
        <v>389</v>
      </c>
      <c r="D1772" s="24" t="s">
        <v>88</v>
      </c>
      <c r="E1772" s="24" t="n">
        <v>319</v>
      </c>
      <c r="F1772" s="25" t="n">
        <v>14025</v>
      </c>
      <c r="G1772" s="24" t="s">
        <v>59</v>
      </c>
      <c r="H1772" s="24" t="s">
        <v>60</v>
      </c>
      <c r="I1772" s="24" t="s">
        <v>113</v>
      </c>
      <c r="J1772" s="26" t="n">
        <f aca="false">IF(A1772="","",YEAR(A1772))</f>
        <v>2026</v>
      </c>
      <c r="K1772" s="26" t="n">
        <f aca="false">IF(A1772="","",MONTH(A1772))</f>
        <v>4</v>
      </c>
      <c r="L1772" s="26" t="n">
        <f aca="false">IF(B1772="","",VALUE(LEFT(B1772,2)))</f>
        <v>6</v>
      </c>
      <c r="M1772" s="26" t="n">
        <f aca="false">IF(A1772="","",IF(COUNTIFS($C$2:$C$5001,C1772,$J$2:$J$5001,J1772,$A$2:$A$5001,"&lt;"&amp;A1772)=0,1,0))</f>
        <v>0</v>
      </c>
    </row>
    <row r="1773" customFormat="false" ht="15" hidden="false" customHeight="false" outlineLevel="0" collapsed="false">
      <c r="A1773" s="23" t="n">
        <v>46131.5034722222</v>
      </c>
      <c r="B1773" s="24" t="s">
        <v>878</v>
      </c>
      <c r="C1773" s="24" t="s">
        <v>156</v>
      </c>
      <c r="D1773" s="24" t="s">
        <v>53</v>
      </c>
      <c r="E1773" s="24" t="n">
        <v>203</v>
      </c>
      <c r="F1773" s="25" t="n">
        <v>3500</v>
      </c>
      <c r="G1773" s="24" t="s">
        <v>69</v>
      </c>
      <c r="H1773" s="24" t="s">
        <v>80</v>
      </c>
      <c r="I1773" s="24" t="s">
        <v>61</v>
      </c>
      <c r="J1773" s="26" t="n">
        <f aca="false">IF(A1773="","",YEAR(A1773))</f>
        <v>2026</v>
      </c>
      <c r="K1773" s="26" t="n">
        <f aca="false">IF(A1773="","",MONTH(A1773))</f>
        <v>4</v>
      </c>
      <c r="L1773" s="26" t="n">
        <f aca="false">IF(B1773="","",VALUE(LEFT(B1773,2)))</f>
        <v>8</v>
      </c>
      <c r="M1773" s="26" t="n">
        <f aca="false">IF(A1773="","",IF(COUNTIFS($C$2:$C$5001,C1773,$J$2:$J$5001,J1773,$A$2:$A$5001,"&lt;"&amp;A1773)=0,1,0))</f>
        <v>0</v>
      </c>
    </row>
    <row r="1774" customFormat="false" ht="15" hidden="false" customHeight="false" outlineLevel="0" collapsed="false">
      <c r="A1774" s="23" t="n">
        <v>46131.7048611111</v>
      </c>
      <c r="B1774" s="24" t="s">
        <v>984</v>
      </c>
      <c r="C1774" s="24" t="s">
        <v>448</v>
      </c>
      <c r="D1774" s="24" t="s">
        <v>88</v>
      </c>
      <c r="E1774" s="24" t="n">
        <v>196</v>
      </c>
      <c r="F1774" s="25" t="n">
        <v>10500</v>
      </c>
      <c r="G1774" s="24" t="s">
        <v>59</v>
      </c>
      <c r="H1774" s="24" t="s">
        <v>55</v>
      </c>
      <c r="I1774" s="24" t="s">
        <v>61</v>
      </c>
      <c r="J1774" s="26" t="n">
        <f aca="false">IF(A1774="","",YEAR(A1774))</f>
        <v>2026</v>
      </c>
      <c r="K1774" s="26" t="n">
        <f aca="false">IF(A1774="","",MONTH(A1774))</f>
        <v>4</v>
      </c>
      <c r="L1774" s="26" t="n">
        <f aca="false">IF(B1774="","",VALUE(LEFT(B1774,2)))</f>
        <v>13</v>
      </c>
      <c r="M1774" s="26" t="n">
        <f aca="false">IF(A1774="","",IF(COUNTIFS($C$2:$C$5001,C1774,$J$2:$J$5001,J1774,$A$2:$A$5001,"&lt;"&amp;A1774)=0,1,0))</f>
        <v>0</v>
      </c>
    </row>
    <row r="1775" customFormat="false" ht="15" hidden="false" customHeight="false" outlineLevel="0" collapsed="false">
      <c r="A1775" s="23" t="n">
        <v>46131.7076388889</v>
      </c>
      <c r="B1775" s="24" t="s">
        <v>537</v>
      </c>
      <c r="C1775" s="24" t="s">
        <v>186</v>
      </c>
      <c r="D1775" s="24" t="s">
        <v>53</v>
      </c>
      <c r="E1775" s="24" t="n">
        <v>330</v>
      </c>
      <c r="F1775" s="25" t="n">
        <v>5500</v>
      </c>
      <c r="G1775" s="24" t="s">
        <v>59</v>
      </c>
      <c r="H1775" s="24" t="s">
        <v>80</v>
      </c>
      <c r="I1775" s="24" t="s">
        <v>61</v>
      </c>
      <c r="J1775" s="26" t="n">
        <f aca="false">IF(A1775="","",YEAR(A1775))</f>
        <v>2026</v>
      </c>
      <c r="K1775" s="26" t="n">
        <f aca="false">IF(A1775="","",MONTH(A1775))</f>
        <v>4</v>
      </c>
      <c r="L1775" s="26" t="n">
        <f aca="false">IF(B1775="","",VALUE(LEFT(B1775,2)))</f>
        <v>11</v>
      </c>
      <c r="M1775" s="26" t="n">
        <f aca="false">IF(A1775="","",IF(COUNTIFS($C$2:$C$5001,C1775,$J$2:$J$5001,J1775,$A$2:$A$5001,"&lt;"&amp;A1775)=0,1,0))</f>
        <v>0</v>
      </c>
    </row>
    <row r="1776" customFormat="false" ht="15" hidden="false" customHeight="false" outlineLevel="0" collapsed="false">
      <c r="A1776" s="23" t="n">
        <v>46131.7895833333</v>
      </c>
      <c r="B1776" s="24" t="s">
        <v>709</v>
      </c>
      <c r="C1776" s="24" t="s">
        <v>224</v>
      </c>
      <c r="D1776" s="24" t="s">
        <v>66</v>
      </c>
      <c r="E1776" s="24" t="n">
        <v>43</v>
      </c>
      <c r="F1776" s="25" t="n">
        <v>2000</v>
      </c>
      <c r="G1776" s="24" t="s">
        <v>69</v>
      </c>
      <c r="H1776" s="24" t="s">
        <v>55</v>
      </c>
      <c r="I1776" s="24" t="s">
        <v>61</v>
      </c>
      <c r="J1776" s="26" t="n">
        <f aca="false">IF(A1776="","",YEAR(A1776))</f>
        <v>2026</v>
      </c>
      <c r="K1776" s="26" t="n">
        <f aca="false">IF(A1776="","",MONTH(A1776))</f>
        <v>4</v>
      </c>
      <c r="L1776" s="26" t="n">
        <f aca="false">IF(B1776="","",VALUE(LEFT(B1776,2)))</f>
        <v>18</v>
      </c>
      <c r="M1776" s="26" t="n">
        <f aca="false">IF(A1776="","",IF(COUNTIFS($C$2:$C$5001,C1776,$J$2:$J$5001,J1776,$A$2:$A$5001,"&lt;"&amp;A1776)=0,1,0))</f>
        <v>0</v>
      </c>
    </row>
    <row r="1777" customFormat="false" ht="15" hidden="false" customHeight="false" outlineLevel="0" collapsed="false">
      <c r="A1777" s="23" t="n">
        <v>46131.8354166667</v>
      </c>
      <c r="B1777" s="24" t="s">
        <v>522</v>
      </c>
      <c r="C1777" s="24" t="s">
        <v>85</v>
      </c>
      <c r="D1777" s="24" t="s">
        <v>66</v>
      </c>
      <c r="E1777" s="24" t="n">
        <v>271</v>
      </c>
      <c r="F1777" s="25" t="n">
        <v>0</v>
      </c>
      <c r="G1777" s="24" t="s">
        <v>59</v>
      </c>
      <c r="H1777" s="24" t="s">
        <v>55</v>
      </c>
      <c r="I1777" s="24" t="s">
        <v>56</v>
      </c>
      <c r="J1777" s="26" t="n">
        <f aca="false">IF(A1777="","",YEAR(A1777))</f>
        <v>2026</v>
      </c>
      <c r="K1777" s="26" t="n">
        <f aca="false">IF(A1777="","",MONTH(A1777))</f>
        <v>4</v>
      </c>
      <c r="L1777" s="26" t="n">
        <f aca="false">IF(B1777="","",VALUE(LEFT(B1777,2)))</f>
        <v>15</v>
      </c>
      <c r="M1777" s="26" t="n">
        <f aca="false">IF(A1777="","",IF(COUNTIFS($C$2:$C$5001,C1777,$J$2:$J$5001,J1777,$A$2:$A$5001,"&lt;"&amp;A1777)=0,1,0))</f>
        <v>0</v>
      </c>
    </row>
    <row r="1778" customFormat="false" ht="15" hidden="false" customHeight="false" outlineLevel="0" collapsed="false">
      <c r="A1778" s="23" t="n">
        <v>46131.8895833333</v>
      </c>
      <c r="B1778" s="24" t="s">
        <v>598</v>
      </c>
      <c r="C1778" s="24" t="s">
        <v>389</v>
      </c>
      <c r="D1778" s="24" t="s">
        <v>66</v>
      </c>
      <c r="E1778" s="24" t="n">
        <v>73</v>
      </c>
      <c r="F1778" s="25" t="n">
        <v>3000</v>
      </c>
      <c r="G1778" s="24" t="s">
        <v>59</v>
      </c>
      <c r="H1778" s="24" t="s">
        <v>60</v>
      </c>
      <c r="I1778" s="24" t="s">
        <v>61</v>
      </c>
      <c r="J1778" s="26" t="n">
        <f aca="false">IF(A1778="","",YEAR(A1778))</f>
        <v>2026</v>
      </c>
      <c r="K1778" s="26" t="n">
        <f aca="false">IF(A1778="","",MONTH(A1778))</f>
        <v>4</v>
      </c>
      <c r="L1778" s="26" t="n">
        <f aca="false">IF(B1778="","",VALUE(LEFT(B1778,2)))</f>
        <v>20</v>
      </c>
      <c r="M1778" s="26" t="n">
        <f aca="false">IF(A1778="","",IF(COUNTIFS($C$2:$C$5001,C1778,$J$2:$J$5001,J1778,$A$2:$A$5001,"&lt;"&amp;A1778)=0,1,0))</f>
        <v>0</v>
      </c>
    </row>
    <row r="1779" customFormat="false" ht="15" hidden="false" customHeight="false" outlineLevel="0" collapsed="false">
      <c r="A1779" s="23" t="n">
        <v>46131.9701388889</v>
      </c>
      <c r="B1779" s="24" t="s">
        <v>985</v>
      </c>
      <c r="C1779" s="24" t="s">
        <v>82</v>
      </c>
      <c r="D1779" s="24" t="s">
        <v>88</v>
      </c>
      <c r="E1779" s="24" t="n">
        <v>321</v>
      </c>
      <c r="F1779" s="25" t="n">
        <v>16500</v>
      </c>
      <c r="G1779" s="24" t="s">
        <v>59</v>
      </c>
      <c r="H1779" s="24" t="s">
        <v>60</v>
      </c>
      <c r="I1779" s="24" t="s">
        <v>61</v>
      </c>
      <c r="J1779" s="26" t="n">
        <f aca="false">IF(A1779="","",YEAR(A1779))</f>
        <v>2026</v>
      </c>
      <c r="K1779" s="26" t="n">
        <f aca="false">IF(A1779="","",MONTH(A1779))</f>
        <v>4</v>
      </c>
      <c r="L1779" s="26" t="n">
        <f aca="false">IF(B1779="","",VALUE(LEFT(B1779,2)))</f>
        <v>17</v>
      </c>
      <c r="M1779" s="26" t="n">
        <f aca="false">IF(A1779="","",IF(COUNTIFS($C$2:$C$5001,C1779,$J$2:$J$5001,J1779,$A$2:$A$5001,"&lt;"&amp;A1779)=0,1,0))</f>
        <v>0</v>
      </c>
    </row>
    <row r="1780" customFormat="false" ht="15" hidden="false" customHeight="false" outlineLevel="0" collapsed="false">
      <c r="A1780" s="23" t="n">
        <v>46132.4361111111</v>
      </c>
      <c r="B1780" s="24" t="s">
        <v>101</v>
      </c>
      <c r="C1780" s="24" t="s">
        <v>170</v>
      </c>
      <c r="D1780" s="24" t="s">
        <v>66</v>
      </c>
      <c r="E1780" s="24" t="n">
        <v>146</v>
      </c>
      <c r="F1780" s="25" t="n">
        <v>5000</v>
      </c>
      <c r="G1780" s="24" t="s">
        <v>69</v>
      </c>
      <c r="H1780" s="24" t="s">
        <v>60</v>
      </c>
      <c r="I1780" s="24" t="s">
        <v>61</v>
      </c>
      <c r="J1780" s="26" t="n">
        <f aca="false">IF(A1780="","",YEAR(A1780))</f>
        <v>2026</v>
      </c>
      <c r="K1780" s="26" t="n">
        <f aca="false">IF(A1780="","",MONTH(A1780))</f>
        <v>4</v>
      </c>
      <c r="L1780" s="26" t="n">
        <f aca="false">IF(B1780="","",VALUE(LEFT(B1780,2)))</f>
        <v>8</v>
      </c>
      <c r="M1780" s="26" t="n">
        <f aca="false">IF(A1780="","",IF(COUNTIFS($C$2:$C$5001,C1780,$J$2:$J$5001,J1780,$A$2:$A$5001,"&lt;"&amp;A1780)=0,1,0))</f>
        <v>0</v>
      </c>
    </row>
    <row r="1781" customFormat="false" ht="15" hidden="false" customHeight="false" outlineLevel="0" collapsed="false">
      <c r="A1781" s="23" t="n">
        <v>46132.5013888889</v>
      </c>
      <c r="B1781" s="24" t="s">
        <v>859</v>
      </c>
      <c r="C1781" s="24" t="s">
        <v>396</v>
      </c>
      <c r="D1781" s="24" t="s">
        <v>53</v>
      </c>
      <c r="E1781" s="24" t="n">
        <v>286</v>
      </c>
      <c r="F1781" s="25" t="n">
        <v>5000</v>
      </c>
      <c r="G1781" s="24" t="s">
        <v>83</v>
      </c>
      <c r="H1781" s="24" t="s">
        <v>55</v>
      </c>
      <c r="I1781" s="24" t="s">
        <v>61</v>
      </c>
      <c r="J1781" s="26" t="n">
        <f aca="false">IF(A1781="","",YEAR(A1781))</f>
        <v>2026</v>
      </c>
      <c r="K1781" s="26" t="n">
        <f aca="false">IF(A1781="","",MONTH(A1781))</f>
        <v>4</v>
      </c>
      <c r="L1781" s="26" t="n">
        <f aca="false">IF(B1781="","",VALUE(LEFT(B1781,2)))</f>
        <v>7</v>
      </c>
      <c r="M1781" s="26" t="n">
        <f aca="false">IF(A1781="","",IF(COUNTIFS($C$2:$C$5001,C1781,$J$2:$J$5001,J1781,$A$2:$A$5001,"&lt;"&amp;A1781)=0,1,0))</f>
        <v>0</v>
      </c>
    </row>
    <row r="1782" customFormat="false" ht="15" hidden="false" customHeight="false" outlineLevel="0" collapsed="false">
      <c r="A1782" s="23" t="n">
        <v>46132.8652777778</v>
      </c>
      <c r="B1782" s="24" t="s">
        <v>871</v>
      </c>
      <c r="C1782" s="24" t="s">
        <v>105</v>
      </c>
      <c r="D1782" s="24" t="s">
        <v>53</v>
      </c>
      <c r="E1782" s="24" t="n">
        <v>228</v>
      </c>
      <c r="F1782" s="25" t="n">
        <v>4000</v>
      </c>
      <c r="G1782" s="24" t="s">
        <v>59</v>
      </c>
      <c r="H1782" s="24" t="s">
        <v>80</v>
      </c>
      <c r="I1782" s="24" t="s">
        <v>61</v>
      </c>
      <c r="J1782" s="26" t="n">
        <f aca="false">IF(A1782="","",YEAR(A1782))</f>
        <v>2026</v>
      </c>
      <c r="K1782" s="26" t="n">
        <f aca="false">IF(A1782="","",MONTH(A1782))</f>
        <v>4</v>
      </c>
      <c r="L1782" s="26" t="n">
        <f aca="false">IF(B1782="","",VALUE(LEFT(B1782,2)))</f>
        <v>16</v>
      </c>
      <c r="M1782" s="26" t="n">
        <f aca="false">IF(A1782="","",IF(COUNTIFS($C$2:$C$5001,C1782,$J$2:$J$5001,J1782,$A$2:$A$5001,"&lt;"&amp;A1782)=0,1,0))</f>
        <v>1</v>
      </c>
    </row>
    <row r="1783" customFormat="false" ht="15" hidden="false" customHeight="false" outlineLevel="0" collapsed="false">
      <c r="A1783" s="23" t="n">
        <v>46132.9451388889</v>
      </c>
      <c r="B1783" s="24" t="s">
        <v>610</v>
      </c>
      <c r="C1783" s="24" t="s">
        <v>71</v>
      </c>
      <c r="D1783" s="24" t="s">
        <v>66</v>
      </c>
      <c r="E1783" s="24" t="n">
        <v>212</v>
      </c>
      <c r="F1783" s="25" t="n">
        <v>0</v>
      </c>
      <c r="G1783" s="24" t="s">
        <v>59</v>
      </c>
      <c r="H1783" s="24" t="s">
        <v>55</v>
      </c>
      <c r="I1783" s="24" t="s">
        <v>56</v>
      </c>
      <c r="J1783" s="26" t="n">
        <f aca="false">IF(A1783="","",YEAR(A1783))</f>
        <v>2026</v>
      </c>
      <c r="K1783" s="26" t="n">
        <f aca="false">IF(A1783="","",MONTH(A1783))</f>
        <v>4</v>
      </c>
      <c r="L1783" s="26" t="n">
        <f aca="false">IF(B1783="","",VALUE(LEFT(B1783,2)))</f>
        <v>19</v>
      </c>
      <c r="M1783" s="26" t="n">
        <f aca="false">IF(A1783="","",IF(COUNTIFS($C$2:$C$5001,C1783,$J$2:$J$5001,J1783,$A$2:$A$5001,"&lt;"&amp;A1783)=0,1,0))</f>
        <v>0</v>
      </c>
    </row>
    <row r="1784" customFormat="false" ht="15" hidden="false" customHeight="false" outlineLevel="0" collapsed="false">
      <c r="A1784" s="23" t="n">
        <v>46133.3958333333</v>
      </c>
      <c r="B1784" s="24" t="s">
        <v>319</v>
      </c>
      <c r="C1784" s="24" t="s">
        <v>166</v>
      </c>
      <c r="D1784" s="24" t="s">
        <v>66</v>
      </c>
      <c r="E1784" s="24" t="n">
        <v>79</v>
      </c>
      <c r="F1784" s="25" t="n">
        <v>3000</v>
      </c>
      <c r="G1784" s="24" t="s">
        <v>59</v>
      </c>
      <c r="H1784" s="24" t="s">
        <v>80</v>
      </c>
      <c r="I1784" s="24" t="s">
        <v>61</v>
      </c>
      <c r="J1784" s="26" t="n">
        <f aca="false">IF(A1784="","",YEAR(A1784))</f>
        <v>2026</v>
      </c>
      <c r="K1784" s="26" t="n">
        <f aca="false">IF(A1784="","",MONTH(A1784))</f>
        <v>4</v>
      </c>
      <c r="L1784" s="26" t="n">
        <f aca="false">IF(B1784="","",VALUE(LEFT(B1784,2)))</f>
        <v>8</v>
      </c>
      <c r="M1784" s="26" t="n">
        <f aca="false">IF(A1784="","",IF(COUNTIFS($C$2:$C$5001,C1784,$J$2:$J$5001,J1784,$A$2:$A$5001,"&lt;"&amp;A1784)=0,1,0))</f>
        <v>0</v>
      </c>
    </row>
    <row r="1785" customFormat="false" ht="15" hidden="false" customHeight="false" outlineLevel="0" collapsed="false">
      <c r="A1785" s="23" t="n">
        <v>46133.5090277778</v>
      </c>
      <c r="B1785" s="24" t="s">
        <v>974</v>
      </c>
      <c r="C1785" s="24" t="s">
        <v>68</v>
      </c>
      <c r="D1785" s="24" t="s">
        <v>53</v>
      </c>
      <c r="E1785" s="24" t="n">
        <v>310</v>
      </c>
      <c r="F1785" s="25" t="n">
        <v>5500</v>
      </c>
      <c r="G1785" s="24" t="s">
        <v>59</v>
      </c>
      <c r="H1785" s="24" t="s">
        <v>55</v>
      </c>
      <c r="I1785" s="24" t="s">
        <v>61</v>
      </c>
      <c r="J1785" s="26" t="n">
        <f aca="false">IF(A1785="","",YEAR(A1785))</f>
        <v>2026</v>
      </c>
      <c r="K1785" s="26" t="n">
        <f aca="false">IF(A1785="","",MONTH(A1785))</f>
        <v>4</v>
      </c>
      <c r="L1785" s="26" t="n">
        <f aca="false">IF(B1785="","",VALUE(LEFT(B1785,2)))</f>
        <v>7</v>
      </c>
      <c r="M1785" s="26" t="n">
        <f aca="false">IF(A1785="","",IF(COUNTIFS($C$2:$C$5001,C1785,$J$2:$J$5001,J1785,$A$2:$A$5001,"&lt;"&amp;A1785)=0,1,0))</f>
        <v>0</v>
      </c>
    </row>
    <row r="1786" customFormat="false" ht="15" hidden="false" customHeight="false" outlineLevel="0" collapsed="false">
      <c r="A1786" s="23" t="n">
        <v>46134.2993055556</v>
      </c>
      <c r="B1786" s="24" t="s">
        <v>323</v>
      </c>
      <c r="C1786" s="24" t="s">
        <v>403</v>
      </c>
      <c r="D1786" s="24" t="s">
        <v>66</v>
      </c>
      <c r="E1786" s="24" t="n">
        <v>31</v>
      </c>
      <c r="F1786" s="25" t="n">
        <v>0</v>
      </c>
      <c r="G1786" s="24" t="s">
        <v>59</v>
      </c>
      <c r="H1786" s="24" t="s">
        <v>55</v>
      </c>
      <c r="I1786" s="24" t="s">
        <v>56</v>
      </c>
      <c r="J1786" s="26" t="n">
        <f aca="false">IF(A1786="","",YEAR(A1786))</f>
        <v>2026</v>
      </c>
      <c r="K1786" s="26" t="n">
        <f aca="false">IF(A1786="","",MONTH(A1786))</f>
        <v>4</v>
      </c>
      <c r="L1786" s="26" t="n">
        <f aca="false">IF(B1786="","",VALUE(LEFT(B1786,2)))</f>
        <v>6</v>
      </c>
      <c r="M1786" s="26" t="n">
        <f aca="false">IF(A1786="","",IF(COUNTIFS($C$2:$C$5001,C1786,$J$2:$J$5001,J1786,$A$2:$A$5001,"&lt;"&amp;A1786)=0,1,0))</f>
        <v>0</v>
      </c>
    </row>
    <row r="1787" customFormat="false" ht="15" hidden="false" customHeight="false" outlineLevel="0" collapsed="false">
      <c r="A1787" s="23" t="n">
        <v>46134.8263888889</v>
      </c>
      <c r="B1787" s="24" t="s">
        <v>477</v>
      </c>
      <c r="C1787" s="24" t="s">
        <v>376</v>
      </c>
      <c r="D1787" s="24" t="s">
        <v>66</v>
      </c>
      <c r="E1787" s="24" t="n">
        <v>246</v>
      </c>
      <c r="F1787" s="25" t="n">
        <v>9000</v>
      </c>
      <c r="G1787" s="24" t="s">
        <v>69</v>
      </c>
      <c r="H1787" s="24" t="s">
        <v>80</v>
      </c>
      <c r="I1787" s="24" t="s">
        <v>61</v>
      </c>
      <c r="J1787" s="26" t="n">
        <f aca="false">IF(A1787="","",YEAR(A1787))</f>
        <v>2026</v>
      </c>
      <c r="K1787" s="26" t="n">
        <f aca="false">IF(A1787="","",MONTH(A1787))</f>
        <v>4</v>
      </c>
      <c r="L1787" s="26" t="n">
        <f aca="false">IF(B1787="","",VALUE(LEFT(B1787,2)))</f>
        <v>15</v>
      </c>
      <c r="M1787" s="26" t="n">
        <f aca="false">IF(A1787="","",IF(COUNTIFS($C$2:$C$5001,C1787,$J$2:$J$5001,J1787,$A$2:$A$5001,"&lt;"&amp;A1787)=0,1,0))</f>
        <v>0</v>
      </c>
    </row>
    <row r="1788" customFormat="false" ht="15" hidden="false" customHeight="false" outlineLevel="0" collapsed="false">
      <c r="A1788" s="23" t="n">
        <v>46135.3875</v>
      </c>
      <c r="B1788" s="24" t="s">
        <v>388</v>
      </c>
      <c r="C1788" s="24" t="s">
        <v>123</v>
      </c>
      <c r="D1788" s="24" t="s">
        <v>66</v>
      </c>
      <c r="E1788" s="24" t="n">
        <v>128</v>
      </c>
      <c r="F1788" s="25" t="n">
        <v>0</v>
      </c>
      <c r="G1788" s="24" t="s">
        <v>83</v>
      </c>
      <c r="H1788" s="24" t="s">
        <v>80</v>
      </c>
      <c r="I1788" s="24" t="s">
        <v>56</v>
      </c>
      <c r="J1788" s="26" t="n">
        <f aca="false">IF(A1788="","",YEAR(A1788))</f>
        <v>2026</v>
      </c>
      <c r="K1788" s="26" t="n">
        <f aca="false">IF(A1788="","",MONTH(A1788))</f>
        <v>4</v>
      </c>
      <c r="L1788" s="26" t="n">
        <f aca="false">IF(B1788="","",VALUE(LEFT(B1788,2)))</f>
        <v>7</v>
      </c>
      <c r="M1788" s="26" t="n">
        <f aca="false">IF(A1788="","",IF(COUNTIFS($C$2:$C$5001,C1788,$J$2:$J$5001,J1788,$A$2:$A$5001,"&lt;"&amp;A1788)=0,1,0))</f>
        <v>0</v>
      </c>
    </row>
    <row r="1789" customFormat="false" ht="15" hidden="false" customHeight="false" outlineLevel="0" collapsed="false">
      <c r="A1789" s="23" t="n">
        <v>46135.5590277778</v>
      </c>
      <c r="B1789" s="24" t="s">
        <v>859</v>
      </c>
      <c r="C1789" s="24" t="s">
        <v>141</v>
      </c>
      <c r="D1789" s="24" t="s">
        <v>66</v>
      </c>
      <c r="E1789" s="24" t="n">
        <v>369</v>
      </c>
      <c r="F1789" s="25" t="n">
        <v>13000</v>
      </c>
      <c r="G1789" s="24" t="s">
        <v>69</v>
      </c>
      <c r="H1789" s="24" t="s">
        <v>80</v>
      </c>
      <c r="I1789" s="24" t="s">
        <v>61</v>
      </c>
      <c r="J1789" s="26" t="n">
        <f aca="false">IF(A1789="","",YEAR(A1789))</f>
        <v>2026</v>
      </c>
      <c r="K1789" s="26" t="n">
        <f aca="false">IF(A1789="","",MONTH(A1789))</f>
        <v>4</v>
      </c>
      <c r="L1789" s="26" t="n">
        <f aca="false">IF(B1789="","",VALUE(LEFT(B1789,2)))</f>
        <v>7</v>
      </c>
      <c r="M1789" s="26" t="n">
        <f aca="false">IF(A1789="","",IF(COUNTIFS($C$2:$C$5001,C1789,$J$2:$J$5001,J1789,$A$2:$A$5001,"&lt;"&amp;A1789)=0,1,0))</f>
        <v>0</v>
      </c>
    </row>
    <row r="1790" customFormat="false" ht="15" hidden="false" customHeight="false" outlineLevel="0" collapsed="false">
      <c r="A1790" s="23" t="n">
        <v>46135.6048611111</v>
      </c>
      <c r="B1790" s="24" t="s">
        <v>342</v>
      </c>
      <c r="C1790" s="24" t="s">
        <v>87</v>
      </c>
      <c r="D1790" s="24" t="s">
        <v>66</v>
      </c>
      <c r="E1790" s="24" t="n">
        <v>168</v>
      </c>
      <c r="F1790" s="25" t="n">
        <v>5100</v>
      </c>
      <c r="G1790" s="24" t="s">
        <v>59</v>
      </c>
      <c r="H1790" s="24" t="s">
        <v>55</v>
      </c>
      <c r="I1790" s="24" t="s">
        <v>113</v>
      </c>
      <c r="J1790" s="26" t="n">
        <f aca="false">IF(A1790="","",YEAR(A1790))</f>
        <v>2026</v>
      </c>
      <c r="K1790" s="26" t="n">
        <f aca="false">IF(A1790="","",MONTH(A1790))</f>
        <v>4</v>
      </c>
      <c r="L1790" s="26" t="n">
        <f aca="false">IF(B1790="","",VALUE(LEFT(B1790,2)))</f>
        <v>11</v>
      </c>
      <c r="M1790" s="26" t="n">
        <f aca="false">IF(A1790="","",IF(COUNTIFS($C$2:$C$5001,C1790,$J$2:$J$5001,J1790,$A$2:$A$5001,"&lt;"&amp;A1790)=0,1,0))</f>
        <v>0</v>
      </c>
    </row>
    <row r="1791" customFormat="false" ht="15" hidden="false" customHeight="false" outlineLevel="0" collapsed="false">
      <c r="A1791" s="23" t="n">
        <v>46135.6458333333</v>
      </c>
      <c r="B1791" s="24" t="s">
        <v>305</v>
      </c>
      <c r="C1791" s="24" t="s">
        <v>194</v>
      </c>
      <c r="D1791" s="24" t="s">
        <v>66</v>
      </c>
      <c r="E1791" s="24" t="n">
        <v>399</v>
      </c>
      <c r="F1791" s="25" t="n">
        <v>14000</v>
      </c>
      <c r="G1791" s="24" t="s">
        <v>69</v>
      </c>
      <c r="H1791" s="24" t="s">
        <v>60</v>
      </c>
      <c r="I1791" s="24" t="s">
        <v>61</v>
      </c>
      <c r="J1791" s="26" t="n">
        <f aca="false">IF(A1791="","",YEAR(A1791))</f>
        <v>2026</v>
      </c>
      <c r="K1791" s="26" t="n">
        <f aca="false">IF(A1791="","",MONTH(A1791))</f>
        <v>4</v>
      </c>
      <c r="L1791" s="26" t="n">
        <f aca="false">IF(B1791="","",VALUE(LEFT(B1791,2)))</f>
        <v>8</v>
      </c>
      <c r="M1791" s="26" t="n">
        <f aca="false">IF(A1791="","",IF(COUNTIFS($C$2:$C$5001,C1791,$J$2:$J$5001,J1791,$A$2:$A$5001,"&lt;"&amp;A1791)=0,1,0))</f>
        <v>0</v>
      </c>
    </row>
    <row r="1792" customFormat="false" ht="15" hidden="false" customHeight="false" outlineLevel="0" collapsed="false">
      <c r="A1792" s="23" t="n">
        <v>46135.8986111111</v>
      </c>
      <c r="B1792" s="24" t="s">
        <v>977</v>
      </c>
      <c r="C1792" s="24" t="s">
        <v>156</v>
      </c>
      <c r="D1792" s="24" t="s">
        <v>66</v>
      </c>
      <c r="E1792" s="24" t="n">
        <v>87</v>
      </c>
      <c r="F1792" s="25" t="n">
        <v>3000</v>
      </c>
      <c r="G1792" s="24" t="s">
        <v>59</v>
      </c>
      <c r="H1792" s="24" t="s">
        <v>80</v>
      </c>
      <c r="I1792" s="24" t="s">
        <v>61</v>
      </c>
      <c r="J1792" s="26" t="n">
        <f aca="false">IF(A1792="","",YEAR(A1792))</f>
        <v>2026</v>
      </c>
      <c r="K1792" s="26" t="n">
        <f aca="false">IF(A1792="","",MONTH(A1792))</f>
        <v>4</v>
      </c>
      <c r="L1792" s="26" t="n">
        <f aca="false">IF(B1792="","",VALUE(LEFT(B1792,2)))</f>
        <v>20</v>
      </c>
      <c r="M1792" s="26" t="n">
        <f aca="false">IF(A1792="","",IF(COUNTIFS($C$2:$C$5001,C1792,$J$2:$J$5001,J1792,$A$2:$A$5001,"&lt;"&amp;A1792)=0,1,0))</f>
        <v>0</v>
      </c>
    </row>
    <row r="1793" customFormat="false" ht="15" hidden="false" customHeight="false" outlineLevel="0" collapsed="false">
      <c r="A1793" s="23" t="n">
        <v>46136.0326388889</v>
      </c>
      <c r="B1793" s="24" t="s">
        <v>378</v>
      </c>
      <c r="C1793" s="24" t="s">
        <v>265</v>
      </c>
      <c r="D1793" s="24" t="s">
        <v>72</v>
      </c>
      <c r="E1793" s="24" t="n">
        <v>375</v>
      </c>
      <c r="F1793" s="25" t="n">
        <v>26000</v>
      </c>
      <c r="G1793" s="24" t="s">
        <v>59</v>
      </c>
      <c r="H1793" s="24" t="s">
        <v>80</v>
      </c>
      <c r="I1793" s="24" t="s">
        <v>61</v>
      </c>
      <c r="J1793" s="26" t="n">
        <f aca="false">IF(A1793="","",YEAR(A1793))</f>
        <v>2026</v>
      </c>
      <c r="K1793" s="26" t="n">
        <f aca="false">IF(A1793="","",MONTH(A1793))</f>
        <v>4</v>
      </c>
      <c r="L1793" s="26" t="n">
        <f aca="false">IF(B1793="","",VALUE(LEFT(B1793,2)))</f>
        <v>18</v>
      </c>
      <c r="M1793" s="26" t="n">
        <f aca="false">IF(A1793="","",IF(COUNTIFS($C$2:$C$5001,C1793,$J$2:$J$5001,J1793,$A$2:$A$5001,"&lt;"&amp;A1793)=0,1,0))</f>
        <v>0</v>
      </c>
    </row>
    <row r="1794" customFormat="false" ht="15" hidden="false" customHeight="false" outlineLevel="0" collapsed="false">
      <c r="A1794" s="23" t="n">
        <v>46136.0666666667</v>
      </c>
      <c r="B1794" s="24" t="s">
        <v>452</v>
      </c>
      <c r="C1794" s="24" t="s">
        <v>231</v>
      </c>
      <c r="D1794" s="24" t="s">
        <v>66</v>
      </c>
      <c r="E1794" s="24" t="n">
        <v>413</v>
      </c>
      <c r="F1794" s="25" t="n">
        <v>0</v>
      </c>
      <c r="G1794" s="24" t="s">
        <v>69</v>
      </c>
      <c r="H1794" s="24" t="s">
        <v>55</v>
      </c>
      <c r="I1794" s="24" t="s">
        <v>56</v>
      </c>
      <c r="J1794" s="26" t="n">
        <f aca="false">IF(A1794="","",YEAR(A1794))</f>
        <v>2026</v>
      </c>
      <c r="K1794" s="26" t="n">
        <f aca="false">IF(A1794="","",MONTH(A1794))</f>
        <v>4</v>
      </c>
      <c r="L1794" s="26" t="n">
        <f aca="false">IF(B1794="","",VALUE(LEFT(B1794,2)))</f>
        <v>18</v>
      </c>
      <c r="M1794" s="26" t="n">
        <f aca="false">IF(A1794="","",IF(COUNTIFS($C$2:$C$5001,C1794,$J$2:$J$5001,J1794,$A$2:$A$5001,"&lt;"&amp;A1794)=0,1,0))</f>
        <v>1</v>
      </c>
    </row>
    <row r="1795" customFormat="false" ht="15" hidden="false" customHeight="false" outlineLevel="0" collapsed="false">
      <c r="A1795" s="23" t="n">
        <v>46136.48125</v>
      </c>
      <c r="B1795" s="24" t="s">
        <v>330</v>
      </c>
      <c r="C1795" s="24" t="s">
        <v>314</v>
      </c>
      <c r="D1795" s="24" t="s">
        <v>53</v>
      </c>
      <c r="E1795" s="24" t="n">
        <v>195</v>
      </c>
      <c r="F1795" s="25" t="n">
        <v>3500</v>
      </c>
      <c r="G1795" s="24" t="s">
        <v>59</v>
      </c>
      <c r="H1795" s="24" t="s">
        <v>80</v>
      </c>
      <c r="I1795" s="24" t="s">
        <v>61</v>
      </c>
      <c r="J1795" s="26" t="n">
        <f aca="false">IF(A1795="","",YEAR(A1795))</f>
        <v>2026</v>
      </c>
      <c r="K1795" s="26" t="n">
        <f aca="false">IF(A1795="","",MONTH(A1795))</f>
        <v>4</v>
      </c>
      <c r="L1795" s="26" t="n">
        <f aca="false">IF(B1795="","",VALUE(LEFT(B1795,2)))</f>
        <v>8</v>
      </c>
      <c r="M1795" s="26" t="n">
        <f aca="false">IF(A1795="","",IF(COUNTIFS($C$2:$C$5001,C1795,$J$2:$J$5001,J1795,$A$2:$A$5001,"&lt;"&amp;A1795)=0,1,0))</f>
        <v>0</v>
      </c>
    </row>
    <row r="1796" customFormat="false" ht="15" hidden="false" customHeight="false" outlineLevel="0" collapsed="false">
      <c r="A1796" s="23" t="n">
        <v>46136.5465277778</v>
      </c>
      <c r="B1796" s="24" t="s">
        <v>569</v>
      </c>
      <c r="C1796" s="24" t="s">
        <v>289</v>
      </c>
      <c r="D1796" s="24" t="s">
        <v>66</v>
      </c>
      <c r="E1796" s="24" t="n">
        <v>326</v>
      </c>
      <c r="F1796" s="25" t="n">
        <v>9350</v>
      </c>
      <c r="G1796" s="24" t="s">
        <v>83</v>
      </c>
      <c r="H1796" s="24" t="s">
        <v>55</v>
      </c>
      <c r="I1796" s="24" t="s">
        <v>113</v>
      </c>
      <c r="J1796" s="26" t="n">
        <f aca="false">IF(A1796="","",YEAR(A1796))</f>
        <v>2026</v>
      </c>
      <c r="K1796" s="26" t="n">
        <f aca="false">IF(A1796="","",MONTH(A1796))</f>
        <v>4</v>
      </c>
      <c r="L1796" s="26" t="n">
        <f aca="false">IF(B1796="","",VALUE(LEFT(B1796,2)))</f>
        <v>7</v>
      </c>
      <c r="M1796" s="26" t="n">
        <f aca="false">IF(A1796="","",IF(COUNTIFS($C$2:$C$5001,C1796,$J$2:$J$5001,J1796,$A$2:$A$5001,"&lt;"&amp;A1796)=0,1,0))</f>
        <v>0</v>
      </c>
    </row>
    <row r="1797" customFormat="false" ht="15" hidden="false" customHeight="false" outlineLevel="0" collapsed="false">
      <c r="A1797" s="23" t="n">
        <v>46136.6201388889</v>
      </c>
      <c r="B1797" s="24" t="s">
        <v>257</v>
      </c>
      <c r="C1797" s="24" t="s">
        <v>82</v>
      </c>
      <c r="D1797" s="24" t="s">
        <v>53</v>
      </c>
      <c r="E1797" s="24" t="n">
        <v>276</v>
      </c>
      <c r="F1797" s="25" t="n">
        <v>5000</v>
      </c>
      <c r="G1797" s="24" t="s">
        <v>59</v>
      </c>
      <c r="H1797" s="24" t="s">
        <v>80</v>
      </c>
      <c r="I1797" s="24" t="s">
        <v>61</v>
      </c>
      <c r="J1797" s="26" t="n">
        <f aca="false">IF(A1797="","",YEAR(A1797))</f>
        <v>2026</v>
      </c>
      <c r="K1797" s="26" t="n">
        <f aca="false">IF(A1797="","",MONTH(A1797))</f>
        <v>4</v>
      </c>
      <c r="L1797" s="26" t="n">
        <f aca="false">IF(B1797="","",VALUE(LEFT(B1797,2)))</f>
        <v>10</v>
      </c>
      <c r="M1797" s="26" t="n">
        <f aca="false">IF(A1797="","",IF(COUNTIFS($C$2:$C$5001,C1797,$J$2:$J$5001,J1797,$A$2:$A$5001,"&lt;"&amp;A1797)=0,1,0))</f>
        <v>0</v>
      </c>
    </row>
    <row r="1798" customFormat="false" ht="15" hidden="false" customHeight="false" outlineLevel="0" collapsed="false">
      <c r="A1798" s="23" t="n">
        <v>46136.6291666667</v>
      </c>
      <c r="B1798" s="24" t="s">
        <v>628</v>
      </c>
      <c r="C1798" s="24" t="s">
        <v>105</v>
      </c>
      <c r="D1798" s="24" t="s">
        <v>66</v>
      </c>
      <c r="E1798" s="24" t="n">
        <v>106</v>
      </c>
      <c r="F1798" s="25" t="n">
        <v>3400</v>
      </c>
      <c r="G1798" s="24" t="s">
        <v>59</v>
      </c>
      <c r="H1798" s="24" t="s">
        <v>80</v>
      </c>
      <c r="I1798" s="24" t="s">
        <v>113</v>
      </c>
      <c r="J1798" s="26" t="n">
        <f aca="false">IF(A1798="","",YEAR(A1798))</f>
        <v>2026</v>
      </c>
      <c r="K1798" s="26" t="n">
        <f aca="false">IF(A1798="","",MONTH(A1798))</f>
        <v>4</v>
      </c>
      <c r="L1798" s="26" t="n">
        <f aca="false">IF(B1798="","",VALUE(LEFT(B1798,2)))</f>
        <v>13</v>
      </c>
      <c r="M1798" s="26" t="n">
        <f aca="false">IF(A1798="","",IF(COUNTIFS($C$2:$C$5001,C1798,$J$2:$J$5001,J1798,$A$2:$A$5001,"&lt;"&amp;A1798)=0,1,0))</f>
        <v>0</v>
      </c>
    </row>
    <row r="1799" customFormat="false" ht="15" hidden="false" customHeight="false" outlineLevel="0" collapsed="false">
      <c r="A1799" s="23" t="n">
        <v>46137.4472222222</v>
      </c>
      <c r="B1799" s="24" t="s">
        <v>258</v>
      </c>
      <c r="C1799" s="24" t="s">
        <v>227</v>
      </c>
      <c r="D1799" s="24" t="s">
        <v>88</v>
      </c>
      <c r="E1799" s="24" t="n">
        <v>65</v>
      </c>
      <c r="F1799" s="25" t="n">
        <v>4500</v>
      </c>
      <c r="G1799" s="24" t="s">
        <v>69</v>
      </c>
      <c r="H1799" s="24" t="s">
        <v>80</v>
      </c>
      <c r="I1799" s="24" t="s">
        <v>61</v>
      </c>
      <c r="J1799" s="26" t="n">
        <f aca="false">IF(A1799="","",YEAR(A1799))</f>
        <v>2026</v>
      </c>
      <c r="K1799" s="26" t="n">
        <f aca="false">IF(A1799="","",MONTH(A1799))</f>
        <v>4</v>
      </c>
      <c r="L1799" s="26" t="n">
        <f aca="false">IF(B1799="","",VALUE(LEFT(B1799,2)))</f>
        <v>9</v>
      </c>
      <c r="M1799" s="26" t="n">
        <f aca="false">IF(A1799="","",IF(COUNTIFS($C$2:$C$5001,C1799,$J$2:$J$5001,J1799,$A$2:$A$5001,"&lt;"&amp;A1799)=0,1,0))</f>
        <v>0</v>
      </c>
    </row>
    <row r="1800" customFormat="false" ht="15" hidden="false" customHeight="false" outlineLevel="0" collapsed="false">
      <c r="A1800" s="23" t="n">
        <v>46137.5243055556</v>
      </c>
      <c r="B1800" s="24" t="s">
        <v>986</v>
      </c>
      <c r="C1800" s="24" t="s">
        <v>92</v>
      </c>
      <c r="D1800" s="24" t="s">
        <v>66</v>
      </c>
      <c r="E1800" s="24" t="n">
        <v>303</v>
      </c>
      <c r="F1800" s="25" t="n">
        <v>11000</v>
      </c>
      <c r="G1800" s="24" t="s">
        <v>59</v>
      </c>
      <c r="H1800" s="24" t="s">
        <v>55</v>
      </c>
      <c r="I1800" s="24" t="s">
        <v>61</v>
      </c>
      <c r="J1800" s="26" t="n">
        <f aca="false">IF(A1800="","",YEAR(A1800))</f>
        <v>2026</v>
      </c>
      <c r="K1800" s="26" t="n">
        <f aca="false">IF(A1800="","",MONTH(A1800))</f>
        <v>4</v>
      </c>
      <c r="L1800" s="26" t="n">
        <f aca="false">IF(B1800="","",VALUE(LEFT(B1800,2)))</f>
        <v>7</v>
      </c>
      <c r="M1800" s="26" t="n">
        <f aca="false">IF(A1800="","",IF(COUNTIFS($C$2:$C$5001,C1800,$J$2:$J$5001,J1800,$A$2:$A$5001,"&lt;"&amp;A1800)=0,1,0))</f>
        <v>0</v>
      </c>
    </row>
    <row r="1801" customFormat="false" ht="15" hidden="false" customHeight="false" outlineLevel="0" collapsed="false">
      <c r="A1801" s="23" t="n">
        <v>46137.6041666667</v>
      </c>
      <c r="B1801" s="24" t="s">
        <v>987</v>
      </c>
      <c r="C1801" s="24" t="s">
        <v>63</v>
      </c>
      <c r="D1801" s="24" t="s">
        <v>66</v>
      </c>
      <c r="E1801" s="24" t="n">
        <v>216</v>
      </c>
      <c r="F1801" s="25" t="n">
        <v>8000</v>
      </c>
      <c r="G1801" s="24" t="s">
        <v>83</v>
      </c>
      <c r="H1801" s="24" t="s">
        <v>55</v>
      </c>
      <c r="I1801" s="24" t="s">
        <v>61</v>
      </c>
      <c r="J1801" s="26" t="n">
        <f aca="false">IF(A1801="","",YEAR(A1801))</f>
        <v>2026</v>
      </c>
      <c r="K1801" s="26" t="n">
        <f aca="false">IF(A1801="","",MONTH(A1801))</f>
        <v>4</v>
      </c>
      <c r="L1801" s="26" t="n">
        <f aca="false">IF(B1801="","",VALUE(LEFT(B1801,2)))</f>
        <v>10</v>
      </c>
      <c r="M1801" s="26" t="n">
        <f aca="false">IF(A1801="","",IF(COUNTIFS($C$2:$C$5001,C1801,$J$2:$J$5001,J1801,$A$2:$A$5001,"&lt;"&amp;A1801)=0,1,0))</f>
        <v>0</v>
      </c>
    </row>
    <row r="1802" customFormat="false" ht="15" hidden="false" customHeight="false" outlineLevel="0" collapsed="false">
      <c r="A1802" s="23" t="n">
        <v>46137.7076388889</v>
      </c>
      <c r="B1802" s="24" t="s">
        <v>923</v>
      </c>
      <c r="C1802" s="24" t="s">
        <v>220</v>
      </c>
      <c r="D1802" s="24" t="s">
        <v>53</v>
      </c>
      <c r="E1802" s="24" t="n">
        <v>300</v>
      </c>
      <c r="F1802" s="25" t="n">
        <v>0</v>
      </c>
      <c r="G1802" s="24" t="s">
        <v>54</v>
      </c>
      <c r="H1802" s="24" t="s">
        <v>60</v>
      </c>
      <c r="I1802" s="24" t="s">
        <v>56</v>
      </c>
      <c r="J1802" s="26" t="n">
        <f aca="false">IF(A1802="","",YEAR(A1802))</f>
        <v>2026</v>
      </c>
      <c r="K1802" s="26" t="n">
        <f aca="false">IF(A1802="","",MONTH(A1802))</f>
        <v>4</v>
      </c>
      <c r="L1802" s="26" t="n">
        <f aca="false">IF(B1802="","",VALUE(LEFT(B1802,2)))</f>
        <v>11</v>
      </c>
      <c r="M1802" s="26" t="n">
        <f aca="false">IF(A1802="","",IF(COUNTIFS($C$2:$C$5001,C1802,$J$2:$J$5001,J1802,$A$2:$A$5001,"&lt;"&amp;A1802)=0,1,0))</f>
        <v>0</v>
      </c>
    </row>
    <row r="1803" customFormat="false" ht="15" hidden="false" customHeight="false" outlineLevel="0" collapsed="false">
      <c r="A1803" s="23" t="n">
        <v>46137.7944444444</v>
      </c>
      <c r="B1803" s="24" t="s">
        <v>988</v>
      </c>
      <c r="C1803" s="24" t="s">
        <v>58</v>
      </c>
      <c r="D1803" s="24" t="s">
        <v>53</v>
      </c>
      <c r="E1803" s="24" t="n">
        <v>114</v>
      </c>
      <c r="F1803" s="25" t="n">
        <v>2000</v>
      </c>
      <c r="G1803" s="24" t="s">
        <v>69</v>
      </c>
      <c r="H1803" s="24" t="s">
        <v>60</v>
      </c>
      <c r="I1803" s="24" t="s">
        <v>61</v>
      </c>
      <c r="J1803" s="26" t="n">
        <f aca="false">IF(A1803="","",YEAR(A1803))</f>
        <v>2026</v>
      </c>
      <c r="K1803" s="26" t="n">
        <f aca="false">IF(A1803="","",MONTH(A1803))</f>
        <v>4</v>
      </c>
      <c r="L1803" s="26" t="n">
        <f aca="false">IF(B1803="","",VALUE(LEFT(B1803,2)))</f>
        <v>17</v>
      </c>
      <c r="M1803" s="26" t="n">
        <f aca="false">IF(A1803="","",IF(COUNTIFS($C$2:$C$5001,C1803,$J$2:$J$5001,J1803,$A$2:$A$5001,"&lt;"&amp;A1803)=0,1,0))</f>
        <v>0</v>
      </c>
    </row>
    <row r="1804" customFormat="false" ht="15" hidden="false" customHeight="false" outlineLevel="0" collapsed="false">
      <c r="A1804" s="23" t="n">
        <v>46137.8770833333</v>
      </c>
      <c r="B1804" s="24" t="s">
        <v>294</v>
      </c>
      <c r="C1804" s="24" t="s">
        <v>389</v>
      </c>
      <c r="D1804" s="24" t="s">
        <v>127</v>
      </c>
      <c r="E1804" s="24" t="n">
        <v>70</v>
      </c>
      <c r="F1804" s="25" t="n">
        <v>5250</v>
      </c>
      <c r="G1804" s="24" t="s">
        <v>59</v>
      </c>
      <c r="H1804" s="24" t="s">
        <v>80</v>
      </c>
      <c r="I1804" s="24" t="s">
        <v>61</v>
      </c>
      <c r="J1804" s="26" t="n">
        <f aca="false">IF(A1804="","",YEAR(A1804))</f>
        <v>2026</v>
      </c>
      <c r="K1804" s="26" t="n">
        <f aca="false">IF(A1804="","",MONTH(A1804))</f>
        <v>4</v>
      </c>
      <c r="L1804" s="26" t="n">
        <f aca="false">IF(B1804="","",VALUE(LEFT(B1804,2)))</f>
        <v>19</v>
      </c>
      <c r="M1804" s="26" t="n">
        <f aca="false">IF(A1804="","",IF(COUNTIFS($C$2:$C$5001,C1804,$J$2:$J$5001,J1804,$A$2:$A$5001,"&lt;"&amp;A1804)=0,1,0))</f>
        <v>0</v>
      </c>
    </row>
    <row r="1805" customFormat="false" ht="15" hidden="false" customHeight="false" outlineLevel="0" collapsed="false">
      <c r="A1805" s="23" t="n">
        <v>46137.9923611111</v>
      </c>
      <c r="B1805" s="24" t="s">
        <v>452</v>
      </c>
      <c r="C1805" s="24" t="s">
        <v>179</v>
      </c>
      <c r="D1805" s="24" t="s">
        <v>53</v>
      </c>
      <c r="E1805" s="24" t="n">
        <v>306</v>
      </c>
      <c r="F1805" s="25" t="n">
        <v>5500</v>
      </c>
      <c r="G1805" s="24" t="s">
        <v>59</v>
      </c>
      <c r="H1805" s="24" t="s">
        <v>55</v>
      </c>
      <c r="I1805" s="24" t="s">
        <v>61</v>
      </c>
      <c r="J1805" s="26" t="n">
        <f aca="false">IF(A1805="","",YEAR(A1805))</f>
        <v>2026</v>
      </c>
      <c r="K1805" s="26" t="n">
        <f aca="false">IF(A1805="","",MONTH(A1805))</f>
        <v>4</v>
      </c>
      <c r="L1805" s="26" t="n">
        <f aca="false">IF(B1805="","",VALUE(LEFT(B1805,2)))</f>
        <v>18</v>
      </c>
      <c r="M1805" s="26" t="n">
        <f aca="false">IF(A1805="","",IF(COUNTIFS($C$2:$C$5001,C1805,$J$2:$J$5001,J1805,$A$2:$A$5001,"&lt;"&amp;A1805)=0,1,0))</f>
        <v>0</v>
      </c>
    </row>
    <row r="1806" customFormat="false" ht="15" hidden="false" customHeight="false" outlineLevel="0" collapsed="false">
      <c r="A1806" s="23" t="n">
        <v>46138.5409722222</v>
      </c>
      <c r="B1806" s="24" t="s">
        <v>631</v>
      </c>
      <c r="C1806" s="24" t="s">
        <v>138</v>
      </c>
      <c r="D1806" s="24" t="s">
        <v>66</v>
      </c>
      <c r="E1806" s="24" t="n">
        <v>175</v>
      </c>
      <c r="F1806" s="25" t="n">
        <v>0</v>
      </c>
      <c r="G1806" s="24" t="s">
        <v>69</v>
      </c>
      <c r="H1806" s="24" t="s">
        <v>55</v>
      </c>
      <c r="I1806" s="24" t="s">
        <v>56</v>
      </c>
      <c r="J1806" s="26" t="n">
        <f aca="false">IF(A1806="","",YEAR(A1806))</f>
        <v>2026</v>
      </c>
      <c r="K1806" s="26" t="n">
        <f aca="false">IF(A1806="","",MONTH(A1806))</f>
        <v>4</v>
      </c>
      <c r="L1806" s="26" t="n">
        <f aca="false">IF(B1806="","",VALUE(LEFT(B1806,2)))</f>
        <v>10</v>
      </c>
      <c r="M1806" s="26" t="n">
        <f aca="false">IF(A1806="","",IF(COUNTIFS($C$2:$C$5001,C1806,$J$2:$J$5001,J1806,$A$2:$A$5001,"&lt;"&amp;A1806)=0,1,0))</f>
        <v>0</v>
      </c>
    </row>
    <row r="1807" customFormat="false" ht="15" hidden="false" customHeight="false" outlineLevel="0" collapsed="false">
      <c r="A1807" s="23" t="n">
        <v>46138.8361111111</v>
      </c>
      <c r="B1807" s="24" t="s">
        <v>401</v>
      </c>
      <c r="C1807" s="24" t="s">
        <v>63</v>
      </c>
      <c r="D1807" s="24" t="s">
        <v>66</v>
      </c>
      <c r="E1807" s="24" t="n">
        <v>75</v>
      </c>
      <c r="F1807" s="25" t="n">
        <v>3000</v>
      </c>
      <c r="G1807" s="24" t="s">
        <v>59</v>
      </c>
      <c r="H1807" s="24" t="s">
        <v>60</v>
      </c>
      <c r="I1807" s="24" t="s">
        <v>61</v>
      </c>
      <c r="J1807" s="26" t="n">
        <f aca="false">IF(A1807="","",YEAR(A1807))</f>
        <v>2026</v>
      </c>
      <c r="K1807" s="26" t="n">
        <f aca="false">IF(A1807="","",MONTH(A1807))</f>
        <v>4</v>
      </c>
      <c r="L1807" s="26" t="n">
        <f aca="false">IF(B1807="","",VALUE(LEFT(B1807,2)))</f>
        <v>18</v>
      </c>
      <c r="M1807" s="26" t="n">
        <f aca="false">IF(A1807="","",IF(COUNTIFS($C$2:$C$5001,C1807,$J$2:$J$5001,J1807,$A$2:$A$5001,"&lt;"&amp;A1807)=0,1,0))</f>
        <v>0</v>
      </c>
    </row>
    <row r="1808" customFormat="false" ht="15" hidden="false" customHeight="false" outlineLevel="0" collapsed="false">
      <c r="A1808" s="23" t="n">
        <v>46138.9</v>
      </c>
      <c r="B1808" s="24" t="s">
        <v>989</v>
      </c>
      <c r="C1808" s="24" t="s">
        <v>267</v>
      </c>
      <c r="D1808" s="24" t="s">
        <v>66</v>
      </c>
      <c r="E1808" s="24" t="n">
        <v>216</v>
      </c>
      <c r="F1808" s="25" t="n">
        <v>6800</v>
      </c>
      <c r="G1808" s="24" t="s">
        <v>69</v>
      </c>
      <c r="H1808" s="24" t="s">
        <v>55</v>
      </c>
      <c r="I1808" s="24" t="s">
        <v>113</v>
      </c>
      <c r="J1808" s="26" t="n">
        <f aca="false">IF(A1808="","",YEAR(A1808))</f>
        <v>2026</v>
      </c>
      <c r="K1808" s="26" t="n">
        <f aca="false">IF(A1808="","",MONTH(A1808))</f>
        <v>4</v>
      </c>
      <c r="L1808" s="26" t="n">
        <f aca="false">IF(B1808="","",VALUE(LEFT(B1808,2)))</f>
        <v>18</v>
      </c>
      <c r="M1808" s="26" t="n">
        <f aca="false">IF(A1808="","",IF(COUNTIFS($C$2:$C$5001,C1808,$J$2:$J$5001,J1808,$A$2:$A$5001,"&lt;"&amp;A1808)=0,1,0))</f>
        <v>0</v>
      </c>
    </row>
    <row r="1809" customFormat="false" ht="15" hidden="false" customHeight="false" outlineLevel="0" collapsed="false">
      <c r="A1809" s="23" t="n">
        <v>46138.9916666667</v>
      </c>
      <c r="B1809" s="24" t="s">
        <v>864</v>
      </c>
      <c r="C1809" s="24" t="s">
        <v>110</v>
      </c>
      <c r="D1809" s="24" t="s">
        <v>66</v>
      </c>
      <c r="E1809" s="24" t="n">
        <v>246</v>
      </c>
      <c r="F1809" s="25" t="n">
        <v>9000</v>
      </c>
      <c r="G1809" s="24" t="s">
        <v>79</v>
      </c>
      <c r="H1809" s="24" t="s">
        <v>80</v>
      </c>
      <c r="I1809" s="24" t="s">
        <v>61</v>
      </c>
      <c r="J1809" s="26" t="n">
        <f aca="false">IF(A1809="","",YEAR(A1809))</f>
        <v>2026</v>
      </c>
      <c r="K1809" s="26" t="n">
        <f aca="false">IF(A1809="","",MONTH(A1809))</f>
        <v>4</v>
      </c>
      <c r="L1809" s="26" t="n">
        <f aca="false">IF(B1809="","",VALUE(LEFT(B1809,2)))</f>
        <v>19</v>
      </c>
      <c r="M1809" s="26" t="n">
        <f aca="false">IF(A1809="","",IF(COUNTIFS($C$2:$C$5001,C1809,$J$2:$J$5001,J1809,$A$2:$A$5001,"&lt;"&amp;A1809)=0,1,0))</f>
        <v>0</v>
      </c>
    </row>
    <row r="1810" customFormat="false" ht="15" hidden="false" customHeight="false" outlineLevel="0" collapsed="false">
      <c r="A1810" s="23" t="n">
        <v>46139.1340277778</v>
      </c>
      <c r="B1810" s="24" t="s">
        <v>990</v>
      </c>
      <c r="C1810" s="24" t="s">
        <v>430</v>
      </c>
      <c r="D1810" s="24" t="s">
        <v>66</v>
      </c>
      <c r="E1810" s="24" t="n">
        <v>418</v>
      </c>
      <c r="F1810" s="25" t="n">
        <v>14000</v>
      </c>
      <c r="G1810" s="24" t="s">
        <v>59</v>
      </c>
      <c r="H1810" s="24" t="s">
        <v>55</v>
      </c>
      <c r="I1810" s="24" t="s">
        <v>61</v>
      </c>
      <c r="J1810" s="26" t="n">
        <f aca="false">IF(A1810="","",YEAR(A1810))</f>
        <v>2026</v>
      </c>
      <c r="K1810" s="26" t="n">
        <f aca="false">IF(A1810="","",MONTH(A1810))</f>
        <v>4</v>
      </c>
      <c r="L1810" s="26" t="n">
        <f aca="false">IF(B1810="","",VALUE(LEFT(B1810,2)))</f>
        <v>20</v>
      </c>
      <c r="M1810" s="26" t="n">
        <f aca="false">IF(A1810="","",IF(COUNTIFS($C$2:$C$5001,C1810,$J$2:$J$5001,J1810,$A$2:$A$5001,"&lt;"&amp;A1810)=0,1,0))</f>
        <v>0</v>
      </c>
    </row>
    <row r="1811" customFormat="false" ht="15" hidden="false" customHeight="false" outlineLevel="0" collapsed="false">
      <c r="A1811" s="23" t="n">
        <v>46139.5243055556</v>
      </c>
      <c r="B1811" s="24" t="s">
        <v>101</v>
      </c>
      <c r="C1811" s="24" t="s">
        <v>156</v>
      </c>
      <c r="D1811" s="24" t="s">
        <v>88</v>
      </c>
      <c r="E1811" s="24" t="n">
        <v>273</v>
      </c>
      <c r="F1811" s="25" t="n">
        <v>15000</v>
      </c>
      <c r="G1811" s="24" t="s">
        <v>79</v>
      </c>
      <c r="H1811" s="24" t="s">
        <v>80</v>
      </c>
      <c r="I1811" s="24" t="s">
        <v>61</v>
      </c>
      <c r="J1811" s="26" t="n">
        <f aca="false">IF(A1811="","",YEAR(A1811))</f>
        <v>2026</v>
      </c>
      <c r="K1811" s="26" t="n">
        <f aca="false">IF(A1811="","",MONTH(A1811))</f>
        <v>4</v>
      </c>
      <c r="L1811" s="26" t="n">
        <f aca="false">IF(B1811="","",VALUE(LEFT(B1811,2)))</f>
        <v>8</v>
      </c>
      <c r="M1811" s="26" t="n">
        <f aca="false">IF(A1811="","",IF(COUNTIFS($C$2:$C$5001,C1811,$J$2:$J$5001,J1811,$A$2:$A$5001,"&lt;"&amp;A1811)=0,1,0))</f>
        <v>0</v>
      </c>
    </row>
    <row r="1812" customFormat="false" ht="15" hidden="false" customHeight="false" outlineLevel="0" collapsed="false">
      <c r="A1812" s="23" t="n">
        <v>46139.6548611111</v>
      </c>
      <c r="B1812" s="24" t="s">
        <v>875</v>
      </c>
      <c r="C1812" s="24" t="s">
        <v>268</v>
      </c>
      <c r="D1812" s="24" t="s">
        <v>66</v>
      </c>
      <c r="E1812" s="24" t="n">
        <v>355</v>
      </c>
      <c r="F1812" s="25" t="n">
        <v>12000</v>
      </c>
      <c r="G1812" s="24" t="s">
        <v>54</v>
      </c>
      <c r="H1812" s="24" t="s">
        <v>55</v>
      </c>
      <c r="I1812" s="24" t="s">
        <v>61</v>
      </c>
      <c r="J1812" s="26" t="n">
        <f aca="false">IF(A1812="","",YEAR(A1812))</f>
        <v>2026</v>
      </c>
      <c r="K1812" s="26" t="n">
        <f aca="false">IF(A1812="","",MONTH(A1812))</f>
        <v>4</v>
      </c>
      <c r="L1812" s="26" t="n">
        <f aca="false">IF(B1812="","",VALUE(LEFT(B1812,2)))</f>
        <v>9</v>
      </c>
      <c r="M1812" s="26" t="n">
        <f aca="false">IF(A1812="","",IF(COUNTIFS($C$2:$C$5001,C1812,$J$2:$J$5001,J1812,$A$2:$A$5001,"&lt;"&amp;A1812)=0,1,0))</f>
        <v>0</v>
      </c>
    </row>
    <row r="1813" customFormat="false" ht="15" hidden="false" customHeight="false" outlineLevel="0" collapsed="false">
      <c r="A1813" s="23" t="n">
        <v>46139.9277777778</v>
      </c>
      <c r="B1813" s="24" t="s">
        <v>181</v>
      </c>
      <c r="C1813" s="24" t="s">
        <v>156</v>
      </c>
      <c r="D1813" s="24" t="s">
        <v>66</v>
      </c>
      <c r="E1813" s="24" t="n">
        <v>311</v>
      </c>
      <c r="F1813" s="25" t="n">
        <v>9350</v>
      </c>
      <c r="G1813" s="24" t="s">
        <v>54</v>
      </c>
      <c r="H1813" s="24" t="s">
        <v>80</v>
      </c>
      <c r="I1813" s="24" t="s">
        <v>113</v>
      </c>
      <c r="J1813" s="26" t="n">
        <f aca="false">IF(A1813="","",YEAR(A1813))</f>
        <v>2026</v>
      </c>
      <c r="K1813" s="26" t="n">
        <f aca="false">IF(A1813="","",MONTH(A1813))</f>
        <v>4</v>
      </c>
      <c r="L1813" s="26" t="n">
        <f aca="false">IF(B1813="","",VALUE(LEFT(B1813,2)))</f>
        <v>17</v>
      </c>
      <c r="M1813" s="26" t="n">
        <f aca="false">IF(A1813="","",IF(COUNTIFS($C$2:$C$5001,C1813,$J$2:$J$5001,J1813,$A$2:$A$5001,"&lt;"&amp;A1813)=0,1,0))</f>
        <v>0</v>
      </c>
    </row>
    <row r="1814" customFormat="false" ht="15" hidden="false" customHeight="false" outlineLevel="0" collapsed="false">
      <c r="A1814" s="23" t="n">
        <v>46140.3979166667</v>
      </c>
      <c r="B1814" s="24" t="s">
        <v>991</v>
      </c>
      <c r="C1814" s="24" t="s">
        <v>112</v>
      </c>
      <c r="D1814" s="24" t="s">
        <v>66</v>
      </c>
      <c r="E1814" s="24" t="n">
        <v>196</v>
      </c>
      <c r="F1814" s="25" t="n">
        <v>7000</v>
      </c>
      <c r="G1814" s="24" t="s">
        <v>69</v>
      </c>
      <c r="H1814" s="24" t="s">
        <v>55</v>
      </c>
      <c r="I1814" s="24" t="s">
        <v>61</v>
      </c>
      <c r="J1814" s="26" t="n">
        <f aca="false">IF(A1814="","",YEAR(A1814))</f>
        <v>2026</v>
      </c>
      <c r="K1814" s="26" t="n">
        <f aca="false">IF(A1814="","",MONTH(A1814))</f>
        <v>4</v>
      </c>
      <c r="L1814" s="26" t="n">
        <f aca="false">IF(B1814="","",VALUE(LEFT(B1814,2)))</f>
        <v>6</v>
      </c>
      <c r="M1814" s="26" t="n">
        <f aca="false">IF(A1814="","",IF(COUNTIFS($C$2:$C$5001,C1814,$J$2:$J$5001,J1814,$A$2:$A$5001,"&lt;"&amp;A1814)=0,1,0))</f>
        <v>0</v>
      </c>
    </row>
    <row r="1815" customFormat="false" ht="15" hidden="false" customHeight="false" outlineLevel="0" collapsed="false">
      <c r="A1815" s="23" t="n">
        <v>46140.4333333333</v>
      </c>
      <c r="B1815" s="24" t="s">
        <v>577</v>
      </c>
      <c r="C1815" s="24" t="s">
        <v>112</v>
      </c>
      <c r="D1815" s="24" t="s">
        <v>53</v>
      </c>
      <c r="E1815" s="24" t="n">
        <v>116</v>
      </c>
      <c r="F1815" s="25" t="n">
        <v>2000</v>
      </c>
      <c r="G1815" s="24" t="s">
        <v>59</v>
      </c>
      <c r="H1815" s="24" t="s">
        <v>80</v>
      </c>
      <c r="I1815" s="24" t="s">
        <v>61</v>
      </c>
      <c r="J1815" s="26" t="n">
        <f aca="false">IF(A1815="","",YEAR(A1815))</f>
        <v>2026</v>
      </c>
      <c r="K1815" s="26" t="n">
        <f aca="false">IF(A1815="","",MONTH(A1815))</f>
        <v>4</v>
      </c>
      <c r="L1815" s="26" t="n">
        <f aca="false">IF(B1815="","",VALUE(LEFT(B1815,2)))</f>
        <v>8</v>
      </c>
      <c r="M1815" s="26" t="n">
        <f aca="false">IF(A1815="","",IF(COUNTIFS($C$2:$C$5001,C1815,$J$2:$J$5001,J1815,$A$2:$A$5001,"&lt;"&amp;A1815)=0,1,0))</f>
        <v>0</v>
      </c>
    </row>
    <row r="1816" customFormat="false" ht="15" hidden="false" customHeight="false" outlineLevel="0" collapsed="false">
      <c r="A1816" s="23" t="n">
        <v>46140.6006944445</v>
      </c>
      <c r="B1816" s="24" t="s">
        <v>729</v>
      </c>
      <c r="C1816" s="24" t="s">
        <v>512</v>
      </c>
      <c r="D1816" s="24" t="s">
        <v>66</v>
      </c>
      <c r="E1816" s="24" t="n">
        <v>377</v>
      </c>
      <c r="F1816" s="25" t="n">
        <v>13000</v>
      </c>
      <c r="G1816" s="24" t="s">
        <v>69</v>
      </c>
      <c r="H1816" s="24" t="s">
        <v>60</v>
      </c>
      <c r="I1816" s="24" t="s">
        <v>61</v>
      </c>
      <c r="J1816" s="26" t="n">
        <f aca="false">IF(A1816="","",YEAR(A1816))</f>
        <v>2026</v>
      </c>
      <c r="K1816" s="26" t="n">
        <f aca="false">IF(A1816="","",MONTH(A1816))</f>
        <v>4</v>
      </c>
      <c r="L1816" s="26" t="n">
        <f aca="false">IF(B1816="","",VALUE(LEFT(B1816,2)))</f>
        <v>8</v>
      </c>
      <c r="M1816" s="26" t="n">
        <f aca="false">IF(A1816="","",IF(COUNTIFS($C$2:$C$5001,C1816,$J$2:$J$5001,J1816,$A$2:$A$5001,"&lt;"&amp;A1816)=0,1,0))</f>
        <v>0</v>
      </c>
    </row>
    <row r="1817" customFormat="false" ht="15" hidden="false" customHeight="false" outlineLevel="0" collapsed="false">
      <c r="A1817" s="23" t="n">
        <v>46140.7388888889</v>
      </c>
      <c r="B1817" s="24" t="s">
        <v>249</v>
      </c>
      <c r="C1817" s="24" t="s">
        <v>901</v>
      </c>
      <c r="D1817" s="24" t="s">
        <v>88</v>
      </c>
      <c r="E1817" s="24" t="n">
        <v>333</v>
      </c>
      <c r="F1817" s="25" t="n">
        <v>18000</v>
      </c>
      <c r="G1817" s="24" t="s">
        <v>59</v>
      </c>
      <c r="H1817" s="24" t="s">
        <v>55</v>
      </c>
      <c r="I1817" s="24" t="s">
        <v>61</v>
      </c>
      <c r="J1817" s="26" t="n">
        <f aca="false">IF(A1817="","",YEAR(A1817))</f>
        <v>2026</v>
      </c>
      <c r="K1817" s="26" t="n">
        <f aca="false">IF(A1817="","",MONTH(A1817))</f>
        <v>4</v>
      </c>
      <c r="L1817" s="26" t="n">
        <f aca="false">IF(B1817="","",VALUE(LEFT(B1817,2)))</f>
        <v>12</v>
      </c>
      <c r="M1817" s="26" t="n">
        <f aca="false">IF(A1817="","",IF(COUNTIFS($C$2:$C$5001,C1817,$J$2:$J$5001,J1817,$A$2:$A$5001,"&lt;"&amp;A1817)=0,1,0))</f>
        <v>0</v>
      </c>
    </row>
    <row r="1818" customFormat="false" ht="15" hidden="false" customHeight="false" outlineLevel="0" collapsed="false">
      <c r="A1818" s="23" t="n">
        <v>46140.7979166667</v>
      </c>
      <c r="B1818" s="24" t="s">
        <v>233</v>
      </c>
      <c r="C1818" s="24" t="s">
        <v>65</v>
      </c>
      <c r="D1818" s="24" t="s">
        <v>66</v>
      </c>
      <c r="E1818" s="24" t="n">
        <v>283</v>
      </c>
      <c r="F1818" s="25" t="n">
        <v>10000</v>
      </c>
      <c r="G1818" s="24" t="s">
        <v>59</v>
      </c>
      <c r="H1818" s="24" t="s">
        <v>60</v>
      </c>
      <c r="I1818" s="24" t="s">
        <v>61</v>
      </c>
      <c r="J1818" s="26" t="n">
        <f aca="false">IF(A1818="","",YEAR(A1818))</f>
        <v>2026</v>
      </c>
      <c r="K1818" s="26" t="n">
        <f aca="false">IF(A1818="","",MONTH(A1818))</f>
        <v>4</v>
      </c>
      <c r="L1818" s="26" t="n">
        <f aca="false">IF(B1818="","",VALUE(LEFT(B1818,2)))</f>
        <v>14</v>
      </c>
      <c r="M1818" s="26" t="n">
        <f aca="false">IF(A1818="","",IF(COUNTIFS($C$2:$C$5001,C1818,$J$2:$J$5001,J1818,$A$2:$A$5001,"&lt;"&amp;A1818)=0,1,0))</f>
        <v>0</v>
      </c>
    </row>
    <row r="1819" customFormat="false" ht="15" hidden="false" customHeight="false" outlineLevel="0" collapsed="false">
      <c r="A1819" s="23" t="n">
        <v>46140.8229166667</v>
      </c>
      <c r="B1819" s="24" t="s">
        <v>591</v>
      </c>
      <c r="C1819" s="24" t="s">
        <v>224</v>
      </c>
      <c r="D1819" s="24" t="s">
        <v>66</v>
      </c>
      <c r="E1819" s="24" t="n">
        <v>396</v>
      </c>
      <c r="F1819" s="25" t="n">
        <v>14000</v>
      </c>
      <c r="G1819" s="24" t="s">
        <v>54</v>
      </c>
      <c r="H1819" s="24" t="s">
        <v>80</v>
      </c>
      <c r="I1819" s="24" t="s">
        <v>61</v>
      </c>
      <c r="J1819" s="26" t="n">
        <f aca="false">IF(A1819="","",YEAR(A1819))</f>
        <v>2026</v>
      </c>
      <c r="K1819" s="26" t="n">
        <f aca="false">IF(A1819="","",MONTH(A1819))</f>
        <v>4</v>
      </c>
      <c r="L1819" s="26" t="n">
        <f aca="false">IF(B1819="","",VALUE(LEFT(B1819,2)))</f>
        <v>13</v>
      </c>
      <c r="M1819" s="26" t="n">
        <f aca="false">IF(A1819="","",IF(COUNTIFS($C$2:$C$5001,C1819,$J$2:$J$5001,J1819,$A$2:$A$5001,"&lt;"&amp;A1819)=0,1,0))</f>
        <v>0</v>
      </c>
    </row>
    <row r="1820" customFormat="false" ht="15" hidden="false" customHeight="false" outlineLevel="0" collapsed="false">
      <c r="A1820" s="23" t="n">
        <v>46140.8354166667</v>
      </c>
      <c r="B1820" s="24" t="s">
        <v>619</v>
      </c>
      <c r="C1820" s="24" t="s">
        <v>265</v>
      </c>
      <c r="D1820" s="24" t="s">
        <v>66</v>
      </c>
      <c r="E1820" s="24" t="n">
        <v>164</v>
      </c>
      <c r="F1820" s="25" t="n">
        <v>6000</v>
      </c>
      <c r="G1820" s="24" t="s">
        <v>59</v>
      </c>
      <c r="H1820" s="24" t="s">
        <v>55</v>
      </c>
      <c r="I1820" s="24" t="s">
        <v>61</v>
      </c>
      <c r="J1820" s="26" t="n">
        <f aca="false">IF(A1820="","",YEAR(A1820))</f>
        <v>2026</v>
      </c>
      <c r="K1820" s="26" t="n">
        <f aca="false">IF(A1820="","",MONTH(A1820))</f>
        <v>4</v>
      </c>
      <c r="L1820" s="26" t="n">
        <f aca="false">IF(B1820="","",VALUE(LEFT(B1820,2)))</f>
        <v>17</v>
      </c>
      <c r="M1820" s="26" t="n">
        <f aca="false">IF(A1820="","",IF(COUNTIFS($C$2:$C$5001,C1820,$J$2:$J$5001,J1820,$A$2:$A$5001,"&lt;"&amp;A1820)=0,1,0))</f>
        <v>0</v>
      </c>
    </row>
    <row r="1821" customFormat="false" ht="15" hidden="false" customHeight="false" outlineLevel="0" collapsed="false">
      <c r="A1821" s="23" t="n">
        <v>46140.9034722222</v>
      </c>
      <c r="B1821" s="24" t="s">
        <v>534</v>
      </c>
      <c r="C1821" s="24" t="s">
        <v>110</v>
      </c>
      <c r="D1821" s="24" t="s">
        <v>53</v>
      </c>
      <c r="E1821" s="24" t="n">
        <v>97</v>
      </c>
      <c r="F1821" s="25" t="n">
        <v>2000</v>
      </c>
      <c r="G1821" s="24" t="s">
        <v>59</v>
      </c>
      <c r="H1821" s="24" t="s">
        <v>80</v>
      </c>
      <c r="I1821" s="24" t="s">
        <v>61</v>
      </c>
      <c r="J1821" s="26" t="n">
        <f aca="false">IF(A1821="","",YEAR(A1821))</f>
        <v>2026</v>
      </c>
      <c r="K1821" s="26" t="n">
        <f aca="false">IF(A1821="","",MONTH(A1821))</f>
        <v>4</v>
      </c>
      <c r="L1821" s="26" t="n">
        <f aca="false">IF(B1821="","",VALUE(LEFT(B1821,2)))</f>
        <v>20</v>
      </c>
      <c r="M1821" s="26" t="n">
        <f aca="false">IF(A1821="","",IF(COUNTIFS($C$2:$C$5001,C1821,$J$2:$J$5001,J1821,$A$2:$A$5001,"&lt;"&amp;A1821)=0,1,0))</f>
        <v>0</v>
      </c>
    </row>
    <row r="1822" customFormat="false" ht="15" hidden="false" customHeight="false" outlineLevel="0" collapsed="false">
      <c r="A1822" s="23" t="n">
        <v>46143.4027777778</v>
      </c>
      <c r="B1822" s="24" t="s">
        <v>741</v>
      </c>
      <c r="C1822" s="24" t="s">
        <v>314</v>
      </c>
      <c r="D1822" s="24" t="s">
        <v>66</v>
      </c>
      <c r="E1822" s="24" t="n">
        <v>187</v>
      </c>
      <c r="F1822" s="25" t="n">
        <v>7000</v>
      </c>
      <c r="G1822" s="24" t="s">
        <v>69</v>
      </c>
      <c r="H1822" s="24" t="s">
        <v>60</v>
      </c>
      <c r="I1822" s="24" t="s">
        <v>61</v>
      </c>
      <c r="J1822" s="26" t="n">
        <f aca="false">IF(A1822="","",YEAR(A1822))</f>
        <v>2026</v>
      </c>
      <c r="K1822" s="26" t="n">
        <f aca="false">IF(A1822="","",MONTH(A1822))</f>
        <v>5</v>
      </c>
      <c r="L1822" s="26" t="n">
        <f aca="false">IF(B1822="","",VALUE(LEFT(B1822,2)))</f>
        <v>6</v>
      </c>
      <c r="M1822" s="26" t="n">
        <f aca="false">IF(A1822="","",IF(COUNTIFS($C$2:$C$5001,C1822,$J$2:$J$5001,J1822,$A$2:$A$5001,"&lt;"&amp;A1822)=0,1,0))</f>
        <v>0</v>
      </c>
    </row>
    <row r="1823" customFormat="false" ht="15" hidden="false" customHeight="false" outlineLevel="0" collapsed="false">
      <c r="A1823" s="23" t="n">
        <v>46143.6590277778</v>
      </c>
      <c r="B1823" s="24" t="s">
        <v>600</v>
      </c>
      <c r="C1823" s="24" t="s">
        <v>442</v>
      </c>
      <c r="D1823" s="24" t="s">
        <v>72</v>
      </c>
      <c r="E1823" s="24" t="n">
        <v>321</v>
      </c>
      <c r="F1823" s="25" t="n">
        <v>18700</v>
      </c>
      <c r="G1823" s="24" t="s">
        <v>59</v>
      </c>
      <c r="H1823" s="24" t="s">
        <v>55</v>
      </c>
      <c r="I1823" s="24" t="s">
        <v>113</v>
      </c>
      <c r="J1823" s="26" t="n">
        <f aca="false">IF(A1823="","",YEAR(A1823))</f>
        <v>2026</v>
      </c>
      <c r="K1823" s="26" t="n">
        <f aca="false">IF(A1823="","",MONTH(A1823))</f>
        <v>5</v>
      </c>
      <c r="L1823" s="26" t="n">
        <f aca="false">IF(B1823="","",VALUE(LEFT(B1823,2)))</f>
        <v>10</v>
      </c>
      <c r="M1823" s="26" t="n">
        <f aca="false">IF(A1823="","",IF(COUNTIFS($C$2:$C$5001,C1823,$J$2:$J$5001,J1823,$A$2:$A$5001,"&lt;"&amp;A1823)=0,1,0))</f>
        <v>0</v>
      </c>
    </row>
    <row r="1824" customFormat="false" ht="15" hidden="false" customHeight="false" outlineLevel="0" collapsed="false">
      <c r="A1824" s="23" t="n">
        <v>46143.8916666667</v>
      </c>
      <c r="B1824" s="24" t="s">
        <v>883</v>
      </c>
      <c r="C1824" s="24" t="s">
        <v>172</v>
      </c>
      <c r="D1824" s="24" t="s">
        <v>53</v>
      </c>
      <c r="E1824" s="24" t="n">
        <v>29</v>
      </c>
      <c r="F1824" s="25" t="n">
        <v>500</v>
      </c>
      <c r="G1824" s="24" t="s">
        <v>59</v>
      </c>
      <c r="H1824" s="24" t="s">
        <v>80</v>
      </c>
      <c r="I1824" s="24" t="s">
        <v>61</v>
      </c>
      <c r="J1824" s="26" t="n">
        <f aca="false">IF(A1824="","",YEAR(A1824))</f>
        <v>2026</v>
      </c>
      <c r="K1824" s="26" t="n">
        <f aca="false">IF(A1824="","",MONTH(A1824))</f>
        <v>5</v>
      </c>
      <c r="L1824" s="26" t="n">
        <f aca="false">IF(B1824="","",VALUE(LEFT(B1824,2)))</f>
        <v>20</v>
      </c>
      <c r="M1824" s="26" t="n">
        <f aca="false">IF(A1824="","",IF(COUNTIFS($C$2:$C$5001,C1824,$J$2:$J$5001,J1824,$A$2:$A$5001,"&lt;"&amp;A1824)=0,1,0))</f>
        <v>0</v>
      </c>
    </row>
    <row r="1825" customFormat="false" ht="15" hidden="false" customHeight="false" outlineLevel="0" collapsed="false">
      <c r="A1825" s="23" t="n">
        <v>46144.7875</v>
      </c>
      <c r="B1825" s="24" t="s">
        <v>902</v>
      </c>
      <c r="C1825" s="24" t="s">
        <v>508</v>
      </c>
      <c r="D1825" s="24" t="s">
        <v>66</v>
      </c>
      <c r="E1825" s="24" t="n">
        <v>37</v>
      </c>
      <c r="F1825" s="25" t="n">
        <v>2000</v>
      </c>
      <c r="G1825" s="24" t="s">
        <v>69</v>
      </c>
      <c r="H1825" s="24" t="s">
        <v>80</v>
      </c>
      <c r="I1825" s="24" t="s">
        <v>61</v>
      </c>
      <c r="J1825" s="26" t="n">
        <f aca="false">IF(A1825="","",YEAR(A1825))</f>
        <v>2026</v>
      </c>
      <c r="K1825" s="26" t="n">
        <f aca="false">IF(A1825="","",MONTH(A1825))</f>
        <v>5</v>
      </c>
      <c r="L1825" s="26" t="n">
        <f aca="false">IF(B1825="","",VALUE(LEFT(B1825,2)))</f>
        <v>18</v>
      </c>
      <c r="M1825" s="26" t="n">
        <f aca="false">IF(A1825="","",IF(COUNTIFS($C$2:$C$5001,C1825,$J$2:$J$5001,J1825,$A$2:$A$5001,"&lt;"&amp;A1825)=0,1,0))</f>
        <v>0</v>
      </c>
    </row>
    <row r="1826" customFormat="false" ht="15" hidden="false" customHeight="false" outlineLevel="0" collapsed="false">
      <c r="A1826" s="23" t="n">
        <v>46144.8645833333</v>
      </c>
      <c r="B1826" s="24" t="s">
        <v>979</v>
      </c>
      <c r="C1826" s="24" t="s">
        <v>174</v>
      </c>
      <c r="D1826" s="24" t="s">
        <v>66</v>
      </c>
      <c r="E1826" s="24" t="n">
        <v>272</v>
      </c>
      <c r="F1826" s="25" t="n">
        <v>10000</v>
      </c>
      <c r="G1826" s="24" t="s">
        <v>59</v>
      </c>
      <c r="H1826" s="24" t="s">
        <v>55</v>
      </c>
      <c r="I1826" s="24" t="s">
        <v>61</v>
      </c>
      <c r="J1826" s="26" t="n">
        <f aca="false">IF(A1826="","",YEAR(A1826))</f>
        <v>2026</v>
      </c>
      <c r="K1826" s="26" t="n">
        <f aca="false">IF(A1826="","",MONTH(A1826))</f>
        <v>5</v>
      </c>
      <c r="L1826" s="26" t="n">
        <f aca="false">IF(B1826="","",VALUE(LEFT(B1826,2)))</f>
        <v>16</v>
      </c>
      <c r="M1826" s="26" t="n">
        <f aca="false">IF(A1826="","",IF(COUNTIFS($C$2:$C$5001,C1826,$J$2:$J$5001,J1826,$A$2:$A$5001,"&lt;"&amp;A1826)=0,1,0))</f>
        <v>0</v>
      </c>
    </row>
    <row r="1827" customFormat="false" ht="15" hidden="false" customHeight="false" outlineLevel="0" collapsed="false">
      <c r="A1827" s="23" t="n">
        <v>46145.4208333333</v>
      </c>
      <c r="B1827" s="24" t="s">
        <v>548</v>
      </c>
      <c r="C1827" s="24" t="s">
        <v>448</v>
      </c>
      <c r="D1827" s="24" t="s">
        <v>66</v>
      </c>
      <c r="E1827" s="24" t="n">
        <v>59</v>
      </c>
      <c r="F1827" s="25" t="n">
        <v>2000</v>
      </c>
      <c r="G1827" s="24" t="s">
        <v>69</v>
      </c>
      <c r="H1827" s="24" t="s">
        <v>60</v>
      </c>
      <c r="I1827" s="24" t="s">
        <v>61</v>
      </c>
      <c r="J1827" s="26" t="n">
        <f aca="false">IF(A1827="","",YEAR(A1827))</f>
        <v>2026</v>
      </c>
      <c r="K1827" s="26" t="n">
        <f aca="false">IF(A1827="","",MONTH(A1827))</f>
        <v>5</v>
      </c>
      <c r="L1827" s="26" t="n">
        <f aca="false">IF(B1827="","",VALUE(LEFT(B1827,2)))</f>
        <v>9</v>
      </c>
      <c r="M1827" s="26" t="n">
        <f aca="false">IF(A1827="","",IF(COUNTIFS($C$2:$C$5001,C1827,$J$2:$J$5001,J1827,$A$2:$A$5001,"&lt;"&amp;A1827)=0,1,0))</f>
        <v>0</v>
      </c>
    </row>
    <row r="1828" customFormat="false" ht="15" hidden="false" customHeight="false" outlineLevel="0" collapsed="false">
      <c r="A1828" s="23" t="n">
        <v>46145.4923611111</v>
      </c>
      <c r="B1828" s="24" t="s">
        <v>734</v>
      </c>
      <c r="C1828" s="24" t="s">
        <v>306</v>
      </c>
      <c r="D1828" s="24" t="s">
        <v>66</v>
      </c>
      <c r="E1828" s="24" t="n">
        <v>282</v>
      </c>
      <c r="F1828" s="25" t="n">
        <v>10000</v>
      </c>
      <c r="G1828" s="24" t="s">
        <v>69</v>
      </c>
      <c r="H1828" s="24" t="s">
        <v>55</v>
      </c>
      <c r="I1828" s="24" t="s">
        <v>61</v>
      </c>
      <c r="J1828" s="26" t="n">
        <f aca="false">IF(A1828="","",YEAR(A1828))</f>
        <v>2026</v>
      </c>
      <c r="K1828" s="26" t="n">
        <f aca="false">IF(A1828="","",MONTH(A1828))</f>
        <v>5</v>
      </c>
      <c r="L1828" s="26" t="n">
        <f aca="false">IF(B1828="","",VALUE(LEFT(B1828,2)))</f>
        <v>7</v>
      </c>
      <c r="M1828" s="26" t="n">
        <f aca="false">IF(A1828="","",IF(COUNTIFS($C$2:$C$5001,C1828,$J$2:$J$5001,J1828,$A$2:$A$5001,"&lt;"&amp;A1828)=0,1,0))</f>
        <v>0</v>
      </c>
    </row>
    <row r="1829" customFormat="false" ht="15" hidden="false" customHeight="false" outlineLevel="0" collapsed="false">
      <c r="A1829" s="23" t="n">
        <v>46145.65625</v>
      </c>
      <c r="B1829" s="24" t="s">
        <v>900</v>
      </c>
      <c r="C1829" s="24" t="s">
        <v>442</v>
      </c>
      <c r="D1829" s="24" t="s">
        <v>66</v>
      </c>
      <c r="E1829" s="24" t="n">
        <v>273</v>
      </c>
      <c r="F1829" s="25" t="n">
        <v>10000</v>
      </c>
      <c r="G1829" s="24" t="s">
        <v>59</v>
      </c>
      <c r="H1829" s="24" t="s">
        <v>80</v>
      </c>
      <c r="I1829" s="24" t="s">
        <v>61</v>
      </c>
      <c r="J1829" s="26" t="n">
        <f aca="false">IF(A1829="","",YEAR(A1829))</f>
        <v>2026</v>
      </c>
      <c r="K1829" s="26" t="n">
        <f aca="false">IF(A1829="","",MONTH(A1829))</f>
        <v>5</v>
      </c>
      <c r="L1829" s="26" t="n">
        <f aca="false">IF(B1829="","",VALUE(LEFT(B1829,2)))</f>
        <v>11</v>
      </c>
      <c r="M1829" s="26" t="n">
        <f aca="false">IF(A1829="","",IF(COUNTIFS($C$2:$C$5001,C1829,$J$2:$J$5001,J1829,$A$2:$A$5001,"&lt;"&amp;A1829)=0,1,0))</f>
        <v>0</v>
      </c>
    </row>
    <row r="1830" customFormat="false" ht="15" hidden="false" customHeight="false" outlineLevel="0" collapsed="false">
      <c r="A1830" s="23" t="n">
        <v>46148.1055555556</v>
      </c>
      <c r="B1830" s="24" t="s">
        <v>992</v>
      </c>
      <c r="C1830" s="24" t="s">
        <v>174</v>
      </c>
      <c r="D1830" s="24" t="s">
        <v>53</v>
      </c>
      <c r="E1830" s="24" t="n">
        <v>362</v>
      </c>
      <c r="F1830" s="25" t="n">
        <v>6500</v>
      </c>
      <c r="G1830" s="24" t="s">
        <v>59</v>
      </c>
      <c r="H1830" s="24" t="s">
        <v>60</v>
      </c>
      <c r="I1830" s="24" t="s">
        <v>61</v>
      </c>
      <c r="J1830" s="26" t="n">
        <f aca="false">IF(A1830="","",YEAR(A1830))</f>
        <v>2026</v>
      </c>
      <c r="K1830" s="26" t="n">
        <f aca="false">IF(A1830="","",MONTH(A1830))</f>
        <v>5</v>
      </c>
      <c r="L1830" s="26" t="n">
        <f aca="false">IF(B1830="","",VALUE(LEFT(B1830,2)))</f>
        <v>20</v>
      </c>
      <c r="M1830" s="26" t="n">
        <f aca="false">IF(A1830="","",IF(COUNTIFS($C$2:$C$5001,C1830,$J$2:$J$5001,J1830,$A$2:$A$5001,"&lt;"&amp;A1830)=0,1,0))</f>
        <v>0</v>
      </c>
    </row>
    <row r="1831" customFormat="false" ht="15" hidden="false" customHeight="false" outlineLevel="0" collapsed="false">
      <c r="A1831" s="23" t="n">
        <v>46148.6715277778</v>
      </c>
      <c r="B1831" s="24" t="s">
        <v>881</v>
      </c>
      <c r="C1831" s="24" t="s">
        <v>65</v>
      </c>
      <c r="D1831" s="24" t="s">
        <v>66</v>
      </c>
      <c r="E1831" s="24" t="n">
        <v>163</v>
      </c>
      <c r="F1831" s="25" t="n">
        <v>6000</v>
      </c>
      <c r="G1831" s="24" t="s">
        <v>69</v>
      </c>
      <c r="H1831" s="24" t="s">
        <v>55</v>
      </c>
      <c r="I1831" s="24" t="s">
        <v>61</v>
      </c>
      <c r="J1831" s="26" t="n">
        <f aca="false">IF(A1831="","",YEAR(A1831))</f>
        <v>2026</v>
      </c>
      <c r="K1831" s="26" t="n">
        <f aca="false">IF(A1831="","",MONTH(A1831))</f>
        <v>5</v>
      </c>
      <c r="L1831" s="26" t="n">
        <f aca="false">IF(B1831="","",VALUE(LEFT(B1831,2)))</f>
        <v>13</v>
      </c>
      <c r="M1831" s="26" t="n">
        <f aca="false">IF(A1831="","",IF(COUNTIFS($C$2:$C$5001,C1831,$J$2:$J$5001,J1831,$A$2:$A$5001,"&lt;"&amp;A1831)=0,1,0))</f>
        <v>0</v>
      </c>
    </row>
    <row r="1832" customFormat="false" ht="15" hidden="false" customHeight="false" outlineLevel="0" collapsed="false">
      <c r="A1832" s="23" t="n">
        <v>46148.7006944444</v>
      </c>
      <c r="B1832" s="24" t="s">
        <v>983</v>
      </c>
      <c r="C1832" s="24" t="s">
        <v>138</v>
      </c>
      <c r="D1832" s="24" t="s">
        <v>66</v>
      </c>
      <c r="E1832" s="24" t="n">
        <v>78</v>
      </c>
      <c r="F1832" s="25" t="n">
        <v>3000</v>
      </c>
      <c r="G1832" s="24" t="s">
        <v>59</v>
      </c>
      <c r="H1832" s="24" t="s">
        <v>55</v>
      </c>
      <c r="I1832" s="24" t="s">
        <v>61</v>
      </c>
      <c r="J1832" s="26" t="n">
        <f aca="false">IF(A1832="","",YEAR(A1832))</f>
        <v>2026</v>
      </c>
      <c r="K1832" s="26" t="n">
        <f aca="false">IF(A1832="","",MONTH(A1832))</f>
        <v>5</v>
      </c>
      <c r="L1832" s="26" t="n">
        <f aca="false">IF(B1832="","",VALUE(LEFT(B1832,2)))</f>
        <v>15</v>
      </c>
      <c r="M1832" s="26" t="n">
        <f aca="false">IF(A1832="","",IF(COUNTIFS($C$2:$C$5001,C1832,$J$2:$J$5001,J1832,$A$2:$A$5001,"&lt;"&amp;A1832)=0,1,0))</f>
        <v>0</v>
      </c>
    </row>
    <row r="1833" customFormat="false" ht="15" hidden="false" customHeight="false" outlineLevel="0" collapsed="false">
      <c r="A1833" s="23" t="n">
        <v>46149.0138888889</v>
      </c>
      <c r="B1833" s="24" t="s">
        <v>973</v>
      </c>
      <c r="C1833" s="24" t="s">
        <v>224</v>
      </c>
      <c r="D1833" s="24" t="s">
        <v>53</v>
      </c>
      <c r="E1833" s="24" t="n">
        <v>336</v>
      </c>
      <c r="F1833" s="25" t="n">
        <v>0</v>
      </c>
      <c r="G1833" s="24" t="s">
        <v>59</v>
      </c>
      <c r="H1833" s="24" t="s">
        <v>80</v>
      </c>
      <c r="I1833" s="24" t="s">
        <v>56</v>
      </c>
      <c r="J1833" s="26" t="n">
        <f aca="false">IF(A1833="","",YEAR(A1833))</f>
        <v>2026</v>
      </c>
      <c r="K1833" s="26" t="n">
        <f aca="false">IF(A1833="","",MONTH(A1833))</f>
        <v>5</v>
      </c>
      <c r="L1833" s="26" t="n">
        <f aca="false">IF(B1833="","",VALUE(LEFT(B1833,2)))</f>
        <v>18</v>
      </c>
      <c r="M1833" s="26" t="n">
        <f aca="false">IF(A1833="","",IF(COUNTIFS($C$2:$C$5001,C1833,$J$2:$J$5001,J1833,$A$2:$A$5001,"&lt;"&amp;A1833)=0,1,0))</f>
        <v>0</v>
      </c>
    </row>
    <row r="1834" customFormat="false" ht="15" hidden="false" customHeight="false" outlineLevel="0" collapsed="false">
      <c r="A1834" s="23" t="n">
        <v>46149.0284722222</v>
      </c>
      <c r="B1834" s="24" t="s">
        <v>989</v>
      </c>
      <c r="C1834" s="24" t="s">
        <v>240</v>
      </c>
      <c r="D1834" s="24" t="s">
        <v>66</v>
      </c>
      <c r="E1834" s="24" t="n">
        <v>401</v>
      </c>
      <c r="F1834" s="25" t="n">
        <v>14000</v>
      </c>
      <c r="G1834" s="24" t="s">
        <v>59</v>
      </c>
      <c r="H1834" s="24" t="s">
        <v>60</v>
      </c>
      <c r="I1834" s="24" t="s">
        <v>61</v>
      </c>
      <c r="J1834" s="26" t="n">
        <f aca="false">IF(A1834="","",YEAR(A1834))</f>
        <v>2026</v>
      </c>
      <c r="K1834" s="26" t="n">
        <f aca="false">IF(A1834="","",MONTH(A1834))</f>
        <v>5</v>
      </c>
      <c r="L1834" s="26" t="n">
        <f aca="false">IF(B1834="","",VALUE(LEFT(B1834,2)))</f>
        <v>18</v>
      </c>
      <c r="M1834" s="26" t="n">
        <f aca="false">IF(A1834="","",IF(COUNTIFS($C$2:$C$5001,C1834,$J$2:$J$5001,J1834,$A$2:$A$5001,"&lt;"&amp;A1834)=0,1,0))</f>
        <v>0</v>
      </c>
    </row>
    <row r="1835" customFormat="false" ht="15" hidden="false" customHeight="false" outlineLevel="0" collapsed="false">
      <c r="A1835" s="23" t="n">
        <v>46149.88125</v>
      </c>
      <c r="B1835" s="24" t="s">
        <v>603</v>
      </c>
      <c r="C1835" s="24" t="s">
        <v>552</v>
      </c>
      <c r="D1835" s="24" t="s">
        <v>66</v>
      </c>
      <c r="E1835" s="24" t="n">
        <v>220</v>
      </c>
      <c r="F1835" s="25" t="n">
        <v>8000</v>
      </c>
      <c r="G1835" s="24" t="s">
        <v>69</v>
      </c>
      <c r="H1835" s="24" t="s">
        <v>80</v>
      </c>
      <c r="I1835" s="24" t="s">
        <v>61</v>
      </c>
      <c r="J1835" s="26" t="n">
        <f aca="false">IF(A1835="","",YEAR(A1835))</f>
        <v>2026</v>
      </c>
      <c r="K1835" s="26" t="n">
        <f aca="false">IF(A1835="","",MONTH(A1835))</f>
        <v>5</v>
      </c>
      <c r="L1835" s="26" t="n">
        <f aca="false">IF(B1835="","",VALUE(LEFT(B1835,2)))</f>
        <v>17</v>
      </c>
      <c r="M1835" s="26" t="n">
        <f aca="false">IF(A1835="","",IF(COUNTIFS($C$2:$C$5001,C1835,$J$2:$J$5001,J1835,$A$2:$A$5001,"&lt;"&amp;A1835)=0,1,0))</f>
        <v>0</v>
      </c>
    </row>
    <row r="1836" customFormat="false" ht="15" hidden="false" customHeight="false" outlineLevel="0" collapsed="false">
      <c r="A1836" s="23" t="n">
        <v>46149.8833333333</v>
      </c>
      <c r="B1836" s="24" t="s">
        <v>702</v>
      </c>
      <c r="C1836" s="24" t="s">
        <v>406</v>
      </c>
      <c r="D1836" s="24" t="s">
        <v>66</v>
      </c>
      <c r="E1836" s="24" t="n">
        <v>97</v>
      </c>
      <c r="F1836" s="25" t="n">
        <v>4000</v>
      </c>
      <c r="G1836" s="24" t="s">
        <v>83</v>
      </c>
      <c r="H1836" s="24" t="s">
        <v>55</v>
      </c>
      <c r="I1836" s="24" t="s">
        <v>61</v>
      </c>
      <c r="J1836" s="26" t="n">
        <f aca="false">IF(A1836="","",YEAR(A1836))</f>
        <v>2026</v>
      </c>
      <c r="K1836" s="26" t="n">
        <f aca="false">IF(A1836="","",MONTH(A1836))</f>
        <v>5</v>
      </c>
      <c r="L1836" s="26" t="n">
        <f aca="false">IF(B1836="","",VALUE(LEFT(B1836,2)))</f>
        <v>19</v>
      </c>
      <c r="M1836" s="26" t="n">
        <f aca="false">IF(A1836="","",IF(COUNTIFS($C$2:$C$5001,C1836,$J$2:$J$5001,J1836,$A$2:$A$5001,"&lt;"&amp;A1836)=0,1,0))</f>
        <v>0</v>
      </c>
    </row>
    <row r="1837" customFormat="false" ht="15" hidden="false" customHeight="false" outlineLevel="0" collapsed="false">
      <c r="A1837" s="23" t="n">
        <v>46150.5145833333</v>
      </c>
      <c r="B1837" s="24" t="s">
        <v>991</v>
      </c>
      <c r="C1837" s="24" t="s">
        <v>68</v>
      </c>
      <c r="D1837" s="24" t="s">
        <v>66</v>
      </c>
      <c r="E1837" s="24" t="n">
        <v>364</v>
      </c>
      <c r="F1837" s="25" t="n">
        <v>13000</v>
      </c>
      <c r="G1837" s="24" t="s">
        <v>59</v>
      </c>
      <c r="H1837" s="24" t="s">
        <v>55</v>
      </c>
      <c r="I1837" s="24" t="s">
        <v>61</v>
      </c>
      <c r="J1837" s="26" t="n">
        <f aca="false">IF(A1837="","",YEAR(A1837))</f>
        <v>2026</v>
      </c>
      <c r="K1837" s="26" t="n">
        <f aca="false">IF(A1837="","",MONTH(A1837))</f>
        <v>5</v>
      </c>
      <c r="L1837" s="26" t="n">
        <f aca="false">IF(B1837="","",VALUE(LEFT(B1837,2)))</f>
        <v>6</v>
      </c>
      <c r="M1837" s="26" t="n">
        <f aca="false">IF(A1837="","",IF(COUNTIFS($C$2:$C$5001,C1837,$J$2:$J$5001,J1837,$A$2:$A$5001,"&lt;"&amp;A1837)=0,1,0))</f>
        <v>0</v>
      </c>
    </row>
    <row r="1838" customFormat="false" ht="15" hidden="false" customHeight="false" outlineLevel="0" collapsed="false">
      <c r="A1838" s="23" t="n">
        <v>46150.86875</v>
      </c>
      <c r="B1838" s="24" t="s">
        <v>870</v>
      </c>
      <c r="C1838" s="24" t="s">
        <v>87</v>
      </c>
      <c r="D1838" s="24" t="s">
        <v>53</v>
      </c>
      <c r="E1838" s="24" t="n">
        <v>213</v>
      </c>
      <c r="F1838" s="25" t="n">
        <v>4000</v>
      </c>
      <c r="G1838" s="24" t="s">
        <v>59</v>
      </c>
      <c r="H1838" s="24" t="s">
        <v>60</v>
      </c>
      <c r="I1838" s="24" t="s">
        <v>61</v>
      </c>
      <c r="J1838" s="26" t="n">
        <f aca="false">IF(A1838="","",YEAR(A1838))</f>
        <v>2026</v>
      </c>
      <c r="K1838" s="26" t="n">
        <f aca="false">IF(A1838="","",MONTH(A1838))</f>
        <v>5</v>
      </c>
      <c r="L1838" s="26" t="n">
        <f aca="false">IF(B1838="","",VALUE(LEFT(B1838,2)))</f>
        <v>17</v>
      </c>
      <c r="M1838" s="26" t="n">
        <f aca="false">IF(A1838="","",IF(COUNTIFS($C$2:$C$5001,C1838,$J$2:$J$5001,J1838,$A$2:$A$5001,"&lt;"&amp;A1838)=0,1,0))</f>
        <v>0</v>
      </c>
    </row>
    <row r="1839" customFormat="false" ht="15" hidden="false" customHeight="false" outlineLevel="0" collapsed="false">
      <c r="A1839" s="23" t="n">
        <v>46151.3486111111</v>
      </c>
      <c r="B1839" s="24" t="s">
        <v>705</v>
      </c>
      <c r="C1839" s="24" t="s">
        <v>861</v>
      </c>
      <c r="D1839" s="24" t="s">
        <v>66</v>
      </c>
      <c r="E1839" s="24" t="n">
        <v>101</v>
      </c>
      <c r="F1839" s="25" t="n">
        <v>4000</v>
      </c>
      <c r="G1839" s="24" t="s">
        <v>59</v>
      </c>
      <c r="H1839" s="24" t="s">
        <v>55</v>
      </c>
      <c r="I1839" s="24" t="s">
        <v>61</v>
      </c>
      <c r="J1839" s="26" t="n">
        <f aca="false">IF(A1839="","",YEAR(A1839))</f>
        <v>2026</v>
      </c>
      <c r="K1839" s="26" t="n">
        <f aca="false">IF(A1839="","",MONTH(A1839))</f>
        <v>5</v>
      </c>
      <c r="L1839" s="26" t="n">
        <f aca="false">IF(B1839="","",VALUE(LEFT(B1839,2)))</f>
        <v>6</v>
      </c>
      <c r="M1839" s="26" t="n">
        <f aca="false">IF(A1839="","",IF(COUNTIFS($C$2:$C$5001,C1839,$J$2:$J$5001,J1839,$A$2:$A$5001,"&lt;"&amp;A1839)=0,1,0))</f>
        <v>0</v>
      </c>
    </row>
    <row r="1840" customFormat="false" ht="15" hidden="false" customHeight="false" outlineLevel="0" collapsed="false">
      <c r="A1840" s="23" t="n">
        <v>46151.4125</v>
      </c>
      <c r="B1840" s="24" t="s">
        <v>652</v>
      </c>
      <c r="C1840" s="24" t="s">
        <v>690</v>
      </c>
      <c r="D1840" s="24" t="s">
        <v>66</v>
      </c>
      <c r="E1840" s="24" t="n">
        <v>215</v>
      </c>
      <c r="F1840" s="25" t="n">
        <v>6800</v>
      </c>
      <c r="G1840" s="24" t="s">
        <v>79</v>
      </c>
      <c r="H1840" s="24" t="s">
        <v>55</v>
      </c>
      <c r="I1840" s="24" t="s">
        <v>113</v>
      </c>
      <c r="J1840" s="26" t="n">
        <f aca="false">IF(A1840="","",YEAR(A1840))</f>
        <v>2026</v>
      </c>
      <c r="K1840" s="26" t="n">
        <f aca="false">IF(A1840="","",MONTH(A1840))</f>
        <v>5</v>
      </c>
      <c r="L1840" s="26" t="n">
        <f aca="false">IF(B1840="","",VALUE(LEFT(B1840,2)))</f>
        <v>6</v>
      </c>
      <c r="M1840" s="26" t="n">
        <f aca="false">IF(A1840="","",IF(COUNTIFS($C$2:$C$5001,C1840,$J$2:$J$5001,J1840,$A$2:$A$5001,"&lt;"&amp;A1840)=0,1,0))</f>
        <v>0</v>
      </c>
    </row>
    <row r="1841" customFormat="false" ht="15" hidden="false" customHeight="false" outlineLevel="0" collapsed="false">
      <c r="A1841" s="23" t="n">
        <v>46151.5277777778</v>
      </c>
      <c r="B1841" s="24" t="s">
        <v>313</v>
      </c>
      <c r="C1841" s="24" t="s">
        <v>129</v>
      </c>
      <c r="D1841" s="24" t="s">
        <v>53</v>
      </c>
      <c r="E1841" s="24" t="n">
        <v>77</v>
      </c>
      <c r="F1841" s="25" t="n">
        <v>1500</v>
      </c>
      <c r="G1841" s="24" t="s">
        <v>69</v>
      </c>
      <c r="H1841" s="24" t="s">
        <v>55</v>
      </c>
      <c r="I1841" s="24" t="s">
        <v>61</v>
      </c>
      <c r="J1841" s="26" t="n">
        <f aca="false">IF(A1841="","",YEAR(A1841))</f>
        <v>2026</v>
      </c>
      <c r="K1841" s="26" t="n">
        <f aca="false">IF(A1841="","",MONTH(A1841))</f>
        <v>5</v>
      </c>
      <c r="L1841" s="26" t="n">
        <f aca="false">IF(B1841="","",VALUE(LEFT(B1841,2)))</f>
        <v>11</v>
      </c>
      <c r="M1841" s="26" t="n">
        <f aca="false">IF(A1841="","",IF(COUNTIFS($C$2:$C$5001,C1841,$J$2:$J$5001,J1841,$A$2:$A$5001,"&lt;"&amp;A1841)=0,1,0))</f>
        <v>0</v>
      </c>
    </row>
    <row r="1842" customFormat="false" ht="15" hidden="false" customHeight="false" outlineLevel="0" collapsed="false">
      <c r="A1842" s="23" t="n">
        <v>46151.5520833333</v>
      </c>
      <c r="B1842" s="24" t="s">
        <v>504</v>
      </c>
      <c r="C1842" s="24" t="s">
        <v>396</v>
      </c>
      <c r="D1842" s="24" t="s">
        <v>72</v>
      </c>
      <c r="E1842" s="24" t="n">
        <v>316</v>
      </c>
      <c r="F1842" s="25" t="n">
        <v>22000</v>
      </c>
      <c r="G1842" s="24" t="s">
        <v>59</v>
      </c>
      <c r="H1842" s="24" t="s">
        <v>60</v>
      </c>
      <c r="I1842" s="24" t="s">
        <v>61</v>
      </c>
      <c r="J1842" s="26" t="n">
        <f aca="false">IF(A1842="","",YEAR(A1842))</f>
        <v>2026</v>
      </c>
      <c r="K1842" s="26" t="n">
        <f aca="false">IF(A1842="","",MONTH(A1842))</f>
        <v>5</v>
      </c>
      <c r="L1842" s="26" t="n">
        <f aca="false">IF(B1842="","",VALUE(LEFT(B1842,2)))</f>
        <v>7</v>
      </c>
      <c r="M1842" s="26" t="n">
        <f aca="false">IF(A1842="","",IF(COUNTIFS($C$2:$C$5001,C1842,$J$2:$J$5001,J1842,$A$2:$A$5001,"&lt;"&amp;A1842)=0,1,0))</f>
        <v>0</v>
      </c>
    </row>
    <row r="1843" customFormat="false" ht="15" hidden="false" customHeight="false" outlineLevel="0" collapsed="false">
      <c r="A1843" s="23" t="n">
        <v>46151.9354166667</v>
      </c>
      <c r="B1843" s="24" t="s">
        <v>826</v>
      </c>
      <c r="C1843" s="24" t="s">
        <v>118</v>
      </c>
      <c r="D1843" s="24" t="s">
        <v>66</v>
      </c>
      <c r="E1843" s="24" t="n">
        <v>204</v>
      </c>
      <c r="F1843" s="25" t="n">
        <v>7000</v>
      </c>
      <c r="G1843" s="24" t="s">
        <v>69</v>
      </c>
      <c r="H1843" s="24" t="s">
        <v>80</v>
      </c>
      <c r="I1843" s="24" t="s">
        <v>61</v>
      </c>
      <c r="J1843" s="26" t="n">
        <f aca="false">IF(A1843="","",YEAR(A1843))</f>
        <v>2026</v>
      </c>
      <c r="K1843" s="26" t="n">
        <f aca="false">IF(A1843="","",MONTH(A1843))</f>
        <v>5</v>
      </c>
      <c r="L1843" s="26" t="n">
        <f aca="false">IF(B1843="","",VALUE(LEFT(B1843,2)))</f>
        <v>19</v>
      </c>
      <c r="M1843" s="26" t="n">
        <f aca="false">IF(A1843="","",IF(COUNTIFS($C$2:$C$5001,C1843,$J$2:$J$5001,J1843,$A$2:$A$5001,"&lt;"&amp;A1843)=0,1,0))</f>
        <v>0</v>
      </c>
    </row>
    <row r="1844" customFormat="false" ht="15" hidden="false" customHeight="false" outlineLevel="0" collapsed="false">
      <c r="A1844" s="23" t="n">
        <v>46152.4388888889</v>
      </c>
      <c r="B1844" s="24" t="s">
        <v>650</v>
      </c>
      <c r="C1844" s="24" t="s">
        <v>243</v>
      </c>
      <c r="D1844" s="24" t="s">
        <v>66</v>
      </c>
      <c r="E1844" s="24" t="n">
        <v>207</v>
      </c>
      <c r="F1844" s="25" t="n">
        <v>7000</v>
      </c>
      <c r="G1844" s="24" t="s">
        <v>69</v>
      </c>
      <c r="H1844" s="24" t="s">
        <v>80</v>
      </c>
      <c r="I1844" s="24" t="s">
        <v>61</v>
      </c>
      <c r="J1844" s="26" t="n">
        <f aca="false">IF(A1844="","",YEAR(A1844))</f>
        <v>2026</v>
      </c>
      <c r="K1844" s="26" t="n">
        <f aca="false">IF(A1844="","",MONTH(A1844))</f>
        <v>5</v>
      </c>
      <c r="L1844" s="26" t="n">
        <f aca="false">IF(B1844="","",VALUE(LEFT(B1844,2)))</f>
        <v>7</v>
      </c>
      <c r="M1844" s="26" t="n">
        <f aca="false">IF(A1844="","",IF(COUNTIFS($C$2:$C$5001,C1844,$J$2:$J$5001,J1844,$A$2:$A$5001,"&lt;"&amp;A1844)=0,1,0))</f>
        <v>0</v>
      </c>
    </row>
    <row r="1845" customFormat="false" ht="15" hidden="false" customHeight="false" outlineLevel="0" collapsed="false">
      <c r="A1845" s="23" t="n">
        <v>46152.8284722222</v>
      </c>
      <c r="B1845" s="24" t="s">
        <v>888</v>
      </c>
      <c r="C1845" s="24" t="s">
        <v>312</v>
      </c>
      <c r="D1845" s="24" t="s">
        <v>53</v>
      </c>
      <c r="E1845" s="24" t="n">
        <v>380</v>
      </c>
      <c r="F1845" s="25" t="n">
        <v>6500</v>
      </c>
      <c r="G1845" s="24" t="s">
        <v>69</v>
      </c>
      <c r="H1845" s="24" t="s">
        <v>80</v>
      </c>
      <c r="I1845" s="24" t="s">
        <v>61</v>
      </c>
      <c r="J1845" s="26" t="n">
        <f aca="false">IF(A1845="","",YEAR(A1845))</f>
        <v>2026</v>
      </c>
      <c r="K1845" s="26" t="n">
        <f aca="false">IF(A1845="","",MONTH(A1845))</f>
        <v>5</v>
      </c>
      <c r="L1845" s="26" t="n">
        <f aca="false">IF(B1845="","",VALUE(LEFT(B1845,2)))</f>
        <v>13</v>
      </c>
      <c r="M1845" s="26" t="n">
        <f aca="false">IF(A1845="","",IF(COUNTIFS($C$2:$C$5001,C1845,$J$2:$J$5001,J1845,$A$2:$A$5001,"&lt;"&amp;A1845)=0,1,0))</f>
        <v>0</v>
      </c>
    </row>
    <row r="1846" customFormat="false" ht="15" hidden="false" customHeight="false" outlineLevel="0" collapsed="false">
      <c r="A1846" s="23" t="n">
        <v>46153.1361111111</v>
      </c>
      <c r="B1846" s="24" t="s">
        <v>993</v>
      </c>
      <c r="C1846" s="24" t="s">
        <v>138</v>
      </c>
      <c r="D1846" s="24" t="s">
        <v>53</v>
      </c>
      <c r="E1846" s="24" t="n">
        <v>384</v>
      </c>
      <c r="F1846" s="25" t="n">
        <v>6500</v>
      </c>
      <c r="G1846" s="24" t="s">
        <v>59</v>
      </c>
      <c r="H1846" s="24" t="s">
        <v>80</v>
      </c>
      <c r="I1846" s="24" t="s">
        <v>61</v>
      </c>
      <c r="J1846" s="26" t="n">
        <f aca="false">IF(A1846="","",YEAR(A1846))</f>
        <v>2026</v>
      </c>
      <c r="K1846" s="26" t="n">
        <f aca="false">IF(A1846="","",MONTH(A1846))</f>
        <v>5</v>
      </c>
      <c r="L1846" s="26" t="n">
        <f aca="false">IF(B1846="","",VALUE(LEFT(B1846,2)))</f>
        <v>20</v>
      </c>
      <c r="M1846" s="26" t="n">
        <f aca="false">IF(A1846="","",IF(COUNTIFS($C$2:$C$5001,C1846,$J$2:$J$5001,J1846,$A$2:$A$5001,"&lt;"&amp;A1846)=0,1,0))</f>
        <v>0</v>
      </c>
    </row>
    <row r="1847" customFormat="false" ht="15" hidden="false" customHeight="false" outlineLevel="0" collapsed="false">
      <c r="A1847" s="23" t="n">
        <v>46153.6027777778</v>
      </c>
      <c r="B1847" s="24" t="s">
        <v>961</v>
      </c>
      <c r="C1847" s="24" t="s">
        <v>65</v>
      </c>
      <c r="D1847" s="24" t="s">
        <v>66</v>
      </c>
      <c r="E1847" s="24" t="n">
        <v>72</v>
      </c>
      <c r="F1847" s="25" t="n">
        <v>3000</v>
      </c>
      <c r="G1847" s="24" t="s">
        <v>59</v>
      </c>
      <c r="H1847" s="24" t="s">
        <v>60</v>
      </c>
      <c r="I1847" s="24" t="s">
        <v>61</v>
      </c>
      <c r="J1847" s="26" t="n">
        <f aca="false">IF(A1847="","",YEAR(A1847))</f>
        <v>2026</v>
      </c>
      <c r="K1847" s="26" t="n">
        <f aca="false">IF(A1847="","",MONTH(A1847))</f>
        <v>5</v>
      </c>
      <c r="L1847" s="26" t="n">
        <f aca="false">IF(B1847="","",VALUE(LEFT(B1847,2)))</f>
        <v>13</v>
      </c>
      <c r="M1847" s="26" t="n">
        <f aca="false">IF(A1847="","",IF(COUNTIFS($C$2:$C$5001,C1847,$J$2:$J$5001,J1847,$A$2:$A$5001,"&lt;"&amp;A1847)=0,1,0))</f>
        <v>0</v>
      </c>
    </row>
    <row r="1848" customFormat="false" ht="15" hidden="false" customHeight="false" outlineLevel="0" collapsed="false">
      <c r="A1848" s="23" t="n">
        <v>46153.8583333333</v>
      </c>
      <c r="B1848" s="24" t="s">
        <v>605</v>
      </c>
      <c r="C1848" s="24" t="s">
        <v>286</v>
      </c>
      <c r="D1848" s="24" t="s">
        <v>53</v>
      </c>
      <c r="E1848" s="24" t="n">
        <v>271</v>
      </c>
      <c r="F1848" s="25" t="n">
        <v>0</v>
      </c>
      <c r="G1848" s="24" t="s">
        <v>59</v>
      </c>
      <c r="H1848" s="24" t="s">
        <v>60</v>
      </c>
      <c r="I1848" s="24" t="s">
        <v>56</v>
      </c>
      <c r="J1848" s="26" t="n">
        <f aca="false">IF(A1848="","",YEAR(A1848))</f>
        <v>2026</v>
      </c>
      <c r="K1848" s="26" t="n">
        <f aca="false">IF(A1848="","",MONTH(A1848))</f>
        <v>5</v>
      </c>
      <c r="L1848" s="26" t="n">
        <f aca="false">IF(B1848="","",VALUE(LEFT(B1848,2)))</f>
        <v>16</v>
      </c>
      <c r="M1848" s="26" t="n">
        <f aca="false">IF(A1848="","",IF(COUNTIFS($C$2:$C$5001,C1848,$J$2:$J$5001,J1848,$A$2:$A$5001,"&lt;"&amp;A1848)=0,1,0))</f>
        <v>0</v>
      </c>
    </row>
    <row r="1849" customFormat="false" ht="15" hidden="false" customHeight="false" outlineLevel="0" collapsed="false">
      <c r="A1849" s="23" t="n">
        <v>46153.9090277778</v>
      </c>
      <c r="B1849" s="24" t="s">
        <v>611</v>
      </c>
      <c r="C1849" s="24" t="s">
        <v>76</v>
      </c>
      <c r="D1849" s="24" t="s">
        <v>88</v>
      </c>
      <c r="E1849" s="24" t="n">
        <v>353</v>
      </c>
      <c r="F1849" s="25" t="n">
        <v>18000</v>
      </c>
      <c r="G1849" s="24" t="s">
        <v>69</v>
      </c>
      <c r="H1849" s="24" t="s">
        <v>55</v>
      </c>
      <c r="I1849" s="24" t="s">
        <v>61</v>
      </c>
      <c r="J1849" s="26" t="n">
        <f aca="false">IF(A1849="","",YEAR(A1849))</f>
        <v>2026</v>
      </c>
      <c r="K1849" s="26" t="n">
        <f aca="false">IF(A1849="","",MONTH(A1849))</f>
        <v>5</v>
      </c>
      <c r="L1849" s="26" t="n">
        <f aca="false">IF(B1849="","",VALUE(LEFT(B1849,2)))</f>
        <v>15</v>
      </c>
      <c r="M1849" s="26" t="n">
        <f aca="false">IF(A1849="","",IF(COUNTIFS($C$2:$C$5001,C1849,$J$2:$J$5001,J1849,$A$2:$A$5001,"&lt;"&amp;A1849)=0,1,0))</f>
        <v>0</v>
      </c>
    </row>
    <row r="1850" customFormat="false" ht="15" hidden="false" customHeight="false" outlineLevel="0" collapsed="false">
      <c r="A1850" s="23" t="n">
        <v>46154.3666666667</v>
      </c>
      <c r="B1850" s="24" t="s">
        <v>368</v>
      </c>
      <c r="C1850" s="24" t="s">
        <v>317</v>
      </c>
      <c r="D1850" s="24" t="s">
        <v>66</v>
      </c>
      <c r="E1850" s="24" t="n">
        <v>75</v>
      </c>
      <c r="F1850" s="25" t="n">
        <v>2550</v>
      </c>
      <c r="G1850" s="24" t="s">
        <v>59</v>
      </c>
      <c r="H1850" s="24" t="s">
        <v>55</v>
      </c>
      <c r="I1850" s="24" t="s">
        <v>113</v>
      </c>
      <c r="J1850" s="26" t="n">
        <f aca="false">IF(A1850="","",YEAR(A1850))</f>
        <v>2026</v>
      </c>
      <c r="K1850" s="26" t="n">
        <f aca="false">IF(A1850="","",MONTH(A1850))</f>
        <v>5</v>
      </c>
      <c r="L1850" s="26" t="n">
        <f aca="false">IF(B1850="","",VALUE(LEFT(B1850,2)))</f>
        <v>7</v>
      </c>
      <c r="M1850" s="26" t="n">
        <f aca="false">IF(A1850="","",IF(COUNTIFS($C$2:$C$5001,C1850,$J$2:$J$5001,J1850,$A$2:$A$5001,"&lt;"&amp;A1850)=0,1,0))</f>
        <v>1</v>
      </c>
    </row>
    <row r="1851" customFormat="false" ht="15" hidden="false" customHeight="false" outlineLevel="0" collapsed="false">
      <c r="A1851" s="23" t="n">
        <v>46155.4159722222</v>
      </c>
      <c r="B1851" s="24" t="s">
        <v>366</v>
      </c>
      <c r="C1851" s="24" t="s">
        <v>112</v>
      </c>
      <c r="D1851" s="24" t="s">
        <v>66</v>
      </c>
      <c r="E1851" s="24" t="n">
        <v>216</v>
      </c>
      <c r="F1851" s="25" t="n">
        <v>6800</v>
      </c>
      <c r="G1851" s="24" t="s">
        <v>79</v>
      </c>
      <c r="H1851" s="24" t="s">
        <v>55</v>
      </c>
      <c r="I1851" s="24" t="s">
        <v>113</v>
      </c>
      <c r="J1851" s="26" t="n">
        <f aca="false">IF(A1851="","",YEAR(A1851))</f>
        <v>2026</v>
      </c>
      <c r="K1851" s="26" t="n">
        <f aca="false">IF(A1851="","",MONTH(A1851))</f>
        <v>5</v>
      </c>
      <c r="L1851" s="26" t="n">
        <f aca="false">IF(B1851="","",VALUE(LEFT(B1851,2)))</f>
        <v>6</v>
      </c>
      <c r="M1851" s="26" t="n">
        <f aca="false">IF(A1851="","",IF(COUNTIFS($C$2:$C$5001,C1851,$J$2:$J$5001,J1851,$A$2:$A$5001,"&lt;"&amp;A1851)=0,1,0))</f>
        <v>0</v>
      </c>
    </row>
    <row r="1852" customFormat="false" ht="15" hidden="false" customHeight="false" outlineLevel="0" collapsed="false">
      <c r="A1852" s="23" t="n">
        <v>46156.5423611111</v>
      </c>
      <c r="B1852" s="24" t="s">
        <v>510</v>
      </c>
      <c r="C1852" s="24" t="s">
        <v>182</v>
      </c>
      <c r="D1852" s="24" t="s">
        <v>66</v>
      </c>
      <c r="E1852" s="24" t="n">
        <v>183</v>
      </c>
      <c r="F1852" s="25" t="n">
        <v>7000</v>
      </c>
      <c r="G1852" s="24" t="s">
        <v>69</v>
      </c>
      <c r="H1852" s="24" t="s">
        <v>55</v>
      </c>
      <c r="I1852" s="24" t="s">
        <v>61</v>
      </c>
      <c r="J1852" s="26" t="n">
        <f aca="false">IF(A1852="","",YEAR(A1852))</f>
        <v>2026</v>
      </c>
      <c r="K1852" s="26" t="n">
        <f aca="false">IF(A1852="","",MONTH(A1852))</f>
        <v>5</v>
      </c>
      <c r="L1852" s="26" t="n">
        <f aca="false">IF(B1852="","",VALUE(LEFT(B1852,2)))</f>
        <v>9</v>
      </c>
      <c r="M1852" s="26" t="n">
        <f aca="false">IF(A1852="","",IF(COUNTIFS($C$2:$C$5001,C1852,$J$2:$J$5001,J1852,$A$2:$A$5001,"&lt;"&amp;A1852)=0,1,0))</f>
        <v>0</v>
      </c>
    </row>
    <row r="1853" customFormat="false" ht="15" hidden="false" customHeight="false" outlineLevel="0" collapsed="false">
      <c r="A1853" s="23" t="n">
        <v>46156.7451388889</v>
      </c>
      <c r="B1853" s="24" t="s">
        <v>75</v>
      </c>
      <c r="C1853" s="24" t="s">
        <v>120</v>
      </c>
      <c r="D1853" s="24" t="s">
        <v>66</v>
      </c>
      <c r="E1853" s="24" t="n">
        <v>80</v>
      </c>
      <c r="F1853" s="25" t="n">
        <v>3000</v>
      </c>
      <c r="G1853" s="24" t="s">
        <v>59</v>
      </c>
      <c r="H1853" s="24" t="s">
        <v>55</v>
      </c>
      <c r="I1853" s="24" t="s">
        <v>61</v>
      </c>
      <c r="J1853" s="26" t="n">
        <f aca="false">IF(A1853="","",YEAR(A1853))</f>
        <v>2026</v>
      </c>
      <c r="K1853" s="26" t="n">
        <f aca="false">IF(A1853="","",MONTH(A1853))</f>
        <v>5</v>
      </c>
      <c r="L1853" s="26" t="n">
        <f aca="false">IF(B1853="","",VALUE(LEFT(B1853,2)))</f>
        <v>16</v>
      </c>
      <c r="M1853" s="26" t="n">
        <f aca="false">IF(A1853="","",IF(COUNTIFS($C$2:$C$5001,C1853,$J$2:$J$5001,J1853,$A$2:$A$5001,"&lt;"&amp;A1853)=0,1,0))</f>
        <v>0</v>
      </c>
    </row>
    <row r="1854" customFormat="false" ht="15" hidden="false" customHeight="false" outlineLevel="0" collapsed="false">
      <c r="A1854" s="23" t="n">
        <v>46157.0118055556</v>
      </c>
      <c r="B1854" s="24" t="s">
        <v>989</v>
      </c>
      <c r="C1854" s="24" t="s">
        <v>227</v>
      </c>
      <c r="D1854" s="24" t="s">
        <v>66</v>
      </c>
      <c r="E1854" s="24" t="n">
        <v>377</v>
      </c>
      <c r="F1854" s="25" t="n">
        <v>13000</v>
      </c>
      <c r="G1854" s="24" t="s">
        <v>59</v>
      </c>
      <c r="H1854" s="24" t="s">
        <v>80</v>
      </c>
      <c r="I1854" s="24" t="s">
        <v>61</v>
      </c>
      <c r="J1854" s="26" t="n">
        <f aca="false">IF(A1854="","",YEAR(A1854))</f>
        <v>2026</v>
      </c>
      <c r="K1854" s="26" t="n">
        <f aca="false">IF(A1854="","",MONTH(A1854))</f>
        <v>5</v>
      </c>
      <c r="L1854" s="26" t="n">
        <f aca="false">IF(B1854="","",VALUE(LEFT(B1854,2)))</f>
        <v>18</v>
      </c>
      <c r="M1854" s="26" t="n">
        <f aca="false">IF(A1854="","",IF(COUNTIFS($C$2:$C$5001,C1854,$J$2:$J$5001,J1854,$A$2:$A$5001,"&lt;"&amp;A1854)=0,1,0))</f>
        <v>0</v>
      </c>
    </row>
    <row r="1855" customFormat="false" ht="15" hidden="false" customHeight="false" outlineLevel="0" collapsed="false">
      <c r="A1855" s="23" t="n">
        <v>46157.38125</v>
      </c>
      <c r="B1855" s="24" t="s">
        <v>994</v>
      </c>
      <c r="C1855" s="24" t="s">
        <v>52</v>
      </c>
      <c r="D1855" s="24" t="s">
        <v>66</v>
      </c>
      <c r="E1855" s="24" t="n">
        <v>161</v>
      </c>
      <c r="F1855" s="25" t="n">
        <v>6000</v>
      </c>
      <c r="G1855" s="24" t="s">
        <v>69</v>
      </c>
      <c r="H1855" s="24" t="s">
        <v>80</v>
      </c>
      <c r="I1855" s="24" t="s">
        <v>61</v>
      </c>
      <c r="J1855" s="26" t="n">
        <f aca="false">IF(A1855="","",YEAR(A1855))</f>
        <v>2026</v>
      </c>
      <c r="K1855" s="26" t="n">
        <f aca="false">IF(A1855="","",MONTH(A1855))</f>
        <v>5</v>
      </c>
      <c r="L1855" s="26" t="n">
        <f aca="false">IF(B1855="","",VALUE(LEFT(B1855,2)))</f>
        <v>6</v>
      </c>
      <c r="M1855" s="26" t="n">
        <f aca="false">IF(A1855="","",IF(COUNTIFS($C$2:$C$5001,C1855,$J$2:$J$5001,J1855,$A$2:$A$5001,"&lt;"&amp;A1855)=0,1,0))</f>
        <v>0</v>
      </c>
    </row>
    <row r="1856" customFormat="false" ht="15" hidden="false" customHeight="false" outlineLevel="0" collapsed="false">
      <c r="A1856" s="23" t="n">
        <v>46157.4770833333</v>
      </c>
      <c r="B1856" s="24" t="s">
        <v>341</v>
      </c>
      <c r="C1856" s="24" t="s">
        <v>396</v>
      </c>
      <c r="D1856" s="24" t="s">
        <v>66</v>
      </c>
      <c r="E1856" s="24" t="n">
        <v>79</v>
      </c>
      <c r="F1856" s="25" t="n">
        <v>3000</v>
      </c>
      <c r="G1856" s="24" t="s">
        <v>59</v>
      </c>
      <c r="H1856" s="24" t="s">
        <v>60</v>
      </c>
      <c r="I1856" s="24" t="s">
        <v>61</v>
      </c>
      <c r="J1856" s="26" t="n">
        <f aca="false">IF(A1856="","",YEAR(A1856))</f>
        <v>2026</v>
      </c>
      <c r="K1856" s="26" t="n">
        <f aca="false">IF(A1856="","",MONTH(A1856))</f>
        <v>5</v>
      </c>
      <c r="L1856" s="26" t="n">
        <f aca="false">IF(B1856="","",VALUE(LEFT(B1856,2)))</f>
        <v>10</v>
      </c>
      <c r="M1856" s="26" t="n">
        <f aca="false">IF(A1856="","",IF(COUNTIFS($C$2:$C$5001,C1856,$J$2:$J$5001,J1856,$A$2:$A$5001,"&lt;"&amp;A1856)=0,1,0))</f>
        <v>0</v>
      </c>
    </row>
    <row r="1857" customFormat="false" ht="15" hidden="false" customHeight="false" outlineLevel="0" collapsed="false">
      <c r="A1857" s="23" t="n">
        <v>46157.5381944445</v>
      </c>
      <c r="B1857" s="24" t="s">
        <v>151</v>
      </c>
      <c r="C1857" s="24" t="s">
        <v>243</v>
      </c>
      <c r="D1857" s="24" t="s">
        <v>53</v>
      </c>
      <c r="E1857" s="24" t="n">
        <v>360</v>
      </c>
      <c r="F1857" s="25" t="n">
        <v>0</v>
      </c>
      <c r="G1857" s="24" t="s">
        <v>69</v>
      </c>
      <c r="H1857" s="24" t="s">
        <v>60</v>
      </c>
      <c r="I1857" s="24" t="s">
        <v>56</v>
      </c>
      <c r="J1857" s="26" t="n">
        <f aca="false">IF(A1857="","",YEAR(A1857))</f>
        <v>2026</v>
      </c>
      <c r="K1857" s="26" t="n">
        <f aca="false">IF(A1857="","",MONTH(A1857))</f>
        <v>5</v>
      </c>
      <c r="L1857" s="26" t="n">
        <f aca="false">IF(B1857="","",VALUE(LEFT(B1857,2)))</f>
        <v>6</v>
      </c>
      <c r="M1857" s="26" t="n">
        <f aca="false">IF(A1857="","",IF(COUNTIFS($C$2:$C$5001,C1857,$J$2:$J$5001,J1857,$A$2:$A$5001,"&lt;"&amp;A1857)=0,1,0))</f>
        <v>0</v>
      </c>
    </row>
    <row r="1858" customFormat="false" ht="15" hidden="false" customHeight="false" outlineLevel="0" collapsed="false">
      <c r="A1858" s="23" t="n">
        <v>46157.7333333333</v>
      </c>
      <c r="B1858" s="24" t="s">
        <v>264</v>
      </c>
      <c r="C1858" s="24" t="s">
        <v>145</v>
      </c>
      <c r="D1858" s="24" t="s">
        <v>66</v>
      </c>
      <c r="E1858" s="24" t="n">
        <v>219</v>
      </c>
      <c r="F1858" s="25" t="n">
        <v>8000</v>
      </c>
      <c r="G1858" s="24" t="s">
        <v>79</v>
      </c>
      <c r="H1858" s="24" t="s">
        <v>55</v>
      </c>
      <c r="I1858" s="24" t="s">
        <v>61</v>
      </c>
      <c r="J1858" s="26" t="n">
        <f aca="false">IF(A1858="","",YEAR(A1858))</f>
        <v>2026</v>
      </c>
      <c r="K1858" s="26" t="n">
        <f aca="false">IF(A1858="","",MONTH(A1858))</f>
        <v>5</v>
      </c>
      <c r="L1858" s="26" t="n">
        <f aca="false">IF(B1858="","",VALUE(LEFT(B1858,2)))</f>
        <v>13</v>
      </c>
      <c r="M1858" s="26" t="n">
        <f aca="false">IF(A1858="","",IF(COUNTIFS($C$2:$C$5001,C1858,$J$2:$J$5001,J1858,$A$2:$A$5001,"&lt;"&amp;A1858)=0,1,0))</f>
        <v>0</v>
      </c>
    </row>
    <row r="1859" customFormat="false" ht="15" hidden="false" customHeight="false" outlineLevel="0" collapsed="false">
      <c r="A1859" s="23" t="n">
        <v>46158.0409722222</v>
      </c>
      <c r="B1859" s="24" t="s">
        <v>252</v>
      </c>
      <c r="C1859" s="24" t="s">
        <v>430</v>
      </c>
      <c r="D1859" s="24" t="s">
        <v>66</v>
      </c>
      <c r="E1859" s="24" t="n">
        <v>242</v>
      </c>
      <c r="F1859" s="25" t="n">
        <v>9000</v>
      </c>
      <c r="G1859" s="24" t="s">
        <v>59</v>
      </c>
      <c r="H1859" s="24" t="s">
        <v>55</v>
      </c>
      <c r="I1859" s="24" t="s">
        <v>61</v>
      </c>
      <c r="J1859" s="26" t="n">
        <f aca="false">IF(A1859="","",YEAR(A1859))</f>
        <v>2026</v>
      </c>
      <c r="K1859" s="26" t="n">
        <f aca="false">IF(A1859="","",MONTH(A1859))</f>
        <v>5</v>
      </c>
      <c r="L1859" s="26" t="n">
        <f aca="false">IF(B1859="","",VALUE(LEFT(B1859,2)))</f>
        <v>20</v>
      </c>
      <c r="M1859" s="26" t="n">
        <f aca="false">IF(A1859="","",IF(COUNTIFS($C$2:$C$5001,C1859,$J$2:$J$5001,J1859,$A$2:$A$5001,"&lt;"&amp;A1859)=0,1,0))</f>
        <v>0</v>
      </c>
    </row>
    <row r="1860" customFormat="false" ht="15" hidden="false" customHeight="false" outlineLevel="0" collapsed="false">
      <c r="A1860" s="23" t="n">
        <v>46158.5152777778</v>
      </c>
      <c r="B1860" s="24" t="s">
        <v>704</v>
      </c>
      <c r="C1860" s="24" t="s">
        <v>129</v>
      </c>
      <c r="D1860" s="24" t="s">
        <v>66</v>
      </c>
      <c r="E1860" s="24" t="n">
        <v>176</v>
      </c>
      <c r="F1860" s="25" t="n">
        <v>6000</v>
      </c>
      <c r="G1860" s="24" t="s">
        <v>59</v>
      </c>
      <c r="H1860" s="24" t="s">
        <v>80</v>
      </c>
      <c r="I1860" s="24" t="s">
        <v>61</v>
      </c>
      <c r="J1860" s="26" t="n">
        <f aca="false">IF(A1860="","",YEAR(A1860))</f>
        <v>2026</v>
      </c>
      <c r="K1860" s="26" t="n">
        <f aca="false">IF(A1860="","",MONTH(A1860))</f>
        <v>5</v>
      </c>
      <c r="L1860" s="26" t="n">
        <f aca="false">IF(B1860="","",VALUE(LEFT(B1860,2)))</f>
        <v>9</v>
      </c>
      <c r="M1860" s="26" t="n">
        <f aca="false">IF(A1860="","",IF(COUNTIFS($C$2:$C$5001,C1860,$J$2:$J$5001,J1860,$A$2:$A$5001,"&lt;"&amp;A1860)=0,1,0))</f>
        <v>0</v>
      </c>
    </row>
    <row r="1861" customFormat="false" ht="15" hidden="false" customHeight="false" outlineLevel="0" collapsed="false">
      <c r="A1861" s="23" t="n">
        <v>46158.51875</v>
      </c>
      <c r="B1861" s="24" t="s">
        <v>995</v>
      </c>
      <c r="C1861" s="24" t="s">
        <v>227</v>
      </c>
      <c r="D1861" s="24" t="s">
        <v>53</v>
      </c>
      <c r="E1861" s="24" t="n">
        <v>81</v>
      </c>
      <c r="F1861" s="25" t="n">
        <v>1500</v>
      </c>
      <c r="G1861" s="24" t="s">
        <v>69</v>
      </c>
      <c r="H1861" s="24" t="s">
        <v>60</v>
      </c>
      <c r="I1861" s="24" t="s">
        <v>61</v>
      </c>
      <c r="J1861" s="26" t="n">
        <f aca="false">IF(A1861="","",YEAR(A1861))</f>
        <v>2026</v>
      </c>
      <c r="K1861" s="26" t="n">
        <f aca="false">IF(A1861="","",MONTH(A1861))</f>
        <v>5</v>
      </c>
      <c r="L1861" s="26" t="n">
        <f aca="false">IF(B1861="","",VALUE(LEFT(B1861,2)))</f>
        <v>11</v>
      </c>
      <c r="M1861" s="26" t="n">
        <f aca="false">IF(A1861="","",IF(COUNTIFS($C$2:$C$5001,C1861,$J$2:$J$5001,J1861,$A$2:$A$5001,"&lt;"&amp;A1861)=0,1,0))</f>
        <v>0</v>
      </c>
    </row>
    <row r="1862" customFormat="false" ht="15" hidden="false" customHeight="false" outlineLevel="0" collapsed="false">
      <c r="A1862" s="23" t="n">
        <v>46158.5340277778</v>
      </c>
      <c r="B1862" s="24" t="s">
        <v>624</v>
      </c>
      <c r="C1862" s="24" t="s">
        <v>482</v>
      </c>
      <c r="D1862" s="24" t="s">
        <v>53</v>
      </c>
      <c r="E1862" s="24" t="n">
        <v>257</v>
      </c>
      <c r="F1862" s="25" t="n">
        <v>4500</v>
      </c>
      <c r="G1862" s="24" t="s">
        <v>59</v>
      </c>
      <c r="H1862" s="24" t="s">
        <v>60</v>
      </c>
      <c r="I1862" s="24" t="s">
        <v>61</v>
      </c>
      <c r="J1862" s="26" t="n">
        <f aca="false">IF(A1862="","",YEAR(A1862))</f>
        <v>2026</v>
      </c>
      <c r="K1862" s="26" t="n">
        <f aca="false">IF(A1862="","",MONTH(A1862))</f>
        <v>5</v>
      </c>
      <c r="L1862" s="26" t="n">
        <f aca="false">IF(B1862="","",VALUE(LEFT(B1862,2)))</f>
        <v>8</v>
      </c>
      <c r="M1862" s="26" t="n">
        <f aca="false">IF(A1862="","",IF(COUNTIFS($C$2:$C$5001,C1862,$J$2:$J$5001,J1862,$A$2:$A$5001,"&lt;"&amp;A1862)=0,1,0))</f>
        <v>1</v>
      </c>
    </row>
    <row r="1863" customFormat="false" ht="15" hidden="false" customHeight="false" outlineLevel="0" collapsed="false">
      <c r="A1863" s="23" t="n">
        <v>46159.5256944444</v>
      </c>
      <c r="B1863" s="24" t="s">
        <v>363</v>
      </c>
      <c r="C1863" s="24" t="s">
        <v>735</v>
      </c>
      <c r="D1863" s="24" t="s">
        <v>66</v>
      </c>
      <c r="E1863" s="24" t="n">
        <v>265</v>
      </c>
      <c r="F1863" s="25" t="n">
        <v>9000</v>
      </c>
      <c r="G1863" s="24" t="s">
        <v>69</v>
      </c>
      <c r="H1863" s="24" t="s">
        <v>80</v>
      </c>
      <c r="I1863" s="24" t="s">
        <v>61</v>
      </c>
      <c r="J1863" s="26" t="n">
        <f aca="false">IF(A1863="","",YEAR(A1863))</f>
        <v>2026</v>
      </c>
      <c r="K1863" s="26" t="n">
        <f aca="false">IF(A1863="","",MONTH(A1863))</f>
        <v>5</v>
      </c>
      <c r="L1863" s="26" t="n">
        <f aca="false">IF(B1863="","",VALUE(LEFT(B1863,2)))</f>
        <v>8</v>
      </c>
      <c r="M1863" s="26" t="n">
        <f aca="false">IF(A1863="","",IF(COUNTIFS($C$2:$C$5001,C1863,$J$2:$J$5001,J1863,$A$2:$A$5001,"&lt;"&amp;A1863)=0,1,0))</f>
        <v>0</v>
      </c>
    </row>
    <row r="1864" customFormat="false" ht="15" hidden="false" customHeight="false" outlineLevel="0" collapsed="false">
      <c r="A1864" s="23" t="n">
        <v>46159.5673611111</v>
      </c>
      <c r="B1864" s="24" t="s">
        <v>754</v>
      </c>
      <c r="C1864" s="24" t="s">
        <v>737</v>
      </c>
      <c r="D1864" s="24" t="s">
        <v>53</v>
      </c>
      <c r="E1864" s="24" t="n">
        <v>279</v>
      </c>
      <c r="F1864" s="25" t="n">
        <v>5000</v>
      </c>
      <c r="G1864" s="24" t="s">
        <v>59</v>
      </c>
      <c r="H1864" s="24" t="s">
        <v>60</v>
      </c>
      <c r="I1864" s="24" t="s">
        <v>61</v>
      </c>
      <c r="J1864" s="26" t="n">
        <f aca="false">IF(A1864="","",YEAR(A1864))</f>
        <v>2026</v>
      </c>
      <c r="K1864" s="26" t="n">
        <f aca="false">IF(A1864="","",MONTH(A1864))</f>
        <v>5</v>
      </c>
      <c r="L1864" s="26" t="n">
        <f aca="false">IF(B1864="","",VALUE(LEFT(B1864,2)))</f>
        <v>8</v>
      </c>
      <c r="M1864" s="26" t="n">
        <f aca="false">IF(A1864="","",IF(COUNTIFS($C$2:$C$5001,C1864,$J$2:$J$5001,J1864,$A$2:$A$5001,"&lt;"&amp;A1864)=0,1,0))</f>
        <v>0</v>
      </c>
    </row>
    <row r="1865" customFormat="false" ht="15" hidden="false" customHeight="false" outlineLevel="0" collapsed="false">
      <c r="A1865" s="23" t="n">
        <v>46159.9048611111</v>
      </c>
      <c r="B1865" s="24" t="s">
        <v>996</v>
      </c>
      <c r="C1865" s="24" t="s">
        <v>293</v>
      </c>
      <c r="D1865" s="24" t="s">
        <v>53</v>
      </c>
      <c r="E1865" s="24" t="n">
        <v>298</v>
      </c>
      <c r="F1865" s="25" t="n">
        <v>5000</v>
      </c>
      <c r="G1865" s="24" t="s">
        <v>59</v>
      </c>
      <c r="H1865" s="24" t="s">
        <v>55</v>
      </c>
      <c r="I1865" s="24" t="s">
        <v>61</v>
      </c>
      <c r="J1865" s="26" t="n">
        <f aca="false">IF(A1865="","",YEAR(A1865))</f>
        <v>2026</v>
      </c>
      <c r="K1865" s="26" t="n">
        <f aca="false">IF(A1865="","",MONTH(A1865))</f>
        <v>5</v>
      </c>
      <c r="L1865" s="26" t="n">
        <f aca="false">IF(B1865="","",VALUE(LEFT(B1865,2)))</f>
        <v>16</v>
      </c>
      <c r="M1865" s="26" t="n">
        <f aca="false">IF(A1865="","",IF(COUNTIFS($C$2:$C$5001,C1865,$J$2:$J$5001,J1865,$A$2:$A$5001,"&lt;"&amp;A1865)=0,1,0))</f>
        <v>0</v>
      </c>
    </row>
    <row r="1866" customFormat="false" ht="15" hidden="false" customHeight="false" outlineLevel="0" collapsed="false">
      <c r="A1866" s="23" t="n">
        <v>46160.3381944444</v>
      </c>
      <c r="B1866" s="24" t="s">
        <v>242</v>
      </c>
      <c r="C1866" s="24" t="s">
        <v>227</v>
      </c>
      <c r="D1866" s="24" t="s">
        <v>66</v>
      </c>
      <c r="E1866" s="24" t="n">
        <v>84</v>
      </c>
      <c r="F1866" s="25" t="n">
        <v>3000</v>
      </c>
      <c r="G1866" s="24" t="s">
        <v>69</v>
      </c>
      <c r="H1866" s="24" t="s">
        <v>55</v>
      </c>
      <c r="I1866" s="24" t="s">
        <v>61</v>
      </c>
      <c r="J1866" s="26" t="n">
        <f aca="false">IF(A1866="","",YEAR(A1866))</f>
        <v>2026</v>
      </c>
      <c r="K1866" s="26" t="n">
        <f aca="false">IF(A1866="","",MONTH(A1866))</f>
        <v>5</v>
      </c>
      <c r="L1866" s="26" t="n">
        <f aca="false">IF(B1866="","",VALUE(LEFT(B1866,2)))</f>
        <v>6</v>
      </c>
      <c r="M1866" s="26" t="n">
        <f aca="false">IF(A1866="","",IF(COUNTIFS($C$2:$C$5001,C1866,$J$2:$J$5001,J1866,$A$2:$A$5001,"&lt;"&amp;A1866)=0,1,0))</f>
        <v>0</v>
      </c>
    </row>
    <row r="1867" customFormat="false" ht="15" hidden="false" customHeight="false" outlineLevel="0" collapsed="false">
      <c r="A1867" s="23" t="n">
        <v>46160.725</v>
      </c>
      <c r="B1867" s="24" t="s">
        <v>499</v>
      </c>
      <c r="C1867" s="24" t="s">
        <v>129</v>
      </c>
      <c r="D1867" s="24" t="s">
        <v>66</v>
      </c>
      <c r="E1867" s="24" t="n">
        <v>336</v>
      </c>
      <c r="F1867" s="25" t="n">
        <v>10200</v>
      </c>
      <c r="G1867" s="24" t="s">
        <v>59</v>
      </c>
      <c r="H1867" s="24" t="s">
        <v>80</v>
      </c>
      <c r="I1867" s="24" t="s">
        <v>113</v>
      </c>
      <c r="J1867" s="26" t="n">
        <f aca="false">IF(A1867="","",YEAR(A1867))</f>
        <v>2026</v>
      </c>
      <c r="K1867" s="26" t="n">
        <f aca="false">IF(A1867="","",MONTH(A1867))</f>
        <v>5</v>
      </c>
      <c r="L1867" s="26" t="n">
        <f aca="false">IF(B1867="","",VALUE(LEFT(B1867,2)))</f>
        <v>11</v>
      </c>
      <c r="M1867" s="26" t="n">
        <f aca="false">IF(A1867="","",IF(COUNTIFS($C$2:$C$5001,C1867,$J$2:$J$5001,J1867,$A$2:$A$5001,"&lt;"&amp;A1867)=0,1,0))</f>
        <v>0</v>
      </c>
    </row>
    <row r="1868" customFormat="false" ht="15" hidden="false" customHeight="false" outlineLevel="0" collapsed="false">
      <c r="A1868" s="23" t="n">
        <v>46161.4916666667</v>
      </c>
      <c r="B1868" s="24" t="s">
        <v>662</v>
      </c>
      <c r="C1868" s="24" t="s">
        <v>218</v>
      </c>
      <c r="D1868" s="24" t="s">
        <v>53</v>
      </c>
      <c r="E1868" s="24" t="n">
        <v>44</v>
      </c>
      <c r="F1868" s="25" t="n">
        <v>1000</v>
      </c>
      <c r="G1868" s="24" t="s">
        <v>59</v>
      </c>
      <c r="H1868" s="24" t="s">
        <v>55</v>
      </c>
      <c r="I1868" s="24" t="s">
        <v>61</v>
      </c>
      <c r="J1868" s="26" t="n">
        <f aca="false">IF(A1868="","",YEAR(A1868))</f>
        <v>2026</v>
      </c>
      <c r="K1868" s="26" t="n">
        <f aca="false">IF(A1868="","",MONTH(A1868))</f>
        <v>5</v>
      </c>
      <c r="L1868" s="26" t="n">
        <f aca="false">IF(B1868="","",VALUE(LEFT(B1868,2)))</f>
        <v>11</v>
      </c>
      <c r="M1868" s="26" t="n">
        <f aca="false">IF(A1868="","",IF(COUNTIFS($C$2:$C$5001,C1868,$J$2:$J$5001,J1868,$A$2:$A$5001,"&lt;"&amp;A1868)=0,1,0))</f>
        <v>0</v>
      </c>
    </row>
    <row r="1869" customFormat="false" ht="15" hidden="false" customHeight="false" outlineLevel="0" collapsed="false">
      <c r="A1869" s="23" t="n">
        <v>46161.8159722222</v>
      </c>
      <c r="B1869" s="24" t="s">
        <v>805</v>
      </c>
      <c r="C1869" s="24" t="s">
        <v>448</v>
      </c>
      <c r="D1869" s="24" t="s">
        <v>66</v>
      </c>
      <c r="E1869" s="24" t="n">
        <v>400</v>
      </c>
      <c r="F1869" s="25" t="n">
        <v>14000</v>
      </c>
      <c r="G1869" s="24" t="s">
        <v>59</v>
      </c>
      <c r="H1869" s="24" t="s">
        <v>80</v>
      </c>
      <c r="I1869" s="24" t="s">
        <v>61</v>
      </c>
      <c r="J1869" s="26" t="n">
        <f aca="false">IF(A1869="","",YEAR(A1869))</f>
        <v>2026</v>
      </c>
      <c r="K1869" s="26" t="n">
        <f aca="false">IF(A1869="","",MONTH(A1869))</f>
        <v>5</v>
      </c>
      <c r="L1869" s="26" t="n">
        <f aca="false">IF(B1869="","",VALUE(LEFT(B1869,2)))</f>
        <v>12</v>
      </c>
      <c r="M1869" s="26" t="n">
        <f aca="false">IF(A1869="","",IF(COUNTIFS($C$2:$C$5001,C1869,$J$2:$J$5001,J1869,$A$2:$A$5001,"&lt;"&amp;A1869)=0,1,0))</f>
        <v>0</v>
      </c>
    </row>
    <row r="1870" customFormat="false" ht="15" hidden="false" customHeight="false" outlineLevel="0" collapsed="false">
      <c r="A1870" s="23" t="n">
        <v>46162.4854166667</v>
      </c>
      <c r="B1870" s="24" t="s">
        <v>515</v>
      </c>
      <c r="C1870" s="24" t="s">
        <v>126</v>
      </c>
      <c r="D1870" s="24" t="s">
        <v>66</v>
      </c>
      <c r="E1870" s="24" t="n">
        <v>294</v>
      </c>
      <c r="F1870" s="25" t="n">
        <v>10000</v>
      </c>
      <c r="G1870" s="24" t="s">
        <v>69</v>
      </c>
      <c r="H1870" s="24" t="s">
        <v>80</v>
      </c>
      <c r="I1870" s="24" t="s">
        <v>61</v>
      </c>
      <c r="J1870" s="26" t="n">
        <f aca="false">IF(A1870="","",YEAR(A1870))</f>
        <v>2026</v>
      </c>
      <c r="K1870" s="26" t="n">
        <f aca="false">IF(A1870="","",MONTH(A1870))</f>
        <v>5</v>
      </c>
      <c r="L1870" s="26" t="n">
        <f aca="false">IF(B1870="","",VALUE(LEFT(B1870,2)))</f>
        <v>6</v>
      </c>
      <c r="M1870" s="26" t="n">
        <f aca="false">IF(A1870="","",IF(COUNTIFS($C$2:$C$5001,C1870,$J$2:$J$5001,J1870,$A$2:$A$5001,"&lt;"&amp;A1870)=0,1,0))</f>
        <v>0</v>
      </c>
    </row>
    <row r="1871" customFormat="false" ht="15" hidden="false" customHeight="false" outlineLevel="0" collapsed="false">
      <c r="A1871" s="23" t="n">
        <v>46162.5215277778</v>
      </c>
      <c r="B1871" s="24" t="s">
        <v>111</v>
      </c>
      <c r="C1871" s="24" t="s">
        <v>373</v>
      </c>
      <c r="D1871" s="24" t="s">
        <v>66</v>
      </c>
      <c r="E1871" s="24" t="n">
        <v>268</v>
      </c>
      <c r="F1871" s="25" t="n">
        <v>9000</v>
      </c>
      <c r="G1871" s="24" t="s">
        <v>79</v>
      </c>
      <c r="H1871" s="24" t="s">
        <v>55</v>
      </c>
      <c r="I1871" s="24" t="s">
        <v>61</v>
      </c>
      <c r="J1871" s="26" t="n">
        <f aca="false">IF(A1871="","",YEAR(A1871))</f>
        <v>2026</v>
      </c>
      <c r="K1871" s="26" t="n">
        <f aca="false">IF(A1871="","",MONTH(A1871))</f>
        <v>5</v>
      </c>
      <c r="L1871" s="26" t="n">
        <f aca="false">IF(B1871="","",VALUE(LEFT(B1871,2)))</f>
        <v>8</v>
      </c>
      <c r="M1871" s="26" t="n">
        <f aca="false">IF(A1871="","",IF(COUNTIFS($C$2:$C$5001,C1871,$J$2:$J$5001,J1871,$A$2:$A$5001,"&lt;"&amp;A1871)=0,1,0))</f>
        <v>0</v>
      </c>
    </row>
    <row r="1872" customFormat="false" ht="15" hidden="false" customHeight="false" outlineLevel="0" collapsed="false">
      <c r="A1872" s="23" t="n">
        <v>46162.5979166667</v>
      </c>
      <c r="B1872" s="24" t="s">
        <v>924</v>
      </c>
      <c r="C1872" s="24" t="s">
        <v>737</v>
      </c>
      <c r="D1872" s="24" t="s">
        <v>53</v>
      </c>
      <c r="E1872" s="24" t="n">
        <v>56</v>
      </c>
      <c r="F1872" s="25" t="n">
        <v>1000</v>
      </c>
      <c r="G1872" s="24" t="s">
        <v>59</v>
      </c>
      <c r="H1872" s="24" t="s">
        <v>60</v>
      </c>
      <c r="I1872" s="24" t="s">
        <v>61</v>
      </c>
      <c r="J1872" s="26" t="n">
        <f aca="false">IF(A1872="","",YEAR(A1872))</f>
        <v>2026</v>
      </c>
      <c r="K1872" s="26" t="n">
        <f aca="false">IF(A1872="","",MONTH(A1872))</f>
        <v>5</v>
      </c>
      <c r="L1872" s="26" t="n">
        <f aca="false">IF(B1872="","",VALUE(LEFT(B1872,2)))</f>
        <v>13</v>
      </c>
      <c r="M1872" s="26" t="n">
        <f aca="false">IF(A1872="","",IF(COUNTIFS($C$2:$C$5001,C1872,$J$2:$J$5001,J1872,$A$2:$A$5001,"&lt;"&amp;A1872)=0,1,0))</f>
        <v>0</v>
      </c>
    </row>
    <row r="1873" customFormat="false" ht="15" hidden="false" customHeight="false" outlineLevel="0" collapsed="false">
      <c r="A1873" s="23" t="n">
        <v>46162.8506944445</v>
      </c>
      <c r="B1873" s="24" t="s">
        <v>997</v>
      </c>
      <c r="C1873" s="24" t="s">
        <v>268</v>
      </c>
      <c r="D1873" s="24" t="s">
        <v>66</v>
      </c>
      <c r="E1873" s="24" t="n">
        <v>202</v>
      </c>
      <c r="F1873" s="25" t="n">
        <v>7000</v>
      </c>
      <c r="G1873" s="24" t="s">
        <v>59</v>
      </c>
      <c r="H1873" s="24" t="s">
        <v>80</v>
      </c>
      <c r="I1873" s="24" t="s">
        <v>61</v>
      </c>
      <c r="J1873" s="26" t="n">
        <f aca="false">IF(A1873="","",YEAR(A1873))</f>
        <v>2026</v>
      </c>
      <c r="K1873" s="26" t="n">
        <f aca="false">IF(A1873="","",MONTH(A1873))</f>
        <v>5</v>
      </c>
      <c r="L1873" s="26" t="n">
        <f aca="false">IF(B1873="","",VALUE(LEFT(B1873,2)))</f>
        <v>17</v>
      </c>
      <c r="M1873" s="26" t="n">
        <f aca="false">IF(A1873="","",IF(COUNTIFS($C$2:$C$5001,C1873,$J$2:$J$5001,J1873,$A$2:$A$5001,"&lt;"&amp;A1873)=0,1,0))</f>
        <v>0</v>
      </c>
    </row>
    <row r="1874" customFormat="false" ht="15" hidden="false" customHeight="false" outlineLevel="0" collapsed="false">
      <c r="A1874" s="23" t="n">
        <v>46162.9666666667</v>
      </c>
      <c r="B1874" s="24" t="s">
        <v>221</v>
      </c>
      <c r="C1874" s="24" t="s">
        <v>290</v>
      </c>
      <c r="D1874" s="24" t="s">
        <v>66</v>
      </c>
      <c r="E1874" s="24" t="n">
        <v>379</v>
      </c>
      <c r="F1874" s="25" t="n">
        <v>11050</v>
      </c>
      <c r="G1874" s="24" t="s">
        <v>69</v>
      </c>
      <c r="H1874" s="24" t="s">
        <v>80</v>
      </c>
      <c r="I1874" s="24" t="s">
        <v>113</v>
      </c>
      <c r="J1874" s="26" t="n">
        <f aca="false">IF(A1874="","",YEAR(A1874))</f>
        <v>2026</v>
      </c>
      <c r="K1874" s="26" t="n">
        <f aca="false">IF(A1874="","",MONTH(A1874))</f>
        <v>5</v>
      </c>
      <c r="L1874" s="26" t="n">
        <f aca="false">IF(B1874="","",VALUE(LEFT(B1874,2)))</f>
        <v>16</v>
      </c>
      <c r="M1874" s="26" t="n">
        <f aca="false">IF(A1874="","",IF(COUNTIFS($C$2:$C$5001,C1874,$J$2:$J$5001,J1874,$A$2:$A$5001,"&lt;"&amp;A1874)=0,1,0))</f>
        <v>0</v>
      </c>
    </row>
    <row r="1875" customFormat="false" ht="15" hidden="false" customHeight="false" outlineLevel="0" collapsed="false">
      <c r="A1875" s="23" t="n">
        <v>46163.6111111111</v>
      </c>
      <c r="B1875" s="24" t="s">
        <v>457</v>
      </c>
      <c r="C1875" s="24" t="s">
        <v>120</v>
      </c>
      <c r="D1875" s="24" t="s">
        <v>66</v>
      </c>
      <c r="E1875" s="24" t="n">
        <v>414</v>
      </c>
      <c r="F1875" s="25" t="n">
        <v>14000</v>
      </c>
      <c r="G1875" s="24" t="s">
        <v>69</v>
      </c>
      <c r="H1875" s="24" t="s">
        <v>60</v>
      </c>
      <c r="I1875" s="24" t="s">
        <v>61</v>
      </c>
      <c r="J1875" s="26" t="n">
        <f aca="false">IF(A1875="","",YEAR(A1875))</f>
        <v>2026</v>
      </c>
      <c r="K1875" s="26" t="n">
        <f aca="false">IF(A1875="","",MONTH(A1875))</f>
        <v>5</v>
      </c>
      <c r="L1875" s="26" t="n">
        <f aca="false">IF(B1875="","",VALUE(LEFT(B1875,2)))</f>
        <v>7</v>
      </c>
      <c r="M1875" s="26" t="n">
        <f aca="false">IF(A1875="","",IF(COUNTIFS($C$2:$C$5001,C1875,$J$2:$J$5001,J1875,$A$2:$A$5001,"&lt;"&amp;A1875)=0,1,0))</f>
        <v>0</v>
      </c>
    </row>
    <row r="1876" customFormat="false" ht="15" hidden="false" customHeight="false" outlineLevel="0" collapsed="false">
      <c r="A1876" s="23" t="n">
        <v>46164.0166666667</v>
      </c>
      <c r="B1876" s="24" t="s">
        <v>964</v>
      </c>
      <c r="C1876" s="24" t="s">
        <v>260</v>
      </c>
      <c r="D1876" s="24" t="s">
        <v>53</v>
      </c>
      <c r="E1876" s="24" t="n">
        <v>205</v>
      </c>
      <c r="F1876" s="25" t="n">
        <v>3500</v>
      </c>
      <c r="G1876" s="24" t="s">
        <v>59</v>
      </c>
      <c r="H1876" s="24" t="s">
        <v>80</v>
      </c>
      <c r="I1876" s="24" t="s">
        <v>61</v>
      </c>
      <c r="J1876" s="26" t="n">
        <f aca="false">IF(A1876="","",YEAR(A1876))</f>
        <v>2026</v>
      </c>
      <c r="K1876" s="26" t="n">
        <f aca="false">IF(A1876="","",MONTH(A1876))</f>
        <v>5</v>
      </c>
      <c r="L1876" s="26" t="n">
        <f aca="false">IF(B1876="","",VALUE(LEFT(B1876,2)))</f>
        <v>20</v>
      </c>
      <c r="M1876" s="26" t="n">
        <f aca="false">IF(A1876="","",IF(COUNTIFS($C$2:$C$5001,C1876,$J$2:$J$5001,J1876,$A$2:$A$5001,"&lt;"&amp;A1876)=0,1,0))</f>
        <v>1</v>
      </c>
    </row>
    <row r="1877" customFormat="false" ht="15" hidden="false" customHeight="false" outlineLevel="0" collapsed="false">
      <c r="A1877" s="23" t="n">
        <v>46164.8055555556</v>
      </c>
      <c r="B1877" s="24" t="s">
        <v>167</v>
      </c>
      <c r="C1877" s="24" t="s">
        <v>179</v>
      </c>
      <c r="D1877" s="24" t="s">
        <v>66</v>
      </c>
      <c r="E1877" s="24" t="n">
        <v>391</v>
      </c>
      <c r="F1877" s="25" t="n">
        <v>14000</v>
      </c>
      <c r="G1877" s="24" t="s">
        <v>79</v>
      </c>
      <c r="H1877" s="24" t="s">
        <v>55</v>
      </c>
      <c r="I1877" s="24" t="s">
        <v>61</v>
      </c>
      <c r="J1877" s="26" t="n">
        <f aca="false">IF(A1877="","",YEAR(A1877))</f>
        <v>2026</v>
      </c>
      <c r="K1877" s="26" t="n">
        <f aca="false">IF(A1877="","",MONTH(A1877))</f>
        <v>5</v>
      </c>
      <c r="L1877" s="26" t="n">
        <f aca="false">IF(B1877="","",VALUE(LEFT(B1877,2)))</f>
        <v>12</v>
      </c>
      <c r="M1877" s="26" t="n">
        <f aca="false">IF(A1877="","",IF(COUNTIFS($C$2:$C$5001,C1877,$J$2:$J$5001,J1877,$A$2:$A$5001,"&lt;"&amp;A1877)=0,1,0))</f>
        <v>0</v>
      </c>
    </row>
    <row r="1878" customFormat="false" ht="15" hidden="false" customHeight="false" outlineLevel="0" collapsed="false">
      <c r="A1878" s="23" t="n">
        <v>46165.1236111111</v>
      </c>
      <c r="B1878" s="24" t="s">
        <v>223</v>
      </c>
      <c r="C1878" s="24" t="s">
        <v>430</v>
      </c>
      <c r="D1878" s="24" t="s">
        <v>53</v>
      </c>
      <c r="E1878" s="24" t="n">
        <v>402</v>
      </c>
      <c r="F1878" s="25" t="n">
        <v>5950</v>
      </c>
      <c r="G1878" s="24" t="s">
        <v>79</v>
      </c>
      <c r="H1878" s="24" t="s">
        <v>80</v>
      </c>
      <c r="I1878" s="24" t="s">
        <v>113</v>
      </c>
      <c r="J1878" s="26" t="n">
        <f aca="false">IF(A1878="","",YEAR(A1878))</f>
        <v>2026</v>
      </c>
      <c r="K1878" s="26" t="n">
        <f aca="false">IF(A1878="","",MONTH(A1878))</f>
        <v>5</v>
      </c>
      <c r="L1878" s="26" t="n">
        <f aca="false">IF(B1878="","",VALUE(LEFT(B1878,2)))</f>
        <v>20</v>
      </c>
      <c r="M1878" s="26" t="n">
        <f aca="false">IF(A1878="","",IF(COUNTIFS($C$2:$C$5001,C1878,$J$2:$J$5001,J1878,$A$2:$A$5001,"&lt;"&amp;A1878)=0,1,0))</f>
        <v>0</v>
      </c>
    </row>
    <row r="1879" customFormat="false" ht="15" hidden="false" customHeight="false" outlineLevel="0" collapsed="false">
      <c r="A1879" s="23" t="n">
        <v>46165.5743055556</v>
      </c>
      <c r="B1879" s="24" t="s">
        <v>516</v>
      </c>
      <c r="C1879" s="24" t="s">
        <v>87</v>
      </c>
      <c r="D1879" s="24" t="s">
        <v>53</v>
      </c>
      <c r="E1879" s="24" t="n">
        <v>115</v>
      </c>
      <c r="F1879" s="25" t="n">
        <v>2000</v>
      </c>
      <c r="G1879" s="24" t="s">
        <v>59</v>
      </c>
      <c r="H1879" s="24" t="s">
        <v>60</v>
      </c>
      <c r="I1879" s="24" t="s">
        <v>61</v>
      </c>
      <c r="J1879" s="26" t="n">
        <f aca="false">IF(A1879="","",YEAR(A1879))</f>
        <v>2026</v>
      </c>
      <c r="K1879" s="26" t="n">
        <f aca="false">IF(A1879="","",MONTH(A1879))</f>
        <v>5</v>
      </c>
      <c r="L1879" s="26" t="n">
        <f aca="false">IF(B1879="","",VALUE(LEFT(B1879,2)))</f>
        <v>11</v>
      </c>
      <c r="M1879" s="26" t="n">
        <f aca="false">IF(A1879="","",IF(COUNTIFS($C$2:$C$5001,C1879,$J$2:$J$5001,J1879,$A$2:$A$5001,"&lt;"&amp;A1879)=0,1,0))</f>
        <v>0</v>
      </c>
    </row>
    <row r="1880" customFormat="false" ht="15" hidden="false" customHeight="false" outlineLevel="0" collapsed="false">
      <c r="A1880" s="23" t="n">
        <v>46165.6222222222</v>
      </c>
      <c r="B1880" s="24" t="s">
        <v>948</v>
      </c>
      <c r="C1880" s="24" t="s">
        <v>512</v>
      </c>
      <c r="D1880" s="24" t="s">
        <v>53</v>
      </c>
      <c r="E1880" s="24" t="n">
        <v>140</v>
      </c>
      <c r="F1880" s="25" t="n">
        <v>2500</v>
      </c>
      <c r="G1880" s="24" t="s">
        <v>59</v>
      </c>
      <c r="H1880" s="24" t="s">
        <v>60</v>
      </c>
      <c r="I1880" s="24" t="s">
        <v>61</v>
      </c>
      <c r="J1880" s="26" t="n">
        <f aca="false">IF(A1880="","",YEAR(A1880))</f>
        <v>2026</v>
      </c>
      <c r="K1880" s="26" t="n">
        <f aca="false">IF(A1880="","",MONTH(A1880))</f>
        <v>5</v>
      </c>
      <c r="L1880" s="26" t="n">
        <f aca="false">IF(B1880="","",VALUE(LEFT(B1880,2)))</f>
        <v>12</v>
      </c>
      <c r="M1880" s="26" t="n">
        <f aca="false">IF(A1880="","",IF(COUNTIFS($C$2:$C$5001,C1880,$J$2:$J$5001,J1880,$A$2:$A$5001,"&lt;"&amp;A1880)=0,1,0))</f>
        <v>0</v>
      </c>
    </row>
    <row r="1881" customFormat="false" ht="15" hidden="false" customHeight="false" outlineLevel="0" collapsed="false">
      <c r="A1881" s="23" t="n">
        <v>46166.5125</v>
      </c>
      <c r="B1881" s="24" t="s">
        <v>939</v>
      </c>
      <c r="C1881" s="24" t="s">
        <v>152</v>
      </c>
      <c r="D1881" s="24" t="s">
        <v>53</v>
      </c>
      <c r="E1881" s="24" t="n">
        <v>273</v>
      </c>
      <c r="F1881" s="25" t="n">
        <v>5000</v>
      </c>
      <c r="G1881" s="24" t="s">
        <v>69</v>
      </c>
      <c r="H1881" s="24" t="s">
        <v>80</v>
      </c>
      <c r="I1881" s="24" t="s">
        <v>61</v>
      </c>
      <c r="J1881" s="26" t="n">
        <f aca="false">IF(A1881="","",YEAR(A1881))</f>
        <v>2026</v>
      </c>
      <c r="K1881" s="26" t="n">
        <f aca="false">IF(A1881="","",MONTH(A1881))</f>
        <v>5</v>
      </c>
      <c r="L1881" s="26" t="n">
        <f aca="false">IF(B1881="","",VALUE(LEFT(B1881,2)))</f>
        <v>7</v>
      </c>
      <c r="M1881" s="26" t="n">
        <f aca="false">IF(A1881="","",IF(COUNTIFS($C$2:$C$5001,C1881,$J$2:$J$5001,J1881,$A$2:$A$5001,"&lt;"&amp;A1881)=0,1,0))</f>
        <v>0</v>
      </c>
    </row>
    <row r="1882" customFormat="false" ht="15" hidden="false" customHeight="false" outlineLevel="0" collapsed="false">
      <c r="A1882" s="23" t="n">
        <v>46166.8256944444</v>
      </c>
      <c r="B1882" s="24" t="s">
        <v>786</v>
      </c>
      <c r="C1882" s="24" t="s">
        <v>160</v>
      </c>
      <c r="D1882" s="24" t="s">
        <v>72</v>
      </c>
      <c r="E1882" s="24" t="n">
        <v>131</v>
      </c>
      <c r="F1882" s="25" t="n">
        <v>10000</v>
      </c>
      <c r="G1882" s="24" t="s">
        <v>59</v>
      </c>
      <c r="H1882" s="24" t="s">
        <v>55</v>
      </c>
      <c r="I1882" s="24" t="s">
        <v>61</v>
      </c>
      <c r="J1882" s="26" t="n">
        <f aca="false">IF(A1882="","",YEAR(A1882))</f>
        <v>2026</v>
      </c>
      <c r="K1882" s="26" t="n">
        <f aca="false">IF(A1882="","",MONTH(A1882))</f>
        <v>5</v>
      </c>
      <c r="L1882" s="26" t="n">
        <f aca="false">IF(B1882="","",VALUE(LEFT(B1882,2)))</f>
        <v>17</v>
      </c>
      <c r="M1882" s="26" t="n">
        <f aca="false">IF(A1882="","",IF(COUNTIFS($C$2:$C$5001,C1882,$J$2:$J$5001,J1882,$A$2:$A$5001,"&lt;"&amp;A1882)=0,1,0))</f>
        <v>0</v>
      </c>
    </row>
    <row r="1883" customFormat="false" ht="15" hidden="false" customHeight="false" outlineLevel="0" collapsed="false">
      <c r="A1883" s="23" t="n">
        <v>46166.9006944444</v>
      </c>
      <c r="B1883" s="24" t="s">
        <v>285</v>
      </c>
      <c r="C1883" s="24" t="s">
        <v>398</v>
      </c>
      <c r="D1883" s="24" t="s">
        <v>53</v>
      </c>
      <c r="E1883" s="24" t="n">
        <v>375</v>
      </c>
      <c r="F1883" s="25" t="n">
        <v>6500</v>
      </c>
      <c r="G1883" s="24" t="s">
        <v>59</v>
      </c>
      <c r="H1883" s="24" t="s">
        <v>80</v>
      </c>
      <c r="I1883" s="24" t="s">
        <v>61</v>
      </c>
      <c r="J1883" s="26" t="n">
        <f aca="false">IF(A1883="","",YEAR(A1883))</f>
        <v>2026</v>
      </c>
      <c r="K1883" s="26" t="n">
        <f aca="false">IF(A1883="","",MONTH(A1883))</f>
        <v>5</v>
      </c>
      <c r="L1883" s="26" t="n">
        <f aca="false">IF(B1883="","",VALUE(LEFT(B1883,2)))</f>
        <v>15</v>
      </c>
      <c r="M1883" s="26" t="n">
        <f aca="false">IF(A1883="","",IF(COUNTIFS($C$2:$C$5001,C1883,$J$2:$J$5001,J1883,$A$2:$A$5001,"&lt;"&amp;A1883)=0,1,0))</f>
        <v>0</v>
      </c>
    </row>
    <row r="1884" customFormat="false" ht="15" hidden="false" customHeight="false" outlineLevel="0" collapsed="false">
      <c r="A1884" s="23" t="n">
        <v>46167.4263888889</v>
      </c>
      <c r="B1884" s="24" t="s">
        <v>730</v>
      </c>
      <c r="C1884" s="24" t="s">
        <v>243</v>
      </c>
      <c r="D1884" s="24" t="s">
        <v>53</v>
      </c>
      <c r="E1884" s="24" t="n">
        <v>212</v>
      </c>
      <c r="F1884" s="25" t="n">
        <v>0</v>
      </c>
      <c r="G1884" s="24" t="s">
        <v>59</v>
      </c>
      <c r="H1884" s="24" t="s">
        <v>55</v>
      </c>
      <c r="I1884" s="24" t="s">
        <v>56</v>
      </c>
      <c r="J1884" s="26" t="n">
        <f aca="false">IF(A1884="","",YEAR(A1884))</f>
        <v>2026</v>
      </c>
      <c r="K1884" s="26" t="n">
        <f aca="false">IF(A1884="","",MONTH(A1884))</f>
        <v>5</v>
      </c>
      <c r="L1884" s="26" t="n">
        <f aca="false">IF(B1884="","",VALUE(LEFT(B1884,2)))</f>
        <v>6</v>
      </c>
      <c r="M1884" s="26" t="n">
        <f aca="false">IF(A1884="","",IF(COUNTIFS($C$2:$C$5001,C1884,$J$2:$J$5001,J1884,$A$2:$A$5001,"&lt;"&amp;A1884)=0,1,0))</f>
        <v>0</v>
      </c>
    </row>
    <row r="1885" customFormat="false" ht="15" hidden="false" customHeight="false" outlineLevel="0" collapsed="false">
      <c r="A1885" s="23" t="n">
        <v>46169.9083333333</v>
      </c>
      <c r="B1885" s="24" t="s">
        <v>998</v>
      </c>
      <c r="C1885" s="24" t="s">
        <v>129</v>
      </c>
      <c r="D1885" s="24" t="s">
        <v>66</v>
      </c>
      <c r="E1885" s="24" t="n">
        <v>146</v>
      </c>
      <c r="F1885" s="25" t="n">
        <v>5000</v>
      </c>
      <c r="G1885" s="24" t="s">
        <v>59</v>
      </c>
      <c r="H1885" s="24" t="s">
        <v>55</v>
      </c>
      <c r="I1885" s="24" t="s">
        <v>61</v>
      </c>
      <c r="J1885" s="26" t="n">
        <f aca="false">IF(A1885="","",YEAR(A1885))</f>
        <v>2026</v>
      </c>
      <c r="K1885" s="26" t="n">
        <f aca="false">IF(A1885="","",MONTH(A1885))</f>
        <v>5</v>
      </c>
      <c r="L1885" s="26" t="n">
        <f aca="false">IF(B1885="","",VALUE(LEFT(B1885,2)))</f>
        <v>19</v>
      </c>
      <c r="M1885" s="26" t="n">
        <f aca="false">IF(A1885="","",IF(COUNTIFS($C$2:$C$5001,C1885,$J$2:$J$5001,J1885,$A$2:$A$5001,"&lt;"&amp;A1885)=0,1,0))</f>
        <v>0</v>
      </c>
    </row>
    <row r="1886" customFormat="false" ht="15" hidden="false" customHeight="false" outlineLevel="0" collapsed="false">
      <c r="A1886" s="23" t="n">
        <v>46170.5340277778</v>
      </c>
      <c r="B1886" s="24" t="s">
        <v>319</v>
      </c>
      <c r="C1886" s="24" t="s">
        <v>92</v>
      </c>
      <c r="D1886" s="24" t="s">
        <v>53</v>
      </c>
      <c r="E1886" s="24" t="n">
        <v>278</v>
      </c>
      <c r="F1886" s="25" t="n">
        <v>5000</v>
      </c>
      <c r="G1886" s="24" t="s">
        <v>59</v>
      </c>
      <c r="H1886" s="24" t="s">
        <v>55</v>
      </c>
      <c r="I1886" s="24" t="s">
        <v>61</v>
      </c>
      <c r="J1886" s="26" t="n">
        <f aca="false">IF(A1886="","",YEAR(A1886))</f>
        <v>2026</v>
      </c>
      <c r="K1886" s="26" t="n">
        <f aca="false">IF(A1886="","",MONTH(A1886))</f>
        <v>5</v>
      </c>
      <c r="L1886" s="26" t="n">
        <f aca="false">IF(B1886="","",VALUE(LEFT(B1886,2)))</f>
        <v>8</v>
      </c>
      <c r="M1886" s="26" t="n">
        <f aca="false">IF(A1886="","",IF(COUNTIFS($C$2:$C$5001,C1886,$J$2:$J$5001,J1886,$A$2:$A$5001,"&lt;"&amp;A1886)=0,1,0))</f>
        <v>0</v>
      </c>
    </row>
    <row r="1887" customFormat="false" ht="15" hidden="false" customHeight="false" outlineLevel="0" collapsed="false">
      <c r="A1887" s="23" t="n">
        <v>46174.5625</v>
      </c>
      <c r="B1887" s="24" t="s">
        <v>142</v>
      </c>
      <c r="C1887" s="24" t="s">
        <v>78</v>
      </c>
      <c r="D1887" s="24" t="s">
        <v>53</v>
      </c>
      <c r="E1887" s="24" t="n">
        <v>64</v>
      </c>
      <c r="F1887" s="25" t="n">
        <v>1500</v>
      </c>
      <c r="G1887" s="24" t="s">
        <v>69</v>
      </c>
      <c r="H1887" s="24" t="s">
        <v>55</v>
      </c>
      <c r="I1887" s="24" t="s">
        <v>61</v>
      </c>
      <c r="J1887" s="26" t="n">
        <f aca="false">IF(A1887="","",YEAR(A1887))</f>
        <v>2026</v>
      </c>
      <c r="K1887" s="26" t="n">
        <f aca="false">IF(A1887="","",MONTH(A1887))</f>
        <v>6</v>
      </c>
      <c r="L1887" s="26" t="n">
        <f aca="false">IF(B1887="","",VALUE(LEFT(B1887,2)))</f>
        <v>12</v>
      </c>
      <c r="M1887" s="26" t="n">
        <f aca="false">IF(A1887="","",IF(COUNTIFS($C$2:$C$5001,C1887,$J$2:$J$5001,J1887,$A$2:$A$5001,"&lt;"&amp;A1887)=0,1,0))</f>
        <v>0</v>
      </c>
    </row>
    <row r="1888" customFormat="false" ht="15" hidden="false" customHeight="false" outlineLevel="0" collapsed="false">
      <c r="A1888" s="23" t="n">
        <v>46174.5972222222</v>
      </c>
      <c r="B1888" s="24" t="s">
        <v>862</v>
      </c>
      <c r="C1888" s="24" t="s">
        <v>174</v>
      </c>
      <c r="D1888" s="24" t="s">
        <v>66</v>
      </c>
      <c r="E1888" s="24" t="n">
        <v>87</v>
      </c>
      <c r="F1888" s="25" t="n">
        <v>3000</v>
      </c>
      <c r="G1888" s="24" t="s">
        <v>59</v>
      </c>
      <c r="H1888" s="24" t="s">
        <v>60</v>
      </c>
      <c r="I1888" s="24" t="s">
        <v>61</v>
      </c>
      <c r="J1888" s="26" t="n">
        <f aca="false">IF(A1888="","",YEAR(A1888))</f>
        <v>2026</v>
      </c>
      <c r="K1888" s="26" t="n">
        <f aca="false">IF(A1888="","",MONTH(A1888))</f>
        <v>6</v>
      </c>
      <c r="L1888" s="26" t="n">
        <f aca="false">IF(B1888="","",VALUE(LEFT(B1888,2)))</f>
        <v>12</v>
      </c>
      <c r="M1888" s="26" t="n">
        <f aca="false">IF(A1888="","",IF(COUNTIFS($C$2:$C$5001,C1888,$J$2:$J$5001,J1888,$A$2:$A$5001,"&lt;"&amp;A1888)=0,1,0))</f>
        <v>0</v>
      </c>
    </row>
    <row r="1889" customFormat="false" ht="15" hidden="false" customHeight="false" outlineLevel="0" collapsed="false">
      <c r="A1889" s="23" t="n">
        <v>46174.6451388889</v>
      </c>
      <c r="B1889" s="24" t="s">
        <v>516</v>
      </c>
      <c r="C1889" s="24" t="s">
        <v>286</v>
      </c>
      <c r="D1889" s="24" t="s">
        <v>66</v>
      </c>
      <c r="E1889" s="24" t="n">
        <v>217</v>
      </c>
      <c r="F1889" s="25" t="n">
        <v>8000</v>
      </c>
      <c r="G1889" s="24" t="s">
        <v>59</v>
      </c>
      <c r="H1889" s="24" t="s">
        <v>60</v>
      </c>
      <c r="I1889" s="24" t="s">
        <v>61</v>
      </c>
      <c r="J1889" s="26" t="n">
        <f aca="false">IF(A1889="","",YEAR(A1889))</f>
        <v>2026</v>
      </c>
      <c r="K1889" s="26" t="n">
        <f aca="false">IF(A1889="","",MONTH(A1889))</f>
        <v>6</v>
      </c>
      <c r="L1889" s="26" t="n">
        <f aca="false">IF(B1889="","",VALUE(LEFT(B1889,2)))</f>
        <v>11</v>
      </c>
      <c r="M1889" s="26" t="n">
        <f aca="false">IF(A1889="","",IF(COUNTIFS($C$2:$C$5001,C1889,$J$2:$J$5001,J1889,$A$2:$A$5001,"&lt;"&amp;A1889)=0,1,0))</f>
        <v>0</v>
      </c>
    </row>
    <row r="1890" customFormat="false" ht="15" hidden="false" customHeight="false" outlineLevel="0" collapsed="false">
      <c r="A1890" s="23" t="n">
        <v>46174.8458333333</v>
      </c>
      <c r="B1890" s="24" t="s">
        <v>999</v>
      </c>
      <c r="C1890" s="24" t="s">
        <v>94</v>
      </c>
      <c r="D1890" s="24" t="s">
        <v>66</v>
      </c>
      <c r="E1890" s="24" t="n">
        <v>333</v>
      </c>
      <c r="F1890" s="25" t="n">
        <v>12000</v>
      </c>
      <c r="G1890" s="24" t="s">
        <v>59</v>
      </c>
      <c r="H1890" s="24" t="s">
        <v>55</v>
      </c>
      <c r="I1890" s="24" t="s">
        <v>61</v>
      </c>
      <c r="J1890" s="26" t="n">
        <f aca="false">IF(A1890="","",YEAR(A1890))</f>
        <v>2026</v>
      </c>
      <c r="K1890" s="26" t="n">
        <f aca="false">IF(A1890="","",MONTH(A1890))</f>
        <v>6</v>
      </c>
      <c r="L1890" s="26" t="n">
        <f aca="false">IF(B1890="","",VALUE(LEFT(B1890,2)))</f>
        <v>14</v>
      </c>
      <c r="M1890" s="26" t="n">
        <f aca="false">IF(A1890="","",IF(COUNTIFS($C$2:$C$5001,C1890,$J$2:$J$5001,J1890,$A$2:$A$5001,"&lt;"&amp;A1890)=0,1,0))</f>
        <v>0</v>
      </c>
    </row>
    <row r="1891" customFormat="false" ht="15" hidden="false" customHeight="false" outlineLevel="0" collapsed="false">
      <c r="A1891" s="23" t="n">
        <v>46175.43125</v>
      </c>
      <c r="B1891" s="24" t="s">
        <v>130</v>
      </c>
      <c r="C1891" s="24" t="s">
        <v>143</v>
      </c>
      <c r="D1891" s="24" t="s">
        <v>53</v>
      </c>
      <c r="E1891" s="24" t="n">
        <v>38</v>
      </c>
      <c r="F1891" s="25" t="n">
        <v>1000</v>
      </c>
      <c r="G1891" s="24" t="s">
        <v>79</v>
      </c>
      <c r="H1891" s="24" t="s">
        <v>60</v>
      </c>
      <c r="I1891" s="24" t="s">
        <v>61</v>
      </c>
      <c r="J1891" s="26" t="n">
        <f aca="false">IF(A1891="","",YEAR(A1891))</f>
        <v>2026</v>
      </c>
      <c r="K1891" s="26" t="n">
        <f aca="false">IF(A1891="","",MONTH(A1891))</f>
        <v>6</v>
      </c>
      <c r="L1891" s="26" t="n">
        <f aca="false">IF(B1891="","",VALUE(LEFT(B1891,2)))</f>
        <v>9</v>
      </c>
      <c r="M1891" s="26" t="n">
        <f aca="false">IF(A1891="","",IF(COUNTIFS($C$2:$C$5001,C1891,$J$2:$J$5001,J1891,$A$2:$A$5001,"&lt;"&amp;A1891)=0,1,0))</f>
        <v>0</v>
      </c>
    </row>
    <row r="1892" customFormat="false" ht="15" hidden="false" customHeight="false" outlineLevel="0" collapsed="false">
      <c r="A1892" s="23" t="n">
        <v>46175.5152777778</v>
      </c>
      <c r="B1892" s="24" t="s">
        <v>638</v>
      </c>
      <c r="C1892" s="24" t="s">
        <v>158</v>
      </c>
      <c r="D1892" s="24" t="s">
        <v>88</v>
      </c>
      <c r="E1892" s="24" t="n">
        <v>321</v>
      </c>
      <c r="F1892" s="25" t="n">
        <v>16500</v>
      </c>
      <c r="G1892" s="24" t="s">
        <v>59</v>
      </c>
      <c r="H1892" s="24" t="s">
        <v>55</v>
      </c>
      <c r="I1892" s="24" t="s">
        <v>61</v>
      </c>
      <c r="J1892" s="26" t="n">
        <f aca="false">IF(A1892="","",YEAR(A1892))</f>
        <v>2026</v>
      </c>
      <c r="K1892" s="26" t="n">
        <f aca="false">IF(A1892="","",MONTH(A1892))</f>
        <v>6</v>
      </c>
      <c r="L1892" s="26" t="n">
        <f aca="false">IF(B1892="","",VALUE(LEFT(B1892,2)))</f>
        <v>7</v>
      </c>
      <c r="M1892" s="26" t="n">
        <f aca="false">IF(A1892="","",IF(COUNTIFS($C$2:$C$5001,C1892,$J$2:$J$5001,J1892,$A$2:$A$5001,"&lt;"&amp;A1892)=0,1,0))</f>
        <v>0</v>
      </c>
    </row>
    <row r="1893" customFormat="false" ht="15" hidden="false" customHeight="false" outlineLevel="0" collapsed="false">
      <c r="A1893" s="23" t="n">
        <v>46175.5340277778</v>
      </c>
      <c r="B1893" s="24" t="s">
        <v>627</v>
      </c>
      <c r="C1893" s="24" t="s">
        <v>475</v>
      </c>
      <c r="D1893" s="24" t="s">
        <v>66</v>
      </c>
      <c r="E1893" s="24" t="n">
        <v>294</v>
      </c>
      <c r="F1893" s="25" t="n">
        <v>10000</v>
      </c>
      <c r="G1893" s="24" t="s">
        <v>59</v>
      </c>
      <c r="H1893" s="24" t="s">
        <v>80</v>
      </c>
      <c r="I1893" s="24" t="s">
        <v>61</v>
      </c>
      <c r="J1893" s="26" t="n">
        <f aca="false">IF(A1893="","",YEAR(A1893))</f>
        <v>2026</v>
      </c>
      <c r="K1893" s="26" t="n">
        <f aca="false">IF(A1893="","",MONTH(A1893))</f>
        <v>6</v>
      </c>
      <c r="L1893" s="26" t="n">
        <f aca="false">IF(B1893="","",VALUE(LEFT(B1893,2)))</f>
        <v>7</v>
      </c>
      <c r="M1893" s="26" t="n">
        <f aca="false">IF(A1893="","",IF(COUNTIFS($C$2:$C$5001,C1893,$J$2:$J$5001,J1893,$A$2:$A$5001,"&lt;"&amp;A1893)=0,1,0))</f>
        <v>0</v>
      </c>
    </row>
    <row r="1894" customFormat="false" ht="15" hidden="false" customHeight="false" outlineLevel="0" collapsed="false">
      <c r="A1894" s="23" t="n">
        <v>46175.5631944445</v>
      </c>
      <c r="B1894" s="24" t="s">
        <v>653</v>
      </c>
      <c r="C1894" s="24" t="s">
        <v>268</v>
      </c>
      <c r="D1894" s="24" t="s">
        <v>66</v>
      </c>
      <c r="E1894" s="24" t="n">
        <v>291</v>
      </c>
      <c r="F1894" s="25" t="n">
        <v>10000</v>
      </c>
      <c r="G1894" s="24" t="s">
        <v>69</v>
      </c>
      <c r="H1894" s="24" t="s">
        <v>80</v>
      </c>
      <c r="I1894" s="24" t="s">
        <v>61</v>
      </c>
      <c r="J1894" s="26" t="n">
        <f aca="false">IF(A1894="","",YEAR(A1894))</f>
        <v>2026</v>
      </c>
      <c r="K1894" s="26" t="n">
        <f aca="false">IF(A1894="","",MONTH(A1894))</f>
        <v>6</v>
      </c>
      <c r="L1894" s="26" t="n">
        <f aca="false">IF(B1894="","",VALUE(LEFT(B1894,2)))</f>
        <v>8</v>
      </c>
      <c r="M1894" s="26" t="n">
        <f aca="false">IF(A1894="","",IF(COUNTIFS($C$2:$C$5001,C1894,$J$2:$J$5001,J1894,$A$2:$A$5001,"&lt;"&amp;A1894)=0,1,0))</f>
        <v>0</v>
      </c>
    </row>
    <row r="1895" customFormat="false" ht="15" hidden="false" customHeight="false" outlineLevel="0" collapsed="false">
      <c r="A1895" s="23" t="n">
        <v>46176.00625</v>
      </c>
      <c r="B1895" s="24" t="s">
        <v>943</v>
      </c>
      <c r="C1895" s="24" t="s">
        <v>186</v>
      </c>
      <c r="D1895" s="24" t="s">
        <v>66</v>
      </c>
      <c r="E1895" s="24" t="n">
        <v>216</v>
      </c>
      <c r="F1895" s="25" t="n">
        <v>0</v>
      </c>
      <c r="G1895" s="24" t="s">
        <v>69</v>
      </c>
      <c r="H1895" s="24" t="s">
        <v>60</v>
      </c>
      <c r="I1895" s="24" t="s">
        <v>56</v>
      </c>
      <c r="J1895" s="26" t="n">
        <f aca="false">IF(A1895="","",YEAR(A1895))</f>
        <v>2026</v>
      </c>
      <c r="K1895" s="26" t="n">
        <f aca="false">IF(A1895="","",MONTH(A1895))</f>
        <v>6</v>
      </c>
      <c r="L1895" s="26" t="n">
        <f aca="false">IF(B1895="","",VALUE(LEFT(B1895,2)))</f>
        <v>20</v>
      </c>
      <c r="M1895" s="26" t="n">
        <f aca="false">IF(A1895="","",IF(COUNTIFS($C$2:$C$5001,C1895,$J$2:$J$5001,J1895,$A$2:$A$5001,"&lt;"&amp;A1895)=0,1,0))</f>
        <v>0</v>
      </c>
    </row>
    <row r="1896" customFormat="false" ht="15" hidden="false" customHeight="false" outlineLevel="0" collapsed="false">
      <c r="A1896" s="23" t="n">
        <v>46176.7965277778</v>
      </c>
      <c r="B1896" s="24" t="s">
        <v>1000</v>
      </c>
      <c r="C1896" s="24" t="s">
        <v>172</v>
      </c>
      <c r="D1896" s="24" t="s">
        <v>66</v>
      </c>
      <c r="E1896" s="24" t="n">
        <v>205</v>
      </c>
      <c r="F1896" s="25" t="n">
        <v>7000</v>
      </c>
      <c r="G1896" s="24" t="s">
        <v>59</v>
      </c>
      <c r="H1896" s="24" t="s">
        <v>60</v>
      </c>
      <c r="I1896" s="24" t="s">
        <v>61</v>
      </c>
      <c r="J1896" s="26" t="n">
        <f aca="false">IF(A1896="","",YEAR(A1896))</f>
        <v>2026</v>
      </c>
      <c r="K1896" s="26" t="n">
        <f aca="false">IF(A1896="","",MONTH(A1896))</f>
        <v>6</v>
      </c>
      <c r="L1896" s="26" t="n">
        <f aca="false">IF(B1896="","",VALUE(LEFT(B1896,2)))</f>
        <v>15</v>
      </c>
      <c r="M1896" s="26" t="n">
        <f aca="false">IF(A1896="","",IF(COUNTIFS($C$2:$C$5001,C1896,$J$2:$J$5001,J1896,$A$2:$A$5001,"&lt;"&amp;A1896)=0,1,0))</f>
        <v>0</v>
      </c>
    </row>
    <row r="1897" customFormat="false" ht="15" hidden="false" customHeight="false" outlineLevel="0" collapsed="false">
      <c r="A1897" s="23" t="n">
        <v>46176.8895833333</v>
      </c>
      <c r="B1897" s="24" t="s">
        <v>684</v>
      </c>
      <c r="C1897" s="24" t="s">
        <v>491</v>
      </c>
      <c r="D1897" s="24" t="s">
        <v>66</v>
      </c>
      <c r="E1897" s="24" t="n">
        <v>355</v>
      </c>
      <c r="F1897" s="25" t="n">
        <v>12000</v>
      </c>
      <c r="G1897" s="24" t="s">
        <v>79</v>
      </c>
      <c r="H1897" s="24" t="s">
        <v>55</v>
      </c>
      <c r="I1897" s="24" t="s">
        <v>61</v>
      </c>
      <c r="J1897" s="26" t="n">
        <f aca="false">IF(A1897="","",YEAR(A1897))</f>
        <v>2026</v>
      </c>
      <c r="K1897" s="26" t="n">
        <f aca="false">IF(A1897="","",MONTH(A1897))</f>
        <v>6</v>
      </c>
      <c r="L1897" s="26" t="n">
        <f aca="false">IF(B1897="","",VALUE(LEFT(B1897,2)))</f>
        <v>15</v>
      </c>
      <c r="M1897" s="26" t="n">
        <f aca="false">IF(A1897="","",IF(COUNTIFS($C$2:$C$5001,C1897,$J$2:$J$5001,J1897,$A$2:$A$5001,"&lt;"&amp;A1897)=0,1,0))</f>
        <v>1</v>
      </c>
    </row>
    <row r="1898" customFormat="false" ht="15" hidden="false" customHeight="false" outlineLevel="0" collapsed="false">
      <c r="A1898" s="23" t="n">
        <v>46177.6645833333</v>
      </c>
      <c r="B1898" s="24" t="s">
        <v>1001</v>
      </c>
      <c r="C1898" s="24" t="s">
        <v>58</v>
      </c>
      <c r="D1898" s="24" t="s">
        <v>66</v>
      </c>
      <c r="E1898" s="24" t="n">
        <v>191</v>
      </c>
      <c r="F1898" s="25" t="n">
        <v>7000</v>
      </c>
      <c r="G1898" s="24" t="s">
        <v>59</v>
      </c>
      <c r="H1898" s="24" t="s">
        <v>80</v>
      </c>
      <c r="I1898" s="24" t="s">
        <v>61</v>
      </c>
      <c r="J1898" s="26" t="n">
        <f aca="false">IF(A1898="","",YEAR(A1898))</f>
        <v>2026</v>
      </c>
      <c r="K1898" s="26" t="n">
        <f aca="false">IF(A1898="","",MONTH(A1898))</f>
        <v>6</v>
      </c>
      <c r="L1898" s="26" t="n">
        <f aca="false">IF(B1898="","",VALUE(LEFT(B1898,2)))</f>
        <v>12</v>
      </c>
      <c r="M1898" s="26" t="n">
        <f aca="false">IF(A1898="","",IF(COUNTIFS($C$2:$C$5001,C1898,$J$2:$J$5001,J1898,$A$2:$A$5001,"&lt;"&amp;A1898)=0,1,0))</f>
        <v>0</v>
      </c>
    </row>
    <row r="1899" customFormat="false" ht="15" hidden="false" customHeight="false" outlineLevel="0" collapsed="false">
      <c r="A1899" s="23" t="n">
        <v>46177.8</v>
      </c>
      <c r="B1899" s="24" t="s">
        <v>99</v>
      </c>
      <c r="C1899" s="24" t="s">
        <v>1002</v>
      </c>
      <c r="D1899" s="24" t="s">
        <v>127</v>
      </c>
      <c r="E1899" s="24" t="n">
        <v>132</v>
      </c>
      <c r="F1899" s="25" t="n">
        <v>0</v>
      </c>
      <c r="G1899" s="24" t="s">
        <v>59</v>
      </c>
      <c r="H1899" s="24" t="s">
        <v>60</v>
      </c>
      <c r="I1899" s="24" t="s">
        <v>56</v>
      </c>
      <c r="J1899" s="26" t="n">
        <f aca="false">IF(A1899="","",YEAR(A1899))</f>
        <v>2026</v>
      </c>
      <c r="K1899" s="26" t="n">
        <f aca="false">IF(A1899="","",MONTH(A1899))</f>
        <v>6</v>
      </c>
      <c r="L1899" s="26" t="n">
        <f aca="false">IF(B1899="","",VALUE(LEFT(B1899,2)))</f>
        <v>17</v>
      </c>
      <c r="M1899" s="26" t="n">
        <f aca="false">IF(A1899="","",IF(COUNTIFS($C$2:$C$5001,C1899,$J$2:$J$5001,J1899,$A$2:$A$5001,"&lt;"&amp;A1899)=0,1,0))</f>
        <v>1</v>
      </c>
    </row>
    <row r="1900" customFormat="false" ht="15" hidden="false" customHeight="false" outlineLevel="0" collapsed="false">
      <c r="A1900" s="23" t="n">
        <v>46177.8402777778</v>
      </c>
      <c r="B1900" s="24" t="s">
        <v>200</v>
      </c>
      <c r="C1900" s="24" t="s">
        <v>186</v>
      </c>
      <c r="D1900" s="24" t="s">
        <v>66</v>
      </c>
      <c r="E1900" s="24" t="n">
        <v>164</v>
      </c>
      <c r="F1900" s="25" t="n">
        <v>6000</v>
      </c>
      <c r="G1900" s="24" t="s">
        <v>59</v>
      </c>
      <c r="H1900" s="24" t="s">
        <v>60</v>
      </c>
      <c r="I1900" s="24" t="s">
        <v>61</v>
      </c>
      <c r="J1900" s="26" t="n">
        <f aca="false">IF(A1900="","",YEAR(A1900))</f>
        <v>2026</v>
      </c>
      <c r="K1900" s="26" t="n">
        <f aca="false">IF(A1900="","",MONTH(A1900))</f>
        <v>6</v>
      </c>
      <c r="L1900" s="26" t="n">
        <f aca="false">IF(B1900="","",VALUE(LEFT(B1900,2)))</f>
        <v>17</v>
      </c>
      <c r="M1900" s="26" t="n">
        <f aca="false">IF(A1900="","",IF(COUNTIFS($C$2:$C$5001,C1900,$J$2:$J$5001,J1900,$A$2:$A$5001,"&lt;"&amp;A1900)=0,1,0))</f>
        <v>0</v>
      </c>
    </row>
    <row r="1901" customFormat="false" ht="15" hidden="false" customHeight="false" outlineLevel="0" collapsed="false">
      <c r="A1901" s="23" t="n">
        <v>46178.5465277778</v>
      </c>
      <c r="B1901" s="24" t="s">
        <v>624</v>
      </c>
      <c r="C1901" s="24" t="s">
        <v>136</v>
      </c>
      <c r="D1901" s="24" t="s">
        <v>66</v>
      </c>
      <c r="E1901" s="24" t="n">
        <v>275</v>
      </c>
      <c r="F1901" s="25" t="n">
        <v>10000</v>
      </c>
      <c r="G1901" s="24" t="s">
        <v>69</v>
      </c>
      <c r="H1901" s="24" t="s">
        <v>80</v>
      </c>
      <c r="I1901" s="24" t="s">
        <v>61</v>
      </c>
      <c r="J1901" s="26" t="n">
        <f aca="false">IF(A1901="","",YEAR(A1901))</f>
        <v>2026</v>
      </c>
      <c r="K1901" s="26" t="n">
        <f aca="false">IF(A1901="","",MONTH(A1901))</f>
        <v>6</v>
      </c>
      <c r="L1901" s="26" t="n">
        <f aca="false">IF(B1901="","",VALUE(LEFT(B1901,2)))</f>
        <v>8</v>
      </c>
      <c r="M1901" s="26" t="n">
        <f aca="false">IF(A1901="","",IF(COUNTIFS($C$2:$C$5001,C1901,$J$2:$J$5001,J1901,$A$2:$A$5001,"&lt;"&amp;A1901)=0,1,0))</f>
        <v>0</v>
      </c>
    </row>
    <row r="1902" customFormat="false" ht="15" hidden="false" customHeight="false" outlineLevel="0" collapsed="false">
      <c r="A1902" s="23" t="n">
        <v>46178.5729166667</v>
      </c>
      <c r="B1902" s="24" t="s">
        <v>726</v>
      </c>
      <c r="C1902" s="24" t="s">
        <v>52</v>
      </c>
      <c r="D1902" s="24" t="s">
        <v>53</v>
      </c>
      <c r="E1902" s="24" t="n">
        <v>102</v>
      </c>
      <c r="F1902" s="25" t="n">
        <v>2000</v>
      </c>
      <c r="G1902" s="24" t="s">
        <v>83</v>
      </c>
      <c r="H1902" s="24" t="s">
        <v>55</v>
      </c>
      <c r="I1902" s="24" t="s">
        <v>61</v>
      </c>
      <c r="J1902" s="26" t="n">
        <f aca="false">IF(A1902="","",YEAR(A1902))</f>
        <v>2026</v>
      </c>
      <c r="K1902" s="26" t="n">
        <f aca="false">IF(A1902="","",MONTH(A1902))</f>
        <v>6</v>
      </c>
      <c r="L1902" s="26" t="n">
        <f aca="false">IF(B1902="","",VALUE(LEFT(B1902,2)))</f>
        <v>12</v>
      </c>
      <c r="M1902" s="26" t="n">
        <f aca="false">IF(A1902="","",IF(COUNTIFS($C$2:$C$5001,C1902,$J$2:$J$5001,J1902,$A$2:$A$5001,"&lt;"&amp;A1902)=0,1,0))</f>
        <v>0</v>
      </c>
    </row>
    <row r="1903" customFormat="false" ht="15" hidden="false" customHeight="false" outlineLevel="0" collapsed="false">
      <c r="A1903" s="23" t="n">
        <v>46178.6993055556</v>
      </c>
      <c r="B1903" s="24" t="s">
        <v>942</v>
      </c>
      <c r="C1903" s="24" t="s">
        <v>938</v>
      </c>
      <c r="D1903" s="24" t="s">
        <v>66</v>
      </c>
      <c r="E1903" s="24" t="n">
        <v>155</v>
      </c>
      <c r="F1903" s="25" t="n">
        <v>6000</v>
      </c>
      <c r="G1903" s="24" t="s">
        <v>59</v>
      </c>
      <c r="H1903" s="24" t="s">
        <v>55</v>
      </c>
      <c r="I1903" s="24" t="s">
        <v>61</v>
      </c>
      <c r="J1903" s="26" t="n">
        <f aca="false">IF(A1903="","",YEAR(A1903))</f>
        <v>2026</v>
      </c>
      <c r="K1903" s="26" t="n">
        <f aca="false">IF(A1903="","",MONTH(A1903))</f>
        <v>6</v>
      </c>
      <c r="L1903" s="26" t="n">
        <f aca="false">IF(B1903="","",VALUE(LEFT(B1903,2)))</f>
        <v>14</v>
      </c>
      <c r="M1903" s="26" t="n">
        <f aca="false">IF(A1903="","",IF(COUNTIFS($C$2:$C$5001,C1903,$J$2:$J$5001,J1903,$A$2:$A$5001,"&lt;"&amp;A1903)=0,1,0))</f>
        <v>0</v>
      </c>
    </row>
    <row r="1904" customFormat="false" ht="15" hidden="false" customHeight="false" outlineLevel="0" collapsed="false">
      <c r="A1904" s="23" t="n">
        <v>46178.8159722222</v>
      </c>
      <c r="B1904" s="24" t="s">
        <v>715</v>
      </c>
      <c r="C1904" s="24" t="s">
        <v>186</v>
      </c>
      <c r="D1904" s="24" t="s">
        <v>66</v>
      </c>
      <c r="E1904" s="24" t="n">
        <v>58</v>
      </c>
      <c r="F1904" s="25" t="n">
        <v>2000</v>
      </c>
      <c r="G1904" s="24" t="s">
        <v>69</v>
      </c>
      <c r="H1904" s="24" t="s">
        <v>60</v>
      </c>
      <c r="I1904" s="24" t="s">
        <v>61</v>
      </c>
      <c r="J1904" s="26" t="n">
        <f aca="false">IF(A1904="","",YEAR(A1904))</f>
        <v>2026</v>
      </c>
      <c r="K1904" s="26" t="n">
        <f aca="false">IF(A1904="","",MONTH(A1904))</f>
        <v>6</v>
      </c>
      <c r="L1904" s="26" t="n">
        <f aca="false">IF(B1904="","",VALUE(LEFT(B1904,2)))</f>
        <v>18</v>
      </c>
      <c r="M1904" s="26" t="n">
        <f aca="false">IF(A1904="","",IF(COUNTIFS($C$2:$C$5001,C1904,$J$2:$J$5001,J1904,$A$2:$A$5001,"&lt;"&amp;A1904)=0,1,0))</f>
        <v>0</v>
      </c>
    </row>
    <row r="1905" customFormat="false" ht="15" hidden="false" customHeight="false" outlineLevel="0" collapsed="false">
      <c r="A1905" s="23" t="n">
        <v>46178.8583333333</v>
      </c>
      <c r="B1905" s="24" t="s">
        <v>1003</v>
      </c>
      <c r="C1905" s="24" t="s">
        <v>222</v>
      </c>
      <c r="D1905" s="24" t="s">
        <v>72</v>
      </c>
      <c r="E1905" s="24" t="n">
        <v>259</v>
      </c>
      <c r="F1905" s="25" t="n">
        <v>18000</v>
      </c>
      <c r="G1905" s="24" t="s">
        <v>69</v>
      </c>
      <c r="H1905" s="24" t="s">
        <v>60</v>
      </c>
      <c r="I1905" s="24" t="s">
        <v>61</v>
      </c>
      <c r="J1905" s="26" t="n">
        <f aca="false">IF(A1905="","",YEAR(A1905))</f>
        <v>2026</v>
      </c>
      <c r="K1905" s="26" t="n">
        <f aca="false">IF(A1905="","",MONTH(A1905))</f>
        <v>6</v>
      </c>
      <c r="L1905" s="26" t="n">
        <f aca="false">IF(B1905="","",VALUE(LEFT(B1905,2)))</f>
        <v>16</v>
      </c>
      <c r="M1905" s="26" t="n">
        <f aca="false">IF(A1905="","",IF(COUNTIFS($C$2:$C$5001,C1905,$J$2:$J$5001,J1905,$A$2:$A$5001,"&lt;"&amp;A1905)=0,1,0))</f>
        <v>0</v>
      </c>
    </row>
    <row r="1906" customFormat="false" ht="15" hidden="false" customHeight="false" outlineLevel="0" collapsed="false">
      <c r="A1906" s="23" t="n">
        <v>46179.6958333333</v>
      </c>
      <c r="B1906" s="24" t="s">
        <v>333</v>
      </c>
      <c r="C1906" s="24" t="s">
        <v>482</v>
      </c>
      <c r="D1906" s="24" t="s">
        <v>66</v>
      </c>
      <c r="E1906" s="24" t="n">
        <v>200</v>
      </c>
      <c r="F1906" s="25" t="n">
        <v>7000</v>
      </c>
      <c r="G1906" s="24" t="s">
        <v>59</v>
      </c>
      <c r="H1906" s="24" t="s">
        <v>80</v>
      </c>
      <c r="I1906" s="24" t="s">
        <v>61</v>
      </c>
      <c r="J1906" s="26" t="n">
        <f aca="false">IF(A1906="","",YEAR(A1906))</f>
        <v>2026</v>
      </c>
      <c r="K1906" s="26" t="n">
        <f aca="false">IF(A1906="","",MONTH(A1906))</f>
        <v>6</v>
      </c>
      <c r="L1906" s="26" t="n">
        <f aca="false">IF(B1906="","",VALUE(LEFT(B1906,2)))</f>
        <v>13</v>
      </c>
      <c r="M1906" s="26" t="n">
        <f aca="false">IF(A1906="","",IF(COUNTIFS($C$2:$C$5001,C1906,$J$2:$J$5001,J1906,$A$2:$A$5001,"&lt;"&amp;A1906)=0,1,0))</f>
        <v>0</v>
      </c>
    </row>
    <row r="1907" customFormat="false" ht="15" hidden="false" customHeight="false" outlineLevel="0" collapsed="false">
      <c r="A1907" s="23" t="n">
        <v>46179.7409722222</v>
      </c>
      <c r="B1907" s="24" t="s">
        <v>893</v>
      </c>
      <c r="C1907" s="24" t="s">
        <v>345</v>
      </c>
      <c r="D1907" s="24" t="s">
        <v>53</v>
      </c>
      <c r="E1907" s="24" t="n">
        <v>268</v>
      </c>
      <c r="F1907" s="25" t="n">
        <v>4500</v>
      </c>
      <c r="G1907" s="24" t="s">
        <v>59</v>
      </c>
      <c r="H1907" s="24" t="s">
        <v>60</v>
      </c>
      <c r="I1907" s="24" t="s">
        <v>61</v>
      </c>
      <c r="J1907" s="26" t="n">
        <f aca="false">IF(A1907="","",YEAR(A1907))</f>
        <v>2026</v>
      </c>
      <c r="K1907" s="26" t="n">
        <f aca="false">IF(A1907="","",MONTH(A1907))</f>
        <v>6</v>
      </c>
      <c r="L1907" s="26" t="n">
        <f aca="false">IF(B1907="","",VALUE(LEFT(B1907,2)))</f>
        <v>13</v>
      </c>
      <c r="M1907" s="26" t="n">
        <f aca="false">IF(A1907="","",IF(COUNTIFS($C$2:$C$5001,C1907,$J$2:$J$5001,J1907,$A$2:$A$5001,"&lt;"&amp;A1907)=0,1,0))</f>
        <v>0</v>
      </c>
    </row>
    <row r="1908" customFormat="false" ht="15" hidden="false" customHeight="false" outlineLevel="0" collapsed="false">
      <c r="A1908" s="23" t="n">
        <v>46179.74375</v>
      </c>
      <c r="B1908" s="24" t="s">
        <v>502</v>
      </c>
      <c r="C1908" s="24" t="s">
        <v>174</v>
      </c>
      <c r="D1908" s="24" t="s">
        <v>53</v>
      </c>
      <c r="E1908" s="24" t="n">
        <v>52</v>
      </c>
      <c r="F1908" s="25" t="n">
        <v>1000</v>
      </c>
      <c r="G1908" s="24" t="s">
        <v>79</v>
      </c>
      <c r="H1908" s="24" t="s">
        <v>55</v>
      </c>
      <c r="I1908" s="24" t="s">
        <v>61</v>
      </c>
      <c r="J1908" s="26" t="n">
        <f aca="false">IF(A1908="","",YEAR(A1908))</f>
        <v>2026</v>
      </c>
      <c r="K1908" s="26" t="n">
        <f aca="false">IF(A1908="","",MONTH(A1908))</f>
        <v>6</v>
      </c>
      <c r="L1908" s="26" t="n">
        <f aca="false">IF(B1908="","",VALUE(LEFT(B1908,2)))</f>
        <v>16</v>
      </c>
      <c r="M1908" s="26" t="n">
        <f aca="false">IF(A1908="","",IF(COUNTIFS($C$2:$C$5001,C1908,$J$2:$J$5001,J1908,$A$2:$A$5001,"&lt;"&amp;A1908)=0,1,0))</f>
        <v>0</v>
      </c>
    </row>
    <row r="1909" customFormat="false" ht="15" hidden="false" customHeight="false" outlineLevel="0" collapsed="false">
      <c r="A1909" s="23" t="n">
        <v>46179.7930555556</v>
      </c>
      <c r="B1909" s="24" t="s">
        <v>200</v>
      </c>
      <c r="C1909" s="24" t="s">
        <v>235</v>
      </c>
      <c r="D1909" s="24" t="s">
        <v>88</v>
      </c>
      <c r="E1909" s="24" t="n">
        <v>96</v>
      </c>
      <c r="F1909" s="25" t="n">
        <v>6000</v>
      </c>
      <c r="G1909" s="24" t="s">
        <v>54</v>
      </c>
      <c r="H1909" s="24" t="s">
        <v>60</v>
      </c>
      <c r="I1909" s="24" t="s">
        <v>61</v>
      </c>
      <c r="J1909" s="26" t="n">
        <f aca="false">IF(A1909="","",YEAR(A1909))</f>
        <v>2026</v>
      </c>
      <c r="K1909" s="26" t="n">
        <f aca="false">IF(A1909="","",MONTH(A1909))</f>
        <v>6</v>
      </c>
      <c r="L1909" s="26" t="n">
        <f aca="false">IF(B1909="","",VALUE(LEFT(B1909,2)))</f>
        <v>17</v>
      </c>
      <c r="M1909" s="26" t="n">
        <f aca="false">IF(A1909="","",IF(COUNTIFS($C$2:$C$5001,C1909,$J$2:$J$5001,J1909,$A$2:$A$5001,"&lt;"&amp;A1909)=0,1,0))</f>
        <v>0</v>
      </c>
    </row>
    <row r="1910" customFormat="false" ht="15" hidden="false" customHeight="false" outlineLevel="0" collapsed="false">
      <c r="A1910" s="23" t="n">
        <v>46179.9701388889</v>
      </c>
      <c r="B1910" s="24" t="s">
        <v>1004</v>
      </c>
      <c r="C1910" s="24" t="s">
        <v>475</v>
      </c>
      <c r="D1910" s="24" t="s">
        <v>66</v>
      </c>
      <c r="E1910" s="24" t="n">
        <v>288</v>
      </c>
      <c r="F1910" s="25" t="n">
        <v>10000</v>
      </c>
      <c r="G1910" s="24" t="s">
        <v>69</v>
      </c>
      <c r="H1910" s="24" t="s">
        <v>55</v>
      </c>
      <c r="I1910" s="24" t="s">
        <v>61</v>
      </c>
      <c r="J1910" s="26" t="n">
        <f aca="false">IF(A1910="","",YEAR(A1910))</f>
        <v>2026</v>
      </c>
      <c r="K1910" s="26" t="n">
        <f aca="false">IF(A1910="","",MONTH(A1910))</f>
        <v>6</v>
      </c>
      <c r="L1910" s="26" t="n">
        <f aca="false">IF(B1910="","",VALUE(LEFT(B1910,2)))</f>
        <v>18</v>
      </c>
      <c r="M1910" s="26" t="n">
        <f aca="false">IF(A1910="","",IF(COUNTIFS($C$2:$C$5001,C1910,$J$2:$J$5001,J1910,$A$2:$A$5001,"&lt;"&amp;A1910)=0,1,0))</f>
        <v>0</v>
      </c>
    </row>
    <row r="1911" customFormat="false" ht="15" hidden="false" customHeight="false" outlineLevel="0" collapsed="false">
      <c r="A1911" s="23" t="n">
        <v>46180.0805555556</v>
      </c>
      <c r="B1911" s="24" t="s">
        <v>976</v>
      </c>
      <c r="C1911" s="24" t="s">
        <v>177</v>
      </c>
      <c r="D1911" s="24" t="s">
        <v>66</v>
      </c>
      <c r="E1911" s="24" t="n">
        <v>404</v>
      </c>
      <c r="F1911" s="25" t="n">
        <v>14000</v>
      </c>
      <c r="G1911" s="24" t="s">
        <v>59</v>
      </c>
      <c r="H1911" s="24" t="s">
        <v>60</v>
      </c>
      <c r="I1911" s="24" t="s">
        <v>61</v>
      </c>
      <c r="J1911" s="26" t="n">
        <f aca="false">IF(A1911="","",YEAR(A1911))</f>
        <v>2026</v>
      </c>
      <c r="K1911" s="26" t="n">
        <f aca="false">IF(A1911="","",MONTH(A1911))</f>
        <v>6</v>
      </c>
      <c r="L1911" s="26" t="n">
        <f aca="false">IF(B1911="","",VALUE(LEFT(B1911,2)))</f>
        <v>19</v>
      </c>
      <c r="M1911" s="26" t="n">
        <f aca="false">IF(A1911="","",IF(COUNTIFS($C$2:$C$5001,C1911,$J$2:$J$5001,J1911,$A$2:$A$5001,"&lt;"&amp;A1911)=0,1,0))</f>
        <v>0</v>
      </c>
    </row>
    <row r="1912" customFormat="false" ht="15" hidden="false" customHeight="false" outlineLevel="0" collapsed="false">
      <c r="A1912" s="23" t="n">
        <v>46180.3909722222</v>
      </c>
      <c r="B1912" s="24" t="s">
        <v>349</v>
      </c>
      <c r="C1912" s="24" t="s">
        <v>475</v>
      </c>
      <c r="D1912" s="24" t="s">
        <v>66</v>
      </c>
      <c r="E1912" s="24" t="n">
        <v>115</v>
      </c>
      <c r="F1912" s="25" t="n">
        <v>4000</v>
      </c>
      <c r="G1912" s="24" t="s">
        <v>69</v>
      </c>
      <c r="H1912" s="24" t="s">
        <v>55</v>
      </c>
      <c r="I1912" s="24" t="s">
        <v>61</v>
      </c>
      <c r="J1912" s="26" t="n">
        <f aca="false">IF(A1912="","",YEAR(A1912))</f>
        <v>2026</v>
      </c>
      <c r="K1912" s="26" t="n">
        <f aca="false">IF(A1912="","",MONTH(A1912))</f>
        <v>6</v>
      </c>
      <c r="L1912" s="26" t="n">
        <f aca="false">IF(B1912="","",VALUE(LEFT(B1912,2)))</f>
        <v>7</v>
      </c>
      <c r="M1912" s="26" t="n">
        <f aca="false">IF(A1912="","",IF(COUNTIFS($C$2:$C$5001,C1912,$J$2:$J$5001,J1912,$A$2:$A$5001,"&lt;"&amp;A1912)=0,1,0))</f>
        <v>0</v>
      </c>
    </row>
    <row r="1913" customFormat="false" ht="15" hidden="false" customHeight="false" outlineLevel="0" collapsed="false">
      <c r="A1913" s="23" t="n">
        <v>46180.4618055556</v>
      </c>
      <c r="B1913" s="24" t="s">
        <v>101</v>
      </c>
      <c r="C1913" s="24" t="s">
        <v>203</v>
      </c>
      <c r="D1913" s="24" t="s">
        <v>72</v>
      </c>
      <c r="E1913" s="24" t="n">
        <v>183</v>
      </c>
      <c r="F1913" s="25" t="n">
        <v>14000</v>
      </c>
      <c r="G1913" s="24" t="s">
        <v>59</v>
      </c>
      <c r="H1913" s="24" t="s">
        <v>60</v>
      </c>
      <c r="I1913" s="24" t="s">
        <v>61</v>
      </c>
      <c r="J1913" s="26" t="n">
        <f aca="false">IF(A1913="","",YEAR(A1913))</f>
        <v>2026</v>
      </c>
      <c r="K1913" s="26" t="n">
        <f aca="false">IF(A1913="","",MONTH(A1913))</f>
        <v>6</v>
      </c>
      <c r="L1913" s="26" t="n">
        <f aca="false">IF(B1913="","",VALUE(LEFT(B1913,2)))</f>
        <v>8</v>
      </c>
      <c r="M1913" s="26" t="n">
        <f aca="false">IF(A1913="","",IF(COUNTIFS($C$2:$C$5001,C1913,$J$2:$J$5001,J1913,$A$2:$A$5001,"&lt;"&amp;A1913)=0,1,0))</f>
        <v>0</v>
      </c>
    </row>
    <row r="1914" customFormat="false" ht="15" hidden="false" customHeight="false" outlineLevel="0" collapsed="false">
      <c r="A1914" s="23" t="n">
        <v>46180.6534722222</v>
      </c>
      <c r="B1914" s="24" t="s">
        <v>1005</v>
      </c>
      <c r="C1914" s="24" t="s">
        <v>324</v>
      </c>
      <c r="D1914" s="24" t="s">
        <v>66</v>
      </c>
      <c r="E1914" s="24" t="n">
        <v>157</v>
      </c>
      <c r="F1914" s="25" t="n">
        <v>6000</v>
      </c>
      <c r="G1914" s="24" t="s">
        <v>59</v>
      </c>
      <c r="H1914" s="24" t="s">
        <v>55</v>
      </c>
      <c r="I1914" s="24" t="s">
        <v>61</v>
      </c>
      <c r="J1914" s="26" t="n">
        <f aca="false">IF(A1914="","",YEAR(A1914))</f>
        <v>2026</v>
      </c>
      <c r="K1914" s="26" t="n">
        <f aca="false">IF(A1914="","",MONTH(A1914))</f>
        <v>6</v>
      </c>
      <c r="L1914" s="26" t="n">
        <f aca="false">IF(B1914="","",VALUE(LEFT(B1914,2)))</f>
        <v>13</v>
      </c>
      <c r="M1914" s="26" t="n">
        <f aca="false">IF(A1914="","",IF(COUNTIFS($C$2:$C$5001,C1914,$J$2:$J$5001,J1914,$A$2:$A$5001,"&lt;"&amp;A1914)=0,1,0))</f>
        <v>0</v>
      </c>
    </row>
    <row r="1915" customFormat="false" ht="15" hidden="false" customHeight="false" outlineLevel="0" collapsed="false">
      <c r="A1915" s="23" t="n">
        <v>46181.1083333333</v>
      </c>
      <c r="B1915" s="24" t="s">
        <v>217</v>
      </c>
      <c r="C1915" s="24" t="s">
        <v>145</v>
      </c>
      <c r="D1915" s="24" t="s">
        <v>66</v>
      </c>
      <c r="E1915" s="24" t="n">
        <v>419</v>
      </c>
      <c r="F1915" s="25" t="n">
        <v>14000</v>
      </c>
      <c r="G1915" s="24" t="s">
        <v>59</v>
      </c>
      <c r="H1915" s="24" t="s">
        <v>55</v>
      </c>
      <c r="I1915" s="24" t="s">
        <v>61</v>
      </c>
      <c r="J1915" s="26" t="n">
        <f aca="false">IF(A1915="","",YEAR(A1915))</f>
        <v>2026</v>
      </c>
      <c r="K1915" s="26" t="n">
        <f aca="false">IF(A1915="","",MONTH(A1915))</f>
        <v>6</v>
      </c>
      <c r="L1915" s="26" t="n">
        <f aca="false">IF(B1915="","",VALUE(LEFT(B1915,2)))</f>
        <v>19</v>
      </c>
      <c r="M1915" s="26" t="n">
        <f aca="false">IF(A1915="","",IF(COUNTIFS($C$2:$C$5001,C1915,$J$2:$J$5001,J1915,$A$2:$A$5001,"&lt;"&amp;A1915)=0,1,0))</f>
        <v>0</v>
      </c>
    </row>
    <row r="1916" customFormat="false" ht="15" hidden="false" customHeight="false" outlineLevel="0" collapsed="false">
      <c r="A1916" s="23" t="n">
        <v>46181.375</v>
      </c>
      <c r="B1916" s="24" t="s">
        <v>202</v>
      </c>
      <c r="C1916" s="24" t="s">
        <v>578</v>
      </c>
      <c r="D1916" s="24" t="s">
        <v>66</v>
      </c>
      <c r="E1916" s="24" t="n">
        <v>90</v>
      </c>
      <c r="F1916" s="25" t="n">
        <v>3000</v>
      </c>
      <c r="G1916" s="24" t="s">
        <v>79</v>
      </c>
      <c r="H1916" s="24" t="s">
        <v>60</v>
      </c>
      <c r="I1916" s="24" t="s">
        <v>61</v>
      </c>
      <c r="J1916" s="26" t="n">
        <f aca="false">IF(A1916="","",YEAR(A1916))</f>
        <v>2026</v>
      </c>
      <c r="K1916" s="26" t="n">
        <f aca="false">IF(A1916="","",MONTH(A1916))</f>
        <v>6</v>
      </c>
      <c r="L1916" s="26" t="n">
        <f aca="false">IF(B1916="","",VALUE(LEFT(B1916,2)))</f>
        <v>7</v>
      </c>
      <c r="M1916" s="26" t="n">
        <f aca="false">IF(A1916="","",IF(COUNTIFS($C$2:$C$5001,C1916,$J$2:$J$5001,J1916,$A$2:$A$5001,"&lt;"&amp;A1916)=0,1,0))</f>
        <v>0</v>
      </c>
    </row>
    <row r="1917" customFormat="false" ht="15" hidden="false" customHeight="false" outlineLevel="0" collapsed="false">
      <c r="A1917" s="23" t="n">
        <v>46181.7694444444</v>
      </c>
      <c r="B1917" s="24" t="s">
        <v>462</v>
      </c>
      <c r="C1917" s="24" t="s">
        <v>203</v>
      </c>
      <c r="D1917" s="24" t="s">
        <v>53</v>
      </c>
      <c r="E1917" s="24" t="n">
        <v>266</v>
      </c>
      <c r="F1917" s="25" t="n">
        <v>4500</v>
      </c>
      <c r="G1917" s="24" t="s">
        <v>59</v>
      </c>
      <c r="H1917" s="24" t="s">
        <v>60</v>
      </c>
      <c r="I1917" s="24" t="s">
        <v>61</v>
      </c>
      <c r="J1917" s="26" t="n">
        <f aca="false">IF(A1917="","",YEAR(A1917))</f>
        <v>2026</v>
      </c>
      <c r="K1917" s="26" t="n">
        <f aca="false">IF(A1917="","",MONTH(A1917))</f>
        <v>6</v>
      </c>
      <c r="L1917" s="26" t="n">
        <f aca="false">IF(B1917="","",VALUE(LEFT(B1917,2)))</f>
        <v>14</v>
      </c>
      <c r="M1917" s="26" t="n">
        <f aca="false">IF(A1917="","",IF(COUNTIFS($C$2:$C$5001,C1917,$J$2:$J$5001,J1917,$A$2:$A$5001,"&lt;"&amp;A1917)=0,1,0))</f>
        <v>0</v>
      </c>
    </row>
    <row r="1918" customFormat="false" ht="15" hidden="false" customHeight="false" outlineLevel="0" collapsed="false">
      <c r="A1918" s="23" t="n">
        <v>46181.8854166667</v>
      </c>
      <c r="B1918" s="24" t="s">
        <v>355</v>
      </c>
      <c r="C1918" s="24" t="s">
        <v>271</v>
      </c>
      <c r="D1918" s="24" t="s">
        <v>72</v>
      </c>
      <c r="E1918" s="24" t="n">
        <v>258</v>
      </c>
      <c r="F1918" s="25" t="n">
        <v>18000</v>
      </c>
      <c r="G1918" s="24" t="s">
        <v>59</v>
      </c>
      <c r="H1918" s="24" t="s">
        <v>55</v>
      </c>
      <c r="I1918" s="24" t="s">
        <v>61</v>
      </c>
      <c r="J1918" s="26" t="n">
        <f aca="false">IF(A1918="","",YEAR(A1918))</f>
        <v>2026</v>
      </c>
      <c r="K1918" s="26" t="n">
        <f aca="false">IF(A1918="","",MONTH(A1918))</f>
        <v>6</v>
      </c>
      <c r="L1918" s="26" t="n">
        <f aca="false">IF(B1918="","",VALUE(LEFT(B1918,2)))</f>
        <v>16</v>
      </c>
      <c r="M1918" s="26" t="n">
        <f aca="false">IF(A1918="","",IF(COUNTIFS($C$2:$C$5001,C1918,$J$2:$J$5001,J1918,$A$2:$A$5001,"&lt;"&amp;A1918)=0,1,0))</f>
        <v>0</v>
      </c>
    </row>
    <row r="1919" customFormat="false" ht="15" hidden="false" customHeight="false" outlineLevel="0" collapsed="false">
      <c r="A1919" s="23" t="n">
        <v>46182.0479166667</v>
      </c>
      <c r="B1919" s="24" t="s">
        <v>765</v>
      </c>
      <c r="C1919" s="24" t="s">
        <v>512</v>
      </c>
      <c r="D1919" s="24" t="s">
        <v>66</v>
      </c>
      <c r="E1919" s="24" t="n">
        <v>319</v>
      </c>
      <c r="F1919" s="25" t="n">
        <v>9350</v>
      </c>
      <c r="G1919" s="24" t="s">
        <v>59</v>
      </c>
      <c r="H1919" s="24" t="s">
        <v>80</v>
      </c>
      <c r="I1919" s="24" t="s">
        <v>113</v>
      </c>
      <c r="J1919" s="26" t="n">
        <f aca="false">IF(A1919="","",YEAR(A1919))</f>
        <v>2026</v>
      </c>
      <c r="K1919" s="26" t="n">
        <f aca="false">IF(A1919="","",MONTH(A1919))</f>
        <v>6</v>
      </c>
      <c r="L1919" s="26" t="n">
        <f aca="false">IF(B1919="","",VALUE(LEFT(B1919,2)))</f>
        <v>19</v>
      </c>
      <c r="M1919" s="26" t="n">
        <f aca="false">IF(A1919="","",IF(COUNTIFS($C$2:$C$5001,C1919,$J$2:$J$5001,J1919,$A$2:$A$5001,"&lt;"&amp;A1919)=0,1,0))</f>
        <v>0</v>
      </c>
    </row>
    <row r="1920" customFormat="false" ht="15" hidden="false" customHeight="false" outlineLevel="0" collapsed="false">
      <c r="A1920" s="23" t="n">
        <v>46182.3236111111</v>
      </c>
      <c r="B1920" s="24" t="s">
        <v>191</v>
      </c>
      <c r="C1920" s="24" t="s">
        <v>224</v>
      </c>
      <c r="D1920" s="24" t="s">
        <v>66</v>
      </c>
      <c r="E1920" s="24" t="n">
        <v>33</v>
      </c>
      <c r="F1920" s="25" t="n">
        <v>2000</v>
      </c>
      <c r="G1920" s="24" t="s">
        <v>59</v>
      </c>
      <c r="H1920" s="24" t="s">
        <v>55</v>
      </c>
      <c r="I1920" s="24" t="s">
        <v>61</v>
      </c>
      <c r="J1920" s="26" t="n">
        <f aca="false">IF(A1920="","",YEAR(A1920))</f>
        <v>2026</v>
      </c>
      <c r="K1920" s="26" t="n">
        <f aca="false">IF(A1920="","",MONTH(A1920))</f>
        <v>6</v>
      </c>
      <c r="L1920" s="26" t="n">
        <f aca="false">IF(B1920="","",VALUE(LEFT(B1920,2)))</f>
        <v>7</v>
      </c>
      <c r="M1920" s="26" t="n">
        <f aca="false">IF(A1920="","",IF(COUNTIFS($C$2:$C$5001,C1920,$J$2:$J$5001,J1920,$A$2:$A$5001,"&lt;"&amp;A1920)=0,1,0))</f>
        <v>0</v>
      </c>
    </row>
    <row r="1921" customFormat="false" ht="15" hidden="false" customHeight="false" outlineLevel="0" collapsed="false">
      <c r="A1921" s="23" t="n">
        <v>46182.4722222222</v>
      </c>
      <c r="B1921" s="24" t="s">
        <v>830</v>
      </c>
      <c r="C1921" s="24" t="s">
        <v>231</v>
      </c>
      <c r="D1921" s="24" t="s">
        <v>66</v>
      </c>
      <c r="E1921" s="24" t="n">
        <v>61</v>
      </c>
      <c r="F1921" s="25" t="n">
        <v>3000</v>
      </c>
      <c r="G1921" s="24" t="s">
        <v>59</v>
      </c>
      <c r="H1921" s="24" t="s">
        <v>60</v>
      </c>
      <c r="I1921" s="24" t="s">
        <v>61</v>
      </c>
      <c r="J1921" s="26" t="n">
        <f aca="false">IF(A1921="","",YEAR(A1921))</f>
        <v>2026</v>
      </c>
      <c r="K1921" s="26" t="n">
        <f aca="false">IF(A1921="","",MONTH(A1921))</f>
        <v>6</v>
      </c>
      <c r="L1921" s="26" t="n">
        <f aca="false">IF(B1921="","",VALUE(LEFT(B1921,2)))</f>
        <v>10</v>
      </c>
      <c r="M1921" s="26" t="n">
        <f aca="false">IF(A1921="","",IF(COUNTIFS($C$2:$C$5001,C1921,$J$2:$J$5001,J1921,$A$2:$A$5001,"&lt;"&amp;A1921)=0,1,0))</f>
        <v>0</v>
      </c>
    </row>
    <row r="1922" customFormat="false" ht="15" hidden="false" customHeight="false" outlineLevel="0" collapsed="false">
      <c r="A1922" s="23" t="n">
        <v>46182.5125</v>
      </c>
      <c r="B1922" s="24" t="s">
        <v>132</v>
      </c>
      <c r="C1922" s="24" t="s">
        <v>199</v>
      </c>
      <c r="D1922" s="24" t="s">
        <v>66</v>
      </c>
      <c r="E1922" s="24" t="n">
        <v>253</v>
      </c>
      <c r="F1922" s="25" t="n">
        <v>7650</v>
      </c>
      <c r="G1922" s="24" t="s">
        <v>69</v>
      </c>
      <c r="H1922" s="24" t="s">
        <v>55</v>
      </c>
      <c r="I1922" s="24" t="s">
        <v>113</v>
      </c>
      <c r="J1922" s="26" t="n">
        <f aca="false">IF(A1922="","",YEAR(A1922))</f>
        <v>2026</v>
      </c>
      <c r="K1922" s="26" t="n">
        <f aca="false">IF(A1922="","",MONTH(A1922))</f>
        <v>6</v>
      </c>
      <c r="L1922" s="26" t="n">
        <f aca="false">IF(B1922="","",VALUE(LEFT(B1922,2)))</f>
        <v>8</v>
      </c>
      <c r="M1922" s="26" t="n">
        <f aca="false">IF(A1922="","",IF(COUNTIFS($C$2:$C$5001,C1922,$J$2:$J$5001,J1922,$A$2:$A$5001,"&lt;"&amp;A1922)=0,1,0))</f>
        <v>0</v>
      </c>
    </row>
    <row r="1923" customFormat="false" ht="15" hidden="false" customHeight="false" outlineLevel="0" collapsed="false">
      <c r="A1923" s="23" t="n">
        <v>46182.5256944444</v>
      </c>
      <c r="B1923" s="24" t="s">
        <v>639</v>
      </c>
      <c r="C1923" s="24" t="s">
        <v>71</v>
      </c>
      <c r="D1923" s="24" t="s">
        <v>53</v>
      </c>
      <c r="E1923" s="24" t="n">
        <v>241</v>
      </c>
      <c r="F1923" s="25" t="n">
        <v>4500</v>
      </c>
      <c r="G1923" s="24" t="s">
        <v>69</v>
      </c>
      <c r="H1923" s="24" t="s">
        <v>80</v>
      </c>
      <c r="I1923" s="24" t="s">
        <v>61</v>
      </c>
      <c r="J1923" s="26" t="n">
        <f aca="false">IF(A1923="","",YEAR(A1923))</f>
        <v>2026</v>
      </c>
      <c r="K1923" s="26" t="n">
        <f aca="false">IF(A1923="","",MONTH(A1923))</f>
        <v>6</v>
      </c>
      <c r="L1923" s="26" t="n">
        <f aca="false">IF(B1923="","",VALUE(LEFT(B1923,2)))</f>
        <v>8</v>
      </c>
      <c r="M1923" s="26" t="n">
        <f aca="false">IF(A1923="","",IF(COUNTIFS($C$2:$C$5001,C1923,$J$2:$J$5001,J1923,$A$2:$A$5001,"&lt;"&amp;A1923)=0,1,0))</f>
        <v>0</v>
      </c>
    </row>
    <row r="1924" customFormat="false" ht="15" hidden="false" customHeight="false" outlineLevel="0" collapsed="false">
      <c r="A1924" s="23" t="n">
        <v>46182.5666666667</v>
      </c>
      <c r="B1924" s="24" t="s">
        <v>493</v>
      </c>
      <c r="C1924" s="24" t="s">
        <v>373</v>
      </c>
      <c r="D1924" s="24" t="s">
        <v>66</v>
      </c>
      <c r="E1924" s="24" t="n">
        <v>369</v>
      </c>
      <c r="F1924" s="25" t="n">
        <v>13000</v>
      </c>
      <c r="G1924" s="24" t="s">
        <v>59</v>
      </c>
      <c r="H1924" s="24" t="s">
        <v>60</v>
      </c>
      <c r="I1924" s="24" t="s">
        <v>61</v>
      </c>
      <c r="J1924" s="26" t="n">
        <f aca="false">IF(A1924="","",YEAR(A1924))</f>
        <v>2026</v>
      </c>
      <c r="K1924" s="26" t="n">
        <f aca="false">IF(A1924="","",MONTH(A1924))</f>
        <v>6</v>
      </c>
      <c r="L1924" s="26" t="n">
        <f aca="false">IF(B1924="","",VALUE(LEFT(B1924,2)))</f>
        <v>7</v>
      </c>
      <c r="M1924" s="26" t="n">
        <f aca="false">IF(A1924="","",IF(COUNTIFS($C$2:$C$5001,C1924,$J$2:$J$5001,J1924,$A$2:$A$5001,"&lt;"&amp;A1924)=0,1,0))</f>
        <v>0</v>
      </c>
    </row>
    <row r="1925" customFormat="false" ht="15" hidden="false" customHeight="false" outlineLevel="0" collapsed="false">
      <c r="A1925" s="23" t="n">
        <v>46182.6347222222</v>
      </c>
      <c r="B1925" s="24" t="s">
        <v>548</v>
      </c>
      <c r="C1925" s="24" t="s">
        <v>76</v>
      </c>
      <c r="D1925" s="24" t="s">
        <v>66</v>
      </c>
      <c r="E1925" s="24" t="n">
        <v>367</v>
      </c>
      <c r="F1925" s="25" t="n">
        <v>11050</v>
      </c>
      <c r="G1925" s="24" t="s">
        <v>59</v>
      </c>
      <c r="H1925" s="24" t="s">
        <v>55</v>
      </c>
      <c r="I1925" s="24" t="s">
        <v>113</v>
      </c>
      <c r="J1925" s="26" t="n">
        <f aca="false">IF(A1925="","",YEAR(A1925))</f>
        <v>2026</v>
      </c>
      <c r="K1925" s="26" t="n">
        <f aca="false">IF(A1925="","",MONTH(A1925))</f>
        <v>6</v>
      </c>
      <c r="L1925" s="26" t="n">
        <f aca="false">IF(B1925="","",VALUE(LEFT(B1925,2)))</f>
        <v>9</v>
      </c>
      <c r="M1925" s="26" t="n">
        <f aca="false">IF(A1925="","",IF(COUNTIFS($C$2:$C$5001,C1925,$J$2:$J$5001,J1925,$A$2:$A$5001,"&lt;"&amp;A1925)=0,1,0))</f>
        <v>0</v>
      </c>
    </row>
    <row r="1926" customFormat="false" ht="15" hidden="false" customHeight="false" outlineLevel="0" collapsed="false">
      <c r="A1926" s="23" t="n">
        <v>46182.825</v>
      </c>
      <c r="B1926" s="24" t="s">
        <v>1006</v>
      </c>
      <c r="C1926" s="24" t="s">
        <v>220</v>
      </c>
      <c r="D1926" s="24" t="s">
        <v>66</v>
      </c>
      <c r="E1926" s="24" t="n">
        <v>136</v>
      </c>
      <c r="F1926" s="25" t="n">
        <v>5000</v>
      </c>
      <c r="G1926" s="24" t="s">
        <v>69</v>
      </c>
      <c r="H1926" s="24" t="s">
        <v>60</v>
      </c>
      <c r="I1926" s="24" t="s">
        <v>61</v>
      </c>
      <c r="J1926" s="26" t="n">
        <f aca="false">IF(A1926="","",YEAR(A1926))</f>
        <v>2026</v>
      </c>
      <c r="K1926" s="26" t="n">
        <f aca="false">IF(A1926="","",MONTH(A1926))</f>
        <v>6</v>
      </c>
      <c r="L1926" s="26" t="n">
        <f aca="false">IF(B1926="","",VALUE(LEFT(B1926,2)))</f>
        <v>17</v>
      </c>
      <c r="M1926" s="26" t="n">
        <f aca="false">IF(A1926="","",IF(COUNTIFS($C$2:$C$5001,C1926,$J$2:$J$5001,J1926,$A$2:$A$5001,"&lt;"&amp;A1926)=0,1,0))</f>
        <v>0</v>
      </c>
    </row>
    <row r="1927" customFormat="false" ht="15" hidden="false" customHeight="false" outlineLevel="0" collapsed="false">
      <c r="A1927" s="23" t="n">
        <v>46182.9402777778</v>
      </c>
      <c r="B1927" s="24" t="s">
        <v>633</v>
      </c>
      <c r="C1927" s="24" t="s">
        <v>90</v>
      </c>
      <c r="D1927" s="24" t="s">
        <v>72</v>
      </c>
      <c r="E1927" s="24" t="n">
        <v>300</v>
      </c>
      <c r="F1927" s="25" t="n">
        <v>20000</v>
      </c>
      <c r="G1927" s="24" t="s">
        <v>83</v>
      </c>
      <c r="H1927" s="24" t="s">
        <v>60</v>
      </c>
      <c r="I1927" s="24" t="s">
        <v>61</v>
      </c>
      <c r="J1927" s="26" t="n">
        <f aca="false">IF(A1927="","",YEAR(A1927))</f>
        <v>2026</v>
      </c>
      <c r="K1927" s="26" t="n">
        <f aca="false">IF(A1927="","",MONTH(A1927))</f>
        <v>6</v>
      </c>
      <c r="L1927" s="26" t="n">
        <f aca="false">IF(B1927="","",VALUE(LEFT(B1927,2)))</f>
        <v>17</v>
      </c>
      <c r="M1927" s="26" t="n">
        <f aca="false">IF(A1927="","",IF(COUNTIFS($C$2:$C$5001,C1927,$J$2:$J$5001,J1927,$A$2:$A$5001,"&lt;"&amp;A1927)=0,1,0))</f>
        <v>0</v>
      </c>
    </row>
    <row r="1928" customFormat="false" ht="15" hidden="false" customHeight="false" outlineLevel="0" collapsed="false">
      <c r="A1928" s="23" t="n">
        <v>46183.4784722222</v>
      </c>
      <c r="B1928" s="24" t="s">
        <v>254</v>
      </c>
      <c r="C1928" s="24" t="s">
        <v>430</v>
      </c>
      <c r="D1928" s="24" t="s">
        <v>66</v>
      </c>
      <c r="E1928" s="24" t="n">
        <v>52</v>
      </c>
      <c r="F1928" s="25" t="n">
        <v>1700</v>
      </c>
      <c r="G1928" s="24" t="s">
        <v>59</v>
      </c>
      <c r="H1928" s="24" t="s">
        <v>80</v>
      </c>
      <c r="I1928" s="24" t="s">
        <v>113</v>
      </c>
      <c r="J1928" s="26" t="n">
        <f aca="false">IF(A1928="","",YEAR(A1928))</f>
        <v>2026</v>
      </c>
      <c r="K1928" s="26" t="n">
        <f aca="false">IF(A1928="","",MONTH(A1928))</f>
        <v>6</v>
      </c>
      <c r="L1928" s="26" t="n">
        <f aca="false">IF(B1928="","",VALUE(LEFT(B1928,2)))</f>
        <v>10</v>
      </c>
      <c r="M1928" s="26" t="n">
        <f aca="false">IF(A1928="","",IF(COUNTIFS($C$2:$C$5001,C1928,$J$2:$J$5001,J1928,$A$2:$A$5001,"&lt;"&amp;A1928)=0,1,0))</f>
        <v>0</v>
      </c>
    </row>
    <row r="1929" customFormat="false" ht="15" hidden="false" customHeight="false" outlineLevel="0" collapsed="false">
      <c r="A1929" s="23" t="n">
        <v>46183.6</v>
      </c>
      <c r="B1929" s="24" t="s">
        <v>1007</v>
      </c>
      <c r="C1929" s="24" t="s">
        <v>182</v>
      </c>
      <c r="D1929" s="24" t="s">
        <v>88</v>
      </c>
      <c r="E1929" s="24" t="n">
        <v>275</v>
      </c>
      <c r="F1929" s="25" t="n">
        <v>15000</v>
      </c>
      <c r="G1929" s="24" t="s">
        <v>83</v>
      </c>
      <c r="H1929" s="24" t="s">
        <v>55</v>
      </c>
      <c r="I1929" s="24" t="s">
        <v>61</v>
      </c>
      <c r="J1929" s="26" t="n">
        <f aca="false">IF(A1929="","",YEAR(A1929))</f>
        <v>2026</v>
      </c>
      <c r="K1929" s="26" t="n">
        <f aca="false">IF(A1929="","",MONTH(A1929))</f>
        <v>6</v>
      </c>
      <c r="L1929" s="26" t="n">
        <f aca="false">IF(B1929="","",VALUE(LEFT(B1929,2)))</f>
        <v>9</v>
      </c>
      <c r="M1929" s="26" t="n">
        <f aca="false">IF(A1929="","",IF(COUNTIFS($C$2:$C$5001,C1929,$J$2:$J$5001,J1929,$A$2:$A$5001,"&lt;"&amp;A1929)=0,1,0))</f>
        <v>0</v>
      </c>
    </row>
    <row r="1930" customFormat="false" ht="15" hidden="false" customHeight="false" outlineLevel="0" collapsed="false">
      <c r="A1930" s="23" t="n">
        <v>46183.6069444444</v>
      </c>
      <c r="B1930" s="24" t="s">
        <v>626</v>
      </c>
      <c r="C1930" s="24" t="s">
        <v>201</v>
      </c>
      <c r="D1930" s="24" t="s">
        <v>53</v>
      </c>
      <c r="E1930" s="24" t="n">
        <v>250</v>
      </c>
      <c r="F1930" s="25" t="n">
        <v>4500</v>
      </c>
      <c r="G1930" s="24" t="s">
        <v>83</v>
      </c>
      <c r="H1930" s="24" t="s">
        <v>80</v>
      </c>
      <c r="I1930" s="24" t="s">
        <v>61</v>
      </c>
      <c r="J1930" s="26" t="n">
        <f aca="false">IF(A1930="","",YEAR(A1930))</f>
        <v>2026</v>
      </c>
      <c r="K1930" s="26" t="n">
        <f aca="false">IF(A1930="","",MONTH(A1930))</f>
        <v>6</v>
      </c>
      <c r="L1930" s="26" t="n">
        <f aca="false">IF(B1930="","",VALUE(LEFT(B1930,2)))</f>
        <v>10</v>
      </c>
      <c r="M1930" s="26" t="n">
        <f aca="false">IF(A1930="","",IF(COUNTIFS($C$2:$C$5001,C1930,$J$2:$J$5001,J1930,$A$2:$A$5001,"&lt;"&amp;A1930)=0,1,0))</f>
        <v>0</v>
      </c>
    </row>
    <row r="1931" customFormat="false" ht="15" hidden="false" customHeight="false" outlineLevel="0" collapsed="false">
      <c r="A1931" s="23" t="n">
        <v>46183.6347222222</v>
      </c>
      <c r="B1931" s="24" t="s">
        <v>125</v>
      </c>
      <c r="C1931" s="24" t="s">
        <v>227</v>
      </c>
      <c r="D1931" s="24" t="s">
        <v>53</v>
      </c>
      <c r="E1931" s="24" t="n">
        <v>381</v>
      </c>
      <c r="F1931" s="25" t="n">
        <v>6500</v>
      </c>
      <c r="G1931" s="24" t="s">
        <v>69</v>
      </c>
      <c r="H1931" s="24" t="s">
        <v>55</v>
      </c>
      <c r="I1931" s="24" t="s">
        <v>61</v>
      </c>
      <c r="J1931" s="26" t="n">
        <f aca="false">IF(A1931="","",YEAR(A1931))</f>
        <v>2026</v>
      </c>
      <c r="K1931" s="26" t="n">
        <f aca="false">IF(A1931="","",MONTH(A1931))</f>
        <v>6</v>
      </c>
      <c r="L1931" s="26" t="n">
        <f aca="false">IF(B1931="","",VALUE(LEFT(B1931,2)))</f>
        <v>8</v>
      </c>
      <c r="M1931" s="26" t="n">
        <f aca="false">IF(A1931="","",IF(COUNTIFS($C$2:$C$5001,C1931,$J$2:$J$5001,J1931,$A$2:$A$5001,"&lt;"&amp;A1931)=0,1,0))</f>
        <v>0</v>
      </c>
    </row>
    <row r="1932" customFormat="false" ht="15" hidden="false" customHeight="false" outlineLevel="0" collapsed="false">
      <c r="A1932" s="23" t="n">
        <v>46183.6645833333</v>
      </c>
      <c r="B1932" s="24" t="s">
        <v>725</v>
      </c>
      <c r="C1932" s="24" t="s">
        <v>172</v>
      </c>
      <c r="D1932" s="24" t="s">
        <v>53</v>
      </c>
      <c r="E1932" s="24" t="n">
        <v>300</v>
      </c>
      <c r="F1932" s="25" t="n">
        <v>5000</v>
      </c>
      <c r="G1932" s="24" t="s">
        <v>59</v>
      </c>
      <c r="H1932" s="24" t="s">
        <v>55</v>
      </c>
      <c r="I1932" s="24" t="s">
        <v>61</v>
      </c>
      <c r="J1932" s="26" t="n">
        <f aca="false">IF(A1932="","",YEAR(A1932))</f>
        <v>2026</v>
      </c>
      <c r="K1932" s="26" t="n">
        <f aca="false">IF(A1932="","",MONTH(A1932))</f>
        <v>6</v>
      </c>
      <c r="L1932" s="26" t="n">
        <f aca="false">IF(B1932="","",VALUE(LEFT(B1932,2)))</f>
        <v>10</v>
      </c>
      <c r="M1932" s="26" t="n">
        <f aca="false">IF(A1932="","",IF(COUNTIFS($C$2:$C$5001,C1932,$J$2:$J$5001,J1932,$A$2:$A$5001,"&lt;"&amp;A1932)=0,1,0))</f>
        <v>0</v>
      </c>
    </row>
    <row r="1933" customFormat="false" ht="15" hidden="false" customHeight="false" outlineLevel="0" collapsed="false">
      <c r="A1933" s="23" t="n">
        <v>46183.6881944445</v>
      </c>
      <c r="B1933" s="24" t="s">
        <v>575</v>
      </c>
      <c r="C1933" s="24" t="s">
        <v>263</v>
      </c>
      <c r="D1933" s="24" t="s">
        <v>66</v>
      </c>
      <c r="E1933" s="24" t="n">
        <v>224</v>
      </c>
      <c r="F1933" s="25" t="n">
        <v>8000</v>
      </c>
      <c r="G1933" s="24" t="s">
        <v>59</v>
      </c>
      <c r="H1933" s="24" t="s">
        <v>80</v>
      </c>
      <c r="I1933" s="24" t="s">
        <v>61</v>
      </c>
      <c r="J1933" s="26" t="n">
        <f aca="false">IF(A1933="","",YEAR(A1933))</f>
        <v>2026</v>
      </c>
      <c r="K1933" s="26" t="n">
        <f aca="false">IF(A1933="","",MONTH(A1933))</f>
        <v>6</v>
      </c>
      <c r="L1933" s="26" t="n">
        <f aca="false">IF(B1933="","",VALUE(LEFT(B1933,2)))</f>
        <v>12</v>
      </c>
      <c r="M1933" s="26" t="n">
        <f aca="false">IF(A1933="","",IF(COUNTIFS($C$2:$C$5001,C1933,$J$2:$J$5001,J1933,$A$2:$A$5001,"&lt;"&amp;A1933)=0,1,0))</f>
        <v>0</v>
      </c>
    </row>
    <row r="1934" customFormat="false" ht="15" hidden="false" customHeight="false" outlineLevel="0" collapsed="false">
      <c r="A1934" s="23" t="n">
        <v>46183.8076388889</v>
      </c>
      <c r="B1934" s="24" t="s">
        <v>1008</v>
      </c>
      <c r="C1934" s="24" t="s">
        <v>65</v>
      </c>
      <c r="D1934" s="24" t="s">
        <v>53</v>
      </c>
      <c r="E1934" s="24" t="n">
        <v>41</v>
      </c>
      <c r="F1934" s="25" t="n">
        <v>1000</v>
      </c>
      <c r="G1934" s="24" t="s">
        <v>69</v>
      </c>
      <c r="H1934" s="24" t="s">
        <v>55</v>
      </c>
      <c r="I1934" s="24" t="s">
        <v>61</v>
      </c>
      <c r="J1934" s="26" t="n">
        <f aca="false">IF(A1934="","",YEAR(A1934))</f>
        <v>2026</v>
      </c>
      <c r="K1934" s="26" t="n">
        <f aca="false">IF(A1934="","",MONTH(A1934))</f>
        <v>6</v>
      </c>
      <c r="L1934" s="26" t="n">
        <f aca="false">IF(B1934="","",VALUE(LEFT(B1934,2)))</f>
        <v>18</v>
      </c>
      <c r="M1934" s="26" t="n">
        <f aca="false">IF(A1934="","",IF(COUNTIFS($C$2:$C$5001,C1934,$J$2:$J$5001,J1934,$A$2:$A$5001,"&lt;"&amp;A1934)=0,1,0))</f>
        <v>0</v>
      </c>
    </row>
    <row r="1935" customFormat="false" ht="15" hidden="false" customHeight="false" outlineLevel="0" collapsed="false">
      <c r="A1935" s="23" t="n">
        <v>46183.8194444445</v>
      </c>
      <c r="B1935" s="24" t="s">
        <v>527</v>
      </c>
      <c r="C1935" s="24" t="s">
        <v>126</v>
      </c>
      <c r="D1935" s="24" t="s">
        <v>66</v>
      </c>
      <c r="E1935" s="24" t="n">
        <v>127</v>
      </c>
      <c r="F1935" s="25" t="n">
        <v>4250</v>
      </c>
      <c r="G1935" s="24" t="s">
        <v>54</v>
      </c>
      <c r="H1935" s="24" t="s">
        <v>55</v>
      </c>
      <c r="I1935" s="24" t="s">
        <v>113</v>
      </c>
      <c r="J1935" s="26" t="n">
        <f aca="false">IF(A1935="","",YEAR(A1935))</f>
        <v>2026</v>
      </c>
      <c r="K1935" s="26" t="n">
        <f aca="false">IF(A1935="","",MONTH(A1935))</f>
        <v>6</v>
      </c>
      <c r="L1935" s="26" t="n">
        <f aca="false">IF(B1935="","",VALUE(LEFT(B1935,2)))</f>
        <v>17</v>
      </c>
      <c r="M1935" s="26" t="n">
        <f aca="false">IF(A1935="","",IF(COUNTIFS($C$2:$C$5001,C1935,$J$2:$J$5001,J1935,$A$2:$A$5001,"&lt;"&amp;A1935)=0,1,0))</f>
        <v>0</v>
      </c>
    </row>
    <row r="1936" customFormat="false" ht="15" hidden="false" customHeight="false" outlineLevel="0" collapsed="false">
      <c r="A1936" s="23" t="n">
        <v>46183.8479166667</v>
      </c>
      <c r="B1936" s="24" t="s">
        <v>543</v>
      </c>
      <c r="C1936" s="24" t="s">
        <v>222</v>
      </c>
      <c r="D1936" s="24" t="s">
        <v>127</v>
      </c>
      <c r="E1936" s="24" t="n">
        <v>61</v>
      </c>
      <c r="F1936" s="25" t="n">
        <v>5250</v>
      </c>
      <c r="G1936" s="24" t="s">
        <v>59</v>
      </c>
      <c r="H1936" s="24" t="s">
        <v>55</v>
      </c>
      <c r="I1936" s="24" t="s">
        <v>61</v>
      </c>
      <c r="J1936" s="26" t="n">
        <f aca="false">IF(A1936="","",YEAR(A1936))</f>
        <v>2026</v>
      </c>
      <c r="K1936" s="26" t="n">
        <f aca="false">IF(A1936="","",MONTH(A1936))</f>
        <v>6</v>
      </c>
      <c r="L1936" s="26" t="n">
        <f aca="false">IF(B1936="","",VALUE(LEFT(B1936,2)))</f>
        <v>19</v>
      </c>
      <c r="M1936" s="26" t="n">
        <f aca="false">IF(A1936="","",IF(COUNTIFS($C$2:$C$5001,C1936,$J$2:$J$5001,J1936,$A$2:$A$5001,"&lt;"&amp;A1936)=0,1,0))</f>
        <v>0</v>
      </c>
    </row>
    <row r="1937" customFormat="false" ht="15" hidden="false" customHeight="false" outlineLevel="0" collapsed="false">
      <c r="A1937" s="23" t="n">
        <v>46184.6013888889</v>
      </c>
      <c r="B1937" s="24" t="s">
        <v>714</v>
      </c>
      <c r="C1937" s="24" t="s">
        <v>177</v>
      </c>
      <c r="D1937" s="24" t="s">
        <v>66</v>
      </c>
      <c r="E1937" s="24" t="n">
        <v>218</v>
      </c>
      <c r="F1937" s="25" t="n">
        <v>8000</v>
      </c>
      <c r="G1937" s="24" t="s">
        <v>69</v>
      </c>
      <c r="H1937" s="24" t="s">
        <v>55</v>
      </c>
      <c r="I1937" s="24" t="s">
        <v>61</v>
      </c>
      <c r="J1937" s="26" t="n">
        <f aca="false">IF(A1937="","",YEAR(A1937))</f>
        <v>2026</v>
      </c>
      <c r="K1937" s="26" t="n">
        <f aca="false">IF(A1937="","",MONTH(A1937))</f>
        <v>6</v>
      </c>
      <c r="L1937" s="26" t="n">
        <f aca="false">IF(B1937="","",VALUE(LEFT(B1937,2)))</f>
        <v>10</v>
      </c>
      <c r="M1937" s="26" t="n">
        <f aca="false">IF(A1937="","",IF(COUNTIFS($C$2:$C$5001,C1937,$J$2:$J$5001,J1937,$A$2:$A$5001,"&lt;"&amp;A1937)=0,1,0))</f>
        <v>0</v>
      </c>
    </row>
    <row r="1938" customFormat="false" ht="15" hidden="false" customHeight="false" outlineLevel="0" collapsed="false">
      <c r="A1938" s="23" t="n">
        <v>46184.65625</v>
      </c>
      <c r="B1938" s="24" t="s">
        <v>999</v>
      </c>
      <c r="C1938" s="24" t="s">
        <v>129</v>
      </c>
      <c r="D1938" s="24" t="s">
        <v>66</v>
      </c>
      <c r="E1938" s="24" t="n">
        <v>60</v>
      </c>
      <c r="F1938" s="25" t="n">
        <v>1700</v>
      </c>
      <c r="G1938" s="24" t="s">
        <v>83</v>
      </c>
      <c r="H1938" s="24" t="s">
        <v>60</v>
      </c>
      <c r="I1938" s="24" t="s">
        <v>113</v>
      </c>
      <c r="J1938" s="26" t="n">
        <f aca="false">IF(A1938="","",YEAR(A1938))</f>
        <v>2026</v>
      </c>
      <c r="K1938" s="26" t="n">
        <f aca="false">IF(A1938="","",MONTH(A1938))</f>
        <v>6</v>
      </c>
      <c r="L1938" s="26" t="n">
        <f aca="false">IF(B1938="","",VALUE(LEFT(B1938,2)))</f>
        <v>14</v>
      </c>
      <c r="M1938" s="26" t="n">
        <f aca="false">IF(A1938="","",IF(COUNTIFS($C$2:$C$5001,C1938,$J$2:$J$5001,J1938,$A$2:$A$5001,"&lt;"&amp;A1938)=0,1,0))</f>
        <v>0</v>
      </c>
    </row>
    <row r="1939" customFormat="false" ht="15" hidden="false" customHeight="false" outlineLevel="0" collapsed="false">
      <c r="A1939" s="23" t="n">
        <v>46184.7069444444</v>
      </c>
      <c r="B1939" s="24" t="s">
        <v>805</v>
      </c>
      <c r="C1939" s="24" t="s">
        <v>231</v>
      </c>
      <c r="D1939" s="24" t="s">
        <v>53</v>
      </c>
      <c r="E1939" s="24" t="n">
        <v>243</v>
      </c>
      <c r="F1939" s="25" t="n">
        <v>4500</v>
      </c>
      <c r="G1939" s="24" t="s">
        <v>59</v>
      </c>
      <c r="H1939" s="24" t="s">
        <v>80</v>
      </c>
      <c r="I1939" s="24" t="s">
        <v>61</v>
      </c>
      <c r="J1939" s="26" t="n">
        <f aca="false">IF(A1939="","",YEAR(A1939))</f>
        <v>2026</v>
      </c>
      <c r="K1939" s="26" t="n">
        <f aca="false">IF(A1939="","",MONTH(A1939))</f>
        <v>6</v>
      </c>
      <c r="L1939" s="26" t="n">
        <f aca="false">IF(B1939="","",VALUE(LEFT(B1939,2)))</f>
        <v>12</v>
      </c>
      <c r="M1939" s="26" t="n">
        <f aca="false">IF(A1939="","",IF(COUNTIFS($C$2:$C$5001,C1939,$J$2:$J$5001,J1939,$A$2:$A$5001,"&lt;"&amp;A1939)=0,1,0))</f>
        <v>0</v>
      </c>
    </row>
    <row r="1940" customFormat="false" ht="15" hidden="false" customHeight="false" outlineLevel="0" collapsed="false">
      <c r="A1940" s="23" t="n">
        <v>46184.7125</v>
      </c>
      <c r="B1940" s="24" t="s">
        <v>1009</v>
      </c>
      <c r="C1940" s="24" t="s">
        <v>82</v>
      </c>
      <c r="D1940" s="24" t="s">
        <v>66</v>
      </c>
      <c r="E1940" s="24" t="n">
        <v>332</v>
      </c>
      <c r="F1940" s="25" t="n">
        <v>12000</v>
      </c>
      <c r="G1940" s="24" t="s">
        <v>59</v>
      </c>
      <c r="H1940" s="24" t="s">
        <v>80</v>
      </c>
      <c r="I1940" s="24" t="s">
        <v>61</v>
      </c>
      <c r="J1940" s="26" t="n">
        <f aca="false">IF(A1940="","",YEAR(A1940))</f>
        <v>2026</v>
      </c>
      <c r="K1940" s="26" t="n">
        <f aca="false">IF(A1940="","",MONTH(A1940))</f>
        <v>6</v>
      </c>
      <c r="L1940" s="26" t="n">
        <f aca="false">IF(B1940="","",VALUE(LEFT(B1940,2)))</f>
        <v>11</v>
      </c>
      <c r="M1940" s="26" t="n">
        <f aca="false">IF(A1940="","",IF(COUNTIFS($C$2:$C$5001,C1940,$J$2:$J$5001,J1940,$A$2:$A$5001,"&lt;"&amp;A1940)=0,1,0))</f>
        <v>0</v>
      </c>
    </row>
    <row r="1941" customFormat="false" ht="15" hidden="false" customHeight="false" outlineLevel="0" collapsed="false">
      <c r="A1941" s="23" t="n">
        <v>46185.5430555556</v>
      </c>
      <c r="B1941" s="24" t="s">
        <v>379</v>
      </c>
      <c r="C1941" s="24" t="s">
        <v>442</v>
      </c>
      <c r="D1941" s="24" t="s">
        <v>66</v>
      </c>
      <c r="E1941" s="24" t="n">
        <v>369</v>
      </c>
      <c r="F1941" s="25" t="n">
        <v>13000</v>
      </c>
      <c r="G1941" s="24" t="s">
        <v>69</v>
      </c>
      <c r="H1941" s="24" t="s">
        <v>80</v>
      </c>
      <c r="I1941" s="24" t="s">
        <v>61</v>
      </c>
      <c r="J1941" s="26" t="n">
        <f aca="false">IF(A1941="","",YEAR(A1941))</f>
        <v>2026</v>
      </c>
      <c r="K1941" s="26" t="n">
        <f aca="false">IF(A1941="","",MONTH(A1941))</f>
        <v>6</v>
      </c>
      <c r="L1941" s="26" t="n">
        <f aca="false">IF(B1941="","",VALUE(LEFT(B1941,2)))</f>
        <v>6</v>
      </c>
      <c r="M1941" s="26" t="n">
        <f aca="false">IF(A1941="","",IF(COUNTIFS($C$2:$C$5001,C1941,$J$2:$J$5001,J1941,$A$2:$A$5001,"&lt;"&amp;A1941)=0,1,0))</f>
        <v>0</v>
      </c>
    </row>
    <row r="1942" customFormat="false" ht="15" hidden="false" customHeight="false" outlineLevel="0" collapsed="false">
      <c r="A1942" s="23" t="n">
        <v>46185.6131944444</v>
      </c>
      <c r="B1942" s="24" t="s">
        <v>659</v>
      </c>
      <c r="C1942" s="24" t="s">
        <v>222</v>
      </c>
      <c r="D1942" s="24" t="s">
        <v>127</v>
      </c>
      <c r="E1942" s="24" t="n">
        <v>347</v>
      </c>
      <c r="F1942" s="25" t="n">
        <v>21000</v>
      </c>
      <c r="G1942" s="24" t="s">
        <v>59</v>
      </c>
      <c r="H1942" s="24" t="s">
        <v>55</v>
      </c>
      <c r="I1942" s="24" t="s">
        <v>61</v>
      </c>
      <c r="J1942" s="26" t="n">
        <f aca="false">IF(A1942="","",YEAR(A1942))</f>
        <v>2026</v>
      </c>
      <c r="K1942" s="26" t="n">
        <f aca="false">IF(A1942="","",MONTH(A1942))</f>
        <v>6</v>
      </c>
      <c r="L1942" s="26" t="n">
        <f aca="false">IF(B1942="","",VALUE(LEFT(B1942,2)))</f>
        <v>8</v>
      </c>
      <c r="M1942" s="26" t="n">
        <f aca="false">IF(A1942="","",IF(COUNTIFS($C$2:$C$5001,C1942,$J$2:$J$5001,J1942,$A$2:$A$5001,"&lt;"&amp;A1942)=0,1,0))</f>
        <v>0</v>
      </c>
    </row>
    <row r="1943" customFormat="false" ht="15" hidden="false" customHeight="false" outlineLevel="0" collapsed="false">
      <c r="A1943" s="23" t="n">
        <v>46186.1020833333</v>
      </c>
      <c r="B1943" s="24" t="s">
        <v>1010</v>
      </c>
      <c r="C1943" s="24" t="s">
        <v>136</v>
      </c>
      <c r="D1943" s="24" t="s">
        <v>66</v>
      </c>
      <c r="E1943" s="24" t="n">
        <v>366</v>
      </c>
      <c r="F1943" s="25" t="n">
        <v>13000</v>
      </c>
      <c r="G1943" s="24" t="s">
        <v>69</v>
      </c>
      <c r="H1943" s="24" t="s">
        <v>55</v>
      </c>
      <c r="I1943" s="24" t="s">
        <v>61</v>
      </c>
      <c r="J1943" s="26" t="n">
        <f aca="false">IF(A1943="","",YEAR(A1943))</f>
        <v>2026</v>
      </c>
      <c r="K1943" s="26" t="n">
        <f aca="false">IF(A1943="","",MONTH(A1943))</f>
        <v>6</v>
      </c>
      <c r="L1943" s="26" t="n">
        <f aca="false">IF(B1943="","",VALUE(LEFT(B1943,2)))</f>
        <v>20</v>
      </c>
      <c r="M1943" s="26" t="n">
        <f aca="false">IF(A1943="","",IF(COUNTIFS($C$2:$C$5001,C1943,$J$2:$J$5001,J1943,$A$2:$A$5001,"&lt;"&amp;A1943)=0,1,0))</f>
        <v>0</v>
      </c>
    </row>
    <row r="1944" customFormat="false" ht="15" hidden="false" customHeight="false" outlineLevel="0" collapsed="false">
      <c r="A1944" s="23" t="n">
        <v>46187.0583333333</v>
      </c>
      <c r="B1944" s="24" t="s">
        <v>903</v>
      </c>
      <c r="C1944" s="24" t="s">
        <v>85</v>
      </c>
      <c r="D1944" s="24" t="s">
        <v>53</v>
      </c>
      <c r="E1944" s="24" t="n">
        <v>344</v>
      </c>
      <c r="F1944" s="25" t="n">
        <v>6000</v>
      </c>
      <c r="G1944" s="24" t="s">
        <v>59</v>
      </c>
      <c r="H1944" s="24" t="s">
        <v>60</v>
      </c>
      <c r="I1944" s="24" t="s">
        <v>61</v>
      </c>
      <c r="J1944" s="26" t="n">
        <f aca="false">IF(A1944="","",YEAR(A1944))</f>
        <v>2026</v>
      </c>
      <c r="K1944" s="26" t="n">
        <f aca="false">IF(A1944="","",MONTH(A1944))</f>
        <v>6</v>
      </c>
      <c r="L1944" s="26" t="n">
        <f aca="false">IF(B1944="","",VALUE(LEFT(B1944,2)))</f>
        <v>19</v>
      </c>
      <c r="M1944" s="26" t="n">
        <f aca="false">IF(A1944="","",IF(COUNTIFS($C$2:$C$5001,C1944,$J$2:$J$5001,J1944,$A$2:$A$5001,"&lt;"&amp;A1944)=0,1,0))</f>
        <v>0</v>
      </c>
    </row>
    <row r="1945" customFormat="false" ht="15" hidden="false" customHeight="false" outlineLevel="0" collapsed="false">
      <c r="A1945" s="23" t="n">
        <v>46187.3923611111</v>
      </c>
      <c r="B1945" s="24" t="s">
        <v>137</v>
      </c>
      <c r="C1945" s="24" t="s">
        <v>430</v>
      </c>
      <c r="D1945" s="24" t="s">
        <v>72</v>
      </c>
      <c r="E1945" s="24" t="n">
        <v>42</v>
      </c>
      <c r="F1945" s="25" t="n">
        <v>4000</v>
      </c>
      <c r="G1945" s="24" t="s">
        <v>59</v>
      </c>
      <c r="H1945" s="24" t="s">
        <v>80</v>
      </c>
      <c r="I1945" s="24" t="s">
        <v>61</v>
      </c>
      <c r="J1945" s="26" t="n">
        <f aca="false">IF(A1945="","",YEAR(A1945))</f>
        <v>2026</v>
      </c>
      <c r="K1945" s="26" t="n">
        <f aca="false">IF(A1945="","",MONTH(A1945))</f>
        <v>6</v>
      </c>
      <c r="L1945" s="26" t="n">
        <f aca="false">IF(B1945="","",VALUE(LEFT(B1945,2)))</f>
        <v>8</v>
      </c>
      <c r="M1945" s="26" t="n">
        <f aca="false">IF(A1945="","",IF(COUNTIFS($C$2:$C$5001,C1945,$J$2:$J$5001,J1945,$A$2:$A$5001,"&lt;"&amp;A1945)=0,1,0))</f>
        <v>0</v>
      </c>
    </row>
    <row r="1946" customFormat="false" ht="15" hidden="false" customHeight="false" outlineLevel="0" collapsed="false">
      <c r="A1946" s="23" t="n">
        <v>46187.8083333333</v>
      </c>
      <c r="B1946" s="24" t="s">
        <v>779</v>
      </c>
      <c r="C1946" s="24" t="s">
        <v>170</v>
      </c>
      <c r="D1946" s="24" t="s">
        <v>53</v>
      </c>
      <c r="E1946" s="24" t="n">
        <v>326</v>
      </c>
      <c r="F1946" s="25" t="n">
        <v>5500</v>
      </c>
      <c r="G1946" s="24" t="s">
        <v>59</v>
      </c>
      <c r="H1946" s="24" t="s">
        <v>80</v>
      </c>
      <c r="I1946" s="24" t="s">
        <v>61</v>
      </c>
      <c r="J1946" s="26" t="n">
        <f aca="false">IF(A1946="","",YEAR(A1946))</f>
        <v>2026</v>
      </c>
      <c r="K1946" s="26" t="n">
        <f aca="false">IF(A1946="","",MONTH(A1946))</f>
        <v>6</v>
      </c>
      <c r="L1946" s="26" t="n">
        <f aca="false">IF(B1946="","",VALUE(LEFT(B1946,2)))</f>
        <v>13</v>
      </c>
      <c r="M1946" s="26" t="n">
        <f aca="false">IF(A1946="","",IF(COUNTIFS($C$2:$C$5001,C1946,$J$2:$J$5001,J1946,$A$2:$A$5001,"&lt;"&amp;A1946)=0,1,0))</f>
        <v>0</v>
      </c>
    </row>
    <row r="1947" customFormat="false" ht="15" hidden="false" customHeight="false" outlineLevel="0" collapsed="false">
      <c r="A1947" s="23" t="n">
        <v>46187.8340277778</v>
      </c>
      <c r="B1947" s="24" t="s">
        <v>605</v>
      </c>
      <c r="C1947" s="24" t="s">
        <v>94</v>
      </c>
      <c r="D1947" s="24" t="s">
        <v>66</v>
      </c>
      <c r="E1947" s="24" t="n">
        <v>236</v>
      </c>
      <c r="F1947" s="25" t="n">
        <v>8000</v>
      </c>
      <c r="G1947" s="24" t="s">
        <v>59</v>
      </c>
      <c r="H1947" s="24" t="s">
        <v>55</v>
      </c>
      <c r="I1947" s="24" t="s">
        <v>61</v>
      </c>
      <c r="J1947" s="26" t="n">
        <f aca="false">IF(A1947="","",YEAR(A1947))</f>
        <v>2026</v>
      </c>
      <c r="K1947" s="26" t="n">
        <f aca="false">IF(A1947="","",MONTH(A1947))</f>
        <v>6</v>
      </c>
      <c r="L1947" s="26" t="n">
        <f aca="false">IF(B1947="","",VALUE(LEFT(B1947,2)))</f>
        <v>16</v>
      </c>
      <c r="M1947" s="26" t="n">
        <f aca="false">IF(A1947="","",IF(COUNTIFS($C$2:$C$5001,C1947,$J$2:$J$5001,J1947,$A$2:$A$5001,"&lt;"&amp;A1947)=0,1,0))</f>
        <v>0</v>
      </c>
    </row>
    <row r="1948" customFormat="false" ht="15" hidden="false" customHeight="false" outlineLevel="0" collapsed="false">
      <c r="A1948" s="23" t="n">
        <v>46188.3951388889</v>
      </c>
      <c r="B1948" s="24" t="s">
        <v>729</v>
      </c>
      <c r="C1948" s="24" t="s">
        <v>398</v>
      </c>
      <c r="D1948" s="24" t="s">
        <v>53</v>
      </c>
      <c r="E1948" s="24" t="n">
        <v>81</v>
      </c>
      <c r="F1948" s="25" t="n">
        <v>1500</v>
      </c>
      <c r="G1948" s="24" t="s">
        <v>79</v>
      </c>
      <c r="H1948" s="24" t="s">
        <v>55</v>
      </c>
      <c r="I1948" s="24" t="s">
        <v>61</v>
      </c>
      <c r="J1948" s="26" t="n">
        <f aca="false">IF(A1948="","",YEAR(A1948))</f>
        <v>2026</v>
      </c>
      <c r="K1948" s="26" t="n">
        <f aca="false">IF(A1948="","",MONTH(A1948))</f>
        <v>6</v>
      </c>
      <c r="L1948" s="26" t="n">
        <f aca="false">IF(B1948="","",VALUE(LEFT(B1948,2)))</f>
        <v>8</v>
      </c>
      <c r="M1948" s="26" t="n">
        <f aca="false">IF(A1948="","",IF(COUNTIFS($C$2:$C$5001,C1948,$J$2:$J$5001,J1948,$A$2:$A$5001,"&lt;"&amp;A1948)=0,1,0))</f>
        <v>0</v>
      </c>
    </row>
    <row r="1949" customFormat="false" ht="15" hidden="false" customHeight="false" outlineLevel="0" collapsed="false">
      <c r="A1949" s="23" t="n">
        <v>46188.4118055556</v>
      </c>
      <c r="B1949" s="24" t="s">
        <v>447</v>
      </c>
      <c r="C1949" s="24" t="s">
        <v>87</v>
      </c>
      <c r="D1949" s="24" t="s">
        <v>66</v>
      </c>
      <c r="E1949" s="24" t="n">
        <v>149</v>
      </c>
      <c r="F1949" s="25" t="n">
        <v>5000</v>
      </c>
      <c r="G1949" s="24" t="s">
        <v>79</v>
      </c>
      <c r="H1949" s="24" t="s">
        <v>60</v>
      </c>
      <c r="I1949" s="24" t="s">
        <v>61</v>
      </c>
      <c r="J1949" s="26" t="n">
        <f aca="false">IF(A1949="","",YEAR(A1949))</f>
        <v>2026</v>
      </c>
      <c r="K1949" s="26" t="n">
        <f aca="false">IF(A1949="","",MONTH(A1949))</f>
        <v>6</v>
      </c>
      <c r="L1949" s="26" t="n">
        <f aca="false">IF(B1949="","",VALUE(LEFT(B1949,2)))</f>
        <v>7</v>
      </c>
      <c r="M1949" s="26" t="n">
        <f aca="false">IF(A1949="","",IF(COUNTIFS($C$2:$C$5001,C1949,$J$2:$J$5001,J1949,$A$2:$A$5001,"&lt;"&amp;A1949)=0,1,0))</f>
        <v>0</v>
      </c>
    </row>
    <row r="1950" customFormat="false" ht="15" hidden="false" customHeight="false" outlineLevel="0" collapsed="false">
      <c r="A1950" s="23" t="n">
        <v>46188.5493055556</v>
      </c>
      <c r="B1950" s="24" t="s">
        <v>132</v>
      </c>
      <c r="C1950" s="24" t="s">
        <v>436</v>
      </c>
      <c r="D1950" s="24" t="s">
        <v>53</v>
      </c>
      <c r="E1950" s="24" t="n">
        <v>306</v>
      </c>
      <c r="F1950" s="25" t="n">
        <v>5500</v>
      </c>
      <c r="G1950" s="24" t="s">
        <v>54</v>
      </c>
      <c r="H1950" s="24" t="s">
        <v>80</v>
      </c>
      <c r="I1950" s="24" t="s">
        <v>61</v>
      </c>
      <c r="J1950" s="26" t="n">
        <f aca="false">IF(A1950="","",YEAR(A1950))</f>
        <v>2026</v>
      </c>
      <c r="K1950" s="26" t="n">
        <f aca="false">IF(A1950="","",MONTH(A1950))</f>
        <v>6</v>
      </c>
      <c r="L1950" s="26" t="n">
        <f aca="false">IF(B1950="","",VALUE(LEFT(B1950,2)))</f>
        <v>8</v>
      </c>
      <c r="M1950" s="26" t="n">
        <f aca="false">IF(A1950="","",IF(COUNTIFS($C$2:$C$5001,C1950,$J$2:$J$5001,J1950,$A$2:$A$5001,"&lt;"&amp;A1950)=0,1,0))</f>
        <v>0</v>
      </c>
    </row>
    <row r="1951" customFormat="false" ht="15" hidden="false" customHeight="false" outlineLevel="0" collapsed="false">
      <c r="A1951" s="23" t="n">
        <v>46189.4409722222</v>
      </c>
      <c r="B1951" s="24" t="s">
        <v>604</v>
      </c>
      <c r="C1951" s="24" t="s">
        <v>271</v>
      </c>
      <c r="D1951" s="24" t="s">
        <v>53</v>
      </c>
      <c r="E1951" s="24" t="n">
        <v>145</v>
      </c>
      <c r="F1951" s="25" t="n">
        <v>2500</v>
      </c>
      <c r="G1951" s="24" t="s">
        <v>59</v>
      </c>
      <c r="H1951" s="24" t="s">
        <v>55</v>
      </c>
      <c r="I1951" s="24" t="s">
        <v>61</v>
      </c>
      <c r="J1951" s="26" t="n">
        <f aca="false">IF(A1951="","",YEAR(A1951))</f>
        <v>2026</v>
      </c>
      <c r="K1951" s="26" t="n">
        <f aca="false">IF(A1951="","",MONTH(A1951))</f>
        <v>6</v>
      </c>
      <c r="L1951" s="26" t="n">
        <f aca="false">IF(B1951="","",VALUE(LEFT(B1951,2)))</f>
        <v>8</v>
      </c>
      <c r="M1951" s="26" t="n">
        <f aca="false">IF(A1951="","",IF(COUNTIFS($C$2:$C$5001,C1951,$J$2:$J$5001,J1951,$A$2:$A$5001,"&lt;"&amp;A1951)=0,1,0))</f>
        <v>0</v>
      </c>
    </row>
    <row r="1952" customFormat="false" ht="15" hidden="false" customHeight="false" outlineLevel="0" collapsed="false">
      <c r="A1952" s="23" t="n">
        <v>46189.6034722222</v>
      </c>
      <c r="B1952" s="24" t="s">
        <v>762</v>
      </c>
      <c r="C1952" s="24" t="s">
        <v>430</v>
      </c>
      <c r="D1952" s="24" t="s">
        <v>66</v>
      </c>
      <c r="E1952" s="24" t="n">
        <v>273</v>
      </c>
      <c r="F1952" s="25" t="n">
        <v>10000</v>
      </c>
      <c r="G1952" s="24" t="s">
        <v>59</v>
      </c>
      <c r="H1952" s="24" t="s">
        <v>80</v>
      </c>
      <c r="I1952" s="24" t="s">
        <v>61</v>
      </c>
      <c r="J1952" s="26" t="n">
        <f aca="false">IF(A1952="","",YEAR(A1952))</f>
        <v>2026</v>
      </c>
      <c r="K1952" s="26" t="n">
        <f aca="false">IF(A1952="","",MONTH(A1952))</f>
        <v>6</v>
      </c>
      <c r="L1952" s="26" t="n">
        <f aca="false">IF(B1952="","",VALUE(LEFT(B1952,2)))</f>
        <v>9</v>
      </c>
      <c r="M1952" s="26" t="n">
        <f aca="false">IF(A1952="","",IF(COUNTIFS($C$2:$C$5001,C1952,$J$2:$J$5001,J1952,$A$2:$A$5001,"&lt;"&amp;A1952)=0,1,0))</f>
        <v>0</v>
      </c>
    </row>
    <row r="1953" customFormat="false" ht="15" hidden="false" customHeight="false" outlineLevel="0" collapsed="false">
      <c r="A1953" s="23" t="n">
        <v>46189.6256944445</v>
      </c>
      <c r="B1953" s="24" t="s">
        <v>668</v>
      </c>
      <c r="C1953" s="24" t="s">
        <v>267</v>
      </c>
      <c r="D1953" s="24" t="s">
        <v>72</v>
      </c>
      <c r="E1953" s="24" t="n">
        <v>377</v>
      </c>
      <c r="F1953" s="25" t="n">
        <v>0</v>
      </c>
      <c r="G1953" s="24" t="s">
        <v>59</v>
      </c>
      <c r="H1953" s="24" t="s">
        <v>55</v>
      </c>
      <c r="I1953" s="24" t="s">
        <v>56</v>
      </c>
      <c r="J1953" s="26" t="n">
        <f aca="false">IF(A1953="","",YEAR(A1953))</f>
        <v>2026</v>
      </c>
      <c r="K1953" s="26" t="n">
        <f aca="false">IF(A1953="","",MONTH(A1953))</f>
        <v>6</v>
      </c>
      <c r="L1953" s="26" t="n">
        <f aca="false">IF(B1953="","",VALUE(LEFT(B1953,2)))</f>
        <v>8</v>
      </c>
      <c r="M1953" s="26" t="n">
        <f aca="false">IF(A1953="","",IF(COUNTIFS($C$2:$C$5001,C1953,$J$2:$J$5001,J1953,$A$2:$A$5001,"&lt;"&amp;A1953)=0,1,0))</f>
        <v>0</v>
      </c>
    </row>
    <row r="1954" customFormat="false" ht="15" hidden="false" customHeight="false" outlineLevel="0" collapsed="false">
      <c r="A1954" s="23" t="n">
        <v>46190.3895833333</v>
      </c>
      <c r="B1954" s="24" t="s">
        <v>624</v>
      </c>
      <c r="C1954" s="24" t="s">
        <v>90</v>
      </c>
      <c r="D1954" s="24" t="s">
        <v>66</v>
      </c>
      <c r="E1954" s="24" t="n">
        <v>49</v>
      </c>
      <c r="F1954" s="25" t="n">
        <v>2000</v>
      </c>
      <c r="G1954" s="24" t="s">
        <v>69</v>
      </c>
      <c r="H1954" s="24" t="s">
        <v>55</v>
      </c>
      <c r="I1954" s="24" t="s">
        <v>61</v>
      </c>
      <c r="J1954" s="26" t="n">
        <f aca="false">IF(A1954="","",YEAR(A1954))</f>
        <v>2026</v>
      </c>
      <c r="K1954" s="26" t="n">
        <f aca="false">IF(A1954="","",MONTH(A1954))</f>
        <v>6</v>
      </c>
      <c r="L1954" s="26" t="n">
        <f aca="false">IF(B1954="","",VALUE(LEFT(B1954,2)))</f>
        <v>8</v>
      </c>
      <c r="M1954" s="26" t="n">
        <f aca="false">IF(A1954="","",IF(COUNTIFS($C$2:$C$5001,C1954,$J$2:$J$5001,J1954,$A$2:$A$5001,"&lt;"&amp;A1954)=0,1,0))</f>
        <v>0</v>
      </c>
    </row>
    <row r="1955" customFormat="false" ht="15" hidden="false" customHeight="false" outlineLevel="0" collapsed="false">
      <c r="A1955" s="23" t="n">
        <v>46190.5083333333</v>
      </c>
      <c r="B1955" s="24" t="s">
        <v>226</v>
      </c>
      <c r="C1955" s="24" t="s">
        <v>324</v>
      </c>
      <c r="D1955" s="24" t="s">
        <v>127</v>
      </c>
      <c r="E1955" s="24" t="n">
        <v>251</v>
      </c>
      <c r="F1955" s="25" t="n">
        <v>15750</v>
      </c>
      <c r="G1955" s="24" t="s">
        <v>79</v>
      </c>
      <c r="H1955" s="24" t="s">
        <v>80</v>
      </c>
      <c r="I1955" s="24" t="s">
        <v>61</v>
      </c>
      <c r="J1955" s="26" t="n">
        <f aca="false">IF(A1955="","",YEAR(A1955))</f>
        <v>2026</v>
      </c>
      <c r="K1955" s="26" t="n">
        <f aca="false">IF(A1955="","",MONTH(A1955))</f>
        <v>6</v>
      </c>
      <c r="L1955" s="26" t="n">
        <f aca="false">IF(B1955="","",VALUE(LEFT(B1955,2)))</f>
        <v>8</v>
      </c>
      <c r="M1955" s="26" t="n">
        <f aca="false">IF(A1955="","",IF(COUNTIFS($C$2:$C$5001,C1955,$J$2:$J$5001,J1955,$A$2:$A$5001,"&lt;"&amp;A1955)=0,1,0))</f>
        <v>0</v>
      </c>
    </row>
    <row r="1956" customFormat="false" ht="15" hidden="false" customHeight="false" outlineLevel="0" collapsed="false">
      <c r="A1956" s="23" t="n">
        <v>46190.7770833333</v>
      </c>
      <c r="B1956" s="24" t="s">
        <v>1011</v>
      </c>
      <c r="C1956" s="24" t="s">
        <v>309</v>
      </c>
      <c r="D1956" s="24" t="s">
        <v>53</v>
      </c>
      <c r="E1956" s="24" t="n">
        <v>107</v>
      </c>
      <c r="F1956" s="25" t="n">
        <v>2000</v>
      </c>
      <c r="G1956" s="24" t="s">
        <v>59</v>
      </c>
      <c r="H1956" s="24" t="s">
        <v>55</v>
      </c>
      <c r="I1956" s="24" t="s">
        <v>61</v>
      </c>
      <c r="J1956" s="26" t="n">
        <f aca="false">IF(A1956="","",YEAR(A1956))</f>
        <v>2026</v>
      </c>
      <c r="K1956" s="26" t="n">
        <f aca="false">IF(A1956="","",MONTH(A1956))</f>
        <v>6</v>
      </c>
      <c r="L1956" s="26" t="n">
        <f aca="false">IF(B1956="","",VALUE(LEFT(B1956,2)))</f>
        <v>16</v>
      </c>
      <c r="M1956" s="26" t="n">
        <f aca="false">IF(A1956="","",IF(COUNTIFS($C$2:$C$5001,C1956,$J$2:$J$5001,J1956,$A$2:$A$5001,"&lt;"&amp;A1956)=0,1,0))</f>
        <v>0</v>
      </c>
    </row>
    <row r="1957" customFormat="false" ht="15" hidden="false" customHeight="false" outlineLevel="0" collapsed="false">
      <c r="A1957" s="23" t="n">
        <v>46190.9020833333</v>
      </c>
      <c r="B1957" s="24" t="s">
        <v>1000</v>
      </c>
      <c r="C1957" s="24" t="s">
        <v>160</v>
      </c>
      <c r="D1957" s="24" t="s">
        <v>66</v>
      </c>
      <c r="E1957" s="24" t="n">
        <v>357</v>
      </c>
      <c r="F1957" s="25" t="n">
        <v>12000</v>
      </c>
      <c r="G1957" s="24" t="s">
        <v>59</v>
      </c>
      <c r="H1957" s="24" t="s">
        <v>55</v>
      </c>
      <c r="I1957" s="24" t="s">
        <v>61</v>
      </c>
      <c r="J1957" s="26" t="n">
        <f aca="false">IF(A1957="","",YEAR(A1957))</f>
        <v>2026</v>
      </c>
      <c r="K1957" s="26" t="n">
        <f aca="false">IF(A1957="","",MONTH(A1957))</f>
        <v>6</v>
      </c>
      <c r="L1957" s="26" t="n">
        <f aca="false">IF(B1957="","",VALUE(LEFT(B1957,2)))</f>
        <v>15</v>
      </c>
      <c r="M1957" s="26" t="n">
        <f aca="false">IF(A1957="","",IF(COUNTIFS($C$2:$C$5001,C1957,$J$2:$J$5001,J1957,$A$2:$A$5001,"&lt;"&amp;A1957)=0,1,0))</f>
        <v>0</v>
      </c>
    </row>
    <row r="1958" customFormat="false" ht="15" hidden="false" customHeight="false" outlineLevel="0" collapsed="false">
      <c r="A1958" s="23" t="n">
        <v>46191.0451388889</v>
      </c>
      <c r="B1958" s="24" t="s">
        <v>557</v>
      </c>
      <c r="C1958" s="24" t="s">
        <v>240</v>
      </c>
      <c r="D1958" s="24" t="s">
        <v>66</v>
      </c>
      <c r="E1958" s="24" t="n">
        <v>335</v>
      </c>
      <c r="F1958" s="25" t="n">
        <v>12000</v>
      </c>
      <c r="G1958" s="24" t="s">
        <v>69</v>
      </c>
      <c r="H1958" s="24" t="s">
        <v>80</v>
      </c>
      <c r="I1958" s="24" t="s">
        <v>61</v>
      </c>
      <c r="J1958" s="26" t="n">
        <f aca="false">IF(A1958="","",YEAR(A1958))</f>
        <v>2026</v>
      </c>
      <c r="K1958" s="26" t="n">
        <f aca="false">IF(A1958="","",MONTH(A1958))</f>
        <v>6</v>
      </c>
      <c r="L1958" s="26" t="n">
        <f aca="false">IF(B1958="","",VALUE(LEFT(B1958,2)))</f>
        <v>19</v>
      </c>
      <c r="M1958" s="26" t="n">
        <f aca="false">IF(A1958="","",IF(COUNTIFS($C$2:$C$5001,C1958,$J$2:$J$5001,J1958,$A$2:$A$5001,"&lt;"&amp;A1958)=0,1,0))</f>
        <v>0</v>
      </c>
    </row>
    <row r="1959" customFormat="false" ht="15" hidden="false" customHeight="false" outlineLevel="0" collapsed="false">
      <c r="A1959" s="23" t="n">
        <v>46191.1034722222</v>
      </c>
      <c r="B1959" s="24" t="s">
        <v>278</v>
      </c>
      <c r="C1959" s="24" t="s">
        <v>293</v>
      </c>
      <c r="D1959" s="24" t="s">
        <v>66</v>
      </c>
      <c r="E1959" s="24" t="n">
        <v>400</v>
      </c>
      <c r="F1959" s="25" t="n">
        <v>14000</v>
      </c>
      <c r="G1959" s="24" t="s">
        <v>79</v>
      </c>
      <c r="H1959" s="24" t="s">
        <v>80</v>
      </c>
      <c r="I1959" s="24" t="s">
        <v>61</v>
      </c>
      <c r="J1959" s="26" t="n">
        <f aca="false">IF(A1959="","",YEAR(A1959))</f>
        <v>2026</v>
      </c>
      <c r="K1959" s="26" t="n">
        <f aca="false">IF(A1959="","",MONTH(A1959))</f>
        <v>6</v>
      </c>
      <c r="L1959" s="26" t="n">
        <f aca="false">IF(B1959="","",VALUE(LEFT(B1959,2)))</f>
        <v>19</v>
      </c>
      <c r="M1959" s="26" t="n">
        <f aca="false">IF(A1959="","",IF(COUNTIFS($C$2:$C$5001,C1959,$J$2:$J$5001,J1959,$A$2:$A$5001,"&lt;"&amp;A1959)=0,1,0))</f>
        <v>0</v>
      </c>
    </row>
    <row r="1960" customFormat="false" ht="15" hidden="false" customHeight="false" outlineLevel="0" collapsed="false">
      <c r="A1960" s="23" t="n">
        <v>46191.6680555556</v>
      </c>
      <c r="B1960" s="24" t="s">
        <v>480</v>
      </c>
      <c r="C1960" s="24" t="s">
        <v>108</v>
      </c>
      <c r="D1960" s="24" t="s">
        <v>53</v>
      </c>
      <c r="E1960" s="24" t="n">
        <v>252</v>
      </c>
      <c r="F1960" s="25" t="n">
        <v>4500</v>
      </c>
      <c r="G1960" s="24" t="s">
        <v>59</v>
      </c>
      <c r="H1960" s="24" t="s">
        <v>80</v>
      </c>
      <c r="I1960" s="24" t="s">
        <v>61</v>
      </c>
      <c r="J1960" s="26" t="n">
        <f aca="false">IF(A1960="","",YEAR(A1960))</f>
        <v>2026</v>
      </c>
      <c r="K1960" s="26" t="n">
        <f aca="false">IF(A1960="","",MONTH(A1960))</f>
        <v>6</v>
      </c>
      <c r="L1960" s="26" t="n">
        <f aca="false">IF(B1960="","",VALUE(LEFT(B1960,2)))</f>
        <v>11</v>
      </c>
      <c r="M1960" s="26" t="n">
        <f aca="false">IF(A1960="","",IF(COUNTIFS($C$2:$C$5001,C1960,$J$2:$J$5001,J1960,$A$2:$A$5001,"&lt;"&amp;A1960)=0,1,0))</f>
        <v>0</v>
      </c>
    </row>
    <row r="1961" customFormat="false" ht="15" hidden="false" customHeight="false" outlineLevel="0" collapsed="false">
      <c r="A1961" s="23" t="n">
        <v>46191.8631944444</v>
      </c>
      <c r="B1961" s="24" t="s">
        <v>601</v>
      </c>
      <c r="C1961" s="24" t="s">
        <v>461</v>
      </c>
      <c r="D1961" s="24" t="s">
        <v>66</v>
      </c>
      <c r="E1961" s="24" t="n">
        <v>262</v>
      </c>
      <c r="F1961" s="25" t="n">
        <v>9000</v>
      </c>
      <c r="G1961" s="24" t="s">
        <v>59</v>
      </c>
      <c r="H1961" s="24" t="s">
        <v>60</v>
      </c>
      <c r="I1961" s="24" t="s">
        <v>61</v>
      </c>
      <c r="J1961" s="26" t="n">
        <f aca="false">IF(A1961="","",YEAR(A1961))</f>
        <v>2026</v>
      </c>
      <c r="K1961" s="26" t="n">
        <f aca="false">IF(A1961="","",MONTH(A1961))</f>
        <v>6</v>
      </c>
      <c r="L1961" s="26" t="n">
        <f aca="false">IF(B1961="","",VALUE(LEFT(B1961,2)))</f>
        <v>16</v>
      </c>
      <c r="M1961" s="26" t="n">
        <f aca="false">IF(A1961="","",IF(COUNTIFS($C$2:$C$5001,C1961,$J$2:$J$5001,J1961,$A$2:$A$5001,"&lt;"&amp;A1961)=0,1,0))</f>
        <v>0</v>
      </c>
    </row>
    <row r="1962" customFormat="false" ht="15" hidden="false" customHeight="false" outlineLevel="0" collapsed="false">
      <c r="A1962" s="23" t="n">
        <v>46191.8729166667</v>
      </c>
      <c r="B1962" s="24" t="s">
        <v>522</v>
      </c>
      <c r="C1962" s="24" t="s">
        <v>168</v>
      </c>
      <c r="D1962" s="24" t="s">
        <v>66</v>
      </c>
      <c r="E1962" s="24" t="n">
        <v>325</v>
      </c>
      <c r="F1962" s="25" t="n">
        <v>11000</v>
      </c>
      <c r="G1962" s="24" t="s">
        <v>69</v>
      </c>
      <c r="H1962" s="24" t="s">
        <v>80</v>
      </c>
      <c r="I1962" s="24" t="s">
        <v>61</v>
      </c>
      <c r="J1962" s="26" t="n">
        <f aca="false">IF(A1962="","",YEAR(A1962))</f>
        <v>2026</v>
      </c>
      <c r="K1962" s="26" t="n">
        <f aca="false">IF(A1962="","",MONTH(A1962))</f>
        <v>6</v>
      </c>
      <c r="L1962" s="26" t="n">
        <f aca="false">IF(B1962="","",VALUE(LEFT(B1962,2)))</f>
        <v>15</v>
      </c>
      <c r="M1962" s="26" t="n">
        <f aca="false">IF(A1962="","",IF(COUNTIFS($C$2:$C$5001,C1962,$J$2:$J$5001,J1962,$A$2:$A$5001,"&lt;"&amp;A1962)=0,1,0))</f>
        <v>0</v>
      </c>
    </row>
    <row r="1963" customFormat="false" ht="15" hidden="false" customHeight="false" outlineLevel="0" collapsed="false">
      <c r="A1963" s="23" t="n">
        <v>46192.3048611111</v>
      </c>
      <c r="B1963" s="24" t="s">
        <v>211</v>
      </c>
      <c r="C1963" s="24" t="s">
        <v>68</v>
      </c>
      <c r="D1963" s="24" t="s">
        <v>66</v>
      </c>
      <c r="E1963" s="24" t="n">
        <v>78</v>
      </c>
      <c r="F1963" s="25" t="n">
        <v>2550</v>
      </c>
      <c r="G1963" s="24" t="s">
        <v>59</v>
      </c>
      <c r="H1963" s="24" t="s">
        <v>55</v>
      </c>
      <c r="I1963" s="24" t="s">
        <v>113</v>
      </c>
      <c r="J1963" s="26" t="n">
        <f aca="false">IF(A1963="","",YEAR(A1963))</f>
        <v>2026</v>
      </c>
      <c r="K1963" s="26" t="n">
        <f aca="false">IF(A1963="","",MONTH(A1963))</f>
        <v>6</v>
      </c>
      <c r="L1963" s="26" t="n">
        <f aca="false">IF(B1963="","",VALUE(LEFT(B1963,2)))</f>
        <v>6</v>
      </c>
      <c r="M1963" s="26" t="n">
        <f aca="false">IF(A1963="","",IF(COUNTIFS($C$2:$C$5001,C1963,$J$2:$J$5001,J1963,$A$2:$A$5001,"&lt;"&amp;A1963)=0,1,0))</f>
        <v>0</v>
      </c>
    </row>
    <row r="1964" customFormat="false" ht="15" hidden="false" customHeight="false" outlineLevel="0" collapsed="false">
      <c r="A1964" s="23" t="n">
        <v>46192.4881944444</v>
      </c>
      <c r="B1964" s="24" t="s">
        <v>255</v>
      </c>
      <c r="C1964" s="24" t="s">
        <v>131</v>
      </c>
      <c r="D1964" s="24" t="s">
        <v>88</v>
      </c>
      <c r="E1964" s="24" t="n">
        <v>67</v>
      </c>
      <c r="F1964" s="25" t="n">
        <v>4500</v>
      </c>
      <c r="G1964" s="24" t="s">
        <v>59</v>
      </c>
      <c r="H1964" s="24" t="s">
        <v>80</v>
      </c>
      <c r="I1964" s="24" t="s">
        <v>61</v>
      </c>
      <c r="J1964" s="26" t="n">
        <f aca="false">IF(A1964="","",YEAR(A1964))</f>
        <v>2026</v>
      </c>
      <c r="K1964" s="26" t="n">
        <f aca="false">IF(A1964="","",MONTH(A1964))</f>
        <v>6</v>
      </c>
      <c r="L1964" s="26" t="n">
        <f aca="false">IF(B1964="","",VALUE(LEFT(B1964,2)))</f>
        <v>10</v>
      </c>
      <c r="M1964" s="26" t="n">
        <f aca="false">IF(A1964="","",IF(COUNTIFS($C$2:$C$5001,C1964,$J$2:$J$5001,J1964,$A$2:$A$5001,"&lt;"&amp;A1964)=0,1,0))</f>
        <v>0</v>
      </c>
    </row>
    <row r="1965" customFormat="false" ht="15" hidden="false" customHeight="false" outlineLevel="0" collapsed="false">
      <c r="A1965" s="23" t="n">
        <v>46192.4909722222</v>
      </c>
      <c r="B1965" s="24" t="s">
        <v>323</v>
      </c>
      <c r="C1965" s="24" t="s">
        <v>74</v>
      </c>
      <c r="D1965" s="24" t="s">
        <v>66</v>
      </c>
      <c r="E1965" s="24" t="n">
        <v>307</v>
      </c>
      <c r="F1965" s="25" t="n">
        <v>9350</v>
      </c>
      <c r="G1965" s="24" t="s">
        <v>69</v>
      </c>
      <c r="H1965" s="24" t="s">
        <v>55</v>
      </c>
      <c r="I1965" s="24" t="s">
        <v>113</v>
      </c>
      <c r="J1965" s="26" t="n">
        <f aca="false">IF(A1965="","",YEAR(A1965))</f>
        <v>2026</v>
      </c>
      <c r="K1965" s="26" t="n">
        <f aca="false">IF(A1965="","",MONTH(A1965))</f>
        <v>6</v>
      </c>
      <c r="L1965" s="26" t="n">
        <f aca="false">IF(B1965="","",VALUE(LEFT(B1965,2)))</f>
        <v>6</v>
      </c>
      <c r="M1965" s="26" t="n">
        <f aca="false">IF(A1965="","",IF(COUNTIFS($C$2:$C$5001,C1965,$J$2:$J$5001,J1965,$A$2:$A$5001,"&lt;"&amp;A1965)=0,1,0))</f>
        <v>0</v>
      </c>
    </row>
    <row r="1966" customFormat="false" ht="15" hidden="false" customHeight="false" outlineLevel="0" collapsed="false">
      <c r="A1966" s="23" t="n">
        <v>46192.5472222222</v>
      </c>
      <c r="B1966" s="24" t="s">
        <v>789</v>
      </c>
      <c r="C1966" s="24" t="s">
        <v>484</v>
      </c>
      <c r="D1966" s="24" t="s">
        <v>66</v>
      </c>
      <c r="E1966" s="24" t="n">
        <v>143</v>
      </c>
      <c r="F1966" s="25" t="n">
        <v>0</v>
      </c>
      <c r="G1966" s="24" t="s">
        <v>59</v>
      </c>
      <c r="H1966" s="24" t="s">
        <v>80</v>
      </c>
      <c r="I1966" s="24" t="s">
        <v>56</v>
      </c>
      <c r="J1966" s="26" t="n">
        <f aca="false">IF(A1966="","",YEAR(A1966))</f>
        <v>2026</v>
      </c>
      <c r="K1966" s="26" t="n">
        <f aca="false">IF(A1966="","",MONTH(A1966))</f>
        <v>6</v>
      </c>
      <c r="L1966" s="26" t="n">
        <f aca="false">IF(B1966="","",VALUE(LEFT(B1966,2)))</f>
        <v>10</v>
      </c>
      <c r="M1966" s="26" t="n">
        <f aca="false">IF(A1966="","",IF(COUNTIFS($C$2:$C$5001,C1966,$J$2:$J$5001,J1966,$A$2:$A$5001,"&lt;"&amp;A1966)=0,1,0))</f>
        <v>1</v>
      </c>
    </row>
    <row r="1967" customFormat="false" ht="15" hidden="false" customHeight="false" outlineLevel="0" collapsed="false">
      <c r="A1967" s="23" t="n">
        <v>46192.9034722222</v>
      </c>
      <c r="B1967" s="24" t="s">
        <v>597</v>
      </c>
      <c r="C1967" s="24" t="s">
        <v>166</v>
      </c>
      <c r="D1967" s="24" t="s">
        <v>66</v>
      </c>
      <c r="E1967" s="24" t="n">
        <v>229</v>
      </c>
      <c r="F1967" s="25" t="n">
        <v>8000</v>
      </c>
      <c r="G1967" s="24" t="s">
        <v>54</v>
      </c>
      <c r="H1967" s="24" t="s">
        <v>60</v>
      </c>
      <c r="I1967" s="24" t="s">
        <v>61</v>
      </c>
      <c r="J1967" s="26" t="n">
        <f aca="false">IF(A1967="","",YEAR(A1967))</f>
        <v>2026</v>
      </c>
      <c r="K1967" s="26" t="n">
        <f aca="false">IF(A1967="","",MONTH(A1967))</f>
        <v>6</v>
      </c>
      <c r="L1967" s="26" t="n">
        <f aca="false">IF(B1967="","",VALUE(LEFT(B1967,2)))</f>
        <v>17</v>
      </c>
      <c r="M1967" s="26" t="n">
        <f aca="false">IF(A1967="","",IF(COUNTIFS($C$2:$C$5001,C1967,$J$2:$J$5001,J1967,$A$2:$A$5001,"&lt;"&amp;A1967)=0,1,0))</f>
        <v>0</v>
      </c>
    </row>
    <row r="1968" customFormat="false" ht="15" hidden="false" customHeight="false" outlineLevel="0" collapsed="false">
      <c r="A1968" s="23" t="n">
        <v>46193.05</v>
      </c>
      <c r="B1968" s="24" t="s">
        <v>278</v>
      </c>
      <c r="C1968" s="24" t="s">
        <v>126</v>
      </c>
      <c r="D1968" s="24" t="s">
        <v>53</v>
      </c>
      <c r="E1968" s="24" t="n">
        <v>323</v>
      </c>
      <c r="F1968" s="25" t="n">
        <v>5500</v>
      </c>
      <c r="G1968" s="24" t="s">
        <v>69</v>
      </c>
      <c r="H1968" s="24" t="s">
        <v>80</v>
      </c>
      <c r="I1968" s="24" t="s">
        <v>61</v>
      </c>
      <c r="J1968" s="26" t="n">
        <f aca="false">IF(A1968="","",YEAR(A1968))</f>
        <v>2026</v>
      </c>
      <c r="K1968" s="26" t="n">
        <f aca="false">IF(A1968="","",MONTH(A1968))</f>
        <v>6</v>
      </c>
      <c r="L1968" s="26" t="n">
        <f aca="false">IF(B1968="","",VALUE(LEFT(B1968,2)))</f>
        <v>19</v>
      </c>
      <c r="M1968" s="26" t="n">
        <f aca="false">IF(A1968="","",IF(COUNTIFS($C$2:$C$5001,C1968,$J$2:$J$5001,J1968,$A$2:$A$5001,"&lt;"&amp;A1968)=0,1,0))</f>
        <v>0</v>
      </c>
    </row>
    <row r="1969" customFormat="false" ht="15" hidden="false" customHeight="false" outlineLevel="0" collapsed="false">
      <c r="A1969" s="23" t="n">
        <v>46193.4770833333</v>
      </c>
      <c r="B1969" s="24" t="s">
        <v>405</v>
      </c>
      <c r="C1969" s="24" t="s">
        <v>448</v>
      </c>
      <c r="D1969" s="24" t="s">
        <v>66</v>
      </c>
      <c r="E1969" s="24" t="n">
        <v>265</v>
      </c>
      <c r="F1969" s="25" t="n">
        <v>9000</v>
      </c>
      <c r="G1969" s="24" t="s">
        <v>59</v>
      </c>
      <c r="H1969" s="24" t="s">
        <v>60</v>
      </c>
      <c r="I1969" s="24" t="s">
        <v>61</v>
      </c>
      <c r="J1969" s="26" t="n">
        <f aca="false">IF(A1969="","",YEAR(A1969))</f>
        <v>2026</v>
      </c>
      <c r="K1969" s="26" t="n">
        <f aca="false">IF(A1969="","",MONTH(A1969))</f>
        <v>6</v>
      </c>
      <c r="L1969" s="26" t="n">
        <f aca="false">IF(B1969="","",VALUE(LEFT(B1969,2)))</f>
        <v>7</v>
      </c>
      <c r="M1969" s="26" t="n">
        <f aca="false">IF(A1969="","",IF(COUNTIFS($C$2:$C$5001,C1969,$J$2:$J$5001,J1969,$A$2:$A$5001,"&lt;"&amp;A1969)=0,1,0))</f>
        <v>0</v>
      </c>
    </row>
    <row r="1970" customFormat="false" ht="15" hidden="false" customHeight="false" outlineLevel="0" collapsed="false">
      <c r="A1970" s="23" t="n">
        <v>46194.0854166667</v>
      </c>
      <c r="B1970" s="24" t="s">
        <v>1012</v>
      </c>
      <c r="C1970" s="24" t="s">
        <v>188</v>
      </c>
      <c r="D1970" s="24" t="s">
        <v>53</v>
      </c>
      <c r="E1970" s="24" t="n">
        <v>314</v>
      </c>
      <c r="F1970" s="25" t="n">
        <v>5500</v>
      </c>
      <c r="G1970" s="24" t="s">
        <v>59</v>
      </c>
      <c r="H1970" s="24" t="s">
        <v>80</v>
      </c>
      <c r="I1970" s="24" t="s">
        <v>61</v>
      </c>
      <c r="J1970" s="26" t="n">
        <f aca="false">IF(A1970="","",YEAR(A1970))</f>
        <v>2026</v>
      </c>
      <c r="K1970" s="26" t="n">
        <f aca="false">IF(A1970="","",MONTH(A1970))</f>
        <v>6</v>
      </c>
      <c r="L1970" s="26" t="n">
        <f aca="false">IF(B1970="","",VALUE(LEFT(B1970,2)))</f>
        <v>20</v>
      </c>
      <c r="M1970" s="26" t="n">
        <f aca="false">IF(A1970="","",IF(COUNTIFS($C$2:$C$5001,C1970,$J$2:$J$5001,J1970,$A$2:$A$5001,"&lt;"&amp;A1970)=0,1,0))</f>
        <v>0</v>
      </c>
    </row>
    <row r="1971" customFormat="false" ht="15" hidden="false" customHeight="false" outlineLevel="0" collapsed="false">
      <c r="A1971" s="23" t="n">
        <v>46194.5361111111</v>
      </c>
      <c r="B1971" s="24" t="s">
        <v>705</v>
      </c>
      <c r="C1971" s="24" t="s">
        <v>339</v>
      </c>
      <c r="D1971" s="24" t="s">
        <v>66</v>
      </c>
      <c r="E1971" s="24" t="n">
        <v>371</v>
      </c>
      <c r="F1971" s="25" t="n">
        <v>13000</v>
      </c>
      <c r="G1971" s="24" t="s">
        <v>59</v>
      </c>
      <c r="H1971" s="24" t="s">
        <v>80</v>
      </c>
      <c r="I1971" s="24" t="s">
        <v>61</v>
      </c>
      <c r="J1971" s="26" t="n">
        <f aca="false">IF(A1971="","",YEAR(A1971))</f>
        <v>2026</v>
      </c>
      <c r="K1971" s="26" t="n">
        <f aca="false">IF(A1971="","",MONTH(A1971))</f>
        <v>6</v>
      </c>
      <c r="L1971" s="26" t="n">
        <f aca="false">IF(B1971="","",VALUE(LEFT(B1971,2)))</f>
        <v>6</v>
      </c>
      <c r="M1971" s="26" t="n">
        <f aca="false">IF(A1971="","",IF(COUNTIFS($C$2:$C$5001,C1971,$J$2:$J$5001,J1971,$A$2:$A$5001,"&lt;"&amp;A1971)=0,1,0))</f>
        <v>0</v>
      </c>
    </row>
    <row r="1972" customFormat="false" ht="15" hidden="false" customHeight="false" outlineLevel="0" collapsed="false">
      <c r="A1972" s="23" t="n">
        <v>46194.5388888889</v>
      </c>
      <c r="B1972" s="24" t="s">
        <v>363</v>
      </c>
      <c r="C1972" s="24" t="s">
        <v>126</v>
      </c>
      <c r="D1972" s="24" t="s">
        <v>66</v>
      </c>
      <c r="E1972" s="24" t="n">
        <v>284</v>
      </c>
      <c r="F1972" s="25" t="n">
        <v>10000</v>
      </c>
      <c r="G1972" s="24" t="s">
        <v>59</v>
      </c>
      <c r="H1972" s="24" t="s">
        <v>80</v>
      </c>
      <c r="I1972" s="24" t="s">
        <v>61</v>
      </c>
      <c r="J1972" s="26" t="n">
        <f aca="false">IF(A1972="","",YEAR(A1972))</f>
        <v>2026</v>
      </c>
      <c r="K1972" s="26" t="n">
        <f aca="false">IF(A1972="","",MONTH(A1972))</f>
        <v>6</v>
      </c>
      <c r="L1972" s="26" t="n">
        <f aca="false">IF(B1972="","",VALUE(LEFT(B1972,2)))</f>
        <v>8</v>
      </c>
      <c r="M1972" s="26" t="n">
        <f aca="false">IF(A1972="","",IF(COUNTIFS($C$2:$C$5001,C1972,$J$2:$J$5001,J1972,$A$2:$A$5001,"&lt;"&amp;A1972)=0,1,0))</f>
        <v>0</v>
      </c>
    </row>
    <row r="1973" customFormat="false" ht="15" hidden="false" customHeight="false" outlineLevel="0" collapsed="false">
      <c r="A1973" s="23" t="n">
        <v>46194.7555555556</v>
      </c>
      <c r="B1973" s="24" t="s">
        <v>518</v>
      </c>
      <c r="C1973" s="24" t="s">
        <v>222</v>
      </c>
      <c r="D1973" s="24" t="s">
        <v>66</v>
      </c>
      <c r="E1973" s="24" t="n">
        <v>152</v>
      </c>
      <c r="F1973" s="25" t="n">
        <v>6000</v>
      </c>
      <c r="G1973" s="24" t="s">
        <v>59</v>
      </c>
      <c r="H1973" s="24" t="s">
        <v>60</v>
      </c>
      <c r="I1973" s="24" t="s">
        <v>61</v>
      </c>
      <c r="J1973" s="26" t="n">
        <f aca="false">IF(A1973="","",YEAR(A1973))</f>
        <v>2026</v>
      </c>
      <c r="K1973" s="26" t="n">
        <f aca="false">IF(A1973="","",MONTH(A1973))</f>
        <v>6</v>
      </c>
      <c r="L1973" s="26" t="n">
        <f aca="false">IF(B1973="","",VALUE(LEFT(B1973,2)))</f>
        <v>15</v>
      </c>
      <c r="M1973" s="26" t="n">
        <f aca="false">IF(A1973="","",IF(COUNTIFS($C$2:$C$5001,C1973,$J$2:$J$5001,J1973,$A$2:$A$5001,"&lt;"&amp;A1973)=0,1,0))</f>
        <v>0</v>
      </c>
    </row>
    <row r="1974" customFormat="false" ht="15" hidden="false" customHeight="false" outlineLevel="0" collapsed="false">
      <c r="A1974" s="23" t="n">
        <v>46195.34375</v>
      </c>
      <c r="B1974" s="24" t="s">
        <v>613</v>
      </c>
      <c r="C1974" s="24" t="s">
        <v>138</v>
      </c>
      <c r="D1974" s="24" t="s">
        <v>66</v>
      </c>
      <c r="E1974" s="24" t="n">
        <v>53</v>
      </c>
      <c r="F1974" s="25" t="n">
        <v>2000</v>
      </c>
      <c r="G1974" s="24" t="s">
        <v>59</v>
      </c>
      <c r="H1974" s="24" t="s">
        <v>60</v>
      </c>
      <c r="I1974" s="24" t="s">
        <v>61</v>
      </c>
      <c r="J1974" s="26" t="n">
        <f aca="false">IF(A1974="","",YEAR(A1974))</f>
        <v>2026</v>
      </c>
      <c r="K1974" s="26" t="n">
        <f aca="false">IF(A1974="","",MONTH(A1974))</f>
        <v>6</v>
      </c>
      <c r="L1974" s="26" t="n">
        <f aca="false">IF(B1974="","",VALUE(LEFT(B1974,2)))</f>
        <v>7</v>
      </c>
      <c r="M1974" s="26" t="n">
        <f aca="false">IF(A1974="","",IF(COUNTIFS($C$2:$C$5001,C1974,$J$2:$J$5001,J1974,$A$2:$A$5001,"&lt;"&amp;A1974)=0,1,0))</f>
        <v>0</v>
      </c>
    </row>
    <row r="1975" customFormat="false" ht="15" hidden="false" customHeight="false" outlineLevel="0" collapsed="false">
      <c r="A1975" s="23" t="n">
        <v>46195.4576388889</v>
      </c>
      <c r="B1975" s="24" t="s">
        <v>304</v>
      </c>
      <c r="C1975" s="24" t="s">
        <v>235</v>
      </c>
      <c r="D1975" s="24" t="s">
        <v>66</v>
      </c>
      <c r="E1975" s="24" t="n">
        <v>133</v>
      </c>
      <c r="F1975" s="25" t="n">
        <v>5000</v>
      </c>
      <c r="G1975" s="24" t="s">
        <v>59</v>
      </c>
      <c r="H1975" s="24" t="s">
        <v>80</v>
      </c>
      <c r="I1975" s="24" t="s">
        <v>61</v>
      </c>
      <c r="J1975" s="26" t="n">
        <f aca="false">IF(A1975="","",YEAR(A1975))</f>
        <v>2026</v>
      </c>
      <c r="K1975" s="26" t="n">
        <f aca="false">IF(A1975="","",MONTH(A1975))</f>
        <v>6</v>
      </c>
      <c r="L1975" s="26" t="n">
        <f aca="false">IF(B1975="","",VALUE(LEFT(B1975,2)))</f>
        <v>8</v>
      </c>
      <c r="M1975" s="26" t="n">
        <f aca="false">IF(A1975="","",IF(COUNTIFS($C$2:$C$5001,C1975,$J$2:$J$5001,J1975,$A$2:$A$5001,"&lt;"&amp;A1975)=0,1,0))</f>
        <v>0</v>
      </c>
    </row>
    <row r="1976" customFormat="false" ht="15" hidden="false" customHeight="false" outlineLevel="0" collapsed="false">
      <c r="A1976" s="23" t="n">
        <v>46195.5013888889</v>
      </c>
      <c r="B1976" s="24" t="s">
        <v>1013</v>
      </c>
      <c r="C1976" s="24" t="s">
        <v>78</v>
      </c>
      <c r="D1976" s="24" t="s">
        <v>53</v>
      </c>
      <c r="E1976" s="24" t="n">
        <v>279</v>
      </c>
      <c r="F1976" s="25" t="n">
        <v>5000</v>
      </c>
      <c r="G1976" s="24" t="s">
        <v>79</v>
      </c>
      <c r="H1976" s="24" t="s">
        <v>55</v>
      </c>
      <c r="I1976" s="24" t="s">
        <v>61</v>
      </c>
      <c r="J1976" s="26" t="n">
        <f aca="false">IF(A1976="","",YEAR(A1976))</f>
        <v>2026</v>
      </c>
      <c r="K1976" s="26" t="n">
        <f aca="false">IF(A1976="","",MONTH(A1976))</f>
        <v>6</v>
      </c>
      <c r="L1976" s="26" t="n">
        <f aca="false">IF(B1976="","",VALUE(LEFT(B1976,2)))</f>
        <v>7</v>
      </c>
      <c r="M1976" s="26" t="n">
        <f aca="false">IF(A1976="","",IF(COUNTIFS($C$2:$C$5001,C1976,$J$2:$J$5001,J1976,$A$2:$A$5001,"&lt;"&amp;A1976)=0,1,0))</f>
        <v>0</v>
      </c>
    </row>
    <row r="1977" customFormat="false" ht="15" hidden="false" customHeight="false" outlineLevel="0" collapsed="false">
      <c r="A1977" s="23" t="n">
        <v>46195.5534722222</v>
      </c>
      <c r="B1977" s="24" t="s">
        <v>117</v>
      </c>
      <c r="C1977" s="24" t="s">
        <v>309</v>
      </c>
      <c r="D1977" s="24" t="s">
        <v>88</v>
      </c>
      <c r="E1977" s="24" t="n">
        <v>415</v>
      </c>
      <c r="F1977" s="25" t="n">
        <v>21000</v>
      </c>
      <c r="G1977" s="24" t="s">
        <v>59</v>
      </c>
      <c r="H1977" s="24" t="s">
        <v>55</v>
      </c>
      <c r="I1977" s="24" t="s">
        <v>61</v>
      </c>
      <c r="J1977" s="26" t="n">
        <f aca="false">IF(A1977="","",YEAR(A1977))</f>
        <v>2026</v>
      </c>
      <c r="K1977" s="26" t="n">
        <f aca="false">IF(A1977="","",MONTH(A1977))</f>
        <v>6</v>
      </c>
      <c r="L1977" s="26" t="n">
        <f aca="false">IF(B1977="","",VALUE(LEFT(B1977,2)))</f>
        <v>6</v>
      </c>
      <c r="M1977" s="26" t="n">
        <f aca="false">IF(A1977="","",IF(COUNTIFS($C$2:$C$5001,C1977,$J$2:$J$5001,J1977,$A$2:$A$5001,"&lt;"&amp;A1977)=0,1,0))</f>
        <v>0</v>
      </c>
    </row>
    <row r="1978" customFormat="false" ht="15" hidden="false" customHeight="false" outlineLevel="0" collapsed="false">
      <c r="A1978" s="23" t="n">
        <v>46195.65</v>
      </c>
      <c r="B1978" s="24" t="s">
        <v>490</v>
      </c>
      <c r="C1978" s="24" t="s">
        <v>220</v>
      </c>
      <c r="D1978" s="24" t="s">
        <v>72</v>
      </c>
      <c r="E1978" s="24" t="n">
        <v>159</v>
      </c>
      <c r="F1978" s="25" t="n">
        <v>12000</v>
      </c>
      <c r="G1978" s="24" t="s">
        <v>79</v>
      </c>
      <c r="H1978" s="24" t="s">
        <v>80</v>
      </c>
      <c r="I1978" s="24" t="s">
        <v>61</v>
      </c>
      <c r="J1978" s="26" t="n">
        <f aca="false">IF(A1978="","",YEAR(A1978))</f>
        <v>2026</v>
      </c>
      <c r="K1978" s="26" t="n">
        <f aca="false">IF(A1978="","",MONTH(A1978))</f>
        <v>6</v>
      </c>
      <c r="L1978" s="26" t="n">
        <f aca="false">IF(B1978="","",VALUE(LEFT(B1978,2)))</f>
        <v>12</v>
      </c>
      <c r="M1978" s="26" t="n">
        <f aca="false">IF(A1978="","",IF(COUNTIFS($C$2:$C$5001,C1978,$J$2:$J$5001,J1978,$A$2:$A$5001,"&lt;"&amp;A1978)=0,1,0))</f>
        <v>0</v>
      </c>
    </row>
    <row r="1979" customFormat="false" ht="15" hidden="false" customHeight="false" outlineLevel="0" collapsed="false">
      <c r="A1979" s="23" t="n">
        <v>46195.8354166667</v>
      </c>
      <c r="B1979" s="24" t="s">
        <v>779</v>
      </c>
      <c r="C1979" s="24" t="s">
        <v>463</v>
      </c>
      <c r="D1979" s="24" t="s">
        <v>66</v>
      </c>
      <c r="E1979" s="24" t="n">
        <v>365</v>
      </c>
      <c r="F1979" s="25" t="n">
        <v>13000</v>
      </c>
      <c r="G1979" s="24" t="s">
        <v>59</v>
      </c>
      <c r="H1979" s="24" t="s">
        <v>55</v>
      </c>
      <c r="I1979" s="24" t="s">
        <v>61</v>
      </c>
      <c r="J1979" s="26" t="n">
        <f aca="false">IF(A1979="","",YEAR(A1979))</f>
        <v>2026</v>
      </c>
      <c r="K1979" s="26" t="n">
        <f aca="false">IF(A1979="","",MONTH(A1979))</f>
        <v>6</v>
      </c>
      <c r="L1979" s="26" t="n">
        <f aca="false">IF(B1979="","",VALUE(LEFT(B1979,2)))</f>
        <v>13</v>
      </c>
      <c r="M1979" s="26" t="n">
        <f aca="false">IF(A1979="","",IF(COUNTIFS($C$2:$C$5001,C1979,$J$2:$J$5001,J1979,$A$2:$A$5001,"&lt;"&amp;A1979)=0,1,0))</f>
        <v>0</v>
      </c>
    </row>
    <row r="1980" customFormat="false" ht="15" hidden="false" customHeight="false" outlineLevel="0" collapsed="false">
      <c r="A1980" s="23" t="n">
        <v>46196.1111111111</v>
      </c>
      <c r="B1980" s="24" t="s">
        <v>446</v>
      </c>
      <c r="C1980" s="24" t="s">
        <v>593</v>
      </c>
      <c r="D1980" s="24" t="s">
        <v>53</v>
      </c>
      <c r="E1980" s="24" t="n">
        <v>383</v>
      </c>
      <c r="F1980" s="25" t="n">
        <v>6500</v>
      </c>
      <c r="G1980" s="24" t="s">
        <v>59</v>
      </c>
      <c r="H1980" s="24" t="s">
        <v>80</v>
      </c>
      <c r="I1980" s="24" t="s">
        <v>61</v>
      </c>
      <c r="J1980" s="26" t="n">
        <f aca="false">IF(A1980="","",YEAR(A1980))</f>
        <v>2026</v>
      </c>
      <c r="K1980" s="26" t="n">
        <f aca="false">IF(A1980="","",MONTH(A1980))</f>
        <v>6</v>
      </c>
      <c r="L1980" s="26" t="n">
        <f aca="false">IF(B1980="","",VALUE(LEFT(B1980,2)))</f>
        <v>20</v>
      </c>
      <c r="M1980" s="26" t="n">
        <f aca="false">IF(A1980="","",IF(COUNTIFS($C$2:$C$5001,C1980,$J$2:$J$5001,J1980,$A$2:$A$5001,"&lt;"&amp;A1980)=0,1,0))</f>
        <v>0</v>
      </c>
    </row>
    <row r="1981" customFormat="false" ht="15" hidden="false" customHeight="false" outlineLevel="0" collapsed="false">
      <c r="A1981" s="23" t="n">
        <v>46196.4576388889</v>
      </c>
      <c r="B1981" s="24" t="s">
        <v>524</v>
      </c>
      <c r="C1981" s="24" t="s">
        <v>263</v>
      </c>
      <c r="D1981" s="24" t="s">
        <v>66</v>
      </c>
      <c r="E1981" s="24" t="n">
        <v>224</v>
      </c>
      <c r="F1981" s="25" t="n">
        <v>8000</v>
      </c>
      <c r="G1981" s="24" t="s">
        <v>59</v>
      </c>
      <c r="H1981" s="24" t="s">
        <v>60</v>
      </c>
      <c r="I1981" s="24" t="s">
        <v>61</v>
      </c>
      <c r="J1981" s="26" t="n">
        <f aca="false">IF(A1981="","",YEAR(A1981))</f>
        <v>2026</v>
      </c>
      <c r="K1981" s="26" t="n">
        <f aca="false">IF(A1981="","",MONTH(A1981))</f>
        <v>6</v>
      </c>
      <c r="L1981" s="26" t="n">
        <f aca="false">IF(B1981="","",VALUE(LEFT(B1981,2)))</f>
        <v>7</v>
      </c>
      <c r="M1981" s="26" t="n">
        <f aca="false">IF(A1981="","",IF(COUNTIFS($C$2:$C$5001,C1981,$J$2:$J$5001,J1981,$A$2:$A$5001,"&lt;"&amp;A1981)=0,1,0))</f>
        <v>0</v>
      </c>
    </row>
    <row r="1982" customFormat="false" ht="15" hidden="false" customHeight="false" outlineLevel="0" collapsed="false">
      <c r="A1982" s="23" t="n">
        <v>46196.6798611111</v>
      </c>
      <c r="B1982" s="24" t="s">
        <v>959</v>
      </c>
      <c r="C1982" s="24" t="s">
        <v>271</v>
      </c>
      <c r="D1982" s="24" t="s">
        <v>66</v>
      </c>
      <c r="E1982" s="24" t="n">
        <v>214</v>
      </c>
      <c r="F1982" s="25" t="n">
        <v>8000</v>
      </c>
      <c r="G1982" s="24" t="s">
        <v>69</v>
      </c>
      <c r="H1982" s="24" t="s">
        <v>55</v>
      </c>
      <c r="I1982" s="24" t="s">
        <v>61</v>
      </c>
      <c r="J1982" s="26" t="n">
        <f aca="false">IF(A1982="","",YEAR(A1982))</f>
        <v>2026</v>
      </c>
      <c r="K1982" s="26" t="n">
        <f aca="false">IF(A1982="","",MONTH(A1982))</f>
        <v>6</v>
      </c>
      <c r="L1982" s="26" t="n">
        <f aca="false">IF(B1982="","",VALUE(LEFT(B1982,2)))</f>
        <v>12</v>
      </c>
      <c r="M1982" s="26" t="n">
        <f aca="false">IF(A1982="","",IF(COUNTIFS($C$2:$C$5001,C1982,$J$2:$J$5001,J1982,$A$2:$A$5001,"&lt;"&amp;A1982)=0,1,0))</f>
        <v>0</v>
      </c>
    </row>
    <row r="1983" customFormat="false" ht="15" hidden="false" customHeight="false" outlineLevel="0" collapsed="false">
      <c r="A1983" s="23" t="n">
        <v>46196.9138888889</v>
      </c>
      <c r="B1983" s="24" t="s">
        <v>1012</v>
      </c>
      <c r="C1983" s="24" t="s">
        <v>578</v>
      </c>
      <c r="D1983" s="24" t="s">
        <v>72</v>
      </c>
      <c r="E1983" s="24" t="n">
        <v>67</v>
      </c>
      <c r="F1983" s="25" t="n">
        <v>6000</v>
      </c>
      <c r="G1983" s="24" t="s">
        <v>59</v>
      </c>
      <c r="H1983" s="24" t="s">
        <v>55</v>
      </c>
      <c r="I1983" s="24" t="s">
        <v>61</v>
      </c>
      <c r="J1983" s="26" t="n">
        <f aca="false">IF(A1983="","",YEAR(A1983))</f>
        <v>2026</v>
      </c>
      <c r="K1983" s="26" t="n">
        <f aca="false">IF(A1983="","",MONTH(A1983))</f>
        <v>6</v>
      </c>
      <c r="L1983" s="26" t="n">
        <f aca="false">IF(B1983="","",VALUE(LEFT(B1983,2)))</f>
        <v>20</v>
      </c>
      <c r="M1983" s="26" t="n">
        <f aca="false">IF(A1983="","",IF(COUNTIFS($C$2:$C$5001,C1983,$J$2:$J$5001,J1983,$A$2:$A$5001,"&lt;"&amp;A1983)=0,1,0))</f>
        <v>0</v>
      </c>
    </row>
    <row r="1984" customFormat="false" ht="15" hidden="false" customHeight="false" outlineLevel="0" collapsed="false">
      <c r="A1984" s="23" t="n">
        <v>46196.9520833333</v>
      </c>
      <c r="B1984" s="24" t="s">
        <v>686</v>
      </c>
      <c r="C1984" s="24" t="s">
        <v>467</v>
      </c>
      <c r="D1984" s="24" t="s">
        <v>66</v>
      </c>
      <c r="E1984" s="24" t="n">
        <v>338</v>
      </c>
      <c r="F1984" s="25" t="n">
        <v>12000</v>
      </c>
      <c r="G1984" s="24" t="s">
        <v>69</v>
      </c>
      <c r="H1984" s="24" t="s">
        <v>60</v>
      </c>
      <c r="I1984" s="24" t="s">
        <v>61</v>
      </c>
      <c r="J1984" s="26" t="n">
        <f aca="false">IF(A1984="","",YEAR(A1984))</f>
        <v>2026</v>
      </c>
      <c r="K1984" s="26" t="n">
        <f aca="false">IF(A1984="","",MONTH(A1984))</f>
        <v>6</v>
      </c>
      <c r="L1984" s="26" t="n">
        <f aca="false">IF(B1984="","",VALUE(LEFT(B1984,2)))</f>
        <v>17</v>
      </c>
      <c r="M1984" s="26" t="n">
        <f aca="false">IF(A1984="","",IF(COUNTIFS($C$2:$C$5001,C1984,$J$2:$J$5001,J1984,$A$2:$A$5001,"&lt;"&amp;A1984)=0,1,0))</f>
        <v>0</v>
      </c>
    </row>
    <row r="1985" customFormat="false" ht="15" hidden="false" customHeight="false" outlineLevel="0" collapsed="false">
      <c r="A1985" s="23" t="n">
        <v>46197.5479166667</v>
      </c>
      <c r="B1985" s="24" t="s">
        <v>242</v>
      </c>
      <c r="C1985" s="24" t="s">
        <v>129</v>
      </c>
      <c r="D1985" s="24" t="s">
        <v>66</v>
      </c>
      <c r="E1985" s="24" t="n">
        <v>386</v>
      </c>
      <c r="F1985" s="25" t="n">
        <v>13000</v>
      </c>
      <c r="G1985" s="24" t="s">
        <v>59</v>
      </c>
      <c r="H1985" s="24" t="s">
        <v>60</v>
      </c>
      <c r="I1985" s="24" t="s">
        <v>61</v>
      </c>
      <c r="J1985" s="26" t="n">
        <f aca="false">IF(A1985="","",YEAR(A1985))</f>
        <v>2026</v>
      </c>
      <c r="K1985" s="26" t="n">
        <f aca="false">IF(A1985="","",MONTH(A1985))</f>
        <v>6</v>
      </c>
      <c r="L1985" s="26" t="n">
        <f aca="false">IF(B1985="","",VALUE(LEFT(B1985,2)))</f>
        <v>6</v>
      </c>
      <c r="M1985" s="26" t="n">
        <f aca="false">IF(A1985="","",IF(COUNTIFS($C$2:$C$5001,C1985,$J$2:$J$5001,J1985,$A$2:$A$5001,"&lt;"&amp;A1985)=0,1,0))</f>
        <v>0</v>
      </c>
    </row>
    <row r="1986" customFormat="false" ht="15" hidden="false" customHeight="false" outlineLevel="0" collapsed="false">
      <c r="A1986" s="23" t="n">
        <v>46197.7291666667</v>
      </c>
      <c r="B1986" s="24" t="s">
        <v>460</v>
      </c>
      <c r="C1986" s="24" t="s">
        <v>546</v>
      </c>
      <c r="D1986" s="24" t="s">
        <v>53</v>
      </c>
      <c r="E1986" s="24" t="n">
        <v>270</v>
      </c>
      <c r="F1986" s="25" t="n">
        <v>4500</v>
      </c>
      <c r="G1986" s="24" t="s">
        <v>59</v>
      </c>
      <c r="H1986" s="24" t="s">
        <v>80</v>
      </c>
      <c r="I1986" s="24" t="s">
        <v>61</v>
      </c>
      <c r="J1986" s="26" t="n">
        <f aca="false">IF(A1986="","",YEAR(A1986))</f>
        <v>2026</v>
      </c>
      <c r="K1986" s="26" t="n">
        <f aca="false">IF(A1986="","",MONTH(A1986))</f>
        <v>6</v>
      </c>
      <c r="L1986" s="26" t="n">
        <f aca="false">IF(B1986="","",VALUE(LEFT(B1986,2)))</f>
        <v>13</v>
      </c>
      <c r="M1986" s="26" t="n">
        <f aca="false">IF(A1986="","",IF(COUNTIFS($C$2:$C$5001,C1986,$J$2:$J$5001,J1986,$A$2:$A$5001,"&lt;"&amp;A1986)=0,1,0))</f>
        <v>0</v>
      </c>
    </row>
    <row r="1987" customFormat="false" ht="15" hidden="false" customHeight="false" outlineLevel="0" collapsed="false">
      <c r="A1987" s="23" t="n">
        <v>46197.7625</v>
      </c>
      <c r="B1987" s="24" t="s">
        <v>1014</v>
      </c>
      <c r="C1987" s="24" t="s">
        <v>154</v>
      </c>
      <c r="D1987" s="24" t="s">
        <v>88</v>
      </c>
      <c r="E1987" s="24" t="n">
        <v>200</v>
      </c>
      <c r="F1987" s="25" t="n">
        <v>8925</v>
      </c>
      <c r="G1987" s="24" t="s">
        <v>59</v>
      </c>
      <c r="H1987" s="24" t="s">
        <v>60</v>
      </c>
      <c r="I1987" s="24" t="s">
        <v>113</v>
      </c>
      <c r="J1987" s="26" t="n">
        <f aca="false">IF(A1987="","",YEAR(A1987))</f>
        <v>2026</v>
      </c>
      <c r="K1987" s="26" t="n">
        <f aca="false">IF(A1987="","",MONTH(A1987))</f>
        <v>6</v>
      </c>
      <c r="L1987" s="26" t="n">
        <f aca="false">IF(B1987="","",VALUE(LEFT(B1987,2)))</f>
        <v>14</v>
      </c>
      <c r="M1987" s="26" t="n">
        <f aca="false">IF(A1987="","",IF(COUNTIFS($C$2:$C$5001,C1987,$J$2:$J$5001,J1987,$A$2:$A$5001,"&lt;"&amp;A1987)=0,1,0))</f>
        <v>1</v>
      </c>
    </row>
    <row r="1988" customFormat="false" ht="15" hidden="false" customHeight="false" outlineLevel="0" collapsed="false">
      <c r="A1988" s="23" t="n">
        <v>46197.7861111111</v>
      </c>
      <c r="B1988" s="24" t="s">
        <v>119</v>
      </c>
      <c r="C1988" s="24" t="s">
        <v>367</v>
      </c>
      <c r="D1988" s="24" t="s">
        <v>66</v>
      </c>
      <c r="E1988" s="24" t="n">
        <v>312</v>
      </c>
      <c r="F1988" s="25" t="n">
        <v>0</v>
      </c>
      <c r="G1988" s="24" t="s">
        <v>59</v>
      </c>
      <c r="H1988" s="24" t="s">
        <v>80</v>
      </c>
      <c r="I1988" s="24" t="s">
        <v>56</v>
      </c>
      <c r="J1988" s="26" t="n">
        <f aca="false">IF(A1988="","",YEAR(A1988))</f>
        <v>2026</v>
      </c>
      <c r="K1988" s="26" t="n">
        <f aca="false">IF(A1988="","",MONTH(A1988))</f>
        <v>6</v>
      </c>
      <c r="L1988" s="26" t="n">
        <f aca="false">IF(B1988="","",VALUE(LEFT(B1988,2)))</f>
        <v>13</v>
      </c>
      <c r="M1988" s="26" t="n">
        <f aca="false">IF(A1988="","",IF(COUNTIFS($C$2:$C$5001,C1988,$J$2:$J$5001,J1988,$A$2:$A$5001,"&lt;"&amp;A1988)=0,1,0))</f>
        <v>0</v>
      </c>
    </row>
    <row r="1989" customFormat="false" ht="15" hidden="false" customHeight="false" outlineLevel="0" collapsed="false">
      <c r="A1989" s="23" t="n">
        <v>46197.93125</v>
      </c>
      <c r="B1989" s="24" t="s">
        <v>992</v>
      </c>
      <c r="C1989" s="24" t="s">
        <v>345</v>
      </c>
      <c r="D1989" s="24" t="s">
        <v>66</v>
      </c>
      <c r="E1989" s="24" t="n">
        <v>111</v>
      </c>
      <c r="F1989" s="25" t="n">
        <v>4000</v>
      </c>
      <c r="G1989" s="24" t="s">
        <v>59</v>
      </c>
      <c r="H1989" s="24" t="s">
        <v>55</v>
      </c>
      <c r="I1989" s="24" t="s">
        <v>61</v>
      </c>
      <c r="J1989" s="26" t="n">
        <f aca="false">IF(A1989="","",YEAR(A1989))</f>
        <v>2026</v>
      </c>
      <c r="K1989" s="26" t="n">
        <f aca="false">IF(A1989="","",MONTH(A1989))</f>
        <v>6</v>
      </c>
      <c r="L1989" s="26" t="n">
        <f aca="false">IF(B1989="","",VALUE(LEFT(B1989,2)))</f>
        <v>20</v>
      </c>
      <c r="M1989" s="26" t="n">
        <f aca="false">IF(A1989="","",IF(COUNTIFS($C$2:$C$5001,C1989,$J$2:$J$5001,J1989,$A$2:$A$5001,"&lt;"&amp;A1989)=0,1,0))</f>
        <v>0</v>
      </c>
    </row>
    <row r="1990" customFormat="false" ht="15" hidden="false" customHeight="false" outlineLevel="0" collapsed="false">
      <c r="A1990" s="23" t="n">
        <v>46198.3798611111</v>
      </c>
      <c r="B1990" s="24" t="s">
        <v>137</v>
      </c>
      <c r="C1990" s="24" t="s">
        <v>168</v>
      </c>
      <c r="D1990" s="24" t="s">
        <v>53</v>
      </c>
      <c r="E1990" s="24" t="n">
        <v>24</v>
      </c>
      <c r="F1990" s="25" t="n">
        <v>500</v>
      </c>
      <c r="G1990" s="24" t="s">
        <v>59</v>
      </c>
      <c r="H1990" s="24" t="s">
        <v>60</v>
      </c>
      <c r="I1990" s="24" t="s">
        <v>61</v>
      </c>
      <c r="J1990" s="26" t="n">
        <f aca="false">IF(A1990="","",YEAR(A1990))</f>
        <v>2026</v>
      </c>
      <c r="K1990" s="26" t="n">
        <f aca="false">IF(A1990="","",MONTH(A1990))</f>
        <v>6</v>
      </c>
      <c r="L1990" s="26" t="n">
        <f aca="false">IF(B1990="","",VALUE(LEFT(B1990,2)))</f>
        <v>8</v>
      </c>
      <c r="M1990" s="26" t="n">
        <f aca="false">IF(A1990="","",IF(COUNTIFS($C$2:$C$5001,C1990,$J$2:$J$5001,J1990,$A$2:$A$5001,"&lt;"&amp;A1990)=0,1,0))</f>
        <v>0</v>
      </c>
    </row>
    <row r="1991" customFormat="false" ht="15" hidden="false" customHeight="false" outlineLevel="0" collapsed="false">
      <c r="A1991" s="23" t="n">
        <v>46198.9666666667</v>
      </c>
      <c r="B1991" s="24" t="s">
        <v>1015</v>
      </c>
      <c r="C1991" s="24" t="s">
        <v>85</v>
      </c>
      <c r="D1991" s="24" t="s">
        <v>66</v>
      </c>
      <c r="E1991" s="24" t="n">
        <v>413</v>
      </c>
      <c r="F1991" s="25" t="n">
        <v>14000</v>
      </c>
      <c r="G1991" s="24" t="s">
        <v>59</v>
      </c>
      <c r="H1991" s="24" t="s">
        <v>55</v>
      </c>
      <c r="I1991" s="24" t="s">
        <v>61</v>
      </c>
      <c r="J1991" s="26" t="n">
        <f aca="false">IF(A1991="","",YEAR(A1991))</f>
        <v>2026</v>
      </c>
      <c r="K1991" s="26" t="n">
        <f aca="false">IF(A1991="","",MONTH(A1991))</f>
        <v>6</v>
      </c>
      <c r="L1991" s="26" t="n">
        <f aca="false">IF(B1991="","",VALUE(LEFT(B1991,2)))</f>
        <v>16</v>
      </c>
      <c r="M1991" s="26" t="n">
        <f aca="false">IF(A1991="","",IF(COUNTIFS($C$2:$C$5001,C1991,$J$2:$J$5001,J1991,$A$2:$A$5001,"&lt;"&amp;A1991)=0,1,0))</f>
        <v>0</v>
      </c>
    </row>
    <row r="1992" customFormat="false" ht="15" hidden="false" customHeight="false" outlineLevel="0" collapsed="false">
      <c r="A1992" s="23" t="n">
        <v>46199.0159722222</v>
      </c>
      <c r="B1992" s="24" t="s">
        <v>723</v>
      </c>
      <c r="C1992" s="24" t="s">
        <v>186</v>
      </c>
      <c r="D1992" s="24" t="s">
        <v>53</v>
      </c>
      <c r="E1992" s="24" t="n">
        <v>324</v>
      </c>
      <c r="F1992" s="25" t="n">
        <v>5500</v>
      </c>
      <c r="G1992" s="24" t="s">
        <v>59</v>
      </c>
      <c r="H1992" s="24" t="s">
        <v>60</v>
      </c>
      <c r="I1992" s="24" t="s">
        <v>61</v>
      </c>
      <c r="J1992" s="26" t="n">
        <f aca="false">IF(A1992="","",YEAR(A1992))</f>
        <v>2026</v>
      </c>
      <c r="K1992" s="26" t="n">
        <f aca="false">IF(A1992="","",MONTH(A1992))</f>
        <v>6</v>
      </c>
      <c r="L1992" s="26" t="n">
        <f aca="false">IF(B1992="","",VALUE(LEFT(B1992,2)))</f>
        <v>18</v>
      </c>
      <c r="M1992" s="26" t="n">
        <f aca="false">IF(A1992="","",IF(COUNTIFS($C$2:$C$5001,C1992,$J$2:$J$5001,J1992,$A$2:$A$5001,"&lt;"&amp;A1992)=0,1,0))</f>
        <v>0</v>
      </c>
    </row>
    <row r="1993" customFormat="false" ht="15" hidden="false" customHeight="false" outlineLevel="0" collapsed="false">
      <c r="A1993" s="23" t="n">
        <v>46199.1027777778</v>
      </c>
      <c r="B1993" s="24" t="s">
        <v>455</v>
      </c>
      <c r="C1993" s="24" t="s">
        <v>194</v>
      </c>
      <c r="D1993" s="24" t="s">
        <v>53</v>
      </c>
      <c r="E1993" s="24" t="n">
        <v>345</v>
      </c>
      <c r="F1993" s="25" t="n">
        <v>6000</v>
      </c>
      <c r="G1993" s="24" t="s">
        <v>59</v>
      </c>
      <c r="H1993" s="24" t="s">
        <v>80</v>
      </c>
      <c r="I1993" s="24" t="s">
        <v>61</v>
      </c>
      <c r="J1993" s="26" t="n">
        <f aca="false">IF(A1993="","",YEAR(A1993))</f>
        <v>2026</v>
      </c>
      <c r="K1993" s="26" t="n">
        <f aca="false">IF(A1993="","",MONTH(A1993))</f>
        <v>6</v>
      </c>
      <c r="L1993" s="26" t="n">
        <f aca="false">IF(B1993="","",VALUE(LEFT(B1993,2)))</f>
        <v>20</v>
      </c>
      <c r="M1993" s="26" t="n">
        <f aca="false">IF(A1993="","",IF(COUNTIFS($C$2:$C$5001,C1993,$J$2:$J$5001,J1993,$A$2:$A$5001,"&lt;"&amp;A1993)=0,1,0))</f>
        <v>0</v>
      </c>
    </row>
    <row r="1994" customFormat="false" ht="15" hidden="false" customHeight="false" outlineLevel="0" collapsed="false">
      <c r="A1994" s="23" t="n">
        <v>46199.4506944444</v>
      </c>
      <c r="B1994" s="24" t="s">
        <v>379</v>
      </c>
      <c r="C1994" s="24" t="s">
        <v>147</v>
      </c>
      <c r="D1994" s="24" t="s">
        <v>72</v>
      </c>
      <c r="E1994" s="24" t="n">
        <v>236</v>
      </c>
      <c r="F1994" s="25" t="n">
        <v>16000</v>
      </c>
      <c r="G1994" s="24" t="s">
        <v>59</v>
      </c>
      <c r="H1994" s="24" t="s">
        <v>80</v>
      </c>
      <c r="I1994" s="24" t="s">
        <v>61</v>
      </c>
      <c r="J1994" s="26" t="n">
        <f aca="false">IF(A1994="","",YEAR(A1994))</f>
        <v>2026</v>
      </c>
      <c r="K1994" s="26" t="n">
        <f aca="false">IF(A1994="","",MONTH(A1994))</f>
        <v>6</v>
      </c>
      <c r="L1994" s="26" t="n">
        <f aca="false">IF(B1994="","",VALUE(LEFT(B1994,2)))</f>
        <v>6</v>
      </c>
      <c r="M1994" s="26" t="n">
        <f aca="false">IF(A1994="","",IF(COUNTIFS($C$2:$C$5001,C1994,$J$2:$J$5001,J1994,$A$2:$A$5001,"&lt;"&amp;A1994)=0,1,0))</f>
        <v>0</v>
      </c>
    </row>
    <row r="1995" customFormat="false" ht="15" hidden="false" customHeight="false" outlineLevel="0" collapsed="false">
      <c r="A1995" s="23" t="n">
        <v>46199.7138888889</v>
      </c>
      <c r="B1995" s="24" t="s">
        <v>731</v>
      </c>
      <c r="C1995" s="24" t="s">
        <v>160</v>
      </c>
      <c r="D1995" s="24" t="s">
        <v>66</v>
      </c>
      <c r="E1995" s="24" t="n">
        <v>114</v>
      </c>
      <c r="F1995" s="25" t="n">
        <v>4000</v>
      </c>
      <c r="G1995" s="24" t="s">
        <v>54</v>
      </c>
      <c r="H1995" s="24" t="s">
        <v>55</v>
      </c>
      <c r="I1995" s="24" t="s">
        <v>61</v>
      </c>
      <c r="J1995" s="26" t="n">
        <f aca="false">IF(A1995="","",YEAR(A1995))</f>
        <v>2026</v>
      </c>
      <c r="K1995" s="26" t="n">
        <f aca="false">IF(A1995="","",MONTH(A1995))</f>
        <v>6</v>
      </c>
      <c r="L1995" s="26" t="n">
        <f aca="false">IF(B1995="","",VALUE(LEFT(B1995,2)))</f>
        <v>15</v>
      </c>
      <c r="M1995" s="26" t="n">
        <f aca="false">IF(A1995="","",IF(COUNTIFS($C$2:$C$5001,C1995,$J$2:$J$5001,J1995,$A$2:$A$5001,"&lt;"&amp;A1995)=0,1,0))</f>
        <v>0</v>
      </c>
    </row>
    <row r="1996" customFormat="false" ht="15" hidden="false" customHeight="false" outlineLevel="0" collapsed="false">
      <c r="A1996" s="23" t="n">
        <v>46200.3236111111</v>
      </c>
      <c r="B1996" s="24" t="s">
        <v>1016</v>
      </c>
      <c r="C1996" s="24" t="s">
        <v>290</v>
      </c>
      <c r="D1996" s="24" t="s">
        <v>66</v>
      </c>
      <c r="E1996" s="24" t="n">
        <v>94</v>
      </c>
      <c r="F1996" s="25" t="n">
        <v>4000</v>
      </c>
      <c r="G1996" s="24" t="s">
        <v>69</v>
      </c>
      <c r="H1996" s="24" t="s">
        <v>55</v>
      </c>
      <c r="I1996" s="24" t="s">
        <v>61</v>
      </c>
      <c r="J1996" s="26" t="n">
        <f aca="false">IF(A1996="","",YEAR(A1996))</f>
        <v>2026</v>
      </c>
      <c r="K1996" s="26" t="n">
        <f aca="false">IF(A1996="","",MONTH(A1996))</f>
        <v>6</v>
      </c>
      <c r="L1996" s="26" t="n">
        <f aca="false">IF(B1996="","",VALUE(LEFT(B1996,2)))</f>
        <v>6</v>
      </c>
      <c r="M1996" s="26" t="n">
        <f aca="false">IF(A1996="","",IF(COUNTIFS($C$2:$C$5001,C1996,$J$2:$J$5001,J1996,$A$2:$A$5001,"&lt;"&amp;A1996)=0,1,0))</f>
        <v>0</v>
      </c>
    </row>
    <row r="1997" customFormat="false" ht="15" hidden="false" customHeight="false" outlineLevel="0" collapsed="false">
      <c r="A1997" s="23" t="n">
        <v>46200.9284722222</v>
      </c>
      <c r="B1997" s="24" t="s">
        <v>601</v>
      </c>
      <c r="C1997" s="24" t="s">
        <v>475</v>
      </c>
      <c r="D1997" s="24" t="s">
        <v>66</v>
      </c>
      <c r="E1997" s="24" t="n">
        <v>356</v>
      </c>
      <c r="F1997" s="25" t="n">
        <v>0</v>
      </c>
      <c r="G1997" s="24" t="s">
        <v>59</v>
      </c>
      <c r="H1997" s="24" t="s">
        <v>55</v>
      </c>
      <c r="I1997" s="24" t="s">
        <v>56</v>
      </c>
      <c r="J1997" s="26" t="n">
        <f aca="false">IF(A1997="","",YEAR(A1997))</f>
        <v>2026</v>
      </c>
      <c r="K1997" s="26" t="n">
        <f aca="false">IF(A1997="","",MONTH(A1997))</f>
        <v>6</v>
      </c>
      <c r="L1997" s="26" t="n">
        <f aca="false">IF(B1997="","",VALUE(LEFT(B1997,2)))</f>
        <v>16</v>
      </c>
      <c r="M1997" s="26" t="n">
        <f aca="false">IF(A1997="","",IF(COUNTIFS($C$2:$C$5001,C1997,$J$2:$J$5001,J1997,$A$2:$A$5001,"&lt;"&amp;A1997)=0,1,0))</f>
        <v>0</v>
      </c>
    </row>
    <row r="1998" customFormat="false" ht="15" hidden="false" customHeight="false" outlineLevel="0" collapsed="false">
      <c r="A1998" s="23" t="n">
        <v>46200.9340277778</v>
      </c>
      <c r="B1998" s="24" t="s">
        <v>530</v>
      </c>
      <c r="C1998" s="24" t="s">
        <v>71</v>
      </c>
      <c r="D1998" s="24" t="s">
        <v>88</v>
      </c>
      <c r="E1998" s="24" t="n">
        <v>386</v>
      </c>
      <c r="F1998" s="25" t="n">
        <v>19500</v>
      </c>
      <c r="G1998" s="24" t="s">
        <v>69</v>
      </c>
      <c r="H1998" s="24" t="s">
        <v>60</v>
      </c>
      <c r="I1998" s="24" t="s">
        <v>61</v>
      </c>
      <c r="J1998" s="26" t="n">
        <f aca="false">IF(A1998="","",YEAR(A1998))</f>
        <v>2026</v>
      </c>
      <c r="K1998" s="26" t="n">
        <f aca="false">IF(A1998="","",MONTH(A1998))</f>
        <v>6</v>
      </c>
      <c r="L1998" s="26" t="n">
        <f aca="false">IF(B1998="","",VALUE(LEFT(B1998,2)))</f>
        <v>15</v>
      </c>
      <c r="M1998" s="26" t="n">
        <f aca="false">IF(A1998="","",IF(COUNTIFS($C$2:$C$5001,C1998,$J$2:$J$5001,J1998,$A$2:$A$5001,"&lt;"&amp;A1998)=0,1,0))</f>
        <v>0</v>
      </c>
    </row>
    <row r="1999" customFormat="false" ht="15" hidden="false" customHeight="false" outlineLevel="0" collapsed="false">
      <c r="A1999" s="23" t="n">
        <v>46201.3958333333</v>
      </c>
      <c r="B1999" s="24" t="s">
        <v>363</v>
      </c>
      <c r="C1999" s="24" t="s">
        <v>301</v>
      </c>
      <c r="D1999" s="24" t="s">
        <v>53</v>
      </c>
      <c r="E1999" s="24" t="n">
        <v>78</v>
      </c>
      <c r="F1999" s="25" t="n">
        <v>1500</v>
      </c>
      <c r="G1999" s="24" t="s">
        <v>59</v>
      </c>
      <c r="H1999" s="24" t="s">
        <v>80</v>
      </c>
      <c r="I1999" s="24" t="s">
        <v>61</v>
      </c>
      <c r="J1999" s="26" t="n">
        <f aca="false">IF(A1999="","",YEAR(A1999))</f>
        <v>2026</v>
      </c>
      <c r="K1999" s="26" t="n">
        <f aca="false">IF(A1999="","",MONTH(A1999))</f>
        <v>6</v>
      </c>
      <c r="L1999" s="26" t="n">
        <f aca="false">IF(B1999="","",VALUE(LEFT(B1999,2)))</f>
        <v>8</v>
      </c>
      <c r="M1999" s="26" t="n">
        <f aca="false">IF(A1999="","",IF(COUNTIFS($C$2:$C$5001,C1999,$J$2:$J$5001,J1999,$A$2:$A$5001,"&lt;"&amp;A1999)=0,1,0))</f>
        <v>1</v>
      </c>
    </row>
    <row r="2000" customFormat="false" ht="15" hidden="false" customHeight="false" outlineLevel="0" collapsed="false">
      <c r="A2000" s="23" t="n">
        <v>46201.4527777778</v>
      </c>
      <c r="B2000" s="24" t="s">
        <v>495</v>
      </c>
      <c r="C2000" s="24" t="s">
        <v>172</v>
      </c>
      <c r="D2000" s="24" t="s">
        <v>66</v>
      </c>
      <c r="E2000" s="24" t="n">
        <v>38</v>
      </c>
      <c r="F2000" s="25" t="n">
        <v>2000</v>
      </c>
      <c r="G2000" s="24" t="s">
        <v>59</v>
      </c>
      <c r="H2000" s="24" t="s">
        <v>60</v>
      </c>
      <c r="I2000" s="24" t="s">
        <v>61</v>
      </c>
      <c r="J2000" s="26" t="n">
        <f aca="false">IF(A2000="","",YEAR(A2000))</f>
        <v>2026</v>
      </c>
      <c r="K2000" s="26" t="n">
        <f aca="false">IF(A2000="","",MONTH(A2000))</f>
        <v>6</v>
      </c>
      <c r="L2000" s="26" t="n">
        <f aca="false">IF(B2000="","",VALUE(LEFT(B2000,2)))</f>
        <v>10</v>
      </c>
      <c r="M2000" s="26" t="n">
        <f aca="false">IF(A2000="","",IF(COUNTIFS($C$2:$C$5001,C2000,$J$2:$J$5001,J2000,$A$2:$A$5001,"&lt;"&amp;A2000)=0,1,0))</f>
        <v>0</v>
      </c>
    </row>
    <row r="2001" customFormat="false" ht="15" hidden="false" customHeight="false" outlineLevel="0" collapsed="false">
      <c r="A2001" s="23" t="n">
        <v>46202.0347222222</v>
      </c>
      <c r="B2001" s="24" t="s">
        <v>217</v>
      </c>
      <c r="C2001" s="24" t="s">
        <v>174</v>
      </c>
      <c r="D2001" s="24" t="s">
        <v>72</v>
      </c>
      <c r="E2001" s="24" t="n">
        <v>313</v>
      </c>
      <c r="F2001" s="25" t="n">
        <v>22000</v>
      </c>
      <c r="G2001" s="24" t="s">
        <v>59</v>
      </c>
      <c r="H2001" s="24" t="s">
        <v>60</v>
      </c>
      <c r="I2001" s="24" t="s">
        <v>61</v>
      </c>
      <c r="J2001" s="26" t="n">
        <f aca="false">IF(A2001="","",YEAR(A2001))</f>
        <v>2026</v>
      </c>
      <c r="K2001" s="26" t="n">
        <f aca="false">IF(A2001="","",MONTH(A2001))</f>
        <v>6</v>
      </c>
      <c r="L2001" s="26" t="n">
        <f aca="false">IF(B2001="","",VALUE(LEFT(B2001,2)))</f>
        <v>19</v>
      </c>
      <c r="M2001" s="26" t="n">
        <f aca="false">IF(A2001="","",IF(COUNTIFS($C$2:$C$5001,C2001,$J$2:$J$5001,J2001,$A$2:$A$5001,"&lt;"&amp;A2001)=0,1,0))</f>
        <v>0</v>
      </c>
    </row>
    <row r="2002" customFormat="false" ht="15" hidden="false" customHeight="false" outlineLevel="0" collapsed="false">
      <c r="A2002" s="23" t="n">
        <v>46204.3819444445</v>
      </c>
      <c r="B2002" s="24" t="s">
        <v>202</v>
      </c>
      <c r="C2002" s="24" t="s">
        <v>253</v>
      </c>
      <c r="D2002" s="24" t="s">
        <v>72</v>
      </c>
      <c r="E2002" s="24" t="n">
        <v>100</v>
      </c>
      <c r="F2002" s="25" t="n">
        <v>8000</v>
      </c>
      <c r="G2002" s="24" t="s">
        <v>59</v>
      </c>
      <c r="H2002" s="24" t="s">
        <v>60</v>
      </c>
      <c r="I2002" s="24" t="s">
        <v>61</v>
      </c>
      <c r="J2002" s="26" t="n">
        <f aca="false">IF(A2002="","",YEAR(A2002))</f>
        <v>2026</v>
      </c>
      <c r="K2002" s="26" t="n">
        <f aca="false">IF(A2002="","",MONTH(A2002))</f>
        <v>7</v>
      </c>
      <c r="L2002" s="26" t="n">
        <f aca="false">IF(B2002="","",VALUE(LEFT(B2002,2)))</f>
        <v>7</v>
      </c>
      <c r="M2002" s="26" t="n">
        <f aca="false">IF(A2002="","",IF(COUNTIFS($C$2:$C$5001,C2002,$J$2:$J$5001,J2002,$A$2:$A$5001,"&lt;"&amp;A2002)=0,1,0))</f>
        <v>1</v>
      </c>
    </row>
    <row r="2003" customFormat="false" ht="15" hidden="false" customHeight="false" outlineLevel="0" collapsed="false">
      <c r="A2003" s="23" t="n">
        <v>46204.4458333333</v>
      </c>
      <c r="B2003" s="24" t="s">
        <v>388</v>
      </c>
      <c r="C2003" s="24" t="s">
        <v>152</v>
      </c>
      <c r="D2003" s="24" t="s">
        <v>88</v>
      </c>
      <c r="E2003" s="24" t="n">
        <v>212</v>
      </c>
      <c r="F2003" s="25" t="n">
        <v>12000</v>
      </c>
      <c r="G2003" s="24" t="s">
        <v>59</v>
      </c>
      <c r="H2003" s="24" t="s">
        <v>60</v>
      </c>
      <c r="I2003" s="24" t="s">
        <v>61</v>
      </c>
      <c r="J2003" s="26" t="n">
        <f aca="false">IF(A2003="","",YEAR(A2003))</f>
        <v>2026</v>
      </c>
      <c r="K2003" s="26" t="n">
        <f aca="false">IF(A2003="","",MONTH(A2003))</f>
        <v>7</v>
      </c>
      <c r="L2003" s="26" t="n">
        <f aca="false">IF(B2003="","",VALUE(LEFT(B2003,2)))</f>
        <v>7</v>
      </c>
      <c r="M2003" s="26" t="n">
        <f aca="false">IF(A2003="","",IF(COUNTIFS($C$2:$C$5001,C2003,$J$2:$J$5001,J2003,$A$2:$A$5001,"&lt;"&amp;A2003)=0,1,0))</f>
        <v>0</v>
      </c>
    </row>
    <row r="2004" customFormat="false" ht="15" hidden="false" customHeight="false" outlineLevel="0" collapsed="false">
      <c r="A2004" s="23" t="n">
        <v>46204.6694444444</v>
      </c>
      <c r="B2004" s="24" t="s">
        <v>139</v>
      </c>
      <c r="C2004" s="24" t="s">
        <v>156</v>
      </c>
      <c r="D2004" s="24" t="s">
        <v>53</v>
      </c>
      <c r="E2004" s="24" t="n">
        <v>115</v>
      </c>
      <c r="F2004" s="25" t="n">
        <v>2000</v>
      </c>
      <c r="G2004" s="24" t="s">
        <v>83</v>
      </c>
      <c r="H2004" s="24" t="s">
        <v>60</v>
      </c>
      <c r="I2004" s="24" t="s">
        <v>61</v>
      </c>
      <c r="J2004" s="26" t="n">
        <f aca="false">IF(A2004="","",YEAR(A2004))</f>
        <v>2026</v>
      </c>
      <c r="K2004" s="26" t="n">
        <f aca="false">IF(A2004="","",MONTH(A2004))</f>
        <v>7</v>
      </c>
      <c r="L2004" s="26" t="n">
        <f aca="false">IF(B2004="","",VALUE(LEFT(B2004,2)))</f>
        <v>14</v>
      </c>
      <c r="M2004" s="26" t="n">
        <f aca="false">IF(A2004="","",IF(COUNTIFS($C$2:$C$5001,C2004,$J$2:$J$5001,J2004,$A$2:$A$5001,"&lt;"&amp;A2004)=0,1,0))</f>
        <v>0</v>
      </c>
    </row>
    <row r="2005" customFormat="false" ht="15" hidden="false" customHeight="false" outlineLevel="0" collapsed="false">
      <c r="A2005" s="23" t="n">
        <v>46204.7034722222</v>
      </c>
      <c r="B2005" s="24" t="s">
        <v>302</v>
      </c>
      <c r="C2005" s="24" t="s">
        <v>430</v>
      </c>
      <c r="D2005" s="24" t="s">
        <v>53</v>
      </c>
      <c r="E2005" s="24" t="n">
        <v>325</v>
      </c>
      <c r="F2005" s="25" t="n">
        <v>4675</v>
      </c>
      <c r="G2005" s="24" t="s">
        <v>59</v>
      </c>
      <c r="H2005" s="24" t="s">
        <v>60</v>
      </c>
      <c r="I2005" s="24" t="s">
        <v>113</v>
      </c>
      <c r="J2005" s="26" t="n">
        <f aca="false">IF(A2005="","",YEAR(A2005))</f>
        <v>2026</v>
      </c>
      <c r="K2005" s="26" t="n">
        <f aca="false">IF(A2005="","",MONTH(A2005))</f>
        <v>7</v>
      </c>
      <c r="L2005" s="26" t="n">
        <f aca="false">IF(B2005="","",VALUE(LEFT(B2005,2)))</f>
        <v>11</v>
      </c>
      <c r="M2005" s="26" t="n">
        <f aca="false">IF(A2005="","",IF(COUNTIFS($C$2:$C$5001,C2005,$J$2:$J$5001,J2005,$A$2:$A$5001,"&lt;"&amp;A2005)=0,1,0))</f>
        <v>0</v>
      </c>
    </row>
    <row r="2006" customFormat="false" ht="15" hidden="false" customHeight="false" outlineLevel="0" collapsed="false">
      <c r="A2006" s="23" t="n">
        <v>46204.7631944444</v>
      </c>
      <c r="B2006" s="24" t="s">
        <v>362</v>
      </c>
      <c r="C2006" s="24" t="s">
        <v>143</v>
      </c>
      <c r="D2006" s="24" t="s">
        <v>66</v>
      </c>
      <c r="E2006" s="24" t="n">
        <v>321</v>
      </c>
      <c r="F2006" s="25" t="n">
        <v>11000</v>
      </c>
      <c r="G2006" s="24" t="s">
        <v>59</v>
      </c>
      <c r="H2006" s="24" t="s">
        <v>55</v>
      </c>
      <c r="I2006" s="24" t="s">
        <v>61</v>
      </c>
      <c r="J2006" s="26" t="n">
        <f aca="false">IF(A2006="","",YEAR(A2006))</f>
        <v>2026</v>
      </c>
      <c r="K2006" s="26" t="n">
        <f aca="false">IF(A2006="","",MONTH(A2006))</f>
        <v>7</v>
      </c>
      <c r="L2006" s="26" t="n">
        <f aca="false">IF(B2006="","",VALUE(LEFT(B2006,2)))</f>
        <v>12</v>
      </c>
      <c r="M2006" s="26" t="n">
        <f aca="false">IF(A2006="","",IF(COUNTIFS($C$2:$C$5001,C2006,$J$2:$J$5001,J2006,$A$2:$A$5001,"&lt;"&amp;A2006)=0,1,0))</f>
        <v>0</v>
      </c>
    </row>
    <row r="2007" customFormat="false" ht="15" hidden="false" customHeight="false" outlineLevel="0" collapsed="false">
      <c r="A2007" s="23" t="n">
        <v>46204.9486111111</v>
      </c>
      <c r="B2007" s="24" t="s">
        <v>219</v>
      </c>
      <c r="C2007" s="24" t="s">
        <v>578</v>
      </c>
      <c r="D2007" s="24" t="s">
        <v>53</v>
      </c>
      <c r="E2007" s="24" t="n">
        <v>210</v>
      </c>
      <c r="F2007" s="25" t="n">
        <v>3500</v>
      </c>
      <c r="G2007" s="24" t="s">
        <v>59</v>
      </c>
      <c r="H2007" s="24" t="s">
        <v>55</v>
      </c>
      <c r="I2007" s="24" t="s">
        <v>61</v>
      </c>
      <c r="J2007" s="26" t="n">
        <f aca="false">IF(A2007="","",YEAR(A2007))</f>
        <v>2026</v>
      </c>
      <c r="K2007" s="26" t="n">
        <f aca="false">IF(A2007="","",MONTH(A2007))</f>
        <v>7</v>
      </c>
      <c r="L2007" s="26" t="n">
        <f aca="false">IF(B2007="","",VALUE(LEFT(B2007,2)))</f>
        <v>19</v>
      </c>
      <c r="M2007" s="26" t="n">
        <f aca="false">IF(A2007="","",IF(COUNTIFS($C$2:$C$5001,C2007,$J$2:$J$5001,J2007,$A$2:$A$5001,"&lt;"&amp;A2007)=0,1,0))</f>
        <v>0</v>
      </c>
    </row>
    <row r="2008" customFormat="false" ht="15" hidden="false" customHeight="false" outlineLevel="0" collapsed="false">
      <c r="A2008" s="23" t="n">
        <v>46205.3291666667</v>
      </c>
      <c r="B2008" s="24" t="s">
        <v>405</v>
      </c>
      <c r="C2008" s="24" t="s">
        <v>141</v>
      </c>
      <c r="D2008" s="24" t="s">
        <v>53</v>
      </c>
      <c r="E2008" s="24" t="n">
        <v>52</v>
      </c>
      <c r="F2008" s="25" t="n">
        <v>1000</v>
      </c>
      <c r="G2008" s="24" t="s">
        <v>83</v>
      </c>
      <c r="H2008" s="24" t="s">
        <v>80</v>
      </c>
      <c r="I2008" s="24" t="s">
        <v>61</v>
      </c>
      <c r="J2008" s="26" t="n">
        <f aca="false">IF(A2008="","",YEAR(A2008))</f>
        <v>2026</v>
      </c>
      <c r="K2008" s="26" t="n">
        <f aca="false">IF(A2008="","",MONTH(A2008))</f>
        <v>7</v>
      </c>
      <c r="L2008" s="26" t="n">
        <f aca="false">IF(B2008="","",VALUE(LEFT(B2008,2)))</f>
        <v>7</v>
      </c>
      <c r="M2008" s="26" t="n">
        <f aca="false">IF(A2008="","",IF(COUNTIFS($C$2:$C$5001,C2008,$J$2:$J$5001,J2008,$A$2:$A$5001,"&lt;"&amp;A2008)=0,1,0))</f>
        <v>0</v>
      </c>
    </row>
    <row r="2009" customFormat="false" ht="15" hidden="false" customHeight="false" outlineLevel="0" collapsed="false">
      <c r="A2009" s="23" t="n">
        <v>46205.4041666667</v>
      </c>
      <c r="B2009" s="24" t="s">
        <v>282</v>
      </c>
      <c r="C2009" s="24" t="s">
        <v>71</v>
      </c>
      <c r="D2009" s="24" t="s">
        <v>66</v>
      </c>
      <c r="E2009" s="24" t="n">
        <v>52</v>
      </c>
      <c r="F2009" s="25" t="n">
        <v>2000</v>
      </c>
      <c r="G2009" s="24" t="s">
        <v>79</v>
      </c>
      <c r="H2009" s="24" t="s">
        <v>80</v>
      </c>
      <c r="I2009" s="24" t="s">
        <v>61</v>
      </c>
      <c r="J2009" s="26" t="n">
        <f aca="false">IF(A2009="","",YEAR(A2009))</f>
        <v>2026</v>
      </c>
      <c r="K2009" s="26" t="n">
        <f aca="false">IF(A2009="","",MONTH(A2009))</f>
        <v>7</v>
      </c>
      <c r="L2009" s="26" t="n">
        <f aca="false">IF(B2009="","",VALUE(LEFT(B2009,2)))</f>
        <v>8</v>
      </c>
      <c r="M2009" s="26" t="n">
        <f aca="false">IF(A2009="","",IF(COUNTIFS($C$2:$C$5001,C2009,$J$2:$J$5001,J2009,$A$2:$A$5001,"&lt;"&amp;A2009)=0,1,0))</f>
        <v>0</v>
      </c>
    </row>
    <row r="2010" customFormat="false" ht="15" hidden="false" customHeight="false" outlineLevel="0" collapsed="false">
      <c r="A2010" s="23" t="n">
        <v>46205.40625</v>
      </c>
      <c r="B2010" s="24" t="s">
        <v>729</v>
      </c>
      <c r="C2010" s="24" t="s">
        <v>265</v>
      </c>
      <c r="D2010" s="24" t="s">
        <v>53</v>
      </c>
      <c r="E2010" s="24" t="n">
        <v>97</v>
      </c>
      <c r="F2010" s="25" t="n">
        <v>2000</v>
      </c>
      <c r="G2010" s="24" t="s">
        <v>59</v>
      </c>
      <c r="H2010" s="24" t="s">
        <v>80</v>
      </c>
      <c r="I2010" s="24" t="s">
        <v>61</v>
      </c>
      <c r="J2010" s="26" t="n">
        <f aca="false">IF(A2010="","",YEAR(A2010))</f>
        <v>2026</v>
      </c>
      <c r="K2010" s="26" t="n">
        <f aca="false">IF(A2010="","",MONTH(A2010))</f>
        <v>7</v>
      </c>
      <c r="L2010" s="26" t="n">
        <f aca="false">IF(B2010="","",VALUE(LEFT(B2010,2)))</f>
        <v>8</v>
      </c>
      <c r="M2010" s="26" t="n">
        <f aca="false">IF(A2010="","",IF(COUNTIFS($C$2:$C$5001,C2010,$J$2:$J$5001,J2010,$A$2:$A$5001,"&lt;"&amp;A2010)=0,1,0))</f>
        <v>0</v>
      </c>
    </row>
    <row r="2011" customFormat="false" ht="15" hidden="false" customHeight="false" outlineLevel="0" collapsed="false">
      <c r="A2011" s="23" t="n">
        <v>46205.4083333333</v>
      </c>
      <c r="B2011" s="24" t="s">
        <v>620</v>
      </c>
      <c r="C2011" s="24" t="s">
        <v>224</v>
      </c>
      <c r="D2011" s="24" t="s">
        <v>66</v>
      </c>
      <c r="E2011" s="24" t="n">
        <v>74</v>
      </c>
      <c r="F2011" s="25" t="n">
        <v>0</v>
      </c>
      <c r="G2011" s="24" t="s">
        <v>69</v>
      </c>
      <c r="H2011" s="24" t="s">
        <v>80</v>
      </c>
      <c r="I2011" s="24" t="s">
        <v>56</v>
      </c>
      <c r="J2011" s="26" t="n">
        <f aca="false">IF(A2011="","",YEAR(A2011))</f>
        <v>2026</v>
      </c>
      <c r="K2011" s="26" t="n">
        <f aca="false">IF(A2011="","",MONTH(A2011))</f>
        <v>7</v>
      </c>
      <c r="L2011" s="26" t="n">
        <f aca="false">IF(B2011="","",VALUE(LEFT(B2011,2)))</f>
        <v>8</v>
      </c>
      <c r="M2011" s="26" t="n">
        <f aca="false">IF(A2011="","",IF(COUNTIFS($C$2:$C$5001,C2011,$J$2:$J$5001,J2011,$A$2:$A$5001,"&lt;"&amp;A2011)=0,1,0))</f>
        <v>0</v>
      </c>
    </row>
    <row r="2012" customFormat="false" ht="15" hidden="false" customHeight="false" outlineLevel="0" collapsed="false">
      <c r="A2012" s="23" t="n">
        <v>46205.5111111111</v>
      </c>
      <c r="B2012" s="24" t="s">
        <v>548</v>
      </c>
      <c r="C2012" s="24" t="s">
        <v>413</v>
      </c>
      <c r="D2012" s="24" t="s">
        <v>66</v>
      </c>
      <c r="E2012" s="24" t="n">
        <v>189</v>
      </c>
      <c r="F2012" s="25" t="n">
        <v>7000</v>
      </c>
      <c r="G2012" s="24" t="s">
        <v>59</v>
      </c>
      <c r="H2012" s="24" t="s">
        <v>55</v>
      </c>
      <c r="I2012" s="24" t="s">
        <v>61</v>
      </c>
      <c r="J2012" s="26" t="n">
        <f aca="false">IF(A2012="","",YEAR(A2012))</f>
        <v>2026</v>
      </c>
      <c r="K2012" s="26" t="n">
        <f aca="false">IF(A2012="","",MONTH(A2012))</f>
        <v>7</v>
      </c>
      <c r="L2012" s="26" t="n">
        <f aca="false">IF(B2012="","",VALUE(LEFT(B2012,2)))</f>
        <v>9</v>
      </c>
      <c r="M2012" s="26" t="n">
        <f aca="false">IF(A2012="","",IF(COUNTIFS($C$2:$C$5001,C2012,$J$2:$J$5001,J2012,$A$2:$A$5001,"&lt;"&amp;A2012)=0,1,0))</f>
        <v>0</v>
      </c>
    </row>
    <row r="2013" customFormat="false" ht="15" hidden="false" customHeight="false" outlineLevel="0" collapsed="false">
      <c r="A2013" s="23" t="n">
        <v>46205.5868055556</v>
      </c>
      <c r="B2013" s="24" t="s">
        <v>987</v>
      </c>
      <c r="C2013" s="24" t="s">
        <v>265</v>
      </c>
      <c r="D2013" s="24" t="s">
        <v>53</v>
      </c>
      <c r="E2013" s="24" t="n">
        <v>191</v>
      </c>
      <c r="F2013" s="25" t="n">
        <v>2975</v>
      </c>
      <c r="G2013" s="24" t="s">
        <v>59</v>
      </c>
      <c r="H2013" s="24" t="s">
        <v>60</v>
      </c>
      <c r="I2013" s="24" t="s">
        <v>113</v>
      </c>
      <c r="J2013" s="26" t="n">
        <f aca="false">IF(A2013="","",YEAR(A2013))</f>
        <v>2026</v>
      </c>
      <c r="K2013" s="26" t="n">
        <f aca="false">IF(A2013="","",MONTH(A2013))</f>
        <v>7</v>
      </c>
      <c r="L2013" s="26" t="n">
        <f aca="false">IF(B2013="","",VALUE(LEFT(B2013,2)))</f>
        <v>10</v>
      </c>
      <c r="M2013" s="26" t="n">
        <f aca="false">IF(A2013="","",IF(COUNTIFS($C$2:$C$5001,C2013,$J$2:$J$5001,J2013,$A$2:$A$5001,"&lt;"&amp;A2013)=0,1,0))</f>
        <v>0</v>
      </c>
    </row>
    <row r="2014" customFormat="false" ht="15" hidden="false" customHeight="false" outlineLevel="0" collapsed="false">
      <c r="A2014" s="23" t="n">
        <v>46205.6194444444</v>
      </c>
      <c r="B2014" s="24" t="s">
        <v>175</v>
      </c>
      <c r="C2014" s="24" t="s">
        <v>98</v>
      </c>
      <c r="D2014" s="24" t="s">
        <v>53</v>
      </c>
      <c r="E2014" s="24" t="n">
        <v>414</v>
      </c>
      <c r="F2014" s="25" t="n">
        <v>0</v>
      </c>
      <c r="G2014" s="24" t="s">
        <v>69</v>
      </c>
      <c r="H2014" s="24" t="s">
        <v>80</v>
      </c>
      <c r="I2014" s="24" t="s">
        <v>56</v>
      </c>
      <c r="J2014" s="26" t="n">
        <f aca="false">IF(A2014="","",YEAR(A2014))</f>
        <v>2026</v>
      </c>
      <c r="K2014" s="26" t="n">
        <f aca="false">IF(A2014="","",MONTH(A2014))</f>
        <v>7</v>
      </c>
      <c r="L2014" s="26" t="n">
        <f aca="false">IF(B2014="","",VALUE(LEFT(B2014,2)))</f>
        <v>7</v>
      </c>
      <c r="M2014" s="26" t="n">
        <f aca="false">IF(A2014="","",IF(COUNTIFS($C$2:$C$5001,C2014,$J$2:$J$5001,J2014,$A$2:$A$5001,"&lt;"&amp;A2014)=0,1,0))</f>
        <v>0</v>
      </c>
    </row>
    <row r="2015" customFormat="false" ht="15" hidden="false" customHeight="false" outlineLevel="0" collapsed="false">
      <c r="A2015" s="23" t="n">
        <v>46205.8861111111</v>
      </c>
      <c r="B2015" s="24" t="s">
        <v>695</v>
      </c>
      <c r="C2015" s="24" t="s">
        <v>194</v>
      </c>
      <c r="D2015" s="24" t="s">
        <v>53</v>
      </c>
      <c r="E2015" s="24" t="n">
        <v>20</v>
      </c>
      <c r="F2015" s="25" t="n">
        <v>500</v>
      </c>
      <c r="G2015" s="24" t="s">
        <v>59</v>
      </c>
      <c r="H2015" s="24" t="s">
        <v>80</v>
      </c>
      <c r="I2015" s="24" t="s">
        <v>61</v>
      </c>
      <c r="J2015" s="26" t="n">
        <f aca="false">IF(A2015="","",YEAR(A2015))</f>
        <v>2026</v>
      </c>
      <c r="K2015" s="26" t="n">
        <f aca="false">IF(A2015="","",MONTH(A2015))</f>
        <v>7</v>
      </c>
      <c r="L2015" s="26" t="n">
        <f aca="false">IF(B2015="","",VALUE(LEFT(B2015,2)))</f>
        <v>20</v>
      </c>
      <c r="M2015" s="26" t="n">
        <f aca="false">IF(A2015="","",IF(COUNTIFS($C$2:$C$5001,C2015,$J$2:$J$5001,J2015,$A$2:$A$5001,"&lt;"&amp;A2015)=0,1,0))</f>
        <v>0</v>
      </c>
    </row>
    <row r="2016" customFormat="false" ht="15" hidden="false" customHeight="false" outlineLevel="0" collapsed="false">
      <c r="A2016" s="23" t="n">
        <v>46206.5048611111</v>
      </c>
      <c r="B2016" s="24" t="s">
        <v>493</v>
      </c>
      <c r="C2016" s="24" t="s">
        <v>116</v>
      </c>
      <c r="D2016" s="24" t="s">
        <v>66</v>
      </c>
      <c r="E2016" s="24" t="n">
        <v>280</v>
      </c>
      <c r="F2016" s="25" t="n">
        <v>10000</v>
      </c>
      <c r="G2016" s="24" t="s">
        <v>59</v>
      </c>
      <c r="H2016" s="24" t="s">
        <v>55</v>
      </c>
      <c r="I2016" s="24" t="s">
        <v>61</v>
      </c>
      <c r="J2016" s="26" t="n">
        <f aca="false">IF(A2016="","",YEAR(A2016))</f>
        <v>2026</v>
      </c>
      <c r="K2016" s="26" t="n">
        <f aca="false">IF(A2016="","",MONTH(A2016))</f>
        <v>7</v>
      </c>
      <c r="L2016" s="26" t="n">
        <f aca="false">IF(B2016="","",VALUE(LEFT(B2016,2)))</f>
        <v>7</v>
      </c>
      <c r="M2016" s="26" t="n">
        <f aca="false">IF(A2016="","",IF(COUNTIFS($C$2:$C$5001,C2016,$J$2:$J$5001,J2016,$A$2:$A$5001,"&lt;"&amp;A2016)=0,1,0))</f>
        <v>0</v>
      </c>
    </row>
    <row r="2017" customFormat="false" ht="15" hidden="false" customHeight="false" outlineLevel="0" collapsed="false">
      <c r="A2017" s="23" t="n">
        <v>46206.6479166667</v>
      </c>
      <c r="B2017" s="24" t="s">
        <v>340</v>
      </c>
      <c r="C2017" s="24" t="s">
        <v>324</v>
      </c>
      <c r="D2017" s="24" t="s">
        <v>53</v>
      </c>
      <c r="E2017" s="24" t="n">
        <v>307</v>
      </c>
      <c r="F2017" s="25" t="n">
        <v>5500</v>
      </c>
      <c r="G2017" s="24" t="s">
        <v>59</v>
      </c>
      <c r="H2017" s="24" t="s">
        <v>55</v>
      </c>
      <c r="I2017" s="24" t="s">
        <v>61</v>
      </c>
      <c r="J2017" s="26" t="n">
        <f aca="false">IF(A2017="","",YEAR(A2017))</f>
        <v>2026</v>
      </c>
      <c r="K2017" s="26" t="n">
        <f aca="false">IF(A2017="","",MONTH(A2017))</f>
        <v>7</v>
      </c>
      <c r="L2017" s="26" t="n">
        <f aca="false">IF(B2017="","",VALUE(LEFT(B2017,2)))</f>
        <v>10</v>
      </c>
      <c r="M2017" s="26" t="n">
        <f aca="false">IF(A2017="","",IF(COUNTIFS($C$2:$C$5001,C2017,$J$2:$J$5001,J2017,$A$2:$A$5001,"&lt;"&amp;A2017)=0,1,0))</f>
        <v>0</v>
      </c>
    </row>
    <row r="2018" customFormat="false" ht="15" hidden="false" customHeight="false" outlineLevel="0" collapsed="false">
      <c r="A2018" s="23" t="n">
        <v>46206.7548611111</v>
      </c>
      <c r="B2018" s="24" t="s">
        <v>970</v>
      </c>
      <c r="C2018" s="24" t="s">
        <v>71</v>
      </c>
      <c r="D2018" s="24" t="s">
        <v>66</v>
      </c>
      <c r="E2018" s="24" t="n">
        <v>228</v>
      </c>
      <c r="F2018" s="25" t="n">
        <v>8000</v>
      </c>
      <c r="G2018" s="24" t="s">
        <v>54</v>
      </c>
      <c r="H2018" s="24" t="s">
        <v>55</v>
      </c>
      <c r="I2018" s="24" t="s">
        <v>61</v>
      </c>
      <c r="J2018" s="26" t="n">
        <f aca="false">IF(A2018="","",YEAR(A2018))</f>
        <v>2026</v>
      </c>
      <c r="K2018" s="26" t="n">
        <f aca="false">IF(A2018="","",MONTH(A2018))</f>
        <v>7</v>
      </c>
      <c r="L2018" s="26" t="n">
        <f aca="false">IF(B2018="","",VALUE(LEFT(B2018,2)))</f>
        <v>14</v>
      </c>
      <c r="M2018" s="26" t="n">
        <f aca="false">IF(A2018="","",IF(COUNTIFS($C$2:$C$5001,C2018,$J$2:$J$5001,J2018,$A$2:$A$5001,"&lt;"&amp;A2018)=0,1,0))</f>
        <v>0</v>
      </c>
    </row>
    <row r="2019" customFormat="false" ht="15" hidden="false" customHeight="false" outlineLevel="0" collapsed="false">
      <c r="A2019" s="23" t="n">
        <v>46206.8076388889</v>
      </c>
      <c r="B2019" s="24" t="s">
        <v>614</v>
      </c>
      <c r="C2019" s="24" t="s">
        <v>100</v>
      </c>
      <c r="D2019" s="24" t="s">
        <v>66</v>
      </c>
      <c r="E2019" s="24" t="n">
        <v>256</v>
      </c>
      <c r="F2019" s="25" t="n">
        <v>9000</v>
      </c>
      <c r="G2019" s="24" t="s">
        <v>59</v>
      </c>
      <c r="H2019" s="24" t="s">
        <v>55</v>
      </c>
      <c r="I2019" s="24" t="s">
        <v>61</v>
      </c>
      <c r="J2019" s="26" t="n">
        <f aca="false">IF(A2019="","",YEAR(A2019))</f>
        <v>2026</v>
      </c>
      <c r="K2019" s="26" t="n">
        <f aca="false">IF(A2019="","",MONTH(A2019))</f>
        <v>7</v>
      </c>
      <c r="L2019" s="26" t="n">
        <f aca="false">IF(B2019="","",VALUE(LEFT(B2019,2)))</f>
        <v>15</v>
      </c>
      <c r="M2019" s="26" t="n">
        <f aca="false">IF(A2019="","",IF(COUNTIFS($C$2:$C$5001,C2019,$J$2:$J$5001,J2019,$A$2:$A$5001,"&lt;"&amp;A2019)=0,1,0))</f>
        <v>0</v>
      </c>
    </row>
    <row r="2020" customFormat="false" ht="15" hidden="false" customHeight="false" outlineLevel="0" collapsed="false">
      <c r="A2020" s="23" t="n">
        <v>46206.8333333333</v>
      </c>
      <c r="B2020" s="24" t="s">
        <v>1017</v>
      </c>
      <c r="C2020" s="24" t="s">
        <v>160</v>
      </c>
      <c r="D2020" s="24" t="s">
        <v>53</v>
      </c>
      <c r="E2020" s="24" t="n">
        <v>331</v>
      </c>
      <c r="F2020" s="25" t="n">
        <v>6000</v>
      </c>
      <c r="G2020" s="24" t="s">
        <v>59</v>
      </c>
      <c r="H2020" s="24" t="s">
        <v>80</v>
      </c>
      <c r="I2020" s="24" t="s">
        <v>61</v>
      </c>
      <c r="J2020" s="26" t="n">
        <f aca="false">IF(A2020="","",YEAR(A2020))</f>
        <v>2026</v>
      </c>
      <c r="K2020" s="26" t="n">
        <f aca="false">IF(A2020="","",MONTH(A2020))</f>
        <v>7</v>
      </c>
      <c r="L2020" s="26" t="n">
        <f aca="false">IF(B2020="","",VALUE(LEFT(B2020,2)))</f>
        <v>14</v>
      </c>
      <c r="M2020" s="26" t="n">
        <f aca="false">IF(A2020="","",IF(COUNTIFS($C$2:$C$5001,C2020,$J$2:$J$5001,J2020,$A$2:$A$5001,"&lt;"&amp;A2020)=0,1,0))</f>
        <v>0</v>
      </c>
    </row>
    <row r="2021" customFormat="false" ht="15" hidden="false" customHeight="false" outlineLevel="0" collapsed="false">
      <c r="A2021" s="23" t="n">
        <v>46207.0361111111</v>
      </c>
      <c r="B2021" s="24" t="s">
        <v>902</v>
      </c>
      <c r="C2021" s="24" t="s">
        <v>92</v>
      </c>
      <c r="D2021" s="24" t="s">
        <v>66</v>
      </c>
      <c r="E2021" s="24" t="n">
        <v>395</v>
      </c>
      <c r="F2021" s="25" t="n">
        <v>14000</v>
      </c>
      <c r="G2021" s="24" t="s">
        <v>59</v>
      </c>
      <c r="H2021" s="24" t="s">
        <v>55</v>
      </c>
      <c r="I2021" s="24" t="s">
        <v>61</v>
      </c>
      <c r="J2021" s="26" t="n">
        <f aca="false">IF(A2021="","",YEAR(A2021))</f>
        <v>2026</v>
      </c>
      <c r="K2021" s="26" t="n">
        <f aca="false">IF(A2021="","",MONTH(A2021))</f>
        <v>7</v>
      </c>
      <c r="L2021" s="26" t="n">
        <f aca="false">IF(B2021="","",VALUE(LEFT(B2021,2)))</f>
        <v>18</v>
      </c>
      <c r="M2021" s="26" t="n">
        <f aca="false">IF(A2021="","",IF(COUNTIFS($C$2:$C$5001,C2021,$J$2:$J$5001,J2021,$A$2:$A$5001,"&lt;"&amp;A2021)=0,1,0))</f>
        <v>0</v>
      </c>
    </row>
    <row r="2022" customFormat="false" ht="15" hidden="false" customHeight="false" outlineLevel="0" collapsed="false">
      <c r="A2022" s="23" t="n">
        <v>46207.5548611111</v>
      </c>
      <c r="B2022" s="24" t="s">
        <v>214</v>
      </c>
      <c r="C2022" s="24" t="s">
        <v>138</v>
      </c>
      <c r="D2022" s="24" t="s">
        <v>53</v>
      </c>
      <c r="E2022" s="24" t="n">
        <v>303</v>
      </c>
      <c r="F2022" s="25" t="n">
        <v>5500</v>
      </c>
      <c r="G2022" s="24" t="s">
        <v>59</v>
      </c>
      <c r="H2022" s="24" t="s">
        <v>60</v>
      </c>
      <c r="I2022" s="24" t="s">
        <v>61</v>
      </c>
      <c r="J2022" s="26" t="n">
        <f aca="false">IF(A2022="","",YEAR(A2022))</f>
        <v>2026</v>
      </c>
      <c r="K2022" s="26" t="n">
        <f aca="false">IF(A2022="","",MONTH(A2022))</f>
        <v>7</v>
      </c>
      <c r="L2022" s="26" t="n">
        <f aca="false">IF(B2022="","",VALUE(LEFT(B2022,2)))</f>
        <v>8</v>
      </c>
      <c r="M2022" s="26" t="n">
        <f aca="false">IF(A2022="","",IF(COUNTIFS($C$2:$C$5001,C2022,$J$2:$J$5001,J2022,$A$2:$A$5001,"&lt;"&amp;A2022)=0,1,0))</f>
        <v>0</v>
      </c>
    </row>
    <row r="2023" customFormat="false" ht="15" hidden="false" customHeight="false" outlineLevel="0" collapsed="false">
      <c r="A2023" s="23" t="n">
        <v>46207.975</v>
      </c>
      <c r="B2023" s="24" t="s">
        <v>296</v>
      </c>
      <c r="C2023" s="24" t="s">
        <v>423</v>
      </c>
      <c r="D2023" s="24" t="s">
        <v>53</v>
      </c>
      <c r="E2023" s="24" t="n">
        <v>259</v>
      </c>
      <c r="F2023" s="25" t="n">
        <v>4500</v>
      </c>
      <c r="G2023" s="24" t="s">
        <v>69</v>
      </c>
      <c r="H2023" s="24" t="s">
        <v>55</v>
      </c>
      <c r="I2023" s="24" t="s">
        <v>61</v>
      </c>
      <c r="J2023" s="26" t="n">
        <f aca="false">IF(A2023="","",YEAR(A2023))</f>
        <v>2026</v>
      </c>
      <c r="K2023" s="26" t="n">
        <f aca="false">IF(A2023="","",MONTH(A2023))</f>
        <v>7</v>
      </c>
      <c r="L2023" s="26" t="n">
        <f aca="false">IF(B2023="","",VALUE(LEFT(B2023,2)))</f>
        <v>19</v>
      </c>
      <c r="M2023" s="26" t="n">
        <f aca="false">IF(A2023="","",IF(COUNTIFS($C$2:$C$5001,C2023,$J$2:$J$5001,J2023,$A$2:$A$5001,"&lt;"&amp;A2023)=0,1,0))</f>
        <v>0</v>
      </c>
    </row>
    <row r="2024" customFormat="false" ht="15" hidden="false" customHeight="false" outlineLevel="0" collapsed="false">
      <c r="A2024" s="23" t="n">
        <v>46208.0069444445</v>
      </c>
      <c r="B2024" s="24" t="s">
        <v>909</v>
      </c>
      <c r="C2024" s="24" t="s">
        <v>293</v>
      </c>
      <c r="D2024" s="24" t="s">
        <v>66</v>
      </c>
      <c r="E2024" s="24" t="n">
        <v>192</v>
      </c>
      <c r="F2024" s="25" t="n">
        <v>7000</v>
      </c>
      <c r="G2024" s="24" t="s">
        <v>59</v>
      </c>
      <c r="H2024" s="24" t="s">
        <v>60</v>
      </c>
      <c r="I2024" s="24" t="s">
        <v>61</v>
      </c>
      <c r="J2024" s="26" t="n">
        <f aca="false">IF(A2024="","",YEAR(A2024))</f>
        <v>2026</v>
      </c>
      <c r="K2024" s="26" t="n">
        <f aca="false">IF(A2024="","",MONTH(A2024))</f>
        <v>7</v>
      </c>
      <c r="L2024" s="26" t="n">
        <f aca="false">IF(B2024="","",VALUE(LEFT(B2024,2)))</f>
        <v>20</v>
      </c>
      <c r="M2024" s="26" t="n">
        <f aca="false">IF(A2024="","",IF(COUNTIFS($C$2:$C$5001,C2024,$J$2:$J$5001,J2024,$A$2:$A$5001,"&lt;"&amp;A2024)=0,1,0))</f>
        <v>0</v>
      </c>
    </row>
    <row r="2025" customFormat="false" ht="15" hidden="false" customHeight="false" outlineLevel="0" collapsed="false">
      <c r="A2025" s="23" t="n">
        <v>46208.4972222222</v>
      </c>
      <c r="B2025" s="24" t="s">
        <v>299</v>
      </c>
      <c r="C2025" s="24" t="s">
        <v>442</v>
      </c>
      <c r="D2025" s="24" t="s">
        <v>66</v>
      </c>
      <c r="E2025" s="24" t="n">
        <v>212</v>
      </c>
      <c r="F2025" s="25" t="n">
        <v>8000</v>
      </c>
      <c r="G2025" s="24" t="s">
        <v>59</v>
      </c>
      <c r="H2025" s="24" t="s">
        <v>60</v>
      </c>
      <c r="I2025" s="24" t="s">
        <v>61</v>
      </c>
      <c r="J2025" s="26" t="n">
        <f aca="false">IF(A2025="","",YEAR(A2025))</f>
        <v>2026</v>
      </c>
      <c r="K2025" s="26" t="n">
        <f aca="false">IF(A2025="","",MONTH(A2025))</f>
        <v>7</v>
      </c>
      <c r="L2025" s="26" t="n">
        <f aca="false">IF(B2025="","",VALUE(LEFT(B2025,2)))</f>
        <v>8</v>
      </c>
      <c r="M2025" s="26" t="n">
        <f aca="false">IF(A2025="","",IF(COUNTIFS($C$2:$C$5001,C2025,$J$2:$J$5001,J2025,$A$2:$A$5001,"&lt;"&amp;A2025)=0,1,0))</f>
        <v>0</v>
      </c>
    </row>
    <row r="2026" customFormat="false" ht="15" hidden="false" customHeight="false" outlineLevel="0" collapsed="false">
      <c r="A2026" s="23" t="n">
        <v>46208.5097222222</v>
      </c>
      <c r="B2026" s="24" t="s">
        <v>1018</v>
      </c>
      <c r="C2026" s="24" t="s">
        <v>179</v>
      </c>
      <c r="D2026" s="24" t="s">
        <v>66</v>
      </c>
      <c r="E2026" s="24" t="n">
        <v>337</v>
      </c>
      <c r="F2026" s="25" t="n">
        <v>12000</v>
      </c>
      <c r="G2026" s="24" t="s">
        <v>79</v>
      </c>
      <c r="H2026" s="24" t="s">
        <v>60</v>
      </c>
      <c r="I2026" s="24" t="s">
        <v>61</v>
      </c>
      <c r="J2026" s="26" t="n">
        <f aca="false">IF(A2026="","",YEAR(A2026))</f>
        <v>2026</v>
      </c>
      <c r="K2026" s="26" t="n">
        <f aca="false">IF(A2026="","",MONTH(A2026))</f>
        <v>7</v>
      </c>
      <c r="L2026" s="26" t="n">
        <f aca="false">IF(B2026="","",VALUE(LEFT(B2026,2)))</f>
        <v>6</v>
      </c>
      <c r="M2026" s="26" t="n">
        <f aca="false">IF(A2026="","",IF(COUNTIFS($C$2:$C$5001,C2026,$J$2:$J$5001,J2026,$A$2:$A$5001,"&lt;"&amp;A2026)=0,1,0))</f>
        <v>0</v>
      </c>
    </row>
    <row r="2027" customFormat="false" ht="15" hidden="false" customHeight="false" outlineLevel="0" collapsed="false">
      <c r="A2027" s="23" t="n">
        <v>46208.6027777778</v>
      </c>
      <c r="B2027" s="24" t="s">
        <v>581</v>
      </c>
      <c r="C2027" s="24" t="s">
        <v>154</v>
      </c>
      <c r="D2027" s="24" t="s">
        <v>88</v>
      </c>
      <c r="E2027" s="24" t="n">
        <v>296</v>
      </c>
      <c r="F2027" s="25" t="n">
        <v>15000</v>
      </c>
      <c r="G2027" s="24" t="s">
        <v>69</v>
      </c>
      <c r="H2027" s="24" t="s">
        <v>80</v>
      </c>
      <c r="I2027" s="24" t="s">
        <v>61</v>
      </c>
      <c r="J2027" s="26" t="n">
        <f aca="false">IF(A2027="","",YEAR(A2027))</f>
        <v>2026</v>
      </c>
      <c r="K2027" s="26" t="n">
        <f aca="false">IF(A2027="","",MONTH(A2027))</f>
        <v>7</v>
      </c>
      <c r="L2027" s="26" t="n">
        <f aca="false">IF(B2027="","",VALUE(LEFT(B2027,2)))</f>
        <v>9</v>
      </c>
      <c r="M2027" s="26" t="n">
        <f aca="false">IF(A2027="","",IF(COUNTIFS($C$2:$C$5001,C2027,$J$2:$J$5001,J2027,$A$2:$A$5001,"&lt;"&amp;A2027)=0,1,0))</f>
        <v>0</v>
      </c>
    </row>
    <row r="2028" customFormat="false" ht="15" hidden="false" customHeight="false" outlineLevel="0" collapsed="false">
      <c r="A2028" s="23" t="n">
        <v>46208.9236111111</v>
      </c>
      <c r="B2028" s="24" t="s">
        <v>521</v>
      </c>
      <c r="C2028" s="24" t="s">
        <v>339</v>
      </c>
      <c r="D2028" s="24" t="s">
        <v>66</v>
      </c>
      <c r="E2028" s="24" t="n">
        <v>302</v>
      </c>
      <c r="F2028" s="25" t="n">
        <v>11000</v>
      </c>
      <c r="G2028" s="24" t="s">
        <v>69</v>
      </c>
      <c r="H2028" s="24" t="s">
        <v>60</v>
      </c>
      <c r="I2028" s="24" t="s">
        <v>61</v>
      </c>
      <c r="J2028" s="26" t="n">
        <f aca="false">IF(A2028="","",YEAR(A2028))</f>
        <v>2026</v>
      </c>
      <c r="K2028" s="26" t="n">
        <f aca="false">IF(A2028="","",MONTH(A2028))</f>
        <v>7</v>
      </c>
      <c r="L2028" s="26" t="n">
        <f aca="false">IF(B2028="","",VALUE(LEFT(B2028,2)))</f>
        <v>17</v>
      </c>
      <c r="M2028" s="26" t="n">
        <f aca="false">IF(A2028="","",IF(COUNTIFS($C$2:$C$5001,C2028,$J$2:$J$5001,J2028,$A$2:$A$5001,"&lt;"&amp;A2028)=0,1,0))</f>
        <v>0</v>
      </c>
    </row>
    <row r="2029" customFormat="false" ht="15" hidden="false" customHeight="false" outlineLevel="0" collapsed="false">
      <c r="A2029" s="23" t="n">
        <v>46209.4215277778</v>
      </c>
      <c r="B2029" s="24" t="s">
        <v>974</v>
      </c>
      <c r="C2029" s="24" t="s">
        <v>147</v>
      </c>
      <c r="D2029" s="24" t="s">
        <v>53</v>
      </c>
      <c r="E2029" s="24" t="n">
        <v>184</v>
      </c>
      <c r="F2029" s="25" t="n">
        <v>3500</v>
      </c>
      <c r="G2029" s="24" t="s">
        <v>59</v>
      </c>
      <c r="H2029" s="24" t="s">
        <v>55</v>
      </c>
      <c r="I2029" s="24" t="s">
        <v>61</v>
      </c>
      <c r="J2029" s="26" t="n">
        <f aca="false">IF(A2029="","",YEAR(A2029))</f>
        <v>2026</v>
      </c>
      <c r="K2029" s="26" t="n">
        <f aca="false">IF(A2029="","",MONTH(A2029))</f>
        <v>7</v>
      </c>
      <c r="L2029" s="26" t="n">
        <f aca="false">IF(B2029="","",VALUE(LEFT(B2029,2)))</f>
        <v>7</v>
      </c>
      <c r="M2029" s="26" t="n">
        <f aca="false">IF(A2029="","",IF(COUNTIFS($C$2:$C$5001,C2029,$J$2:$J$5001,J2029,$A$2:$A$5001,"&lt;"&amp;A2029)=0,1,0))</f>
        <v>0</v>
      </c>
    </row>
    <row r="2030" customFormat="false" ht="15" hidden="false" customHeight="false" outlineLevel="0" collapsed="false">
      <c r="A2030" s="23" t="n">
        <v>46209.4631944444</v>
      </c>
      <c r="B2030" s="24" t="s">
        <v>939</v>
      </c>
      <c r="C2030" s="24" t="s">
        <v>162</v>
      </c>
      <c r="D2030" s="24" t="s">
        <v>66</v>
      </c>
      <c r="E2030" s="24" t="n">
        <v>202</v>
      </c>
      <c r="F2030" s="25" t="n">
        <v>7000</v>
      </c>
      <c r="G2030" s="24" t="s">
        <v>59</v>
      </c>
      <c r="H2030" s="24" t="s">
        <v>60</v>
      </c>
      <c r="I2030" s="24" t="s">
        <v>61</v>
      </c>
      <c r="J2030" s="26" t="n">
        <f aca="false">IF(A2030="","",YEAR(A2030))</f>
        <v>2026</v>
      </c>
      <c r="K2030" s="26" t="n">
        <f aca="false">IF(A2030="","",MONTH(A2030))</f>
        <v>7</v>
      </c>
      <c r="L2030" s="26" t="n">
        <f aca="false">IF(B2030="","",VALUE(LEFT(B2030,2)))</f>
        <v>7</v>
      </c>
      <c r="M2030" s="26" t="n">
        <f aca="false">IF(A2030="","",IF(COUNTIFS($C$2:$C$5001,C2030,$J$2:$J$5001,J2030,$A$2:$A$5001,"&lt;"&amp;A2030)=0,1,0))</f>
        <v>1</v>
      </c>
    </row>
    <row r="2031" customFormat="false" ht="15" hidden="false" customHeight="false" outlineLevel="0" collapsed="false">
      <c r="A2031" s="23" t="n">
        <v>46209.5291666667</v>
      </c>
      <c r="B2031" s="24" t="s">
        <v>109</v>
      </c>
      <c r="C2031" s="24" t="s">
        <v>467</v>
      </c>
      <c r="D2031" s="24" t="s">
        <v>72</v>
      </c>
      <c r="E2031" s="24" t="n">
        <v>268</v>
      </c>
      <c r="F2031" s="25" t="n">
        <v>18000</v>
      </c>
      <c r="G2031" s="24" t="s">
        <v>59</v>
      </c>
      <c r="H2031" s="24" t="s">
        <v>60</v>
      </c>
      <c r="I2031" s="24" t="s">
        <v>61</v>
      </c>
      <c r="J2031" s="26" t="n">
        <f aca="false">IF(A2031="","",YEAR(A2031))</f>
        <v>2026</v>
      </c>
      <c r="K2031" s="26" t="n">
        <f aca="false">IF(A2031="","",MONTH(A2031))</f>
        <v>7</v>
      </c>
      <c r="L2031" s="26" t="n">
        <f aca="false">IF(B2031="","",VALUE(LEFT(B2031,2)))</f>
        <v>8</v>
      </c>
      <c r="M2031" s="26" t="n">
        <f aca="false">IF(A2031="","",IF(COUNTIFS($C$2:$C$5001,C2031,$J$2:$J$5001,J2031,$A$2:$A$5001,"&lt;"&amp;A2031)=0,1,0))</f>
        <v>0</v>
      </c>
    </row>
    <row r="2032" customFormat="false" ht="15" hidden="false" customHeight="false" outlineLevel="0" collapsed="false">
      <c r="A2032" s="23" t="n">
        <v>46209.9277777778</v>
      </c>
      <c r="B2032" s="24" t="s">
        <v>246</v>
      </c>
      <c r="C2032" s="24" t="s">
        <v>145</v>
      </c>
      <c r="D2032" s="24" t="s">
        <v>53</v>
      </c>
      <c r="E2032" s="24" t="n">
        <v>237</v>
      </c>
      <c r="F2032" s="25" t="n">
        <v>4000</v>
      </c>
      <c r="G2032" s="24" t="s">
        <v>83</v>
      </c>
      <c r="H2032" s="24" t="s">
        <v>80</v>
      </c>
      <c r="I2032" s="24" t="s">
        <v>61</v>
      </c>
      <c r="J2032" s="26" t="n">
        <f aca="false">IF(A2032="","",YEAR(A2032))</f>
        <v>2026</v>
      </c>
      <c r="K2032" s="26" t="n">
        <f aca="false">IF(A2032="","",MONTH(A2032))</f>
        <v>7</v>
      </c>
      <c r="L2032" s="26" t="n">
        <f aca="false">IF(B2032="","",VALUE(LEFT(B2032,2)))</f>
        <v>18</v>
      </c>
      <c r="M2032" s="26" t="n">
        <f aca="false">IF(A2032="","",IF(COUNTIFS($C$2:$C$5001,C2032,$J$2:$J$5001,J2032,$A$2:$A$5001,"&lt;"&amp;A2032)=0,1,0))</f>
        <v>0</v>
      </c>
    </row>
    <row r="2033" customFormat="false" ht="15" hidden="false" customHeight="false" outlineLevel="0" collapsed="false">
      <c r="A2033" s="23" t="n">
        <v>46209.9597222222</v>
      </c>
      <c r="B2033" s="24" t="s">
        <v>616</v>
      </c>
      <c r="C2033" s="24" t="s">
        <v>475</v>
      </c>
      <c r="D2033" s="24" t="s">
        <v>66</v>
      </c>
      <c r="E2033" s="24" t="n">
        <v>155</v>
      </c>
      <c r="F2033" s="25" t="n">
        <v>6000</v>
      </c>
      <c r="G2033" s="24" t="s">
        <v>69</v>
      </c>
      <c r="H2033" s="24" t="s">
        <v>55</v>
      </c>
      <c r="I2033" s="24" t="s">
        <v>61</v>
      </c>
      <c r="J2033" s="26" t="n">
        <f aca="false">IF(A2033="","",YEAR(A2033))</f>
        <v>2026</v>
      </c>
      <c r="K2033" s="26" t="n">
        <f aca="false">IF(A2033="","",MONTH(A2033))</f>
        <v>7</v>
      </c>
      <c r="L2033" s="26" t="n">
        <f aca="false">IF(B2033="","",VALUE(LEFT(B2033,2)))</f>
        <v>20</v>
      </c>
      <c r="M2033" s="26" t="n">
        <f aca="false">IF(A2033="","",IF(COUNTIFS($C$2:$C$5001,C2033,$J$2:$J$5001,J2033,$A$2:$A$5001,"&lt;"&amp;A2033)=0,1,0))</f>
        <v>0</v>
      </c>
    </row>
    <row r="2034" customFormat="false" ht="15" hidden="false" customHeight="false" outlineLevel="0" collapsed="false">
      <c r="A2034" s="23" t="n">
        <v>46210.0902777778</v>
      </c>
      <c r="B2034" s="24" t="s">
        <v>623</v>
      </c>
      <c r="C2034" s="24" t="s">
        <v>102</v>
      </c>
      <c r="D2034" s="24" t="s">
        <v>53</v>
      </c>
      <c r="E2034" s="24" t="n">
        <v>391</v>
      </c>
      <c r="F2034" s="25" t="n">
        <v>7000</v>
      </c>
      <c r="G2034" s="24" t="s">
        <v>83</v>
      </c>
      <c r="H2034" s="24" t="s">
        <v>55</v>
      </c>
      <c r="I2034" s="24" t="s">
        <v>61</v>
      </c>
      <c r="J2034" s="26" t="n">
        <f aca="false">IF(A2034="","",YEAR(A2034))</f>
        <v>2026</v>
      </c>
      <c r="K2034" s="26" t="n">
        <f aca="false">IF(A2034="","",MONTH(A2034))</f>
        <v>7</v>
      </c>
      <c r="L2034" s="26" t="n">
        <f aca="false">IF(B2034="","",VALUE(LEFT(B2034,2)))</f>
        <v>19</v>
      </c>
      <c r="M2034" s="26" t="n">
        <f aca="false">IF(A2034="","",IF(COUNTIFS($C$2:$C$5001,C2034,$J$2:$J$5001,J2034,$A$2:$A$5001,"&lt;"&amp;A2034)=0,1,0))</f>
        <v>0</v>
      </c>
    </row>
    <row r="2035" customFormat="false" ht="15" hidden="false" customHeight="false" outlineLevel="0" collapsed="false">
      <c r="A2035" s="23" t="n">
        <v>46210.5076388889</v>
      </c>
      <c r="B2035" s="24" t="s">
        <v>830</v>
      </c>
      <c r="C2035" s="24" t="s">
        <v>108</v>
      </c>
      <c r="D2035" s="24" t="s">
        <v>88</v>
      </c>
      <c r="E2035" s="24" t="n">
        <v>112</v>
      </c>
      <c r="F2035" s="25" t="n">
        <v>0</v>
      </c>
      <c r="G2035" s="24" t="s">
        <v>79</v>
      </c>
      <c r="H2035" s="24" t="s">
        <v>80</v>
      </c>
      <c r="I2035" s="24" t="s">
        <v>56</v>
      </c>
      <c r="J2035" s="26" t="n">
        <f aca="false">IF(A2035="","",YEAR(A2035))</f>
        <v>2026</v>
      </c>
      <c r="K2035" s="26" t="n">
        <f aca="false">IF(A2035="","",MONTH(A2035))</f>
        <v>7</v>
      </c>
      <c r="L2035" s="26" t="n">
        <f aca="false">IF(B2035="","",VALUE(LEFT(B2035,2)))</f>
        <v>10</v>
      </c>
      <c r="M2035" s="26" t="n">
        <f aca="false">IF(A2035="","",IF(COUNTIFS($C$2:$C$5001,C2035,$J$2:$J$5001,J2035,$A$2:$A$5001,"&lt;"&amp;A2035)=0,1,0))</f>
        <v>0</v>
      </c>
    </row>
    <row r="2036" customFormat="false" ht="15" hidden="false" customHeight="false" outlineLevel="0" collapsed="false">
      <c r="A2036" s="23" t="n">
        <v>46210.7361111111</v>
      </c>
      <c r="B2036" s="24" t="s">
        <v>438</v>
      </c>
      <c r="C2036" s="24" t="s">
        <v>235</v>
      </c>
      <c r="D2036" s="24" t="s">
        <v>88</v>
      </c>
      <c r="E2036" s="24" t="n">
        <v>308</v>
      </c>
      <c r="F2036" s="25" t="n">
        <v>0</v>
      </c>
      <c r="G2036" s="24" t="s">
        <v>79</v>
      </c>
      <c r="H2036" s="24" t="s">
        <v>55</v>
      </c>
      <c r="I2036" s="24" t="s">
        <v>56</v>
      </c>
      <c r="J2036" s="26" t="n">
        <f aca="false">IF(A2036="","",YEAR(A2036))</f>
        <v>2026</v>
      </c>
      <c r="K2036" s="26" t="n">
        <f aca="false">IF(A2036="","",MONTH(A2036))</f>
        <v>7</v>
      </c>
      <c r="L2036" s="26" t="n">
        <f aca="false">IF(B2036="","",VALUE(LEFT(B2036,2)))</f>
        <v>12</v>
      </c>
      <c r="M2036" s="26" t="n">
        <f aca="false">IF(A2036="","",IF(COUNTIFS($C$2:$C$5001,C2036,$J$2:$J$5001,J2036,$A$2:$A$5001,"&lt;"&amp;A2036)=0,1,0))</f>
        <v>0</v>
      </c>
    </row>
    <row r="2037" customFormat="false" ht="15" hidden="false" customHeight="false" outlineLevel="0" collapsed="false">
      <c r="A2037" s="23" t="n">
        <v>46210.7888888889</v>
      </c>
      <c r="B2037" s="24" t="s">
        <v>476</v>
      </c>
      <c r="C2037" s="24" t="s">
        <v>123</v>
      </c>
      <c r="D2037" s="24" t="s">
        <v>66</v>
      </c>
      <c r="E2037" s="24" t="n">
        <v>43</v>
      </c>
      <c r="F2037" s="25" t="n">
        <v>2000</v>
      </c>
      <c r="G2037" s="24" t="s">
        <v>59</v>
      </c>
      <c r="H2037" s="24" t="s">
        <v>55</v>
      </c>
      <c r="I2037" s="24" t="s">
        <v>61</v>
      </c>
      <c r="J2037" s="26" t="n">
        <f aca="false">IF(A2037="","",YEAR(A2037))</f>
        <v>2026</v>
      </c>
      <c r="K2037" s="26" t="n">
        <f aca="false">IF(A2037="","",MONTH(A2037))</f>
        <v>7</v>
      </c>
      <c r="L2037" s="26" t="n">
        <f aca="false">IF(B2037="","",VALUE(LEFT(B2037,2)))</f>
        <v>18</v>
      </c>
      <c r="M2037" s="26" t="n">
        <f aca="false">IF(A2037="","",IF(COUNTIFS($C$2:$C$5001,C2037,$J$2:$J$5001,J2037,$A$2:$A$5001,"&lt;"&amp;A2037)=0,1,0))</f>
        <v>0</v>
      </c>
    </row>
    <row r="2038" customFormat="false" ht="15" hidden="false" customHeight="false" outlineLevel="0" collapsed="false">
      <c r="A2038" s="23" t="n">
        <v>46211.3208333333</v>
      </c>
      <c r="B2038" s="24" t="s">
        <v>1019</v>
      </c>
      <c r="C2038" s="24" t="s">
        <v>213</v>
      </c>
      <c r="D2038" s="24" t="s">
        <v>66</v>
      </c>
      <c r="E2038" s="24" t="n">
        <v>67</v>
      </c>
      <c r="F2038" s="25" t="n">
        <v>0</v>
      </c>
      <c r="G2038" s="24" t="s">
        <v>69</v>
      </c>
      <c r="H2038" s="24" t="s">
        <v>80</v>
      </c>
      <c r="I2038" s="24" t="s">
        <v>56</v>
      </c>
      <c r="J2038" s="26" t="n">
        <f aca="false">IF(A2038="","",YEAR(A2038))</f>
        <v>2026</v>
      </c>
      <c r="K2038" s="26" t="n">
        <f aca="false">IF(A2038="","",MONTH(A2038))</f>
        <v>7</v>
      </c>
      <c r="L2038" s="26" t="n">
        <f aca="false">IF(B2038="","",VALUE(LEFT(B2038,2)))</f>
        <v>6</v>
      </c>
      <c r="M2038" s="26" t="n">
        <f aca="false">IF(A2038="","",IF(COUNTIFS($C$2:$C$5001,C2038,$J$2:$J$5001,J2038,$A$2:$A$5001,"&lt;"&amp;A2038)=0,1,0))</f>
        <v>0</v>
      </c>
    </row>
    <row r="2039" customFormat="false" ht="15" hidden="false" customHeight="false" outlineLevel="0" collapsed="false">
      <c r="A2039" s="23" t="n">
        <v>46211.5319444445</v>
      </c>
      <c r="B2039" s="24" t="s">
        <v>569</v>
      </c>
      <c r="C2039" s="24" t="s">
        <v>277</v>
      </c>
      <c r="D2039" s="24" t="s">
        <v>53</v>
      </c>
      <c r="E2039" s="24" t="n">
        <v>305</v>
      </c>
      <c r="F2039" s="25" t="n">
        <v>5500</v>
      </c>
      <c r="G2039" s="24" t="s">
        <v>59</v>
      </c>
      <c r="H2039" s="24" t="s">
        <v>60</v>
      </c>
      <c r="I2039" s="24" t="s">
        <v>61</v>
      </c>
      <c r="J2039" s="26" t="n">
        <f aca="false">IF(A2039="","",YEAR(A2039))</f>
        <v>2026</v>
      </c>
      <c r="K2039" s="26" t="n">
        <f aca="false">IF(A2039="","",MONTH(A2039))</f>
        <v>7</v>
      </c>
      <c r="L2039" s="26" t="n">
        <f aca="false">IF(B2039="","",VALUE(LEFT(B2039,2)))</f>
        <v>7</v>
      </c>
      <c r="M2039" s="26" t="n">
        <f aca="false">IF(A2039="","",IF(COUNTIFS($C$2:$C$5001,C2039,$J$2:$J$5001,J2039,$A$2:$A$5001,"&lt;"&amp;A2039)=0,1,0))</f>
        <v>0</v>
      </c>
    </row>
    <row r="2040" customFormat="false" ht="15" hidden="false" customHeight="false" outlineLevel="0" collapsed="false">
      <c r="A2040" s="23" t="n">
        <v>46211.6027777778</v>
      </c>
      <c r="B2040" s="24" t="s">
        <v>772</v>
      </c>
      <c r="C2040" s="24" t="s">
        <v>108</v>
      </c>
      <c r="D2040" s="24" t="s">
        <v>53</v>
      </c>
      <c r="E2040" s="24" t="n">
        <v>73</v>
      </c>
      <c r="F2040" s="25" t="n">
        <v>1500</v>
      </c>
      <c r="G2040" s="24" t="s">
        <v>69</v>
      </c>
      <c r="H2040" s="24" t="s">
        <v>80</v>
      </c>
      <c r="I2040" s="24" t="s">
        <v>61</v>
      </c>
      <c r="J2040" s="26" t="n">
        <f aca="false">IF(A2040="","",YEAR(A2040))</f>
        <v>2026</v>
      </c>
      <c r="K2040" s="26" t="n">
        <f aca="false">IF(A2040="","",MONTH(A2040))</f>
        <v>7</v>
      </c>
      <c r="L2040" s="26" t="n">
        <f aca="false">IF(B2040="","",VALUE(LEFT(B2040,2)))</f>
        <v>13</v>
      </c>
      <c r="M2040" s="26" t="n">
        <f aca="false">IF(A2040="","",IF(COUNTIFS($C$2:$C$5001,C2040,$J$2:$J$5001,J2040,$A$2:$A$5001,"&lt;"&amp;A2040)=0,1,0))</f>
        <v>0</v>
      </c>
    </row>
    <row r="2041" customFormat="false" ht="15" hidden="false" customHeight="false" outlineLevel="0" collapsed="false">
      <c r="A2041" s="23" t="n">
        <v>46211.6625</v>
      </c>
      <c r="B2041" s="24" t="s">
        <v>513</v>
      </c>
      <c r="C2041" s="24" t="s">
        <v>102</v>
      </c>
      <c r="D2041" s="24" t="s">
        <v>66</v>
      </c>
      <c r="E2041" s="24" t="n">
        <v>123</v>
      </c>
      <c r="F2041" s="25" t="n">
        <v>5000</v>
      </c>
      <c r="G2041" s="24" t="s">
        <v>59</v>
      </c>
      <c r="H2041" s="24" t="s">
        <v>80</v>
      </c>
      <c r="I2041" s="24" t="s">
        <v>61</v>
      </c>
      <c r="J2041" s="26" t="n">
        <f aca="false">IF(A2041="","",YEAR(A2041))</f>
        <v>2026</v>
      </c>
      <c r="K2041" s="26" t="n">
        <f aca="false">IF(A2041="","",MONTH(A2041))</f>
        <v>7</v>
      </c>
      <c r="L2041" s="26" t="n">
        <f aca="false">IF(B2041="","",VALUE(LEFT(B2041,2)))</f>
        <v>13</v>
      </c>
      <c r="M2041" s="26" t="n">
        <f aca="false">IF(A2041="","",IF(COUNTIFS($C$2:$C$5001,C2041,$J$2:$J$5001,J2041,$A$2:$A$5001,"&lt;"&amp;A2041)=0,1,0))</f>
        <v>0</v>
      </c>
    </row>
    <row r="2042" customFormat="false" ht="15" hidden="false" customHeight="false" outlineLevel="0" collapsed="false">
      <c r="A2042" s="23" t="n">
        <v>46211.7923611111</v>
      </c>
      <c r="B2042" s="24" t="s">
        <v>853</v>
      </c>
      <c r="C2042" s="24" t="s">
        <v>172</v>
      </c>
      <c r="D2042" s="24" t="s">
        <v>66</v>
      </c>
      <c r="E2042" s="24" t="n">
        <v>405</v>
      </c>
      <c r="F2042" s="25" t="n">
        <v>14000</v>
      </c>
      <c r="G2042" s="24" t="s">
        <v>59</v>
      </c>
      <c r="H2042" s="24" t="s">
        <v>60</v>
      </c>
      <c r="I2042" s="24" t="s">
        <v>61</v>
      </c>
      <c r="J2042" s="26" t="n">
        <f aca="false">IF(A2042="","",YEAR(A2042))</f>
        <v>2026</v>
      </c>
      <c r="K2042" s="26" t="n">
        <f aca="false">IF(A2042="","",MONTH(A2042))</f>
        <v>7</v>
      </c>
      <c r="L2042" s="26" t="n">
        <f aca="false">IF(B2042="","",VALUE(LEFT(B2042,2)))</f>
        <v>12</v>
      </c>
      <c r="M2042" s="26" t="n">
        <f aca="false">IF(A2042="","",IF(COUNTIFS($C$2:$C$5001,C2042,$J$2:$J$5001,J2042,$A$2:$A$5001,"&lt;"&amp;A2042)=0,1,0))</f>
        <v>0</v>
      </c>
    </row>
    <row r="2043" customFormat="false" ht="15" hidden="false" customHeight="false" outlineLevel="0" collapsed="false">
      <c r="A2043" s="23" t="n">
        <v>46211.825</v>
      </c>
      <c r="B2043" s="24" t="s">
        <v>155</v>
      </c>
      <c r="C2043" s="24" t="s">
        <v>240</v>
      </c>
      <c r="D2043" s="24" t="s">
        <v>53</v>
      </c>
      <c r="E2043" s="24" t="n">
        <v>371</v>
      </c>
      <c r="F2043" s="25" t="n">
        <v>6500</v>
      </c>
      <c r="G2043" s="24" t="s">
        <v>59</v>
      </c>
      <c r="H2043" s="24" t="s">
        <v>55</v>
      </c>
      <c r="I2043" s="24" t="s">
        <v>61</v>
      </c>
      <c r="J2043" s="26" t="n">
        <f aca="false">IF(A2043="","",YEAR(A2043))</f>
        <v>2026</v>
      </c>
      <c r="K2043" s="26" t="n">
        <f aca="false">IF(A2043="","",MONTH(A2043))</f>
        <v>7</v>
      </c>
      <c r="L2043" s="26" t="n">
        <f aca="false">IF(B2043="","",VALUE(LEFT(B2043,2)))</f>
        <v>13</v>
      </c>
      <c r="M2043" s="26" t="n">
        <f aca="false">IF(A2043="","",IF(COUNTIFS($C$2:$C$5001,C2043,$J$2:$J$5001,J2043,$A$2:$A$5001,"&lt;"&amp;A2043)=0,1,0))</f>
        <v>0</v>
      </c>
    </row>
    <row r="2044" customFormat="false" ht="15" hidden="false" customHeight="false" outlineLevel="0" collapsed="false">
      <c r="A2044" s="23" t="n">
        <v>46211.9604166667</v>
      </c>
      <c r="B2044" s="24" t="s">
        <v>777</v>
      </c>
      <c r="C2044" s="24" t="s">
        <v>343</v>
      </c>
      <c r="D2044" s="24" t="s">
        <v>66</v>
      </c>
      <c r="E2044" s="24" t="n">
        <v>342</v>
      </c>
      <c r="F2044" s="25" t="n">
        <v>12000</v>
      </c>
      <c r="G2044" s="24" t="s">
        <v>79</v>
      </c>
      <c r="H2044" s="24" t="s">
        <v>55</v>
      </c>
      <c r="I2044" s="24" t="s">
        <v>61</v>
      </c>
      <c r="J2044" s="26" t="n">
        <f aca="false">IF(A2044="","",YEAR(A2044))</f>
        <v>2026</v>
      </c>
      <c r="K2044" s="26" t="n">
        <f aca="false">IF(A2044="","",MONTH(A2044))</f>
        <v>7</v>
      </c>
      <c r="L2044" s="26" t="n">
        <f aca="false">IF(B2044="","",VALUE(LEFT(B2044,2)))</f>
        <v>17</v>
      </c>
      <c r="M2044" s="26" t="n">
        <f aca="false">IF(A2044="","",IF(COUNTIFS($C$2:$C$5001,C2044,$J$2:$J$5001,J2044,$A$2:$A$5001,"&lt;"&amp;A2044)=0,1,0))</f>
        <v>0</v>
      </c>
    </row>
    <row r="2045" customFormat="false" ht="15" hidden="false" customHeight="false" outlineLevel="0" collapsed="false">
      <c r="A2045" s="23" t="n">
        <v>46212.4194444444</v>
      </c>
      <c r="B2045" s="24" t="s">
        <v>528</v>
      </c>
      <c r="C2045" s="24" t="s">
        <v>398</v>
      </c>
      <c r="D2045" s="24" t="s">
        <v>66</v>
      </c>
      <c r="E2045" s="24" t="n">
        <v>135</v>
      </c>
      <c r="F2045" s="25" t="n">
        <v>5000</v>
      </c>
      <c r="G2045" s="24" t="s">
        <v>79</v>
      </c>
      <c r="H2045" s="24" t="s">
        <v>55</v>
      </c>
      <c r="I2045" s="24" t="s">
        <v>61</v>
      </c>
      <c r="J2045" s="26" t="n">
        <f aca="false">IF(A2045="","",YEAR(A2045))</f>
        <v>2026</v>
      </c>
      <c r="K2045" s="26" t="n">
        <f aca="false">IF(A2045="","",MONTH(A2045))</f>
        <v>7</v>
      </c>
      <c r="L2045" s="26" t="n">
        <f aca="false">IF(B2045="","",VALUE(LEFT(B2045,2)))</f>
        <v>7</v>
      </c>
      <c r="M2045" s="26" t="n">
        <f aca="false">IF(A2045="","",IF(COUNTIFS($C$2:$C$5001,C2045,$J$2:$J$5001,J2045,$A$2:$A$5001,"&lt;"&amp;A2045)=0,1,0))</f>
        <v>0</v>
      </c>
    </row>
    <row r="2046" customFormat="false" ht="15" hidden="false" customHeight="false" outlineLevel="0" collapsed="false">
      <c r="A2046" s="23" t="n">
        <v>46212.4861111111</v>
      </c>
      <c r="B2046" s="24" t="s">
        <v>974</v>
      </c>
      <c r="C2046" s="24" t="s">
        <v>78</v>
      </c>
      <c r="D2046" s="24" t="s">
        <v>66</v>
      </c>
      <c r="E2046" s="24" t="n">
        <v>277</v>
      </c>
      <c r="F2046" s="25" t="n">
        <v>10000</v>
      </c>
      <c r="G2046" s="24" t="s">
        <v>59</v>
      </c>
      <c r="H2046" s="24" t="s">
        <v>60</v>
      </c>
      <c r="I2046" s="24" t="s">
        <v>61</v>
      </c>
      <c r="J2046" s="26" t="n">
        <f aca="false">IF(A2046="","",YEAR(A2046))</f>
        <v>2026</v>
      </c>
      <c r="K2046" s="26" t="n">
        <f aca="false">IF(A2046="","",MONTH(A2046))</f>
        <v>7</v>
      </c>
      <c r="L2046" s="26" t="n">
        <f aca="false">IF(B2046="","",VALUE(LEFT(B2046,2)))</f>
        <v>7</v>
      </c>
      <c r="M2046" s="26" t="n">
        <f aca="false">IF(A2046="","",IF(COUNTIFS($C$2:$C$5001,C2046,$J$2:$J$5001,J2046,$A$2:$A$5001,"&lt;"&amp;A2046)=0,1,0))</f>
        <v>0</v>
      </c>
    </row>
    <row r="2047" customFormat="false" ht="15" hidden="false" customHeight="false" outlineLevel="0" collapsed="false">
      <c r="A2047" s="23" t="n">
        <v>46212.6513888889</v>
      </c>
      <c r="B2047" s="24" t="s">
        <v>427</v>
      </c>
      <c r="C2047" s="24" t="s">
        <v>116</v>
      </c>
      <c r="D2047" s="24" t="s">
        <v>53</v>
      </c>
      <c r="E2047" s="24" t="n">
        <v>68</v>
      </c>
      <c r="F2047" s="25" t="n">
        <v>1500</v>
      </c>
      <c r="G2047" s="24" t="s">
        <v>59</v>
      </c>
      <c r="H2047" s="24" t="s">
        <v>60</v>
      </c>
      <c r="I2047" s="24" t="s">
        <v>61</v>
      </c>
      <c r="J2047" s="26" t="n">
        <f aca="false">IF(A2047="","",YEAR(A2047))</f>
        <v>2026</v>
      </c>
      <c r="K2047" s="26" t="n">
        <f aca="false">IF(A2047="","",MONTH(A2047))</f>
        <v>7</v>
      </c>
      <c r="L2047" s="26" t="n">
        <f aca="false">IF(B2047="","",VALUE(LEFT(B2047,2)))</f>
        <v>14</v>
      </c>
      <c r="M2047" s="26" t="n">
        <f aca="false">IF(A2047="","",IF(COUNTIFS($C$2:$C$5001,C2047,$J$2:$J$5001,J2047,$A$2:$A$5001,"&lt;"&amp;A2047)=0,1,0))</f>
        <v>0</v>
      </c>
    </row>
    <row r="2048" customFormat="false" ht="15" hidden="false" customHeight="false" outlineLevel="0" collapsed="false">
      <c r="A2048" s="23" t="n">
        <v>46212.6555555556</v>
      </c>
      <c r="B2048" s="24" t="s">
        <v>180</v>
      </c>
      <c r="C2048" s="24" t="s">
        <v>339</v>
      </c>
      <c r="D2048" s="24" t="s">
        <v>66</v>
      </c>
      <c r="E2048" s="24" t="n">
        <v>404</v>
      </c>
      <c r="F2048" s="25" t="n">
        <v>14000</v>
      </c>
      <c r="G2048" s="24" t="s">
        <v>59</v>
      </c>
      <c r="H2048" s="24" t="s">
        <v>60</v>
      </c>
      <c r="I2048" s="24" t="s">
        <v>61</v>
      </c>
      <c r="J2048" s="26" t="n">
        <f aca="false">IF(A2048="","",YEAR(A2048))</f>
        <v>2026</v>
      </c>
      <c r="K2048" s="26" t="n">
        <f aca="false">IF(A2048="","",MONTH(A2048))</f>
        <v>7</v>
      </c>
      <c r="L2048" s="26" t="n">
        <f aca="false">IF(B2048="","",VALUE(LEFT(B2048,2)))</f>
        <v>9</v>
      </c>
      <c r="M2048" s="26" t="n">
        <f aca="false">IF(A2048="","",IF(COUNTIFS($C$2:$C$5001,C2048,$J$2:$J$5001,J2048,$A$2:$A$5001,"&lt;"&amp;A2048)=0,1,0))</f>
        <v>0</v>
      </c>
    </row>
    <row r="2049" customFormat="false" ht="15" hidden="false" customHeight="false" outlineLevel="0" collapsed="false">
      <c r="A2049" s="23" t="n">
        <v>46212.9451388889</v>
      </c>
      <c r="B2049" s="24" t="s">
        <v>892</v>
      </c>
      <c r="C2049" s="24" t="s">
        <v>345</v>
      </c>
      <c r="D2049" s="24" t="s">
        <v>53</v>
      </c>
      <c r="E2049" s="24" t="n">
        <v>143</v>
      </c>
      <c r="F2049" s="25" t="n">
        <v>0</v>
      </c>
      <c r="G2049" s="24" t="s">
        <v>79</v>
      </c>
      <c r="H2049" s="24" t="s">
        <v>60</v>
      </c>
      <c r="I2049" s="24" t="s">
        <v>56</v>
      </c>
      <c r="J2049" s="26" t="n">
        <f aca="false">IF(A2049="","",YEAR(A2049))</f>
        <v>2026</v>
      </c>
      <c r="K2049" s="26" t="n">
        <f aca="false">IF(A2049="","",MONTH(A2049))</f>
        <v>7</v>
      </c>
      <c r="L2049" s="26" t="n">
        <f aca="false">IF(B2049="","",VALUE(LEFT(B2049,2)))</f>
        <v>20</v>
      </c>
      <c r="M2049" s="26" t="n">
        <f aca="false">IF(A2049="","",IF(COUNTIFS($C$2:$C$5001,C2049,$J$2:$J$5001,J2049,$A$2:$A$5001,"&lt;"&amp;A2049)=0,1,0))</f>
        <v>0</v>
      </c>
    </row>
    <row r="2050" customFormat="false" ht="15" hidden="false" customHeight="false" outlineLevel="0" collapsed="false">
      <c r="A2050" s="23" t="n">
        <v>46213.3895833333</v>
      </c>
      <c r="B2050" s="24" t="s">
        <v>171</v>
      </c>
      <c r="C2050" s="24" t="s">
        <v>78</v>
      </c>
      <c r="D2050" s="24" t="s">
        <v>53</v>
      </c>
      <c r="E2050" s="24" t="n">
        <v>115</v>
      </c>
      <c r="F2050" s="25" t="n">
        <v>2000</v>
      </c>
      <c r="G2050" s="24" t="s">
        <v>59</v>
      </c>
      <c r="H2050" s="24" t="s">
        <v>55</v>
      </c>
      <c r="I2050" s="24" t="s">
        <v>61</v>
      </c>
      <c r="J2050" s="26" t="n">
        <f aca="false">IF(A2050="","",YEAR(A2050))</f>
        <v>2026</v>
      </c>
      <c r="K2050" s="26" t="n">
        <f aca="false">IF(A2050="","",MONTH(A2050))</f>
        <v>7</v>
      </c>
      <c r="L2050" s="26" t="n">
        <f aca="false">IF(B2050="","",VALUE(LEFT(B2050,2)))</f>
        <v>7</v>
      </c>
      <c r="M2050" s="26" t="n">
        <f aca="false">IF(A2050="","",IF(COUNTIFS($C$2:$C$5001,C2050,$J$2:$J$5001,J2050,$A$2:$A$5001,"&lt;"&amp;A2050)=0,1,0))</f>
        <v>0</v>
      </c>
    </row>
    <row r="2051" customFormat="false" ht="15" hidden="false" customHeight="false" outlineLevel="0" collapsed="false">
      <c r="A2051" s="23" t="n">
        <v>46213.5381944445</v>
      </c>
      <c r="B2051" s="24" t="s">
        <v>449</v>
      </c>
      <c r="C2051" s="24" t="s">
        <v>94</v>
      </c>
      <c r="D2051" s="24" t="s">
        <v>66</v>
      </c>
      <c r="E2051" s="24" t="n">
        <v>199</v>
      </c>
      <c r="F2051" s="25" t="n">
        <v>7000</v>
      </c>
      <c r="G2051" s="24" t="s">
        <v>59</v>
      </c>
      <c r="H2051" s="24" t="s">
        <v>80</v>
      </c>
      <c r="I2051" s="24" t="s">
        <v>61</v>
      </c>
      <c r="J2051" s="26" t="n">
        <f aca="false">IF(A2051="","",YEAR(A2051))</f>
        <v>2026</v>
      </c>
      <c r="K2051" s="26" t="n">
        <f aca="false">IF(A2051="","",MONTH(A2051))</f>
        <v>7</v>
      </c>
      <c r="L2051" s="26" t="n">
        <f aca="false">IF(B2051="","",VALUE(LEFT(B2051,2)))</f>
        <v>9</v>
      </c>
      <c r="M2051" s="26" t="n">
        <f aca="false">IF(A2051="","",IF(COUNTIFS($C$2:$C$5001,C2051,$J$2:$J$5001,J2051,$A$2:$A$5001,"&lt;"&amp;A2051)=0,1,0))</f>
        <v>0</v>
      </c>
    </row>
    <row r="2052" customFormat="false" ht="15" hidden="false" customHeight="false" outlineLevel="0" collapsed="false">
      <c r="A2052" s="23" t="n">
        <v>46213.5541666667</v>
      </c>
      <c r="B2052" s="24" t="s">
        <v>584</v>
      </c>
      <c r="C2052" s="24" t="s">
        <v>143</v>
      </c>
      <c r="D2052" s="24" t="s">
        <v>53</v>
      </c>
      <c r="E2052" s="24" t="n">
        <v>117</v>
      </c>
      <c r="F2052" s="25" t="n">
        <v>2000</v>
      </c>
      <c r="G2052" s="24" t="s">
        <v>59</v>
      </c>
      <c r="H2052" s="24" t="s">
        <v>80</v>
      </c>
      <c r="I2052" s="24" t="s">
        <v>61</v>
      </c>
      <c r="J2052" s="26" t="n">
        <f aca="false">IF(A2052="","",YEAR(A2052))</f>
        <v>2026</v>
      </c>
      <c r="K2052" s="26" t="n">
        <f aca="false">IF(A2052="","",MONTH(A2052))</f>
        <v>7</v>
      </c>
      <c r="L2052" s="26" t="n">
        <f aca="false">IF(B2052="","",VALUE(LEFT(B2052,2)))</f>
        <v>11</v>
      </c>
      <c r="M2052" s="26" t="n">
        <f aca="false">IF(A2052="","",IF(COUNTIFS($C$2:$C$5001,C2052,$J$2:$J$5001,J2052,$A$2:$A$5001,"&lt;"&amp;A2052)=0,1,0))</f>
        <v>0</v>
      </c>
    </row>
    <row r="2053" customFormat="false" ht="15" hidden="false" customHeight="false" outlineLevel="0" collapsed="false">
      <c r="A2053" s="23" t="n">
        <v>46213.5930555556</v>
      </c>
      <c r="B2053" s="24" t="s">
        <v>504</v>
      </c>
      <c r="C2053" s="24" t="s">
        <v>737</v>
      </c>
      <c r="D2053" s="24" t="s">
        <v>88</v>
      </c>
      <c r="E2053" s="24" t="n">
        <v>375</v>
      </c>
      <c r="F2053" s="25" t="n">
        <v>19500</v>
      </c>
      <c r="G2053" s="24" t="s">
        <v>59</v>
      </c>
      <c r="H2053" s="24" t="s">
        <v>80</v>
      </c>
      <c r="I2053" s="24" t="s">
        <v>61</v>
      </c>
      <c r="J2053" s="26" t="n">
        <f aca="false">IF(A2053="","",YEAR(A2053))</f>
        <v>2026</v>
      </c>
      <c r="K2053" s="26" t="n">
        <f aca="false">IF(A2053="","",MONTH(A2053))</f>
        <v>7</v>
      </c>
      <c r="L2053" s="26" t="n">
        <f aca="false">IF(B2053="","",VALUE(LEFT(B2053,2)))</f>
        <v>7</v>
      </c>
      <c r="M2053" s="26" t="n">
        <f aca="false">IF(A2053="","",IF(COUNTIFS($C$2:$C$5001,C2053,$J$2:$J$5001,J2053,$A$2:$A$5001,"&lt;"&amp;A2053)=0,1,0))</f>
        <v>0</v>
      </c>
    </row>
    <row r="2054" customFormat="false" ht="15" hidden="false" customHeight="false" outlineLevel="0" collapsed="false">
      <c r="A2054" s="23" t="n">
        <v>46213.6993055556</v>
      </c>
      <c r="B2054" s="24" t="s">
        <v>337</v>
      </c>
      <c r="C2054" s="24" t="s">
        <v>58</v>
      </c>
      <c r="D2054" s="24" t="s">
        <v>53</v>
      </c>
      <c r="E2054" s="24" t="n">
        <v>302</v>
      </c>
      <c r="F2054" s="25" t="n">
        <v>4675</v>
      </c>
      <c r="G2054" s="24" t="s">
        <v>59</v>
      </c>
      <c r="H2054" s="24" t="s">
        <v>60</v>
      </c>
      <c r="I2054" s="24" t="s">
        <v>113</v>
      </c>
      <c r="J2054" s="26" t="n">
        <f aca="false">IF(A2054="","",YEAR(A2054))</f>
        <v>2026</v>
      </c>
      <c r="K2054" s="26" t="n">
        <f aca="false">IF(A2054="","",MONTH(A2054))</f>
        <v>7</v>
      </c>
      <c r="L2054" s="26" t="n">
        <f aca="false">IF(B2054="","",VALUE(LEFT(B2054,2)))</f>
        <v>11</v>
      </c>
      <c r="M2054" s="26" t="n">
        <f aca="false">IF(A2054="","",IF(COUNTIFS($C$2:$C$5001,C2054,$J$2:$J$5001,J2054,$A$2:$A$5001,"&lt;"&amp;A2054)=0,1,0))</f>
        <v>0</v>
      </c>
    </row>
    <row r="2055" customFormat="false" ht="15" hidden="false" customHeight="false" outlineLevel="0" collapsed="false">
      <c r="A2055" s="23" t="n">
        <v>46213.8090277778</v>
      </c>
      <c r="B2055" s="24" t="s">
        <v>851</v>
      </c>
      <c r="C2055" s="24" t="s">
        <v>164</v>
      </c>
      <c r="D2055" s="24" t="s">
        <v>66</v>
      </c>
      <c r="E2055" s="24" t="n">
        <v>225</v>
      </c>
      <c r="F2055" s="25" t="n">
        <v>8000</v>
      </c>
      <c r="G2055" s="24" t="s">
        <v>69</v>
      </c>
      <c r="H2055" s="24" t="s">
        <v>80</v>
      </c>
      <c r="I2055" s="24" t="s">
        <v>61</v>
      </c>
      <c r="J2055" s="26" t="n">
        <f aca="false">IF(A2055="","",YEAR(A2055))</f>
        <v>2026</v>
      </c>
      <c r="K2055" s="26" t="n">
        <f aca="false">IF(A2055="","",MONTH(A2055))</f>
        <v>7</v>
      </c>
      <c r="L2055" s="26" t="n">
        <f aca="false">IF(B2055="","",VALUE(LEFT(B2055,2)))</f>
        <v>15</v>
      </c>
      <c r="M2055" s="26" t="n">
        <f aca="false">IF(A2055="","",IF(COUNTIFS($C$2:$C$5001,C2055,$J$2:$J$5001,J2055,$A$2:$A$5001,"&lt;"&amp;A2055)=0,1,0))</f>
        <v>0</v>
      </c>
    </row>
    <row r="2056" customFormat="false" ht="15" hidden="false" customHeight="false" outlineLevel="0" collapsed="false">
      <c r="A2056" s="23" t="n">
        <v>46213.8368055556</v>
      </c>
      <c r="B2056" s="24" t="s">
        <v>250</v>
      </c>
      <c r="C2056" s="24" t="s">
        <v>150</v>
      </c>
      <c r="D2056" s="24" t="s">
        <v>88</v>
      </c>
      <c r="E2056" s="24" t="n">
        <v>323</v>
      </c>
      <c r="F2056" s="25" t="n">
        <v>16500</v>
      </c>
      <c r="G2056" s="24" t="s">
        <v>69</v>
      </c>
      <c r="H2056" s="24" t="s">
        <v>80</v>
      </c>
      <c r="I2056" s="24" t="s">
        <v>61</v>
      </c>
      <c r="J2056" s="26" t="n">
        <f aca="false">IF(A2056="","",YEAR(A2056))</f>
        <v>2026</v>
      </c>
      <c r="K2056" s="26" t="n">
        <f aca="false">IF(A2056="","",MONTH(A2056))</f>
        <v>7</v>
      </c>
      <c r="L2056" s="26" t="n">
        <f aca="false">IF(B2056="","",VALUE(LEFT(B2056,2)))</f>
        <v>14</v>
      </c>
      <c r="M2056" s="26" t="n">
        <f aca="false">IF(A2056="","",IF(COUNTIFS($C$2:$C$5001,C2056,$J$2:$J$5001,J2056,$A$2:$A$5001,"&lt;"&amp;A2056)=0,1,0))</f>
        <v>0</v>
      </c>
    </row>
    <row r="2057" customFormat="false" ht="15" hidden="false" customHeight="false" outlineLevel="0" collapsed="false">
      <c r="A2057" s="23" t="n">
        <v>46213.9645833333</v>
      </c>
      <c r="B2057" s="24" t="s">
        <v>216</v>
      </c>
      <c r="C2057" s="24" t="s">
        <v>156</v>
      </c>
      <c r="D2057" s="24" t="s">
        <v>66</v>
      </c>
      <c r="E2057" s="24" t="n">
        <v>346</v>
      </c>
      <c r="F2057" s="25" t="n">
        <v>12000</v>
      </c>
      <c r="G2057" s="24" t="s">
        <v>59</v>
      </c>
      <c r="H2057" s="24" t="s">
        <v>80</v>
      </c>
      <c r="I2057" s="24" t="s">
        <v>61</v>
      </c>
      <c r="J2057" s="26" t="n">
        <f aca="false">IF(A2057="","",YEAR(A2057))</f>
        <v>2026</v>
      </c>
      <c r="K2057" s="26" t="n">
        <f aca="false">IF(A2057="","",MONTH(A2057))</f>
        <v>7</v>
      </c>
      <c r="L2057" s="26" t="n">
        <f aca="false">IF(B2057="","",VALUE(LEFT(B2057,2)))</f>
        <v>17</v>
      </c>
      <c r="M2057" s="26" t="n">
        <f aca="false">IF(A2057="","",IF(COUNTIFS($C$2:$C$5001,C2057,$J$2:$J$5001,J2057,$A$2:$A$5001,"&lt;"&amp;A2057)=0,1,0))</f>
        <v>0</v>
      </c>
    </row>
    <row r="2058" customFormat="false" ht="15" hidden="false" customHeight="false" outlineLevel="0" collapsed="false">
      <c r="A2058" s="23" t="n">
        <v>46214.0215277778</v>
      </c>
      <c r="B2058" s="24" t="s">
        <v>808</v>
      </c>
      <c r="C2058" s="24" t="s">
        <v>213</v>
      </c>
      <c r="D2058" s="24" t="s">
        <v>66</v>
      </c>
      <c r="E2058" s="24" t="n">
        <v>229</v>
      </c>
      <c r="F2058" s="25" t="n">
        <v>8000</v>
      </c>
      <c r="G2058" s="24" t="s">
        <v>59</v>
      </c>
      <c r="H2058" s="24" t="s">
        <v>80</v>
      </c>
      <c r="I2058" s="24" t="s">
        <v>61</v>
      </c>
      <c r="J2058" s="26" t="n">
        <f aca="false">IF(A2058="","",YEAR(A2058))</f>
        <v>2026</v>
      </c>
      <c r="K2058" s="26" t="n">
        <f aca="false">IF(A2058="","",MONTH(A2058))</f>
        <v>7</v>
      </c>
      <c r="L2058" s="26" t="n">
        <f aca="false">IF(B2058="","",VALUE(LEFT(B2058,2)))</f>
        <v>20</v>
      </c>
      <c r="M2058" s="26" t="n">
        <f aca="false">IF(A2058="","",IF(COUNTIFS($C$2:$C$5001,C2058,$J$2:$J$5001,J2058,$A$2:$A$5001,"&lt;"&amp;A2058)=0,1,0))</f>
        <v>0</v>
      </c>
    </row>
    <row r="2059" customFormat="false" ht="15" hidden="false" customHeight="false" outlineLevel="0" collapsed="false">
      <c r="A2059" s="23" t="n">
        <v>46214.5388888889</v>
      </c>
      <c r="B2059" s="24" t="s">
        <v>304</v>
      </c>
      <c r="C2059" s="24" t="s">
        <v>141</v>
      </c>
      <c r="D2059" s="24" t="s">
        <v>66</v>
      </c>
      <c r="E2059" s="24" t="n">
        <v>250</v>
      </c>
      <c r="F2059" s="25" t="n">
        <v>7650</v>
      </c>
      <c r="G2059" s="24" t="s">
        <v>59</v>
      </c>
      <c r="H2059" s="24" t="s">
        <v>60</v>
      </c>
      <c r="I2059" s="24" t="s">
        <v>113</v>
      </c>
      <c r="J2059" s="26" t="n">
        <f aca="false">IF(A2059="","",YEAR(A2059))</f>
        <v>2026</v>
      </c>
      <c r="K2059" s="26" t="n">
        <f aca="false">IF(A2059="","",MONTH(A2059))</f>
        <v>7</v>
      </c>
      <c r="L2059" s="26" t="n">
        <f aca="false">IF(B2059="","",VALUE(LEFT(B2059,2)))</f>
        <v>8</v>
      </c>
      <c r="M2059" s="26" t="n">
        <f aca="false">IF(A2059="","",IF(COUNTIFS($C$2:$C$5001,C2059,$J$2:$J$5001,J2059,$A$2:$A$5001,"&lt;"&amp;A2059)=0,1,0))</f>
        <v>0</v>
      </c>
    </row>
    <row r="2060" customFormat="false" ht="15" hidden="false" customHeight="false" outlineLevel="0" collapsed="false">
      <c r="A2060" s="23" t="n">
        <v>46214.6909722222</v>
      </c>
      <c r="B2060" s="24" t="s">
        <v>850</v>
      </c>
      <c r="C2060" s="24" t="s">
        <v>160</v>
      </c>
      <c r="D2060" s="24" t="s">
        <v>66</v>
      </c>
      <c r="E2060" s="24" t="n">
        <v>90</v>
      </c>
      <c r="F2060" s="25" t="n">
        <v>3000</v>
      </c>
      <c r="G2060" s="24" t="s">
        <v>69</v>
      </c>
      <c r="H2060" s="24" t="s">
        <v>80</v>
      </c>
      <c r="I2060" s="24" t="s">
        <v>61</v>
      </c>
      <c r="J2060" s="26" t="n">
        <f aca="false">IF(A2060="","",YEAR(A2060))</f>
        <v>2026</v>
      </c>
      <c r="K2060" s="26" t="n">
        <f aca="false">IF(A2060="","",MONTH(A2060))</f>
        <v>7</v>
      </c>
      <c r="L2060" s="26" t="n">
        <f aca="false">IF(B2060="","",VALUE(LEFT(B2060,2)))</f>
        <v>15</v>
      </c>
      <c r="M2060" s="26" t="n">
        <f aca="false">IF(A2060="","",IF(COUNTIFS($C$2:$C$5001,C2060,$J$2:$J$5001,J2060,$A$2:$A$5001,"&lt;"&amp;A2060)=0,1,0))</f>
        <v>0</v>
      </c>
    </row>
    <row r="2061" customFormat="false" ht="15" hidden="false" customHeight="false" outlineLevel="0" collapsed="false">
      <c r="A2061" s="23" t="n">
        <v>46215.7506944445</v>
      </c>
      <c r="B2061" s="24" t="s">
        <v>786</v>
      </c>
      <c r="C2061" s="24" t="s">
        <v>290</v>
      </c>
      <c r="D2061" s="24" t="s">
        <v>66</v>
      </c>
      <c r="E2061" s="24" t="n">
        <v>23</v>
      </c>
      <c r="F2061" s="25" t="n">
        <v>1000</v>
      </c>
      <c r="G2061" s="24" t="s">
        <v>59</v>
      </c>
      <c r="H2061" s="24" t="s">
        <v>60</v>
      </c>
      <c r="I2061" s="24" t="s">
        <v>61</v>
      </c>
      <c r="J2061" s="26" t="n">
        <f aca="false">IF(A2061="","",YEAR(A2061))</f>
        <v>2026</v>
      </c>
      <c r="K2061" s="26" t="n">
        <f aca="false">IF(A2061="","",MONTH(A2061))</f>
        <v>7</v>
      </c>
      <c r="L2061" s="26" t="n">
        <f aca="false">IF(B2061="","",VALUE(LEFT(B2061,2)))</f>
        <v>17</v>
      </c>
      <c r="M2061" s="26" t="n">
        <f aca="false">IF(A2061="","",IF(COUNTIFS($C$2:$C$5001,C2061,$J$2:$J$5001,J2061,$A$2:$A$5001,"&lt;"&amp;A2061)=0,1,0))</f>
        <v>0</v>
      </c>
    </row>
    <row r="2062" customFormat="false" ht="15" hidden="false" customHeight="false" outlineLevel="0" collapsed="false">
      <c r="A2062" s="23" t="n">
        <v>46215.7923611111</v>
      </c>
      <c r="B2062" s="24" t="s">
        <v>914</v>
      </c>
      <c r="C2062" s="24" t="s">
        <v>237</v>
      </c>
      <c r="D2062" s="24" t="s">
        <v>66</v>
      </c>
      <c r="E2062" s="24" t="n">
        <v>63</v>
      </c>
      <c r="F2062" s="25" t="n">
        <v>3000</v>
      </c>
      <c r="G2062" s="24" t="s">
        <v>69</v>
      </c>
      <c r="H2062" s="24" t="s">
        <v>55</v>
      </c>
      <c r="I2062" s="24" t="s">
        <v>61</v>
      </c>
      <c r="J2062" s="26" t="n">
        <f aca="false">IF(A2062="","",YEAR(A2062))</f>
        <v>2026</v>
      </c>
      <c r="K2062" s="26" t="n">
        <f aca="false">IF(A2062="","",MONTH(A2062))</f>
        <v>7</v>
      </c>
      <c r="L2062" s="26" t="n">
        <f aca="false">IF(B2062="","",VALUE(LEFT(B2062,2)))</f>
        <v>17</v>
      </c>
      <c r="M2062" s="26" t="n">
        <f aca="false">IF(A2062="","",IF(COUNTIFS($C$2:$C$5001,C2062,$J$2:$J$5001,J2062,$A$2:$A$5001,"&lt;"&amp;A2062)=0,1,0))</f>
        <v>0</v>
      </c>
    </row>
    <row r="2063" customFormat="false" ht="15" hidden="false" customHeight="false" outlineLevel="0" collapsed="false">
      <c r="A2063" s="23" t="n">
        <v>46215.8340277778</v>
      </c>
      <c r="B2063" s="24" t="s">
        <v>801</v>
      </c>
      <c r="C2063" s="24" t="s">
        <v>138</v>
      </c>
      <c r="D2063" s="24" t="s">
        <v>66</v>
      </c>
      <c r="E2063" s="24" t="n">
        <v>88</v>
      </c>
      <c r="F2063" s="25" t="n">
        <v>2550</v>
      </c>
      <c r="G2063" s="24" t="s">
        <v>69</v>
      </c>
      <c r="H2063" s="24" t="s">
        <v>60</v>
      </c>
      <c r="I2063" s="24" t="s">
        <v>113</v>
      </c>
      <c r="J2063" s="26" t="n">
        <f aca="false">IF(A2063="","",YEAR(A2063))</f>
        <v>2026</v>
      </c>
      <c r="K2063" s="26" t="n">
        <f aca="false">IF(A2063="","",MONTH(A2063))</f>
        <v>7</v>
      </c>
      <c r="L2063" s="26" t="n">
        <f aca="false">IF(B2063="","",VALUE(LEFT(B2063,2)))</f>
        <v>18</v>
      </c>
      <c r="M2063" s="26" t="n">
        <f aca="false">IF(A2063="","",IF(COUNTIFS($C$2:$C$5001,C2063,$J$2:$J$5001,J2063,$A$2:$A$5001,"&lt;"&amp;A2063)=0,1,0))</f>
        <v>0</v>
      </c>
    </row>
    <row r="2064" customFormat="false" ht="15" hidden="false" customHeight="false" outlineLevel="0" collapsed="false">
      <c r="A2064" s="23" t="n">
        <v>46215.8756944445</v>
      </c>
      <c r="B2064" s="24" t="s">
        <v>629</v>
      </c>
      <c r="C2064" s="24" t="s">
        <v>396</v>
      </c>
      <c r="D2064" s="24" t="s">
        <v>66</v>
      </c>
      <c r="E2064" s="24" t="n">
        <v>313</v>
      </c>
      <c r="F2064" s="25" t="n">
        <v>11000</v>
      </c>
      <c r="G2064" s="24" t="s">
        <v>79</v>
      </c>
      <c r="H2064" s="24" t="s">
        <v>60</v>
      </c>
      <c r="I2064" s="24" t="s">
        <v>61</v>
      </c>
      <c r="J2064" s="26" t="n">
        <f aca="false">IF(A2064="","",YEAR(A2064))</f>
        <v>2026</v>
      </c>
      <c r="K2064" s="26" t="n">
        <f aca="false">IF(A2064="","",MONTH(A2064))</f>
        <v>7</v>
      </c>
      <c r="L2064" s="26" t="n">
        <f aca="false">IF(B2064="","",VALUE(LEFT(B2064,2)))</f>
        <v>15</v>
      </c>
      <c r="M2064" s="26" t="n">
        <f aca="false">IF(A2064="","",IF(COUNTIFS($C$2:$C$5001,C2064,$J$2:$J$5001,J2064,$A$2:$A$5001,"&lt;"&amp;A2064)=0,1,0))</f>
        <v>0</v>
      </c>
    </row>
    <row r="2065" customFormat="false" ht="15" hidden="false" customHeight="false" outlineLevel="0" collapsed="false">
      <c r="A2065" s="23" t="n">
        <v>46215.9798611111</v>
      </c>
      <c r="B2065" s="24" t="s">
        <v>835</v>
      </c>
      <c r="C2065" s="24" t="s">
        <v>519</v>
      </c>
      <c r="D2065" s="24" t="s">
        <v>66</v>
      </c>
      <c r="E2065" s="24" t="n">
        <v>308</v>
      </c>
      <c r="F2065" s="25" t="n">
        <v>11000</v>
      </c>
      <c r="G2065" s="24" t="s">
        <v>69</v>
      </c>
      <c r="H2065" s="24" t="s">
        <v>60</v>
      </c>
      <c r="I2065" s="24" t="s">
        <v>61</v>
      </c>
      <c r="J2065" s="26" t="n">
        <f aca="false">IF(A2065="","",YEAR(A2065))</f>
        <v>2026</v>
      </c>
      <c r="K2065" s="26" t="n">
        <f aca="false">IF(A2065="","",MONTH(A2065))</f>
        <v>7</v>
      </c>
      <c r="L2065" s="26" t="n">
        <f aca="false">IF(B2065="","",VALUE(LEFT(B2065,2)))</f>
        <v>18</v>
      </c>
      <c r="M2065" s="26" t="n">
        <f aca="false">IF(A2065="","",IF(COUNTIFS($C$2:$C$5001,C2065,$J$2:$J$5001,J2065,$A$2:$A$5001,"&lt;"&amp;A2065)=0,1,0))</f>
        <v>0</v>
      </c>
    </row>
    <row r="2066" customFormat="false" ht="15" hidden="false" customHeight="false" outlineLevel="0" collapsed="false">
      <c r="A2066" s="23" t="n">
        <v>46216.31875</v>
      </c>
      <c r="B2066" s="24" t="s">
        <v>421</v>
      </c>
      <c r="C2066" s="24" t="s">
        <v>345</v>
      </c>
      <c r="D2066" s="24" t="s">
        <v>53</v>
      </c>
      <c r="E2066" s="24" t="n">
        <v>27</v>
      </c>
      <c r="F2066" s="25" t="n">
        <v>500</v>
      </c>
      <c r="G2066" s="24" t="s">
        <v>59</v>
      </c>
      <c r="H2066" s="24" t="s">
        <v>80</v>
      </c>
      <c r="I2066" s="24" t="s">
        <v>61</v>
      </c>
      <c r="J2066" s="26" t="n">
        <f aca="false">IF(A2066="","",YEAR(A2066))</f>
        <v>2026</v>
      </c>
      <c r="K2066" s="26" t="n">
        <f aca="false">IF(A2066="","",MONTH(A2066))</f>
        <v>7</v>
      </c>
      <c r="L2066" s="26" t="n">
        <f aca="false">IF(B2066="","",VALUE(LEFT(B2066,2)))</f>
        <v>7</v>
      </c>
      <c r="M2066" s="26" t="n">
        <f aca="false">IF(A2066="","",IF(COUNTIFS($C$2:$C$5001,C2066,$J$2:$J$5001,J2066,$A$2:$A$5001,"&lt;"&amp;A2066)=0,1,0))</f>
        <v>0</v>
      </c>
    </row>
    <row r="2067" customFormat="false" ht="15" hidden="false" customHeight="false" outlineLevel="0" collapsed="false">
      <c r="A2067" s="23" t="n">
        <v>46216.4069444445</v>
      </c>
      <c r="B2067" s="24" t="s">
        <v>1013</v>
      </c>
      <c r="C2067" s="24" t="s">
        <v>609</v>
      </c>
      <c r="D2067" s="24" t="s">
        <v>72</v>
      </c>
      <c r="E2067" s="24" t="n">
        <v>143</v>
      </c>
      <c r="F2067" s="25" t="n">
        <v>10000</v>
      </c>
      <c r="G2067" s="24" t="s">
        <v>59</v>
      </c>
      <c r="H2067" s="24" t="s">
        <v>55</v>
      </c>
      <c r="I2067" s="24" t="s">
        <v>61</v>
      </c>
      <c r="J2067" s="26" t="n">
        <f aca="false">IF(A2067="","",YEAR(A2067))</f>
        <v>2026</v>
      </c>
      <c r="K2067" s="26" t="n">
        <f aca="false">IF(A2067="","",MONTH(A2067))</f>
        <v>7</v>
      </c>
      <c r="L2067" s="26" t="n">
        <f aca="false">IF(B2067="","",VALUE(LEFT(B2067,2)))</f>
        <v>7</v>
      </c>
      <c r="M2067" s="26" t="n">
        <f aca="false">IF(A2067="","",IF(COUNTIFS($C$2:$C$5001,C2067,$J$2:$J$5001,J2067,$A$2:$A$5001,"&lt;"&amp;A2067)=0,1,0))</f>
        <v>0</v>
      </c>
    </row>
    <row r="2068" customFormat="false" ht="15" hidden="false" customHeight="false" outlineLevel="0" collapsed="false">
      <c r="A2068" s="23" t="n">
        <v>46216.4465277778</v>
      </c>
      <c r="B2068" s="24" t="s">
        <v>341</v>
      </c>
      <c r="C2068" s="24" t="s">
        <v>243</v>
      </c>
      <c r="D2068" s="24" t="s">
        <v>53</v>
      </c>
      <c r="E2068" s="24" t="n">
        <v>35</v>
      </c>
      <c r="F2068" s="25" t="n">
        <v>1000</v>
      </c>
      <c r="G2068" s="24" t="s">
        <v>69</v>
      </c>
      <c r="H2068" s="24" t="s">
        <v>55</v>
      </c>
      <c r="I2068" s="24" t="s">
        <v>61</v>
      </c>
      <c r="J2068" s="26" t="n">
        <f aca="false">IF(A2068="","",YEAR(A2068))</f>
        <v>2026</v>
      </c>
      <c r="K2068" s="26" t="n">
        <f aca="false">IF(A2068="","",MONTH(A2068))</f>
        <v>7</v>
      </c>
      <c r="L2068" s="26" t="n">
        <f aca="false">IF(B2068="","",VALUE(LEFT(B2068,2)))</f>
        <v>10</v>
      </c>
      <c r="M2068" s="26" t="n">
        <f aca="false">IF(A2068="","",IF(COUNTIFS($C$2:$C$5001,C2068,$J$2:$J$5001,J2068,$A$2:$A$5001,"&lt;"&amp;A2068)=0,1,0))</f>
        <v>0</v>
      </c>
    </row>
    <row r="2069" customFormat="false" ht="15" hidden="false" customHeight="false" outlineLevel="0" collapsed="false">
      <c r="A2069" s="23" t="n">
        <v>46216.4895833333</v>
      </c>
      <c r="B2069" s="24" t="s">
        <v>933</v>
      </c>
      <c r="C2069" s="24" t="s">
        <v>138</v>
      </c>
      <c r="D2069" s="24" t="s">
        <v>53</v>
      </c>
      <c r="E2069" s="24" t="n">
        <v>196</v>
      </c>
      <c r="F2069" s="25" t="n">
        <v>2975</v>
      </c>
      <c r="G2069" s="24" t="s">
        <v>69</v>
      </c>
      <c r="H2069" s="24" t="s">
        <v>60</v>
      </c>
      <c r="I2069" s="24" t="s">
        <v>113</v>
      </c>
      <c r="J2069" s="26" t="n">
        <f aca="false">IF(A2069="","",YEAR(A2069))</f>
        <v>2026</v>
      </c>
      <c r="K2069" s="26" t="n">
        <f aca="false">IF(A2069="","",MONTH(A2069))</f>
        <v>7</v>
      </c>
      <c r="L2069" s="26" t="n">
        <f aca="false">IF(B2069="","",VALUE(LEFT(B2069,2)))</f>
        <v>8</v>
      </c>
      <c r="M2069" s="26" t="n">
        <f aca="false">IF(A2069="","",IF(COUNTIFS($C$2:$C$5001,C2069,$J$2:$J$5001,J2069,$A$2:$A$5001,"&lt;"&amp;A2069)=0,1,0))</f>
        <v>0</v>
      </c>
    </row>
    <row r="2070" customFormat="false" ht="15" hidden="false" customHeight="false" outlineLevel="0" collapsed="false">
      <c r="A2070" s="23" t="n">
        <v>46216.5673611111</v>
      </c>
      <c r="B2070" s="24" t="s">
        <v>620</v>
      </c>
      <c r="C2070" s="24" t="s">
        <v>324</v>
      </c>
      <c r="D2070" s="24" t="s">
        <v>53</v>
      </c>
      <c r="E2070" s="24" t="n">
        <v>303</v>
      </c>
      <c r="F2070" s="25" t="n">
        <v>5500</v>
      </c>
      <c r="G2070" s="24" t="s">
        <v>69</v>
      </c>
      <c r="H2070" s="24" t="s">
        <v>60</v>
      </c>
      <c r="I2070" s="24" t="s">
        <v>61</v>
      </c>
      <c r="J2070" s="26" t="n">
        <f aca="false">IF(A2070="","",YEAR(A2070))</f>
        <v>2026</v>
      </c>
      <c r="K2070" s="26" t="n">
        <f aca="false">IF(A2070="","",MONTH(A2070))</f>
        <v>7</v>
      </c>
      <c r="L2070" s="26" t="n">
        <f aca="false">IF(B2070="","",VALUE(LEFT(B2070,2)))</f>
        <v>8</v>
      </c>
      <c r="M2070" s="26" t="n">
        <f aca="false">IF(A2070="","",IF(COUNTIFS($C$2:$C$5001,C2070,$J$2:$J$5001,J2070,$A$2:$A$5001,"&lt;"&amp;A2070)=0,1,0))</f>
        <v>0</v>
      </c>
    </row>
    <row r="2071" customFormat="false" ht="15" hidden="false" customHeight="false" outlineLevel="0" collapsed="false">
      <c r="A2071" s="23" t="n">
        <v>46216.5680555556</v>
      </c>
      <c r="B2071" s="24" t="s">
        <v>569</v>
      </c>
      <c r="C2071" s="24" t="s">
        <v>92</v>
      </c>
      <c r="D2071" s="24" t="s">
        <v>88</v>
      </c>
      <c r="E2071" s="24" t="n">
        <v>357</v>
      </c>
      <c r="F2071" s="25" t="n">
        <v>18000</v>
      </c>
      <c r="G2071" s="24" t="s">
        <v>59</v>
      </c>
      <c r="H2071" s="24" t="s">
        <v>60</v>
      </c>
      <c r="I2071" s="24" t="s">
        <v>61</v>
      </c>
      <c r="J2071" s="26" t="n">
        <f aca="false">IF(A2071="","",YEAR(A2071))</f>
        <v>2026</v>
      </c>
      <c r="K2071" s="26" t="n">
        <f aca="false">IF(A2071="","",MONTH(A2071))</f>
        <v>7</v>
      </c>
      <c r="L2071" s="26" t="n">
        <f aca="false">IF(B2071="","",VALUE(LEFT(B2071,2)))</f>
        <v>7</v>
      </c>
      <c r="M2071" s="26" t="n">
        <f aca="false">IF(A2071="","",IF(COUNTIFS($C$2:$C$5001,C2071,$J$2:$J$5001,J2071,$A$2:$A$5001,"&lt;"&amp;A2071)=0,1,0))</f>
        <v>0</v>
      </c>
    </row>
    <row r="2072" customFormat="false" ht="15" hidden="false" customHeight="false" outlineLevel="0" collapsed="false">
      <c r="A2072" s="23" t="n">
        <v>46216.5708333333</v>
      </c>
      <c r="B2072" s="24" t="s">
        <v>627</v>
      </c>
      <c r="C2072" s="24" t="s">
        <v>436</v>
      </c>
      <c r="D2072" s="24" t="s">
        <v>66</v>
      </c>
      <c r="E2072" s="24" t="n">
        <v>347</v>
      </c>
      <c r="F2072" s="25" t="n">
        <v>12000</v>
      </c>
      <c r="G2072" s="24" t="s">
        <v>59</v>
      </c>
      <c r="H2072" s="24" t="s">
        <v>80</v>
      </c>
      <c r="I2072" s="24" t="s">
        <v>61</v>
      </c>
      <c r="J2072" s="26" t="n">
        <f aca="false">IF(A2072="","",YEAR(A2072))</f>
        <v>2026</v>
      </c>
      <c r="K2072" s="26" t="n">
        <f aca="false">IF(A2072="","",MONTH(A2072))</f>
        <v>7</v>
      </c>
      <c r="L2072" s="26" t="n">
        <f aca="false">IF(B2072="","",VALUE(LEFT(B2072,2)))</f>
        <v>7</v>
      </c>
      <c r="M2072" s="26" t="n">
        <f aca="false">IF(A2072="","",IF(COUNTIFS($C$2:$C$5001,C2072,$J$2:$J$5001,J2072,$A$2:$A$5001,"&lt;"&amp;A2072)=0,1,0))</f>
        <v>0</v>
      </c>
    </row>
    <row r="2073" customFormat="false" ht="15" hidden="false" customHeight="false" outlineLevel="0" collapsed="false">
      <c r="A2073" s="23" t="n">
        <v>46216.6138888889</v>
      </c>
      <c r="B2073" s="24" t="s">
        <v>528</v>
      </c>
      <c r="C2073" s="24" t="s">
        <v>90</v>
      </c>
      <c r="D2073" s="24" t="s">
        <v>53</v>
      </c>
      <c r="E2073" s="24" t="n">
        <v>415</v>
      </c>
      <c r="F2073" s="25" t="n">
        <v>0</v>
      </c>
      <c r="G2073" s="24" t="s">
        <v>59</v>
      </c>
      <c r="H2073" s="24" t="s">
        <v>55</v>
      </c>
      <c r="I2073" s="24" t="s">
        <v>56</v>
      </c>
      <c r="J2073" s="26" t="n">
        <f aca="false">IF(A2073="","",YEAR(A2073))</f>
        <v>2026</v>
      </c>
      <c r="K2073" s="26" t="n">
        <f aca="false">IF(A2073="","",MONTH(A2073))</f>
        <v>7</v>
      </c>
      <c r="L2073" s="26" t="n">
        <f aca="false">IF(B2073="","",VALUE(LEFT(B2073,2)))</f>
        <v>7</v>
      </c>
      <c r="M2073" s="26" t="n">
        <f aca="false">IF(A2073="","",IF(COUNTIFS($C$2:$C$5001,C2073,$J$2:$J$5001,J2073,$A$2:$A$5001,"&lt;"&amp;A2073)=0,1,0))</f>
        <v>0</v>
      </c>
    </row>
    <row r="2074" customFormat="false" ht="15" hidden="false" customHeight="false" outlineLevel="0" collapsed="false">
      <c r="A2074" s="23" t="n">
        <v>46216.7902777778</v>
      </c>
      <c r="B2074" s="24" t="s">
        <v>851</v>
      </c>
      <c r="C2074" s="24" t="s">
        <v>235</v>
      </c>
      <c r="D2074" s="24" t="s">
        <v>53</v>
      </c>
      <c r="E2074" s="24" t="n">
        <v>198</v>
      </c>
      <c r="F2074" s="25" t="n">
        <v>3500</v>
      </c>
      <c r="G2074" s="24" t="s">
        <v>59</v>
      </c>
      <c r="H2074" s="24" t="s">
        <v>55</v>
      </c>
      <c r="I2074" s="24" t="s">
        <v>61</v>
      </c>
      <c r="J2074" s="26" t="n">
        <f aca="false">IF(A2074="","",YEAR(A2074))</f>
        <v>2026</v>
      </c>
      <c r="K2074" s="26" t="n">
        <f aca="false">IF(A2074="","",MONTH(A2074))</f>
        <v>7</v>
      </c>
      <c r="L2074" s="26" t="n">
        <f aca="false">IF(B2074="","",VALUE(LEFT(B2074,2)))</f>
        <v>15</v>
      </c>
      <c r="M2074" s="26" t="n">
        <f aca="false">IF(A2074="","",IF(COUNTIFS($C$2:$C$5001,C2074,$J$2:$J$5001,J2074,$A$2:$A$5001,"&lt;"&amp;A2074)=0,1,0))</f>
        <v>0</v>
      </c>
    </row>
    <row r="2075" customFormat="false" ht="15" hidden="false" customHeight="false" outlineLevel="0" collapsed="false">
      <c r="A2075" s="23" t="n">
        <v>46216.8326388889</v>
      </c>
      <c r="B2075" s="24" t="s">
        <v>412</v>
      </c>
      <c r="C2075" s="24" t="s">
        <v>430</v>
      </c>
      <c r="D2075" s="24" t="s">
        <v>53</v>
      </c>
      <c r="E2075" s="24" t="n">
        <v>45</v>
      </c>
      <c r="F2075" s="25" t="n">
        <v>1000</v>
      </c>
      <c r="G2075" s="24" t="s">
        <v>59</v>
      </c>
      <c r="H2075" s="24" t="s">
        <v>55</v>
      </c>
      <c r="I2075" s="24" t="s">
        <v>61</v>
      </c>
      <c r="J2075" s="26" t="n">
        <f aca="false">IF(A2075="","",YEAR(A2075))</f>
        <v>2026</v>
      </c>
      <c r="K2075" s="26" t="n">
        <f aca="false">IF(A2075="","",MONTH(A2075))</f>
        <v>7</v>
      </c>
      <c r="L2075" s="26" t="n">
        <f aca="false">IF(B2075="","",VALUE(LEFT(B2075,2)))</f>
        <v>19</v>
      </c>
      <c r="M2075" s="26" t="n">
        <f aca="false">IF(A2075="","",IF(COUNTIFS($C$2:$C$5001,C2075,$J$2:$J$5001,J2075,$A$2:$A$5001,"&lt;"&amp;A2075)=0,1,0))</f>
        <v>0</v>
      </c>
    </row>
    <row r="2076" customFormat="false" ht="15" hidden="false" customHeight="false" outlineLevel="0" collapsed="false">
      <c r="A2076" s="23" t="n">
        <v>46217.0159722222</v>
      </c>
      <c r="B2076" s="24" t="s">
        <v>378</v>
      </c>
      <c r="C2076" s="24" t="s">
        <v>123</v>
      </c>
      <c r="D2076" s="24" t="s">
        <v>53</v>
      </c>
      <c r="E2076" s="24" t="n">
        <v>351</v>
      </c>
      <c r="F2076" s="25" t="n">
        <v>5100</v>
      </c>
      <c r="G2076" s="24" t="s">
        <v>83</v>
      </c>
      <c r="H2076" s="24" t="s">
        <v>55</v>
      </c>
      <c r="I2076" s="24" t="s">
        <v>113</v>
      </c>
      <c r="J2076" s="26" t="n">
        <f aca="false">IF(A2076="","",YEAR(A2076))</f>
        <v>2026</v>
      </c>
      <c r="K2076" s="26" t="n">
        <f aca="false">IF(A2076="","",MONTH(A2076))</f>
        <v>7</v>
      </c>
      <c r="L2076" s="26" t="n">
        <f aca="false">IF(B2076="","",VALUE(LEFT(B2076,2)))</f>
        <v>18</v>
      </c>
      <c r="M2076" s="26" t="n">
        <f aca="false">IF(A2076="","",IF(COUNTIFS($C$2:$C$5001,C2076,$J$2:$J$5001,J2076,$A$2:$A$5001,"&lt;"&amp;A2076)=0,1,0))</f>
        <v>0</v>
      </c>
    </row>
    <row r="2077" customFormat="false" ht="15" hidden="false" customHeight="false" outlineLevel="0" collapsed="false">
      <c r="A2077" s="23" t="n">
        <v>46217.4152777778</v>
      </c>
      <c r="B2077" s="24" t="s">
        <v>604</v>
      </c>
      <c r="C2077" s="24" t="s">
        <v>391</v>
      </c>
      <c r="D2077" s="24" t="s">
        <v>53</v>
      </c>
      <c r="E2077" s="24" t="n">
        <v>108</v>
      </c>
      <c r="F2077" s="25" t="n">
        <v>2000</v>
      </c>
      <c r="G2077" s="24" t="s">
        <v>79</v>
      </c>
      <c r="H2077" s="24" t="s">
        <v>60</v>
      </c>
      <c r="I2077" s="24" t="s">
        <v>61</v>
      </c>
      <c r="J2077" s="26" t="n">
        <f aca="false">IF(A2077="","",YEAR(A2077))</f>
        <v>2026</v>
      </c>
      <c r="K2077" s="26" t="n">
        <f aca="false">IF(A2077="","",MONTH(A2077))</f>
        <v>7</v>
      </c>
      <c r="L2077" s="26" t="n">
        <f aca="false">IF(B2077="","",VALUE(LEFT(B2077,2)))</f>
        <v>8</v>
      </c>
      <c r="M2077" s="26" t="n">
        <f aca="false">IF(A2077="","",IF(COUNTIFS($C$2:$C$5001,C2077,$J$2:$J$5001,J2077,$A$2:$A$5001,"&lt;"&amp;A2077)=0,1,0))</f>
        <v>0</v>
      </c>
    </row>
    <row r="2078" customFormat="false" ht="15" hidden="false" customHeight="false" outlineLevel="0" collapsed="false">
      <c r="A2078" s="23" t="n">
        <v>46217.6798611111</v>
      </c>
      <c r="B2078" s="24" t="s">
        <v>563</v>
      </c>
      <c r="C2078" s="24" t="s">
        <v>737</v>
      </c>
      <c r="D2078" s="24" t="s">
        <v>66</v>
      </c>
      <c r="E2078" s="24" t="n">
        <v>218</v>
      </c>
      <c r="F2078" s="25" t="n">
        <v>8000</v>
      </c>
      <c r="G2078" s="24" t="s">
        <v>79</v>
      </c>
      <c r="H2078" s="24" t="s">
        <v>60</v>
      </c>
      <c r="I2078" s="24" t="s">
        <v>61</v>
      </c>
      <c r="J2078" s="26" t="n">
        <f aca="false">IF(A2078="","",YEAR(A2078))</f>
        <v>2026</v>
      </c>
      <c r="K2078" s="26" t="n">
        <f aca="false">IF(A2078="","",MONTH(A2078))</f>
        <v>7</v>
      </c>
      <c r="L2078" s="26" t="n">
        <f aca="false">IF(B2078="","",VALUE(LEFT(B2078,2)))</f>
        <v>12</v>
      </c>
      <c r="M2078" s="26" t="n">
        <f aca="false">IF(A2078="","",IF(COUNTIFS($C$2:$C$5001,C2078,$J$2:$J$5001,J2078,$A$2:$A$5001,"&lt;"&amp;A2078)=0,1,0))</f>
        <v>0</v>
      </c>
    </row>
    <row r="2079" customFormat="false" ht="15" hidden="false" customHeight="false" outlineLevel="0" collapsed="false">
      <c r="A2079" s="23" t="n">
        <v>46217.9798611111</v>
      </c>
      <c r="B2079" s="24" t="s">
        <v>1020</v>
      </c>
      <c r="C2079" s="24" t="s">
        <v>136</v>
      </c>
      <c r="D2079" s="24" t="s">
        <v>66</v>
      </c>
      <c r="E2079" s="24" t="n">
        <v>253</v>
      </c>
      <c r="F2079" s="25" t="n">
        <v>9000</v>
      </c>
      <c r="G2079" s="24" t="s">
        <v>83</v>
      </c>
      <c r="H2079" s="24" t="s">
        <v>60</v>
      </c>
      <c r="I2079" s="24" t="s">
        <v>61</v>
      </c>
      <c r="J2079" s="26" t="n">
        <f aca="false">IF(A2079="","",YEAR(A2079))</f>
        <v>2026</v>
      </c>
      <c r="K2079" s="26" t="n">
        <f aca="false">IF(A2079="","",MONTH(A2079))</f>
        <v>7</v>
      </c>
      <c r="L2079" s="26" t="n">
        <f aca="false">IF(B2079="","",VALUE(LEFT(B2079,2)))</f>
        <v>19</v>
      </c>
      <c r="M2079" s="26" t="n">
        <f aca="false">IF(A2079="","",IF(COUNTIFS($C$2:$C$5001,C2079,$J$2:$J$5001,J2079,$A$2:$A$5001,"&lt;"&amp;A2079)=0,1,0))</f>
        <v>0</v>
      </c>
    </row>
    <row r="2080" customFormat="false" ht="15" hidden="false" customHeight="false" outlineLevel="0" collapsed="false">
      <c r="A2080" s="23" t="n">
        <v>46218.0416666667</v>
      </c>
      <c r="B2080" s="24" t="s">
        <v>372</v>
      </c>
      <c r="C2080" s="24" t="s">
        <v>309</v>
      </c>
      <c r="D2080" s="24" t="s">
        <v>53</v>
      </c>
      <c r="E2080" s="24" t="n">
        <v>380</v>
      </c>
      <c r="F2080" s="25" t="n">
        <v>0</v>
      </c>
      <c r="G2080" s="24" t="s">
        <v>59</v>
      </c>
      <c r="H2080" s="24" t="s">
        <v>80</v>
      </c>
      <c r="I2080" s="24" t="s">
        <v>56</v>
      </c>
      <c r="J2080" s="26" t="n">
        <f aca="false">IF(A2080="","",YEAR(A2080))</f>
        <v>2026</v>
      </c>
      <c r="K2080" s="26" t="n">
        <f aca="false">IF(A2080="","",MONTH(A2080))</f>
        <v>7</v>
      </c>
      <c r="L2080" s="26" t="n">
        <f aca="false">IF(B2080="","",VALUE(LEFT(B2080,2)))</f>
        <v>18</v>
      </c>
      <c r="M2080" s="26" t="n">
        <f aca="false">IF(A2080="","",IF(COUNTIFS($C$2:$C$5001,C2080,$J$2:$J$5001,J2080,$A$2:$A$5001,"&lt;"&amp;A2080)=0,1,0))</f>
        <v>0</v>
      </c>
    </row>
    <row r="2081" customFormat="false" ht="15" hidden="false" customHeight="false" outlineLevel="0" collapsed="false">
      <c r="A2081" s="23" t="n">
        <v>46218.5152777778</v>
      </c>
      <c r="B2081" s="24" t="s">
        <v>528</v>
      </c>
      <c r="C2081" s="24" t="s">
        <v>85</v>
      </c>
      <c r="D2081" s="24" t="s">
        <v>66</v>
      </c>
      <c r="E2081" s="24" t="n">
        <v>273</v>
      </c>
      <c r="F2081" s="25" t="n">
        <v>8500</v>
      </c>
      <c r="G2081" s="24" t="s">
        <v>59</v>
      </c>
      <c r="H2081" s="24" t="s">
        <v>80</v>
      </c>
      <c r="I2081" s="24" t="s">
        <v>113</v>
      </c>
      <c r="J2081" s="26" t="n">
        <f aca="false">IF(A2081="","",YEAR(A2081))</f>
        <v>2026</v>
      </c>
      <c r="K2081" s="26" t="n">
        <f aca="false">IF(A2081="","",MONTH(A2081))</f>
        <v>7</v>
      </c>
      <c r="L2081" s="26" t="n">
        <f aca="false">IF(B2081="","",VALUE(LEFT(B2081,2)))</f>
        <v>7</v>
      </c>
      <c r="M2081" s="26" t="n">
        <f aca="false">IF(A2081="","",IF(COUNTIFS($C$2:$C$5001,C2081,$J$2:$J$5001,J2081,$A$2:$A$5001,"&lt;"&amp;A2081)=0,1,0))</f>
        <v>0</v>
      </c>
    </row>
    <row r="2082" customFormat="false" ht="15" hidden="false" customHeight="false" outlineLevel="0" collapsed="false">
      <c r="A2082" s="23" t="n">
        <v>46218.7104166667</v>
      </c>
      <c r="B2082" s="24" t="s">
        <v>537</v>
      </c>
      <c r="C2082" s="24" t="s">
        <v>345</v>
      </c>
      <c r="D2082" s="24" t="s">
        <v>66</v>
      </c>
      <c r="E2082" s="24" t="n">
        <v>334</v>
      </c>
      <c r="F2082" s="25" t="n">
        <v>10200</v>
      </c>
      <c r="G2082" s="24" t="s">
        <v>54</v>
      </c>
      <c r="H2082" s="24" t="s">
        <v>80</v>
      </c>
      <c r="I2082" s="24" t="s">
        <v>113</v>
      </c>
      <c r="J2082" s="26" t="n">
        <f aca="false">IF(A2082="","",YEAR(A2082))</f>
        <v>2026</v>
      </c>
      <c r="K2082" s="26" t="n">
        <f aca="false">IF(A2082="","",MONTH(A2082))</f>
        <v>7</v>
      </c>
      <c r="L2082" s="26" t="n">
        <f aca="false">IF(B2082="","",VALUE(LEFT(B2082,2)))</f>
        <v>11</v>
      </c>
      <c r="M2082" s="26" t="n">
        <f aca="false">IF(A2082="","",IF(COUNTIFS($C$2:$C$5001,C2082,$J$2:$J$5001,J2082,$A$2:$A$5001,"&lt;"&amp;A2082)=0,1,0))</f>
        <v>0</v>
      </c>
    </row>
    <row r="2083" customFormat="false" ht="15" hidden="false" customHeight="false" outlineLevel="0" collapsed="false">
      <c r="A2083" s="23" t="n">
        <v>46218.9368055556</v>
      </c>
      <c r="B2083" s="24" t="s">
        <v>740</v>
      </c>
      <c r="C2083" s="24" t="s">
        <v>87</v>
      </c>
      <c r="D2083" s="24" t="s">
        <v>66</v>
      </c>
      <c r="E2083" s="24" t="n">
        <v>253</v>
      </c>
      <c r="F2083" s="25" t="n">
        <v>9000</v>
      </c>
      <c r="G2083" s="24" t="s">
        <v>59</v>
      </c>
      <c r="H2083" s="24" t="s">
        <v>80</v>
      </c>
      <c r="I2083" s="24" t="s">
        <v>61</v>
      </c>
      <c r="J2083" s="26" t="n">
        <f aca="false">IF(A2083="","",YEAR(A2083))</f>
        <v>2026</v>
      </c>
      <c r="K2083" s="26" t="n">
        <f aca="false">IF(A2083="","",MONTH(A2083))</f>
        <v>7</v>
      </c>
      <c r="L2083" s="26" t="n">
        <f aca="false">IF(B2083="","",VALUE(LEFT(B2083,2)))</f>
        <v>18</v>
      </c>
      <c r="M2083" s="26" t="n">
        <f aca="false">IF(A2083="","",IF(COUNTIFS($C$2:$C$5001,C2083,$J$2:$J$5001,J2083,$A$2:$A$5001,"&lt;"&amp;A2083)=0,1,0))</f>
        <v>0</v>
      </c>
    </row>
    <row r="2084" customFormat="false" ht="15" hidden="false" customHeight="false" outlineLevel="0" collapsed="false">
      <c r="A2084" s="23" t="n">
        <v>46219.1284722222</v>
      </c>
      <c r="B2084" s="24" t="s">
        <v>808</v>
      </c>
      <c r="C2084" s="24" t="s">
        <v>396</v>
      </c>
      <c r="D2084" s="24" t="s">
        <v>66</v>
      </c>
      <c r="E2084" s="24" t="n">
        <v>383</v>
      </c>
      <c r="F2084" s="25" t="n">
        <v>13000</v>
      </c>
      <c r="G2084" s="24" t="s">
        <v>54</v>
      </c>
      <c r="H2084" s="24" t="s">
        <v>55</v>
      </c>
      <c r="I2084" s="24" t="s">
        <v>61</v>
      </c>
      <c r="J2084" s="26" t="n">
        <f aca="false">IF(A2084="","",YEAR(A2084))</f>
        <v>2026</v>
      </c>
      <c r="K2084" s="26" t="n">
        <f aca="false">IF(A2084="","",MONTH(A2084))</f>
        <v>7</v>
      </c>
      <c r="L2084" s="26" t="n">
        <f aca="false">IF(B2084="","",VALUE(LEFT(B2084,2)))</f>
        <v>20</v>
      </c>
      <c r="M2084" s="26" t="n">
        <f aca="false">IF(A2084="","",IF(COUNTIFS($C$2:$C$5001,C2084,$J$2:$J$5001,J2084,$A$2:$A$5001,"&lt;"&amp;A2084)=0,1,0))</f>
        <v>0</v>
      </c>
    </row>
    <row r="2085" customFormat="false" ht="15" hidden="false" customHeight="false" outlineLevel="0" collapsed="false">
      <c r="A2085" s="23" t="n">
        <v>46219.3319444444</v>
      </c>
      <c r="B2085" s="24" t="s">
        <v>450</v>
      </c>
      <c r="C2085" s="24" t="s">
        <v>100</v>
      </c>
      <c r="D2085" s="24" t="s">
        <v>66</v>
      </c>
      <c r="E2085" s="24" t="n">
        <v>60</v>
      </c>
      <c r="F2085" s="25" t="n">
        <v>0</v>
      </c>
      <c r="G2085" s="24" t="s">
        <v>79</v>
      </c>
      <c r="H2085" s="24" t="s">
        <v>60</v>
      </c>
      <c r="I2085" s="24" t="s">
        <v>56</v>
      </c>
      <c r="J2085" s="26" t="n">
        <f aca="false">IF(A2085="","",YEAR(A2085))</f>
        <v>2026</v>
      </c>
      <c r="K2085" s="26" t="n">
        <f aca="false">IF(A2085="","",MONTH(A2085))</f>
        <v>7</v>
      </c>
      <c r="L2085" s="26" t="n">
        <f aca="false">IF(B2085="","",VALUE(LEFT(B2085,2)))</f>
        <v>6</v>
      </c>
      <c r="M2085" s="26" t="n">
        <f aca="false">IF(A2085="","",IF(COUNTIFS($C$2:$C$5001,C2085,$J$2:$J$5001,J2085,$A$2:$A$5001,"&lt;"&amp;A2085)=0,1,0))</f>
        <v>0</v>
      </c>
    </row>
    <row r="2086" customFormat="false" ht="15" hidden="false" customHeight="false" outlineLevel="0" collapsed="false">
      <c r="A2086" s="23" t="n">
        <v>46219.4902777778</v>
      </c>
      <c r="B2086" s="24" t="s">
        <v>712</v>
      </c>
      <c r="C2086" s="24" t="s">
        <v>87</v>
      </c>
      <c r="D2086" s="24" t="s">
        <v>66</v>
      </c>
      <c r="E2086" s="24" t="n">
        <v>193</v>
      </c>
      <c r="F2086" s="25" t="n">
        <v>5950</v>
      </c>
      <c r="G2086" s="24" t="s">
        <v>59</v>
      </c>
      <c r="H2086" s="24" t="s">
        <v>55</v>
      </c>
      <c r="I2086" s="24" t="s">
        <v>113</v>
      </c>
      <c r="J2086" s="26" t="n">
        <f aca="false">IF(A2086="","",YEAR(A2086))</f>
        <v>2026</v>
      </c>
      <c r="K2086" s="26" t="n">
        <f aca="false">IF(A2086="","",MONTH(A2086))</f>
        <v>7</v>
      </c>
      <c r="L2086" s="26" t="n">
        <f aca="false">IF(B2086="","",VALUE(LEFT(B2086,2)))</f>
        <v>8</v>
      </c>
      <c r="M2086" s="26" t="n">
        <f aca="false">IF(A2086="","",IF(COUNTIFS($C$2:$C$5001,C2086,$J$2:$J$5001,J2086,$A$2:$A$5001,"&lt;"&amp;A2086)=0,1,0))</f>
        <v>0</v>
      </c>
    </row>
    <row r="2087" customFormat="false" ht="15" hidden="false" customHeight="false" outlineLevel="0" collapsed="false">
      <c r="A2087" s="23" t="n">
        <v>46219.4951388889</v>
      </c>
      <c r="B2087" s="24" t="s">
        <v>202</v>
      </c>
      <c r="C2087" s="24" t="s">
        <v>442</v>
      </c>
      <c r="D2087" s="24" t="s">
        <v>66</v>
      </c>
      <c r="E2087" s="24" t="n">
        <v>263</v>
      </c>
      <c r="F2087" s="25" t="n">
        <v>9000</v>
      </c>
      <c r="G2087" s="24" t="s">
        <v>59</v>
      </c>
      <c r="H2087" s="24" t="s">
        <v>55</v>
      </c>
      <c r="I2087" s="24" t="s">
        <v>61</v>
      </c>
      <c r="J2087" s="26" t="n">
        <f aca="false">IF(A2087="","",YEAR(A2087))</f>
        <v>2026</v>
      </c>
      <c r="K2087" s="26" t="n">
        <f aca="false">IF(A2087="","",MONTH(A2087))</f>
        <v>7</v>
      </c>
      <c r="L2087" s="26" t="n">
        <f aca="false">IF(B2087="","",VALUE(LEFT(B2087,2)))</f>
        <v>7</v>
      </c>
      <c r="M2087" s="26" t="n">
        <f aca="false">IF(A2087="","",IF(COUNTIFS($C$2:$C$5001,C2087,$J$2:$J$5001,J2087,$A$2:$A$5001,"&lt;"&amp;A2087)=0,1,0))</f>
        <v>0</v>
      </c>
    </row>
    <row r="2088" customFormat="false" ht="15" hidden="false" customHeight="false" outlineLevel="0" collapsed="false">
      <c r="A2088" s="23" t="n">
        <v>46219.5020833333</v>
      </c>
      <c r="B2088" s="24" t="s">
        <v>741</v>
      </c>
      <c r="C2088" s="24" t="s">
        <v>475</v>
      </c>
      <c r="D2088" s="24" t="s">
        <v>66</v>
      </c>
      <c r="E2088" s="24" t="n">
        <v>330</v>
      </c>
      <c r="F2088" s="25" t="n">
        <v>0</v>
      </c>
      <c r="G2088" s="24" t="s">
        <v>59</v>
      </c>
      <c r="H2088" s="24" t="s">
        <v>80</v>
      </c>
      <c r="I2088" s="24" t="s">
        <v>56</v>
      </c>
      <c r="J2088" s="26" t="n">
        <f aca="false">IF(A2088="","",YEAR(A2088))</f>
        <v>2026</v>
      </c>
      <c r="K2088" s="26" t="n">
        <f aca="false">IF(A2088="","",MONTH(A2088))</f>
        <v>7</v>
      </c>
      <c r="L2088" s="26" t="n">
        <f aca="false">IF(B2088="","",VALUE(LEFT(B2088,2)))</f>
        <v>6</v>
      </c>
      <c r="M2088" s="26" t="n">
        <f aca="false">IF(A2088="","",IF(COUNTIFS($C$2:$C$5001,C2088,$J$2:$J$5001,J2088,$A$2:$A$5001,"&lt;"&amp;A2088)=0,1,0))</f>
        <v>0</v>
      </c>
    </row>
    <row r="2089" customFormat="false" ht="15" hidden="false" customHeight="false" outlineLevel="0" collapsed="false">
      <c r="A2089" s="23" t="n">
        <v>46219.5270833333</v>
      </c>
      <c r="B2089" s="24" t="s">
        <v>807</v>
      </c>
      <c r="C2089" s="24" t="s">
        <v>120</v>
      </c>
      <c r="D2089" s="24" t="s">
        <v>66</v>
      </c>
      <c r="E2089" s="24" t="n">
        <v>292</v>
      </c>
      <c r="F2089" s="25" t="n">
        <v>8500</v>
      </c>
      <c r="G2089" s="24" t="s">
        <v>79</v>
      </c>
      <c r="H2089" s="24" t="s">
        <v>60</v>
      </c>
      <c r="I2089" s="24" t="s">
        <v>113</v>
      </c>
      <c r="J2089" s="26" t="n">
        <f aca="false">IF(A2089="","",YEAR(A2089))</f>
        <v>2026</v>
      </c>
      <c r="K2089" s="26" t="n">
        <f aca="false">IF(A2089="","",MONTH(A2089))</f>
        <v>7</v>
      </c>
      <c r="L2089" s="26" t="n">
        <f aca="false">IF(B2089="","",VALUE(LEFT(B2089,2)))</f>
        <v>7</v>
      </c>
      <c r="M2089" s="26" t="n">
        <f aca="false">IF(A2089="","",IF(COUNTIFS($C$2:$C$5001,C2089,$J$2:$J$5001,J2089,$A$2:$A$5001,"&lt;"&amp;A2089)=0,1,0))</f>
        <v>0</v>
      </c>
    </row>
    <row r="2090" customFormat="false" ht="15" hidden="false" customHeight="false" outlineLevel="0" collapsed="false">
      <c r="A2090" s="23" t="n">
        <v>46219.6013888889</v>
      </c>
      <c r="B2090" s="24" t="s">
        <v>537</v>
      </c>
      <c r="C2090" s="24" t="s">
        <v>170</v>
      </c>
      <c r="D2090" s="24" t="s">
        <v>66</v>
      </c>
      <c r="E2090" s="24" t="n">
        <v>177</v>
      </c>
      <c r="F2090" s="25" t="n">
        <v>6000</v>
      </c>
      <c r="G2090" s="24" t="s">
        <v>59</v>
      </c>
      <c r="H2090" s="24" t="s">
        <v>60</v>
      </c>
      <c r="I2090" s="24" t="s">
        <v>61</v>
      </c>
      <c r="J2090" s="26" t="n">
        <f aca="false">IF(A2090="","",YEAR(A2090))</f>
        <v>2026</v>
      </c>
      <c r="K2090" s="26" t="n">
        <f aca="false">IF(A2090="","",MONTH(A2090))</f>
        <v>7</v>
      </c>
      <c r="L2090" s="26" t="n">
        <f aca="false">IF(B2090="","",VALUE(LEFT(B2090,2)))</f>
        <v>11</v>
      </c>
      <c r="M2090" s="26" t="n">
        <f aca="false">IF(A2090="","",IF(COUNTIFS($C$2:$C$5001,C2090,$J$2:$J$5001,J2090,$A$2:$A$5001,"&lt;"&amp;A2090)=0,1,0))</f>
        <v>0</v>
      </c>
    </row>
    <row r="2091" customFormat="false" ht="15" hidden="false" customHeight="false" outlineLevel="0" collapsed="false">
      <c r="A2091" s="23" t="n">
        <v>46219.6527777778</v>
      </c>
      <c r="B2091" s="24" t="s">
        <v>167</v>
      </c>
      <c r="C2091" s="24" t="s">
        <v>345</v>
      </c>
      <c r="D2091" s="24" t="s">
        <v>66</v>
      </c>
      <c r="E2091" s="24" t="n">
        <v>171</v>
      </c>
      <c r="F2091" s="25" t="n">
        <v>6000</v>
      </c>
      <c r="G2091" s="24" t="s">
        <v>79</v>
      </c>
      <c r="H2091" s="24" t="s">
        <v>80</v>
      </c>
      <c r="I2091" s="24" t="s">
        <v>61</v>
      </c>
      <c r="J2091" s="26" t="n">
        <f aca="false">IF(A2091="","",YEAR(A2091))</f>
        <v>2026</v>
      </c>
      <c r="K2091" s="26" t="n">
        <f aca="false">IF(A2091="","",MONTH(A2091))</f>
        <v>7</v>
      </c>
      <c r="L2091" s="26" t="n">
        <f aca="false">IF(B2091="","",VALUE(LEFT(B2091,2)))</f>
        <v>12</v>
      </c>
      <c r="M2091" s="26" t="n">
        <f aca="false">IF(A2091="","",IF(COUNTIFS($C$2:$C$5001,C2091,$J$2:$J$5001,J2091,$A$2:$A$5001,"&lt;"&amp;A2091)=0,1,0))</f>
        <v>0</v>
      </c>
    </row>
    <row r="2092" customFormat="false" ht="15" hidden="false" customHeight="false" outlineLevel="0" collapsed="false">
      <c r="A2092" s="23" t="n">
        <v>46220</v>
      </c>
      <c r="B2092" s="24" t="s">
        <v>395</v>
      </c>
      <c r="C2092" s="24" t="s">
        <v>199</v>
      </c>
      <c r="D2092" s="24" t="s">
        <v>53</v>
      </c>
      <c r="E2092" s="24" t="n">
        <v>218</v>
      </c>
      <c r="F2092" s="25" t="n">
        <v>4000</v>
      </c>
      <c r="G2092" s="24" t="s">
        <v>59</v>
      </c>
      <c r="H2092" s="24" t="s">
        <v>80</v>
      </c>
      <c r="I2092" s="24" t="s">
        <v>61</v>
      </c>
      <c r="J2092" s="26" t="n">
        <f aca="false">IF(A2092="","",YEAR(A2092))</f>
        <v>2026</v>
      </c>
      <c r="K2092" s="26" t="n">
        <f aca="false">IF(A2092="","",MONTH(A2092))</f>
        <v>7</v>
      </c>
      <c r="L2092" s="26" t="n">
        <f aca="false">IF(B2092="","",VALUE(LEFT(B2092,2)))</f>
        <v>20</v>
      </c>
      <c r="M2092" s="26" t="n">
        <f aca="false">IF(A2092="","",IF(COUNTIFS($C$2:$C$5001,C2092,$J$2:$J$5001,J2092,$A$2:$A$5001,"&lt;"&amp;A2092)=0,1,0))</f>
        <v>0</v>
      </c>
    </row>
    <row r="2093" customFormat="false" ht="15" hidden="false" customHeight="false" outlineLevel="0" collapsed="false">
      <c r="A2093" s="23" t="n">
        <v>46220.0597222222</v>
      </c>
      <c r="B2093" s="24" t="s">
        <v>723</v>
      </c>
      <c r="C2093" s="24" t="s">
        <v>353</v>
      </c>
      <c r="D2093" s="24" t="s">
        <v>66</v>
      </c>
      <c r="E2093" s="24" t="n">
        <v>387</v>
      </c>
      <c r="F2093" s="25" t="n">
        <v>13000</v>
      </c>
      <c r="G2093" s="24" t="s">
        <v>69</v>
      </c>
      <c r="H2093" s="24" t="s">
        <v>80</v>
      </c>
      <c r="I2093" s="24" t="s">
        <v>61</v>
      </c>
      <c r="J2093" s="26" t="n">
        <f aca="false">IF(A2093="","",YEAR(A2093))</f>
        <v>2026</v>
      </c>
      <c r="K2093" s="26" t="n">
        <f aca="false">IF(A2093="","",MONTH(A2093))</f>
        <v>7</v>
      </c>
      <c r="L2093" s="26" t="n">
        <f aca="false">IF(B2093="","",VALUE(LEFT(B2093,2)))</f>
        <v>18</v>
      </c>
      <c r="M2093" s="26" t="n">
        <f aca="false">IF(A2093="","",IF(COUNTIFS($C$2:$C$5001,C2093,$J$2:$J$5001,J2093,$A$2:$A$5001,"&lt;"&amp;A2093)=0,1,0))</f>
        <v>0</v>
      </c>
    </row>
    <row r="2094" customFormat="false" ht="15" hidden="false" customHeight="false" outlineLevel="0" collapsed="false">
      <c r="A2094" s="23" t="n">
        <v>46220.61875</v>
      </c>
      <c r="B2094" s="24" t="s">
        <v>627</v>
      </c>
      <c r="C2094" s="24" t="s">
        <v>910</v>
      </c>
      <c r="D2094" s="24" t="s">
        <v>66</v>
      </c>
      <c r="E2094" s="24" t="n">
        <v>416</v>
      </c>
      <c r="F2094" s="25" t="n">
        <v>14000</v>
      </c>
      <c r="G2094" s="24" t="s">
        <v>79</v>
      </c>
      <c r="H2094" s="24" t="s">
        <v>55</v>
      </c>
      <c r="I2094" s="24" t="s">
        <v>61</v>
      </c>
      <c r="J2094" s="26" t="n">
        <f aca="false">IF(A2094="","",YEAR(A2094))</f>
        <v>2026</v>
      </c>
      <c r="K2094" s="26" t="n">
        <f aca="false">IF(A2094="","",MONTH(A2094))</f>
        <v>7</v>
      </c>
      <c r="L2094" s="26" t="n">
        <f aca="false">IF(B2094="","",VALUE(LEFT(B2094,2)))</f>
        <v>7</v>
      </c>
      <c r="M2094" s="26" t="n">
        <f aca="false">IF(A2094="","",IF(COUNTIFS($C$2:$C$5001,C2094,$J$2:$J$5001,J2094,$A$2:$A$5001,"&lt;"&amp;A2094)=0,1,0))</f>
        <v>0</v>
      </c>
    </row>
    <row r="2095" customFormat="false" ht="15" hidden="false" customHeight="false" outlineLevel="0" collapsed="false">
      <c r="A2095" s="23" t="n">
        <v>46220.80625</v>
      </c>
      <c r="B2095" s="24" t="s">
        <v>1021</v>
      </c>
      <c r="C2095" s="24" t="s">
        <v>58</v>
      </c>
      <c r="D2095" s="24" t="s">
        <v>53</v>
      </c>
      <c r="E2095" s="24" t="n">
        <v>21</v>
      </c>
      <c r="F2095" s="25" t="n">
        <v>500</v>
      </c>
      <c r="G2095" s="24" t="s">
        <v>59</v>
      </c>
      <c r="H2095" s="24" t="s">
        <v>60</v>
      </c>
      <c r="I2095" s="24" t="s">
        <v>61</v>
      </c>
      <c r="J2095" s="26" t="n">
        <f aca="false">IF(A2095="","",YEAR(A2095))</f>
        <v>2026</v>
      </c>
      <c r="K2095" s="26" t="n">
        <f aca="false">IF(A2095="","",MONTH(A2095))</f>
        <v>7</v>
      </c>
      <c r="L2095" s="26" t="n">
        <f aca="false">IF(B2095="","",VALUE(LEFT(B2095,2)))</f>
        <v>19</v>
      </c>
      <c r="M2095" s="26" t="n">
        <f aca="false">IF(A2095="","",IF(COUNTIFS($C$2:$C$5001,C2095,$J$2:$J$5001,J2095,$A$2:$A$5001,"&lt;"&amp;A2095)=0,1,0))</f>
        <v>0</v>
      </c>
    </row>
    <row r="2096" customFormat="false" ht="15" hidden="false" customHeight="false" outlineLevel="0" collapsed="false">
      <c r="A2096" s="23" t="n">
        <v>46220.9090277778</v>
      </c>
      <c r="B2096" s="24" t="s">
        <v>891</v>
      </c>
      <c r="C2096" s="24" t="s">
        <v>168</v>
      </c>
      <c r="D2096" s="24" t="s">
        <v>53</v>
      </c>
      <c r="E2096" s="24" t="n">
        <v>283</v>
      </c>
      <c r="F2096" s="25" t="n">
        <v>4250</v>
      </c>
      <c r="G2096" s="24" t="s">
        <v>59</v>
      </c>
      <c r="H2096" s="24" t="s">
        <v>60</v>
      </c>
      <c r="I2096" s="24" t="s">
        <v>113</v>
      </c>
      <c r="J2096" s="26" t="n">
        <f aca="false">IF(A2096="","",YEAR(A2096))</f>
        <v>2026</v>
      </c>
      <c r="K2096" s="26" t="n">
        <f aca="false">IF(A2096="","",MONTH(A2096))</f>
        <v>7</v>
      </c>
      <c r="L2096" s="26" t="n">
        <f aca="false">IF(B2096="","",VALUE(LEFT(B2096,2)))</f>
        <v>17</v>
      </c>
      <c r="M2096" s="26" t="n">
        <f aca="false">IF(A2096="","",IF(COUNTIFS($C$2:$C$5001,C2096,$J$2:$J$5001,J2096,$A$2:$A$5001,"&lt;"&amp;A2096)=0,1,0))</f>
        <v>0</v>
      </c>
    </row>
    <row r="2097" customFormat="false" ht="15" hidden="false" customHeight="false" outlineLevel="0" collapsed="false">
      <c r="A2097" s="23" t="n">
        <v>46221.41875</v>
      </c>
      <c r="B2097" s="24" t="s">
        <v>374</v>
      </c>
      <c r="C2097" s="24" t="s">
        <v>179</v>
      </c>
      <c r="D2097" s="24" t="s">
        <v>66</v>
      </c>
      <c r="E2097" s="24" t="n">
        <v>97</v>
      </c>
      <c r="F2097" s="25" t="n">
        <v>4000</v>
      </c>
      <c r="G2097" s="24" t="s">
        <v>59</v>
      </c>
      <c r="H2097" s="24" t="s">
        <v>80</v>
      </c>
      <c r="I2097" s="24" t="s">
        <v>61</v>
      </c>
      <c r="J2097" s="26" t="n">
        <f aca="false">IF(A2097="","",YEAR(A2097))</f>
        <v>2026</v>
      </c>
      <c r="K2097" s="26" t="n">
        <f aca="false">IF(A2097="","",MONTH(A2097))</f>
        <v>7</v>
      </c>
      <c r="L2097" s="26" t="n">
        <f aca="false">IF(B2097="","",VALUE(LEFT(B2097,2)))</f>
        <v>8</v>
      </c>
      <c r="M2097" s="26" t="n">
        <f aca="false">IF(A2097="","",IF(COUNTIFS($C$2:$C$5001,C2097,$J$2:$J$5001,J2097,$A$2:$A$5001,"&lt;"&amp;A2097)=0,1,0))</f>
        <v>0</v>
      </c>
    </row>
    <row r="2098" customFormat="false" ht="15" hidden="false" customHeight="false" outlineLevel="0" collapsed="false">
      <c r="A2098" s="23" t="n">
        <v>46221.4347222222</v>
      </c>
      <c r="B2098" s="24" t="s">
        <v>449</v>
      </c>
      <c r="C2098" s="24" t="s">
        <v>391</v>
      </c>
      <c r="D2098" s="24" t="s">
        <v>66</v>
      </c>
      <c r="E2098" s="24" t="n">
        <v>50</v>
      </c>
      <c r="F2098" s="25" t="n">
        <v>0</v>
      </c>
      <c r="G2098" s="24" t="s">
        <v>69</v>
      </c>
      <c r="H2098" s="24" t="s">
        <v>55</v>
      </c>
      <c r="I2098" s="24" t="s">
        <v>56</v>
      </c>
      <c r="J2098" s="26" t="n">
        <f aca="false">IF(A2098="","",YEAR(A2098))</f>
        <v>2026</v>
      </c>
      <c r="K2098" s="26" t="n">
        <f aca="false">IF(A2098="","",MONTH(A2098))</f>
        <v>7</v>
      </c>
      <c r="L2098" s="26" t="n">
        <f aca="false">IF(B2098="","",VALUE(LEFT(B2098,2)))</f>
        <v>9</v>
      </c>
      <c r="M2098" s="26" t="n">
        <f aca="false">IF(A2098="","",IF(COUNTIFS($C$2:$C$5001,C2098,$J$2:$J$5001,J2098,$A$2:$A$5001,"&lt;"&amp;A2098)=0,1,0))</f>
        <v>0</v>
      </c>
    </row>
    <row r="2099" customFormat="false" ht="15" hidden="false" customHeight="false" outlineLevel="0" collapsed="false">
      <c r="A2099" s="23" t="n">
        <v>46221.4451388889</v>
      </c>
      <c r="B2099" s="24" t="s">
        <v>86</v>
      </c>
      <c r="C2099" s="24" t="s">
        <v>194</v>
      </c>
      <c r="D2099" s="24" t="s">
        <v>66</v>
      </c>
      <c r="E2099" s="24" t="n">
        <v>181</v>
      </c>
      <c r="F2099" s="25" t="n">
        <v>7000</v>
      </c>
      <c r="G2099" s="24" t="s">
        <v>59</v>
      </c>
      <c r="H2099" s="24" t="s">
        <v>80</v>
      </c>
      <c r="I2099" s="24" t="s">
        <v>61</v>
      </c>
      <c r="J2099" s="26" t="n">
        <f aca="false">IF(A2099="","",YEAR(A2099))</f>
        <v>2026</v>
      </c>
      <c r="K2099" s="26" t="n">
        <f aca="false">IF(A2099="","",MONTH(A2099))</f>
        <v>7</v>
      </c>
      <c r="L2099" s="26" t="n">
        <f aca="false">IF(B2099="","",VALUE(LEFT(B2099,2)))</f>
        <v>7</v>
      </c>
      <c r="M2099" s="26" t="n">
        <f aca="false">IF(A2099="","",IF(COUNTIFS($C$2:$C$5001,C2099,$J$2:$J$5001,J2099,$A$2:$A$5001,"&lt;"&amp;A2099)=0,1,0))</f>
        <v>0</v>
      </c>
    </row>
    <row r="2100" customFormat="false" ht="15" hidden="false" customHeight="false" outlineLevel="0" collapsed="false">
      <c r="A2100" s="23" t="n">
        <v>46221.4972222222</v>
      </c>
      <c r="B2100" s="24" t="s">
        <v>299</v>
      </c>
      <c r="C2100" s="24" t="s">
        <v>110</v>
      </c>
      <c r="D2100" s="24" t="s">
        <v>66</v>
      </c>
      <c r="E2100" s="24" t="n">
        <v>212</v>
      </c>
      <c r="F2100" s="25" t="n">
        <v>8000</v>
      </c>
      <c r="G2100" s="24" t="s">
        <v>79</v>
      </c>
      <c r="H2100" s="24" t="s">
        <v>55</v>
      </c>
      <c r="I2100" s="24" t="s">
        <v>61</v>
      </c>
      <c r="J2100" s="26" t="n">
        <f aca="false">IF(A2100="","",YEAR(A2100))</f>
        <v>2026</v>
      </c>
      <c r="K2100" s="26" t="n">
        <f aca="false">IF(A2100="","",MONTH(A2100))</f>
        <v>7</v>
      </c>
      <c r="L2100" s="26" t="n">
        <f aca="false">IF(B2100="","",VALUE(LEFT(B2100,2)))</f>
        <v>8</v>
      </c>
      <c r="M2100" s="26" t="n">
        <f aca="false">IF(A2100="","",IF(COUNTIFS($C$2:$C$5001,C2100,$J$2:$J$5001,J2100,$A$2:$A$5001,"&lt;"&amp;A2100)=0,1,0))</f>
        <v>0</v>
      </c>
    </row>
    <row r="2101" customFormat="false" ht="15" hidden="false" customHeight="false" outlineLevel="0" collapsed="false">
      <c r="A2101" s="23" t="n">
        <v>46221.6777777778</v>
      </c>
      <c r="B2101" s="24" t="s">
        <v>966</v>
      </c>
      <c r="C2101" s="24" t="s">
        <v>170</v>
      </c>
      <c r="D2101" s="24" t="s">
        <v>66</v>
      </c>
      <c r="E2101" s="24" t="n">
        <v>262</v>
      </c>
      <c r="F2101" s="25" t="n">
        <v>9000</v>
      </c>
      <c r="G2101" s="24" t="s">
        <v>59</v>
      </c>
      <c r="H2101" s="24" t="s">
        <v>55</v>
      </c>
      <c r="I2101" s="24" t="s">
        <v>61</v>
      </c>
      <c r="J2101" s="26" t="n">
        <f aca="false">IF(A2101="","",YEAR(A2101))</f>
        <v>2026</v>
      </c>
      <c r="K2101" s="26" t="n">
        <f aca="false">IF(A2101="","",MONTH(A2101))</f>
        <v>7</v>
      </c>
      <c r="L2101" s="26" t="n">
        <f aca="false">IF(B2101="","",VALUE(LEFT(B2101,2)))</f>
        <v>11</v>
      </c>
      <c r="M2101" s="26" t="n">
        <f aca="false">IF(A2101="","",IF(COUNTIFS($C$2:$C$5001,C2101,$J$2:$J$5001,J2101,$A$2:$A$5001,"&lt;"&amp;A2101)=0,1,0))</f>
        <v>0</v>
      </c>
    </row>
    <row r="2102" customFormat="false" ht="15" hidden="false" customHeight="false" outlineLevel="0" collapsed="false">
      <c r="A2102" s="23" t="n">
        <v>46221.7041666667</v>
      </c>
      <c r="B2102" s="24" t="s">
        <v>576</v>
      </c>
      <c r="C2102" s="24" t="s">
        <v>194</v>
      </c>
      <c r="D2102" s="24" t="s">
        <v>66</v>
      </c>
      <c r="E2102" s="24" t="n">
        <v>275</v>
      </c>
      <c r="F2102" s="25" t="n">
        <v>8500</v>
      </c>
      <c r="G2102" s="24" t="s">
        <v>79</v>
      </c>
      <c r="H2102" s="24" t="s">
        <v>55</v>
      </c>
      <c r="I2102" s="24" t="s">
        <v>113</v>
      </c>
      <c r="J2102" s="26" t="n">
        <f aca="false">IF(A2102="","",YEAR(A2102))</f>
        <v>2026</v>
      </c>
      <c r="K2102" s="26" t="n">
        <f aca="false">IF(A2102="","",MONTH(A2102))</f>
        <v>7</v>
      </c>
      <c r="L2102" s="26" t="n">
        <f aca="false">IF(B2102="","",VALUE(LEFT(B2102,2)))</f>
        <v>12</v>
      </c>
      <c r="M2102" s="26" t="n">
        <f aca="false">IF(A2102="","",IF(COUNTIFS($C$2:$C$5001,C2102,$J$2:$J$5001,J2102,$A$2:$A$5001,"&lt;"&amp;A2102)=0,1,0))</f>
        <v>0</v>
      </c>
    </row>
    <row r="2103" customFormat="false" ht="15" hidden="false" customHeight="false" outlineLevel="0" collapsed="false">
      <c r="A2103" s="23" t="n">
        <v>46221.8083333333</v>
      </c>
      <c r="B2103" s="24" t="s">
        <v>629</v>
      </c>
      <c r="C2103" s="24" t="s">
        <v>74</v>
      </c>
      <c r="D2103" s="24" t="s">
        <v>53</v>
      </c>
      <c r="E2103" s="24" t="n">
        <v>216</v>
      </c>
      <c r="F2103" s="25" t="n">
        <v>4000</v>
      </c>
      <c r="G2103" s="24" t="s">
        <v>69</v>
      </c>
      <c r="H2103" s="24" t="s">
        <v>60</v>
      </c>
      <c r="I2103" s="24" t="s">
        <v>61</v>
      </c>
      <c r="J2103" s="26" t="n">
        <f aca="false">IF(A2103="","",YEAR(A2103))</f>
        <v>2026</v>
      </c>
      <c r="K2103" s="26" t="n">
        <f aca="false">IF(A2103="","",MONTH(A2103))</f>
        <v>7</v>
      </c>
      <c r="L2103" s="26" t="n">
        <f aca="false">IF(B2103="","",VALUE(LEFT(B2103,2)))</f>
        <v>15</v>
      </c>
      <c r="M2103" s="26" t="n">
        <f aca="false">IF(A2103="","",IF(COUNTIFS($C$2:$C$5001,C2103,$J$2:$J$5001,J2103,$A$2:$A$5001,"&lt;"&amp;A2103)=0,1,0))</f>
        <v>0</v>
      </c>
    </row>
    <row r="2104" customFormat="false" ht="15" hidden="false" customHeight="false" outlineLevel="0" collapsed="false">
      <c r="A2104" s="23" t="n">
        <v>46222.3756944445</v>
      </c>
      <c r="B2104" s="24" t="s">
        <v>639</v>
      </c>
      <c r="C2104" s="24" t="s">
        <v>735</v>
      </c>
      <c r="D2104" s="24" t="s">
        <v>53</v>
      </c>
      <c r="E2104" s="24" t="n">
        <v>25</v>
      </c>
      <c r="F2104" s="25" t="n">
        <v>0</v>
      </c>
      <c r="G2104" s="24" t="s">
        <v>59</v>
      </c>
      <c r="H2104" s="24" t="s">
        <v>55</v>
      </c>
      <c r="I2104" s="24" t="s">
        <v>56</v>
      </c>
      <c r="J2104" s="26" t="n">
        <f aca="false">IF(A2104="","",YEAR(A2104))</f>
        <v>2026</v>
      </c>
      <c r="K2104" s="26" t="n">
        <f aca="false">IF(A2104="","",MONTH(A2104))</f>
        <v>7</v>
      </c>
      <c r="L2104" s="26" t="n">
        <f aca="false">IF(B2104="","",VALUE(LEFT(B2104,2)))</f>
        <v>8</v>
      </c>
      <c r="M2104" s="26" t="n">
        <f aca="false">IF(A2104="","",IF(COUNTIFS($C$2:$C$5001,C2104,$J$2:$J$5001,J2104,$A$2:$A$5001,"&lt;"&amp;A2104)=0,1,0))</f>
        <v>0</v>
      </c>
    </row>
    <row r="2105" customFormat="false" ht="15" hidden="false" customHeight="false" outlineLevel="0" collapsed="false">
      <c r="A2105" s="23" t="n">
        <v>46222.3930555556</v>
      </c>
      <c r="B2105" s="24" t="s">
        <v>190</v>
      </c>
      <c r="C2105" s="24" t="s">
        <v>413</v>
      </c>
      <c r="D2105" s="24" t="s">
        <v>53</v>
      </c>
      <c r="E2105" s="24" t="n">
        <v>63</v>
      </c>
      <c r="F2105" s="25" t="n">
        <v>1500</v>
      </c>
      <c r="G2105" s="24" t="s">
        <v>59</v>
      </c>
      <c r="H2105" s="24" t="s">
        <v>60</v>
      </c>
      <c r="I2105" s="24" t="s">
        <v>61</v>
      </c>
      <c r="J2105" s="26" t="n">
        <f aca="false">IF(A2105="","",YEAR(A2105))</f>
        <v>2026</v>
      </c>
      <c r="K2105" s="26" t="n">
        <f aca="false">IF(A2105="","",MONTH(A2105))</f>
        <v>7</v>
      </c>
      <c r="L2105" s="26" t="n">
        <f aca="false">IF(B2105="","",VALUE(LEFT(B2105,2)))</f>
        <v>8</v>
      </c>
      <c r="M2105" s="26" t="n">
        <f aca="false">IF(A2105="","",IF(COUNTIFS($C$2:$C$5001,C2105,$J$2:$J$5001,J2105,$A$2:$A$5001,"&lt;"&amp;A2105)=0,1,0))</f>
        <v>0</v>
      </c>
    </row>
    <row r="2106" customFormat="false" ht="15" hidden="false" customHeight="false" outlineLevel="0" collapsed="false">
      <c r="A2106" s="23" t="n">
        <v>46222.5034722222</v>
      </c>
      <c r="B2106" s="24" t="s">
        <v>93</v>
      </c>
      <c r="C2106" s="24" t="s">
        <v>398</v>
      </c>
      <c r="D2106" s="24" t="s">
        <v>66</v>
      </c>
      <c r="E2106" s="24" t="n">
        <v>102</v>
      </c>
      <c r="F2106" s="25" t="n">
        <v>4000</v>
      </c>
      <c r="G2106" s="24" t="s">
        <v>69</v>
      </c>
      <c r="H2106" s="24" t="s">
        <v>55</v>
      </c>
      <c r="I2106" s="24" t="s">
        <v>61</v>
      </c>
      <c r="J2106" s="26" t="n">
        <f aca="false">IF(A2106="","",YEAR(A2106))</f>
        <v>2026</v>
      </c>
      <c r="K2106" s="26" t="n">
        <f aca="false">IF(A2106="","",MONTH(A2106))</f>
        <v>7</v>
      </c>
      <c r="L2106" s="26" t="n">
        <f aca="false">IF(B2106="","",VALUE(LEFT(B2106,2)))</f>
        <v>10</v>
      </c>
      <c r="M2106" s="26" t="n">
        <f aca="false">IF(A2106="","",IF(COUNTIFS($C$2:$C$5001,C2106,$J$2:$J$5001,J2106,$A$2:$A$5001,"&lt;"&amp;A2106)=0,1,0))</f>
        <v>0</v>
      </c>
    </row>
    <row r="2107" customFormat="false" ht="15" hidden="false" customHeight="false" outlineLevel="0" collapsed="false">
      <c r="A2107" s="23" t="n">
        <v>46222.7701388889</v>
      </c>
      <c r="B2107" s="24" t="s">
        <v>1022</v>
      </c>
      <c r="C2107" s="24" t="s">
        <v>63</v>
      </c>
      <c r="D2107" s="24" t="s">
        <v>66</v>
      </c>
      <c r="E2107" s="24" t="n">
        <v>117</v>
      </c>
      <c r="F2107" s="25" t="n">
        <v>4000</v>
      </c>
      <c r="G2107" s="24" t="s">
        <v>59</v>
      </c>
      <c r="H2107" s="24" t="s">
        <v>55</v>
      </c>
      <c r="I2107" s="24" t="s">
        <v>61</v>
      </c>
      <c r="J2107" s="26" t="n">
        <f aca="false">IF(A2107="","",YEAR(A2107))</f>
        <v>2026</v>
      </c>
      <c r="K2107" s="26" t="n">
        <f aca="false">IF(A2107="","",MONTH(A2107))</f>
        <v>7</v>
      </c>
      <c r="L2107" s="26" t="n">
        <f aca="false">IF(B2107="","",VALUE(LEFT(B2107,2)))</f>
        <v>16</v>
      </c>
      <c r="M2107" s="26" t="n">
        <f aca="false">IF(A2107="","",IF(COUNTIFS($C$2:$C$5001,C2107,$J$2:$J$5001,J2107,$A$2:$A$5001,"&lt;"&amp;A2107)=0,1,0))</f>
        <v>0</v>
      </c>
    </row>
    <row r="2108" customFormat="false" ht="15" hidden="false" customHeight="false" outlineLevel="0" collapsed="false">
      <c r="A2108" s="23" t="n">
        <v>46222.8347222222</v>
      </c>
      <c r="B2108" s="24" t="s">
        <v>931</v>
      </c>
      <c r="C2108" s="24" t="s">
        <v>94</v>
      </c>
      <c r="D2108" s="24" t="s">
        <v>66</v>
      </c>
      <c r="E2108" s="24" t="n">
        <v>138</v>
      </c>
      <c r="F2108" s="25" t="n">
        <v>5000</v>
      </c>
      <c r="G2108" s="24" t="s">
        <v>79</v>
      </c>
      <c r="H2108" s="24" t="s">
        <v>60</v>
      </c>
      <c r="I2108" s="24" t="s">
        <v>61</v>
      </c>
      <c r="J2108" s="26" t="n">
        <f aca="false">IF(A2108="","",YEAR(A2108))</f>
        <v>2026</v>
      </c>
      <c r="K2108" s="26" t="n">
        <f aca="false">IF(A2108="","",MONTH(A2108))</f>
        <v>7</v>
      </c>
      <c r="L2108" s="26" t="n">
        <f aca="false">IF(B2108="","",VALUE(LEFT(B2108,2)))</f>
        <v>17</v>
      </c>
      <c r="M2108" s="26" t="n">
        <f aca="false">IF(A2108="","",IF(COUNTIFS($C$2:$C$5001,C2108,$J$2:$J$5001,J2108,$A$2:$A$5001,"&lt;"&amp;A2108)=0,1,0))</f>
        <v>0</v>
      </c>
    </row>
    <row r="2109" customFormat="false" ht="15" hidden="false" customHeight="false" outlineLevel="0" collapsed="false">
      <c r="A2109" s="23" t="n">
        <v>46222.9145833333</v>
      </c>
      <c r="B2109" s="24" t="s">
        <v>1022</v>
      </c>
      <c r="C2109" s="24" t="s">
        <v>271</v>
      </c>
      <c r="D2109" s="24" t="s">
        <v>66</v>
      </c>
      <c r="E2109" s="24" t="n">
        <v>325</v>
      </c>
      <c r="F2109" s="25" t="n">
        <v>11000</v>
      </c>
      <c r="G2109" s="24" t="s">
        <v>79</v>
      </c>
      <c r="H2109" s="24" t="s">
        <v>80</v>
      </c>
      <c r="I2109" s="24" t="s">
        <v>61</v>
      </c>
      <c r="J2109" s="26" t="n">
        <f aca="false">IF(A2109="","",YEAR(A2109))</f>
        <v>2026</v>
      </c>
      <c r="K2109" s="26" t="n">
        <f aca="false">IF(A2109="","",MONTH(A2109))</f>
        <v>7</v>
      </c>
      <c r="L2109" s="26" t="n">
        <f aca="false">IF(B2109="","",VALUE(LEFT(B2109,2)))</f>
        <v>16</v>
      </c>
      <c r="M2109" s="26" t="n">
        <f aca="false">IF(A2109="","",IF(COUNTIFS($C$2:$C$5001,C2109,$J$2:$J$5001,J2109,$A$2:$A$5001,"&lt;"&amp;A2109)=0,1,0))</f>
        <v>0</v>
      </c>
    </row>
    <row r="2110" customFormat="false" ht="15" hidden="false" customHeight="false" outlineLevel="0" collapsed="false">
      <c r="A2110" s="23" t="n">
        <v>46222.9854166667</v>
      </c>
      <c r="B2110" s="24" t="s">
        <v>808</v>
      </c>
      <c r="C2110" s="24" t="s">
        <v>186</v>
      </c>
      <c r="D2110" s="24" t="s">
        <v>72</v>
      </c>
      <c r="E2110" s="24" t="n">
        <v>177</v>
      </c>
      <c r="F2110" s="25" t="n">
        <v>12000</v>
      </c>
      <c r="G2110" s="24" t="s">
        <v>54</v>
      </c>
      <c r="H2110" s="24" t="s">
        <v>60</v>
      </c>
      <c r="I2110" s="24" t="s">
        <v>61</v>
      </c>
      <c r="J2110" s="26" t="n">
        <f aca="false">IF(A2110="","",YEAR(A2110))</f>
        <v>2026</v>
      </c>
      <c r="K2110" s="26" t="n">
        <f aca="false">IF(A2110="","",MONTH(A2110))</f>
        <v>7</v>
      </c>
      <c r="L2110" s="26" t="n">
        <f aca="false">IF(B2110="","",VALUE(LEFT(B2110,2)))</f>
        <v>20</v>
      </c>
      <c r="M2110" s="26" t="n">
        <f aca="false">IF(A2110="","",IF(COUNTIFS($C$2:$C$5001,C2110,$J$2:$J$5001,J2110,$A$2:$A$5001,"&lt;"&amp;A2110)=0,1,0))</f>
        <v>0</v>
      </c>
    </row>
    <row r="2111" customFormat="false" ht="15" hidden="false" customHeight="false" outlineLevel="0" collapsed="false">
      <c r="A2111" s="23" t="n">
        <v>46223.0194444444</v>
      </c>
      <c r="B2111" s="24" t="s">
        <v>814</v>
      </c>
      <c r="C2111" s="24" t="s">
        <v>263</v>
      </c>
      <c r="D2111" s="24" t="s">
        <v>88</v>
      </c>
      <c r="E2111" s="24" t="n">
        <v>360</v>
      </c>
      <c r="F2111" s="25" t="n">
        <v>18000</v>
      </c>
      <c r="G2111" s="24" t="s">
        <v>59</v>
      </c>
      <c r="H2111" s="24" t="s">
        <v>80</v>
      </c>
      <c r="I2111" s="24" t="s">
        <v>61</v>
      </c>
      <c r="J2111" s="26" t="n">
        <f aca="false">IF(A2111="","",YEAR(A2111))</f>
        <v>2026</v>
      </c>
      <c r="K2111" s="26" t="n">
        <f aca="false">IF(A2111="","",MONTH(A2111))</f>
        <v>7</v>
      </c>
      <c r="L2111" s="26" t="n">
        <f aca="false">IF(B2111="","",VALUE(LEFT(B2111,2)))</f>
        <v>18</v>
      </c>
      <c r="M2111" s="26" t="n">
        <f aca="false">IF(A2111="","",IF(COUNTIFS($C$2:$C$5001,C2111,$J$2:$J$5001,J2111,$A$2:$A$5001,"&lt;"&amp;A2111)=0,1,0))</f>
        <v>0</v>
      </c>
    </row>
    <row r="2112" customFormat="false" ht="15" hidden="false" customHeight="false" outlineLevel="0" collapsed="false">
      <c r="A2112" s="23" t="n">
        <v>46223.56875</v>
      </c>
      <c r="B2112" s="24" t="s">
        <v>807</v>
      </c>
      <c r="C2112" s="24" t="s">
        <v>203</v>
      </c>
      <c r="D2112" s="24" t="s">
        <v>66</v>
      </c>
      <c r="E2112" s="24" t="n">
        <v>352</v>
      </c>
      <c r="F2112" s="25" t="n">
        <v>12000</v>
      </c>
      <c r="G2112" s="24" t="s">
        <v>59</v>
      </c>
      <c r="H2112" s="24" t="s">
        <v>60</v>
      </c>
      <c r="I2112" s="24" t="s">
        <v>61</v>
      </c>
      <c r="J2112" s="26" t="n">
        <f aca="false">IF(A2112="","",YEAR(A2112))</f>
        <v>2026</v>
      </c>
      <c r="K2112" s="26" t="n">
        <f aca="false">IF(A2112="","",MONTH(A2112))</f>
        <v>7</v>
      </c>
      <c r="L2112" s="26" t="n">
        <f aca="false">IF(B2112="","",VALUE(LEFT(B2112,2)))</f>
        <v>7</v>
      </c>
      <c r="M2112" s="26" t="n">
        <f aca="false">IF(A2112="","",IF(COUNTIFS($C$2:$C$5001,C2112,$J$2:$J$5001,J2112,$A$2:$A$5001,"&lt;"&amp;A2112)=0,1,0))</f>
        <v>0</v>
      </c>
    </row>
    <row r="2113" customFormat="false" ht="15" hidden="false" customHeight="false" outlineLevel="0" collapsed="false">
      <c r="A2113" s="23" t="n">
        <v>46223.5701388889</v>
      </c>
      <c r="B2113" s="24" t="s">
        <v>907</v>
      </c>
      <c r="C2113" s="24" t="s">
        <v>737</v>
      </c>
      <c r="D2113" s="24" t="s">
        <v>88</v>
      </c>
      <c r="E2113" s="24" t="n">
        <v>358</v>
      </c>
      <c r="F2113" s="25" t="n">
        <v>18000</v>
      </c>
      <c r="G2113" s="24" t="s">
        <v>69</v>
      </c>
      <c r="H2113" s="24" t="s">
        <v>60</v>
      </c>
      <c r="I2113" s="24" t="s">
        <v>61</v>
      </c>
      <c r="J2113" s="26" t="n">
        <f aca="false">IF(A2113="","",YEAR(A2113))</f>
        <v>2026</v>
      </c>
      <c r="K2113" s="26" t="n">
        <f aca="false">IF(A2113="","",MONTH(A2113))</f>
        <v>7</v>
      </c>
      <c r="L2113" s="26" t="n">
        <f aca="false">IF(B2113="","",VALUE(LEFT(B2113,2)))</f>
        <v>7</v>
      </c>
      <c r="M2113" s="26" t="n">
        <f aca="false">IF(A2113="","",IF(COUNTIFS($C$2:$C$5001,C2113,$J$2:$J$5001,J2113,$A$2:$A$5001,"&lt;"&amp;A2113)=0,1,0))</f>
        <v>0</v>
      </c>
    </row>
    <row r="2114" customFormat="false" ht="15" hidden="false" customHeight="false" outlineLevel="0" collapsed="false">
      <c r="A2114" s="23" t="n">
        <v>46223.5868055556</v>
      </c>
      <c r="B2114" s="24" t="s">
        <v>386</v>
      </c>
      <c r="C2114" s="24" t="s">
        <v>172</v>
      </c>
      <c r="D2114" s="24" t="s">
        <v>53</v>
      </c>
      <c r="E2114" s="24" t="n">
        <v>97</v>
      </c>
      <c r="F2114" s="25" t="n">
        <v>2000</v>
      </c>
      <c r="G2114" s="24" t="s">
        <v>59</v>
      </c>
      <c r="H2114" s="24" t="s">
        <v>55</v>
      </c>
      <c r="I2114" s="24" t="s">
        <v>61</v>
      </c>
      <c r="J2114" s="26" t="n">
        <f aca="false">IF(A2114="","",YEAR(A2114))</f>
        <v>2026</v>
      </c>
      <c r="K2114" s="26" t="n">
        <f aca="false">IF(A2114="","",MONTH(A2114))</f>
        <v>7</v>
      </c>
      <c r="L2114" s="26" t="n">
        <f aca="false">IF(B2114="","",VALUE(LEFT(B2114,2)))</f>
        <v>12</v>
      </c>
      <c r="M2114" s="26" t="n">
        <f aca="false">IF(A2114="","",IF(COUNTIFS($C$2:$C$5001,C2114,$J$2:$J$5001,J2114,$A$2:$A$5001,"&lt;"&amp;A2114)=0,1,0))</f>
        <v>0</v>
      </c>
    </row>
    <row r="2115" customFormat="false" ht="15" hidden="false" customHeight="false" outlineLevel="0" collapsed="false">
      <c r="A2115" s="23" t="n">
        <v>46223.7902777778</v>
      </c>
      <c r="B2115" s="24" t="s">
        <v>700</v>
      </c>
      <c r="C2115" s="24" t="s">
        <v>197</v>
      </c>
      <c r="D2115" s="24" t="s">
        <v>66</v>
      </c>
      <c r="E2115" s="24" t="n">
        <v>215</v>
      </c>
      <c r="F2115" s="25" t="n">
        <v>6800</v>
      </c>
      <c r="G2115" s="24" t="s">
        <v>83</v>
      </c>
      <c r="H2115" s="24" t="s">
        <v>55</v>
      </c>
      <c r="I2115" s="24" t="s">
        <v>113</v>
      </c>
      <c r="J2115" s="26" t="n">
        <f aca="false">IF(A2115="","",YEAR(A2115))</f>
        <v>2026</v>
      </c>
      <c r="K2115" s="26" t="n">
        <f aca="false">IF(A2115="","",MONTH(A2115))</f>
        <v>7</v>
      </c>
      <c r="L2115" s="26" t="n">
        <f aca="false">IF(B2115="","",VALUE(LEFT(B2115,2)))</f>
        <v>15</v>
      </c>
      <c r="M2115" s="26" t="n">
        <f aca="false">IF(A2115="","",IF(COUNTIFS($C$2:$C$5001,C2115,$J$2:$J$5001,J2115,$A$2:$A$5001,"&lt;"&amp;A2115)=0,1,0))</f>
        <v>0</v>
      </c>
    </row>
    <row r="2116" customFormat="false" ht="15" hidden="false" customHeight="false" outlineLevel="0" collapsed="false">
      <c r="A2116" s="23" t="n">
        <v>46224.3798611111</v>
      </c>
      <c r="B2116" s="24" t="s">
        <v>86</v>
      </c>
      <c r="C2116" s="24" t="s">
        <v>112</v>
      </c>
      <c r="D2116" s="24" t="s">
        <v>88</v>
      </c>
      <c r="E2116" s="24" t="n">
        <v>87</v>
      </c>
      <c r="F2116" s="25" t="n">
        <v>4500</v>
      </c>
      <c r="G2116" s="24" t="s">
        <v>54</v>
      </c>
      <c r="H2116" s="24" t="s">
        <v>80</v>
      </c>
      <c r="I2116" s="24" t="s">
        <v>61</v>
      </c>
      <c r="J2116" s="26" t="n">
        <f aca="false">IF(A2116="","",YEAR(A2116))</f>
        <v>2026</v>
      </c>
      <c r="K2116" s="26" t="n">
        <f aca="false">IF(A2116="","",MONTH(A2116))</f>
        <v>7</v>
      </c>
      <c r="L2116" s="26" t="n">
        <f aca="false">IF(B2116="","",VALUE(LEFT(B2116,2)))</f>
        <v>7</v>
      </c>
      <c r="M2116" s="26" t="n">
        <f aca="false">IF(A2116="","",IF(COUNTIFS($C$2:$C$5001,C2116,$J$2:$J$5001,J2116,$A$2:$A$5001,"&lt;"&amp;A2116)=0,1,0))</f>
        <v>0</v>
      </c>
    </row>
    <row r="2117" customFormat="false" ht="15" hidden="false" customHeight="false" outlineLevel="0" collapsed="false">
      <c r="A2117" s="23" t="n">
        <v>46224.4236111111</v>
      </c>
      <c r="B2117" s="24" t="s">
        <v>754</v>
      </c>
      <c r="C2117" s="24" t="s">
        <v>82</v>
      </c>
      <c r="D2117" s="24" t="s">
        <v>53</v>
      </c>
      <c r="E2117" s="24" t="n">
        <v>72</v>
      </c>
      <c r="F2117" s="25" t="n">
        <v>1500</v>
      </c>
      <c r="G2117" s="24" t="s">
        <v>69</v>
      </c>
      <c r="H2117" s="24" t="s">
        <v>55</v>
      </c>
      <c r="I2117" s="24" t="s">
        <v>61</v>
      </c>
      <c r="J2117" s="26" t="n">
        <f aca="false">IF(A2117="","",YEAR(A2117))</f>
        <v>2026</v>
      </c>
      <c r="K2117" s="26" t="n">
        <f aca="false">IF(A2117="","",MONTH(A2117))</f>
        <v>7</v>
      </c>
      <c r="L2117" s="26" t="n">
        <f aca="false">IF(B2117="","",VALUE(LEFT(B2117,2)))</f>
        <v>8</v>
      </c>
      <c r="M2117" s="26" t="n">
        <f aca="false">IF(A2117="","",IF(COUNTIFS($C$2:$C$5001,C2117,$J$2:$J$5001,J2117,$A$2:$A$5001,"&lt;"&amp;A2117)=0,1,0))</f>
        <v>0</v>
      </c>
    </row>
    <row r="2118" customFormat="false" ht="15" hidden="false" customHeight="false" outlineLevel="0" collapsed="false">
      <c r="A2118" s="23" t="n">
        <v>46224.4368055556</v>
      </c>
      <c r="B2118" s="24" t="s">
        <v>258</v>
      </c>
      <c r="C2118" s="24" t="s">
        <v>442</v>
      </c>
      <c r="D2118" s="24" t="s">
        <v>66</v>
      </c>
      <c r="E2118" s="24" t="n">
        <v>50</v>
      </c>
      <c r="F2118" s="25" t="n">
        <v>2000</v>
      </c>
      <c r="G2118" s="24" t="s">
        <v>59</v>
      </c>
      <c r="H2118" s="24" t="s">
        <v>80</v>
      </c>
      <c r="I2118" s="24" t="s">
        <v>61</v>
      </c>
      <c r="J2118" s="26" t="n">
        <f aca="false">IF(A2118="","",YEAR(A2118))</f>
        <v>2026</v>
      </c>
      <c r="K2118" s="26" t="n">
        <f aca="false">IF(A2118="","",MONTH(A2118))</f>
        <v>7</v>
      </c>
      <c r="L2118" s="26" t="n">
        <f aca="false">IF(B2118="","",VALUE(LEFT(B2118,2)))</f>
        <v>9</v>
      </c>
      <c r="M2118" s="26" t="n">
        <f aca="false">IF(A2118="","",IF(COUNTIFS($C$2:$C$5001,C2118,$J$2:$J$5001,J2118,$A$2:$A$5001,"&lt;"&amp;A2118)=0,1,0))</f>
        <v>0</v>
      </c>
    </row>
    <row r="2119" customFormat="false" ht="15" hidden="false" customHeight="false" outlineLevel="0" collapsed="false">
      <c r="A2119" s="23" t="n">
        <v>46224.4791666667</v>
      </c>
      <c r="B2119" s="24" t="s">
        <v>577</v>
      </c>
      <c r="C2119" s="24" t="s">
        <v>535</v>
      </c>
      <c r="D2119" s="24" t="s">
        <v>66</v>
      </c>
      <c r="E2119" s="24" t="n">
        <v>182</v>
      </c>
      <c r="F2119" s="25" t="n">
        <v>7000</v>
      </c>
      <c r="G2119" s="24" t="s">
        <v>54</v>
      </c>
      <c r="H2119" s="24" t="s">
        <v>55</v>
      </c>
      <c r="I2119" s="24" t="s">
        <v>61</v>
      </c>
      <c r="J2119" s="26" t="n">
        <f aca="false">IF(A2119="","",YEAR(A2119))</f>
        <v>2026</v>
      </c>
      <c r="K2119" s="26" t="n">
        <f aca="false">IF(A2119="","",MONTH(A2119))</f>
        <v>7</v>
      </c>
      <c r="L2119" s="26" t="n">
        <f aca="false">IF(B2119="","",VALUE(LEFT(B2119,2)))</f>
        <v>8</v>
      </c>
      <c r="M2119" s="26" t="n">
        <f aca="false">IF(A2119="","",IF(COUNTIFS($C$2:$C$5001,C2119,$J$2:$J$5001,J2119,$A$2:$A$5001,"&lt;"&amp;A2119)=0,1,0))</f>
        <v>1</v>
      </c>
    </row>
    <row r="2120" customFormat="false" ht="15" hidden="false" customHeight="false" outlineLevel="0" collapsed="false">
      <c r="A2120" s="23" t="n">
        <v>46224.5763888889</v>
      </c>
      <c r="B2120" s="24" t="s">
        <v>510</v>
      </c>
      <c r="C2120" s="24" t="s">
        <v>463</v>
      </c>
      <c r="D2120" s="24" t="s">
        <v>53</v>
      </c>
      <c r="E2120" s="24" t="n">
        <v>232</v>
      </c>
      <c r="F2120" s="25" t="n">
        <v>4000</v>
      </c>
      <c r="G2120" s="24" t="s">
        <v>59</v>
      </c>
      <c r="H2120" s="24" t="s">
        <v>55</v>
      </c>
      <c r="I2120" s="24" t="s">
        <v>61</v>
      </c>
      <c r="J2120" s="26" t="n">
        <f aca="false">IF(A2120="","",YEAR(A2120))</f>
        <v>2026</v>
      </c>
      <c r="K2120" s="26" t="n">
        <f aca="false">IF(A2120="","",MONTH(A2120))</f>
        <v>7</v>
      </c>
      <c r="L2120" s="26" t="n">
        <f aca="false">IF(B2120="","",VALUE(LEFT(B2120,2)))</f>
        <v>9</v>
      </c>
      <c r="M2120" s="26" t="n">
        <f aca="false">IF(A2120="","",IF(COUNTIFS($C$2:$C$5001,C2120,$J$2:$J$5001,J2120,$A$2:$A$5001,"&lt;"&amp;A2120)=0,1,0))</f>
        <v>0</v>
      </c>
    </row>
    <row r="2121" customFormat="false" ht="15" hidden="false" customHeight="false" outlineLevel="0" collapsed="false">
      <c r="A2121" s="23" t="n">
        <v>46224.5965277778</v>
      </c>
      <c r="B2121" s="24" t="s">
        <v>729</v>
      </c>
      <c r="C2121" s="24" t="s">
        <v>188</v>
      </c>
      <c r="D2121" s="24" t="s">
        <v>53</v>
      </c>
      <c r="E2121" s="24" t="n">
        <v>371</v>
      </c>
      <c r="F2121" s="25" t="n">
        <v>6500</v>
      </c>
      <c r="G2121" s="24" t="s">
        <v>69</v>
      </c>
      <c r="H2121" s="24" t="s">
        <v>60</v>
      </c>
      <c r="I2121" s="24" t="s">
        <v>61</v>
      </c>
      <c r="J2121" s="26" t="n">
        <f aca="false">IF(A2121="","",YEAR(A2121))</f>
        <v>2026</v>
      </c>
      <c r="K2121" s="26" t="n">
        <f aca="false">IF(A2121="","",MONTH(A2121))</f>
        <v>7</v>
      </c>
      <c r="L2121" s="26" t="n">
        <f aca="false">IF(B2121="","",VALUE(LEFT(B2121,2)))</f>
        <v>8</v>
      </c>
      <c r="M2121" s="26" t="n">
        <f aca="false">IF(A2121="","",IF(COUNTIFS($C$2:$C$5001,C2121,$J$2:$J$5001,J2121,$A$2:$A$5001,"&lt;"&amp;A2121)=0,1,0))</f>
        <v>0</v>
      </c>
    </row>
    <row r="2122" customFormat="false" ht="15" hidden="false" customHeight="false" outlineLevel="0" collapsed="false">
      <c r="A2122" s="23" t="n">
        <v>46224.6513888889</v>
      </c>
      <c r="B2122" s="24" t="s">
        <v>585</v>
      </c>
      <c r="C2122" s="24" t="s">
        <v>177</v>
      </c>
      <c r="D2122" s="24" t="s">
        <v>66</v>
      </c>
      <c r="E2122" s="24" t="n">
        <v>309</v>
      </c>
      <c r="F2122" s="25" t="n">
        <v>11000</v>
      </c>
      <c r="G2122" s="24" t="s">
        <v>69</v>
      </c>
      <c r="H2122" s="24" t="s">
        <v>80</v>
      </c>
      <c r="I2122" s="24" t="s">
        <v>61</v>
      </c>
      <c r="J2122" s="26" t="n">
        <f aca="false">IF(A2122="","",YEAR(A2122))</f>
        <v>2026</v>
      </c>
      <c r="K2122" s="26" t="n">
        <f aca="false">IF(A2122="","",MONTH(A2122))</f>
        <v>7</v>
      </c>
      <c r="L2122" s="26" t="n">
        <f aca="false">IF(B2122="","",VALUE(LEFT(B2122,2)))</f>
        <v>10</v>
      </c>
      <c r="M2122" s="26" t="n">
        <f aca="false">IF(A2122="","",IF(COUNTIFS($C$2:$C$5001,C2122,$J$2:$J$5001,J2122,$A$2:$A$5001,"&lt;"&amp;A2122)=0,1,0))</f>
        <v>0</v>
      </c>
    </row>
    <row r="2123" customFormat="false" ht="15" hidden="false" customHeight="false" outlineLevel="0" collapsed="false">
      <c r="A2123" s="23" t="n">
        <v>46224.6756944444</v>
      </c>
      <c r="B2123" s="24" t="s">
        <v>1023</v>
      </c>
      <c r="C2123" s="24" t="s">
        <v>265</v>
      </c>
      <c r="D2123" s="24" t="s">
        <v>88</v>
      </c>
      <c r="E2123" s="24" t="n">
        <v>244</v>
      </c>
      <c r="F2123" s="25" t="n">
        <v>13500</v>
      </c>
      <c r="G2123" s="24" t="s">
        <v>69</v>
      </c>
      <c r="H2123" s="24" t="s">
        <v>55</v>
      </c>
      <c r="I2123" s="24" t="s">
        <v>61</v>
      </c>
      <c r="J2123" s="26" t="n">
        <f aca="false">IF(A2123="","",YEAR(A2123))</f>
        <v>2026</v>
      </c>
      <c r="K2123" s="26" t="n">
        <f aca="false">IF(A2123="","",MONTH(A2123))</f>
        <v>7</v>
      </c>
      <c r="L2123" s="26" t="n">
        <f aca="false">IF(B2123="","",VALUE(LEFT(B2123,2)))</f>
        <v>12</v>
      </c>
      <c r="M2123" s="26" t="n">
        <f aca="false">IF(A2123="","",IF(COUNTIFS($C$2:$C$5001,C2123,$J$2:$J$5001,J2123,$A$2:$A$5001,"&lt;"&amp;A2123)=0,1,0))</f>
        <v>0</v>
      </c>
    </row>
    <row r="2124" customFormat="false" ht="15" hidden="false" customHeight="false" outlineLevel="0" collapsed="false">
      <c r="A2124" s="23" t="n">
        <v>46224.9555555556</v>
      </c>
      <c r="B2124" s="24" t="s">
        <v>1024</v>
      </c>
      <c r="C2124" s="24" t="s">
        <v>98</v>
      </c>
      <c r="D2124" s="24" t="s">
        <v>66</v>
      </c>
      <c r="E2124" s="24" t="n">
        <v>269</v>
      </c>
      <c r="F2124" s="25" t="n">
        <v>9000</v>
      </c>
      <c r="G2124" s="24" t="s">
        <v>69</v>
      </c>
      <c r="H2124" s="24" t="s">
        <v>80</v>
      </c>
      <c r="I2124" s="24" t="s">
        <v>61</v>
      </c>
      <c r="J2124" s="26" t="n">
        <f aca="false">IF(A2124="","",YEAR(A2124))</f>
        <v>2026</v>
      </c>
      <c r="K2124" s="26" t="n">
        <f aca="false">IF(A2124="","",MONTH(A2124))</f>
        <v>7</v>
      </c>
      <c r="L2124" s="26" t="n">
        <f aca="false">IF(B2124="","",VALUE(LEFT(B2124,2)))</f>
        <v>18</v>
      </c>
      <c r="M2124" s="26" t="n">
        <f aca="false">IF(A2124="","",IF(COUNTIFS($C$2:$C$5001,C2124,$J$2:$J$5001,J2124,$A$2:$A$5001,"&lt;"&amp;A2124)=0,1,0))</f>
        <v>0</v>
      </c>
    </row>
    <row r="2125" customFormat="false" ht="15" hidden="false" customHeight="false" outlineLevel="0" collapsed="false">
      <c r="A2125" s="23" t="n">
        <v>46225.0201388889</v>
      </c>
      <c r="B2125" s="24" t="s">
        <v>931</v>
      </c>
      <c r="C2125" s="24" t="s">
        <v>63</v>
      </c>
      <c r="D2125" s="24" t="s">
        <v>66</v>
      </c>
      <c r="E2125" s="24" t="n">
        <v>405</v>
      </c>
      <c r="F2125" s="25" t="n">
        <v>14000</v>
      </c>
      <c r="G2125" s="24" t="s">
        <v>59</v>
      </c>
      <c r="H2125" s="24" t="s">
        <v>55</v>
      </c>
      <c r="I2125" s="24" t="s">
        <v>61</v>
      </c>
      <c r="J2125" s="26" t="n">
        <f aca="false">IF(A2125="","",YEAR(A2125))</f>
        <v>2026</v>
      </c>
      <c r="K2125" s="26" t="n">
        <f aca="false">IF(A2125="","",MONTH(A2125))</f>
        <v>7</v>
      </c>
      <c r="L2125" s="26" t="n">
        <f aca="false">IF(B2125="","",VALUE(LEFT(B2125,2)))</f>
        <v>17</v>
      </c>
      <c r="M2125" s="26" t="n">
        <f aca="false">IF(A2125="","",IF(COUNTIFS($C$2:$C$5001,C2125,$J$2:$J$5001,J2125,$A$2:$A$5001,"&lt;"&amp;A2125)=0,1,0))</f>
        <v>0</v>
      </c>
    </row>
    <row r="2126" customFormat="false" ht="15" hidden="false" customHeight="false" outlineLevel="0" collapsed="false">
      <c r="A2126" s="23" t="n">
        <v>46225.3506944445</v>
      </c>
      <c r="B2126" s="24" t="s">
        <v>671</v>
      </c>
      <c r="C2126" s="24" t="s">
        <v>430</v>
      </c>
      <c r="D2126" s="24" t="s">
        <v>53</v>
      </c>
      <c r="E2126" s="24" t="n">
        <v>65</v>
      </c>
      <c r="F2126" s="25" t="n">
        <v>1500</v>
      </c>
      <c r="G2126" s="24" t="s">
        <v>69</v>
      </c>
      <c r="H2126" s="24" t="s">
        <v>80</v>
      </c>
      <c r="I2126" s="24" t="s">
        <v>61</v>
      </c>
      <c r="J2126" s="26" t="n">
        <f aca="false">IF(A2126="","",YEAR(A2126))</f>
        <v>2026</v>
      </c>
      <c r="K2126" s="26" t="n">
        <f aca="false">IF(A2126="","",MONTH(A2126))</f>
        <v>7</v>
      </c>
      <c r="L2126" s="26" t="n">
        <f aca="false">IF(B2126="","",VALUE(LEFT(B2126,2)))</f>
        <v>7</v>
      </c>
      <c r="M2126" s="26" t="n">
        <f aca="false">IF(A2126="","",IF(COUNTIFS($C$2:$C$5001,C2126,$J$2:$J$5001,J2126,$A$2:$A$5001,"&lt;"&amp;A2126)=0,1,0))</f>
        <v>0</v>
      </c>
    </row>
    <row r="2127" customFormat="false" ht="15" hidden="false" customHeight="false" outlineLevel="0" collapsed="false">
      <c r="A2127" s="23" t="n">
        <v>46225.4347222222</v>
      </c>
      <c r="B2127" s="24" t="s">
        <v>1013</v>
      </c>
      <c r="C2127" s="24" t="s">
        <v>265</v>
      </c>
      <c r="D2127" s="24" t="s">
        <v>88</v>
      </c>
      <c r="E2127" s="24" t="n">
        <v>183</v>
      </c>
      <c r="F2127" s="25" t="n">
        <v>10500</v>
      </c>
      <c r="G2127" s="24" t="s">
        <v>59</v>
      </c>
      <c r="H2127" s="24" t="s">
        <v>80</v>
      </c>
      <c r="I2127" s="24" t="s">
        <v>61</v>
      </c>
      <c r="J2127" s="26" t="n">
        <f aca="false">IF(A2127="","",YEAR(A2127))</f>
        <v>2026</v>
      </c>
      <c r="K2127" s="26" t="n">
        <f aca="false">IF(A2127="","",MONTH(A2127))</f>
        <v>7</v>
      </c>
      <c r="L2127" s="26" t="n">
        <f aca="false">IF(B2127="","",VALUE(LEFT(B2127,2)))</f>
        <v>7</v>
      </c>
      <c r="M2127" s="26" t="n">
        <f aca="false">IF(A2127="","",IF(COUNTIFS($C$2:$C$5001,C2127,$J$2:$J$5001,J2127,$A$2:$A$5001,"&lt;"&amp;A2127)=0,1,0))</f>
        <v>0</v>
      </c>
    </row>
    <row r="2128" customFormat="false" ht="15" hidden="false" customHeight="false" outlineLevel="0" collapsed="false">
      <c r="A2128" s="23" t="n">
        <v>46225.5145833333</v>
      </c>
      <c r="B2128" s="24" t="s">
        <v>1025</v>
      </c>
      <c r="C2128" s="24" t="s">
        <v>240</v>
      </c>
      <c r="D2128" s="24" t="s">
        <v>66</v>
      </c>
      <c r="E2128" s="24" t="n">
        <v>32</v>
      </c>
      <c r="F2128" s="25" t="n">
        <v>2000</v>
      </c>
      <c r="G2128" s="24" t="s">
        <v>69</v>
      </c>
      <c r="H2128" s="24" t="s">
        <v>60</v>
      </c>
      <c r="I2128" s="24" t="s">
        <v>61</v>
      </c>
      <c r="J2128" s="26" t="n">
        <f aca="false">IF(A2128="","",YEAR(A2128))</f>
        <v>2026</v>
      </c>
      <c r="K2128" s="26" t="n">
        <f aca="false">IF(A2128="","",MONTH(A2128))</f>
        <v>7</v>
      </c>
      <c r="L2128" s="26" t="n">
        <f aca="false">IF(B2128="","",VALUE(LEFT(B2128,2)))</f>
        <v>11</v>
      </c>
      <c r="M2128" s="26" t="n">
        <f aca="false">IF(A2128="","",IF(COUNTIFS($C$2:$C$5001,C2128,$J$2:$J$5001,J2128,$A$2:$A$5001,"&lt;"&amp;A2128)=0,1,0))</f>
        <v>0</v>
      </c>
    </row>
    <row r="2129" customFormat="false" ht="15" hidden="false" customHeight="false" outlineLevel="0" collapsed="false">
      <c r="A2129" s="23" t="n">
        <v>46225.6444444444</v>
      </c>
      <c r="B2129" s="24" t="s">
        <v>704</v>
      </c>
      <c r="C2129" s="24" t="s">
        <v>666</v>
      </c>
      <c r="D2129" s="24" t="s">
        <v>66</v>
      </c>
      <c r="E2129" s="24" t="n">
        <v>362</v>
      </c>
      <c r="F2129" s="25" t="n">
        <v>13000</v>
      </c>
      <c r="G2129" s="24" t="s">
        <v>54</v>
      </c>
      <c r="H2129" s="24" t="s">
        <v>55</v>
      </c>
      <c r="I2129" s="24" t="s">
        <v>61</v>
      </c>
      <c r="J2129" s="26" t="n">
        <f aca="false">IF(A2129="","",YEAR(A2129))</f>
        <v>2026</v>
      </c>
      <c r="K2129" s="26" t="n">
        <f aca="false">IF(A2129="","",MONTH(A2129))</f>
        <v>7</v>
      </c>
      <c r="L2129" s="26" t="n">
        <f aca="false">IF(B2129="","",VALUE(LEFT(B2129,2)))</f>
        <v>9</v>
      </c>
      <c r="M2129" s="26" t="n">
        <f aca="false">IF(A2129="","",IF(COUNTIFS($C$2:$C$5001,C2129,$J$2:$J$5001,J2129,$A$2:$A$5001,"&lt;"&amp;A2129)=0,1,0))</f>
        <v>1</v>
      </c>
    </row>
    <row r="2130" customFormat="false" ht="15" hidden="false" customHeight="false" outlineLevel="0" collapsed="false">
      <c r="A2130" s="23" t="n">
        <v>46225.7173611111</v>
      </c>
      <c r="B2130" s="24" t="s">
        <v>1026</v>
      </c>
      <c r="C2130" s="24" t="s">
        <v>197</v>
      </c>
      <c r="D2130" s="24" t="s">
        <v>66</v>
      </c>
      <c r="E2130" s="24" t="n">
        <v>98</v>
      </c>
      <c r="F2130" s="25" t="n">
        <v>4000</v>
      </c>
      <c r="G2130" s="24" t="s">
        <v>69</v>
      </c>
      <c r="H2130" s="24" t="s">
        <v>80</v>
      </c>
      <c r="I2130" s="24" t="s">
        <v>61</v>
      </c>
      <c r="J2130" s="26" t="n">
        <f aca="false">IF(A2130="","",YEAR(A2130))</f>
        <v>2026</v>
      </c>
      <c r="K2130" s="26" t="n">
        <f aca="false">IF(A2130="","",MONTH(A2130))</f>
        <v>7</v>
      </c>
      <c r="L2130" s="26" t="n">
        <f aca="false">IF(B2130="","",VALUE(LEFT(B2130,2)))</f>
        <v>15</v>
      </c>
      <c r="M2130" s="26" t="n">
        <f aca="false">IF(A2130="","",IF(COUNTIFS($C$2:$C$5001,C2130,$J$2:$J$5001,J2130,$A$2:$A$5001,"&lt;"&amp;A2130)=0,1,0))</f>
        <v>0</v>
      </c>
    </row>
    <row r="2131" customFormat="false" ht="15" hidden="false" customHeight="false" outlineLevel="0" collapsed="false">
      <c r="A2131" s="23" t="n">
        <v>46225.8881944444</v>
      </c>
      <c r="B2131" s="24" t="s">
        <v>440</v>
      </c>
      <c r="C2131" s="24" t="s">
        <v>145</v>
      </c>
      <c r="D2131" s="24" t="s">
        <v>66</v>
      </c>
      <c r="E2131" s="24" t="n">
        <v>211</v>
      </c>
      <c r="F2131" s="25" t="n">
        <v>8000</v>
      </c>
      <c r="G2131" s="24" t="s">
        <v>59</v>
      </c>
      <c r="H2131" s="24" t="s">
        <v>55</v>
      </c>
      <c r="I2131" s="24" t="s">
        <v>61</v>
      </c>
      <c r="J2131" s="26" t="n">
        <f aca="false">IF(A2131="","",YEAR(A2131))</f>
        <v>2026</v>
      </c>
      <c r="K2131" s="26" t="n">
        <f aca="false">IF(A2131="","",MONTH(A2131))</f>
        <v>7</v>
      </c>
      <c r="L2131" s="26" t="n">
        <f aca="false">IF(B2131="","",VALUE(LEFT(B2131,2)))</f>
        <v>17</v>
      </c>
      <c r="M2131" s="26" t="n">
        <f aca="false">IF(A2131="","",IF(COUNTIFS($C$2:$C$5001,C2131,$J$2:$J$5001,J2131,$A$2:$A$5001,"&lt;"&amp;A2131)=0,1,0))</f>
        <v>0</v>
      </c>
    </row>
    <row r="2132" customFormat="false" ht="15" hidden="false" customHeight="false" outlineLevel="0" collapsed="false">
      <c r="A2132" s="23" t="n">
        <v>46225.8972222222</v>
      </c>
      <c r="B2132" s="24" t="s">
        <v>1021</v>
      </c>
      <c r="C2132" s="24" t="s">
        <v>353</v>
      </c>
      <c r="D2132" s="24" t="s">
        <v>88</v>
      </c>
      <c r="E2132" s="24" t="n">
        <v>152</v>
      </c>
      <c r="F2132" s="25" t="n">
        <v>9000</v>
      </c>
      <c r="G2132" s="24" t="s">
        <v>59</v>
      </c>
      <c r="H2132" s="24" t="s">
        <v>60</v>
      </c>
      <c r="I2132" s="24" t="s">
        <v>61</v>
      </c>
      <c r="J2132" s="26" t="n">
        <f aca="false">IF(A2132="","",YEAR(A2132))</f>
        <v>2026</v>
      </c>
      <c r="K2132" s="26" t="n">
        <f aca="false">IF(A2132="","",MONTH(A2132))</f>
        <v>7</v>
      </c>
      <c r="L2132" s="26" t="n">
        <f aca="false">IF(B2132="","",VALUE(LEFT(B2132,2)))</f>
        <v>19</v>
      </c>
      <c r="M2132" s="26" t="n">
        <f aca="false">IF(A2132="","",IF(COUNTIFS($C$2:$C$5001,C2132,$J$2:$J$5001,J2132,$A$2:$A$5001,"&lt;"&amp;A2132)=0,1,0))</f>
        <v>0</v>
      </c>
    </row>
    <row r="2133" customFormat="false" ht="15" hidden="false" customHeight="false" outlineLevel="0" collapsed="false">
      <c r="A2133" s="23" t="n">
        <v>46225.9152777778</v>
      </c>
      <c r="B2133" s="24" t="s">
        <v>456</v>
      </c>
      <c r="C2133" s="24" t="s">
        <v>314</v>
      </c>
      <c r="D2133" s="24" t="s">
        <v>88</v>
      </c>
      <c r="E2133" s="24" t="n">
        <v>185</v>
      </c>
      <c r="F2133" s="25" t="n">
        <v>10500</v>
      </c>
      <c r="G2133" s="24" t="s">
        <v>83</v>
      </c>
      <c r="H2133" s="24" t="s">
        <v>60</v>
      </c>
      <c r="I2133" s="24" t="s">
        <v>61</v>
      </c>
      <c r="J2133" s="26" t="n">
        <f aca="false">IF(A2133="","",YEAR(A2133))</f>
        <v>2026</v>
      </c>
      <c r="K2133" s="26" t="n">
        <f aca="false">IF(A2133="","",MONTH(A2133))</f>
        <v>7</v>
      </c>
      <c r="L2133" s="26" t="n">
        <f aca="false">IF(B2133="","",VALUE(LEFT(B2133,2)))</f>
        <v>18</v>
      </c>
      <c r="M2133" s="26" t="n">
        <f aca="false">IF(A2133="","",IF(COUNTIFS($C$2:$C$5001,C2133,$J$2:$J$5001,J2133,$A$2:$A$5001,"&lt;"&amp;A2133)=0,1,0))</f>
        <v>0</v>
      </c>
    </row>
    <row r="2134" customFormat="false" ht="15" hidden="false" customHeight="false" outlineLevel="0" collapsed="false">
      <c r="A2134" s="23" t="n">
        <v>46226.1534722222</v>
      </c>
      <c r="B2134" s="24" t="s">
        <v>455</v>
      </c>
      <c r="C2134" s="24" t="s">
        <v>389</v>
      </c>
      <c r="D2134" s="24" t="s">
        <v>66</v>
      </c>
      <c r="E2134" s="24" t="n">
        <v>418</v>
      </c>
      <c r="F2134" s="25" t="n">
        <v>14000</v>
      </c>
      <c r="G2134" s="24" t="s">
        <v>69</v>
      </c>
      <c r="H2134" s="24" t="s">
        <v>60</v>
      </c>
      <c r="I2134" s="24" t="s">
        <v>61</v>
      </c>
      <c r="J2134" s="26" t="n">
        <f aca="false">IF(A2134="","",YEAR(A2134))</f>
        <v>2026</v>
      </c>
      <c r="K2134" s="26" t="n">
        <f aca="false">IF(A2134="","",MONTH(A2134))</f>
        <v>7</v>
      </c>
      <c r="L2134" s="26" t="n">
        <f aca="false">IF(B2134="","",VALUE(LEFT(B2134,2)))</f>
        <v>20</v>
      </c>
      <c r="M2134" s="26" t="n">
        <f aca="false">IF(A2134="","",IF(COUNTIFS($C$2:$C$5001,C2134,$J$2:$J$5001,J2134,$A$2:$A$5001,"&lt;"&amp;A2134)=0,1,0))</f>
        <v>0</v>
      </c>
    </row>
    <row r="2135" customFormat="false" ht="15" hidden="false" customHeight="false" outlineLevel="0" collapsed="false">
      <c r="A2135" s="23" t="n">
        <v>46226.3409722222</v>
      </c>
      <c r="B2135" s="24" t="s">
        <v>457</v>
      </c>
      <c r="C2135" s="24" t="s">
        <v>74</v>
      </c>
      <c r="D2135" s="24" t="s">
        <v>66</v>
      </c>
      <c r="E2135" s="24" t="n">
        <v>25</v>
      </c>
      <c r="F2135" s="25" t="n">
        <v>1000</v>
      </c>
      <c r="G2135" s="24" t="s">
        <v>83</v>
      </c>
      <c r="H2135" s="24" t="s">
        <v>80</v>
      </c>
      <c r="I2135" s="24" t="s">
        <v>61</v>
      </c>
      <c r="J2135" s="26" t="n">
        <f aca="false">IF(A2135="","",YEAR(A2135))</f>
        <v>2026</v>
      </c>
      <c r="K2135" s="26" t="n">
        <f aca="false">IF(A2135="","",MONTH(A2135))</f>
        <v>7</v>
      </c>
      <c r="L2135" s="26" t="n">
        <f aca="false">IF(B2135="","",VALUE(LEFT(B2135,2)))</f>
        <v>7</v>
      </c>
      <c r="M2135" s="26" t="n">
        <f aca="false">IF(A2135="","",IF(COUNTIFS($C$2:$C$5001,C2135,$J$2:$J$5001,J2135,$A$2:$A$5001,"&lt;"&amp;A2135)=0,1,0))</f>
        <v>0</v>
      </c>
    </row>
    <row r="2136" customFormat="false" ht="15" hidden="false" customHeight="false" outlineLevel="0" collapsed="false">
      <c r="A2136" s="23" t="n">
        <v>46226.3513888889</v>
      </c>
      <c r="B2136" s="24" t="s">
        <v>429</v>
      </c>
      <c r="C2136" s="24" t="s">
        <v>701</v>
      </c>
      <c r="D2136" s="24" t="s">
        <v>127</v>
      </c>
      <c r="E2136" s="24" t="n">
        <v>102</v>
      </c>
      <c r="F2136" s="25" t="n">
        <v>7000</v>
      </c>
      <c r="G2136" s="24" t="s">
        <v>69</v>
      </c>
      <c r="H2136" s="24" t="s">
        <v>80</v>
      </c>
      <c r="I2136" s="24" t="s">
        <v>61</v>
      </c>
      <c r="J2136" s="26" t="n">
        <f aca="false">IF(A2136="","",YEAR(A2136))</f>
        <v>2026</v>
      </c>
      <c r="K2136" s="26" t="n">
        <f aca="false">IF(A2136="","",MONTH(A2136))</f>
        <v>7</v>
      </c>
      <c r="L2136" s="26" t="n">
        <f aca="false">IF(B2136="","",VALUE(LEFT(B2136,2)))</f>
        <v>6</v>
      </c>
      <c r="M2136" s="26" t="n">
        <f aca="false">IF(A2136="","",IF(COUNTIFS($C$2:$C$5001,C2136,$J$2:$J$5001,J2136,$A$2:$A$5001,"&lt;"&amp;A2136)=0,1,0))</f>
        <v>0</v>
      </c>
    </row>
    <row r="2137" customFormat="false" ht="15" hidden="false" customHeight="false" outlineLevel="0" collapsed="false">
      <c r="A2137" s="23" t="n">
        <v>46226.4263888889</v>
      </c>
      <c r="B2137" s="24" t="s">
        <v>906</v>
      </c>
      <c r="C2137" s="24" t="s">
        <v>94</v>
      </c>
      <c r="D2137" s="24" t="s">
        <v>66</v>
      </c>
      <c r="E2137" s="24" t="n">
        <v>206</v>
      </c>
      <c r="F2137" s="25" t="n">
        <v>7000</v>
      </c>
      <c r="G2137" s="24" t="s">
        <v>69</v>
      </c>
      <c r="H2137" s="24" t="s">
        <v>80</v>
      </c>
      <c r="I2137" s="24" t="s">
        <v>61</v>
      </c>
      <c r="J2137" s="26" t="n">
        <f aca="false">IF(A2137="","",YEAR(A2137))</f>
        <v>2026</v>
      </c>
      <c r="K2137" s="26" t="n">
        <f aca="false">IF(A2137="","",MONTH(A2137))</f>
        <v>7</v>
      </c>
      <c r="L2137" s="26" t="n">
        <f aca="false">IF(B2137="","",VALUE(LEFT(B2137,2)))</f>
        <v>6</v>
      </c>
      <c r="M2137" s="26" t="n">
        <f aca="false">IF(A2137="","",IF(COUNTIFS($C$2:$C$5001,C2137,$J$2:$J$5001,J2137,$A$2:$A$5001,"&lt;"&amp;A2137)=0,1,0))</f>
        <v>0</v>
      </c>
    </row>
    <row r="2138" customFormat="false" ht="15" hidden="false" customHeight="false" outlineLevel="0" collapsed="false">
      <c r="A2138" s="23" t="n">
        <v>46226.7013888889</v>
      </c>
      <c r="B2138" s="24" t="s">
        <v>1027</v>
      </c>
      <c r="C2138" s="24" t="s">
        <v>290</v>
      </c>
      <c r="D2138" s="24" t="s">
        <v>66</v>
      </c>
      <c r="E2138" s="24" t="n">
        <v>180</v>
      </c>
      <c r="F2138" s="25" t="n">
        <v>6000</v>
      </c>
      <c r="G2138" s="24" t="s">
        <v>59</v>
      </c>
      <c r="H2138" s="24" t="s">
        <v>60</v>
      </c>
      <c r="I2138" s="24" t="s">
        <v>61</v>
      </c>
      <c r="J2138" s="26" t="n">
        <f aca="false">IF(A2138="","",YEAR(A2138))</f>
        <v>2026</v>
      </c>
      <c r="K2138" s="26" t="n">
        <f aca="false">IF(A2138="","",MONTH(A2138))</f>
        <v>7</v>
      </c>
      <c r="L2138" s="26" t="n">
        <f aca="false">IF(B2138="","",VALUE(LEFT(B2138,2)))</f>
        <v>13</v>
      </c>
      <c r="M2138" s="26" t="n">
        <f aca="false">IF(A2138="","",IF(COUNTIFS($C$2:$C$5001,C2138,$J$2:$J$5001,J2138,$A$2:$A$5001,"&lt;"&amp;A2138)=0,1,0))</f>
        <v>0</v>
      </c>
    </row>
    <row r="2139" customFormat="false" ht="15" hidden="false" customHeight="false" outlineLevel="0" collapsed="false">
      <c r="A2139" s="23" t="n">
        <v>46226.7451388889</v>
      </c>
      <c r="B2139" s="24" t="s">
        <v>720</v>
      </c>
      <c r="C2139" s="24" t="s">
        <v>240</v>
      </c>
      <c r="D2139" s="24" t="s">
        <v>53</v>
      </c>
      <c r="E2139" s="24" t="n">
        <v>213</v>
      </c>
      <c r="F2139" s="25" t="n">
        <v>4000</v>
      </c>
      <c r="G2139" s="24" t="s">
        <v>59</v>
      </c>
      <c r="H2139" s="24" t="s">
        <v>80</v>
      </c>
      <c r="I2139" s="24" t="s">
        <v>61</v>
      </c>
      <c r="J2139" s="26" t="n">
        <f aca="false">IF(A2139="","",YEAR(A2139))</f>
        <v>2026</v>
      </c>
      <c r="K2139" s="26" t="n">
        <f aca="false">IF(A2139="","",MONTH(A2139))</f>
        <v>7</v>
      </c>
      <c r="L2139" s="26" t="n">
        <f aca="false">IF(B2139="","",VALUE(LEFT(B2139,2)))</f>
        <v>14</v>
      </c>
      <c r="M2139" s="26" t="n">
        <f aca="false">IF(A2139="","",IF(COUNTIFS($C$2:$C$5001,C2139,$J$2:$J$5001,J2139,$A$2:$A$5001,"&lt;"&amp;A2139)=0,1,0))</f>
        <v>0</v>
      </c>
    </row>
    <row r="2140" customFormat="false" ht="15" hidden="false" customHeight="false" outlineLevel="0" collapsed="false">
      <c r="A2140" s="23" t="n">
        <v>46226.9701388889</v>
      </c>
      <c r="B2140" s="24" t="s">
        <v>777</v>
      </c>
      <c r="C2140" s="24" t="s">
        <v>448</v>
      </c>
      <c r="D2140" s="24" t="s">
        <v>53</v>
      </c>
      <c r="E2140" s="24" t="n">
        <v>356</v>
      </c>
      <c r="F2140" s="25" t="n">
        <v>6000</v>
      </c>
      <c r="G2140" s="24" t="s">
        <v>59</v>
      </c>
      <c r="H2140" s="24" t="s">
        <v>60</v>
      </c>
      <c r="I2140" s="24" t="s">
        <v>61</v>
      </c>
      <c r="J2140" s="26" t="n">
        <f aca="false">IF(A2140="","",YEAR(A2140))</f>
        <v>2026</v>
      </c>
      <c r="K2140" s="26" t="n">
        <f aca="false">IF(A2140="","",MONTH(A2140))</f>
        <v>7</v>
      </c>
      <c r="L2140" s="26" t="n">
        <f aca="false">IF(B2140="","",VALUE(LEFT(B2140,2)))</f>
        <v>17</v>
      </c>
      <c r="M2140" s="26" t="n">
        <f aca="false">IF(A2140="","",IF(COUNTIFS($C$2:$C$5001,C2140,$J$2:$J$5001,J2140,$A$2:$A$5001,"&lt;"&amp;A2140)=0,1,0))</f>
        <v>0</v>
      </c>
    </row>
    <row r="2141" customFormat="false" ht="15" hidden="false" customHeight="false" outlineLevel="0" collapsed="false">
      <c r="A2141" s="23" t="n">
        <v>46227.0284722222</v>
      </c>
      <c r="B2141" s="24" t="s">
        <v>543</v>
      </c>
      <c r="C2141" s="24" t="s">
        <v>194</v>
      </c>
      <c r="D2141" s="24" t="s">
        <v>66</v>
      </c>
      <c r="E2141" s="24" t="n">
        <v>321</v>
      </c>
      <c r="F2141" s="25" t="n">
        <v>11000</v>
      </c>
      <c r="G2141" s="24" t="s">
        <v>59</v>
      </c>
      <c r="H2141" s="24" t="s">
        <v>80</v>
      </c>
      <c r="I2141" s="24" t="s">
        <v>61</v>
      </c>
      <c r="J2141" s="26" t="n">
        <f aca="false">IF(A2141="","",YEAR(A2141))</f>
        <v>2026</v>
      </c>
      <c r="K2141" s="26" t="n">
        <f aca="false">IF(A2141="","",MONTH(A2141))</f>
        <v>7</v>
      </c>
      <c r="L2141" s="26" t="n">
        <f aca="false">IF(B2141="","",VALUE(LEFT(B2141,2)))</f>
        <v>19</v>
      </c>
      <c r="M2141" s="26" t="n">
        <f aca="false">IF(A2141="","",IF(COUNTIFS($C$2:$C$5001,C2141,$J$2:$J$5001,J2141,$A$2:$A$5001,"&lt;"&amp;A2141)=0,1,0))</f>
        <v>0</v>
      </c>
    </row>
    <row r="2142" customFormat="false" ht="15" hidden="false" customHeight="false" outlineLevel="0" collapsed="false">
      <c r="A2142" s="23" t="n">
        <v>46227.0388888889</v>
      </c>
      <c r="B2142" s="24" t="s">
        <v>344</v>
      </c>
      <c r="C2142" s="24" t="s">
        <v>289</v>
      </c>
      <c r="D2142" s="24" t="s">
        <v>66</v>
      </c>
      <c r="E2142" s="24" t="n">
        <v>250</v>
      </c>
      <c r="F2142" s="25" t="n">
        <v>9000</v>
      </c>
      <c r="G2142" s="24" t="s">
        <v>59</v>
      </c>
      <c r="H2142" s="24" t="s">
        <v>55</v>
      </c>
      <c r="I2142" s="24" t="s">
        <v>61</v>
      </c>
      <c r="J2142" s="26" t="n">
        <f aca="false">IF(A2142="","",YEAR(A2142))</f>
        <v>2026</v>
      </c>
      <c r="K2142" s="26" t="n">
        <f aca="false">IF(A2142="","",MONTH(A2142))</f>
        <v>7</v>
      </c>
      <c r="L2142" s="26" t="n">
        <f aca="false">IF(B2142="","",VALUE(LEFT(B2142,2)))</f>
        <v>20</v>
      </c>
      <c r="M2142" s="26" t="n">
        <f aca="false">IF(A2142="","",IF(COUNTIFS($C$2:$C$5001,C2142,$J$2:$J$5001,J2142,$A$2:$A$5001,"&lt;"&amp;A2142)=0,1,0))</f>
        <v>0</v>
      </c>
    </row>
    <row r="2143" customFormat="false" ht="15" hidden="false" customHeight="false" outlineLevel="0" collapsed="false">
      <c r="A2143" s="23" t="n">
        <v>46227.5097222222</v>
      </c>
      <c r="B2143" s="24" t="s">
        <v>957</v>
      </c>
      <c r="C2143" s="24" t="s">
        <v>85</v>
      </c>
      <c r="D2143" s="24" t="s">
        <v>66</v>
      </c>
      <c r="E2143" s="24" t="n">
        <v>159</v>
      </c>
      <c r="F2143" s="25" t="n">
        <v>6000</v>
      </c>
      <c r="G2143" s="24" t="s">
        <v>59</v>
      </c>
      <c r="H2143" s="24" t="s">
        <v>80</v>
      </c>
      <c r="I2143" s="24" t="s">
        <v>61</v>
      </c>
      <c r="J2143" s="26" t="n">
        <f aca="false">IF(A2143="","",YEAR(A2143))</f>
        <v>2026</v>
      </c>
      <c r="K2143" s="26" t="n">
        <f aca="false">IF(A2143="","",MONTH(A2143))</f>
        <v>7</v>
      </c>
      <c r="L2143" s="26" t="n">
        <f aca="false">IF(B2143="","",VALUE(LEFT(B2143,2)))</f>
        <v>9</v>
      </c>
      <c r="M2143" s="26" t="n">
        <f aca="false">IF(A2143="","",IF(COUNTIFS($C$2:$C$5001,C2143,$J$2:$J$5001,J2143,$A$2:$A$5001,"&lt;"&amp;A2143)=0,1,0))</f>
        <v>0</v>
      </c>
    </row>
    <row r="2144" customFormat="false" ht="15" hidden="false" customHeight="false" outlineLevel="0" collapsed="false">
      <c r="A2144" s="23" t="n">
        <v>46227.8034722222</v>
      </c>
      <c r="B2144" s="24" t="s">
        <v>284</v>
      </c>
      <c r="C2144" s="24" t="s">
        <v>143</v>
      </c>
      <c r="D2144" s="24" t="s">
        <v>53</v>
      </c>
      <c r="E2144" s="24" t="n">
        <v>289</v>
      </c>
      <c r="F2144" s="25" t="n">
        <v>5000</v>
      </c>
      <c r="G2144" s="24" t="s">
        <v>59</v>
      </c>
      <c r="H2144" s="24" t="s">
        <v>55</v>
      </c>
      <c r="I2144" s="24" t="s">
        <v>61</v>
      </c>
      <c r="J2144" s="26" t="n">
        <f aca="false">IF(A2144="","",YEAR(A2144))</f>
        <v>2026</v>
      </c>
      <c r="K2144" s="26" t="n">
        <f aca="false">IF(A2144="","",MONTH(A2144))</f>
        <v>7</v>
      </c>
      <c r="L2144" s="26" t="n">
        <f aca="false">IF(B2144="","",VALUE(LEFT(B2144,2)))</f>
        <v>14</v>
      </c>
      <c r="M2144" s="26" t="n">
        <f aca="false">IF(A2144="","",IF(COUNTIFS($C$2:$C$5001,C2144,$J$2:$J$5001,J2144,$A$2:$A$5001,"&lt;"&amp;A2144)=0,1,0))</f>
        <v>0</v>
      </c>
    </row>
    <row r="2145" customFormat="false" ht="15" hidden="false" customHeight="false" outlineLevel="0" collapsed="false">
      <c r="A2145" s="23" t="n">
        <v>46227.8444444445</v>
      </c>
      <c r="B2145" s="24" t="s">
        <v>433</v>
      </c>
      <c r="C2145" s="24" t="s">
        <v>324</v>
      </c>
      <c r="D2145" s="24" t="s">
        <v>66</v>
      </c>
      <c r="E2145" s="24" t="n">
        <v>405</v>
      </c>
      <c r="F2145" s="25" t="n">
        <v>11900</v>
      </c>
      <c r="G2145" s="24" t="s">
        <v>59</v>
      </c>
      <c r="H2145" s="24" t="s">
        <v>60</v>
      </c>
      <c r="I2145" s="24" t="s">
        <v>113</v>
      </c>
      <c r="J2145" s="26" t="n">
        <f aca="false">IF(A2145="","",YEAR(A2145))</f>
        <v>2026</v>
      </c>
      <c r="K2145" s="26" t="n">
        <f aca="false">IF(A2145="","",MONTH(A2145))</f>
        <v>7</v>
      </c>
      <c r="L2145" s="26" t="n">
        <f aca="false">IF(B2145="","",VALUE(LEFT(B2145,2)))</f>
        <v>13</v>
      </c>
      <c r="M2145" s="26" t="n">
        <f aca="false">IF(A2145="","",IF(COUNTIFS($C$2:$C$5001,C2145,$J$2:$J$5001,J2145,$A$2:$A$5001,"&lt;"&amp;A2145)=0,1,0))</f>
        <v>0</v>
      </c>
    </row>
    <row r="2146" customFormat="false" ht="15" hidden="false" customHeight="false" outlineLevel="0" collapsed="false">
      <c r="A2146" s="23" t="n">
        <v>46228.6708333333</v>
      </c>
      <c r="B2146" s="24" t="s">
        <v>142</v>
      </c>
      <c r="C2146" s="24" t="s">
        <v>339</v>
      </c>
      <c r="D2146" s="24" t="s">
        <v>53</v>
      </c>
      <c r="E2146" s="24" t="n">
        <v>220</v>
      </c>
      <c r="F2146" s="25" t="n">
        <v>4000</v>
      </c>
      <c r="G2146" s="24" t="s">
        <v>79</v>
      </c>
      <c r="H2146" s="24" t="s">
        <v>55</v>
      </c>
      <c r="I2146" s="24" t="s">
        <v>61</v>
      </c>
      <c r="J2146" s="26" t="n">
        <f aca="false">IF(A2146="","",YEAR(A2146))</f>
        <v>2026</v>
      </c>
      <c r="K2146" s="26" t="n">
        <f aca="false">IF(A2146="","",MONTH(A2146))</f>
        <v>7</v>
      </c>
      <c r="L2146" s="26" t="n">
        <f aca="false">IF(B2146="","",VALUE(LEFT(B2146,2)))</f>
        <v>12</v>
      </c>
      <c r="M2146" s="26" t="n">
        <f aca="false">IF(A2146="","",IF(COUNTIFS($C$2:$C$5001,C2146,$J$2:$J$5001,J2146,$A$2:$A$5001,"&lt;"&amp;A2146)=0,1,0))</f>
        <v>0</v>
      </c>
    </row>
    <row r="2147" customFormat="false" ht="15" hidden="false" customHeight="false" outlineLevel="0" collapsed="false">
      <c r="A2147" s="23" t="n">
        <v>46228.6722222222</v>
      </c>
      <c r="B2147" s="24" t="s">
        <v>545</v>
      </c>
      <c r="C2147" s="24" t="s">
        <v>52</v>
      </c>
      <c r="D2147" s="24" t="s">
        <v>53</v>
      </c>
      <c r="E2147" s="24" t="n">
        <v>405</v>
      </c>
      <c r="F2147" s="25" t="n">
        <v>7000</v>
      </c>
      <c r="G2147" s="24" t="s">
        <v>59</v>
      </c>
      <c r="H2147" s="24" t="s">
        <v>80</v>
      </c>
      <c r="I2147" s="24" t="s">
        <v>61</v>
      </c>
      <c r="J2147" s="26" t="n">
        <f aca="false">IF(A2147="","",YEAR(A2147))</f>
        <v>2026</v>
      </c>
      <c r="K2147" s="26" t="n">
        <f aca="false">IF(A2147="","",MONTH(A2147))</f>
        <v>7</v>
      </c>
      <c r="L2147" s="26" t="n">
        <f aca="false">IF(B2147="","",VALUE(LEFT(B2147,2)))</f>
        <v>9</v>
      </c>
      <c r="M2147" s="26" t="n">
        <f aca="false">IF(A2147="","",IF(COUNTIFS($C$2:$C$5001,C2147,$J$2:$J$5001,J2147,$A$2:$A$5001,"&lt;"&amp;A2147)=0,1,0))</f>
        <v>0</v>
      </c>
    </row>
    <row r="2148" customFormat="false" ht="15" hidden="false" customHeight="false" outlineLevel="0" collapsed="false">
      <c r="A2148" s="23" t="n">
        <v>46228.8930555556</v>
      </c>
      <c r="B2148" s="24" t="s">
        <v>903</v>
      </c>
      <c r="C2148" s="24" t="s">
        <v>110</v>
      </c>
      <c r="D2148" s="24" t="s">
        <v>53</v>
      </c>
      <c r="E2148" s="24" t="n">
        <v>106</v>
      </c>
      <c r="F2148" s="25" t="n">
        <v>2000</v>
      </c>
      <c r="G2148" s="24" t="s">
        <v>59</v>
      </c>
      <c r="H2148" s="24" t="s">
        <v>80</v>
      </c>
      <c r="I2148" s="24" t="s">
        <v>61</v>
      </c>
      <c r="J2148" s="26" t="n">
        <f aca="false">IF(A2148="","",YEAR(A2148))</f>
        <v>2026</v>
      </c>
      <c r="K2148" s="26" t="n">
        <f aca="false">IF(A2148="","",MONTH(A2148))</f>
        <v>7</v>
      </c>
      <c r="L2148" s="26" t="n">
        <f aca="false">IF(B2148="","",VALUE(LEFT(B2148,2)))</f>
        <v>19</v>
      </c>
      <c r="M2148" s="26" t="n">
        <f aca="false">IF(A2148="","",IF(COUNTIFS($C$2:$C$5001,C2148,$J$2:$J$5001,J2148,$A$2:$A$5001,"&lt;"&amp;A2148)=0,1,0))</f>
        <v>0</v>
      </c>
    </row>
    <row r="2149" customFormat="false" ht="15" hidden="false" customHeight="false" outlineLevel="0" collapsed="false">
      <c r="A2149" s="23" t="n">
        <v>46228.9263888889</v>
      </c>
      <c r="B2149" s="24" t="s">
        <v>1028</v>
      </c>
      <c r="C2149" s="24" t="s">
        <v>389</v>
      </c>
      <c r="D2149" s="24" t="s">
        <v>53</v>
      </c>
      <c r="E2149" s="24" t="n">
        <v>132</v>
      </c>
      <c r="F2149" s="25" t="n">
        <v>2125</v>
      </c>
      <c r="G2149" s="24" t="s">
        <v>69</v>
      </c>
      <c r="H2149" s="24" t="s">
        <v>60</v>
      </c>
      <c r="I2149" s="24" t="s">
        <v>113</v>
      </c>
      <c r="J2149" s="26" t="n">
        <f aca="false">IF(A2149="","",YEAR(A2149))</f>
        <v>2026</v>
      </c>
      <c r="K2149" s="26" t="n">
        <f aca="false">IF(A2149="","",MONTH(A2149))</f>
        <v>7</v>
      </c>
      <c r="L2149" s="26" t="n">
        <f aca="false">IF(B2149="","",VALUE(LEFT(B2149,2)))</f>
        <v>20</v>
      </c>
      <c r="M2149" s="26" t="n">
        <f aca="false">IF(A2149="","",IF(COUNTIFS($C$2:$C$5001,C2149,$J$2:$J$5001,J2149,$A$2:$A$5001,"&lt;"&amp;A2149)=0,1,0))</f>
        <v>0</v>
      </c>
    </row>
    <row r="2150" customFormat="false" ht="15" hidden="false" customHeight="false" outlineLevel="0" collapsed="false">
      <c r="A2150" s="23" t="n">
        <v>46229.4368055556</v>
      </c>
      <c r="B2150" s="24" t="s">
        <v>305</v>
      </c>
      <c r="C2150" s="24" t="s">
        <v>105</v>
      </c>
      <c r="D2150" s="24" t="s">
        <v>53</v>
      </c>
      <c r="E2150" s="24" t="n">
        <v>98</v>
      </c>
      <c r="F2150" s="25" t="n">
        <v>1700</v>
      </c>
      <c r="G2150" s="24" t="s">
        <v>59</v>
      </c>
      <c r="H2150" s="24" t="s">
        <v>60</v>
      </c>
      <c r="I2150" s="24" t="s">
        <v>113</v>
      </c>
      <c r="J2150" s="26" t="n">
        <f aca="false">IF(A2150="","",YEAR(A2150))</f>
        <v>2026</v>
      </c>
      <c r="K2150" s="26" t="n">
        <f aca="false">IF(A2150="","",MONTH(A2150))</f>
        <v>7</v>
      </c>
      <c r="L2150" s="26" t="n">
        <f aca="false">IF(B2150="","",VALUE(LEFT(B2150,2)))</f>
        <v>8</v>
      </c>
      <c r="M2150" s="26" t="n">
        <f aca="false">IF(A2150="","",IF(COUNTIFS($C$2:$C$5001,C2150,$J$2:$J$5001,J2150,$A$2:$A$5001,"&lt;"&amp;A2150)=0,1,0))</f>
        <v>0</v>
      </c>
    </row>
    <row r="2151" customFormat="false" ht="15" hidden="false" customHeight="false" outlineLevel="0" collapsed="false">
      <c r="A2151" s="23" t="n">
        <v>46229.5743055556</v>
      </c>
      <c r="B2151" s="24" t="s">
        <v>749</v>
      </c>
      <c r="C2151" s="24" t="s">
        <v>71</v>
      </c>
      <c r="D2151" s="24" t="s">
        <v>127</v>
      </c>
      <c r="E2151" s="24" t="n">
        <v>121</v>
      </c>
      <c r="F2151" s="25" t="n">
        <v>8750</v>
      </c>
      <c r="G2151" s="24" t="s">
        <v>59</v>
      </c>
      <c r="H2151" s="24" t="s">
        <v>80</v>
      </c>
      <c r="I2151" s="24" t="s">
        <v>61</v>
      </c>
      <c r="J2151" s="26" t="n">
        <f aca="false">IF(A2151="","",YEAR(A2151))</f>
        <v>2026</v>
      </c>
      <c r="K2151" s="26" t="n">
        <f aca="false">IF(A2151="","",MONTH(A2151))</f>
        <v>7</v>
      </c>
      <c r="L2151" s="26" t="n">
        <f aca="false">IF(B2151="","",VALUE(LEFT(B2151,2)))</f>
        <v>11</v>
      </c>
      <c r="M2151" s="26" t="n">
        <f aca="false">IF(A2151="","",IF(COUNTIFS($C$2:$C$5001,C2151,$J$2:$J$5001,J2151,$A$2:$A$5001,"&lt;"&amp;A2151)=0,1,0))</f>
        <v>0</v>
      </c>
    </row>
    <row r="2152" customFormat="false" ht="15" hidden="false" customHeight="false" outlineLevel="0" collapsed="false">
      <c r="A2152" s="23" t="n">
        <v>46229.5951388889</v>
      </c>
      <c r="B2152" s="24" t="s">
        <v>729</v>
      </c>
      <c r="C2152" s="24" t="s">
        <v>737</v>
      </c>
      <c r="D2152" s="24" t="s">
        <v>66</v>
      </c>
      <c r="E2152" s="24" t="n">
        <v>369</v>
      </c>
      <c r="F2152" s="25" t="n">
        <v>0</v>
      </c>
      <c r="G2152" s="24" t="s">
        <v>54</v>
      </c>
      <c r="H2152" s="24" t="s">
        <v>55</v>
      </c>
      <c r="I2152" s="24" t="s">
        <v>56</v>
      </c>
      <c r="J2152" s="26" t="n">
        <f aca="false">IF(A2152="","",YEAR(A2152))</f>
        <v>2026</v>
      </c>
      <c r="K2152" s="26" t="n">
        <f aca="false">IF(A2152="","",MONTH(A2152))</f>
        <v>7</v>
      </c>
      <c r="L2152" s="26" t="n">
        <f aca="false">IF(B2152="","",VALUE(LEFT(B2152,2)))</f>
        <v>8</v>
      </c>
      <c r="M2152" s="26" t="n">
        <f aca="false">IF(A2152="","",IF(COUNTIFS($C$2:$C$5001,C2152,$J$2:$J$5001,J2152,$A$2:$A$5001,"&lt;"&amp;A2152)=0,1,0))</f>
        <v>0</v>
      </c>
    </row>
    <row r="2153" customFormat="false" ht="15" hidden="false" customHeight="false" outlineLevel="0" collapsed="false">
      <c r="A2153" s="23" t="n">
        <v>46229.725</v>
      </c>
      <c r="B2153" s="24" t="s">
        <v>601</v>
      </c>
      <c r="C2153" s="24" t="s">
        <v>116</v>
      </c>
      <c r="D2153" s="24" t="s">
        <v>66</v>
      </c>
      <c r="E2153" s="24" t="n">
        <v>63</v>
      </c>
      <c r="F2153" s="25" t="n">
        <v>3000</v>
      </c>
      <c r="G2153" s="24" t="s">
        <v>59</v>
      </c>
      <c r="H2153" s="24" t="s">
        <v>80</v>
      </c>
      <c r="I2153" s="24" t="s">
        <v>61</v>
      </c>
      <c r="J2153" s="26" t="n">
        <f aca="false">IF(A2153="","",YEAR(A2153))</f>
        <v>2026</v>
      </c>
      <c r="K2153" s="26" t="n">
        <f aca="false">IF(A2153="","",MONTH(A2153))</f>
        <v>7</v>
      </c>
      <c r="L2153" s="26" t="n">
        <f aca="false">IF(B2153="","",VALUE(LEFT(B2153,2)))</f>
        <v>16</v>
      </c>
      <c r="M2153" s="26" t="n">
        <f aca="false">IF(A2153="","",IF(COUNTIFS($C$2:$C$5001,C2153,$J$2:$J$5001,J2153,$A$2:$A$5001,"&lt;"&amp;A2153)=0,1,0))</f>
        <v>0</v>
      </c>
    </row>
    <row r="2154" customFormat="false" ht="15" hidden="false" customHeight="false" outlineLevel="0" collapsed="false">
      <c r="A2154" s="23" t="n">
        <v>46229.8277777778</v>
      </c>
      <c r="B2154" s="24" t="s">
        <v>636</v>
      </c>
      <c r="C2154" s="24" t="s">
        <v>71</v>
      </c>
      <c r="D2154" s="24" t="s">
        <v>66</v>
      </c>
      <c r="E2154" s="24" t="n">
        <v>314</v>
      </c>
      <c r="F2154" s="25" t="n">
        <v>11000</v>
      </c>
      <c r="G2154" s="24" t="s">
        <v>69</v>
      </c>
      <c r="H2154" s="24" t="s">
        <v>80</v>
      </c>
      <c r="I2154" s="24" t="s">
        <v>61</v>
      </c>
      <c r="J2154" s="26" t="n">
        <f aca="false">IF(A2154="","",YEAR(A2154))</f>
        <v>2026</v>
      </c>
      <c r="K2154" s="26" t="n">
        <f aca="false">IF(A2154="","",MONTH(A2154))</f>
        <v>7</v>
      </c>
      <c r="L2154" s="26" t="n">
        <f aca="false">IF(B2154="","",VALUE(LEFT(B2154,2)))</f>
        <v>14</v>
      </c>
      <c r="M2154" s="26" t="n">
        <f aca="false">IF(A2154="","",IF(COUNTIFS($C$2:$C$5001,C2154,$J$2:$J$5001,J2154,$A$2:$A$5001,"&lt;"&amp;A2154)=0,1,0))</f>
        <v>0</v>
      </c>
    </row>
    <row r="2155" customFormat="false" ht="15" hidden="false" customHeight="false" outlineLevel="0" collapsed="false">
      <c r="A2155" s="23" t="n">
        <v>46229.9868055556</v>
      </c>
      <c r="B2155" s="24" t="s">
        <v>536</v>
      </c>
      <c r="C2155" s="24" t="s">
        <v>105</v>
      </c>
      <c r="D2155" s="24" t="s">
        <v>88</v>
      </c>
      <c r="E2155" s="24" t="n">
        <v>268</v>
      </c>
      <c r="F2155" s="25" t="n">
        <v>13500</v>
      </c>
      <c r="G2155" s="24" t="s">
        <v>69</v>
      </c>
      <c r="H2155" s="24" t="s">
        <v>80</v>
      </c>
      <c r="I2155" s="24" t="s">
        <v>61</v>
      </c>
      <c r="J2155" s="26" t="n">
        <f aca="false">IF(A2155="","",YEAR(A2155))</f>
        <v>2026</v>
      </c>
      <c r="K2155" s="26" t="n">
        <f aca="false">IF(A2155="","",MONTH(A2155))</f>
        <v>7</v>
      </c>
      <c r="L2155" s="26" t="n">
        <f aca="false">IF(B2155="","",VALUE(LEFT(B2155,2)))</f>
        <v>19</v>
      </c>
      <c r="M2155" s="26" t="n">
        <f aca="false">IF(A2155="","",IF(COUNTIFS($C$2:$C$5001,C2155,$J$2:$J$5001,J2155,$A$2:$A$5001,"&lt;"&amp;A2155)=0,1,0))</f>
        <v>0</v>
      </c>
    </row>
    <row r="2156" customFormat="false" ht="15" hidden="false" customHeight="false" outlineLevel="0" collapsed="false">
      <c r="A2156" s="23" t="n">
        <v>46230.08125</v>
      </c>
      <c r="B2156" s="24" t="s">
        <v>980</v>
      </c>
      <c r="C2156" s="24" t="s">
        <v>609</v>
      </c>
      <c r="D2156" s="24" t="s">
        <v>66</v>
      </c>
      <c r="E2156" s="24" t="n">
        <v>376</v>
      </c>
      <c r="F2156" s="25" t="n">
        <v>13000</v>
      </c>
      <c r="G2156" s="24" t="s">
        <v>79</v>
      </c>
      <c r="H2156" s="24" t="s">
        <v>80</v>
      </c>
      <c r="I2156" s="24" t="s">
        <v>61</v>
      </c>
      <c r="J2156" s="26" t="n">
        <f aca="false">IF(A2156="","",YEAR(A2156))</f>
        <v>2026</v>
      </c>
      <c r="K2156" s="26" t="n">
        <f aca="false">IF(A2156="","",MONTH(A2156))</f>
        <v>7</v>
      </c>
      <c r="L2156" s="26" t="n">
        <f aca="false">IF(B2156="","",VALUE(LEFT(B2156,2)))</f>
        <v>19</v>
      </c>
      <c r="M2156" s="26" t="n">
        <f aca="false">IF(A2156="","",IF(COUNTIFS($C$2:$C$5001,C2156,$J$2:$J$5001,J2156,$A$2:$A$5001,"&lt;"&amp;A2156)=0,1,0))</f>
        <v>0</v>
      </c>
    </row>
    <row r="2157" customFormat="false" ht="15" hidden="false" customHeight="false" outlineLevel="0" collapsed="false">
      <c r="A2157" s="23" t="n">
        <v>46230.5104166667</v>
      </c>
      <c r="B2157" s="24" t="s">
        <v>510</v>
      </c>
      <c r="C2157" s="24" t="s">
        <v>938</v>
      </c>
      <c r="D2157" s="24" t="s">
        <v>66</v>
      </c>
      <c r="E2157" s="24" t="n">
        <v>137</v>
      </c>
      <c r="F2157" s="25" t="n">
        <v>5000</v>
      </c>
      <c r="G2157" s="24" t="s">
        <v>69</v>
      </c>
      <c r="H2157" s="24" t="s">
        <v>80</v>
      </c>
      <c r="I2157" s="24" t="s">
        <v>61</v>
      </c>
      <c r="J2157" s="26" t="n">
        <f aca="false">IF(A2157="","",YEAR(A2157))</f>
        <v>2026</v>
      </c>
      <c r="K2157" s="26" t="n">
        <f aca="false">IF(A2157="","",MONTH(A2157))</f>
        <v>7</v>
      </c>
      <c r="L2157" s="26" t="n">
        <f aca="false">IF(B2157="","",VALUE(LEFT(B2157,2)))</f>
        <v>9</v>
      </c>
      <c r="M2157" s="26" t="n">
        <f aca="false">IF(A2157="","",IF(COUNTIFS($C$2:$C$5001,C2157,$J$2:$J$5001,J2157,$A$2:$A$5001,"&lt;"&amp;A2157)=0,1,0))</f>
        <v>0</v>
      </c>
    </row>
    <row r="2158" customFormat="false" ht="15" hidden="false" customHeight="false" outlineLevel="0" collapsed="false">
      <c r="A2158" s="23" t="n">
        <v>46230.70625</v>
      </c>
      <c r="B2158" s="24" t="s">
        <v>1029</v>
      </c>
      <c r="C2158" s="24" t="s">
        <v>63</v>
      </c>
      <c r="D2158" s="24" t="s">
        <v>53</v>
      </c>
      <c r="E2158" s="24" t="n">
        <v>199</v>
      </c>
      <c r="F2158" s="25" t="n">
        <v>3500</v>
      </c>
      <c r="G2158" s="24" t="s">
        <v>69</v>
      </c>
      <c r="H2158" s="24" t="s">
        <v>60</v>
      </c>
      <c r="I2158" s="24" t="s">
        <v>61</v>
      </c>
      <c r="J2158" s="26" t="n">
        <f aca="false">IF(A2158="","",YEAR(A2158))</f>
        <v>2026</v>
      </c>
      <c r="K2158" s="26" t="n">
        <f aca="false">IF(A2158="","",MONTH(A2158))</f>
        <v>7</v>
      </c>
      <c r="L2158" s="26" t="n">
        <f aca="false">IF(B2158="","",VALUE(LEFT(B2158,2)))</f>
        <v>13</v>
      </c>
      <c r="M2158" s="26" t="n">
        <f aca="false">IF(A2158="","",IF(COUNTIFS($C$2:$C$5001,C2158,$J$2:$J$5001,J2158,$A$2:$A$5001,"&lt;"&amp;A2158)=0,1,0))</f>
        <v>0</v>
      </c>
    </row>
    <row r="2159" customFormat="false" ht="15" hidden="false" customHeight="false" outlineLevel="0" collapsed="false">
      <c r="A2159" s="23" t="n">
        <v>46230.7361111111</v>
      </c>
      <c r="B2159" s="24" t="s">
        <v>763</v>
      </c>
      <c r="C2159" s="24" t="s">
        <v>343</v>
      </c>
      <c r="D2159" s="24" t="s">
        <v>66</v>
      </c>
      <c r="E2159" s="24" t="n">
        <v>23</v>
      </c>
      <c r="F2159" s="25" t="n">
        <v>1000</v>
      </c>
      <c r="G2159" s="24" t="s">
        <v>69</v>
      </c>
      <c r="H2159" s="24" t="s">
        <v>55</v>
      </c>
      <c r="I2159" s="24" t="s">
        <v>61</v>
      </c>
      <c r="J2159" s="26" t="n">
        <f aca="false">IF(A2159="","",YEAR(A2159))</f>
        <v>2026</v>
      </c>
      <c r="K2159" s="26" t="n">
        <f aca="false">IF(A2159="","",MONTH(A2159))</f>
        <v>7</v>
      </c>
      <c r="L2159" s="26" t="n">
        <f aca="false">IF(B2159="","",VALUE(LEFT(B2159,2)))</f>
        <v>17</v>
      </c>
      <c r="M2159" s="26" t="n">
        <f aca="false">IF(A2159="","",IF(COUNTIFS($C$2:$C$5001,C2159,$J$2:$J$5001,J2159,$A$2:$A$5001,"&lt;"&amp;A2159)=0,1,0))</f>
        <v>0</v>
      </c>
    </row>
    <row r="2160" customFormat="false" ht="15" hidden="false" customHeight="false" outlineLevel="0" collapsed="false">
      <c r="A2160" s="23" t="n">
        <v>46230.8451388889</v>
      </c>
      <c r="B2160" s="24" t="s">
        <v>733</v>
      </c>
      <c r="C2160" s="24" t="s">
        <v>136</v>
      </c>
      <c r="D2160" s="24" t="s">
        <v>53</v>
      </c>
      <c r="E2160" s="24" t="n">
        <v>160</v>
      </c>
      <c r="F2160" s="25" t="n">
        <v>2550</v>
      </c>
      <c r="G2160" s="24" t="s">
        <v>59</v>
      </c>
      <c r="H2160" s="24" t="s">
        <v>80</v>
      </c>
      <c r="I2160" s="24" t="s">
        <v>113</v>
      </c>
      <c r="J2160" s="26" t="n">
        <f aca="false">IF(A2160="","",YEAR(A2160))</f>
        <v>2026</v>
      </c>
      <c r="K2160" s="26" t="n">
        <f aca="false">IF(A2160="","",MONTH(A2160))</f>
        <v>7</v>
      </c>
      <c r="L2160" s="26" t="n">
        <f aca="false">IF(B2160="","",VALUE(LEFT(B2160,2)))</f>
        <v>17</v>
      </c>
      <c r="M2160" s="26" t="n">
        <f aca="false">IF(A2160="","",IF(COUNTIFS($C$2:$C$5001,C2160,$J$2:$J$5001,J2160,$A$2:$A$5001,"&lt;"&amp;A2160)=0,1,0))</f>
        <v>0</v>
      </c>
    </row>
    <row r="2161" customFormat="false" ht="15" hidden="false" customHeight="false" outlineLevel="0" collapsed="false">
      <c r="A2161" s="23" t="n">
        <v>46231.4104166667</v>
      </c>
      <c r="B2161" s="24" t="s">
        <v>281</v>
      </c>
      <c r="C2161" s="24" t="s">
        <v>179</v>
      </c>
      <c r="D2161" s="24" t="s">
        <v>53</v>
      </c>
      <c r="E2161" s="24" t="n">
        <v>133</v>
      </c>
      <c r="F2161" s="25" t="n">
        <v>2500</v>
      </c>
      <c r="G2161" s="24" t="s">
        <v>59</v>
      </c>
      <c r="H2161" s="24" t="s">
        <v>80</v>
      </c>
      <c r="I2161" s="24" t="s">
        <v>61</v>
      </c>
      <c r="J2161" s="26" t="n">
        <f aca="false">IF(A2161="","",YEAR(A2161))</f>
        <v>2026</v>
      </c>
      <c r="K2161" s="26" t="n">
        <f aca="false">IF(A2161="","",MONTH(A2161))</f>
        <v>7</v>
      </c>
      <c r="L2161" s="26" t="n">
        <f aca="false">IF(B2161="","",VALUE(LEFT(B2161,2)))</f>
        <v>7</v>
      </c>
      <c r="M2161" s="26" t="n">
        <f aca="false">IF(A2161="","",IF(COUNTIFS($C$2:$C$5001,C2161,$J$2:$J$5001,J2161,$A$2:$A$5001,"&lt;"&amp;A2161)=0,1,0))</f>
        <v>0</v>
      </c>
    </row>
    <row r="2162" customFormat="false" ht="15" hidden="false" customHeight="false" outlineLevel="0" collapsed="false">
      <c r="A2162" s="23" t="n">
        <v>46231.4777777778</v>
      </c>
      <c r="B2162" s="24" t="s">
        <v>649</v>
      </c>
      <c r="C2162" s="24" t="s">
        <v>102</v>
      </c>
      <c r="D2162" s="24" t="s">
        <v>66</v>
      </c>
      <c r="E2162" s="24" t="n">
        <v>314</v>
      </c>
      <c r="F2162" s="25" t="n">
        <v>9350</v>
      </c>
      <c r="G2162" s="24" t="s">
        <v>59</v>
      </c>
      <c r="H2162" s="24" t="s">
        <v>80</v>
      </c>
      <c r="I2162" s="24" t="s">
        <v>113</v>
      </c>
      <c r="J2162" s="26" t="n">
        <f aca="false">IF(A2162="","",YEAR(A2162))</f>
        <v>2026</v>
      </c>
      <c r="K2162" s="26" t="n">
        <f aca="false">IF(A2162="","",MONTH(A2162))</f>
        <v>7</v>
      </c>
      <c r="L2162" s="26" t="n">
        <f aca="false">IF(B2162="","",VALUE(LEFT(B2162,2)))</f>
        <v>6</v>
      </c>
      <c r="M2162" s="26" t="n">
        <f aca="false">IF(A2162="","",IF(COUNTIFS($C$2:$C$5001,C2162,$J$2:$J$5001,J2162,$A$2:$A$5001,"&lt;"&amp;A2162)=0,1,0))</f>
        <v>0</v>
      </c>
    </row>
    <row r="2163" customFormat="false" ht="15" hidden="false" customHeight="false" outlineLevel="0" collapsed="false">
      <c r="A2163" s="23" t="n">
        <v>46231.7236111111</v>
      </c>
      <c r="B2163" s="24" t="s">
        <v>410</v>
      </c>
      <c r="C2163" s="24" t="s">
        <v>430</v>
      </c>
      <c r="D2163" s="24" t="s">
        <v>88</v>
      </c>
      <c r="E2163" s="24" t="n">
        <v>72</v>
      </c>
      <c r="F2163" s="25" t="n">
        <v>4500</v>
      </c>
      <c r="G2163" s="24" t="s">
        <v>69</v>
      </c>
      <c r="H2163" s="24" t="s">
        <v>80</v>
      </c>
      <c r="I2163" s="24" t="s">
        <v>61</v>
      </c>
      <c r="J2163" s="26" t="n">
        <f aca="false">IF(A2163="","",YEAR(A2163))</f>
        <v>2026</v>
      </c>
      <c r="K2163" s="26" t="n">
        <f aca="false">IF(A2163="","",MONTH(A2163))</f>
        <v>7</v>
      </c>
      <c r="L2163" s="26" t="n">
        <f aca="false">IF(B2163="","",VALUE(LEFT(B2163,2)))</f>
        <v>16</v>
      </c>
      <c r="M2163" s="26" t="n">
        <f aca="false">IF(A2163="","",IF(COUNTIFS($C$2:$C$5001,C2163,$J$2:$J$5001,J2163,$A$2:$A$5001,"&lt;"&amp;A2163)=0,1,0))</f>
        <v>0</v>
      </c>
    </row>
    <row r="2164" customFormat="false" ht="15" hidden="false" customHeight="false" outlineLevel="0" collapsed="false">
      <c r="A2164" s="23" t="n">
        <v>46231.7423611111</v>
      </c>
      <c r="B2164" s="24" t="s">
        <v>713</v>
      </c>
      <c r="C2164" s="24" t="s">
        <v>199</v>
      </c>
      <c r="D2164" s="24" t="s">
        <v>66</v>
      </c>
      <c r="E2164" s="24" t="n">
        <v>128</v>
      </c>
      <c r="F2164" s="25" t="n">
        <v>5000</v>
      </c>
      <c r="G2164" s="24" t="s">
        <v>69</v>
      </c>
      <c r="H2164" s="24" t="s">
        <v>55</v>
      </c>
      <c r="I2164" s="24" t="s">
        <v>61</v>
      </c>
      <c r="J2164" s="26" t="n">
        <f aca="false">IF(A2164="","",YEAR(A2164))</f>
        <v>2026</v>
      </c>
      <c r="K2164" s="26" t="n">
        <f aca="false">IF(A2164="","",MONTH(A2164))</f>
        <v>7</v>
      </c>
      <c r="L2164" s="26" t="n">
        <f aca="false">IF(B2164="","",VALUE(LEFT(B2164,2)))</f>
        <v>15</v>
      </c>
      <c r="M2164" s="26" t="n">
        <f aca="false">IF(A2164="","",IF(COUNTIFS($C$2:$C$5001,C2164,$J$2:$J$5001,J2164,$A$2:$A$5001,"&lt;"&amp;A2164)=0,1,0))</f>
        <v>0</v>
      </c>
    </row>
    <row r="2165" customFormat="false" ht="15" hidden="false" customHeight="false" outlineLevel="0" collapsed="false">
      <c r="A2165" s="23" t="n">
        <v>46231.9208333333</v>
      </c>
      <c r="B2165" s="24" t="s">
        <v>1021</v>
      </c>
      <c r="C2165" s="24" t="s">
        <v>141</v>
      </c>
      <c r="D2165" s="24" t="s">
        <v>66</v>
      </c>
      <c r="E2165" s="24" t="n">
        <v>186</v>
      </c>
      <c r="F2165" s="25" t="n">
        <v>7000</v>
      </c>
      <c r="G2165" s="24" t="s">
        <v>59</v>
      </c>
      <c r="H2165" s="24" t="s">
        <v>80</v>
      </c>
      <c r="I2165" s="24" t="s">
        <v>61</v>
      </c>
      <c r="J2165" s="26" t="n">
        <f aca="false">IF(A2165="","",YEAR(A2165))</f>
        <v>2026</v>
      </c>
      <c r="K2165" s="26" t="n">
        <f aca="false">IF(A2165="","",MONTH(A2165))</f>
        <v>7</v>
      </c>
      <c r="L2165" s="26" t="n">
        <f aca="false">IF(B2165="","",VALUE(LEFT(B2165,2)))</f>
        <v>19</v>
      </c>
      <c r="M2165" s="26" t="n">
        <f aca="false">IF(A2165="","",IF(COUNTIFS($C$2:$C$5001,C2165,$J$2:$J$5001,J2165,$A$2:$A$5001,"&lt;"&amp;A2165)=0,1,0))</f>
        <v>0</v>
      </c>
    </row>
    <row r="2166" customFormat="false" ht="15" hidden="false" customHeight="false" outlineLevel="0" collapsed="false">
      <c r="A2166" s="23" t="n">
        <v>46231.9270833333</v>
      </c>
      <c r="B2166" s="24" t="s">
        <v>1030</v>
      </c>
      <c r="C2166" s="24" t="s">
        <v>286</v>
      </c>
      <c r="D2166" s="24" t="s">
        <v>66</v>
      </c>
      <c r="E2166" s="24" t="n">
        <v>248</v>
      </c>
      <c r="F2166" s="25" t="n">
        <v>0</v>
      </c>
      <c r="G2166" s="24" t="s">
        <v>54</v>
      </c>
      <c r="H2166" s="24" t="s">
        <v>55</v>
      </c>
      <c r="I2166" s="24" t="s">
        <v>56</v>
      </c>
      <c r="J2166" s="26" t="n">
        <f aca="false">IF(A2166="","",YEAR(A2166))</f>
        <v>2026</v>
      </c>
      <c r="K2166" s="26" t="n">
        <f aca="false">IF(A2166="","",MONTH(A2166))</f>
        <v>7</v>
      </c>
      <c r="L2166" s="26" t="n">
        <f aca="false">IF(B2166="","",VALUE(LEFT(B2166,2)))</f>
        <v>18</v>
      </c>
      <c r="M2166" s="26" t="n">
        <f aca="false">IF(A2166="","",IF(COUNTIFS($C$2:$C$5001,C2166,$J$2:$J$5001,J2166,$A$2:$A$5001,"&lt;"&amp;A2166)=0,1,0))</f>
        <v>0</v>
      </c>
    </row>
    <row r="2167" customFormat="false" ht="15" hidden="false" customHeight="false" outlineLevel="0" collapsed="false">
      <c r="A2167" s="23" t="n">
        <v>46235.5604166667</v>
      </c>
      <c r="B2167" s="24" t="s">
        <v>668</v>
      </c>
      <c r="C2167" s="24" t="s">
        <v>737</v>
      </c>
      <c r="D2167" s="24" t="s">
        <v>53</v>
      </c>
      <c r="E2167" s="24" t="n">
        <v>283</v>
      </c>
      <c r="F2167" s="25" t="n">
        <v>5000</v>
      </c>
      <c r="G2167" s="24" t="s">
        <v>69</v>
      </c>
      <c r="H2167" s="24" t="s">
        <v>60</v>
      </c>
      <c r="I2167" s="24" t="s">
        <v>61</v>
      </c>
      <c r="J2167" s="26" t="n">
        <f aca="false">IF(A2167="","",YEAR(A2167))</f>
        <v>2026</v>
      </c>
      <c r="K2167" s="26" t="n">
        <f aca="false">IF(A2167="","",MONTH(A2167))</f>
        <v>8</v>
      </c>
      <c r="L2167" s="26" t="n">
        <f aca="false">IF(B2167="","",VALUE(LEFT(B2167,2)))</f>
        <v>8</v>
      </c>
      <c r="M2167" s="26" t="n">
        <f aca="false">IF(A2167="","",IF(COUNTIFS($C$2:$C$5001,C2167,$J$2:$J$5001,J2167,$A$2:$A$5001,"&lt;"&amp;A2167)=0,1,0))</f>
        <v>0</v>
      </c>
    </row>
    <row r="2168" customFormat="false" ht="15" hidden="false" customHeight="false" outlineLevel="0" collapsed="false">
      <c r="A2168" s="23" t="n">
        <v>46235.6319444445</v>
      </c>
      <c r="B2168" s="24" t="s">
        <v>499</v>
      </c>
      <c r="C2168" s="24" t="s">
        <v>345</v>
      </c>
      <c r="D2168" s="24" t="s">
        <v>53</v>
      </c>
      <c r="E2168" s="24" t="n">
        <v>202</v>
      </c>
      <c r="F2168" s="25" t="n">
        <v>3500</v>
      </c>
      <c r="G2168" s="24" t="s">
        <v>59</v>
      </c>
      <c r="H2168" s="24" t="s">
        <v>55</v>
      </c>
      <c r="I2168" s="24" t="s">
        <v>61</v>
      </c>
      <c r="J2168" s="26" t="n">
        <f aca="false">IF(A2168="","",YEAR(A2168))</f>
        <v>2026</v>
      </c>
      <c r="K2168" s="26" t="n">
        <f aca="false">IF(A2168="","",MONTH(A2168))</f>
        <v>8</v>
      </c>
      <c r="L2168" s="26" t="n">
        <f aca="false">IF(B2168="","",VALUE(LEFT(B2168,2)))</f>
        <v>11</v>
      </c>
      <c r="M2168" s="26" t="n">
        <f aca="false">IF(A2168="","",IF(COUNTIFS($C$2:$C$5001,C2168,$J$2:$J$5001,J2168,$A$2:$A$5001,"&lt;"&amp;A2168)=0,1,0))</f>
        <v>0</v>
      </c>
    </row>
    <row r="2169" customFormat="false" ht="15" hidden="false" customHeight="false" outlineLevel="0" collapsed="false">
      <c r="A2169" s="23" t="n">
        <v>46236.5694444445</v>
      </c>
      <c r="B2169" s="24" t="s">
        <v>772</v>
      </c>
      <c r="C2169" s="24" t="s">
        <v>164</v>
      </c>
      <c r="D2169" s="24" t="s">
        <v>66</v>
      </c>
      <c r="E2169" s="24" t="n">
        <v>25</v>
      </c>
      <c r="F2169" s="25" t="n">
        <v>1000</v>
      </c>
      <c r="G2169" s="24" t="s">
        <v>59</v>
      </c>
      <c r="H2169" s="24" t="s">
        <v>80</v>
      </c>
      <c r="I2169" s="24" t="s">
        <v>61</v>
      </c>
      <c r="J2169" s="26" t="n">
        <f aca="false">IF(A2169="","",YEAR(A2169))</f>
        <v>2026</v>
      </c>
      <c r="K2169" s="26" t="n">
        <f aca="false">IF(A2169="","",MONTH(A2169))</f>
        <v>8</v>
      </c>
      <c r="L2169" s="26" t="n">
        <f aca="false">IF(B2169="","",VALUE(LEFT(B2169,2)))</f>
        <v>13</v>
      </c>
      <c r="M2169" s="26" t="n">
        <f aca="false">IF(A2169="","",IF(COUNTIFS($C$2:$C$5001,C2169,$J$2:$J$5001,J2169,$A$2:$A$5001,"&lt;"&amp;A2169)=0,1,0))</f>
        <v>0</v>
      </c>
    </row>
    <row r="2170" customFormat="false" ht="15" hidden="false" customHeight="false" outlineLevel="0" collapsed="false">
      <c r="A2170" s="23" t="n">
        <v>46236.7659722222</v>
      </c>
      <c r="B2170" s="24" t="s">
        <v>966</v>
      </c>
      <c r="C2170" s="24" t="s">
        <v>290</v>
      </c>
      <c r="D2170" s="24" t="s">
        <v>66</v>
      </c>
      <c r="E2170" s="24" t="n">
        <v>389</v>
      </c>
      <c r="F2170" s="25" t="n">
        <v>13000</v>
      </c>
      <c r="G2170" s="24" t="s">
        <v>79</v>
      </c>
      <c r="H2170" s="24" t="s">
        <v>55</v>
      </c>
      <c r="I2170" s="24" t="s">
        <v>61</v>
      </c>
      <c r="J2170" s="26" t="n">
        <f aca="false">IF(A2170="","",YEAR(A2170))</f>
        <v>2026</v>
      </c>
      <c r="K2170" s="26" t="n">
        <f aca="false">IF(A2170="","",MONTH(A2170))</f>
        <v>8</v>
      </c>
      <c r="L2170" s="26" t="n">
        <f aca="false">IF(B2170="","",VALUE(LEFT(B2170,2)))</f>
        <v>11</v>
      </c>
      <c r="M2170" s="26" t="n">
        <f aca="false">IF(A2170="","",IF(COUNTIFS($C$2:$C$5001,C2170,$J$2:$J$5001,J2170,$A$2:$A$5001,"&lt;"&amp;A2170)=0,1,0))</f>
        <v>0</v>
      </c>
    </row>
    <row r="2171" customFormat="false" ht="15" hidden="false" customHeight="false" outlineLevel="0" collapsed="false">
      <c r="A2171" s="23" t="n">
        <v>46237.39375</v>
      </c>
      <c r="B2171" s="24" t="s">
        <v>330</v>
      </c>
      <c r="C2171" s="24" t="s">
        <v>353</v>
      </c>
      <c r="D2171" s="24" t="s">
        <v>66</v>
      </c>
      <c r="E2171" s="24" t="n">
        <v>69</v>
      </c>
      <c r="F2171" s="25" t="n">
        <v>3000</v>
      </c>
      <c r="G2171" s="24" t="s">
        <v>59</v>
      </c>
      <c r="H2171" s="24" t="s">
        <v>55</v>
      </c>
      <c r="I2171" s="24" t="s">
        <v>61</v>
      </c>
      <c r="J2171" s="26" t="n">
        <f aca="false">IF(A2171="","",YEAR(A2171))</f>
        <v>2026</v>
      </c>
      <c r="K2171" s="26" t="n">
        <f aca="false">IF(A2171="","",MONTH(A2171))</f>
        <v>8</v>
      </c>
      <c r="L2171" s="26" t="n">
        <f aca="false">IF(B2171="","",VALUE(LEFT(B2171,2)))</f>
        <v>8</v>
      </c>
      <c r="M2171" s="26" t="n">
        <f aca="false">IF(A2171="","",IF(COUNTIFS($C$2:$C$5001,C2171,$J$2:$J$5001,J2171,$A$2:$A$5001,"&lt;"&amp;A2171)=0,1,0))</f>
        <v>0</v>
      </c>
    </row>
    <row r="2172" customFormat="false" ht="15" hidden="false" customHeight="false" outlineLevel="0" collapsed="false">
      <c r="A2172" s="23" t="n">
        <v>46237.5083333333</v>
      </c>
      <c r="B2172" s="24" t="s">
        <v>254</v>
      </c>
      <c r="C2172" s="24" t="s">
        <v>265</v>
      </c>
      <c r="D2172" s="24" t="s">
        <v>53</v>
      </c>
      <c r="E2172" s="24" t="n">
        <v>95</v>
      </c>
      <c r="F2172" s="25" t="n">
        <v>2000</v>
      </c>
      <c r="G2172" s="24" t="s">
        <v>59</v>
      </c>
      <c r="H2172" s="24" t="s">
        <v>60</v>
      </c>
      <c r="I2172" s="24" t="s">
        <v>61</v>
      </c>
      <c r="J2172" s="26" t="n">
        <f aca="false">IF(A2172="","",YEAR(A2172))</f>
        <v>2026</v>
      </c>
      <c r="K2172" s="26" t="n">
        <f aca="false">IF(A2172="","",MONTH(A2172))</f>
        <v>8</v>
      </c>
      <c r="L2172" s="26" t="n">
        <f aca="false">IF(B2172="","",VALUE(LEFT(B2172,2)))</f>
        <v>10</v>
      </c>
      <c r="M2172" s="26" t="n">
        <f aca="false">IF(A2172="","",IF(COUNTIFS($C$2:$C$5001,C2172,$J$2:$J$5001,J2172,$A$2:$A$5001,"&lt;"&amp;A2172)=0,1,0))</f>
        <v>0</v>
      </c>
    </row>
    <row r="2173" customFormat="false" ht="15" hidden="false" customHeight="false" outlineLevel="0" collapsed="false">
      <c r="A2173" s="23" t="n">
        <v>46237.5833333333</v>
      </c>
      <c r="B2173" s="24" t="s">
        <v>939</v>
      </c>
      <c r="C2173" s="24" t="s">
        <v>174</v>
      </c>
      <c r="D2173" s="24" t="s">
        <v>72</v>
      </c>
      <c r="E2173" s="24" t="n">
        <v>375</v>
      </c>
      <c r="F2173" s="25" t="n">
        <v>26000</v>
      </c>
      <c r="G2173" s="24" t="s">
        <v>59</v>
      </c>
      <c r="H2173" s="24" t="s">
        <v>55</v>
      </c>
      <c r="I2173" s="24" t="s">
        <v>61</v>
      </c>
      <c r="J2173" s="26" t="n">
        <f aca="false">IF(A2173="","",YEAR(A2173))</f>
        <v>2026</v>
      </c>
      <c r="K2173" s="26" t="n">
        <f aca="false">IF(A2173="","",MONTH(A2173))</f>
        <v>8</v>
      </c>
      <c r="L2173" s="26" t="n">
        <f aca="false">IF(B2173="","",VALUE(LEFT(B2173,2)))</f>
        <v>7</v>
      </c>
      <c r="M2173" s="26" t="n">
        <f aca="false">IF(A2173="","",IF(COUNTIFS($C$2:$C$5001,C2173,$J$2:$J$5001,J2173,$A$2:$A$5001,"&lt;"&amp;A2173)=0,1,0))</f>
        <v>0</v>
      </c>
    </row>
    <row r="2174" customFormat="false" ht="15" hidden="false" customHeight="false" outlineLevel="0" collapsed="false">
      <c r="A2174" s="23" t="n">
        <v>46237.6159722222</v>
      </c>
      <c r="B2174" s="24" t="s">
        <v>790</v>
      </c>
      <c r="C2174" s="24" t="s">
        <v>188</v>
      </c>
      <c r="D2174" s="24" t="s">
        <v>53</v>
      </c>
      <c r="E2174" s="24" t="n">
        <v>187</v>
      </c>
      <c r="F2174" s="25" t="n">
        <v>3500</v>
      </c>
      <c r="G2174" s="24" t="s">
        <v>59</v>
      </c>
      <c r="H2174" s="24" t="s">
        <v>80</v>
      </c>
      <c r="I2174" s="24" t="s">
        <v>61</v>
      </c>
      <c r="J2174" s="26" t="n">
        <f aca="false">IF(A2174="","",YEAR(A2174))</f>
        <v>2026</v>
      </c>
      <c r="K2174" s="26" t="n">
        <f aca="false">IF(A2174="","",MONTH(A2174))</f>
        <v>8</v>
      </c>
      <c r="L2174" s="26" t="n">
        <f aca="false">IF(B2174="","",VALUE(LEFT(B2174,2)))</f>
        <v>11</v>
      </c>
      <c r="M2174" s="26" t="n">
        <f aca="false">IF(A2174="","",IF(COUNTIFS($C$2:$C$5001,C2174,$J$2:$J$5001,J2174,$A$2:$A$5001,"&lt;"&amp;A2174)=0,1,0))</f>
        <v>0</v>
      </c>
    </row>
    <row r="2175" customFormat="false" ht="15" hidden="false" customHeight="false" outlineLevel="0" collapsed="false">
      <c r="A2175" s="23" t="n">
        <v>46237.8152777778</v>
      </c>
      <c r="B2175" s="24" t="s">
        <v>517</v>
      </c>
      <c r="C2175" s="24" t="s">
        <v>367</v>
      </c>
      <c r="D2175" s="24" t="s">
        <v>88</v>
      </c>
      <c r="E2175" s="24" t="n">
        <v>27</v>
      </c>
      <c r="F2175" s="25" t="n">
        <v>1275</v>
      </c>
      <c r="G2175" s="24" t="s">
        <v>59</v>
      </c>
      <c r="H2175" s="24" t="s">
        <v>55</v>
      </c>
      <c r="I2175" s="24" t="s">
        <v>113</v>
      </c>
      <c r="J2175" s="26" t="n">
        <f aca="false">IF(A2175="","",YEAR(A2175))</f>
        <v>2026</v>
      </c>
      <c r="K2175" s="26" t="n">
        <f aca="false">IF(A2175="","",MONTH(A2175))</f>
        <v>8</v>
      </c>
      <c r="L2175" s="26" t="n">
        <f aca="false">IF(B2175="","",VALUE(LEFT(B2175,2)))</f>
        <v>19</v>
      </c>
      <c r="M2175" s="26" t="n">
        <f aca="false">IF(A2175="","",IF(COUNTIFS($C$2:$C$5001,C2175,$J$2:$J$5001,J2175,$A$2:$A$5001,"&lt;"&amp;A2175)=0,1,0))</f>
        <v>0</v>
      </c>
    </row>
    <row r="2176" customFormat="false" ht="15" hidden="false" customHeight="false" outlineLevel="0" collapsed="false">
      <c r="A2176" s="23" t="n">
        <v>46237.9979166667</v>
      </c>
      <c r="B2176" s="24" t="s">
        <v>1031</v>
      </c>
      <c r="C2176" s="24" t="s">
        <v>397</v>
      </c>
      <c r="D2176" s="24" t="s">
        <v>66</v>
      </c>
      <c r="E2176" s="24" t="n">
        <v>245</v>
      </c>
      <c r="F2176" s="25" t="n">
        <v>7650</v>
      </c>
      <c r="G2176" s="24" t="s">
        <v>59</v>
      </c>
      <c r="H2176" s="24" t="s">
        <v>80</v>
      </c>
      <c r="I2176" s="24" t="s">
        <v>113</v>
      </c>
      <c r="J2176" s="26" t="n">
        <f aca="false">IF(A2176="","",YEAR(A2176))</f>
        <v>2026</v>
      </c>
      <c r="K2176" s="26" t="n">
        <f aca="false">IF(A2176="","",MONTH(A2176))</f>
        <v>8</v>
      </c>
      <c r="L2176" s="26" t="n">
        <f aca="false">IF(B2176="","",VALUE(LEFT(B2176,2)))</f>
        <v>19</v>
      </c>
      <c r="M2176" s="26" t="n">
        <f aca="false">IF(A2176="","",IF(COUNTIFS($C$2:$C$5001,C2176,$J$2:$J$5001,J2176,$A$2:$A$5001,"&lt;"&amp;A2176)=0,1,0))</f>
        <v>0</v>
      </c>
    </row>
    <row r="2177" customFormat="false" ht="15" hidden="false" customHeight="false" outlineLevel="0" collapsed="false">
      <c r="A2177" s="23" t="n">
        <v>46238.0951388889</v>
      </c>
      <c r="B2177" s="24" t="s">
        <v>189</v>
      </c>
      <c r="C2177" s="24" t="s">
        <v>63</v>
      </c>
      <c r="D2177" s="24" t="s">
        <v>53</v>
      </c>
      <c r="E2177" s="24" t="n">
        <v>383</v>
      </c>
      <c r="F2177" s="25" t="n">
        <v>5525</v>
      </c>
      <c r="G2177" s="24" t="s">
        <v>69</v>
      </c>
      <c r="H2177" s="24" t="s">
        <v>60</v>
      </c>
      <c r="I2177" s="24" t="s">
        <v>113</v>
      </c>
      <c r="J2177" s="26" t="n">
        <f aca="false">IF(A2177="","",YEAR(A2177))</f>
        <v>2026</v>
      </c>
      <c r="K2177" s="26" t="n">
        <f aca="false">IF(A2177="","",MONTH(A2177))</f>
        <v>8</v>
      </c>
      <c r="L2177" s="26" t="n">
        <f aca="false">IF(B2177="","",VALUE(LEFT(B2177,2)))</f>
        <v>19</v>
      </c>
      <c r="M2177" s="26" t="n">
        <f aca="false">IF(A2177="","",IF(COUNTIFS($C$2:$C$5001,C2177,$J$2:$J$5001,J2177,$A$2:$A$5001,"&lt;"&amp;A2177)=0,1,0))</f>
        <v>0</v>
      </c>
    </row>
    <row r="2178" customFormat="false" ht="15" hidden="false" customHeight="false" outlineLevel="0" collapsed="false">
      <c r="A2178" s="23" t="n">
        <v>46238.5111111111</v>
      </c>
      <c r="B2178" s="24" t="s">
        <v>212</v>
      </c>
      <c r="C2178" s="24" t="s">
        <v>188</v>
      </c>
      <c r="D2178" s="24" t="s">
        <v>66</v>
      </c>
      <c r="E2178" s="24" t="n">
        <v>322</v>
      </c>
      <c r="F2178" s="25" t="n">
        <v>11000</v>
      </c>
      <c r="G2178" s="24" t="s">
        <v>54</v>
      </c>
      <c r="H2178" s="24" t="s">
        <v>80</v>
      </c>
      <c r="I2178" s="24" t="s">
        <v>61</v>
      </c>
      <c r="J2178" s="26" t="n">
        <f aca="false">IF(A2178="","",YEAR(A2178))</f>
        <v>2026</v>
      </c>
      <c r="K2178" s="26" t="n">
        <f aca="false">IF(A2178="","",MONTH(A2178))</f>
        <v>8</v>
      </c>
      <c r="L2178" s="26" t="n">
        <f aca="false">IF(B2178="","",VALUE(LEFT(B2178,2)))</f>
        <v>6</v>
      </c>
      <c r="M2178" s="26" t="n">
        <f aca="false">IF(A2178="","",IF(COUNTIFS($C$2:$C$5001,C2178,$J$2:$J$5001,J2178,$A$2:$A$5001,"&lt;"&amp;A2178)=0,1,0))</f>
        <v>0</v>
      </c>
    </row>
    <row r="2179" customFormat="false" ht="15" hidden="false" customHeight="false" outlineLevel="0" collapsed="false">
      <c r="A2179" s="23" t="n">
        <v>46238.6715277778</v>
      </c>
      <c r="B2179" s="24" t="s">
        <v>724</v>
      </c>
      <c r="C2179" s="24" t="s">
        <v>158</v>
      </c>
      <c r="D2179" s="24" t="s">
        <v>66</v>
      </c>
      <c r="E2179" s="24" t="n">
        <v>83</v>
      </c>
      <c r="F2179" s="25" t="n">
        <v>3000</v>
      </c>
      <c r="G2179" s="24" t="s">
        <v>59</v>
      </c>
      <c r="H2179" s="24" t="s">
        <v>60</v>
      </c>
      <c r="I2179" s="24" t="s">
        <v>61</v>
      </c>
      <c r="J2179" s="26" t="n">
        <f aca="false">IF(A2179="","",YEAR(A2179))</f>
        <v>2026</v>
      </c>
      <c r="K2179" s="26" t="n">
        <f aca="false">IF(A2179="","",MONTH(A2179))</f>
        <v>8</v>
      </c>
      <c r="L2179" s="26" t="n">
        <f aca="false">IF(B2179="","",VALUE(LEFT(B2179,2)))</f>
        <v>14</v>
      </c>
      <c r="M2179" s="26" t="n">
        <f aca="false">IF(A2179="","",IF(COUNTIFS($C$2:$C$5001,C2179,$J$2:$J$5001,J2179,$A$2:$A$5001,"&lt;"&amp;A2179)=0,1,0))</f>
        <v>0</v>
      </c>
    </row>
    <row r="2180" customFormat="false" ht="15" hidden="false" customHeight="false" outlineLevel="0" collapsed="false">
      <c r="A2180" s="23" t="n">
        <v>46238.8069444444</v>
      </c>
      <c r="B2180" s="24" t="s">
        <v>471</v>
      </c>
      <c r="C2180" s="24" t="s">
        <v>463</v>
      </c>
      <c r="D2180" s="24" t="s">
        <v>88</v>
      </c>
      <c r="E2180" s="24" t="n">
        <v>211</v>
      </c>
      <c r="F2180" s="25" t="n">
        <v>12000</v>
      </c>
      <c r="G2180" s="24" t="s">
        <v>59</v>
      </c>
      <c r="H2180" s="24" t="s">
        <v>80</v>
      </c>
      <c r="I2180" s="24" t="s">
        <v>61</v>
      </c>
      <c r="J2180" s="26" t="n">
        <f aca="false">IF(A2180="","",YEAR(A2180))</f>
        <v>2026</v>
      </c>
      <c r="K2180" s="26" t="n">
        <f aca="false">IF(A2180="","",MONTH(A2180))</f>
        <v>8</v>
      </c>
      <c r="L2180" s="26" t="n">
        <f aca="false">IF(B2180="","",VALUE(LEFT(B2180,2)))</f>
        <v>15</v>
      </c>
      <c r="M2180" s="26" t="n">
        <f aca="false">IF(A2180="","",IF(COUNTIFS($C$2:$C$5001,C2180,$J$2:$J$5001,J2180,$A$2:$A$5001,"&lt;"&amp;A2180)=0,1,0))</f>
        <v>0</v>
      </c>
    </row>
    <row r="2181" customFormat="false" ht="15" hidden="false" customHeight="false" outlineLevel="0" collapsed="false">
      <c r="A2181" s="23" t="n">
        <v>46238.8784722222</v>
      </c>
      <c r="B2181" s="24" t="s">
        <v>796</v>
      </c>
      <c r="C2181" s="24" t="s">
        <v>65</v>
      </c>
      <c r="D2181" s="24" t="s">
        <v>66</v>
      </c>
      <c r="E2181" s="24" t="n">
        <v>128</v>
      </c>
      <c r="F2181" s="25" t="n">
        <v>5000</v>
      </c>
      <c r="G2181" s="24" t="s">
        <v>69</v>
      </c>
      <c r="H2181" s="24" t="s">
        <v>60</v>
      </c>
      <c r="I2181" s="24" t="s">
        <v>61</v>
      </c>
      <c r="J2181" s="26" t="n">
        <f aca="false">IF(A2181="","",YEAR(A2181))</f>
        <v>2026</v>
      </c>
      <c r="K2181" s="26" t="n">
        <f aca="false">IF(A2181="","",MONTH(A2181))</f>
        <v>8</v>
      </c>
      <c r="L2181" s="26" t="n">
        <f aca="false">IF(B2181="","",VALUE(LEFT(B2181,2)))</f>
        <v>18</v>
      </c>
      <c r="M2181" s="26" t="n">
        <f aca="false">IF(A2181="","",IF(COUNTIFS($C$2:$C$5001,C2181,$J$2:$J$5001,J2181,$A$2:$A$5001,"&lt;"&amp;A2181)=0,1,0))</f>
        <v>0</v>
      </c>
    </row>
    <row r="2182" customFormat="false" ht="15" hidden="false" customHeight="false" outlineLevel="0" collapsed="false">
      <c r="A2182" s="23" t="n">
        <v>46238.9652777778</v>
      </c>
      <c r="B2182" s="24" t="s">
        <v>456</v>
      </c>
      <c r="C2182" s="24" t="s">
        <v>222</v>
      </c>
      <c r="D2182" s="24" t="s">
        <v>66</v>
      </c>
      <c r="E2182" s="24" t="n">
        <v>257</v>
      </c>
      <c r="F2182" s="25" t="n">
        <v>9000</v>
      </c>
      <c r="G2182" s="24" t="s">
        <v>59</v>
      </c>
      <c r="H2182" s="24" t="s">
        <v>60</v>
      </c>
      <c r="I2182" s="24" t="s">
        <v>61</v>
      </c>
      <c r="J2182" s="26" t="n">
        <f aca="false">IF(A2182="","",YEAR(A2182))</f>
        <v>2026</v>
      </c>
      <c r="K2182" s="26" t="n">
        <f aca="false">IF(A2182="","",MONTH(A2182))</f>
        <v>8</v>
      </c>
      <c r="L2182" s="26" t="n">
        <f aca="false">IF(B2182="","",VALUE(LEFT(B2182,2)))</f>
        <v>18</v>
      </c>
      <c r="M2182" s="26" t="n">
        <f aca="false">IF(A2182="","",IF(COUNTIFS($C$2:$C$5001,C2182,$J$2:$J$5001,J2182,$A$2:$A$5001,"&lt;"&amp;A2182)=0,1,0))</f>
        <v>0</v>
      </c>
    </row>
    <row r="2183" customFormat="false" ht="15" hidden="false" customHeight="false" outlineLevel="0" collapsed="false">
      <c r="A2183" s="23" t="n">
        <v>46239.3875</v>
      </c>
      <c r="B2183" s="24" t="s">
        <v>239</v>
      </c>
      <c r="C2183" s="24" t="s">
        <v>71</v>
      </c>
      <c r="D2183" s="24" t="s">
        <v>66</v>
      </c>
      <c r="E2183" s="24" t="n">
        <v>59</v>
      </c>
      <c r="F2183" s="25" t="n">
        <v>2000</v>
      </c>
      <c r="G2183" s="24" t="s">
        <v>69</v>
      </c>
      <c r="H2183" s="24" t="s">
        <v>55</v>
      </c>
      <c r="I2183" s="24" t="s">
        <v>61</v>
      </c>
      <c r="J2183" s="26" t="n">
        <f aca="false">IF(A2183="","",YEAR(A2183))</f>
        <v>2026</v>
      </c>
      <c r="K2183" s="26" t="n">
        <f aca="false">IF(A2183="","",MONTH(A2183))</f>
        <v>8</v>
      </c>
      <c r="L2183" s="26" t="n">
        <f aca="false">IF(B2183="","",VALUE(LEFT(B2183,2)))</f>
        <v>8</v>
      </c>
      <c r="M2183" s="26" t="n">
        <f aca="false">IF(A2183="","",IF(COUNTIFS($C$2:$C$5001,C2183,$J$2:$J$5001,J2183,$A$2:$A$5001,"&lt;"&amp;A2183)=0,1,0))</f>
        <v>0</v>
      </c>
    </row>
    <row r="2184" customFormat="false" ht="15" hidden="false" customHeight="false" outlineLevel="0" collapsed="false">
      <c r="A2184" s="23" t="n">
        <v>46239.4645833333</v>
      </c>
      <c r="B2184" s="24" t="s">
        <v>193</v>
      </c>
      <c r="C2184" s="24" t="s">
        <v>357</v>
      </c>
      <c r="D2184" s="24" t="s">
        <v>66</v>
      </c>
      <c r="E2184" s="24" t="n">
        <v>213</v>
      </c>
      <c r="F2184" s="25" t="n">
        <v>8000</v>
      </c>
      <c r="G2184" s="24" t="s">
        <v>59</v>
      </c>
      <c r="H2184" s="24" t="s">
        <v>55</v>
      </c>
      <c r="I2184" s="24" t="s">
        <v>61</v>
      </c>
      <c r="J2184" s="26" t="n">
        <f aca="false">IF(A2184="","",YEAR(A2184))</f>
        <v>2026</v>
      </c>
      <c r="K2184" s="26" t="n">
        <f aca="false">IF(A2184="","",MONTH(A2184))</f>
        <v>8</v>
      </c>
      <c r="L2184" s="26" t="n">
        <f aca="false">IF(B2184="","",VALUE(LEFT(B2184,2)))</f>
        <v>7</v>
      </c>
      <c r="M2184" s="26" t="n">
        <f aca="false">IF(A2184="","",IF(COUNTIFS($C$2:$C$5001,C2184,$J$2:$J$5001,J2184,$A$2:$A$5001,"&lt;"&amp;A2184)=0,1,0))</f>
        <v>1</v>
      </c>
    </row>
    <row r="2185" customFormat="false" ht="15" hidden="false" customHeight="false" outlineLevel="0" collapsed="false">
      <c r="A2185" s="23" t="n">
        <v>46239.7652777778</v>
      </c>
      <c r="B2185" s="24" t="s">
        <v>911</v>
      </c>
      <c r="C2185" s="24" t="s">
        <v>164</v>
      </c>
      <c r="D2185" s="24" t="s">
        <v>66</v>
      </c>
      <c r="E2185" s="24" t="n">
        <v>185</v>
      </c>
      <c r="F2185" s="25" t="n">
        <v>7000</v>
      </c>
      <c r="G2185" s="24" t="s">
        <v>59</v>
      </c>
      <c r="H2185" s="24" t="s">
        <v>60</v>
      </c>
      <c r="I2185" s="24" t="s">
        <v>61</v>
      </c>
      <c r="J2185" s="26" t="n">
        <f aca="false">IF(A2185="","",YEAR(A2185))</f>
        <v>2026</v>
      </c>
      <c r="K2185" s="26" t="n">
        <f aca="false">IF(A2185="","",MONTH(A2185))</f>
        <v>8</v>
      </c>
      <c r="L2185" s="26" t="n">
        <f aca="false">IF(B2185="","",VALUE(LEFT(B2185,2)))</f>
        <v>15</v>
      </c>
      <c r="M2185" s="26" t="n">
        <f aca="false">IF(A2185="","",IF(COUNTIFS($C$2:$C$5001,C2185,$J$2:$J$5001,J2185,$A$2:$A$5001,"&lt;"&amp;A2185)=0,1,0))</f>
        <v>0</v>
      </c>
    </row>
    <row r="2186" customFormat="false" ht="15" hidden="false" customHeight="false" outlineLevel="0" collapsed="false">
      <c r="A2186" s="23" t="n">
        <v>46239.8152777778</v>
      </c>
      <c r="B2186" s="24" t="s">
        <v>384</v>
      </c>
      <c r="C2186" s="24" t="s">
        <v>74</v>
      </c>
      <c r="D2186" s="24" t="s">
        <v>88</v>
      </c>
      <c r="E2186" s="24" t="n">
        <v>256</v>
      </c>
      <c r="F2186" s="25" t="n">
        <v>13500</v>
      </c>
      <c r="G2186" s="24" t="s">
        <v>79</v>
      </c>
      <c r="H2186" s="24" t="s">
        <v>80</v>
      </c>
      <c r="I2186" s="24" t="s">
        <v>61</v>
      </c>
      <c r="J2186" s="26" t="n">
        <f aca="false">IF(A2186="","",YEAR(A2186))</f>
        <v>2026</v>
      </c>
      <c r="K2186" s="26" t="n">
        <f aca="false">IF(A2186="","",MONTH(A2186))</f>
        <v>8</v>
      </c>
      <c r="L2186" s="26" t="n">
        <f aca="false">IF(B2186="","",VALUE(LEFT(B2186,2)))</f>
        <v>15</v>
      </c>
      <c r="M2186" s="26" t="n">
        <f aca="false">IF(A2186="","",IF(COUNTIFS($C$2:$C$5001,C2186,$J$2:$J$5001,J2186,$A$2:$A$5001,"&lt;"&amp;A2186)=0,1,0))</f>
        <v>0</v>
      </c>
    </row>
    <row r="2187" customFormat="false" ht="15" hidden="false" customHeight="false" outlineLevel="0" collapsed="false">
      <c r="A2187" s="23" t="n">
        <v>46239.9361111111</v>
      </c>
      <c r="B2187" s="24" t="s">
        <v>696</v>
      </c>
      <c r="C2187" s="24" t="s">
        <v>76</v>
      </c>
      <c r="D2187" s="24" t="s">
        <v>53</v>
      </c>
      <c r="E2187" s="24" t="n">
        <v>157</v>
      </c>
      <c r="F2187" s="25" t="n">
        <v>3000</v>
      </c>
      <c r="G2187" s="24" t="s">
        <v>59</v>
      </c>
      <c r="H2187" s="24" t="s">
        <v>80</v>
      </c>
      <c r="I2187" s="24" t="s">
        <v>61</v>
      </c>
      <c r="J2187" s="26" t="n">
        <f aca="false">IF(A2187="","",YEAR(A2187))</f>
        <v>2026</v>
      </c>
      <c r="K2187" s="26" t="n">
        <f aca="false">IF(A2187="","",MONTH(A2187))</f>
        <v>8</v>
      </c>
      <c r="L2187" s="26" t="n">
        <f aca="false">IF(B2187="","",VALUE(LEFT(B2187,2)))</f>
        <v>19</v>
      </c>
      <c r="M2187" s="26" t="n">
        <f aca="false">IF(A2187="","",IF(COUNTIFS($C$2:$C$5001,C2187,$J$2:$J$5001,J2187,$A$2:$A$5001,"&lt;"&amp;A2187)=0,1,0))</f>
        <v>0</v>
      </c>
    </row>
    <row r="2188" customFormat="false" ht="15" hidden="false" customHeight="false" outlineLevel="0" collapsed="false">
      <c r="A2188" s="23" t="n">
        <v>46241.4638888889</v>
      </c>
      <c r="B2188" s="24" t="s">
        <v>364</v>
      </c>
      <c r="C2188" s="24" t="s">
        <v>158</v>
      </c>
      <c r="D2188" s="24" t="s">
        <v>66</v>
      </c>
      <c r="E2188" s="24" t="n">
        <v>134</v>
      </c>
      <c r="F2188" s="25" t="n">
        <v>5000</v>
      </c>
      <c r="G2188" s="24" t="s">
        <v>59</v>
      </c>
      <c r="H2188" s="24" t="s">
        <v>60</v>
      </c>
      <c r="I2188" s="24" t="s">
        <v>61</v>
      </c>
      <c r="J2188" s="26" t="n">
        <f aca="false">IF(A2188="","",YEAR(A2188))</f>
        <v>2026</v>
      </c>
      <c r="K2188" s="26" t="n">
        <f aca="false">IF(A2188="","",MONTH(A2188))</f>
        <v>8</v>
      </c>
      <c r="L2188" s="26" t="n">
        <f aca="false">IF(B2188="","",VALUE(LEFT(B2188,2)))</f>
        <v>8</v>
      </c>
      <c r="M2188" s="26" t="n">
        <f aca="false">IF(A2188="","",IF(COUNTIFS($C$2:$C$5001,C2188,$J$2:$J$5001,J2188,$A$2:$A$5001,"&lt;"&amp;A2188)=0,1,0))</f>
        <v>0</v>
      </c>
    </row>
    <row r="2189" customFormat="false" ht="15" hidden="false" customHeight="false" outlineLevel="0" collapsed="false">
      <c r="A2189" s="23" t="n">
        <v>46241.7222222222</v>
      </c>
      <c r="B2189" s="24" t="s">
        <v>632</v>
      </c>
      <c r="C2189" s="24" t="s">
        <v>482</v>
      </c>
      <c r="D2189" s="24" t="s">
        <v>66</v>
      </c>
      <c r="E2189" s="24" t="n">
        <v>184</v>
      </c>
      <c r="F2189" s="25" t="n">
        <v>7000</v>
      </c>
      <c r="G2189" s="24" t="s">
        <v>69</v>
      </c>
      <c r="H2189" s="24" t="s">
        <v>55</v>
      </c>
      <c r="I2189" s="24" t="s">
        <v>61</v>
      </c>
      <c r="J2189" s="26" t="n">
        <f aca="false">IF(A2189="","",YEAR(A2189))</f>
        <v>2026</v>
      </c>
      <c r="K2189" s="26" t="n">
        <f aca="false">IF(A2189="","",MONTH(A2189))</f>
        <v>8</v>
      </c>
      <c r="L2189" s="26" t="n">
        <f aca="false">IF(B2189="","",VALUE(LEFT(B2189,2)))</f>
        <v>14</v>
      </c>
      <c r="M2189" s="26" t="n">
        <f aca="false">IF(A2189="","",IF(COUNTIFS($C$2:$C$5001,C2189,$J$2:$J$5001,J2189,$A$2:$A$5001,"&lt;"&amp;A2189)=0,1,0))</f>
        <v>0</v>
      </c>
    </row>
    <row r="2190" customFormat="false" ht="15" hidden="false" customHeight="false" outlineLevel="0" collapsed="false">
      <c r="A2190" s="23" t="n">
        <v>46241.7375</v>
      </c>
      <c r="B2190" s="24" t="s">
        <v>871</v>
      </c>
      <c r="C2190" s="24" t="s">
        <v>484</v>
      </c>
      <c r="D2190" s="24" t="s">
        <v>66</v>
      </c>
      <c r="E2190" s="24" t="n">
        <v>44</v>
      </c>
      <c r="F2190" s="25" t="n">
        <v>2000</v>
      </c>
      <c r="G2190" s="24" t="s">
        <v>59</v>
      </c>
      <c r="H2190" s="24" t="s">
        <v>80</v>
      </c>
      <c r="I2190" s="24" t="s">
        <v>61</v>
      </c>
      <c r="J2190" s="26" t="n">
        <f aca="false">IF(A2190="","",YEAR(A2190))</f>
        <v>2026</v>
      </c>
      <c r="K2190" s="26" t="n">
        <f aca="false">IF(A2190="","",MONTH(A2190))</f>
        <v>8</v>
      </c>
      <c r="L2190" s="26" t="n">
        <f aca="false">IF(B2190="","",VALUE(LEFT(B2190,2)))</f>
        <v>16</v>
      </c>
      <c r="M2190" s="26" t="n">
        <f aca="false">IF(A2190="","",IF(COUNTIFS($C$2:$C$5001,C2190,$J$2:$J$5001,J2190,$A$2:$A$5001,"&lt;"&amp;A2190)=0,1,0))</f>
        <v>0</v>
      </c>
    </row>
    <row r="2191" customFormat="false" ht="15" hidden="false" customHeight="false" outlineLevel="0" collapsed="false">
      <c r="A2191" s="23" t="n">
        <v>46241.99375</v>
      </c>
      <c r="B2191" s="24" t="s">
        <v>765</v>
      </c>
      <c r="C2191" s="24" t="s">
        <v>131</v>
      </c>
      <c r="D2191" s="24" t="s">
        <v>66</v>
      </c>
      <c r="E2191" s="24" t="n">
        <v>241</v>
      </c>
      <c r="F2191" s="25" t="n">
        <v>9000</v>
      </c>
      <c r="G2191" s="24" t="s">
        <v>59</v>
      </c>
      <c r="H2191" s="24" t="s">
        <v>80</v>
      </c>
      <c r="I2191" s="24" t="s">
        <v>61</v>
      </c>
      <c r="J2191" s="26" t="n">
        <f aca="false">IF(A2191="","",YEAR(A2191))</f>
        <v>2026</v>
      </c>
      <c r="K2191" s="26" t="n">
        <f aca="false">IF(A2191="","",MONTH(A2191))</f>
        <v>8</v>
      </c>
      <c r="L2191" s="26" t="n">
        <f aca="false">IF(B2191="","",VALUE(LEFT(B2191,2)))</f>
        <v>19</v>
      </c>
      <c r="M2191" s="26" t="n">
        <f aca="false">IF(A2191="","",IF(COUNTIFS($C$2:$C$5001,C2191,$J$2:$J$5001,J2191,$A$2:$A$5001,"&lt;"&amp;A2191)=0,1,0))</f>
        <v>0</v>
      </c>
    </row>
    <row r="2192" customFormat="false" ht="15" hidden="false" customHeight="false" outlineLevel="0" collapsed="false">
      <c r="A2192" s="23" t="n">
        <v>46242.2701388889</v>
      </c>
      <c r="B2192" s="24" t="s">
        <v>211</v>
      </c>
      <c r="C2192" s="24" t="s">
        <v>220</v>
      </c>
      <c r="D2192" s="24" t="s">
        <v>53</v>
      </c>
      <c r="E2192" s="24" t="n">
        <v>28</v>
      </c>
      <c r="F2192" s="25" t="n">
        <v>500</v>
      </c>
      <c r="G2192" s="24" t="s">
        <v>59</v>
      </c>
      <c r="H2192" s="24" t="s">
        <v>55</v>
      </c>
      <c r="I2192" s="24" t="s">
        <v>61</v>
      </c>
      <c r="J2192" s="26" t="n">
        <f aca="false">IF(A2192="","",YEAR(A2192))</f>
        <v>2026</v>
      </c>
      <c r="K2192" s="26" t="n">
        <f aca="false">IF(A2192="","",MONTH(A2192))</f>
        <v>8</v>
      </c>
      <c r="L2192" s="26" t="n">
        <f aca="false">IF(B2192="","",VALUE(LEFT(B2192,2)))</f>
        <v>6</v>
      </c>
      <c r="M2192" s="26" t="n">
        <f aca="false">IF(A2192="","",IF(COUNTIFS($C$2:$C$5001,C2192,$J$2:$J$5001,J2192,$A$2:$A$5001,"&lt;"&amp;A2192)=0,1,0))</f>
        <v>0</v>
      </c>
    </row>
    <row r="2193" customFormat="false" ht="15" hidden="false" customHeight="false" outlineLevel="0" collapsed="false">
      <c r="A2193" s="23" t="n">
        <v>46242.5548611111</v>
      </c>
      <c r="B2193" s="24" t="s">
        <v>699</v>
      </c>
      <c r="C2193" s="24" t="s">
        <v>436</v>
      </c>
      <c r="D2193" s="24" t="s">
        <v>66</v>
      </c>
      <c r="E2193" s="24" t="n">
        <v>322</v>
      </c>
      <c r="F2193" s="25" t="n">
        <v>11000</v>
      </c>
      <c r="G2193" s="24" t="s">
        <v>59</v>
      </c>
      <c r="H2193" s="24" t="s">
        <v>80</v>
      </c>
      <c r="I2193" s="24" t="s">
        <v>61</v>
      </c>
      <c r="J2193" s="26" t="n">
        <f aca="false">IF(A2193="","",YEAR(A2193))</f>
        <v>2026</v>
      </c>
      <c r="K2193" s="26" t="n">
        <f aca="false">IF(A2193="","",MONTH(A2193))</f>
        <v>8</v>
      </c>
      <c r="L2193" s="26" t="n">
        <f aca="false">IF(B2193="","",VALUE(LEFT(B2193,2)))</f>
        <v>7</v>
      </c>
      <c r="M2193" s="26" t="n">
        <f aca="false">IF(A2193="","",IF(COUNTIFS($C$2:$C$5001,C2193,$J$2:$J$5001,J2193,$A$2:$A$5001,"&lt;"&amp;A2193)=0,1,0))</f>
        <v>0</v>
      </c>
    </row>
    <row r="2194" customFormat="false" ht="15" hidden="false" customHeight="false" outlineLevel="0" collapsed="false">
      <c r="A2194" s="23" t="n">
        <v>46243.6666666667</v>
      </c>
      <c r="B2194" s="24" t="s">
        <v>626</v>
      </c>
      <c r="C2194" s="24" t="s">
        <v>120</v>
      </c>
      <c r="D2194" s="24" t="s">
        <v>53</v>
      </c>
      <c r="E2194" s="24" t="n">
        <v>336</v>
      </c>
      <c r="F2194" s="25" t="n">
        <v>6000</v>
      </c>
      <c r="G2194" s="24" t="s">
        <v>69</v>
      </c>
      <c r="H2194" s="24" t="s">
        <v>60</v>
      </c>
      <c r="I2194" s="24" t="s">
        <v>61</v>
      </c>
      <c r="J2194" s="26" t="n">
        <f aca="false">IF(A2194="","",YEAR(A2194))</f>
        <v>2026</v>
      </c>
      <c r="K2194" s="26" t="n">
        <f aca="false">IF(A2194="","",MONTH(A2194))</f>
        <v>8</v>
      </c>
      <c r="L2194" s="26" t="n">
        <f aca="false">IF(B2194="","",VALUE(LEFT(B2194,2)))</f>
        <v>10</v>
      </c>
      <c r="M2194" s="26" t="n">
        <f aca="false">IF(A2194="","",IF(COUNTIFS($C$2:$C$5001,C2194,$J$2:$J$5001,J2194,$A$2:$A$5001,"&lt;"&amp;A2194)=0,1,0))</f>
        <v>0</v>
      </c>
    </row>
    <row r="2195" customFormat="false" ht="15" hidden="false" customHeight="false" outlineLevel="0" collapsed="false">
      <c r="A2195" s="23" t="n">
        <v>46243.6777777778</v>
      </c>
      <c r="B2195" s="24" t="s">
        <v>254</v>
      </c>
      <c r="C2195" s="24" t="s">
        <v>593</v>
      </c>
      <c r="D2195" s="24" t="s">
        <v>66</v>
      </c>
      <c r="E2195" s="24" t="n">
        <v>339</v>
      </c>
      <c r="F2195" s="25" t="n">
        <v>12000</v>
      </c>
      <c r="G2195" s="24" t="s">
        <v>59</v>
      </c>
      <c r="H2195" s="24" t="s">
        <v>80</v>
      </c>
      <c r="I2195" s="24" t="s">
        <v>61</v>
      </c>
      <c r="J2195" s="26" t="n">
        <f aca="false">IF(A2195="","",YEAR(A2195))</f>
        <v>2026</v>
      </c>
      <c r="K2195" s="26" t="n">
        <f aca="false">IF(A2195="","",MONTH(A2195))</f>
        <v>8</v>
      </c>
      <c r="L2195" s="26" t="n">
        <f aca="false">IF(B2195="","",VALUE(LEFT(B2195,2)))</f>
        <v>10</v>
      </c>
      <c r="M2195" s="26" t="n">
        <f aca="false">IF(A2195="","",IF(COUNTIFS($C$2:$C$5001,C2195,$J$2:$J$5001,J2195,$A$2:$A$5001,"&lt;"&amp;A2195)=0,1,0))</f>
        <v>0</v>
      </c>
    </row>
    <row r="2196" customFormat="false" ht="15" hidden="false" customHeight="false" outlineLevel="0" collapsed="false">
      <c r="A2196" s="23" t="n">
        <v>46243.7166666667</v>
      </c>
      <c r="B2196" s="24" t="s">
        <v>847</v>
      </c>
      <c r="C2196" s="24" t="s">
        <v>174</v>
      </c>
      <c r="D2196" s="24" t="s">
        <v>66</v>
      </c>
      <c r="E2196" s="24" t="n">
        <v>206</v>
      </c>
      <c r="F2196" s="25" t="n">
        <v>7000</v>
      </c>
      <c r="G2196" s="24" t="s">
        <v>69</v>
      </c>
      <c r="H2196" s="24" t="s">
        <v>80</v>
      </c>
      <c r="I2196" s="24" t="s">
        <v>61</v>
      </c>
      <c r="J2196" s="26" t="n">
        <f aca="false">IF(A2196="","",YEAR(A2196))</f>
        <v>2026</v>
      </c>
      <c r="K2196" s="26" t="n">
        <f aca="false">IF(A2196="","",MONTH(A2196))</f>
        <v>8</v>
      </c>
      <c r="L2196" s="26" t="n">
        <f aca="false">IF(B2196="","",VALUE(LEFT(B2196,2)))</f>
        <v>13</v>
      </c>
      <c r="M2196" s="26" t="n">
        <f aca="false">IF(A2196="","",IF(COUNTIFS($C$2:$C$5001,C2196,$J$2:$J$5001,J2196,$A$2:$A$5001,"&lt;"&amp;A2196)=0,1,0))</f>
        <v>0</v>
      </c>
    </row>
    <row r="2197" customFormat="false" ht="15" hidden="false" customHeight="false" outlineLevel="0" collapsed="false">
      <c r="A2197" s="23" t="n">
        <v>46244.3895833333</v>
      </c>
      <c r="B2197" s="24" t="s">
        <v>613</v>
      </c>
      <c r="C2197" s="24" t="s">
        <v>74</v>
      </c>
      <c r="D2197" s="24" t="s">
        <v>66</v>
      </c>
      <c r="E2197" s="24" t="n">
        <v>119</v>
      </c>
      <c r="F2197" s="25" t="n">
        <v>4000</v>
      </c>
      <c r="G2197" s="24" t="s">
        <v>59</v>
      </c>
      <c r="H2197" s="24" t="s">
        <v>60</v>
      </c>
      <c r="I2197" s="24" t="s">
        <v>61</v>
      </c>
      <c r="J2197" s="26" t="n">
        <f aca="false">IF(A2197="","",YEAR(A2197))</f>
        <v>2026</v>
      </c>
      <c r="K2197" s="26" t="n">
        <f aca="false">IF(A2197="","",MONTH(A2197))</f>
        <v>8</v>
      </c>
      <c r="L2197" s="26" t="n">
        <f aca="false">IF(B2197="","",VALUE(LEFT(B2197,2)))</f>
        <v>7</v>
      </c>
      <c r="M2197" s="26" t="n">
        <f aca="false">IF(A2197="","",IF(COUNTIFS($C$2:$C$5001,C2197,$J$2:$J$5001,J2197,$A$2:$A$5001,"&lt;"&amp;A2197)=0,1,0))</f>
        <v>0</v>
      </c>
    </row>
    <row r="2198" customFormat="false" ht="15" hidden="false" customHeight="false" outlineLevel="0" collapsed="false">
      <c r="A2198" s="23" t="n">
        <v>46244.5402777778</v>
      </c>
      <c r="B2198" s="24" t="s">
        <v>313</v>
      </c>
      <c r="C2198" s="24" t="s">
        <v>396</v>
      </c>
      <c r="D2198" s="24" t="s">
        <v>72</v>
      </c>
      <c r="E2198" s="24" t="n">
        <v>95</v>
      </c>
      <c r="F2198" s="25" t="n">
        <v>0</v>
      </c>
      <c r="G2198" s="24" t="s">
        <v>59</v>
      </c>
      <c r="H2198" s="24" t="s">
        <v>55</v>
      </c>
      <c r="I2198" s="24" t="s">
        <v>56</v>
      </c>
      <c r="J2198" s="26" t="n">
        <f aca="false">IF(A2198="","",YEAR(A2198))</f>
        <v>2026</v>
      </c>
      <c r="K2198" s="26" t="n">
        <f aca="false">IF(A2198="","",MONTH(A2198))</f>
        <v>8</v>
      </c>
      <c r="L2198" s="26" t="n">
        <f aca="false">IF(B2198="","",VALUE(LEFT(B2198,2)))</f>
        <v>11</v>
      </c>
      <c r="M2198" s="26" t="n">
        <f aca="false">IF(A2198="","",IF(COUNTIFS($C$2:$C$5001,C2198,$J$2:$J$5001,J2198,$A$2:$A$5001,"&lt;"&amp;A2198)=0,1,0))</f>
        <v>0</v>
      </c>
    </row>
    <row r="2199" customFormat="false" ht="15" hidden="false" customHeight="false" outlineLevel="0" collapsed="false">
      <c r="A2199" s="23" t="n">
        <v>46245.45625</v>
      </c>
      <c r="B2199" s="24" t="s">
        <v>626</v>
      </c>
      <c r="C2199" s="24" t="s">
        <v>220</v>
      </c>
      <c r="D2199" s="24" t="s">
        <v>66</v>
      </c>
      <c r="E2199" s="24" t="n">
        <v>33</v>
      </c>
      <c r="F2199" s="25" t="n">
        <v>2000</v>
      </c>
      <c r="G2199" s="24" t="s">
        <v>59</v>
      </c>
      <c r="H2199" s="24" t="s">
        <v>55</v>
      </c>
      <c r="I2199" s="24" t="s">
        <v>61</v>
      </c>
      <c r="J2199" s="26" t="n">
        <f aca="false">IF(A2199="","",YEAR(A2199))</f>
        <v>2026</v>
      </c>
      <c r="K2199" s="26" t="n">
        <f aca="false">IF(A2199="","",MONTH(A2199))</f>
        <v>8</v>
      </c>
      <c r="L2199" s="26" t="n">
        <f aca="false">IF(B2199="","",VALUE(LEFT(B2199,2)))</f>
        <v>10</v>
      </c>
      <c r="M2199" s="26" t="n">
        <f aca="false">IF(A2199="","",IF(COUNTIFS($C$2:$C$5001,C2199,$J$2:$J$5001,J2199,$A$2:$A$5001,"&lt;"&amp;A2199)=0,1,0))</f>
        <v>0</v>
      </c>
    </row>
    <row r="2200" customFormat="false" ht="15" hidden="false" customHeight="false" outlineLevel="0" collapsed="false">
      <c r="A2200" s="23" t="n">
        <v>46245.5791666667</v>
      </c>
      <c r="B2200" s="24" t="s">
        <v>856</v>
      </c>
      <c r="C2200" s="24" t="s">
        <v>164</v>
      </c>
      <c r="D2200" s="24" t="s">
        <v>66</v>
      </c>
      <c r="E2200" s="24" t="n">
        <v>375</v>
      </c>
      <c r="F2200" s="25" t="n">
        <v>13000</v>
      </c>
      <c r="G2200" s="24" t="s">
        <v>59</v>
      </c>
      <c r="H2200" s="24" t="s">
        <v>80</v>
      </c>
      <c r="I2200" s="24" t="s">
        <v>61</v>
      </c>
      <c r="J2200" s="26" t="n">
        <f aca="false">IF(A2200="","",YEAR(A2200))</f>
        <v>2026</v>
      </c>
      <c r="K2200" s="26" t="n">
        <f aca="false">IF(A2200="","",MONTH(A2200))</f>
        <v>8</v>
      </c>
      <c r="L2200" s="26" t="n">
        <f aca="false">IF(B2200="","",VALUE(LEFT(B2200,2)))</f>
        <v>7</v>
      </c>
      <c r="M2200" s="26" t="n">
        <f aca="false">IF(A2200="","",IF(COUNTIFS($C$2:$C$5001,C2200,$J$2:$J$5001,J2200,$A$2:$A$5001,"&lt;"&amp;A2200)=0,1,0))</f>
        <v>0</v>
      </c>
    </row>
    <row r="2201" customFormat="false" ht="15" hidden="false" customHeight="false" outlineLevel="0" collapsed="false">
      <c r="A2201" s="23" t="n">
        <v>46245.8944444444</v>
      </c>
      <c r="B2201" s="24" t="s">
        <v>884</v>
      </c>
      <c r="C2201" s="24" t="s">
        <v>192</v>
      </c>
      <c r="D2201" s="24" t="s">
        <v>66</v>
      </c>
      <c r="E2201" s="24" t="n">
        <v>388</v>
      </c>
      <c r="F2201" s="25" t="n">
        <v>13000</v>
      </c>
      <c r="G2201" s="24" t="s">
        <v>69</v>
      </c>
      <c r="H2201" s="24" t="s">
        <v>60</v>
      </c>
      <c r="I2201" s="24" t="s">
        <v>61</v>
      </c>
      <c r="J2201" s="26" t="n">
        <f aca="false">IF(A2201="","",YEAR(A2201))</f>
        <v>2026</v>
      </c>
      <c r="K2201" s="26" t="n">
        <f aca="false">IF(A2201="","",MONTH(A2201))</f>
        <v>8</v>
      </c>
      <c r="L2201" s="26" t="n">
        <f aca="false">IF(B2201="","",VALUE(LEFT(B2201,2)))</f>
        <v>15</v>
      </c>
      <c r="M2201" s="26" t="n">
        <f aca="false">IF(A2201="","",IF(COUNTIFS($C$2:$C$5001,C2201,$J$2:$J$5001,J2201,$A$2:$A$5001,"&lt;"&amp;A2201)=0,1,0))</f>
        <v>0</v>
      </c>
    </row>
    <row r="2202" customFormat="false" ht="15" hidden="false" customHeight="false" outlineLevel="0" collapsed="false">
      <c r="A2202" s="23" t="n">
        <v>46247.0326388889</v>
      </c>
      <c r="B2202" s="24" t="s">
        <v>827</v>
      </c>
      <c r="C2202" s="24" t="s">
        <v>166</v>
      </c>
      <c r="D2202" s="24" t="s">
        <v>53</v>
      </c>
      <c r="E2202" s="24" t="n">
        <v>326</v>
      </c>
      <c r="F2202" s="25" t="n">
        <v>5500</v>
      </c>
      <c r="G2202" s="24" t="s">
        <v>69</v>
      </c>
      <c r="H2202" s="24" t="s">
        <v>55</v>
      </c>
      <c r="I2202" s="24" t="s">
        <v>61</v>
      </c>
      <c r="J2202" s="26" t="n">
        <f aca="false">IF(A2202="","",YEAR(A2202))</f>
        <v>2026</v>
      </c>
      <c r="K2202" s="26" t="n">
        <f aca="false">IF(A2202="","",MONTH(A2202))</f>
        <v>8</v>
      </c>
      <c r="L2202" s="26" t="n">
        <f aca="false">IF(B2202="","",VALUE(LEFT(B2202,2)))</f>
        <v>19</v>
      </c>
      <c r="M2202" s="26" t="n">
        <f aca="false">IF(A2202="","",IF(COUNTIFS($C$2:$C$5001,C2202,$J$2:$J$5001,J2202,$A$2:$A$5001,"&lt;"&amp;A2202)=0,1,0))</f>
        <v>0</v>
      </c>
    </row>
    <row r="2203" customFormat="false" ht="15" hidden="false" customHeight="false" outlineLevel="0" collapsed="false">
      <c r="A2203" s="23" t="n">
        <v>46247.4270833333</v>
      </c>
      <c r="B2203" s="24" t="s">
        <v>318</v>
      </c>
      <c r="C2203" s="24" t="s">
        <v>347</v>
      </c>
      <c r="D2203" s="24" t="s">
        <v>66</v>
      </c>
      <c r="E2203" s="24" t="n">
        <v>90</v>
      </c>
      <c r="F2203" s="25" t="n">
        <v>3000</v>
      </c>
      <c r="G2203" s="24" t="s">
        <v>59</v>
      </c>
      <c r="H2203" s="24" t="s">
        <v>80</v>
      </c>
      <c r="I2203" s="24" t="s">
        <v>61</v>
      </c>
      <c r="J2203" s="26" t="n">
        <f aca="false">IF(A2203="","",YEAR(A2203))</f>
        <v>2026</v>
      </c>
      <c r="K2203" s="26" t="n">
        <f aca="false">IF(A2203="","",MONTH(A2203))</f>
        <v>8</v>
      </c>
      <c r="L2203" s="26" t="n">
        <f aca="false">IF(B2203="","",VALUE(LEFT(B2203,2)))</f>
        <v>8</v>
      </c>
      <c r="M2203" s="26" t="n">
        <f aca="false">IF(A2203="","",IF(COUNTIFS($C$2:$C$5001,C2203,$J$2:$J$5001,J2203,$A$2:$A$5001,"&lt;"&amp;A2203)=0,1,0))</f>
        <v>0</v>
      </c>
    </row>
    <row r="2204" customFormat="false" ht="15" hidden="false" customHeight="false" outlineLevel="0" collapsed="false">
      <c r="A2204" s="23" t="n">
        <v>46248.34375</v>
      </c>
      <c r="B2204" s="24" t="s">
        <v>524</v>
      </c>
      <c r="C2204" s="24" t="s">
        <v>231</v>
      </c>
      <c r="D2204" s="24" t="s">
        <v>66</v>
      </c>
      <c r="E2204" s="24" t="n">
        <v>60</v>
      </c>
      <c r="F2204" s="25" t="n">
        <v>2000</v>
      </c>
      <c r="G2204" s="24" t="s">
        <v>69</v>
      </c>
      <c r="H2204" s="24" t="s">
        <v>55</v>
      </c>
      <c r="I2204" s="24" t="s">
        <v>61</v>
      </c>
      <c r="J2204" s="26" t="n">
        <f aca="false">IF(A2204="","",YEAR(A2204))</f>
        <v>2026</v>
      </c>
      <c r="K2204" s="26" t="n">
        <f aca="false">IF(A2204="","",MONTH(A2204))</f>
        <v>8</v>
      </c>
      <c r="L2204" s="26" t="n">
        <f aca="false">IF(B2204="","",VALUE(LEFT(B2204,2)))</f>
        <v>7</v>
      </c>
      <c r="M2204" s="26" t="n">
        <f aca="false">IF(A2204="","",IF(COUNTIFS($C$2:$C$5001,C2204,$J$2:$J$5001,J2204,$A$2:$A$5001,"&lt;"&amp;A2204)=0,1,0))</f>
        <v>0</v>
      </c>
    </row>
    <row r="2205" customFormat="false" ht="15" hidden="false" customHeight="false" outlineLevel="0" collapsed="false">
      <c r="A2205" s="23" t="n">
        <v>46248.4555555556</v>
      </c>
      <c r="B2205" s="24" t="s">
        <v>1013</v>
      </c>
      <c r="C2205" s="24" t="s">
        <v>267</v>
      </c>
      <c r="D2205" s="24" t="s">
        <v>53</v>
      </c>
      <c r="E2205" s="24" t="n">
        <v>213</v>
      </c>
      <c r="F2205" s="25" t="n">
        <v>4000</v>
      </c>
      <c r="G2205" s="24" t="s">
        <v>59</v>
      </c>
      <c r="H2205" s="24" t="s">
        <v>60</v>
      </c>
      <c r="I2205" s="24" t="s">
        <v>61</v>
      </c>
      <c r="J2205" s="26" t="n">
        <f aca="false">IF(A2205="","",YEAR(A2205))</f>
        <v>2026</v>
      </c>
      <c r="K2205" s="26" t="n">
        <f aca="false">IF(A2205="","",MONTH(A2205))</f>
        <v>8</v>
      </c>
      <c r="L2205" s="26" t="n">
        <f aca="false">IF(B2205="","",VALUE(LEFT(B2205,2)))</f>
        <v>7</v>
      </c>
      <c r="M2205" s="26" t="n">
        <f aca="false">IF(A2205="","",IF(COUNTIFS($C$2:$C$5001,C2205,$J$2:$J$5001,J2205,$A$2:$A$5001,"&lt;"&amp;A2205)=0,1,0))</f>
        <v>0</v>
      </c>
    </row>
    <row r="2206" customFormat="false" ht="15" hidden="false" customHeight="false" outlineLevel="0" collapsed="false">
      <c r="A2206" s="23" t="n">
        <v>46248.5395833333</v>
      </c>
      <c r="B2206" s="24" t="s">
        <v>639</v>
      </c>
      <c r="C2206" s="24" t="s">
        <v>339</v>
      </c>
      <c r="D2206" s="24" t="s">
        <v>72</v>
      </c>
      <c r="E2206" s="24" t="n">
        <v>261</v>
      </c>
      <c r="F2206" s="25" t="n">
        <v>0</v>
      </c>
      <c r="G2206" s="24" t="s">
        <v>69</v>
      </c>
      <c r="H2206" s="24" t="s">
        <v>80</v>
      </c>
      <c r="I2206" s="24" t="s">
        <v>56</v>
      </c>
      <c r="J2206" s="26" t="n">
        <f aca="false">IF(A2206="","",YEAR(A2206))</f>
        <v>2026</v>
      </c>
      <c r="K2206" s="26" t="n">
        <f aca="false">IF(A2206="","",MONTH(A2206))</f>
        <v>8</v>
      </c>
      <c r="L2206" s="26" t="n">
        <f aca="false">IF(B2206="","",VALUE(LEFT(B2206,2)))</f>
        <v>8</v>
      </c>
      <c r="M2206" s="26" t="n">
        <f aca="false">IF(A2206="","",IF(COUNTIFS($C$2:$C$5001,C2206,$J$2:$J$5001,J2206,$A$2:$A$5001,"&lt;"&amp;A2206)=0,1,0))</f>
        <v>0</v>
      </c>
    </row>
    <row r="2207" customFormat="false" ht="15" hidden="false" customHeight="false" outlineLevel="0" collapsed="false">
      <c r="A2207" s="23" t="n">
        <v>46248.8388888889</v>
      </c>
      <c r="B2207" s="24" t="s">
        <v>1021</v>
      </c>
      <c r="C2207" s="24" t="s">
        <v>110</v>
      </c>
      <c r="D2207" s="24" t="s">
        <v>66</v>
      </c>
      <c r="E2207" s="24" t="n">
        <v>68</v>
      </c>
      <c r="F2207" s="25" t="n">
        <v>3000</v>
      </c>
      <c r="G2207" s="24" t="s">
        <v>59</v>
      </c>
      <c r="H2207" s="24" t="s">
        <v>80</v>
      </c>
      <c r="I2207" s="24" t="s">
        <v>61</v>
      </c>
      <c r="J2207" s="26" t="n">
        <f aca="false">IF(A2207="","",YEAR(A2207))</f>
        <v>2026</v>
      </c>
      <c r="K2207" s="26" t="n">
        <f aca="false">IF(A2207="","",MONTH(A2207))</f>
        <v>8</v>
      </c>
      <c r="L2207" s="26" t="n">
        <f aca="false">IF(B2207="","",VALUE(LEFT(B2207,2)))</f>
        <v>19</v>
      </c>
      <c r="M2207" s="26" t="n">
        <f aca="false">IF(A2207="","",IF(COUNTIFS($C$2:$C$5001,C2207,$J$2:$J$5001,J2207,$A$2:$A$5001,"&lt;"&amp;A2207)=0,1,0))</f>
        <v>0</v>
      </c>
    </row>
    <row r="2208" customFormat="false" ht="15" hidden="false" customHeight="false" outlineLevel="0" collapsed="false">
      <c r="A2208" s="23" t="n">
        <v>46249.8243055556</v>
      </c>
      <c r="B2208" s="24" t="s">
        <v>1006</v>
      </c>
      <c r="C2208" s="24" t="s">
        <v>138</v>
      </c>
      <c r="D2208" s="24" t="s">
        <v>66</v>
      </c>
      <c r="E2208" s="24" t="n">
        <v>135</v>
      </c>
      <c r="F2208" s="25" t="n">
        <v>5000</v>
      </c>
      <c r="G2208" s="24" t="s">
        <v>59</v>
      </c>
      <c r="H2208" s="24" t="s">
        <v>55</v>
      </c>
      <c r="I2208" s="24" t="s">
        <v>61</v>
      </c>
      <c r="J2208" s="26" t="n">
        <f aca="false">IF(A2208="","",YEAR(A2208))</f>
        <v>2026</v>
      </c>
      <c r="K2208" s="26" t="n">
        <f aca="false">IF(A2208="","",MONTH(A2208))</f>
        <v>8</v>
      </c>
      <c r="L2208" s="26" t="n">
        <f aca="false">IF(B2208="","",VALUE(LEFT(B2208,2)))</f>
        <v>17</v>
      </c>
      <c r="M2208" s="26" t="n">
        <f aca="false">IF(A2208="","",IF(COUNTIFS($C$2:$C$5001,C2208,$J$2:$J$5001,J2208,$A$2:$A$5001,"&lt;"&amp;A2208)=0,1,0))</f>
        <v>0</v>
      </c>
    </row>
    <row r="2209" customFormat="false" ht="15" hidden="false" customHeight="false" outlineLevel="0" collapsed="false">
      <c r="A2209" s="23" t="n">
        <v>46249.8569444444</v>
      </c>
      <c r="B2209" s="24" t="s">
        <v>1008</v>
      </c>
      <c r="C2209" s="24" t="s">
        <v>602</v>
      </c>
      <c r="D2209" s="24" t="s">
        <v>88</v>
      </c>
      <c r="E2209" s="24" t="n">
        <v>112</v>
      </c>
      <c r="F2209" s="25" t="n">
        <v>6000</v>
      </c>
      <c r="G2209" s="24" t="s">
        <v>83</v>
      </c>
      <c r="H2209" s="24" t="s">
        <v>80</v>
      </c>
      <c r="I2209" s="24" t="s">
        <v>61</v>
      </c>
      <c r="J2209" s="26" t="n">
        <f aca="false">IF(A2209="","",YEAR(A2209))</f>
        <v>2026</v>
      </c>
      <c r="K2209" s="26" t="n">
        <f aca="false">IF(A2209="","",MONTH(A2209))</f>
        <v>8</v>
      </c>
      <c r="L2209" s="26" t="n">
        <f aca="false">IF(B2209="","",VALUE(LEFT(B2209,2)))</f>
        <v>18</v>
      </c>
      <c r="M2209" s="26" t="n">
        <f aca="false">IF(A2209="","",IF(COUNTIFS($C$2:$C$5001,C2209,$J$2:$J$5001,J2209,$A$2:$A$5001,"&lt;"&amp;A2209)=0,1,0))</f>
        <v>0</v>
      </c>
    </row>
    <row r="2210" customFormat="false" ht="15" hidden="false" customHeight="false" outlineLevel="0" collapsed="false">
      <c r="A2210" s="23" t="n">
        <v>46250.1034722222</v>
      </c>
      <c r="B2210" s="24" t="s">
        <v>385</v>
      </c>
      <c r="C2210" s="24" t="s">
        <v>442</v>
      </c>
      <c r="D2210" s="24" t="s">
        <v>66</v>
      </c>
      <c r="E2210" s="24" t="n">
        <v>363</v>
      </c>
      <c r="F2210" s="25" t="n">
        <v>11050</v>
      </c>
      <c r="G2210" s="24" t="s">
        <v>69</v>
      </c>
      <c r="H2210" s="24" t="s">
        <v>55</v>
      </c>
      <c r="I2210" s="24" t="s">
        <v>113</v>
      </c>
      <c r="J2210" s="26" t="n">
        <f aca="false">IF(A2210="","",YEAR(A2210))</f>
        <v>2026</v>
      </c>
      <c r="K2210" s="26" t="n">
        <f aca="false">IF(A2210="","",MONTH(A2210))</f>
        <v>8</v>
      </c>
      <c r="L2210" s="26" t="n">
        <f aca="false">IF(B2210="","",VALUE(LEFT(B2210,2)))</f>
        <v>20</v>
      </c>
      <c r="M2210" s="26" t="n">
        <f aca="false">IF(A2210="","",IF(COUNTIFS($C$2:$C$5001,C2210,$J$2:$J$5001,J2210,$A$2:$A$5001,"&lt;"&amp;A2210)=0,1,0))</f>
        <v>0</v>
      </c>
    </row>
    <row r="2211" customFormat="false" ht="15" hidden="false" customHeight="false" outlineLevel="0" collapsed="false">
      <c r="A2211" s="23" t="n">
        <v>46250.4423611111</v>
      </c>
      <c r="B2211" s="24" t="s">
        <v>426</v>
      </c>
      <c r="C2211" s="24" t="s">
        <v>312</v>
      </c>
      <c r="D2211" s="24" t="s">
        <v>88</v>
      </c>
      <c r="E2211" s="24" t="n">
        <v>200</v>
      </c>
      <c r="F2211" s="25" t="n">
        <v>10500</v>
      </c>
      <c r="G2211" s="24" t="s">
        <v>59</v>
      </c>
      <c r="H2211" s="24" t="s">
        <v>80</v>
      </c>
      <c r="I2211" s="24" t="s">
        <v>61</v>
      </c>
      <c r="J2211" s="26" t="n">
        <f aca="false">IF(A2211="","",YEAR(A2211))</f>
        <v>2026</v>
      </c>
      <c r="K2211" s="26" t="n">
        <f aca="false">IF(A2211="","",MONTH(A2211))</f>
        <v>8</v>
      </c>
      <c r="L2211" s="26" t="n">
        <f aca="false">IF(B2211="","",VALUE(LEFT(B2211,2)))</f>
        <v>7</v>
      </c>
      <c r="M2211" s="26" t="n">
        <f aca="false">IF(A2211="","",IF(COUNTIFS($C$2:$C$5001,C2211,$J$2:$J$5001,J2211,$A$2:$A$5001,"&lt;"&amp;A2211)=0,1,0))</f>
        <v>0</v>
      </c>
    </row>
    <row r="2212" customFormat="false" ht="15" hidden="false" customHeight="false" outlineLevel="0" collapsed="false">
      <c r="A2212" s="23" t="n">
        <v>46250.7743055556</v>
      </c>
      <c r="B2212" s="24" t="s">
        <v>1032</v>
      </c>
      <c r="C2212" s="24" t="s">
        <v>876</v>
      </c>
      <c r="D2212" s="24" t="s">
        <v>66</v>
      </c>
      <c r="E2212" s="24" t="n">
        <v>30</v>
      </c>
      <c r="F2212" s="25" t="n">
        <v>0</v>
      </c>
      <c r="G2212" s="24" t="s">
        <v>59</v>
      </c>
      <c r="H2212" s="24" t="s">
        <v>80</v>
      </c>
      <c r="I2212" s="24" t="s">
        <v>56</v>
      </c>
      <c r="J2212" s="26" t="n">
        <f aca="false">IF(A2212="","",YEAR(A2212))</f>
        <v>2026</v>
      </c>
      <c r="K2212" s="26" t="n">
        <f aca="false">IF(A2212="","",MONTH(A2212))</f>
        <v>8</v>
      </c>
      <c r="L2212" s="26" t="n">
        <f aca="false">IF(B2212="","",VALUE(LEFT(B2212,2)))</f>
        <v>18</v>
      </c>
      <c r="M2212" s="26" t="n">
        <f aca="false">IF(A2212="","",IF(COUNTIFS($C$2:$C$5001,C2212,$J$2:$J$5001,J2212,$A$2:$A$5001,"&lt;"&amp;A2212)=0,1,0))</f>
        <v>0</v>
      </c>
    </row>
    <row r="2213" customFormat="false" ht="15" hidden="false" customHeight="false" outlineLevel="0" collapsed="false">
      <c r="A2213" s="23" t="n">
        <v>46250.8361111111</v>
      </c>
      <c r="B2213" s="24" t="s">
        <v>590</v>
      </c>
      <c r="C2213" s="24" t="s">
        <v>182</v>
      </c>
      <c r="D2213" s="24" t="s">
        <v>66</v>
      </c>
      <c r="E2213" s="24" t="n">
        <v>356</v>
      </c>
      <c r="F2213" s="25" t="n">
        <v>12000</v>
      </c>
      <c r="G2213" s="24" t="s">
        <v>69</v>
      </c>
      <c r="H2213" s="24" t="s">
        <v>80</v>
      </c>
      <c r="I2213" s="24" t="s">
        <v>61</v>
      </c>
      <c r="J2213" s="26" t="n">
        <f aca="false">IF(A2213="","",YEAR(A2213))</f>
        <v>2026</v>
      </c>
      <c r="K2213" s="26" t="n">
        <f aca="false">IF(A2213="","",MONTH(A2213))</f>
        <v>8</v>
      </c>
      <c r="L2213" s="26" t="n">
        <f aca="false">IF(B2213="","",VALUE(LEFT(B2213,2)))</f>
        <v>14</v>
      </c>
      <c r="M2213" s="26" t="n">
        <f aca="false">IF(A2213="","",IF(COUNTIFS($C$2:$C$5001,C2213,$J$2:$J$5001,J2213,$A$2:$A$5001,"&lt;"&amp;A2213)=0,1,0))</f>
        <v>0</v>
      </c>
    </row>
    <row r="2214" customFormat="false" ht="15" hidden="false" customHeight="false" outlineLevel="0" collapsed="false">
      <c r="A2214" s="23" t="n">
        <v>46250.9701388889</v>
      </c>
      <c r="B2214" s="24" t="s">
        <v>1033</v>
      </c>
      <c r="C2214" s="24" t="s">
        <v>508</v>
      </c>
      <c r="D2214" s="24" t="s">
        <v>66</v>
      </c>
      <c r="E2214" s="24" t="n">
        <v>370</v>
      </c>
      <c r="F2214" s="25" t="n">
        <v>13000</v>
      </c>
      <c r="G2214" s="24" t="s">
        <v>59</v>
      </c>
      <c r="H2214" s="24" t="s">
        <v>80</v>
      </c>
      <c r="I2214" s="24" t="s">
        <v>61</v>
      </c>
      <c r="J2214" s="26" t="n">
        <f aca="false">IF(A2214="","",YEAR(A2214))</f>
        <v>2026</v>
      </c>
      <c r="K2214" s="26" t="n">
        <f aca="false">IF(A2214="","",MONTH(A2214))</f>
        <v>8</v>
      </c>
      <c r="L2214" s="26" t="n">
        <f aca="false">IF(B2214="","",VALUE(LEFT(B2214,2)))</f>
        <v>17</v>
      </c>
      <c r="M2214" s="26" t="n">
        <f aca="false">IF(A2214="","",IF(COUNTIFS($C$2:$C$5001,C2214,$J$2:$J$5001,J2214,$A$2:$A$5001,"&lt;"&amp;A2214)=0,1,0))</f>
        <v>0</v>
      </c>
    </row>
    <row r="2215" customFormat="false" ht="15" hidden="false" customHeight="false" outlineLevel="0" collapsed="false">
      <c r="A2215" s="23" t="n">
        <v>46251.3590277778</v>
      </c>
      <c r="B2215" s="24" t="s">
        <v>529</v>
      </c>
      <c r="C2215" s="24" t="s">
        <v>160</v>
      </c>
      <c r="D2215" s="24" t="s">
        <v>66</v>
      </c>
      <c r="E2215" s="24" t="n">
        <v>93</v>
      </c>
      <c r="F2215" s="25" t="n">
        <v>4000</v>
      </c>
      <c r="G2215" s="24" t="s">
        <v>59</v>
      </c>
      <c r="H2215" s="24" t="s">
        <v>55</v>
      </c>
      <c r="I2215" s="24" t="s">
        <v>61</v>
      </c>
      <c r="J2215" s="26" t="n">
        <f aca="false">IF(A2215="","",YEAR(A2215))</f>
        <v>2026</v>
      </c>
      <c r="K2215" s="26" t="n">
        <f aca="false">IF(A2215="","",MONTH(A2215))</f>
        <v>8</v>
      </c>
      <c r="L2215" s="26" t="n">
        <f aca="false">IF(B2215="","",VALUE(LEFT(B2215,2)))</f>
        <v>7</v>
      </c>
      <c r="M2215" s="26" t="n">
        <f aca="false">IF(A2215="","",IF(COUNTIFS($C$2:$C$5001,C2215,$J$2:$J$5001,J2215,$A$2:$A$5001,"&lt;"&amp;A2215)=0,1,0))</f>
        <v>0</v>
      </c>
    </row>
    <row r="2216" customFormat="false" ht="15" hidden="false" customHeight="false" outlineLevel="0" collapsed="false">
      <c r="A2216" s="23" t="n">
        <v>46251.4534722222</v>
      </c>
      <c r="B2216" s="24" t="s">
        <v>331</v>
      </c>
      <c r="C2216" s="24" t="s">
        <v>578</v>
      </c>
      <c r="D2216" s="24" t="s">
        <v>66</v>
      </c>
      <c r="E2216" s="24" t="n">
        <v>180</v>
      </c>
      <c r="F2216" s="25" t="n">
        <v>6000</v>
      </c>
      <c r="G2216" s="24" t="s">
        <v>69</v>
      </c>
      <c r="H2216" s="24" t="s">
        <v>80</v>
      </c>
      <c r="I2216" s="24" t="s">
        <v>61</v>
      </c>
      <c r="J2216" s="26" t="n">
        <f aca="false">IF(A2216="","",YEAR(A2216))</f>
        <v>2026</v>
      </c>
      <c r="K2216" s="26" t="n">
        <f aca="false">IF(A2216="","",MONTH(A2216))</f>
        <v>8</v>
      </c>
      <c r="L2216" s="26" t="n">
        <f aca="false">IF(B2216="","",VALUE(LEFT(B2216,2)))</f>
        <v>7</v>
      </c>
      <c r="M2216" s="26" t="n">
        <f aca="false">IF(A2216="","",IF(COUNTIFS($C$2:$C$5001,C2216,$J$2:$J$5001,J2216,$A$2:$A$5001,"&lt;"&amp;A2216)=0,1,0))</f>
        <v>0</v>
      </c>
    </row>
    <row r="2217" customFormat="false" ht="15" hidden="false" customHeight="false" outlineLevel="0" collapsed="false">
      <c r="A2217" s="23" t="n">
        <v>46251.4743055556</v>
      </c>
      <c r="B2217" s="24" t="s">
        <v>115</v>
      </c>
      <c r="C2217" s="24" t="s">
        <v>312</v>
      </c>
      <c r="D2217" s="24" t="s">
        <v>66</v>
      </c>
      <c r="E2217" s="24" t="n">
        <v>294</v>
      </c>
      <c r="F2217" s="25" t="n">
        <v>10000</v>
      </c>
      <c r="G2217" s="24" t="s">
        <v>54</v>
      </c>
      <c r="H2217" s="24" t="s">
        <v>55</v>
      </c>
      <c r="I2217" s="24" t="s">
        <v>61</v>
      </c>
      <c r="J2217" s="26" t="n">
        <f aca="false">IF(A2217="","",YEAR(A2217))</f>
        <v>2026</v>
      </c>
      <c r="K2217" s="26" t="n">
        <f aca="false">IF(A2217="","",MONTH(A2217))</f>
        <v>8</v>
      </c>
      <c r="L2217" s="26" t="n">
        <f aca="false">IF(B2217="","",VALUE(LEFT(B2217,2)))</f>
        <v>6</v>
      </c>
      <c r="M2217" s="26" t="n">
        <f aca="false">IF(A2217="","",IF(COUNTIFS($C$2:$C$5001,C2217,$J$2:$J$5001,J2217,$A$2:$A$5001,"&lt;"&amp;A2217)=0,1,0))</f>
        <v>0</v>
      </c>
    </row>
    <row r="2218" customFormat="false" ht="15" hidden="false" customHeight="false" outlineLevel="0" collapsed="false">
      <c r="A2218" s="23" t="n">
        <v>46252.0645833333</v>
      </c>
      <c r="B2218" s="24" t="s">
        <v>973</v>
      </c>
      <c r="C2218" s="24" t="s">
        <v>108</v>
      </c>
      <c r="D2218" s="24" t="s">
        <v>88</v>
      </c>
      <c r="E2218" s="24" t="n">
        <v>409</v>
      </c>
      <c r="F2218" s="25" t="n">
        <v>21000</v>
      </c>
      <c r="G2218" s="24" t="s">
        <v>79</v>
      </c>
      <c r="H2218" s="24" t="s">
        <v>55</v>
      </c>
      <c r="I2218" s="24" t="s">
        <v>61</v>
      </c>
      <c r="J2218" s="26" t="n">
        <f aca="false">IF(A2218="","",YEAR(A2218))</f>
        <v>2026</v>
      </c>
      <c r="K2218" s="26" t="n">
        <f aca="false">IF(A2218="","",MONTH(A2218))</f>
        <v>8</v>
      </c>
      <c r="L2218" s="26" t="n">
        <f aca="false">IF(B2218="","",VALUE(LEFT(B2218,2)))</f>
        <v>18</v>
      </c>
      <c r="M2218" s="26" t="n">
        <f aca="false">IF(A2218="","",IF(COUNTIFS($C$2:$C$5001,C2218,$J$2:$J$5001,J2218,$A$2:$A$5001,"&lt;"&amp;A2218)=0,1,0))</f>
        <v>0</v>
      </c>
    </row>
    <row r="2219" customFormat="false" ht="15" hidden="false" customHeight="false" outlineLevel="0" collapsed="false">
      <c r="A2219" s="23" t="n">
        <v>46252.6673611111</v>
      </c>
      <c r="B2219" s="24" t="s">
        <v>596</v>
      </c>
      <c r="C2219" s="24" t="s">
        <v>398</v>
      </c>
      <c r="D2219" s="24" t="s">
        <v>66</v>
      </c>
      <c r="E2219" s="24" t="n">
        <v>32</v>
      </c>
      <c r="F2219" s="25" t="n">
        <v>0</v>
      </c>
      <c r="G2219" s="24" t="s">
        <v>59</v>
      </c>
      <c r="H2219" s="24" t="s">
        <v>60</v>
      </c>
      <c r="I2219" s="24" t="s">
        <v>56</v>
      </c>
      <c r="J2219" s="26" t="n">
        <f aca="false">IF(A2219="","",YEAR(A2219))</f>
        <v>2026</v>
      </c>
      <c r="K2219" s="26" t="n">
        <f aca="false">IF(A2219="","",MONTH(A2219))</f>
        <v>8</v>
      </c>
      <c r="L2219" s="26" t="n">
        <f aca="false">IF(B2219="","",VALUE(LEFT(B2219,2)))</f>
        <v>15</v>
      </c>
      <c r="M2219" s="26" t="n">
        <f aca="false">IF(A2219="","",IF(COUNTIFS($C$2:$C$5001,C2219,$J$2:$J$5001,J2219,$A$2:$A$5001,"&lt;"&amp;A2219)=0,1,0))</f>
        <v>0</v>
      </c>
    </row>
    <row r="2220" customFormat="false" ht="15" hidden="false" customHeight="false" outlineLevel="0" collapsed="false">
      <c r="A2220" s="23" t="n">
        <v>46252.8708333333</v>
      </c>
      <c r="B2220" s="24" t="s">
        <v>871</v>
      </c>
      <c r="C2220" s="24" t="s">
        <v>544</v>
      </c>
      <c r="D2220" s="24" t="s">
        <v>53</v>
      </c>
      <c r="E2220" s="24" t="n">
        <v>236</v>
      </c>
      <c r="F2220" s="25" t="n">
        <v>4000</v>
      </c>
      <c r="G2220" s="24" t="s">
        <v>59</v>
      </c>
      <c r="H2220" s="24" t="s">
        <v>60</v>
      </c>
      <c r="I2220" s="24" t="s">
        <v>61</v>
      </c>
      <c r="J2220" s="26" t="n">
        <f aca="false">IF(A2220="","",YEAR(A2220))</f>
        <v>2026</v>
      </c>
      <c r="K2220" s="26" t="n">
        <f aca="false">IF(A2220="","",MONTH(A2220))</f>
        <v>8</v>
      </c>
      <c r="L2220" s="26" t="n">
        <f aca="false">IF(B2220="","",VALUE(LEFT(B2220,2)))</f>
        <v>16</v>
      </c>
      <c r="M2220" s="26" t="n">
        <f aca="false">IF(A2220="","",IF(COUNTIFS($C$2:$C$5001,C2220,$J$2:$J$5001,J2220,$A$2:$A$5001,"&lt;"&amp;A2220)=0,1,0))</f>
        <v>1</v>
      </c>
    </row>
    <row r="2221" customFormat="false" ht="15" hidden="false" customHeight="false" outlineLevel="0" collapsed="false">
      <c r="A2221" s="23" t="n">
        <v>46252.9520833333</v>
      </c>
      <c r="B2221" s="24" t="s">
        <v>1015</v>
      </c>
      <c r="C2221" s="24" t="s">
        <v>129</v>
      </c>
      <c r="D2221" s="24" t="s">
        <v>53</v>
      </c>
      <c r="E2221" s="24" t="n">
        <v>392</v>
      </c>
      <c r="F2221" s="25" t="n">
        <v>7000</v>
      </c>
      <c r="G2221" s="24" t="s">
        <v>59</v>
      </c>
      <c r="H2221" s="24" t="s">
        <v>55</v>
      </c>
      <c r="I2221" s="24" t="s">
        <v>61</v>
      </c>
      <c r="J2221" s="26" t="n">
        <f aca="false">IF(A2221="","",YEAR(A2221))</f>
        <v>2026</v>
      </c>
      <c r="K2221" s="26" t="n">
        <f aca="false">IF(A2221="","",MONTH(A2221))</f>
        <v>8</v>
      </c>
      <c r="L2221" s="26" t="n">
        <f aca="false">IF(B2221="","",VALUE(LEFT(B2221,2)))</f>
        <v>16</v>
      </c>
      <c r="M2221" s="26" t="n">
        <f aca="false">IF(A2221="","",IF(COUNTIFS($C$2:$C$5001,C2221,$J$2:$J$5001,J2221,$A$2:$A$5001,"&lt;"&amp;A2221)=0,1,0))</f>
        <v>0</v>
      </c>
    </row>
    <row r="2222" customFormat="false" ht="15" hidden="false" customHeight="false" outlineLevel="0" collapsed="false">
      <c r="A2222" s="23" t="n">
        <v>46252.9680555556</v>
      </c>
      <c r="B2222" s="24" t="s">
        <v>399</v>
      </c>
      <c r="C2222" s="24" t="s">
        <v>174</v>
      </c>
      <c r="D2222" s="24" t="s">
        <v>66</v>
      </c>
      <c r="E2222" s="24" t="n">
        <v>159</v>
      </c>
      <c r="F2222" s="25" t="n">
        <v>6000</v>
      </c>
      <c r="G2222" s="24" t="s">
        <v>59</v>
      </c>
      <c r="H2222" s="24" t="s">
        <v>80</v>
      </c>
      <c r="I2222" s="24" t="s">
        <v>61</v>
      </c>
      <c r="J2222" s="26" t="n">
        <f aca="false">IF(A2222="","",YEAR(A2222))</f>
        <v>2026</v>
      </c>
      <c r="K2222" s="26" t="n">
        <f aca="false">IF(A2222="","",MONTH(A2222))</f>
        <v>8</v>
      </c>
      <c r="L2222" s="26" t="n">
        <f aca="false">IF(B2222="","",VALUE(LEFT(B2222,2)))</f>
        <v>20</v>
      </c>
      <c r="M2222" s="26" t="n">
        <f aca="false">IF(A2222="","",IF(COUNTIFS($C$2:$C$5001,C2222,$J$2:$J$5001,J2222,$A$2:$A$5001,"&lt;"&amp;A2222)=0,1,0))</f>
        <v>0</v>
      </c>
    </row>
    <row r="2223" customFormat="false" ht="15" hidden="false" customHeight="false" outlineLevel="0" collapsed="false">
      <c r="A2223" s="23" t="n">
        <v>46253.3506944445</v>
      </c>
      <c r="B2223" s="24" t="s">
        <v>807</v>
      </c>
      <c r="C2223" s="24" t="s">
        <v>199</v>
      </c>
      <c r="D2223" s="24" t="s">
        <v>66</v>
      </c>
      <c r="E2223" s="24" t="n">
        <v>38</v>
      </c>
      <c r="F2223" s="25" t="n">
        <v>2000</v>
      </c>
      <c r="G2223" s="24" t="s">
        <v>59</v>
      </c>
      <c r="H2223" s="24" t="s">
        <v>80</v>
      </c>
      <c r="I2223" s="24" t="s">
        <v>61</v>
      </c>
      <c r="J2223" s="26" t="n">
        <f aca="false">IF(A2223="","",YEAR(A2223))</f>
        <v>2026</v>
      </c>
      <c r="K2223" s="26" t="n">
        <f aca="false">IF(A2223="","",MONTH(A2223))</f>
        <v>8</v>
      </c>
      <c r="L2223" s="26" t="n">
        <f aca="false">IF(B2223="","",VALUE(LEFT(B2223,2)))</f>
        <v>7</v>
      </c>
      <c r="M2223" s="26" t="n">
        <f aca="false">IF(A2223="","",IF(COUNTIFS($C$2:$C$5001,C2223,$J$2:$J$5001,J2223,$A$2:$A$5001,"&lt;"&amp;A2223)=0,1,0))</f>
        <v>0</v>
      </c>
    </row>
    <row r="2224" customFormat="false" ht="15" hidden="false" customHeight="false" outlineLevel="0" collapsed="false">
      <c r="A2224" s="23" t="n">
        <v>46253.4111111111</v>
      </c>
      <c r="B2224" s="24" t="s">
        <v>773</v>
      </c>
      <c r="C2224" s="24" t="s">
        <v>357</v>
      </c>
      <c r="D2224" s="24" t="s">
        <v>72</v>
      </c>
      <c r="E2224" s="24" t="n">
        <v>198</v>
      </c>
      <c r="F2224" s="25" t="n">
        <v>14000</v>
      </c>
      <c r="G2224" s="24" t="s">
        <v>59</v>
      </c>
      <c r="H2224" s="24" t="s">
        <v>60</v>
      </c>
      <c r="I2224" s="24" t="s">
        <v>61</v>
      </c>
      <c r="J2224" s="26" t="n">
        <f aca="false">IF(A2224="","",YEAR(A2224))</f>
        <v>2026</v>
      </c>
      <c r="K2224" s="26" t="n">
        <f aca="false">IF(A2224="","",MONTH(A2224))</f>
        <v>8</v>
      </c>
      <c r="L2224" s="26" t="n">
        <f aca="false">IF(B2224="","",VALUE(LEFT(B2224,2)))</f>
        <v>6</v>
      </c>
      <c r="M2224" s="26" t="n">
        <f aca="false">IF(A2224="","",IF(COUNTIFS($C$2:$C$5001,C2224,$J$2:$J$5001,J2224,$A$2:$A$5001,"&lt;"&amp;A2224)=0,1,0))</f>
        <v>0</v>
      </c>
    </row>
    <row r="2225" customFormat="false" ht="15" hidden="false" customHeight="false" outlineLevel="0" collapsed="false">
      <c r="A2225" s="23" t="n">
        <v>46253.4645833333</v>
      </c>
      <c r="B2225" s="24" t="s">
        <v>620</v>
      </c>
      <c r="C2225" s="24" t="s">
        <v>116</v>
      </c>
      <c r="D2225" s="24" t="s">
        <v>66</v>
      </c>
      <c r="E2225" s="24" t="n">
        <v>155</v>
      </c>
      <c r="F2225" s="25" t="n">
        <v>5100</v>
      </c>
      <c r="G2225" s="24" t="s">
        <v>69</v>
      </c>
      <c r="H2225" s="24" t="s">
        <v>80</v>
      </c>
      <c r="I2225" s="24" t="s">
        <v>113</v>
      </c>
      <c r="J2225" s="26" t="n">
        <f aca="false">IF(A2225="","",YEAR(A2225))</f>
        <v>2026</v>
      </c>
      <c r="K2225" s="26" t="n">
        <f aca="false">IF(A2225="","",MONTH(A2225))</f>
        <v>8</v>
      </c>
      <c r="L2225" s="26" t="n">
        <f aca="false">IF(B2225="","",VALUE(LEFT(B2225,2)))</f>
        <v>8</v>
      </c>
      <c r="M2225" s="26" t="n">
        <f aca="false">IF(A2225="","",IF(COUNTIFS($C$2:$C$5001,C2225,$J$2:$J$5001,J2225,$A$2:$A$5001,"&lt;"&amp;A2225)=0,1,0))</f>
        <v>0</v>
      </c>
    </row>
    <row r="2226" customFormat="false" ht="15" hidden="false" customHeight="false" outlineLevel="0" collapsed="false">
      <c r="A2226" s="23" t="n">
        <v>46253.5340277778</v>
      </c>
      <c r="B2226" s="24" t="s">
        <v>214</v>
      </c>
      <c r="C2226" s="24" t="s">
        <v>164</v>
      </c>
      <c r="D2226" s="24" t="s">
        <v>88</v>
      </c>
      <c r="E2226" s="24" t="n">
        <v>273</v>
      </c>
      <c r="F2226" s="25" t="n">
        <v>15000</v>
      </c>
      <c r="G2226" s="24" t="s">
        <v>59</v>
      </c>
      <c r="H2226" s="24" t="s">
        <v>80</v>
      </c>
      <c r="I2226" s="24" t="s">
        <v>61</v>
      </c>
      <c r="J2226" s="26" t="n">
        <f aca="false">IF(A2226="","",YEAR(A2226))</f>
        <v>2026</v>
      </c>
      <c r="K2226" s="26" t="n">
        <f aca="false">IF(A2226="","",MONTH(A2226))</f>
        <v>8</v>
      </c>
      <c r="L2226" s="26" t="n">
        <f aca="false">IF(B2226="","",VALUE(LEFT(B2226,2)))</f>
        <v>8</v>
      </c>
      <c r="M2226" s="26" t="n">
        <f aca="false">IF(A2226="","",IF(COUNTIFS($C$2:$C$5001,C2226,$J$2:$J$5001,J2226,$A$2:$A$5001,"&lt;"&amp;A2226)=0,1,0))</f>
        <v>0</v>
      </c>
    </row>
    <row r="2227" customFormat="false" ht="15" hidden="false" customHeight="false" outlineLevel="0" collapsed="false">
      <c r="A2227" s="23" t="n">
        <v>46253.6173611111</v>
      </c>
      <c r="B2227" s="24" t="s">
        <v>226</v>
      </c>
      <c r="C2227" s="24" t="s">
        <v>286</v>
      </c>
      <c r="D2227" s="24" t="s">
        <v>66</v>
      </c>
      <c r="E2227" s="24" t="n">
        <v>408</v>
      </c>
      <c r="F2227" s="25" t="n">
        <v>14000</v>
      </c>
      <c r="G2227" s="24" t="s">
        <v>83</v>
      </c>
      <c r="H2227" s="24" t="s">
        <v>55</v>
      </c>
      <c r="I2227" s="24" t="s">
        <v>61</v>
      </c>
      <c r="J2227" s="26" t="n">
        <f aca="false">IF(A2227="","",YEAR(A2227))</f>
        <v>2026</v>
      </c>
      <c r="K2227" s="26" t="n">
        <f aca="false">IF(A2227="","",MONTH(A2227))</f>
        <v>8</v>
      </c>
      <c r="L2227" s="26" t="n">
        <f aca="false">IF(B2227="","",VALUE(LEFT(B2227,2)))</f>
        <v>8</v>
      </c>
      <c r="M2227" s="26" t="n">
        <f aca="false">IF(A2227="","",IF(COUNTIFS($C$2:$C$5001,C2227,$J$2:$J$5001,J2227,$A$2:$A$5001,"&lt;"&amp;A2227)=0,1,0))</f>
        <v>0</v>
      </c>
    </row>
    <row r="2228" customFormat="false" ht="15" hidden="false" customHeight="false" outlineLevel="0" collapsed="false">
      <c r="A2228" s="23" t="n">
        <v>46253.7229166667</v>
      </c>
      <c r="B2228" s="24" t="s">
        <v>929</v>
      </c>
      <c r="C2228" s="24" t="s">
        <v>324</v>
      </c>
      <c r="D2228" s="24" t="s">
        <v>53</v>
      </c>
      <c r="E2228" s="24" t="n">
        <v>282</v>
      </c>
      <c r="F2228" s="25" t="n">
        <v>5000</v>
      </c>
      <c r="G2228" s="24" t="s">
        <v>59</v>
      </c>
      <c r="H2228" s="24" t="s">
        <v>60</v>
      </c>
      <c r="I2228" s="24" t="s">
        <v>61</v>
      </c>
      <c r="J2228" s="26" t="n">
        <f aca="false">IF(A2228="","",YEAR(A2228))</f>
        <v>2026</v>
      </c>
      <c r="K2228" s="26" t="n">
        <f aca="false">IF(A2228="","",MONTH(A2228))</f>
        <v>8</v>
      </c>
      <c r="L2228" s="26" t="n">
        <f aca="false">IF(B2228="","",VALUE(LEFT(B2228,2)))</f>
        <v>12</v>
      </c>
      <c r="M2228" s="26" t="n">
        <f aca="false">IF(A2228="","",IF(COUNTIFS($C$2:$C$5001,C2228,$J$2:$J$5001,J2228,$A$2:$A$5001,"&lt;"&amp;A2228)=0,1,0))</f>
        <v>0</v>
      </c>
    </row>
    <row r="2229" customFormat="false" ht="15" hidden="false" customHeight="false" outlineLevel="0" collapsed="false">
      <c r="A2229" s="23" t="n">
        <v>46253.7916666667</v>
      </c>
      <c r="B2229" s="24" t="s">
        <v>372</v>
      </c>
      <c r="C2229" s="24" t="s">
        <v>224</v>
      </c>
      <c r="D2229" s="24" t="s">
        <v>53</v>
      </c>
      <c r="E2229" s="24" t="n">
        <v>20</v>
      </c>
      <c r="F2229" s="25" t="n">
        <v>500</v>
      </c>
      <c r="G2229" s="24" t="s">
        <v>69</v>
      </c>
      <c r="H2229" s="24" t="s">
        <v>55</v>
      </c>
      <c r="I2229" s="24" t="s">
        <v>61</v>
      </c>
      <c r="J2229" s="26" t="n">
        <f aca="false">IF(A2229="","",YEAR(A2229))</f>
        <v>2026</v>
      </c>
      <c r="K2229" s="26" t="n">
        <f aca="false">IF(A2229="","",MONTH(A2229))</f>
        <v>8</v>
      </c>
      <c r="L2229" s="26" t="n">
        <f aca="false">IF(B2229="","",VALUE(LEFT(B2229,2)))</f>
        <v>18</v>
      </c>
      <c r="M2229" s="26" t="n">
        <f aca="false">IF(A2229="","",IF(COUNTIFS($C$2:$C$5001,C2229,$J$2:$J$5001,J2229,$A$2:$A$5001,"&lt;"&amp;A2229)=0,1,0))</f>
        <v>0</v>
      </c>
    </row>
    <row r="2230" customFormat="false" ht="15" hidden="false" customHeight="false" outlineLevel="0" collapsed="false">
      <c r="A2230" s="23" t="n">
        <v>46253.8361111111</v>
      </c>
      <c r="B2230" s="24" t="s">
        <v>1034</v>
      </c>
      <c r="C2230" s="24" t="s">
        <v>152</v>
      </c>
      <c r="D2230" s="24" t="s">
        <v>66</v>
      </c>
      <c r="E2230" s="24" t="n">
        <v>197</v>
      </c>
      <c r="F2230" s="25" t="n">
        <v>0</v>
      </c>
      <c r="G2230" s="24" t="s">
        <v>59</v>
      </c>
      <c r="H2230" s="24" t="s">
        <v>55</v>
      </c>
      <c r="I2230" s="24" t="s">
        <v>56</v>
      </c>
      <c r="J2230" s="26" t="n">
        <f aca="false">IF(A2230="","",YEAR(A2230))</f>
        <v>2026</v>
      </c>
      <c r="K2230" s="26" t="n">
        <f aca="false">IF(A2230="","",MONTH(A2230))</f>
        <v>8</v>
      </c>
      <c r="L2230" s="26" t="n">
        <f aca="false">IF(B2230="","",VALUE(LEFT(B2230,2)))</f>
        <v>16</v>
      </c>
      <c r="M2230" s="26" t="n">
        <f aca="false">IF(A2230="","",IF(COUNTIFS($C$2:$C$5001,C2230,$J$2:$J$5001,J2230,$A$2:$A$5001,"&lt;"&amp;A2230)=0,1,0))</f>
        <v>0</v>
      </c>
    </row>
    <row r="2231" customFormat="false" ht="15" hidden="false" customHeight="false" outlineLevel="0" collapsed="false">
      <c r="A2231" s="23" t="n">
        <v>46254.4756944445</v>
      </c>
      <c r="B2231" s="24" t="s">
        <v>906</v>
      </c>
      <c r="C2231" s="24" t="s">
        <v>222</v>
      </c>
      <c r="D2231" s="24" t="s">
        <v>88</v>
      </c>
      <c r="E2231" s="24" t="n">
        <v>277</v>
      </c>
      <c r="F2231" s="25" t="n">
        <v>15000</v>
      </c>
      <c r="G2231" s="24" t="s">
        <v>59</v>
      </c>
      <c r="H2231" s="24" t="s">
        <v>55</v>
      </c>
      <c r="I2231" s="24" t="s">
        <v>61</v>
      </c>
      <c r="J2231" s="26" t="n">
        <f aca="false">IF(A2231="","",YEAR(A2231))</f>
        <v>2026</v>
      </c>
      <c r="K2231" s="26" t="n">
        <f aca="false">IF(A2231="","",MONTH(A2231))</f>
        <v>8</v>
      </c>
      <c r="L2231" s="26" t="n">
        <f aca="false">IF(B2231="","",VALUE(LEFT(B2231,2)))</f>
        <v>6</v>
      </c>
      <c r="M2231" s="26" t="n">
        <f aca="false">IF(A2231="","",IF(COUNTIFS($C$2:$C$5001,C2231,$J$2:$J$5001,J2231,$A$2:$A$5001,"&lt;"&amp;A2231)=0,1,0))</f>
        <v>0</v>
      </c>
    </row>
    <row r="2232" customFormat="false" ht="15" hidden="false" customHeight="false" outlineLevel="0" collapsed="false">
      <c r="A2232" s="23" t="n">
        <v>46254.7541666667</v>
      </c>
      <c r="B2232" s="24" t="s">
        <v>811</v>
      </c>
      <c r="C2232" s="24" t="s">
        <v>108</v>
      </c>
      <c r="D2232" s="24" t="s">
        <v>72</v>
      </c>
      <c r="E2232" s="24" t="n">
        <v>369</v>
      </c>
      <c r="F2232" s="25" t="n">
        <v>26000</v>
      </c>
      <c r="G2232" s="24" t="s">
        <v>59</v>
      </c>
      <c r="H2232" s="24" t="s">
        <v>55</v>
      </c>
      <c r="I2232" s="24" t="s">
        <v>61</v>
      </c>
      <c r="J2232" s="26" t="n">
        <f aca="false">IF(A2232="","",YEAR(A2232))</f>
        <v>2026</v>
      </c>
      <c r="K2232" s="26" t="n">
        <f aca="false">IF(A2232="","",MONTH(A2232))</f>
        <v>8</v>
      </c>
      <c r="L2232" s="26" t="n">
        <f aca="false">IF(B2232="","",VALUE(LEFT(B2232,2)))</f>
        <v>11</v>
      </c>
      <c r="M2232" s="26" t="n">
        <f aca="false">IF(A2232="","",IF(COUNTIFS($C$2:$C$5001,C2232,$J$2:$J$5001,J2232,$A$2:$A$5001,"&lt;"&amp;A2232)=0,1,0))</f>
        <v>0</v>
      </c>
    </row>
    <row r="2233" customFormat="false" ht="15" hidden="false" customHeight="false" outlineLevel="0" collapsed="false">
      <c r="A2233" s="23" t="n">
        <v>46254.9513888889</v>
      </c>
      <c r="B2233" s="24" t="s">
        <v>471</v>
      </c>
      <c r="C2233" s="24" t="s">
        <v>92</v>
      </c>
      <c r="D2233" s="24" t="s">
        <v>127</v>
      </c>
      <c r="E2233" s="24" t="n">
        <v>419</v>
      </c>
      <c r="F2233" s="25" t="n">
        <v>24500</v>
      </c>
      <c r="G2233" s="24" t="s">
        <v>69</v>
      </c>
      <c r="H2233" s="24" t="s">
        <v>60</v>
      </c>
      <c r="I2233" s="24" t="s">
        <v>61</v>
      </c>
      <c r="J2233" s="26" t="n">
        <f aca="false">IF(A2233="","",YEAR(A2233))</f>
        <v>2026</v>
      </c>
      <c r="K2233" s="26" t="n">
        <f aca="false">IF(A2233="","",MONTH(A2233))</f>
        <v>8</v>
      </c>
      <c r="L2233" s="26" t="n">
        <f aca="false">IF(B2233="","",VALUE(LEFT(B2233,2)))</f>
        <v>15</v>
      </c>
      <c r="M2233" s="26" t="n">
        <f aca="false">IF(A2233="","",IF(COUNTIFS($C$2:$C$5001,C2233,$J$2:$J$5001,J2233,$A$2:$A$5001,"&lt;"&amp;A2233)=0,1,0))</f>
        <v>0</v>
      </c>
    </row>
    <row r="2234" customFormat="false" ht="15" hidden="false" customHeight="false" outlineLevel="0" collapsed="false">
      <c r="A2234" s="23" t="n">
        <v>46254.96875</v>
      </c>
      <c r="B2234" s="24" t="s">
        <v>1035</v>
      </c>
      <c r="C2234" s="24" t="s">
        <v>94</v>
      </c>
      <c r="D2234" s="24" t="s">
        <v>53</v>
      </c>
      <c r="E2234" s="24" t="n">
        <v>259</v>
      </c>
      <c r="F2234" s="25" t="n">
        <v>4500</v>
      </c>
      <c r="G2234" s="24" t="s">
        <v>69</v>
      </c>
      <c r="H2234" s="24" t="s">
        <v>80</v>
      </c>
      <c r="I2234" s="24" t="s">
        <v>61</v>
      </c>
      <c r="J2234" s="26" t="n">
        <f aca="false">IF(A2234="","",YEAR(A2234))</f>
        <v>2026</v>
      </c>
      <c r="K2234" s="26" t="n">
        <f aca="false">IF(A2234="","",MONTH(A2234))</f>
        <v>8</v>
      </c>
      <c r="L2234" s="26" t="n">
        <f aca="false">IF(B2234="","",VALUE(LEFT(B2234,2)))</f>
        <v>18</v>
      </c>
      <c r="M2234" s="26" t="n">
        <f aca="false">IF(A2234="","",IF(COUNTIFS($C$2:$C$5001,C2234,$J$2:$J$5001,J2234,$A$2:$A$5001,"&lt;"&amp;A2234)=0,1,0))</f>
        <v>0</v>
      </c>
    </row>
    <row r="2235" customFormat="false" ht="15" hidden="false" customHeight="false" outlineLevel="0" collapsed="false">
      <c r="A2235" s="23" t="n">
        <v>46255.3479166667</v>
      </c>
      <c r="B2235" s="24" t="s">
        <v>89</v>
      </c>
      <c r="C2235" s="24" t="s">
        <v>123</v>
      </c>
      <c r="D2235" s="24" t="s">
        <v>53</v>
      </c>
      <c r="E2235" s="24" t="n">
        <v>73</v>
      </c>
      <c r="F2235" s="25" t="n">
        <v>1500</v>
      </c>
      <c r="G2235" s="24" t="s">
        <v>59</v>
      </c>
      <c r="H2235" s="24" t="s">
        <v>80</v>
      </c>
      <c r="I2235" s="24" t="s">
        <v>61</v>
      </c>
      <c r="J2235" s="26" t="n">
        <f aca="false">IF(A2235="","",YEAR(A2235))</f>
        <v>2026</v>
      </c>
      <c r="K2235" s="26" t="n">
        <f aca="false">IF(A2235="","",MONTH(A2235))</f>
        <v>8</v>
      </c>
      <c r="L2235" s="26" t="n">
        <f aca="false">IF(B2235="","",VALUE(LEFT(B2235,2)))</f>
        <v>7</v>
      </c>
      <c r="M2235" s="26" t="n">
        <f aca="false">IF(A2235="","",IF(COUNTIFS($C$2:$C$5001,C2235,$J$2:$J$5001,J2235,$A$2:$A$5001,"&lt;"&amp;A2235)=0,1,0))</f>
        <v>0</v>
      </c>
    </row>
    <row r="2236" customFormat="false" ht="15" hidden="false" customHeight="false" outlineLevel="0" collapsed="false">
      <c r="A2236" s="23" t="n">
        <v>46255.8909722222</v>
      </c>
      <c r="B2236" s="24" t="s">
        <v>814</v>
      </c>
      <c r="C2236" s="24" t="s">
        <v>143</v>
      </c>
      <c r="D2236" s="24" t="s">
        <v>53</v>
      </c>
      <c r="E2236" s="24" t="n">
        <v>175</v>
      </c>
      <c r="F2236" s="25" t="n">
        <v>3000</v>
      </c>
      <c r="G2236" s="24" t="s">
        <v>59</v>
      </c>
      <c r="H2236" s="24" t="s">
        <v>55</v>
      </c>
      <c r="I2236" s="24" t="s">
        <v>61</v>
      </c>
      <c r="J2236" s="26" t="n">
        <f aca="false">IF(A2236="","",YEAR(A2236))</f>
        <v>2026</v>
      </c>
      <c r="K2236" s="26" t="n">
        <f aca="false">IF(A2236="","",MONTH(A2236))</f>
        <v>8</v>
      </c>
      <c r="L2236" s="26" t="n">
        <f aca="false">IF(B2236="","",VALUE(LEFT(B2236,2)))</f>
        <v>18</v>
      </c>
      <c r="M2236" s="26" t="n">
        <f aca="false">IF(A2236="","",IF(COUNTIFS($C$2:$C$5001,C2236,$J$2:$J$5001,J2236,$A$2:$A$5001,"&lt;"&amp;A2236)=0,1,0))</f>
        <v>0</v>
      </c>
    </row>
    <row r="2237" customFormat="false" ht="15" hidden="false" customHeight="false" outlineLevel="0" collapsed="false">
      <c r="A2237" s="23" t="n">
        <v>46256.6923611111</v>
      </c>
      <c r="B2237" s="24" t="s">
        <v>866</v>
      </c>
      <c r="C2237" s="24" t="s">
        <v>235</v>
      </c>
      <c r="D2237" s="24" t="s">
        <v>53</v>
      </c>
      <c r="E2237" s="24" t="n">
        <v>330</v>
      </c>
      <c r="F2237" s="25" t="n">
        <v>5500</v>
      </c>
      <c r="G2237" s="24" t="s">
        <v>69</v>
      </c>
      <c r="H2237" s="24" t="s">
        <v>60</v>
      </c>
      <c r="I2237" s="24" t="s">
        <v>61</v>
      </c>
      <c r="J2237" s="26" t="n">
        <f aca="false">IF(A2237="","",YEAR(A2237))</f>
        <v>2026</v>
      </c>
      <c r="K2237" s="26" t="n">
        <f aca="false">IF(A2237="","",MONTH(A2237))</f>
        <v>8</v>
      </c>
      <c r="L2237" s="26" t="n">
        <f aca="false">IF(B2237="","",VALUE(LEFT(B2237,2)))</f>
        <v>11</v>
      </c>
      <c r="M2237" s="26" t="n">
        <f aca="false">IF(A2237="","",IF(COUNTIFS($C$2:$C$5001,C2237,$J$2:$J$5001,J2237,$A$2:$A$5001,"&lt;"&amp;A2237)=0,1,0))</f>
        <v>0</v>
      </c>
    </row>
    <row r="2238" customFormat="false" ht="15" hidden="false" customHeight="false" outlineLevel="0" collapsed="false">
      <c r="A2238" s="23" t="n">
        <v>46256.7888888889</v>
      </c>
      <c r="B2238" s="24" t="s">
        <v>983</v>
      </c>
      <c r="C2238" s="24" t="s">
        <v>52</v>
      </c>
      <c r="D2238" s="24" t="s">
        <v>66</v>
      </c>
      <c r="E2238" s="24" t="n">
        <v>205</v>
      </c>
      <c r="F2238" s="25" t="n">
        <v>5950</v>
      </c>
      <c r="G2238" s="24" t="s">
        <v>69</v>
      </c>
      <c r="H2238" s="24" t="s">
        <v>80</v>
      </c>
      <c r="I2238" s="24" t="s">
        <v>113</v>
      </c>
      <c r="J2238" s="26" t="n">
        <f aca="false">IF(A2238="","",YEAR(A2238))</f>
        <v>2026</v>
      </c>
      <c r="K2238" s="26" t="n">
        <f aca="false">IF(A2238="","",MONTH(A2238))</f>
        <v>8</v>
      </c>
      <c r="L2238" s="26" t="n">
        <f aca="false">IF(B2238="","",VALUE(LEFT(B2238,2)))</f>
        <v>15</v>
      </c>
      <c r="M2238" s="26" t="n">
        <f aca="false">IF(A2238="","",IF(COUNTIFS($C$2:$C$5001,C2238,$J$2:$J$5001,J2238,$A$2:$A$5001,"&lt;"&amp;A2238)=0,1,0))</f>
        <v>0</v>
      </c>
    </row>
    <row r="2239" customFormat="false" ht="15" hidden="false" customHeight="false" outlineLevel="0" collapsed="false">
      <c r="A2239" s="23" t="n">
        <v>46257.5916666667</v>
      </c>
      <c r="B2239" s="24" t="s">
        <v>180</v>
      </c>
      <c r="C2239" s="24" t="s">
        <v>108</v>
      </c>
      <c r="D2239" s="24" t="s">
        <v>66</v>
      </c>
      <c r="E2239" s="24" t="n">
        <v>312</v>
      </c>
      <c r="F2239" s="25" t="n">
        <v>11000</v>
      </c>
      <c r="G2239" s="24" t="s">
        <v>59</v>
      </c>
      <c r="H2239" s="24" t="s">
        <v>80</v>
      </c>
      <c r="I2239" s="24" t="s">
        <v>61</v>
      </c>
      <c r="J2239" s="26" t="n">
        <f aca="false">IF(A2239="","",YEAR(A2239))</f>
        <v>2026</v>
      </c>
      <c r="K2239" s="26" t="n">
        <f aca="false">IF(A2239="","",MONTH(A2239))</f>
        <v>8</v>
      </c>
      <c r="L2239" s="26" t="n">
        <f aca="false">IF(B2239="","",VALUE(LEFT(B2239,2)))</f>
        <v>9</v>
      </c>
      <c r="M2239" s="26" t="n">
        <f aca="false">IF(A2239="","",IF(COUNTIFS($C$2:$C$5001,C2239,$J$2:$J$5001,J2239,$A$2:$A$5001,"&lt;"&amp;A2239)=0,1,0))</f>
        <v>0</v>
      </c>
    </row>
    <row r="2240" customFormat="false" ht="15" hidden="false" customHeight="false" outlineLevel="0" collapsed="false">
      <c r="A2240" s="23" t="n">
        <v>46257.6881944445</v>
      </c>
      <c r="B2240" s="24" t="s">
        <v>444</v>
      </c>
      <c r="C2240" s="24" t="s">
        <v>92</v>
      </c>
      <c r="D2240" s="24" t="s">
        <v>53</v>
      </c>
      <c r="E2240" s="24" t="n">
        <v>209</v>
      </c>
      <c r="F2240" s="25" t="n">
        <v>3500</v>
      </c>
      <c r="G2240" s="24" t="s">
        <v>59</v>
      </c>
      <c r="H2240" s="24" t="s">
        <v>55</v>
      </c>
      <c r="I2240" s="24" t="s">
        <v>61</v>
      </c>
      <c r="J2240" s="26" t="n">
        <f aca="false">IF(A2240="","",YEAR(A2240))</f>
        <v>2026</v>
      </c>
      <c r="K2240" s="26" t="n">
        <f aca="false">IF(A2240="","",MONTH(A2240))</f>
        <v>8</v>
      </c>
      <c r="L2240" s="26" t="n">
        <f aca="false">IF(B2240="","",VALUE(LEFT(B2240,2)))</f>
        <v>13</v>
      </c>
      <c r="M2240" s="26" t="n">
        <f aca="false">IF(A2240="","",IF(COUNTIFS($C$2:$C$5001,C2240,$J$2:$J$5001,J2240,$A$2:$A$5001,"&lt;"&amp;A2240)=0,1,0))</f>
        <v>0</v>
      </c>
    </row>
    <row r="2241" customFormat="false" ht="15" hidden="false" customHeight="false" outlineLevel="0" collapsed="false">
      <c r="A2241" s="23" t="n">
        <v>46257.6902777778</v>
      </c>
      <c r="B2241" s="24" t="s">
        <v>890</v>
      </c>
      <c r="C2241" s="24" t="s">
        <v>143</v>
      </c>
      <c r="D2241" s="24" t="s">
        <v>53</v>
      </c>
      <c r="E2241" s="24" t="n">
        <v>326</v>
      </c>
      <c r="F2241" s="25" t="n">
        <v>5500</v>
      </c>
      <c r="G2241" s="24" t="s">
        <v>59</v>
      </c>
      <c r="H2241" s="24" t="s">
        <v>60</v>
      </c>
      <c r="I2241" s="24" t="s">
        <v>61</v>
      </c>
      <c r="J2241" s="26" t="n">
        <f aca="false">IF(A2241="","",YEAR(A2241))</f>
        <v>2026</v>
      </c>
      <c r="K2241" s="26" t="n">
        <f aca="false">IF(A2241="","",MONTH(A2241))</f>
        <v>8</v>
      </c>
      <c r="L2241" s="26" t="n">
        <f aca="false">IF(B2241="","",VALUE(LEFT(B2241,2)))</f>
        <v>11</v>
      </c>
      <c r="M2241" s="26" t="n">
        <f aca="false">IF(A2241="","",IF(COUNTIFS($C$2:$C$5001,C2241,$J$2:$J$5001,J2241,$A$2:$A$5001,"&lt;"&amp;A2241)=0,1,0))</f>
        <v>0</v>
      </c>
    </row>
    <row r="2242" customFormat="false" ht="15" hidden="false" customHeight="false" outlineLevel="0" collapsed="false">
      <c r="A2242" s="23" t="n">
        <v>46258.3583333333</v>
      </c>
      <c r="B2242" s="24" t="s">
        <v>363</v>
      </c>
      <c r="C2242" s="24" t="s">
        <v>470</v>
      </c>
      <c r="D2242" s="24" t="s">
        <v>66</v>
      </c>
      <c r="E2242" s="24" t="n">
        <v>24</v>
      </c>
      <c r="F2242" s="25" t="n">
        <v>0</v>
      </c>
      <c r="G2242" s="24" t="s">
        <v>69</v>
      </c>
      <c r="H2242" s="24" t="s">
        <v>80</v>
      </c>
      <c r="I2242" s="24" t="s">
        <v>56</v>
      </c>
      <c r="J2242" s="26" t="n">
        <f aca="false">IF(A2242="","",YEAR(A2242))</f>
        <v>2026</v>
      </c>
      <c r="K2242" s="26" t="n">
        <f aca="false">IF(A2242="","",MONTH(A2242))</f>
        <v>8</v>
      </c>
      <c r="L2242" s="26" t="n">
        <f aca="false">IF(B2242="","",VALUE(LEFT(B2242,2)))</f>
        <v>8</v>
      </c>
      <c r="M2242" s="26" t="n">
        <f aca="false">IF(A2242="","",IF(COUNTIFS($C$2:$C$5001,C2242,$J$2:$J$5001,J2242,$A$2:$A$5001,"&lt;"&amp;A2242)=0,1,0))</f>
        <v>1</v>
      </c>
    </row>
    <row r="2243" customFormat="false" ht="15" hidden="false" customHeight="false" outlineLevel="0" collapsed="false">
      <c r="A2243" s="23" t="n">
        <v>46258.6041666667</v>
      </c>
      <c r="B2243" s="24" t="s">
        <v>981</v>
      </c>
      <c r="C2243" s="24" t="s">
        <v>398</v>
      </c>
      <c r="D2243" s="24" t="s">
        <v>66</v>
      </c>
      <c r="E2243" s="24" t="n">
        <v>283</v>
      </c>
      <c r="F2243" s="25" t="n">
        <v>10000</v>
      </c>
      <c r="G2243" s="24" t="s">
        <v>69</v>
      </c>
      <c r="H2243" s="24" t="s">
        <v>60</v>
      </c>
      <c r="I2243" s="24" t="s">
        <v>61</v>
      </c>
      <c r="J2243" s="26" t="n">
        <f aca="false">IF(A2243="","",YEAR(A2243))</f>
        <v>2026</v>
      </c>
      <c r="K2243" s="26" t="n">
        <f aca="false">IF(A2243="","",MONTH(A2243))</f>
        <v>8</v>
      </c>
      <c r="L2243" s="26" t="n">
        <f aca="false">IF(B2243="","",VALUE(LEFT(B2243,2)))</f>
        <v>9</v>
      </c>
      <c r="M2243" s="26" t="n">
        <f aca="false">IF(A2243="","",IF(COUNTIFS($C$2:$C$5001,C2243,$J$2:$J$5001,J2243,$A$2:$A$5001,"&lt;"&amp;A2243)=0,1,0))</f>
        <v>0</v>
      </c>
    </row>
    <row r="2244" customFormat="false" ht="15" hidden="false" customHeight="false" outlineLevel="0" collapsed="false">
      <c r="A2244" s="23" t="n">
        <v>46258.8395833333</v>
      </c>
      <c r="B2244" s="24" t="s">
        <v>684</v>
      </c>
      <c r="C2244" s="24" t="s">
        <v>263</v>
      </c>
      <c r="D2244" s="24" t="s">
        <v>66</v>
      </c>
      <c r="E2244" s="24" t="n">
        <v>283</v>
      </c>
      <c r="F2244" s="25" t="n">
        <v>10000</v>
      </c>
      <c r="G2244" s="24" t="s">
        <v>59</v>
      </c>
      <c r="H2244" s="24" t="s">
        <v>80</v>
      </c>
      <c r="I2244" s="24" t="s">
        <v>61</v>
      </c>
      <c r="J2244" s="26" t="n">
        <f aca="false">IF(A2244="","",YEAR(A2244))</f>
        <v>2026</v>
      </c>
      <c r="K2244" s="26" t="n">
        <f aca="false">IF(A2244="","",MONTH(A2244))</f>
        <v>8</v>
      </c>
      <c r="L2244" s="26" t="n">
        <f aca="false">IF(B2244="","",VALUE(LEFT(B2244,2)))</f>
        <v>15</v>
      </c>
      <c r="M2244" s="26" t="n">
        <f aca="false">IF(A2244="","",IF(COUNTIFS($C$2:$C$5001,C2244,$J$2:$J$5001,J2244,$A$2:$A$5001,"&lt;"&amp;A2244)=0,1,0))</f>
        <v>0</v>
      </c>
    </row>
    <row r="2245" customFormat="false" ht="15" hidden="false" customHeight="false" outlineLevel="0" collapsed="false">
      <c r="A2245" s="23" t="n">
        <v>46259.3229166667</v>
      </c>
      <c r="B2245" s="24" t="s">
        <v>161</v>
      </c>
      <c r="C2245" s="24" t="s">
        <v>224</v>
      </c>
      <c r="D2245" s="24" t="s">
        <v>66</v>
      </c>
      <c r="E2245" s="24" t="n">
        <v>39</v>
      </c>
      <c r="F2245" s="25" t="n">
        <v>2000</v>
      </c>
      <c r="G2245" s="24" t="s">
        <v>59</v>
      </c>
      <c r="H2245" s="24" t="s">
        <v>80</v>
      </c>
      <c r="I2245" s="24" t="s">
        <v>61</v>
      </c>
      <c r="J2245" s="26" t="n">
        <f aca="false">IF(A2245="","",YEAR(A2245))</f>
        <v>2026</v>
      </c>
      <c r="K2245" s="26" t="n">
        <f aca="false">IF(A2245="","",MONTH(A2245))</f>
        <v>8</v>
      </c>
      <c r="L2245" s="26" t="n">
        <f aca="false">IF(B2245="","",VALUE(LEFT(B2245,2)))</f>
        <v>7</v>
      </c>
      <c r="M2245" s="26" t="n">
        <f aca="false">IF(A2245="","",IF(COUNTIFS($C$2:$C$5001,C2245,$J$2:$J$5001,J2245,$A$2:$A$5001,"&lt;"&amp;A2245)=0,1,0))</f>
        <v>0</v>
      </c>
    </row>
    <row r="2246" customFormat="false" ht="15" hidden="false" customHeight="false" outlineLevel="0" collapsed="false">
      <c r="A2246" s="23" t="n">
        <v>46259.5256944444</v>
      </c>
      <c r="B2246" s="24" t="s">
        <v>466</v>
      </c>
      <c r="C2246" s="24" t="s">
        <v>339</v>
      </c>
      <c r="D2246" s="24" t="s">
        <v>53</v>
      </c>
      <c r="E2246" s="24" t="n">
        <v>203</v>
      </c>
      <c r="F2246" s="25" t="n">
        <v>3500</v>
      </c>
      <c r="G2246" s="24" t="s">
        <v>59</v>
      </c>
      <c r="H2246" s="24" t="s">
        <v>55</v>
      </c>
      <c r="I2246" s="24" t="s">
        <v>61</v>
      </c>
      <c r="J2246" s="26" t="n">
        <f aca="false">IF(A2246="","",YEAR(A2246))</f>
        <v>2026</v>
      </c>
      <c r="K2246" s="26" t="n">
        <f aca="false">IF(A2246="","",MONTH(A2246))</f>
        <v>8</v>
      </c>
      <c r="L2246" s="26" t="n">
        <f aca="false">IF(B2246="","",VALUE(LEFT(B2246,2)))</f>
        <v>9</v>
      </c>
      <c r="M2246" s="26" t="n">
        <f aca="false">IF(A2246="","",IF(COUNTIFS($C$2:$C$5001,C2246,$J$2:$J$5001,J2246,$A$2:$A$5001,"&lt;"&amp;A2246)=0,1,0))</f>
        <v>0</v>
      </c>
    </row>
    <row r="2247" customFormat="false" ht="15" hidden="false" customHeight="false" outlineLevel="0" collapsed="false">
      <c r="A2247" s="23" t="n">
        <v>46259.6520833333</v>
      </c>
      <c r="B2247" s="24" t="s">
        <v>407</v>
      </c>
      <c r="C2247" s="24" t="s">
        <v>289</v>
      </c>
      <c r="D2247" s="24" t="s">
        <v>72</v>
      </c>
      <c r="E2247" s="24" t="n">
        <v>284</v>
      </c>
      <c r="F2247" s="25" t="n">
        <v>20000</v>
      </c>
      <c r="G2247" s="24" t="s">
        <v>59</v>
      </c>
      <c r="H2247" s="24" t="s">
        <v>80</v>
      </c>
      <c r="I2247" s="24" t="s">
        <v>61</v>
      </c>
      <c r="J2247" s="26" t="n">
        <f aca="false">IF(A2247="","",YEAR(A2247))</f>
        <v>2026</v>
      </c>
      <c r="K2247" s="26" t="n">
        <f aca="false">IF(A2247="","",MONTH(A2247))</f>
        <v>8</v>
      </c>
      <c r="L2247" s="26" t="n">
        <f aca="false">IF(B2247="","",VALUE(LEFT(B2247,2)))</f>
        <v>10</v>
      </c>
      <c r="M2247" s="26" t="n">
        <f aca="false">IF(A2247="","",IF(COUNTIFS($C$2:$C$5001,C2247,$J$2:$J$5001,J2247,$A$2:$A$5001,"&lt;"&amp;A2247)=0,1,0))</f>
        <v>0</v>
      </c>
    </row>
    <row r="2248" customFormat="false" ht="15" hidden="false" customHeight="false" outlineLevel="0" collapsed="false">
      <c r="A2248" s="23" t="n">
        <v>46259.8770833333</v>
      </c>
      <c r="B2248" s="24" t="s">
        <v>750</v>
      </c>
      <c r="C2248" s="24" t="s">
        <v>85</v>
      </c>
      <c r="D2248" s="24" t="s">
        <v>66</v>
      </c>
      <c r="E2248" s="24" t="n">
        <v>420</v>
      </c>
      <c r="F2248" s="25" t="n">
        <v>14000</v>
      </c>
      <c r="G2248" s="24" t="s">
        <v>79</v>
      </c>
      <c r="H2248" s="24" t="s">
        <v>60</v>
      </c>
      <c r="I2248" s="24" t="s">
        <v>61</v>
      </c>
      <c r="J2248" s="26" t="n">
        <f aca="false">IF(A2248="","",YEAR(A2248))</f>
        <v>2026</v>
      </c>
      <c r="K2248" s="26" t="n">
        <f aca="false">IF(A2248="","",MONTH(A2248))</f>
        <v>8</v>
      </c>
      <c r="L2248" s="26" t="n">
        <f aca="false">IF(B2248="","",VALUE(LEFT(B2248,2)))</f>
        <v>14</v>
      </c>
      <c r="M2248" s="26" t="n">
        <f aca="false">IF(A2248="","",IF(COUNTIFS($C$2:$C$5001,C2248,$J$2:$J$5001,J2248,$A$2:$A$5001,"&lt;"&amp;A2248)=0,1,0))</f>
        <v>0</v>
      </c>
    </row>
    <row r="2249" customFormat="false" ht="15" hidden="false" customHeight="false" outlineLevel="0" collapsed="false">
      <c r="A2249" s="23" t="n">
        <v>46260.7347222222</v>
      </c>
      <c r="B2249" s="24" t="s">
        <v>1036</v>
      </c>
      <c r="C2249" s="24" t="s">
        <v>742</v>
      </c>
      <c r="D2249" s="24" t="s">
        <v>53</v>
      </c>
      <c r="E2249" s="24" t="n">
        <v>212</v>
      </c>
      <c r="F2249" s="25" t="n">
        <v>4000</v>
      </c>
      <c r="G2249" s="24" t="s">
        <v>83</v>
      </c>
      <c r="H2249" s="24" t="s">
        <v>55</v>
      </c>
      <c r="I2249" s="24" t="s">
        <v>61</v>
      </c>
      <c r="J2249" s="26" t="n">
        <f aca="false">IF(A2249="","",YEAR(A2249))</f>
        <v>2026</v>
      </c>
      <c r="K2249" s="26" t="n">
        <f aca="false">IF(A2249="","",MONTH(A2249))</f>
        <v>8</v>
      </c>
      <c r="L2249" s="26" t="n">
        <f aca="false">IF(B2249="","",VALUE(LEFT(B2249,2)))</f>
        <v>14</v>
      </c>
      <c r="M2249" s="26" t="n">
        <f aca="false">IF(A2249="","",IF(COUNTIFS($C$2:$C$5001,C2249,$J$2:$J$5001,J2249,$A$2:$A$5001,"&lt;"&amp;A2249)=0,1,0))</f>
        <v>0</v>
      </c>
    </row>
    <row r="2250" customFormat="false" ht="15" hidden="false" customHeight="false" outlineLevel="0" collapsed="false">
      <c r="A2250" s="23" t="n">
        <v>46260.8590277778</v>
      </c>
      <c r="B2250" s="24" t="s">
        <v>706</v>
      </c>
      <c r="C2250" s="24" t="s">
        <v>145</v>
      </c>
      <c r="D2250" s="24" t="s">
        <v>88</v>
      </c>
      <c r="E2250" s="24" t="n">
        <v>153</v>
      </c>
      <c r="F2250" s="25" t="n">
        <v>9000</v>
      </c>
      <c r="G2250" s="24" t="s">
        <v>59</v>
      </c>
      <c r="H2250" s="24" t="s">
        <v>80</v>
      </c>
      <c r="I2250" s="24" t="s">
        <v>61</v>
      </c>
      <c r="J2250" s="26" t="n">
        <f aca="false">IF(A2250="","",YEAR(A2250))</f>
        <v>2026</v>
      </c>
      <c r="K2250" s="26" t="n">
        <f aca="false">IF(A2250="","",MONTH(A2250))</f>
        <v>8</v>
      </c>
      <c r="L2250" s="26" t="n">
        <f aca="false">IF(B2250="","",VALUE(LEFT(B2250,2)))</f>
        <v>18</v>
      </c>
      <c r="M2250" s="26" t="n">
        <f aca="false">IF(A2250="","",IF(COUNTIFS($C$2:$C$5001,C2250,$J$2:$J$5001,J2250,$A$2:$A$5001,"&lt;"&amp;A2250)=0,1,0))</f>
        <v>0</v>
      </c>
    </row>
    <row r="2251" customFormat="false" ht="15" hidden="false" customHeight="false" outlineLevel="0" collapsed="false">
      <c r="A2251" s="23" t="n">
        <v>46261.5861111111</v>
      </c>
      <c r="B2251" s="24" t="s">
        <v>319</v>
      </c>
      <c r="C2251" s="24" t="s">
        <v>240</v>
      </c>
      <c r="D2251" s="24" t="s">
        <v>66</v>
      </c>
      <c r="E2251" s="24" t="n">
        <v>353</v>
      </c>
      <c r="F2251" s="25" t="n">
        <v>12000</v>
      </c>
      <c r="G2251" s="24" t="s">
        <v>69</v>
      </c>
      <c r="H2251" s="24" t="s">
        <v>60</v>
      </c>
      <c r="I2251" s="24" t="s">
        <v>61</v>
      </c>
      <c r="J2251" s="26" t="n">
        <f aca="false">IF(A2251="","",YEAR(A2251))</f>
        <v>2026</v>
      </c>
      <c r="K2251" s="26" t="n">
        <f aca="false">IF(A2251="","",MONTH(A2251))</f>
        <v>8</v>
      </c>
      <c r="L2251" s="26" t="n">
        <f aca="false">IF(B2251="","",VALUE(LEFT(B2251,2)))</f>
        <v>8</v>
      </c>
      <c r="M2251" s="26" t="n">
        <f aca="false">IF(A2251="","",IF(COUNTIFS($C$2:$C$5001,C2251,$J$2:$J$5001,J2251,$A$2:$A$5001,"&lt;"&amp;A2251)=0,1,0))</f>
        <v>0</v>
      </c>
    </row>
    <row r="2252" customFormat="false" ht="15" hidden="false" customHeight="false" outlineLevel="0" collapsed="false">
      <c r="A2252" s="23" t="n">
        <v>46262.6013888889</v>
      </c>
      <c r="B2252" s="24" t="s">
        <v>1037</v>
      </c>
      <c r="C2252" s="24" t="s">
        <v>463</v>
      </c>
      <c r="D2252" s="24" t="s">
        <v>66</v>
      </c>
      <c r="E2252" s="24" t="n">
        <v>106</v>
      </c>
      <c r="F2252" s="25" t="n">
        <v>3400</v>
      </c>
      <c r="G2252" s="24" t="s">
        <v>69</v>
      </c>
      <c r="H2252" s="24" t="s">
        <v>55</v>
      </c>
      <c r="I2252" s="24" t="s">
        <v>113</v>
      </c>
      <c r="J2252" s="26" t="n">
        <f aca="false">IF(A2252="","",YEAR(A2252))</f>
        <v>2026</v>
      </c>
      <c r="K2252" s="26" t="n">
        <f aca="false">IF(A2252="","",MONTH(A2252))</f>
        <v>8</v>
      </c>
      <c r="L2252" s="26" t="n">
        <f aca="false">IF(B2252="","",VALUE(LEFT(B2252,2)))</f>
        <v>12</v>
      </c>
      <c r="M2252" s="26" t="n">
        <f aca="false">IF(A2252="","",IF(COUNTIFS($C$2:$C$5001,C2252,$J$2:$J$5001,J2252,$A$2:$A$5001,"&lt;"&amp;A2252)=0,1,0))</f>
        <v>0</v>
      </c>
    </row>
    <row r="2253" customFormat="false" ht="15" hidden="false" customHeight="false" outlineLevel="0" collapsed="false">
      <c r="A2253" s="23" t="n">
        <v>46262.6881944445</v>
      </c>
      <c r="B2253" s="24" t="s">
        <v>908</v>
      </c>
      <c r="C2253" s="24" t="s">
        <v>63</v>
      </c>
      <c r="D2253" s="24" t="s">
        <v>53</v>
      </c>
      <c r="E2253" s="24" t="n">
        <v>265</v>
      </c>
      <c r="F2253" s="25" t="n">
        <v>4500</v>
      </c>
      <c r="G2253" s="24" t="s">
        <v>59</v>
      </c>
      <c r="H2253" s="24" t="s">
        <v>55</v>
      </c>
      <c r="I2253" s="24" t="s">
        <v>61</v>
      </c>
      <c r="J2253" s="26" t="n">
        <f aca="false">IF(A2253="","",YEAR(A2253))</f>
        <v>2026</v>
      </c>
      <c r="K2253" s="26" t="n">
        <f aca="false">IF(A2253="","",MONTH(A2253))</f>
        <v>8</v>
      </c>
      <c r="L2253" s="26" t="n">
        <f aca="false">IF(B2253="","",VALUE(LEFT(B2253,2)))</f>
        <v>12</v>
      </c>
      <c r="M2253" s="26" t="n">
        <f aca="false">IF(A2253="","",IF(COUNTIFS($C$2:$C$5001,C2253,$J$2:$J$5001,J2253,$A$2:$A$5001,"&lt;"&amp;A2253)=0,1,0))</f>
        <v>0</v>
      </c>
    </row>
    <row r="2254" customFormat="false" ht="15" hidden="false" customHeight="false" outlineLevel="0" collapsed="false">
      <c r="A2254" s="23" t="n">
        <v>46262.7305555556</v>
      </c>
      <c r="B2254" s="24" t="s">
        <v>958</v>
      </c>
      <c r="C2254" s="24" t="s">
        <v>224</v>
      </c>
      <c r="D2254" s="24" t="s">
        <v>53</v>
      </c>
      <c r="E2254" s="24" t="n">
        <v>410</v>
      </c>
      <c r="F2254" s="25" t="n">
        <v>0</v>
      </c>
      <c r="G2254" s="24" t="s">
        <v>59</v>
      </c>
      <c r="H2254" s="24" t="s">
        <v>80</v>
      </c>
      <c r="I2254" s="24" t="s">
        <v>56</v>
      </c>
      <c r="J2254" s="26" t="n">
        <f aca="false">IF(A2254="","",YEAR(A2254))</f>
        <v>2026</v>
      </c>
      <c r="K2254" s="26" t="n">
        <f aca="false">IF(A2254="","",MONTH(A2254))</f>
        <v>8</v>
      </c>
      <c r="L2254" s="26" t="n">
        <f aca="false">IF(B2254="","",VALUE(LEFT(B2254,2)))</f>
        <v>10</v>
      </c>
      <c r="M2254" s="26" t="n">
        <f aca="false">IF(A2254="","",IF(COUNTIFS($C$2:$C$5001,C2254,$J$2:$J$5001,J2254,$A$2:$A$5001,"&lt;"&amp;A2254)=0,1,0))</f>
        <v>0</v>
      </c>
    </row>
    <row r="2255" customFormat="false" ht="15" hidden="false" customHeight="false" outlineLevel="0" collapsed="false">
      <c r="A2255" s="23" t="n">
        <v>46262.8777777778</v>
      </c>
      <c r="B2255" s="24" t="s">
        <v>308</v>
      </c>
      <c r="C2255" s="24" t="s">
        <v>52</v>
      </c>
      <c r="D2255" s="24" t="s">
        <v>66</v>
      </c>
      <c r="E2255" s="24" t="n">
        <v>208</v>
      </c>
      <c r="F2255" s="25" t="n">
        <v>7000</v>
      </c>
      <c r="G2255" s="24" t="s">
        <v>69</v>
      </c>
      <c r="H2255" s="24" t="s">
        <v>55</v>
      </c>
      <c r="I2255" s="24" t="s">
        <v>61</v>
      </c>
      <c r="J2255" s="26" t="n">
        <f aca="false">IF(A2255="","",YEAR(A2255))</f>
        <v>2026</v>
      </c>
      <c r="K2255" s="26" t="n">
        <f aca="false">IF(A2255="","",MONTH(A2255))</f>
        <v>8</v>
      </c>
      <c r="L2255" s="26" t="n">
        <f aca="false">IF(B2255="","",VALUE(LEFT(B2255,2)))</f>
        <v>17</v>
      </c>
      <c r="M2255" s="26" t="n">
        <f aca="false">IF(A2255="","",IF(COUNTIFS($C$2:$C$5001,C2255,$J$2:$J$5001,J2255,$A$2:$A$5001,"&lt;"&amp;A2255)=0,1,0))</f>
        <v>0</v>
      </c>
    </row>
    <row r="2256" customFormat="false" ht="15" hidden="false" customHeight="false" outlineLevel="0" collapsed="false">
      <c r="A2256" s="23" t="n">
        <v>46263.1034722222</v>
      </c>
      <c r="B2256" s="24" t="s">
        <v>97</v>
      </c>
      <c r="C2256" s="24" t="s">
        <v>1038</v>
      </c>
      <c r="D2256" s="24" t="s">
        <v>66</v>
      </c>
      <c r="E2256" s="24" t="n">
        <v>370</v>
      </c>
      <c r="F2256" s="25" t="n">
        <v>0</v>
      </c>
      <c r="G2256" s="24" t="s">
        <v>59</v>
      </c>
      <c r="H2256" s="24" t="s">
        <v>60</v>
      </c>
      <c r="I2256" s="24" t="s">
        <v>56</v>
      </c>
      <c r="J2256" s="26" t="n">
        <f aca="false">IF(A2256="","",YEAR(A2256))</f>
        <v>2026</v>
      </c>
      <c r="K2256" s="26" t="n">
        <f aca="false">IF(A2256="","",MONTH(A2256))</f>
        <v>8</v>
      </c>
      <c r="L2256" s="26" t="n">
        <f aca="false">IF(B2256="","",VALUE(LEFT(B2256,2)))</f>
        <v>20</v>
      </c>
      <c r="M2256" s="26" t="n">
        <f aca="false">IF(A2256="","",IF(COUNTIFS($C$2:$C$5001,C2256,$J$2:$J$5001,J2256,$A$2:$A$5001,"&lt;"&amp;A2256)=0,1,0))</f>
        <v>1</v>
      </c>
    </row>
    <row r="2257" customFormat="false" ht="15" hidden="false" customHeight="false" outlineLevel="0" collapsed="false">
      <c r="A2257" s="23" t="n">
        <v>46266.4888888889</v>
      </c>
      <c r="B2257" s="24" t="s">
        <v>515</v>
      </c>
      <c r="C2257" s="24" t="s">
        <v>96</v>
      </c>
      <c r="D2257" s="24" t="s">
        <v>66</v>
      </c>
      <c r="E2257" s="24" t="n">
        <v>299</v>
      </c>
      <c r="F2257" s="25" t="n">
        <v>10000</v>
      </c>
      <c r="G2257" s="24" t="s">
        <v>54</v>
      </c>
      <c r="H2257" s="24" t="s">
        <v>55</v>
      </c>
      <c r="I2257" s="24" t="s">
        <v>61</v>
      </c>
      <c r="J2257" s="26" t="n">
        <f aca="false">IF(A2257="","",YEAR(A2257))</f>
        <v>2026</v>
      </c>
      <c r="K2257" s="26" t="n">
        <f aca="false">IF(A2257="","",MONTH(A2257))</f>
        <v>9</v>
      </c>
      <c r="L2257" s="26" t="n">
        <f aca="false">IF(B2257="","",VALUE(LEFT(B2257,2)))</f>
        <v>6</v>
      </c>
      <c r="M2257" s="26" t="n">
        <f aca="false">IF(A2257="","",IF(COUNTIFS($C$2:$C$5001,C2257,$J$2:$J$5001,J2257,$A$2:$A$5001,"&lt;"&amp;A2257)=0,1,0))</f>
        <v>0</v>
      </c>
    </row>
    <row r="2258" customFormat="false" ht="15" hidden="false" customHeight="false" outlineLevel="0" collapsed="false">
      <c r="A2258" s="23" t="n">
        <v>46266.5819444444</v>
      </c>
      <c r="B2258" s="24" t="s">
        <v>469</v>
      </c>
      <c r="C2258" s="24" t="s">
        <v>535</v>
      </c>
      <c r="D2258" s="24" t="s">
        <v>66</v>
      </c>
      <c r="E2258" s="24" t="n">
        <v>381</v>
      </c>
      <c r="F2258" s="25" t="n">
        <v>13000</v>
      </c>
      <c r="G2258" s="24" t="s">
        <v>59</v>
      </c>
      <c r="H2258" s="24" t="s">
        <v>60</v>
      </c>
      <c r="I2258" s="24" t="s">
        <v>61</v>
      </c>
      <c r="J2258" s="26" t="n">
        <f aca="false">IF(A2258="","",YEAR(A2258))</f>
        <v>2026</v>
      </c>
      <c r="K2258" s="26" t="n">
        <f aca="false">IF(A2258="","",MONTH(A2258))</f>
        <v>9</v>
      </c>
      <c r="L2258" s="26" t="n">
        <f aca="false">IF(B2258="","",VALUE(LEFT(B2258,2)))</f>
        <v>7</v>
      </c>
      <c r="M2258" s="26" t="n">
        <f aca="false">IF(A2258="","",IF(COUNTIFS($C$2:$C$5001,C2258,$J$2:$J$5001,J2258,$A$2:$A$5001,"&lt;"&amp;A2258)=0,1,0))</f>
        <v>0</v>
      </c>
    </row>
    <row r="2259" customFormat="false" ht="15" hidden="false" customHeight="false" outlineLevel="0" collapsed="false">
      <c r="A2259" s="23" t="n">
        <v>46266.5895833333</v>
      </c>
      <c r="B2259" s="24" t="s">
        <v>729</v>
      </c>
      <c r="C2259" s="24" t="s">
        <v>343</v>
      </c>
      <c r="D2259" s="24" t="s">
        <v>66</v>
      </c>
      <c r="E2259" s="24" t="n">
        <v>361</v>
      </c>
      <c r="F2259" s="25" t="n">
        <v>13000</v>
      </c>
      <c r="G2259" s="24" t="s">
        <v>54</v>
      </c>
      <c r="H2259" s="24" t="s">
        <v>80</v>
      </c>
      <c r="I2259" s="24" t="s">
        <v>61</v>
      </c>
      <c r="J2259" s="26" t="n">
        <f aca="false">IF(A2259="","",YEAR(A2259))</f>
        <v>2026</v>
      </c>
      <c r="K2259" s="26" t="n">
        <f aca="false">IF(A2259="","",MONTH(A2259))</f>
        <v>9</v>
      </c>
      <c r="L2259" s="26" t="n">
        <f aca="false">IF(B2259="","",VALUE(LEFT(B2259,2)))</f>
        <v>8</v>
      </c>
      <c r="M2259" s="26" t="n">
        <f aca="false">IF(A2259="","",IF(COUNTIFS($C$2:$C$5001,C2259,$J$2:$J$5001,J2259,$A$2:$A$5001,"&lt;"&amp;A2259)=0,1,0))</f>
        <v>0</v>
      </c>
    </row>
    <row r="2260" customFormat="false" ht="15" hidden="false" customHeight="false" outlineLevel="0" collapsed="false">
      <c r="A2260" s="23" t="n">
        <v>46266.6118055556</v>
      </c>
      <c r="B2260" s="24" t="s">
        <v>1001</v>
      </c>
      <c r="C2260" s="24" t="s">
        <v>475</v>
      </c>
      <c r="D2260" s="24" t="s">
        <v>53</v>
      </c>
      <c r="E2260" s="24" t="n">
        <v>115</v>
      </c>
      <c r="F2260" s="25" t="n">
        <v>0</v>
      </c>
      <c r="G2260" s="24" t="s">
        <v>59</v>
      </c>
      <c r="H2260" s="24" t="s">
        <v>80</v>
      </c>
      <c r="I2260" s="24" t="s">
        <v>56</v>
      </c>
      <c r="J2260" s="26" t="n">
        <f aca="false">IF(A2260="","",YEAR(A2260))</f>
        <v>2026</v>
      </c>
      <c r="K2260" s="26" t="n">
        <f aca="false">IF(A2260="","",MONTH(A2260))</f>
        <v>9</v>
      </c>
      <c r="L2260" s="26" t="n">
        <f aca="false">IF(B2260="","",VALUE(LEFT(B2260,2)))</f>
        <v>12</v>
      </c>
      <c r="M2260" s="26" t="n">
        <f aca="false">IF(A2260="","",IF(COUNTIFS($C$2:$C$5001,C2260,$J$2:$J$5001,J2260,$A$2:$A$5001,"&lt;"&amp;A2260)=0,1,0))</f>
        <v>0</v>
      </c>
    </row>
    <row r="2261" customFormat="false" ht="15" hidden="false" customHeight="false" outlineLevel="0" collapsed="false">
      <c r="A2261" s="23" t="n">
        <v>46267.3395833333</v>
      </c>
      <c r="B2261" s="24" t="s">
        <v>515</v>
      </c>
      <c r="C2261" s="24" t="s">
        <v>324</v>
      </c>
      <c r="D2261" s="24" t="s">
        <v>66</v>
      </c>
      <c r="E2261" s="24" t="n">
        <v>84</v>
      </c>
      <c r="F2261" s="25" t="n">
        <v>3000</v>
      </c>
      <c r="G2261" s="24" t="s">
        <v>59</v>
      </c>
      <c r="H2261" s="24" t="s">
        <v>55</v>
      </c>
      <c r="I2261" s="24" t="s">
        <v>61</v>
      </c>
      <c r="J2261" s="26" t="n">
        <f aca="false">IF(A2261="","",YEAR(A2261))</f>
        <v>2026</v>
      </c>
      <c r="K2261" s="26" t="n">
        <f aca="false">IF(A2261="","",MONTH(A2261))</f>
        <v>9</v>
      </c>
      <c r="L2261" s="26" t="n">
        <f aca="false">IF(B2261="","",VALUE(LEFT(B2261,2)))</f>
        <v>6</v>
      </c>
      <c r="M2261" s="26" t="n">
        <f aca="false">IF(A2261="","",IF(COUNTIFS($C$2:$C$5001,C2261,$J$2:$J$5001,J2261,$A$2:$A$5001,"&lt;"&amp;A2261)=0,1,0))</f>
        <v>0</v>
      </c>
    </row>
    <row r="2262" customFormat="false" ht="15" hidden="false" customHeight="false" outlineLevel="0" collapsed="false">
      <c r="A2262" s="23" t="n">
        <v>46267.34375</v>
      </c>
      <c r="B2262" s="24" t="s">
        <v>161</v>
      </c>
      <c r="C2262" s="24" t="s">
        <v>240</v>
      </c>
      <c r="D2262" s="24" t="s">
        <v>66</v>
      </c>
      <c r="E2262" s="24" t="n">
        <v>69</v>
      </c>
      <c r="F2262" s="25" t="n">
        <v>3000</v>
      </c>
      <c r="G2262" s="24" t="s">
        <v>59</v>
      </c>
      <c r="H2262" s="24" t="s">
        <v>60</v>
      </c>
      <c r="I2262" s="24" t="s">
        <v>61</v>
      </c>
      <c r="J2262" s="26" t="n">
        <f aca="false">IF(A2262="","",YEAR(A2262))</f>
        <v>2026</v>
      </c>
      <c r="K2262" s="26" t="n">
        <f aca="false">IF(A2262="","",MONTH(A2262))</f>
        <v>9</v>
      </c>
      <c r="L2262" s="26" t="n">
        <f aca="false">IF(B2262="","",VALUE(LEFT(B2262,2)))</f>
        <v>7</v>
      </c>
      <c r="M2262" s="26" t="n">
        <f aca="false">IF(A2262="","",IF(COUNTIFS($C$2:$C$5001,C2262,$J$2:$J$5001,J2262,$A$2:$A$5001,"&lt;"&amp;A2262)=0,1,0))</f>
        <v>0</v>
      </c>
    </row>
    <row r="2263" customFormat="false" ht="15" hidden="false" customHeight="false" outlineLevel="0" collapsed="false">
      <c r="A2263" s="23" t="n">
        <v>46267.4402777778</v>
      </c>
      <c r="B2263" s="24" t="s">
        <v>388</v>
      </c>
      <c r="C2263" s="24" t="s">
        <v>436</v>
      </c>
      <c r="D2263" s="24" t="s">
        <v>66</v>
      </c>
      <c r="E2263" s="24" t="n">
        <v>204</v>
      </c>
      <c r="F2263" s="25" t="n">
        <v>7000</v>
      </c>
      <c r="G2263" s="24" t="s">
        <v>59</v>
      </c>
      <c r="H2263" s="24" t="s">
        <v>60</v>
      </c>
      <c r="I2263" s="24" t="s">
        <v>61</v>
      </c>
      <c r="J2263" s="26" t="n">
        <f aca="false">IF(A2263="","",YEAR(A2263))</f>
        <v>2026</v>
      </c>
      <c r="K2263" s="26" t="n">
        <f aca="false">IF(A2263="","",MONTH(A2263))</f>
        <v>9</v>
      </c>
      <c r="L2263" s="26" t="n">
        <f aca="false">IF(B2263="","",VALUE(LEFT(B2263,2)))</f>
        <v>7</v>
      </c>
      <c r="M2263" s="26" t="n">
        <f aca="false">IF(A2263="","",IF(COUNTIFS($C$2:$C$5001,C2263,$J$2:$J$5001,J2263,$A$2:$A$5001,"&lt;"&amp;A2263)=0,1,0))</f>
        <v>0</v>
      </c>
    </row>
    <row r="2264" customFormat="false" ht="15" hidden="false" customHeight="false" outlineLevel="0" collapsed="false">
      <c r="A2264" s="23" t="n">
        <v>46267.5618055556</v>
      </c>
      <c r="B2264" s="24" t="s">
        <v>950</v>
      </c>
      <c r="C2264" s="24" t="s">
        <v>231</v>
      </c>
      <c r="D2264" s="24" t="s">
        <v>66</v>
      </c>
      <c r="E2264" s="24" t="n">
        <v>333</v>
      </c>
      <c r="F2264" s="25" t="n">
        <v>12000</v>
      </c>
      <c r="G2264" s="24" t="s">
        <v>54</v>
      </c>
      <c r="H2264" s="24" t="s">
        <v>80</v>
      </c>
      <c r="I2264" s="24" t="s">
        <v>61</v>
      </c>
      <c r="J2264" s="26" t="n">
        <f aca="false">IF(A2264="","",YEAR(A2264))</f>
        <v>2026</v>
      </c>
      <c r="K2264" s="26" t="n">
        <f aca="false">IF(A2264="","",MONTH(A2264))</f>
        <v>9</v>
      </c>
      <c r="L2264" s="26" t="n">
        <f aca="false">IF(B2264="","",VALUE(LEFT(B2264,2)))</f>
        <v>7</v>
      </c>
      <c r="M2264" s="26" t="n">
        <f aca="false">IF(A2264="","",IF(COUNTIFS($C$2:$C$5001,C2264,$J$2:$J$5001,J2264,$A$2:$A$5001,"&lt;"&amp;A2264)=0,1,0))</f>
        <v>0</v>
      </c>
    </row>
    <row r="2265" customFormat="false" ht="15" hidden="false" customHeight="false" outlineLevel="0" collapsed="false">
      <c r="A2265" s="23" t="n">
        <v>46267.6493055556</v>
      </c>
      <c r="B2265" s="24" t="s">
        <v>93</v>
      </c>
      <c r="C2265" s="24" t="s">
        <v>263</v>
      </c>
      <c r="D2265" s="24" t="s">
        <v>53</v>
      </c>
      <c r="E2265" s="24" t="n">
        <v>312</v>
      </c>
      <c r="F2265" s="25" t="n">
        <v>0</v>
      </c>
      <c r="G2265" s="24" t="s">
        <v>83</v>
      </c>
      <c r="H2265" s="24" t="s">
        <v>60</v>
      </c>
      <c r="I2265" s="24" t="s">
        <v>56</v>
      </c>
      <c r="J2265" s="26" t="n">
        <f aca="false">IF(A2265="","",YEAR(A2265))</f>
        <v>2026</v>
      </c>
      <c r="K2265" s="26" t="n">
        <f aca="false">IF(A2265="","",MONTH(A2265))</f>
        <v>9</v>
      </c>
      <c r="L2265" s="26" t="n">
        <f aca="false">IF(B2265="","",VALUE(LEFT(B2265,2)))</f>
        <v>10</v>
      </c>
      <c r="M2265" s="26" t="n">
        <f aca="false">IF(A2265="","",IF(COUNTIFS($C$2:$C$5001,C2265,$J$2:$J$5001,J2265,$A$2:$A$5001,"&lt;"&amp;A2265)=0,1,0))</f>
        <v>0</v>
      </c>
    </row>
    <row r="2266" customFormat="false" ht="15" hidden="false" customHeight="false" outlineLevel="0" collapsed="false">
      <c r="A2266" s="23" t="n">
        <v>46267.6666666667</v>
      </c>
      <c r="B2266" s="24" t="s">
        <v>563</v>
      </c>
      <c r="C2266" s="24" t="s">
        <v>267</v>
      </c>
      <c r="D2266" s="24" t="s">
        <v>66</v>
      </c>
      <c r="E2266" s="24" t="n">
        <v>199</v>
      </c>
      <c r="F2266" s="25" t="n">
        <v>7000</v>
      </c>
      <c r="G2266" s="24" t="s">
        <v>59</v>
      </c>
      <c r="H2266" s="24" t="s">
        <v>55</v>
      </c>
      <c r="I2266" s="24" t="s">
        <v>61</v>
      </c>
      <c r="J2266" s="26" t="n">
        <f aca="false">IF(A2266="","",YEAR(A2266))</f>
        <v>2026</v>
      </c>
      <c r="K2266" s="26" t="n">
        <f aca="false">IF(A2266="","",MONTH(A2266))</f>
        <v>9</v>
      </c>
      <c r="L2266" s="26" t="n">
        <f aca="false">IF(B2266="","",VALUE(LEFT(B2266,2)))</f>
        <v>12</v>
      </c>
      <c r="M2266" s="26" t="n">
        <f aca="false">IF(A2266="","",IF(COUNTIFS($C$2:$C$5001,C2266,$J$2:$J$5001,J2266,$A$2:$A$5001,"&lt;"&amp;A2266)=0,1,0))</f>
        <v>0</v>
      </c>
    </row>
    <row r="2267" customFormat="false" ht="15" hidden="false" customHeight="false" outlineLevel="0" collapsed="false">
      <c r="A2267" s="23" t="n">
        <v>46268.0333333333</v>
      </c>
      <c r="B2267" s="24" t="s">
        <v>849</v>
      </c>
      <c r="C2267" s="24" t="s">
        <v>63</v>
      </c>
      <c r="D2267" s="24" t="s">
        <v>66</v>
      </c>
      <c r="E2267" s="24" t="n">
        <v>354</v>
      </c>
      <c r="F2267" s="25" t="n">
        <v>10200</v>
      </c>
      <c r="G2267" s="24" t="s">
        <v>59</v>
      </c>
      <c r="H2267" s="24" t="s">
        <v>55</v>
      </c>
      <c r="I2267" s="24" t="s">
        <v>113</v>
      </c>
      <c r="J2267" s="26" t="n">
        <f aca="false">IF(A2267="","",YEAR(A2267))</f>
        <v>2026</v>
      </c>
      <c r="K2267" s="26" t="n">
        <f aca="false">IF(A2267="","",MONTH(A2267))</f>
        <v>9</v>
      </c>
      <c r="L2267" s="26" t="n">
        <f aca="false">IF(B2267="","",VALUE(LEFT(B2267,2)))</f>
        <v>18</v>
      </c>
      <c r="M2267" s="26" t="n">
        <f aca="false">IF(A2267="","",IF(COUNTIFS($C$2:$C$5001,C2267,$J$2:$J$5001,J2267,$A$2:$A$5001,"&lt;"&amp;A2267)=0,1,0))</f>
        <v>0</v>
      </c>
    </row>
    <row r="2268" customFormat="false" ht="15" hidden="false" customHeight="false" outlineLevel="0" collapsed="false">
      <c r="A2268" s="23" t="n">
        <v>46268.3347222222</v>
      </c>
      <c r="B2268" s="24" t="s">
        <v>986</v>
      </c>
      <c r="C2268" s="24" t="s">
        <v>188</v>
      </c>
      <c r="D2268" s="24" t="s">
        <v>66</v>
      </c>
      <c r="E2268" s="24" t="n">
        <v>30</v>
      </c>
      <c r="F2268" s="25" t="n">
        <v>850</v>
      </c>
      <c r="G2268" s="24" t="s">
        <v>59</v>
      </c>
      <c r="H2268" s="24" t="s">
        <v>60</v>
      </c>
      <c r="I2268" s="24" t="s">
        <v>113</v>
      </c>
      <c r="J2268" s="26" t="n">
        <f aca="false">IF(A2268="","",YEAR(A2268))</f>
        <v>2026</v>
      </c>
      <c r="K2268" s="26" t="n">
        <f aca="false">IF(A2268="","",MONTH(A2268))</f>
        <v>9</v>
      </c>
      <c r="L2268" s="26" t="n">
        <f aca="false">IF(B2268="","",VALUE(LEFT(B2268,2)))</f>
        <v>7</v>
      </c>
      <c r="M2268" s="26" t="n">
        <f aca="false">IF(A2268="","",IF(COUNTIFS($C$2:$C$5001,C2268,$J$2:$J$5001,J2268,$A$2:$A$5001,"&lt;"&amp;A2268)=0,1,0))</f>
        <v>0</v>
      </c>
    </row>
    <row r="2269" customFormat="false" ht="15" hidden="false" customHeight="false" outlineLevel="0" collapsed="false">
      <c r="A2269" s="23" t="n">
        <v>46268.5993055556</v>
      </c>
      <c r="B2269" s="24" t="s">
        <v>856</v>
      </c>
      <c r="C2269" s="24" t="s">
        <v>110</v>
      </c>
      <c r="D2269" s="24" t="s">
        <v>66</v>
      </c>
      <c r="E2269" s="24" t="n">
        <v>404</v>
      </c>
      <c r="F2269" s="25" t="n">
        <v>14000</v>
      </c>
      <c r="G2269" s="24" t="s">
        <v>59</v>
      </c>
      <c r="H2269" s="24" t="s">
        <v>55</v>
      </c>
      <c r="I2269" s="24" t="s">
        <v>61</v>
      </c>
      <c r="J2269" s="26" t="n">
        <f aca="false">IF(A2269="","",YEAR(A2269))</f>
        <v>2026</v>
      </c>
      <c r="K2269" s="26" t="n">
        <f aca="false">IF(A2269="","",MONTH(A2269))</f>
        <v>9</v>
      </c>
      <c r="L2269" s="26" t="n">
        <f aca="false">IF(B2269="","",VALUE(LEFT(B2269,2)))</f>
        <v>7</v>
      </c>
      <c r="M2269" s="26" t="n">
        <f aca="false">IF(A2269="","",IF(COUNTIFS($C$2:$C$5001,C2269,$J$2:$J$5001,J2269,$A$2:$A$5001,"&lt;"&amp;A2269)=0,1,0))</f>
        <v>0</v>
      </c>
    </row>
    <row r="2270" customFormat="false" ht="15" hidden="false" customHeight="false" outlineLevel="0" collapsed="false">
      <c r="A2270" s="23" t="n">
        <v>46268.6201388889</v>
      </c>
      <c r="B2270" s="24" t="s">
        <v>632</v>
      </c>
      <c r="C2270" s="24" t="s">
        <v>85</v>
      </c>
      <c r="D2270" s="24" t="s">
        <v>66</v>
      </c>
      <c r="E2270" s="24" t="n">
        <v>37</v>
      </c>
      <c r="F2270" s="25" t="n">
        <v>2000</v>
      </c>
      <c r="G2270" s="24" t="s">
        <v>59</v>
      </c>
      <c r="H2270" s="24" t="s">
        <v>55</v>
      </c>
      <c r="I2270" s="24" t="s">
        <v>61</v>
      </c>
      <c r="J2270" s="26" t="n">
        <f aca="false">IF(A2270="","",YEAR(A2270))</f>
        <v>2026</v>
      </c>
      <c r="K2270" s="26" t="n">
        <f aca="false">IF(A2270="","",MONTH(A2270))</f>
        <v>9</v>
      </c>
      <c r="L2270" s="26" t="n">
        <f aca="false">IF(B2270="","",VALUE(LEFT(B2270,2)))</f>
        <v>14</v>
      </c>
      <c r="M2270" s="26" t="n">
        <f aca="false">IF(A2270="","",IF(COUNTIFS($C$2:$C$5001,C2270,$J$2:$J$5001,J2270,$A$2:$A$5001,"&lt;"&amp;A2270)=0,1,0))</f>
        <v>0</v>
      </c>
    </row>
    <row r="2271" customFormat="false" ht="15" hidden="false" customHeight="false" outlineLevel="0" collapsed="false">
      <c r="A2271" s="23" t="n">
        <v>46268.7513888889</v>
      </c>
      <c r="B2271" s="24" t="s">
        <v>821</v>
      </c>
      <c r="C2271" s="24" t="s">
        <v>436</v>
      </c>
      <c r="D2271" s="24" t="s">
        <v>66</v>
      </c>
      <c r="E2271" s="24" t="n">
        <v>237</v>
      </c>
      <c r="F2271" s="25" t="n">
        <v>0</v>
      </c>
      <c r="G2271" s="24" t="s">
        <v>59</v>
      </c>
      <c r="H2271" s="24" t="s">
        <v>80</v>
      </c>
      <c r="I2271" s="24" t="s">
        <v>56</v>
      </c>
      <c r="J2271" s="26" t="n">
        <f aca="false">IF(A2271="","",YEAR(A2271))</f>
        <v>2026</v>
      </c>
      <c r="K2271" s="26" t="n">
        <f aca="false">IF(A2271="","",MONTH(A2271))</f>
        <v>9</v>
      </c>
      <c r="L2271" s="26" t="n">
        <f aca="false">IF(B2271="","",VALUE(LEFT(B2271,2)))</f>
        <v>14</v>
      </c>
      <c r="M2271" s="26" t="n">
        <f aca="false">IF(A2271="","",IF(COUNTIFS($C$2:$C$5001,C2271,$J$2:$J$5001,J2271,$A$2:$A$5001,"&lt;"&amp;A2271)=0,1,0))</f>
        <v>0</v>
      </c>
    </row>
    <row r="2272" customFormat="false" ht="15" hidden="false" customHeight="false" outlineLevel="0" collapsed="false">
      <c r="A2272" s="23" t="n">
        <v>46268.8819444445</v>
      </c>
      <c r="B2272" s="24" t="s">
        <v>943</v>
      </c>
      <c r="C2272" s="24" t="s">
        <v>78</v>
      </c>
      <c r="D2272" s="24" t="s">
        <v>53</v>
      </c>
      <c r="E2272" s="24" t="n">
        <v>37</v>
      </c>
      <c r="F2272" s="25" t="n">
        <v>1000</v>
      </c>
      <c r="G2272" s="24" t="s">
        <v>54</v>
      </c>
      <c r="H2272" s="24" t="s">
        <v>80</v>
      </c>
      <c r="I2272" s="24" t="s">
        <v>61</v>
      </c>
      <c r="J2272" s="26" t="n">
        <f aca="false">IF(A2272="","",YEAR(A2272))</f>
        <v>2026</v>
      </c>
      <c r="K2272" s="26" t="n">
        <f aca="false">IF(A2272="","",MONTH(A2272))</f>
        <v>9</v>
      </c>
      <c r="L2272" s="26" t="n">
        <f aca="false">IF(B2272="","",VALUE(LEFT(B2272,2)))</f>
        <v>20</v>
      </c>
      <c r="M2272" s="26" t="n">
        <f aca="false">IF(A2272="","",IF(COUNTIFS($C$2:$C$5001,C2272,$J$2:$J$5001,J2272,$A$2:$A$5001,"&lt;"&amp;A2272)=0,1,0))</f>
        <v>0</v>
      </c>
    </row>
    <row r="2273" customFormat="false" ht="15" hidden="false" customHeight="false" outlineLevel="0" collapsed="false">
      <c r="A2273" s="23" t="n">
        <v>46269.40625</v>
      </c>
      <c r="B2273" s="24" t="s">
        <v>319</v>
      </c>
      <c r="C2273" s="24" t="s">
        <v>442</v>
      </c>
      <c r="D2273" s="24" t="s">
        <v>66</v>
      </c>
      <c r="E2273" s="24" t="n">
        <v>94</v>
      </c>
      <c r="F2273" s="25" t="n">
        <v>4000</v>
      </c>
      <c r="G2273" s="24" t="s">
        <v>59</v>
      </c>
      <c r="H2273" s="24" t="s">
        <v>80</v>
      </c>
      <c r="I2273" s="24" t="s">
        <v>61</v>
      </c>
      <c r="J2273" s="26" t="n">
        <f aca="false">IF(A2273="","",YEAR(A2273))</f>
        <v>2026</v>
      </c>
      <c r="K2273" s="26" t="n">
        <f aca="false">IF(A2273="","",MONTH(A2273))</f>
        <v>9</v>
      </c>
      <c r="L2273" s="26" t="n">
        <f aca="false">IF(B2273="","",VALUE(LEFT(B2273,2)))</f>
        <v>8</v>
      </c>
      <c r="M2273" s="26" t="n">
        <f aca="false">IF(A2273="","",IF(COUNTIFS($C$2:$C$5001,C2273,$J$2:$J$5001,J2273,$A$2:$A$5001,"&lt;"&amp;A2273)=0,1,0))</f>
        <v>0</v>
      </c>
    </row>
    <row r="2274" customFormat="false" ht="15" hidden="false" customHeight="false" outlineLevel="0" collapsed="false">
      <c r="A2274" s="23" t="n">
        <v>46269.4583333333</v>
      </c>
      <c r="B2274" s="24" t="s">
        <v>682</v>
      </c>
      <c r="C2274" s="24" t="s">
        <v>147</v>
      </c>
      <c r="D2274" s="24" t="s">
        <v>66</v>
      </c>
      <c r="E2274" s="24" t="n">
        <v>149</v>
      </c>
      <c r="F2274" s="25" t="n">
        <v>5000</v>
      </c>
      <c r="G2274" s="24" t="s">
        <v>59</v>
      </c>
      <c r="H2274" s="24" t="s">
        <v>60</v>
      </c>
      <c r="I2274" s="24" t="s">
        <v>61</v>
      </c>
      <c r="J2274" s="26" t="n">
        <f aca="false">IF(A2274="","",YEAR(A2274))</f>
        <v>2026</v>
      </c>
      <c r="K2274" s="26" t="n">
        <f aca="false">IF(A2274="","",MONTH(A2274))</f>
        <v>9</v>
      </c>
      <c r="L2274" s="26" t="n">
        <f aca="false">IF(B2274="","",VALUE(LEFT(B2274,2)))</f>
        <v>8</v>
      </c>
      <c r="M2274" s="26" t="n">
        <f aca="false">IF(A2274="","",IF(COUNTIFS($C$2:$C$5001,C2274,$J$2:$J$5001,J2274,$A$2:$A$5001,"&lt;"&amp;A2274)=0,1,0))</f>
        <v>0</v>
      </c>
    </row>
    <row r="2275" customFormat="false" ht="15" hidden="false" customHeight="false" outlineLevel="0" collapsed="false">
      <c r="A2275" s="23" t="n">
        <v>46269.5590277778</v>
      </c>
      <c r="B2275" s="24" t="s">
        <v>407</v>
      </c>
      <c r="C2275" s="24" t="s">
        <v>436</v>
      </c>
      <c r="D2275" s="24" t="s">
        <v>53</v>
      </c>
      <c r="E2275" s="24" t="n">
        <v>150</v>
      </c>
      <c r="F2275" s="25" t="n">
        <v>2125</v>
      </c>
      <c r="G2275" s="24" t="s">
        <v>59</v>
      </c>
      <c r="H2275" s="24" t="s">
        <v>80</v>
      </c>
      <c r="I2275" s="24" t="s">
        <v>113</v>
      </c>
      <c r="J2275" s="26" t="n">
        <f aca="false">IF(A2275="","",YEAR(A2275))</f>
        <v>2026</v>
      </c>
      <c r="K2275" s="26" t="n">
        <f aca="false">IF(A2275="","",MONTH(A2275))</f>
        <v>9</v>
      </c>
      <c r="L2275" s="26" t="n">
        <f aca="false">IF(B2275="","",VALUE(LEFT(B2275,2)))</f>
        <v>10</v>
      </c>
      <c r="M2275" s="26" t="n">
        <f aca="false">IF(A2275="","",IF(COUNTIFS($C$2:$C$5001,C2275,$J$2:$J$5001,J2275,$A$2:$A$5001,"&lt;"&amp;A2275)=0,1,0))</f>
        <v>0</v>
      </c>
    </row>
    <row r="2276" customFormat="false" ht="15" hidden="false" customHeight="false" outlineLevel="0" collapsed="false">
      <c r="A2276" s="23" t="n">
        <v>46269.6604166667</v>
      </c>
      <c r="B2276" s="24" t="s">
        <v>685</v>
      </c>
      <c r="C2276" s="24" t="s">
        <v>231</v>
      </c>
      <c r="D2276" s="24" t="s">
        <v>66</v>
      </c>
      <c r="E2276" s="24" t="n">
        <v>369</v>
      </c>
      <c r="F2276" s="25" t="n">
        <v>13000</v>
      </c>
      <c r="G2276" s="24" t="s">
        <v>59</v>
      </c>
      <c r="H2276" s="24" t="s">
        <v>60</v>
      </c>
      <c r="I2276" s="24" t="s">
        <v>61</v>
      </c>
      <c r="J2276" s="26" t="n">
        <f aca="false">IF(A2276="","",YEAR(A2276))</f>
        <v>2026</v>
      </c>
      <c r="K2276" s="26" t="n">
        <f aca="false">IF(A2276="","",MONTH(A2276))</f>
        <v>9</v>
      </c>
      <c r="L2276" s="26" t="n">
        <f aca="false">IF(B2276="","",VALUE(LEFT(B2276,2)))</f>
        <v>9</v>
      </c>
      <c r="M2276" s="26" t="n">
        <f aca="false">IF(A2276="","",IF(COUNTIFS($C$2:$C$5001,C2276,$J$2:$J$5001,J2276,$A$2:$A$5001,"&lt;"&amp;A2276)=0,1,0))</f>
        <v>0</v>
      </c>
    </row>
    <row r="2277" customFormat="false" ht="15" hidden="false" customHeight="false" outlineLevel="0" collapsed="false">
      <c r="A2277" s="23" t="n">
        <v>46269.6763888889</v>
      </c>
      <c r="B2277" s="24" t="s">
        <v>1039</v>
      </c>
      <c r="C2277" s="24" t="s">
        <v>92</v>
      </c>
      <c r="D2277" s="24" t="s">
        <v>53</v>
      </c>
      <c r="E2277" s="24" t="n">
        <v>335</v>
      </c>
      <c r="F2277" s="25" t="n">
        <v>6000</v>
      </c>
      <c r="G2277" s="24" t="s">
        <v>59</v>
      </c>
      <c r="H2277" s="24" t="s">
        <v>80</v>
      </c>
      <c r="I2277" s="24" t="s">
        <v>61</v>
      </c>
      <c r="J2277" s="26" t="n">
        <f aca="false">IF(A2277="","",YEAR(A2277))</f>
        <v>2026</v>
      </c>
      <c r="K2277" s="26" t="n">
        <f aca="false">IF(A2277="","",MONTH(A2277))</f>
        <v>9</v>
      </c>
      <c r="L2277" s="26" t="n">
        <f aca="false">IF(B2277="","",VALUE(LEFT(B2277,2)))</f>
        <v>10</v>
      </c>
      <c r="M2277" s="26" t="n">
        <f aca="false">IF(A2277="","",IF(COUNTIFS($C$2:$C$5001,C2277,$J$2:$J$5001,J2277,$A$2:$A$5001,"&lt;"&amp;A2277)=0,1,0))</f>
        <v>0</v>
      </c>
    </row>
    <row r="2278" customFormat="false" ht="15" hidden="false" customHeight="false" outlineLevel="0" collapsed="false">
      <c r="A2278" s="23" t="n">
        <v>46269.7756944444</v>
      </c>
      <c r="B2278" s="24" t="s">
        <v>1040</v>
      </c>
      <c r="C2278" s="24" t="s">
        <v>58</v>
      </c>
      <c r="D2278" s="24" t="s">
        <v>53</v>
      </c>
      <c r="E2278" s="24" t="n">
        <v>220</v>
      </c>
      <c r="F2278" s="25" t="n">
        <v>4000</v>
      </c>
      <c r="G2278" s="24" t="s">
        <v>59</v>
      </c>
      <c r="H2278" s="24" t="s">
        <v>55</v>
      </c>
      <c r="I2278" s="24" t="s">
        <v>61</v>
      </c>
      <c r="J2278" s="26" t="n">
        <f aca="false">IF(A2278="","",YEAR(A2278))</f>
        <v>2026</v>
      </c>
      <c r="K2278" s="26" t="n">
        <f aca="false">IF(A2278="","",MONTH(A2278))</f>
        <v>9</v>
      </c>
      <c r="L2278" s="26" t="n">
        <f aca="false">IF(B2278="","",VALUE(LEFT(B2278,2)))</f>
        <v>14</v>
      </c>
      <c r="M2278" s="26" t="n">
        <f aca="false">IF(A2278="","",IF(COUNTIFS($C$2:$C$5001,C2278,$J$2:$J$5001,J2278,$A$2:$A$5001,"&lt;"&amp;A2278)=0,1,0))</f>
        <v>0</v>
      </c>
    </row>
    <row r="2279" customFormat="false" ht="15" hidden="false" customHeight="false" outlineLevel="0" collapsed="false">
      <c r="A2279" s="23" t="n">
        <v>46269.8090277778</v>
      </c>
      <c r="B2279" s="24" t="s">
        <v>960</v>
      </c>
      <c r="C2279" s="24" t="s">
        <v>85</v>
      </c>
      <c r="D2279" s="24" t="s">
        <v>53</v>
      </c>
      <c r="E2279" s="24" t="n">
        <v>123</v>
      </c>
      <c r="F2279" s="25" t="n">
        <v>2500</v>
      </c>
      <c r="G2279" s="24" t="s">
        <v>59</v>
      </c>
      <c r="H2279" s="24" t="s">
        <v>55</v>
      </c>
      <c r="I2279" s="24" t="s">
        <v>61</v>
      </c>
      <c r="J2279" s="26" t="n">
        <f aca="false">IF(A2279="","",YEAR(A2279))</f>
        <v>2026</v>
      </c>
      <c r="K2279" s="26" t="n">
        <f aca="false">IF(A2279="","",MONTH(A2279))</f>
        <v>9</v>
      </c>
      <c r="L2279" s="26" t="n">
        <f aca="false">IF(B2279="","",VALUE(LEFT(B2279,2)))</f>
        <v>17</v>
      </c>
      <c r="M2279" s="26" t="n">
        <f aca="false">IF(A2279="","",IF(COUNTIFS($C$2:$C$5001,C2279,$J$2:$J$5001,J2279,$A$2:$A$5001,"&lt;"&amp;A2279)=0,1,0))</f>
        <v>0</v>
      </c>
    </row>
    <row r="2280" customFormat="false" ht="15" hidden="false" customHeight="false" outlineLevel="0" collapsed="false">
      <c r="A2280" s="23" t="n">
        <v>46269.9236111111</v>
      </c>
      <c r="B2280" s="24" t="s">
        <v>797</v>
      </c>
      <c r="C2280" s="24" t="s">
        <v>197</v>
      </c>
      <c r="D2280" s="24" t="s">
        <v>53</v>
      </c>
      <c r="E2280" s="24" t="n">
        <v>158</v>
      </c>
      <c r="F2280" s="25" t="n">
        <v>3000</v>
      </c>
      <c r="G2280" s="24" t="s">
        <v>79</v>
      </c>
      <c r="H2280" s="24" t="s">
        <v>60</v>
      </c>
      <c r="I2280" s="24" t="s">
        <v>61</v>
      </c>
      <c r="J2280" s="26" t="n">
        <f aca="false">IF(A2280="","",YEAR(A2280))</f>
        <v>2026</v>
      </c>
      <c r="K2280" s="26" t="n">
        <f aca="false">IF(A2280="","",MONTH(A2280))</f>
        <v>9</v>
      </c>
      <c r="L2280" s="26" t="n">
        <f aca="false">IF(B2280="","",VALUE(LEFT(B2280,2)))</f>
        <v>19</v>
      </c>
      <c r="M2280" s="26" t="n">
        <f aca="false">IF(A2280="","",IF(COUNTIFS($C$2:$C$5001,C2280,$J$2:$J$5001,J2280,$A$2:$A$5001,"&lt;"&amp;A2280)=0,1,0))</f>
        <v>0</v>
      </c>
    </row>
    <row r="2281" customFormat="false" ht="15" hidden="false" customHeight="false" outlineLevel="0" collapsed="false">
      <c r="A2281" s="23" t="n">
        <v>46270.0597222222</v>
      </c>
      <c r="B2281" s="24" t="s">
        <v>1041</v>
      </c>
      <c r="C2281" s="24" t="s">
        <v>160</v>
      </c>
      <c r="D2281" s="24" t="s">
        <v>66</v>
      </c>
      <c r="E2281" s="24" t="n">
        <v>297</v>
      </c>
      <c r="F2281" s="25" t="n">
        <v>10000</v>
      </c>
      <c r="G2281" s="24" t="s">
        <v>69</v>
      </c>
      <c r="H2281" s="24" t="s">
        <v>55</v>
      </c>
      <c r="I2281" s="24" t="s">
        <v>61</v>
      </c>
      <c r="J2281" s="26" t="n">
        <f aca="false">IF(A2281="","",YEAR(A2281))</f>
        <v>2026</v>
      </c>
      <c r="K2281" s="26" t="n">
        <f aca="false">IF(A2281="","",MONTH(A2281))</f>
        <v>9</v>
      </c>
      <c r="L2281" s="26" t="n">
        <f aca="false">IF(B2281="","",VALUE(LEFT(B2281,2)))</f>
        <v>20</v>
      </c>
      <c r="M2281" s="26" t="n">
        <f aca="false">IF(A2281="","",IF(COUNTIFS($C$2:$C$5001,C2281,$J$2:$J$5001,J2281,$A$2:$A$5001,"&lt;"&amp;A2281)=0,1,0))</f>
        <v>0</v>
      </c>
    </row>
    <row r="2282" customFormat="false" ht="15" hidden="false" customHeight="false" outlineLevel="0" collapsed="false">
      <c r="A2282" s="23" t="n">
        <v>46270.5375</v>
      </c>
      <c r="B2282" s="24" t="s">
        <v>249</v>
      </c>
      <c r="C2282" s="24" t="s">
        <v>286</v>
      </c>
      <c r="D2282" s="24" t="s">
        <v>88</v>
      </c>
      <c r="E2282" s="24" t="n">
        <v>43</v>
      </c>
      <c r="F2282" s="25" t="n">
        <v>2550</v>
      </c>
      <c r="G2282" s="24" t="s">
        <v>59</v>
      </c>
      <c r="H2282" s="24" t="s">
        <v>80</v>
      </c>
      <c r="I2282" s="24" t="s">
        <v>113</v>
      </c>
      <c r="J2282" s="26" t="n">
        <f aca="false">IF(A2282="","",YEAR(A2282))</f>
        <v>2026</v>
      </c>
      <c r="K2282" s="26" t="n">
        <f aca="false">IF(A2282="","",MONTH(A2282))</f>
        <v>9</v>
      </c>
      <c r="L2282" s="26" t="n">
        <f aca="false">IF(B2282="","",VALUE(LEFT(B2282,2)))</f>
        <v>12</v>
      </c>
      <c r="M2282" s="26" t="n">
        <f aca="false">IF(A2282="","",IF(COUNTIFS($C$2:$C$5001,C2282,$J$2:$J$5001,J2282,$A$2:$A$5001,"&lt;"&amp;A2282)=0,1,0))</f>
        <v>0</v>
      </c>
    </row>
    <row r="2283" customFormat="false" ht="15" hidden="false" customHeight="false" outlineLevel="0" collapsed="false">
      <c r="A2283" s="23" t="n">
        <v>46270.7472222222</v>
      </c>
      <c r="B2283" s="24" t="s">
        <v>509</v>
      </c>
      <c r="C2283" s="24" t="s">
        <v>131</v>
      </c>
      <c r="D2283" s="24" t="s">
        <v>66</v>
      </c>
      <c r="E2283" s="24" t="n">
        <v>273</v>
      </c>
      <c r="F2283" s="25" t="n">
        <v>0</v>
      </c>
      <c r="G2283" s="24" t="s">
        <v>59</v>
      </c>
      <c r="H2283" s="24" t="s">
        <v>60</v>
      </c>
      <c r="I2283" s="24" t="s">
        <v>56</v>
      </c>
      <c r="J2283" s="26" t="n">
        <f aca="false">IF(A2283="","",YEAR(A2283))</f>
        <v>2026</v>
      </c>
      <c r="K2283" s="26" t="n">
        <f aca="false">IF(A2283="","",MONTH(A2283))</f>
        <v>9</v>
      </c>
      <c r="L2283" s="26" t="n">
        <f aca="false">IF(B2283="","",VALUE(LEFT(B2283,2)))</f>
        <v>13</v>
      </c>
      <c r="M2283" s="26" t="n">
        <f aca="false">IF(A2283="","",IF(COUNTIFS($C$2:$C$5001,C2283,$J$2:$J$5001,J2283,$A$2:$A$5001,"&lt;"&amp;A2283)=0,1,0))</f>
        <v>0</v>
      </c>
    </row>
    <row r="2284" customFormat="false" ht="15" hidden="false" customHeight="false" outlineLevel="0" collapsed="false">
      <c r="A2284" s="23" t="n">
        <v>46270.7770833333</v>
      </c>
      <c r="B2284" s="24" t="s">
        <v>434</v>
      </c>
      <c r="C2284" s="24" t="s">
        <v>277</v>
      </c>
      <c r="D2284" s="24" t="s">
        <v>53</v>
      </c>
      <c r="E2284" s="24" t="n">
        <v>331</v>
      </c>
      <c r="F2284" s="25" t="n">
        <v>6000</v>
      </c>
      <c r="G2284" s="24" t="s">
        <v>59</v>
      </c>
      <c r="H2284" s="24" t="s">
        <v>55</v>
      </c>
      <c r="I2284" s="24" t="s">
        <v>61</v>
      </c>
      <c r="J2284" s="26" t="n">
        <f aca="false">IF(A2284="","",YEAR(A2284))</f>
        <v>2026</v>
      </c>
      <c r="K2284" s="26" t="n">
        <f aca="false">IF(A2284="","",MONTH(A2284))</f>
        <v>9</v>
      </c>
      <c r="L2284" s="26" t="n">
        <f aca="false">IF(B2284="","",VALUE(LEFT(B2284,2)))</f>
        <v>13</v>
      </c>
      <c r="M2284" s="26" t="n">
        <f aca="false">IF(A2284="","",IF(COUNTIFS($C$2:$C$5001,C2284,$J$2:$J$5001,J2284,$A$2:$A$5001,"&lt;"&amp;A2284)=0,1,0))</f>
        <v>0</v>
      </c>
    </row>
    <row r="2285" customFormat="false" ht="15" hidden="false" customHeight="false" outlineLevel="0" collapsed="false">
      <c r="A2285" s="23" t="n">
        <v>46271.9388888889</v>
      </c>
      <c r="B2285" s="24" t="s">
        <v>294</v>
      </c>
      <c r="C2285" s="24" t="s">
        <v>265</v>
      </c>
      <c r="D2285" s="24" t="s">
        <v>66</v>
      </c>
      <c r="E2285" s="24" t="n">
        <v>159</v>
      </c>
      <c r="F2285" s="25" t="n">
        <v>0</v>
      </c>
      <c r="G2285" s="24" t="s">
        <v>79</v>
      </c>
      <c r="H2285" s="24" t="s">
        <v>60</v>
      </c>
      <c r="I2285" s="24" t="s">
        <v>56</v>
      </c>
      <c r="J2285" s="26" t="n">
        <f aca="false">IF(A2285="","",YEAR(A2285))</f>
        <v>2026</v>
      </c>
      <c r="K2285" s="26" t="n">
        <f aca="false">IF(A2285="","",MONTH(A2285))</f>
        <v>9</v>
      </c>
      <c r="L2285" s="26" t="n">
        <f aca="false">IF(B2285="","",VALUE(LEFT(B2285,2)))</f>
        <v>19</v>
      </c>
      <c r="M2285" s="26" t="n">
        <f aca="false">IF(A2285="","",IF(COUNTIFS($C$2:$C$5001,C2285,$J$2:$J$5001,J2285,$A$2:$A$5001,"&lt;"&amp;A2285)=0,1,0))</f>
        <v>0</v>
      </c>
    </row>
    <row r="2286" customFormat="false" ht="15" hidden="false" customHeight="false" outlineLevel="0" collapsed="false">
      <c r="A2286" s="23" t="n">
        <v>46272.1527777778</v>
      </c>
      <c r="B2286" s="24" t="s">
        <v>993</v>
      </c>
      <c r="C2286" s="24" t="s">
        <v>201</v>
      </c>
      <c r="D2286" s="24" t="s">
        <v>66</v>
      </c>
      <c r="E2286" s="24" t="n">
        <v>408</v>
      </c>
      <c r="F2286" s="25" t="n">
        <v>14000</v>
      </c>
      <c r="G2286" s="24" t="s">
        <v>59</v>
      </c>
      <c r="H2286" s="24" t="s">
        <v>55</v>
      </c>
      <c r="I2286" s="24" t="s">
        <v>61</v>
      </c>
      <c r="J2286" s="26" t="n">
        <f aca="false">IF(A2286="","",YEAR(A2286))</f>
        <v>2026</v>
      </c>
      <c r="K2286" s="26" t="n">
        <f aca="false">IF(A2286="","",MONTH(A2286))</f>
        <v>9</v>
      </c>
      <c r="L2286" s="26" t="n">
        <f aca="false">IF(B2286="","",VALUE(LEFT(B2286,2)))</f>
        <v>20</v>
      </c>
      <c r="M2286" s="26" t="n">
        <f aca="false">IF(A2286="","",IF(COUNTIFS($C$2:$C$5001,C2286,$J$2:$J$5001,J2286,$A$2:$A$5001,"&lt;"&amp;A2286)=0,1,0))</f>
        <v>0</v>
      </c>
    </row>
    <row r="2287" customFormat="false" ht="15" hidden="false" customHeight="false" outlineLevel="0" collapsed="false">
      <c r="A2287" s="23" t="n">
        <v>46272.4604166667</v>
      </c>
      <c r="B2287" s="24" t="s">
        <v>468</v>
      </c>
      <c r="C2287" s="24" t="s">
        <v>174</v>
      </c>
      <c r="D2287" s="24" t="s">
        <v>72</v>
      </c>
      <c r="E2287" s="24" t="n">
        <v>52</v>
      </c>
      <c r="F2287" s="25" t="n">
        <v>4000</v>
      </c>
      <c r="G2287" s="24" t="s">
        <v>59</v>
      </c>
      <c r="H2287" s="24" t="s">
        <v>80</v>
      </c>
      <c r="I2287" s="24" t="s">
        <v>61</v>
      </c>
      <c r="J2287" s="26" t="n">
        <f aca="false">IF(A2287="","",YEAR(A2287))</f>
        <v>2026</v>
      </c>
      <c r="K2287" s="26" t="n">
        <f aca="false">IF(A2287="","",MONTH(A2287))</f>
        <v>9</v>
      </c>
      <c r="L2287" s="26" t="n">
        <f aca="false">IF(B2287="","",VALUE(LEFT(B2287,2)))</f>
        <v>10</v>
      </c>
      <c r="M2287" s="26" t="n">
        <f aca="false">IF(A2287="","",IF(COUNTIFS($C$2:$C$5001,C2287,$J$2:$J$5001,J2287,$A$2:$A$5001,"&lt;"&amp;A2287)=0,1,0))</f>
        <v>0</v>
      </c>
    </row>
    <row r="2288" customFormat="false" ht="15" hidden="false" customHeight="false" outlineLevel="0" collapsed="false">
      <c r="A2288" s="23" t="n">
        <v>46272.5590277778</v>
      </c>
      <c r="B2288" s="24" t="s">
        <v>624</v>
      </c>
      <c r="C2288" s="24" t="s">
        <v>131</v>
      </c>
      <c r="D2288" s="24" t="s">
        <v>66</v>
      </c>
      <c r="E2288" s="24" t="n">
        <v>293</v>
      </c>
      <c r="F2288" s="25" t="n">
        <v>10000</v>
      </c>
      <c r="G2288" s="24" t="s">
        <v>59</v>
      </c>
      <c r="H2288" s="24" t="s">
        <v>55</v>
      </c>
      <c r="I2288" s="24" t="s">
        <v>61</v>
      </c>
      <c r="J2288" s="26" t="n">
        <f aca="false">IF(A2288="","",YEAR(A2288))</f>
        <v>2026</v>
      </c>
      <c r="K2288" s="26" t="n">
        <f aca="false">IF(A2288="","",MONTH(A2288))</f>
        <v>9</v>
      </c>
      <c r="L2288" s="26" t="n">
        <f aca="false">IF(B2288="","",VALUE(LEFT(B2288,2)))</f>
        <v>8</v>
      </c>
      <c r="M2288" s="26" t="n">
        <f aca="false">IF(A2288="","",IF(COUNTIFS($C$2:$C$5001,C2288,$J$2:$J$5001,J2288,$A$2:$A$5001,"&lt;"&amp;A2288)=0,1,0))</f>
        <v>0</v>
      </c>
    </row>
    <row r="2289" customFormat="false" ht="15" hidden="false" customHeight="false" outlineLevel="0" collapsed="false">
      <c r="A2289" s="23" t="n">
        <v>46272.7541666667</v>
      </c>
      <c r="B2289" s="24" t="s">
        <v>441</v>
      </c>
      <c r="C2289" s="24" t="s">
        <v>316</v>
      </c>
      <c r="D2289" s="24" t="s">
        <v>66</v>
      </c>
      <c r="E2289" s="24" t="n">
        <v>333</v>
      </c>
      <c r="F2289" s="25" t="n">
        <v>10200</v>
      </c>
      <c r="G2289" s="24" t="s">
        <v>69</v>
      </c>
      <c r="H2289" s="24" t="s">
        <v>60</v>
      </c>
      <c r="I2289" s="24" t="s">
        <v>113</v>
      </c>
      <c r="J2289" s="26" t="n">
        <f aca="false">IF(A2289="","",YEAR(A2289))</f>
        <v>2026</v>
      </c>
      <c r="K2289" s="26" t="n">
        <f aca="false">IF(A2289="","",MONTH(A2289))</f>
        <v>9</v>
      </c>
      <c r="L2289" s="26" t="n">
        <f aca="false">IF(B2289="","",VALUE(LEFT(B2289,2)))</f>
        <v>12</v>
      </c>
      <c r="M2289" s="26" t="n">
        <f aca="false">IF(A2289="","",IF(COUNTIFS($C$2:$C$5001,C2289,$J$2:$J$5001,J2289,$A$2:$A$5001,"&lt;"&amp;A2289)=0,1,0))</f>
        <v>1</v>
      </c>
    </row>
    <row r="2290" customFormat="false" ht="15" hidden="false" customHeight="false" outlineLevel="0" collapsed="false">
      <c r="A2290" s="23" t="n">
        <v>46272.8673611111</v>
      </c>
      <c r="B2290" s="24" t="s">
        <v>159</v>
      </c>
      <c r="C2290" s="24" t="s">
        <v>220</v>
      </c>
      <c r="D2290" s="24" t="s">
        <v>66</v>
      </c>
      <c r="E2290" s="24" t="n">
        <v>29</v>
      </c>
      <c r="F2290" s="25" t="n">
        <v>1000</v>
      </c>
      <c r="G2290" s="24" t="s">
        <v>83</v>
      </c>
      <c r="H2290" s="24" t="s">
        <v>55</v>
      </c>
      <c r="I2290" s="24" t="s">
        <v>61</v>
      </c>
      <c r="J2290" s="26" t="n">
        <f aca="false">IF(A2290="","",YEAR(A2290))</f>
        <v>2026</v>
      </c>
      <c r="K2290" s="26" t="n">
        <f aca="false">IF(A2290="","",MONTH(A2290))</f>
        <v>9</v>
      </c>
      <c r="L2290" s="26" t="n">
        <f aca="false">IF(B2290="","",VALUE(LEFT(B2290,2)))</f>
        <v>20</v>
      </c>
      <c r="M2290" s="26" t="n">
        <f aca="false">IF(A2290="","",IF(COUNTIFS($C$2:$C$5001,C2290,$J$2:$J$5001,J2290,$A$2:$A$5001,"&lt;"&amp;A2290)=0,1,0))</f>
        <v>0</v>
      </c>
    </row>
    <row r="2291" customFormat="false" ht="15" hidden="false" customHeight="false" outlineLevel="0" collapsed="false">
      <c r="A2291" s="23" t="n">
        <v>46273.9479166667</v>
      </c>
      <c r="B2291" s="24" t="s">
        <v>451</v>
      </c>
      <c r="C2291" s="24" t="s">
        <v>203</v>
      </c>
      <c r="D2291" s="24" t="s">
        <v>66</v>
      </c>
      <c r="E2291" s="24" t="n">
        <v>341</v>
      </c>
      <c r="F2291" s="25" t="n">
        <v>0</v>
      </c>
      <c r="G2291" s="24" t="s">
        <v>59</v>
      </c>
      <c r="H2291" s="24" t="s">
        <v>55</v>
      </c>
      <c r="I2291" s="24" t="s">
        <v>56</v>
      </c>
      <c r="J2291" s="26" t="n">
        <f aca="false">IF(A2291="","",YEAR(A2291))</f>
        <v>2026</v>
      </c>
      <c r="K2291" s="26" t="n">
        <f aca="false">IF(A2291="","",MONTH(A2291))</f>
        <v>9</v>
      </c>
      <c r="L2291" s="26" t="n">
        <f aca="false">IF(B2291="","",VALUE(LEFT(B2291,2)))</f>
        <v>17</v>
      </c>
      <c r="M2291" s="26" t="n">
        <f aca="false">IF(A2291="","",IF(COUNTIFS($C$2:$C$5001,C2291,$J$2:$J$5001,J2291,$A$2:$A$5001,"&lt;"&amp;A2291)=0,1,0))</f>
        <v>0</v>
      </c>
    </row>
    <row r="2292" customFormat="false" ht="15" hidden="false" customHeight="false" outlineLevel="0" collapsed="false">
      <c r="A2292" s="23" t="n">
        <v>46273.9986111111</v>
      </c>
      <c r="B2292" s="24" t="s">
        <v>818</v>
      </c>
      <c r="C2292" s="24" t="s">
        <v>78</v>
      </c>
      <c r="D2292" s="24" t="s">
        <v>66</v>
      </c>
      <c r="E2292" s="24" t="n">
        <v>356</v>
      </c>
      <c r="F2292" s="25" t="n">
        <v>12000</v>
      </c>
      <c r="G2292" s="24" t="s">
        <v>59</v>
      </c>
      <c r="H2292" s="24" t="s">
        <v>60</v>
      </c>
      <c r="I2292" s="24" t="s">
        <v>61</v>
      </c>
      <c r="J2292" s="26" t="n">
        <f aca="false">IF(A2292="","",YEAR(A2292))</f>
        <v>2026</v>
      </c>
      <c r="K2292" s="26" t="n">
        <f aca="false">IF(A2292="","",MONTH(A2292))</f>
        <v>9</v>
      </c>
      <c r="L2292" s="26" t="n">
        <f aca="false">IF(B2292="","",VALUE(LEFT(B2292,2)))</f>
        <v>18</v>
      </c>
      <c r="M2292" s="26" t="n">
        <f aca="false">IF(A2292="","",IF(COUNTIFS($C$2:$C$5001,C2292,$J$2:$J$5001,J2292,$A$2:$A$5001,"&lt;"&amp;A2292)=0,1,0))</f>
        <v>0</v>
      </c>
    </row>
    <row r="2293" customFormat="false" ht="15" hidden="false" customHeight="false" outlineLevel="0" collapsed="false">
      <c r="A2293" s="23" t="n">
        <v>46273.9986111111</v>
      </c>
      <c r="B2293" s="24" t="s">
        <v>399</v>
      </c>
      <c r="C2293" s="24" t="s">
        <v>546</v>
      </c>
      <c r="D2293" s="24" t="s">
        <v>88</v>
      </c>
      <c r="E2293" s="24" t="n">
        <v>203</v>
      </c>
      <c r="F2293" s="25" t="n">
        <v>10500</v>
      </c>
      <c r="G2293" s="24" t="s">
        <v>83</v>
      </c>
      <c r="H2293" s="24" t="s">
        <v>80</v>
      </c>
      <c r="I2293" s="24" t="s">
        <v>61</v>
      </c>
      <c r="J2293" s="26" t="n">
        <f aca="false">IF(A2293="","",YEAR(A2293))</f>
        <v>2026</v>
      </c>
      <c r="K2293" s="26" t="n">
        <f aca="false">IF(A2293="","",MONTH(A2293))</f>
        <v>9</v>
      </c>
      <c r="L2293" s="26" t="n">
        <f aca="false">IF(B2293="","",VALUE(LEFT(B2293,2)))</f>
        <v>20</v>
      </c>
      <c r="M2293" s="26" t="n">
        <f aca="false">IF(A2293="","",IF(COUNTIFS($C$2:$C$5001,C2293,$J$2:$J$5001,J2293,$A$2:$A$5001,"&lt;"&amp;A2293)=0,1,0))</f>
        <v>0</v>
      </c>
    </row>
    <row r="2294" customFormat="false" ht="15" hidden="false" customHeight="false" outlineLevel="0" collapsed="false">
      <c r="A2294" s="23" t="n">
        <v>46274.0479166667</v>
      </c>
      <c r="B2294" s="24" t="s">
        <v>594</v>
      </c>
      <c r="C2294" s="24" t="s">
        <v>65</v>
      </c>
      <c r="D2294" s="24" t="s">
        <v>66</v>
      </c>
      <c r="E2294" s="24" t="n">
        <v>256</v>
      </c>
      <c r="F2294" s="25" t="n">
        <v>9000</v>
      </c>
      <c r="G2294" s="24" t="s">
        <v>69</v>
      </c>
      <c r="H2294" s="24" t="s">
        <v>80</v>
      </c>
      <c r="I2294" s="24" t="s">
        <v>61</v>
      </c>
      <c r="J2294" s="26" t="n">
        <f aca="false">IF(A2294="","",YEAR(A2294))</f>
        <v>2026</v>
      </c>
      <c r="K2294" s="26" t="n">
        <f aca="false">IF(A2294="","",MONTH(A2294))</f>
        <v>9</v>
      </c>
      <c r="L2294" s="26" t="n">
        <f aca="false">IF(B2294="","",VALUE(LEFT(B2294,2)))</f>
        <v>20</v>
      </c>
      <c r="M2294" s="26" t="n">
        <f aca="false">IF(A2294="","",IF(COUNTIFS($C$2:$C$5001,C2294,$J$2:$J$5001,J2294,$A$2:$A$5001,"&lt;"&amp;A2294)=0,1,0))</f>
        <v>0</v>
      </c>
    </row>
    <row r="2295" customFormat="false" ht="15" hidden="false" customHeight="false" outlineLevel="0" collapsed="false">
      <c r="A2295" s="23" t="n">
        <v>46274.3006944444</v>
      </c>
      <c r="B2295" s="24" t="s">
        <v>652</v>
      </c>
      <c r="C2295" s="24" t="s">
        <v>105</v>
      </c>
      <c r="D2295" s="24" t="s">
        <v>66</v>
      </c>
      <c r="E2295" s="24" t="n">
        <v>54</v>
      </c>
      <c r="F2295" s="25" t="n">
        <v>2000</v>
      </c>
      <c r="G2295" s="24" t="s">
        <v>69</v>
      </c>
      <c r="H2295" s="24" t="s">
        <v>60</v>
      </c>
      <c r="I2295" s="24" t="s">
        <v>61</v>
      </c>
      <c r="J2295" s="26" t="n">
        <f aca="false">IF(A2295="","",YEAR(A2295))</f>
        <v>2026</v>
      </c>
      <c r="K2295" s="26" t="n">
        <f aca="false">IF(A2295="","",MONTH(A2295))</f>
        <v>9</v>
      </c>
      <c r="L2295" s="26" t="n">
        <f aca="false">IF(B2295="","",VALUE(LEFT(B2295,2)))</f>
        <v>6</v>
      </c>
      <c r="M2295" s="26" t="n">
        <f aca="false">IF(A2295="","",IF(COUNTIFS($C$2:$C$5001,C2295,$J$2:$J$5001,J2295,$A$2:$A$5001,"&lt;"&amp;A2295)=0,1,0))</f>
        <v>0</v>
      </c>
    </row>
    <row r="2296" customFormat="false" ht="15" hidden="false" customHeight="false" outlineLevel="0" collapsed="false">
      <c r="A2296" s="23" t="n">
        <v>46274.3833333333</v>
      </c>
      <c r="B2296" s="24" t="s">
        <v>349</v>
      </c>
      <c r="C2296" s="24" t="s">
        <v>271</v>
      </c>
      <c r="D2296" s="24" t="s">
        <v>66</v>
      </c>
      <c r="E2296" s="24" t="n">
        <v>104</v>
      </c>
      <c r="F2296" s="25" t="n">
        <v>4000</v>
      </c>
      <c r="G2296" s="24" t="s">
        <v>59</v>
      </c>
      <c r="H2296" s="24" t="s">
        <v>80</v>
      </c>
      <c r="I2296" s="24" t="s">
        <v>61</v>
      </c>
      <c r="J2296" s="26" t="n">
        <f aca="false">IF(A2296="","",YEAR(A2296))</f>
        <v>2026</v>
      </c>
      <c r="K2296" s="26" t="n">
        <f aca="false">IF(A2296="","",MONTH(A2296))</f>
        <v>9</v>
      </c>
      <c r="L2296" s="26" t="n">
        <f aca="false">IF(B2296="","",VALUE(LEFT(B2296,2)))</f>
        <v>7</v>
      </c>
      <c r="M2296" s="26" t="n">
        <f aca="false">IF(A2296="","",IF(COUNTIFS($C$2:$C$5001,C2296,$J$2:$J$5001,J2296,$A$2:$A$5001,"&lt;"&amp;A2296)=0,1,0))</f>
        <v>0</v>
      </c>
    </row>
    <row r="2297" customFormat="false" ht="15" hidden="false" customHeight="false" outlineLevel="0" collapsed="false">
      <c r="A2297" s="23" t="n">
        <v>46274.5548611111</v>
      </c>
      <c r="B2297" s="24" t="s">
        <v>753</v>
      </c>
      <c r="C2297" s="24" t="s">
        <v>184</v>
      </c>
      <c r="D2297" s="24" t="s">
        <v>72</v>
      </c>
      <c r="E2297" s="24" t="n">
        <v>231</v>
      </c>
      <c r="F2297" s="25" t="n">
        <v>0</v>
      </c>
      <c r="G2297" s="24" t="s">
        <v>79</v>
      </c>
      <c r="H2297" s="24" t="s">
        <v>80</v>
      </c>
      <c r="I2297" s="24" t="s">
        <v>56</v>
      </c>
      <c r="J2297" s="26" t="n">
        <f aca="false">IF(A2297="","",YEAR(A2297))</f>
        <v>2026</v>
      </c>
      <c r="K2297" s="26" t="n">
        <f aca="false">IF(A2297="","",MONTH(A2297))</f>
        <v>9</v>
      </c>
      <c r="L2297" s="26" t="n">
        <f aca="false">IF(B2297="","",VALUE(LEFT(B2297,2)))</f>
        <v>9</v>
      </c>
      <c r="M2297" s="26" t="n">
        <f aca="false">IF(A2297="","",IF(COUNTIFS($C$2:$C$5001,C2297,$J$2:$J$5001,J2297,$A$2:$A$5001,"&lt;"&amp;A2297)=0,1,0))</f>
        <v>1</v>
      </c>
    </row>
    <row r="2298" customFormat="false" ht="15" hidden="false" customHeight="false" outlineLevel="0" collapsed="false">
      <c r="A2298" s="23" t="n">
        <v>46274.5694444445</v>
      </c>
      <c r="B2298" s="24" t="s">
        <v>474</v>
      </c>
      <c r="C2298" s="24" t="s">
        <v>265</v>
      </c>
      <c r="D2298" s="24" t="s">
        <v>88</v>
      </c>
      <c r="E2298" s="24" t="n">
        <v>157</v>
      </c>
      <c r="F2298" s="25" t="n">
        <v>9000</v>
      </c>
      <c r="G2298" s="24" t="s">
        <v>59</v>
      </c>
      <c r="H2298" s="24" t="s">
        <v>60</v>
      </c>
      <c r="I2298" s="24" t="s">
        <v>61</v>
      </c>
      <c r="J2298" s="26" t="n">
        <f aca="false">IF(A2298="","",YEAR(A2298))</f>
        <v>2026</v>
      </c>
      <c r="K2298" s="26" t="n">
        <f aca="false">IF(A2298="","",MONTH(A2298))</f>
        <v>9</v>
      </c>
      <c r="L2298" s="26" t="n">
        <f aca="false">IF(B2298="","",VALUE(LEFT(B2298,2)))</f>
        <v>11</v>
      </c>
      <c r="M2298" s="26" t="n">
        <f aca="false">IF(A2298="","",IF(COUNTIFS($C$2:$C$5001,C2298,$J$2:$J$5001,J2298,$A$2:$A$5001,"&lt;"&amp;A2298)=0,1,0))</f>
        <v>0</v>
      </c>
    </row>
    <row r="2299" customFormat="false" ht="15" hidden="false" customHeight="false" outlineLevel="0" collapsed="false">
      <c r="A2299" s="23" t="n">
        <v>46274.6548611111</v>
      </c>
      <c r="B2299" s="24" t="s">
        <v>838</v>
      </c>
      <c r="C2299" s="24" t="s">
        <v>309</v>
      </c>
      <c r="D2299" s="24" t="s">
        <v>66</v>
      </c>
      <c r="E2299" s="24" t="n">
        <v>109</v>
      </c>
      <c r="F2299" s="25" t="n">
        <v>4000</v>
      </c>
      <c r="G2299" s="24" t="s">
        <v>79</v>
      </c>
      <c r="H2299" s="24" t="s">
        <v>55</v>
      </c>
      <c r="I2299" s="24" t="s">
        <v>61</v>
      </c>
      <c r="J2299" s="26" t="n">
        <f aca="false">IF(A2299="","",YEAR(A2299))</f>
        <v>2026</v>
      </c>
      <c r="K2299" s="26" t="n">
        <f aca="false">IF(A2299="","",MONTH(A2299))</f>
        <v>9</v>
      </c>
      <c r="L2299" s="26" t="n">
        <f aca="false">IF(B2299="","",VALUE(LEFT(B2299,2)))</f>
        <v>13</v>
      </c>
      <c r="M2299" s="26" t="n">
        <f aca="false">IF(A2299="","",IF(COUNTIFS($C$2:$C$5001,C2299,$J$2:$J$5001,J2299,$A$2:$A$5001,"&lt;"&amp;A2299)=0,1,0))</f>
        <v>0</v>
      </c>
    </row>
    <row r="2300" customFormat="false" ht="15" hidden="false" customHeight="false" outlineLevel="0" collapsed="false">
      <c r="A2300" s="23" t="n">
        <v>46274.6895833333</v>
      </c>
      <c r="B2300" s="24" t="s">
        <v>1042</v>
      </c>
      <c r="C2300" s="24" t="s">
        <v>179</v>
      </c>
      <c r="D2300" s="24" t="s">
        <v>66</v>
      </c>
      <c r="E2300" s="24" t="n">
        <v>103</v>
      </c>
      <c r="F2300" s="25" t="n">
        <v>4000</v>
      </c>
      <c r="G2300" s="24" t="s">
        <v>59</v>
      </c>
      <c r="H2300" s="24" t="s">
        <v>80</v>
      </c>
      <c r="I2300" s="24" t="s">
        <v>61</v>
      </c>
      <c r="J2300" s="26" t="n">
        <f aca="false">IF(A2300="","",YEAR(A2300))</f>
        <v>2026</v>
      </c>
      <c r="K2300" s="26" t="n">
        <f aca="false">IF(A2300="","",MONTH(A2300))</f>
        <v>9</v>
      </c>
      <c r="L2300" s="26" t="n">
        <f aca="false">IF(B2300="","",VALUE(LEFT(B2300,2)))</f>
        <v>14</v>
      </c>
      <c r="M2300" s="26" t="n">
        <f aca="false">IF(A2300="","",IF(COUNTIFS($C$2:$C$5001,C2300,$J$2:$J$5001,J2300,$A$2:$A$5001,"&lt;"&amp;A2300)=0,1,0))</f>
        <v>0</v>
      </c>
    </row>
    <row r="2301" customFormat="false" ht="15" hidden="false" customHeight="false" outlineLevel="0" collapsed="false">
      <c r="A2301" s="23" t="n">
        <v>46274.7534722222</v>
      </c>
      <c r="B2301" s="24" t="s">
        <v>923</v>
      </c>
      <c r="C2301" s="24" t="s">
        <v>240</v>
      </c>
      <c r="D2301" s="24" t="s">
        <v>66</v>
      </c>
      <c r="E2301" s="24" t="n">
        <v>366</v>
      </c>
      <c r="F2301" s="25" t="n">
        <v>11050</v>
      </c>
      <c r="G2301" s="24" t="s">
        <v>59</v>
      </c>
      <c r="H2301" s="24" t="s">
        <v>80</v>
      </c>
      <c r="I2301" s="24" t="s">
        <v>113</v>
      </c>
      <c r="J2301" s="26" t="n">
        <f aca="false">IF(A2301="","",YEAR(A2301))</f>
        <v>2026</v>
      </c>
      <c r="K2301" s="26" t="n">
        <f aca="false">IF(A2301="","",MONTH(A2301))</f>
        <v>9</v>
      </c>
      <c r="L2301" s="26" t="n">
        <f aca="false">IF(B2301="","",VALUE(LEFT(B2301,2)))</f>
        <v>11</v>
      </c>
      <c r="M2301" s="26" t="n">
        <f aca="false">IF(A2301="","",IF(COUNTIFS($C$2:$C$5001,C2301,$J$2:$J$5001,J2301,$A$2:$A$5001,"&lt;"&amp;A2301)=0,1,0))</f>
        <v>0</v>
      </c>
    </row>
    <row r="2302" customFormat="false" ht="15" hidden="false" customHeight="false" outlineLevel="0" collapsed="false">
      <c r="A2302" s="23" t="n">
        <v>46274.9138888889</v>
      </c>
      <c r="B2302" s="24" t="s">
        <v>568</v>
      </c>
      <c r="C2302" s="24" t="s">
        <v>141</v>
      </c>
      <c r="D2302" s="24" t="s">
        <v>66</v>
      </c>
      <c r="E2302" s="24" t="n">
        <v>130</v>
      </c>
      <c r="F2302" s="25" t="n">
        <v>5000</v>
      </c>
      <c r="G2302" s="24" t="s">
        <v>83</v>
      </c>
      <c r="H2302" s="24" t="s">
        <v>80</v>
      </c>
      <c r="I2302" s="24" t="s">
        <v>61</v>
      </c>
      <c r="J2302" s="26" t="n">
        <f aca="false">IF(A2302="","",YEAR(A2302))</f>
        <v>2026</v>
      </c>
      <c r="K2302" s="26" t="n">
        <f aca="false">IF(A2302="","",MONTH(A2302))</f>
        <v>9</v>
      </c>
      <c r="L2302" s="26" t="n">
        <f aca="false">IF(B2302="","",VALUE(LEFT(B2302,2)))</f>
        <v>19</v>
      </c>
      <c r="M2302" s="26" t="n">
        <f aca="false">IF(A2302="","",IF(COUNTIFS($C$2:$C$5001,C2302,$J$2:$J$5001,J2302,$A$2:$A$5001,"&lt;"&amp;A2302)=0,1,0))</f>
        <v>0</v>
      </c>
    </row>
    <row r="2303" customFormat="false" ht="15" hidden="false" customHeight="false" outlineLevel="0" collapsed="false">
      <c r="A2303" s="23" t="n">
        <v>46275.4715277778</v>
      </c>
      <c r="B2303" s="24" t="s">
        <v>565</v>
      </c>
      <c r="C2303" s="24" t="s">
        <v>92</v>
      </c>
      <c r="D2303" s="24" t="s">
        <v>66</v>
      </c>
      <c r="E2303" s="24" t="n">
        <v>193</v>
      </c>
      <c r="F2303" s="25" t="n">
        <v>7000</v>
      </c>
      <c r="G2303" s="24" t="s">
        <v>59</v>
      </c>
      <c r="H2303" s="24" t="s">
        <v>55</v>
      </c>
      <c r="I2303" s="24" t="s">
        <v>61</v>
      </c>
      <c r="J2303" s="26" t="n">
        <f aca="false">IF(A2303="","",YEAR(A2303))</f>
        <v>2026</v>
      </c>
      <c r="K2303" s="26" t="n">
        <f aca="false">IF(A2303="","",MONTH(A2303))</f>
        <v>9</v>
      </c>
      <c r="L2303" s="26" t="n">
        <f aca="false">IF(B2303="","",VALUE(LEFT(B2303,2)))</f>
        <v>8</v>
      </c>
      <c r="M2303" s="26" t="n">
        <f aca="false">IF(A2303="","",IF(COUNTIFS($C$2:$C$5001,C2303,$J$2:$J$5001,J2303,$A$2:$A$5001,"&lt;"&amp;A2303)=0,1,0))</f>
        <v>0</v>
      </c>
    </row>
    <row r="2304" customFormat="false" ht="15" hidden="false" customHeight="false" outlineLevel="0" collapsed="false">
      <c r="A2304" s="23" t="n">
        <v>46275.6659722222</v>
      </c>
      <c r="B2304" s="24" t="s">
        <v>895</v>
      </c>
      <c r="C2304" s="24" t="s">
        <v>58</v>
      </c>
      <c r="D2304" s="24" t="s">
        <v>66</v>
      </c>
      <c r="E2304" s="24" t="n">
        <v>386</v>
      </c>
      <c r="F2304" s="25" t="n">
        <v>13000</v>
      </c>
      <c r="G2304" s="24" t="s">
        <v>59</v>
      </c>
      <c r="H2304" s="24" t="s">
        <v>80</v>
      </c>
      <c r="I2304" s="24" t="s">
        <v>61</v>
      </c>
      <c r="J2304" s="26" t="n">
        <f aca="false">IF(A2304="","",YEAR(A2304))</f>
        <v>2026</v>
      </c>
      <c r="K2304" s="26" t="n">
        <f aca="false">IF(A2304="","",MONTH(A2304))</f>
        <v>9</v>
      </c>
      <c r="L2304" s="26" t="n">
        <f aca="false">IF(B2304="","",VALUE(LEFT(B2304,2)))</f>
        <v>9</v>
      </c>
      <c r="M2304" s="26" t="n">
        <f aca="false">IF(A2304="","",IF(COUNTIFS($C$2:$C$5001,C2304,$J$2:$J$5001,J2304,$A$2:$A$5001,"&lt;"&amp;A2304)=0,1,0))</f>
        <v>0</v>
      </c>
    </row>
    <row r="2305" customFormat="false" ht="15" hidden="false" customHeight="false" outlineLevel="0" collapsed="false">
      <c r="A2305" s="23" t="n">
        <v>46275.6743055556</v>
      </c>
      <c r="B2305" s="24" t="s">
        <v>1043</v>
      </c>
      <c r="C2305" s="24" t="s">
        <v>68</v>
      </c>
      <c r="D2305" s="24" t="s">
        <v>66</v>
      </c>
      <c r="E2305" s="24" t="n">
        <v>82</v>
      </c>
      <c r="F2305" s="25" t="n">
        <v>3000</v>
      </c>
      <c r="G2305" s="24" t="s">
        <v>69</v>
      </c>
      <c r="H2305" s="24" t="s">
        <v>80</v>
      </c>
      <c r="I2305" s="24" t="s">
        <v>61</v>
      </c>
      <c r="J2305" s="26" t="n">
        <f aca="false">IF(A2305="","",YEAR(A2305))</f>
        <v>2026</v>
      </c>
      <c r="K2305" s="26" t="n">
        <f aca="false">IF(A2305="","",MONTH(A2305))</f>
        <v>9</v>
      </c>
      <c r="L2305" s="26" t="n">
        <f aca="false">IF(B2305="","",VALUE(LEFT(B2305,2)))</f>
        <v>14</v>
      </c>
      <c r="M2305" s="26" t="n">
        <f aca="false">IF(A2305="","",IF(COUNTIFS($C$2:$C$5001,C2305,$J$2:$J$5001,J2305,$A$2:$A$5001,"&lt;"&amp;A2305)=0,1,0))</f>
        <v>0</v>
      </c>
    </row>
    <row r="2306" customFormat="false" ht="15" hidden="false" customHeight="false" outlineLevel="0" collapsed="false">
      <c r="A2306" s="23" t="n">
        <v>46275.8680555556</v>
      </c>
      <c r="B2306" s="24" t="s">
        <v>534</v>
      </c>
      <c r="C2306" s="24" t="s">
        <v>177</v>
      </c>
      <c r="D2306" s="24" t="s">
        <v>53</v>
      </c>
      <c r="E2306" s="24" t="n">
        <v>46</v>
      </c>
      <c r="F2306" s="25" t="n">
        <v>1000</v>
      </c>
      <c r="G2306" s="24" t="s">
        <v>59</v>
      </c>
      <c r="H2306" s="24" t="s">
        <v>55</v>
      </c>
      <c r="I2306" s="24" t="s">
        <v>61</v>
      </c>
      <c r="J2306" s="26" t="n">
        <f aca="false">IF(A2306="","",YEAR(A2306))</f>
        <v>2026</v>
      </c>
      <c r="K2306" s="26" t="n">
        <f aca="false">IF(A2306="","",MONTH(A2306))</f>
        <v>9</v>
      </c>
      <c r="L2306" s="26" t="n">
        <f aca="false">IF(B2306="","",VALUE(LEFT(B2306,2)))</f>
        <v>20</v>
      </c>
      <c r="M2306" s="26" t="n">
        <f aca="false">IF(A2306="","",IF(COUNTIFS($C$2:$C$5001,C2306,$J$2:$J$5001,J2306,$A$2:$A$5001,"&lt;"&amp;A2306)=0,1,0))</f>
        <v>0</v>
      </c>
    </row>
    <row r="2307" customFormat="false" ht="15" hidden="false" customHeight="false" outlineLevel="0" collapsed="false">
      <c r="A2307" s="23" t="n">
        <v>46276.1013888889</v>
      </c>
      <c r="B2307" s="24" t="s">
        <v>417</v>
      </c>
      <c r="C2307" s="24" t="s">
        <v>332</v>
      </c>
      <c r="D2307" s="24" t="s">
        <v>66</v>
      </c>
      <c r="E2307" s="24" t="n">
        <v>335</v>
      </c>
      <c r="F2307" s="25" t="n">
        <v>12000</v>
      </c>
      <c r="G2307" s="24" t="s">
        <v>59</v>
      </c>
      <c r="H2307" s="24" t="s">
        <v>55</v>
      </c>
      <c r="I2307" s="24" t="s">
        <v>61</v>
      </c>
      <c r="J2307" s="26" t="n">
        <f aca="false">IF(A2307="","",YEAR(A2307))</f>
        <v>2026</v>
      </c>
      <c r="K2307" s="26" t="n">
        <f aca="false">IF(A2307="","",MONTH(A2307))</f>
        <v>9</v>
      </c>
      <c r="L2307" s="26" t="n">
        <f aca="false">IF(B2307="","",VALUE(LEFT(B2307,2)))</f>
        <v>20</v>
      </c>
      <c r="M2307" s="26" t="n">
        <f aca="false">IF(A2307="","",IF(COUNTIFS($C$2:$C$5001,C2307,$J$2:$J$5001,J2307,$A$2:$A$5001,"&lt;"&amp;A2307)=0,1,0))</f>
        <v>0</v>
      </c>
    </row>
    <row r="2308" customFormat="false" ht="15" hidden="false" customHeight="false" outlineLevel="0" collapsed="false">
      <c r="A2308" s="23" t="n">
        <v>46276.675</v>
      </c>
      <c r="B2308" s="24" t="s">
        <v>927</v>
      </c>
      <c r="C2308" s="24" t="s">
        <v>158</v>
      </c>
      <c r="D2308" s="24" t="s">
        <v>66</v>
      </c>
      <c r="E2308" s="24" t="n">
        <v>410</v>
      </c>
      <c r="F2308" s="25" t="n">
        <v>14000</v>
      </c>
      <c r="G2308" s="24" t="s">
        <v>83</v>
      </c>
      <c r="H2308" s="24" t="s">
        <v>55</v>
      </c>
      <c r="I2308" s="24" t="s">
        <v>61</v>
      </c>
      <c r="J2308" s="26" t="n">
        <f aca="false">IF(A2308="","",YEAR(A2308))</f>
        <v>2026</v>
      </c>
      <c r="K2308" s="26" t="n">
        <f aca="false">IF(A2308="","",MONTH(A2308))</f>
        <v>9</v>
      </c>
      <c r="L2308" s="26" t="n">
        <f aca="false">IF(B2308="","",VALUE(LEFT(B2308,2)))</f>
        <v>9</v>
      </c>
      <c r="M2308" s="26" t="n">
        <f aca="false">IF(A2308="","",IF(COUNTIFS($C$2:$C$5001,C2308,$J$2:$J$5001,J2308,$A$2:$A$5001,"&lt;"&amp;A2308)=0,1,0))</f>
        <v>0</v>
      </c>
    </row>
    <row r="2309" customFormat="false" ht="15" hidden="false" customHeight="false" outlineLevel="0" collapsed="false">
      <c r="A2309" s="23" t="n">
        <v>46276.7951388889</v>
      </c>
      <c r="B2309" s="24" t="s">
        <v>361</v>
      </c>
      <c r="C2309" s="24" t="s">
        <v>120</v>
      </c>
      <c r="D2309" s="24" t="s">
        <v>88</v>
      </c>
      <c r="E2309" s="24" t="n">
        <v>146</v>
      </c>
      <c r="F2309" s="25" t="n">
        <v>7500</v>
      </c>
      <c r="G2309" s="24" t="s">
        <v>69</v>
      </c>
      <c r="H2309" s="24" t="s">
        <v>55</v>
      </c>
      <c r="I2309" s="24" t="s">
        <v>61</v>
      </c>
      <c r="J2309" s="26" t="n">
        <f aca="false">IF(A2309="","",YEAR(A2309))</f>
        <v>2026</v>
      </c>
      <c r="K2309" s="26" t="n">
        <f aca="false">IF(A2309="","",MONTH(A2309))</f>
        <v>9</v>
      </c>
      <c r="L2309" s="26" t="n">
        <f aca="false">IF(B2309="","",VALUE(LEFT(B2309,2)))</f>
        <v>16</v>
      </c>
      <c r="M2309" s="26" t="n">
        <f aca="false">IF(A2309="","",IF(COUNTIFS($C$2:$C$5001,C2309,$J$2:$J$5001,J2309,$A$2:$A$5001,"&lt;"&amp;A2309)=0,1,0))</f>
        <v>0</v>
      </c>
    </row>
    <row r="2310" customFormat="false" ht="15" hidden="false" customHeight="false" outlineLevel="0" collapsed="false">
      <c r="A2310" s="23" t="n">
        <v>46276.8659722222</v>
      </c>
      <c r="B2310" s="24" t="s">
        <v>928</v>
      </c>
      <c r="C2310" s="24" t="s">
        <v>461</v>
      </c>
      <c r="D2310" s="24" t="s">
        <v>53</v>
      </c>
      <c r="E2310" s="24" t="n">
        <v>212</v>
      </c>
      <c r="F2310" s="25" t="n">
        <v>4000</v>
      </c>
      <c r="G2310" s="24" t="s">
        <v>59</v>
      </c>
      <c r="H2310" s="24" t="s">
        <v>55</v>
      </c>
      <c r="I2310" s="24" t="s">
        <v>61</v>
      </c>
      <c r="J2310" s="26" t="n">
        <f aca="false">IF(A2310="","",YEAR(A2310))</f>
        <v>2026</v>
      </c>
      <c r="K2310" s="26" t="n">
        <f aca="false">IF(A2310="","",MONTH(A2310))</f>
        <v>9</v>
      </c>
      <c r="L2310" s="26" t="n">
        <f aca="false">IF(B2310="","",VALUE(LEFT(B2310,2)))</f>
        <v>17</v>
      </c>
      <c r="M2310" s="26" t="n">
        <f aca="false">IF(A2310="","",IF(COUNTIFS($C$2:$C$5001,C2310,$J$2:$J$5001,J2310,$A$2:$A$5001,"&lt;"&amp;A2310)=0,1,0))</f>
        <v>0</v>
      </c>
    </row>
    <row r="2311" customFormat="false" ht="15" hidden="false" customHeight="false" outlineLevel="0" collapsed="false">
      <c r="A2311" s="23" t="n">
        <v>46276.9520833333</v>
      </c>
      <c r="B2311" s="24" t="s">
        <v>579</v>
      </c>
      <c r="C2311" s="24" t="s">
        <v>147</v>
      </c>
      <c r="D2311" s="24" t="s">
        <v>66</v>
      </c>
      <c r="E2311" s="24" t="n">
        <v>146</v>
      </c>
      <c r="F2311" s="25" t="n">
        <v>0</v>
      </c>
      <c r="G2311" s="24" t="s">
        <v>59</v>
      </c>
      <c r="H2311" s="24" t="s">
        <v>60</v>
      </c>
      <c r="I2311" s="24" t="s">
        <v>56</v>
      </c>
      <c r="J2311" s="26" t="n">
        <f aca="false">IF(A2311="","",YEAR(A2311))</f>
        <v>2026</v>
      </c>
      <c r="K2311" s="26" t="n">
        <f aca="false">IF(A2311="","",MONTH(A2311))</f>
        <v>9</v>
      </c>
      <c r="L2311" s="26" t="n">
        <f aca="false">IF(B2311="","",VALUE(LEFT(B2311,2)))</f>
        <v>20</v>
      </c>
      <c r="M2311" s="26" t="n">
        <f aca="false">IF(A2311="","",IF(COUNTIFS($C$2:$C$5001,C2311,$J$2:$J$5001,J2311,$A$2:$A$5001,"&lt;"&amp;A2311)=0,1,0))</f>
        <v>0</v>
      </c>
    </row>
    <row r="2312" customFormat="false" ht="15" hidden="false" customHeight="false" outlineLevel="0" collapsed="false">
      <c r="A2312" s="23" t="n">
        <v>46277.0361111111</v>
      </c>
      <c r="B2312" s="24" t="s">
        <v>709</v>
      </c>
      <c r="C2312" s="24" t="s">
        <v>265</v>
      </c>
      <c r="D2312" s="24" t="s">
        <v>66</v>
      </c>
      <c r="E2312" s="24" t="n">
        <v>398</v>
      </c>
      <c r="F2312" s="25" t="n">
        <v>14000</v>
      </c>
      <c r="G2312" s="24" t="s">
        <v>59</v>
      </c>
      <c r="H2312" s="24" t="s">
        <v>80</v>
      </c>
      <c r="I2312" s="24" t="s">
        <v>61</v>
      </c>
      <c r="J2312" s="26" t="n">
        <f aca="false">IF(A2312="","",YEAR(A2312))</f>
        <v>2026</v>
      </c>
      <c r="K2312" s="26" t="n">
        <f aca="false">IF(A2312="","",MONTH(A2312))</f>
        <v>9</v>
      </c>
      <c r="L2312" s="26" t="n">
        <f aca="false">IF(B2312="","",VALUE(LEFT(B2312,2)))</f>
        <v>18</v>
      </c>
      <c r="M2312" s="26" t="n">
        <f aca="false">IF(A2312="","",IF(COUNTIFS($C$2:$C$5001,C2312,$J$2:$J$5001,J2312,$A$2:$A$5001,"&lt;"&amp;A2312)=0,1,0))</f>
        <v>0</v>
      </c>
    </row>
    <row r="2313" customFormat="false" ht="15" hidden="false" customHeight="false" outlineLevel="0" collapsed="false">
      <c r="A2313" s="23" t="n">
        <v>46277.05625</v>
      </c>
      <c r="B2313" s="24" t="s">
        <v>385</v>
      </c>
      <c r="C2313" s="24" t="s">
        <v>170</v>
      </c>
      <c r="D2313" s="24" t="s">
        <v>66</v>
      </c>
      <c r="E2313" s="24" t="n">
        <v>295</v>
      </c>
      <c r="F2313" s="25" t="n">
        <v>10000</v>
      </c>
      <c r="G2313" s="24" t="s">
        <v>69</v>
      </c>
      <c r="H2313" s="24" t="s">
        <v>55</v>
      </c>
      <c r="I2313" s="24" t="s">
        <v>61</v>
      </c>
      <c r="J2313" s="26" t="n">
        <f aca="false">IF(A2313="","",YEAR(A2313))</f>
        <v>2026</v>
      </c>
      <c r="K2313" s="26" t="n">
        <f aca="false">IF(A2313="","",MONTH(A2313))</f>
        <v>9</v>
      </c>
      <c r="L2313" s="26" t="n">
        <f aca="false">IF(B2313="","",VALUE(LEFT(B2313,2)))</f>
        <v>20</v>
      </c>
      <c r="M2313" s="26" t="n">
        <f aca="false">IF(A2313="","",IF(COUNTIFS($C$2:$C$5001,C2313,$J$2:$J$5001,J2313,$A$2:$A$5001,"&lt;"&amp;A2313)=0,1,0))</f>
        <v>0</v>
      </c>
    </row>
    <row r="2314" customFormat="false" ht="15" hidden="false" customHeight="false" outlineLevel="0" collapsed="false">
      <c r="A2314" s="23" t="n">
        <v>46277.0631944445</v>
      </c>
      <c r="B2314" s="24" t="s">
        <v>322</v>
      </c>
      <c r="C2314" s="24" t="s">
        <v>102</v>
      </c>
      <c r="D2314" s="24" t="s">
        <v>66</v>
      </c>
      <c r="E2314" s="24" t="n">
        <v>367</v>
      </c>
      <c r="F2314" s="25" t="n">
        <v>13000</v>
      </c>
      <c r="G2314" s="24" t="s">
        <v>59</v>
      </c>
      <c r="H2314" s="24" t="s">
        <v>55</v>
      </c>
      <c r="I2314" s="24" t="s">
        <v>61</v>
      </c>
      <c r="J2314" s="26" t="n">
        <f aca="false">IF(A2314="","",YEAR(A2314))</f>
        <v>2026</v>
      </c>
      <c r="K2314" s="26" t="n">
        <f aca="false">IF(A2314="","",MONTH(A2314))</f>
        <v>9</v>
      </c>
      <c r="L2314" s="26" t="n">
        <f aca="false">IF(B2314="","",VALUE(LEFT(B2314,2)))</f>
        <v>19</v>
      </c>
      <c r="M2314" s="26" t="n">
        <f aca="false">IF(A2314="","",IF(COUNTIFS($C$2:$C$5001,C2314,$J$2:$J$5001,J2314,$A$2:$A$5001,"&lt;"&amp;A2314)=0,1,0))</f>
        <v>0</v>
      </c>
    </row>
    <row r="2315" customFormat="false" ht="15" hidden="false" customHeight="false" outlineLevel="0" collapsed="false">
      <c r="A2315" s="23" t="n">
        <v>46277.1270833333</v>
      </c>
      <c r="B2315" s="24" t="s">
        <v>1044</v>
      </c>
      <c r="C2315" s="24" t="s">
        <v>735</v>
      </c>
      <c r="D2315" s="24" t="s">
        <v>66</v>
      </c>
      <c r="E2315" s="24" t="n">
        <v>400</v>
      </c>
      <c r="F2315" s="25" t="n">
        <v>14000</v>
      </c>
      <c r="G2315" s="24" t="s">
        <v>54</v>
      </c>
      <c r="H2315" s="24" t="s">
        <v>60</v>
      </c>
      <c r="I2315" s="24" t="s">
        <v>61</v>
      </c>
      <c r="J2315" s="26" t="n">
        <f aca="false">IF(A2315="","",YEAR(A2315))</f>
        <v>2026</v>
      </c>
      <c r="K2315" s="26" t="n">
        <f aca="false">IF(A2315="","",MONTH(A2315))</f>
        <v>9</v>
      </c>
      <c r="L2315" s="26" t="n">
        <f aca="false">IF(B2315="","",VALUE(LEFT(B2315,2)))</f>
        <v>20</v>
      </c>
      <c r="M2315" s="26" t="n">
        <f aca="false">IF(A2315="","",IF(COUNTIFS($C$2:$C$5001,C2315,$J$2:$J$5001,J2315,$A$2:$A$5001,"&lt;"&amp;A2315)=0,1,0))</f>
        <v>0</v>
      </c>
    </row>
    <row r="2316" customFormat="false" ht="15" hidden="false" customHeight="false" outlineLevel="0" collapsed="false">
      <c r="A2316" s="23" t="n">
        <v>46277.5868055556</v>
      </c>
      <c r="B2316" s="24" t="s">
        <v>1045</v>
      </c>
      <c r="C2316" s="24" t="s">
        <v>118</v>
      </c>
      <c r="D2316" s="24" t="s">
        <v>72</v>
      </c>
      <c r="E2316" s="24" t="n">
        <v>220</v>
      </c>
      <c r="F2316" s="25" t="n">
        <v>16000</v>
      </c>
      <c r="G2316" s="24" t="s">
        <v>59</v>
      </c>
      <c r="H2316" s="24" t="s">
        <v>60</v>
      </c>
      <c r="I2316" s="24" t="s">
        <v>61</v>
      </c>
      <c r="J2316" s="26" t="n">
        <f aca="false">IF(A2316="","",YEAR(A2316))</f>
        <v>2026</v>
      </c>
      <c r="K2316" s="26" t="n">
        <f aca="false">IF(A2316="","",MONTH(A2316))</f>
        <v>9</v>
      </c>
      <c r="L2316" s="26" t="n">
        <f aca="false">IF(B2316="","",VALUE(LEFT(B2316,2)))</f>
        <v>10</v>
      </c>
      <c r="M2316" s="26" t="n">
        <f aca="false">IF(A2316="","",IF(COUNTIFS($C$2:$C$5001,C2316,$J$2:$J$5001,J2316,$A$2:$A$5001,"&lt;"&amp;A2316)=0,1,0))</f>
        <v>0</v>
      </c>
    </row>
    <row r="2317" customFormat="false" ht="15" hidden="false" customHeight="false" outlineLevel="0" collapsed="false">
      <c r="A2317" s="23" t="n">
        <v>46277.7895833333</v>
      </c>
      <c r="B2317" s="24" t="s">
        <v>1046</v>
      </c>
      <c r="C2317" s="24" t="s">
        <v>68</v>
      </c>
      <c r="D2317" s="24" t="s">
        <v>72</v>
      </c>
      <c r="E2317" s="24" t="n">
        <v>45</v>
      </c>
      <c r="F2317" s="25" t="n">
        <v>4000</v>
      </c>
      <c r="G2317" s="24" t="s">
        <v>69</v>
      </c>
      <c r="H2317" s="24" t="s">
        <v>55</v>
      </c>
      <c r="I2317" s="24" t="s">
        <v>61</v>
      </c>
      <c r="J2317" s="26" t="n">
        <f aca="false">IF(A2317="","",YEAR(A2317))</f>
        <v>2026</v>
      </c>
      <c r="K2317" s="26" t="n">
        <f aca="false">IF(A2317="","",MONTH(A2317))</f>
        <v>9</v>
      </c>
      <c r="L2317" s="26" t="n">
        <f aca="false">IF(B2317="","",VALUE(LEFT(B2317,2)))</f>
        <v>18</v>
      </c>
      <c r="M2317" s="26" t="n">
        <f aca="false">IF(A2317="","",IF(COUNTIFS($C$2:$C$5001,C2317,$J$2:$J$5001,J2317,$A$2:$A$5001,"&lt;"&amp;A2317)=0,1,0))</f>
        <v>0</v>
      </c>
    </row>
    <row r="2318" customFormat="false" ht="15" hidden="false" customHeight="false" outlineLevel="0" collapsed="false">
      <c r="A2318" s="23" t="n">
        <v>46277.8604166667</v>
      </c>
      <c r="B2318" s="24" t="s">
        <v>1043</v>
      </c>
      <c r="C2318" s="24" t="s">
        <v>129</v>
      </c>
      <c r="D2318" s="24" t="s">
        <v>53</v>
      </c>
      <c r="E2318" s="24" t="n">
        <v>350</v>
      </c>
      <c r="F2318" s="25" t="n">
        <v>0</v>
      </c>
      <c r="G2318" s="24" t="s">
        <v>69</v>
      </c>
      <c r="H2318" s="24" t="s">
        <v>80</v>
      </c>
      <c r="I2318" s="24" t="s">
        <v>56</v>
      </c>
      <c r="J2318" s="26" t="n">
        <f aca="false">IF(A2318="","",YEAR(A2318))</f>
        <v>2026</v>
      </c>
      <c r="K2318" s="26" t="n">
        <f aca="false">IF(A2318="","",MONTH(A2318))</f>
        <v>9</v>
      </c>
      <c r="L2318" s="26" t="n">
        <f aca="false">IF(B2318="","",VALUE(LEFT(B2318,2)))</f>
        <v>14</v>
      </c>
      <c r="M2318" s="26" t="n">
        <f aca="false">IF(A2318="","",IF(COUNTIFS($C$2:$C$5001,C2318,$J$2:$J$5001,J2318,$A$2:$A$5001,"&lt;"&amp;A2318)=0,1,0))</f>
        <v>0</v>
      </c>
    </row>
    <row r="2319" customFormat="false" ht="15" hidden="false" customHeight="false" outlineLevel="0" collapsed="false">
      <c r="A2319" s="23" t="n">
        <v>46278.09375</v>
      </c>
      <c r="B2319" s="24" t="s">
        <v>543</v>
      </c>
      <c r="C2319" s="24" t="s">
        <v>535</v>
      </c>
      <c r="D2319" s="24" t="s">
        <v>53</v>
      </c>
      <c r="E2319" s="24" t="n">
        <v>415</v>
      </c>
      <c r="F2319" s="25" t="n">
        <v>7000</v>
      </c>
      <c r="G2319" s="24" t="s">
        <v>79</v>
      </c>
      <c r="H2319" s="24" t="s">
        <v>80</v>
      </c>
      <c r="I2319" s="24" t="s">
        <v>61</v>
      </c>
      <c r="J2319" s="26" t="n">
        <f aca="false">IF(A2319="","",YEAR(A2319))</f>
        <v>2026</v>
      </c>
      <c r="K2319" s="26" t="n">
        <f aca="false">IF(A2319="","",MONTH(A2319))</f>
        <v>9</v>
      </c>
      <c r="L2319" s="26" t="n">
        <f aca="false">IF(B2319="","",VALUE(LEFT(B2319,2)))</f>
        <v>19</v>
      </c>
      <c r="M2319" s="26" t="n">
        <f aca="false">IF(A2319="","",IF(COUNTIFS($C$2:$C$5001,C2319,$J$2:$J$5001,J2319,$A$2:$A$5001,"&lt;"&amp;A2319)=0,1,0))</f>
        <v>0</v>
      </c>
    </row>
    <row r="2320" customFormat="false" ht="15" hidden="false" customHeight="false" outlineLevel="0" collapsed="false">
      <c r="A2320" s="23" t="n">
        <v>46278.5576388889</v>
      </c>
      <c r="B2320" s="24" t="s">
        <v>229</v>
      </c>
      <c r="C2320" s="24" t="s">
        <v>343</v>
      </c>
      <c r="D2320" s="24" t="s">
        <v>66</v>
      </c>
      <c r="E2320" s="24" t="n">
        <v>341</v>
      </c>
      <c r="F2320" s="25" t="n">
        <v>12000</v>
      </c>
      <c r="G2320" s="24" t="s">
        <v>69</v>
      </c>
      <c r="H2320" s="24" t="s">
        <v>80</v>
      </c>
      <c r="I2320" s="24" t="s">
        <v>61</v>
      </c>
      <c r="J2320" s="26" t="n">
        <f aca="false">IF(A2320="","",YEAR(A2320))</f>
        <v>2026</v>
      </c>
      <c r="K2320" s="26" t="n">
        <f aca="false">IF(A2320="","",MONTH(A2320))</f>
        <v>9</v>
      </c>
      <c r="L2320" s="26" t="n">
        <f aca="false">IF(B2320="","",VALUE(LEFT(B2320,2)))</f>
        <v>7</v>
      </c>
      <c r="M2320" s="26" t="n">
        <f aca="false">IF(A2320="","",IF(COUNTIFS($C$2:$C$5001,C2320,$J$2:$J$5001,J2320,$A$2:$A$5001,"&lt;"&amp;A2320)=0,1,0))</f>
        <v>0</v>
      </c>
    </row>
    <row r="2321" customFormat="false" ht="15" hidden="false" customHeight="false" outlineLevel="0" collapsed="false">
      <c r="A2321" s="23" t="n">
        <v>46278.5958333333</v>
      </c>
      <c r="B2321" s="24" t="s">
        <v>180</v>
      </c>
      <c r="C2321" s="24" t="s">
        <v>267</v>
      </c>
      <c r="D2321" s="24" t="s">
        <v>72</v>
      </c>
      <c r="E2321" s="24" t="n">
        <v>318</v>
      </c>
      <c r="F2321" s="25" t="n">
        <v>22000</v>
      </c>
      <c r="G2321" s="24" t="s">
        <v>59</v>
      </c>
      <c r="H2321" s="24" t="s">
        <v>55</v>
      </c>
      <c r="I2321" s="24" t="s">
        <v>61</v>
      </c>
      <c r="J2321" s="26" t="n">
        <f aca="false">IF(A2321="","",YEAR(A2321))</f>
        <v>2026</v>
      </c>
      <c r="K2321" s="26" t="n">
        <f aca="false">IF(A2321="","",MONTH(A2321))</f>
        <v>9</v>
      </c>
      <c r="L2321" s="26" t="n">
        <f aca="false">IF(B2321="","",VALUE(LEFT(B2321,2)))</f>
        <v>9</v>
      </c>
      <c r="M2321" s="26" t="n">
        <f aca="false">IF(A2321="","",IF(COUNTIFS($C$2:$C$5001,C2321,$J$2:$J$5001,J2321,$A$2:$A$5001,"&lt;"&amp;A2321)=0,1,0))</f>
        <v>0</v>
      </c>
    </row>
    <row r="2322" customFormat="false" ht="15" hidden="false" customHeight="false" outlineLevel="0" collapsed="false">
      <c r="A2322" s="23" t="n">
        <v>46278.6854166667</v>
      </c>
      <c r="B2322" s="24" t="s">
        <v>866</v>
      </c>
      <c r="C2322" s="24" t="s">
        <v>309</v>
      </c>
      <c r="D2322" s="24" t="s">
        <v>66</v>
      </c>
      <c r="E2322" s="24" t="n">
        <v>320</v>
      </c>
      <c r="F2322" s="25" t="n">
        <v>9350</v>
      </c>
      <c r="G2322" s="24" t="s">
        <v>59</v>
      </c>
      <c r="H2322" s="24" t="s">
        <v>80</v>
      </c>
      <c r="I2322" s="24" t="s">
        <v>113</v>
      </c>
      <c r="J2322" s="26" t="n">
        <f aca="false">IF(A2322="","",YEAR(A2322))</f>
        <v>2026</v>
      </c>
      <c r="K2322" s="26" t="n">
        <f aca="false">IF(A2322="","",MONTH(A2322))</f>
        <v>9</v>
      </c>
      <c r="L2322" s="26" t="n">
        <f aca="false">IF(B2322="","",VALUE(LEFT(B2322,2)))</f>
        <v>11</v>
      </c>
      <c r="M2322" s="26" t="n">
        <f aca="false">IF(A2322="","",IF(COUNTIFS($C$2:$C$5001,C2322,$J$2:$J$5001,J2322,$A$2:$A$5001,"&lt;"&amp;A2322)=0,1,0))</f>
        <v>0</v>
      </c>
    </row>
    <row r="2323" customFormat="false" ht="15" hidden="false" customHeight="false" outlineLevel="0" collapsed="false">
      <c r="A2323" s="23" t="n">
        <v>46278.6979166667</v>
      </c>
      <c r="B2323" s="24" t="s">
        <v>1047</v>
      </c>
      <c r="C2323" s="24" t="s">
        <v>143</v>
      </c>
      <c r="D2323" s="24" t="s">
        <v>88</v>
      </c>
      <c r="E2323" s="24" t="n">
        <v>346</v>
      </c>
      <c r="F2323" s="25" t="n">
        <v>18000</v>
      </c>
      <c r="G2323" s="24" t="s">
        <v>69</v>
      </c>
      <c r="H2323" s="24" t="s">
        <v>80</v>
      </c>
      <c r="I2323" s="24" t="s">
        <v>61</v>
      </c>
      <c r="J2323" s="26" t="n">
        <f aca="false">IF(A2323="","",YEAR(A2323))</f>
        <v>2026</v>
      </c>
      <c r="K2323" s="26" t="n">
        <f aca="false">IF(A2323="","",MONTH(A2323))</f>
        <v>9</v>
      </c>
      <c r="L2323" s="26" t="n">
        <f aca="false">IF(B2323="","",VALUE(LEFT(B2323,2)))</f>
        <v>10</v>
      </c>
      <c r="M2323" s="26" t="n">
        <f aca="false">IF(A2323="","",IF(COUNTIFS($C$2:$C$5001,C2323,$J$2:$J$5001,J2323,$A$2:$A$5001,"&lt;"&amp;A2323)=0,1,0))</f>
        <v>0</v>
      </c>
    </row>
    <row r="2324" customFormat="false" ht="15" hidden="false" customHeight="false" outlineLevel="0" collapsed="false">
      <c r="A2324" s="23" t="n">
        <v>46278.7715277778</v>
      </c>
      <c r="B2324" s="24" t="s">
        <v>894</v>
      </c>
      <c r="C2324" s="24" t="s">
        <v>343</v>
      </c>
      <c r="D2324" s="24" t="s">
        <v>66</v>
      </c>
      <c r="E2324" s="24" t="n">
        <v>296</v>
      </c>
      <c r="F2324" s="25" t="n">
        <v>10000</v>
      </c>
      <c r="G2324" s="24" t="s">
        <v>69</v>
      </c>
      <c r="H2324" s="24" t="s">
        <v>80</v>
      </c>
      <c r="I2324" s="24" t="s">
        <v>61</v>
      </c>
      <c r="J2324" s="26" t="n">
        <f aca="false">IF(A2324="","",YEAR(A2324))</f>
        <v>2026</v>
      </c>
      <c r="K2324" s="26" t="n">
        <f aca="false">IF(A2324="","",MONTH(A2324))</f>
        <v>9</v>
      </c>
      <c r="L2324" s="26" t="n">
        <f aca="false">IF(B2324="","",VALUE(LEFT(B2324,2)))</f>
        <v>13</v>
      </c>
      <c r="M2324" s="26" t="n">
        <f aca="false">IF(A2324="","",IF(COUNTIFS($C$2:$C$5001,C2324,$J$2:$J$5001,J2324,$A$2:$A$5001,"&lt;"&amp;A2324)=0,1,0))</f>
        <v>0</v>
      </c>
    </row>
    <row r="2325" customFormat="false" ht="15" hidden="false" customHeight="false" outlineLevel="0" collapsed="false">
      <c r="A2325" s="23" t="n">
        <v>46278.8388888889</v>
      </c>
      <c r="B2325" s="24" t="s">
        <v>322</v>
      </c>
      <c r="C2325" s="24" t="s">
        <v>129</v>
      </c>
      <c r="D2325" s="24" t="s">
        <v>66</v>
      </c>
      <c r="E2325" s="24" t="n">
        <v>44</v>
      </c>
      <c r="F2325" s="25" t="n">
        <v>2000</v>
      </c>
      <c r="G2325" s="24" t="s">
        <v>59</v>
      </c>
      <c r="H2325" s="24" t="s">
        <v>80</v>
      </c>
      <c r="I2325" s="24" t="s">
        <v>61</v>
      </c>
      <c r="J2325" s="26" t="n">
        <f aca="false">IF(A2325="","",YEAR(A2325))</f>
        <v>2026</v>
      </c>
      <c r="K2325" s="26" t="n">
        <f aca="false">IF(A2325="","",MONTH(A2325))</f>
        <v>9</v>
      </c>
      <c r="L2325" s="26" t="n">
        <f aca="false">IF(B2325="","",VALUE(LEFT(B2325,2)))</f>
        <v>19</v>
      </c>
      <c r="M2325" s="26" t="n">
        <f aca="false">IF(A2325="","",IF(COUNTIFS($C$2:$C$5001,C2325,$J$2:$J$5001,J2325,$A$2:$A$5001,"&lt;"&amp;A2325)=0,1,0))</f>
        <v>0</v>
      </c>
    </row>
    <row r="2326" customFormat="false" ht="15" hidden="false" customHeight="false" outlineLevel="0" collapsed="false">
      <c r="A2326" s="23" t="n">
        <v>46278.925</v>
      </c>
      <c r="B2326" s="24" t="s">
        <v>920</v>
      </c>
      <c r="C2326" s="24" t="s">
        <v>430</v>
      </c>
      <c r="D2326" s="24" t="s">
        <v>72</v>
      </c>
      <c r="E2326" s="24" t="n">
        <v>405</v>
      </c>
      <c r="F2326" s="25" t="n">
        <v>23800</v>
      </c>
      <c r="G2326" s="24" t="s">
        <v>59</v>
      </c>
      <c r="H2326" s="24" t="s">
        <v>60</v>
      </c>
      <c r="I2326" s="24" t="s">
        <v>113</v>
      </c>
      <c r="J2326" s="26" t="n">
        <f aca="false">IF(A2326="","",YEAR(A2326))</f>
        <v>2026</v>
      </c>
      <c r="K2326" s="26" t="n">
        <f aca="false">IF(A2326="","",MONTH(A2326))</f>
        <v>9</v>
      </c>
      <c r="L2326" s="26" t="n">
        <f aca="false">IF(B2326="","",VALUE(LEFT(B2326,2)))</f>
        <v>15</v>
      </c>
      <c r="M2326" s="26" t="n">
        <f aca="false">IF(A2326="","",IF(COUNTIFS($C$2:$C$5001,C2326,$J$2:$J$5001,J2326,$A$2:$A$5001,"&lt;"&amp;A2326)=0,1,0))</f>
        <v>0</v>
      </c>
    </row>
    <row r="2327" customFormat="false" ht="15" hidden="false" customHeight="false" outlineLevel="0" collapsed="false">
      <c r="A2327" s="23" t="n">
        <v>46279.7236111111</v>
      </c>
      <c r="B2327" s="24" t="s">
        <v>215</v>
      </c>
      <c r="C2327" s="24" t="s">
        <v>102</v>
      </c>
      <c r="D2327" s="24" t="s">
        <v>66</v>
      </c>
      <c r="E2327" s="24" t="n">
        <v>351</v>
      </c>
      <c r="F2327" s="25" t="n">
        <v>12000</v>
      </c>
      <c r="G2327" s="24" t="s">
        <v>69</v>
      </c>
      <c r="H2327" s="24" t="s">
        <v>55</v>
      </c>
      <c r="I2327" s="24" t="s">
        <v>61</v>
      </c>
      <c r="J2327" s="26" t="n">
        <f aca="false">IF(A2327="","",YEAR(A2327))</f>
        <v>2026</v>
      </c>
      <c r="K2327" s="26" t="n">
        <f aca="false">IF(A2327="","",MONTH(A2327))</f>
        <v>9</v>
      </c>
      <c r="L2327" s="26" t="n">
        <f aca="false">IF(B2327="","",VALUE(LEFT(B2327,2)))</f>
        <v>11</v>
      </c>
      <c r="M2327" s="26" t="n">
        <f aca="false">IF(A2327="","",IF(COUNTIFS($C$2:$C$5001,C2327,$J$2:$J$5001,J2327,$A$2:$A$5001,"&lt;"&amp;A2327)=0,1,0))</f>
        <v>0</v>
      </c>
    </row>
    <row r="2328" customFormat="false" ht="15" hidden="false" customHeight="false" outlineLevel="0" collapsed="false">
      <c r="A2328" s="23" t="n">
        <v>46280.0388888889</v>
      </c>
      <c r="B2328" s="24" t="s">
        <v>998</v>
      </c>
      <c r="C2328" s="24" t="s">
        <v>271</v>
      </c>
      <c r="D2328" s="24" t="s">
        <v>66</v>
      </c>
      <c r="E2328" s="24" t="n">
        <v>334</v>
      </c>
      <c r="F2328" s="25" t="n">
        <v>12000</v>
      </c>
      <c r="G2328" s="24" t="s">
        <v>59</v>
      </c>
      <c r="H2328" s="24" t="s">
        <v>80</v>
      </c>
      <c r="I2328" s="24" t="s">
        <v>61</v>
      </c>
      <c r="J2328" s="26" t="n">
        <f aca="false">IF(A2328="","",YEAR(A2328))</f>
        <v>2026</v>
      </c>
      <c r="K2328" s="26" t="n">
        <f aca="false">IF(A2328="","",MONTH(A2328))</f>
        <v>9</v>
      </c>
      <c r="L2328" s="26" t="n">
        <f aca="false">IF(B2328="","",VALUE(LEFT(B2328,2)))</f>
        <v>19</v>
      </c>
      <c r="M2328" s="26" t="n">
        <f aca="false">IF(A2328="","",IF(COUNTIFS($C$2:$C$5001,C2328,$J$2:$J$5001,J2328,$A$2:$A$5001,"&lt;"&amp;A2328)=0,1,0))</f>
        <v>0</v>
      </c>
    </row>
    <row r="2329" customFormat="false" ht="15" hidden="false" customHeight="false" outlineLevel="0" collapsed="false">
      <c r="A2329" s="23" t="n">
        <v>46280.4618055556</v>
      </c>
      <c r="B2329" s="24" t="s">
        <v>974</v>
      </c>
      <c r="C2329" s="24" t="s">
        <v>192</v>
      </c>
      <c r="D2329" s="24" t="s">
        <v>66</v>
      </c>
      <c r="E2329" s="24" t="n">
        <v>242</v>
      </c>
      <c r="F2329" s="25" t="n">
        <v>9000</v>
      </c>
      <c r="G2329" s="24" t="s">
        <v>69</v>
      </c>
      <c r="H2329" s="24" t="s">
        <v>80</v>
      </c>
      <c r="I2329" s="24" t="s">
        <v>61</v>
      </c>
      <c r="J2329" s="26" t="n">
        <f aca="false">IF(A2329="","",YEAR(A2329))</f>
        <v>2026</v>
      </c>
      <c r="K2329" s="26" t="n">
        <f aca="false">IF(A2329="","",MONTH(A2329))</f>
        <v>9</v>
      </c>
      <c r="L2329" s="26" t="n">
        <f aca="false">IF(B2329="","",VALUE(LEFT(B2329,2)))</f>
        <v>7</v>
      </c>
      <c r="M2329" s="26" t="n">
        <f aca="false">IF(A2329="","",IF(COUNTIFS($C$2:$C$5001,C2329,$J$2:$J$5001,J2329,$A$2:$A$5001,"&lt;"&amp;A2329)=0,1,0))</f>
        <v>0</v>
      </c>
    </row>
    <row r="2330" customFormat="false" ht="15" hidden="false" customHeight="false" outlineLevel="0" collapsed="false">
      <c r="A2330" s="23" t="n">
        <v>46280.4784722222</v>
      </c>
      <c r="B2330" s="24" t="s">
        <v>689</v>
      </c>
      <c r="C2330" s="24" t="s">
        <v>314</v>
      </c>
      <c r="D2330" s="24" t="s">
        <v>53</v>
      </c>
      <c r="E2330" s="24" t="n">
        <v>54</v>
      </c>
      <c r="F2330" s="25" t="n">
        <v>1000</v>
      </c>
      <c r="G2330" s="24" t="s">
        <v>59</v>
      </c>
      <c r="H2330" s="24" t="s">
        <v>60</v>
      </c>
      <c r="I2330" s="24" t="s">
        <v>61</v>
      </c>
      <c r="J2330" s="26" t="n">
        <f aca="false">IF(A2330="","",YEAR(A2330))</f>
        <v>2026</v>
      </c>
      <c r="K2330" s="26" t="n">
        <f aca="false">IF(A2330="","",MONTH(A2330))</f>
        <v>9</v>
      </c>
      <c r="L2330" s="26" t="n">
        <f aca="false">IF(B2330="","",VALUE(LEFT(B2330,2)))</f>
        <v>10</v>
      </c>
      <c r="M2330" s="26" t="n">
        <f aca="false">IF(A2330="","",IF(COUNTIFS($C$2:$C$5001,C2330,$J$2:$J$5001,J2330,$A$2:$A$5001,"&lt;"&amp;A2330)=0,1,0))</f>
        <v>0</v>
      </c>
    </row>
    <row r="2331" customFormat="false" ht="15" hidden="false" customHeight="false" outlineLevel="0" collapsed="false">
      <c r="A2331" s="23" t="n">
        <v>46280.6409722222</v>
      </c>
      <c r="B2331" s="24" t="s">
        <v>195</v>
      </c>
      <c r="C2331" s="24" t="s">
        <v>94</v>
      </c>
      <c r="D2331" s="24" t="s">
        <v>53</v>
      </c>
      <c r="E2331" s="24" t="n">
        <v>343</v>
      </c>
      <c r="F2331" s="25" t="n">
        <v>6000</v>
      </c>
      <c r="G2331" s="24" t="s">
        <v>59</v>
      </c>
      <c r="H2331" s="24" t="s">
        <v>55</v>
      </c>
      <c r="I2331" s="24" t="s">
        <v>61</v>
      </c>
      <c r="J2331" s="26" t="n">
        <f aca="false">IF(A2331="","",YEAR(A2331))</f>
        <v>2026</v>
      </c>
      <c r="K2331" s="26" t="n">
        <f aca="false">IF(A2331="","",MONTH(A2331))</f>
        <v>9</v>
      </c>
      <c r="L2331" s="26" t="n">
        <f aca="false">IF(B2331="","",VALUE(LEFT(B2331,2)))</f>
        <v>9</v>
      </c>
      <c r="M2331" s="26" t="n">
        <f aca="false">IF(A2331="","",IF(COUNTIFS($C$2:$C$5001,C2331,$J$2:$J$5001,J2331,$A$2:$A$5001,"&lt;"&amp;A2331)=0,1,0))</f>
        <v>0</v>
      </c>
    </row>
    <row r="2332" customFormat="false" ht="15" hidden="false" customHeight="false" outlineLevel="0" collapsed="false">
      <c r="A2332" s="23" t="n">
        <v>46280.84375</v>
      </c>
      <c r="B2332" s="24" t="s">
        <v>284</v>
      </c>
      <c r="C2332" s="24" t="s">
        <v>156</v>
      </c>
      <c r="D2332" s="24" t="s">
        <v>88</v>
      </c>
      <c r="E2332" s="24" t="n">
        <v>347</v>
      </c>
      <c r="F2332" s="25" t="n">
        <v>18000</v>
      </c>
      <c r="G2332" s="24" t="s">
        <v>59</v>
      </c>
      <c r="H2332" s="24" t="s">
        <v>80</v>
      </c>
      <c r="I2332" s="24" t="s">
        <v>61</v>
      </c>
      <c r="J2332" s="26" t="n">
        <f aca="false">IF(A2332="","",YEAR(A2332))</f>
        <v>2026</v>
      </c>
      <c r="K2332" s="26" t="n">
        <f aca="false">IF(A2332="","",MONTH(A2332))</f>
        <v>9</v>
      </c>
      <c r="L2332" s="26" t="n">
        <f aca="false">IF(B2332="","",VALUE(LEFT(B2332,2)))</f>
        <v>14</v>
      </c>
      <c r="M2332" s="26" t="n">
        <f aca="false">IF(A2332="","",IF(COUNTIFS($C$2:$C$5001,C2332,$J$2:$J$5001,J2332,$A$2:$A$5001,"&lt;"&amp;A2332)=0,1,0))</f>
        <v>0</v>
      </c>
    </row>
    <row r="2333" customFormat="false" ht="15" hidden="false" customHeight="false" outlineLevel="0" collapsed="false">
      <c r="A2333" s="23" t="n">
        <v>46280.8868055556</v>
      </c>
      <c r="B2333" s="24" t="s">
        <v>903</v>
      </c>
      <c r="C2333" s="24" t="s">
        <v>94</v>
      </c>
      <c r="D2333" s="24" t="s">
        <v>88</v>
      </c>
      <c r="E2333" s="24" t="n">
        <v>97</v>
      </c>
      <c r="F2333" s="25" t="n">
        <v>0</v>
      </c>
      <c r="G2333" s="24" t="s">
        <v>59</v>
      </c>
      <c r="H2333" s="24" t="s">
        <v>55</v>
      </c>
      <c r="I2333" s="24" t="s">
        <v>56</v>
      </c>
      <c r="J2333" s="26" t="n">
        <f aca="false">IF(A2333="","",YEAR(A2333))</f>
        <v>2026</v>
      </c>
      <c r="K2333" s="26" t="n">
        <f aca="false">IF(A2333="","",MONTH(A2333))</f>
        <v>9</v>
      </c>
      <c r="L2333" s="26" t="n">
        <f aca="false">IF(B2333="","",VALUE(LEFT(B2333,2)))</f>
        <v>19</v>
      </c>
      <c r="M2333" s="26" t="n">
        <f aca="false">IF(A2333="","",IF(COUNTIFS($C$2:$C$5001,C2333,$J$2:$J$5001,J2333,$A$2:$A$5001,"&lt;"&amp;A2333)=0,1,0))</f>
        <v>0</v>
      </c>
    </row>
    <row r="2334" customFormat="false" ht="15" hidden="false" customHeight="false" outlineLevel="0" collapsed="false">
      <c r="A2334" s="23" t="n">
        <v>46280.9104166667</v>
      </c>
      <c r="B2334" s="24" t="s">
        <v>583</v>
      </c>
      <c r="C2334" s="24" t="s">
        <v>253</v>
      </c>
      <c r="D2334" s="24" t="s">
        <v>53</v>
      </c>
      <c r="E2334" s="24" t="n">
        <v>207</v>
      </c>
      <c r="F2334" s="25" t="n">
        <v>3500</v>
      </c>
      <c r="G2334" s="24" t="s">
        <v>69</v>
      </c>
      <c r="H2334" s="24" t="s">
        <v>55</v>
      </c>
      <c r="I2334" s="24" t="s">
        <v>61</v>
      </c>
      <c r="J2334" s="26" t="n">
        <f aca="false">IF(A2334="","",YEAR(A2334))</f>
        <v>2026</v>
      </c>
      <c r="K2334" s="26" t="n">
        <f aca="false">IF(A2334="","",MONTH(A2334))</f>
        <v>9</v>
      </c>
      <c r="L2334" s="26" t="n">
        <f aca="false">IF(B2334="","",VALUE(LEFT(B2334,2)))</f>
        <v>18</v>
      </c>
      <c r="M2334" s="26" t="n">
        <f aca="false">IF(A2334="","",IF(COUNTIFS($C$2:$C$5001,C2334,$J$2:$J$5001,J2334,$A$2:$A$5001,"&lt;"&amp;A2334)=0,1,0))</f>
        <v>0</v>
      </c>
    </row>
    <row r="2335" customFormat="false" ht="15" hidden="false" customHeight="false" outlineLevel="0" collapsed="false">
      <c r="A2335" s="23" t="n">
        <v>46281.3</v>
      </c>
      <c r="B2335" s="24" t="s">
        <v>951</v>
      </c>
      <c r="C2335" s="24" t="s">
        <v>240</v>
      </c>
      <c r="D2335" s="24" t="s">
        <v>66</v>
      </c>
      <c r="E2335" s="24" t="n">
        <v>59</v>
      </c>
      <c r="F2335" s="25" t="n">
        <v>1700</v>
      </c>
      <c r="G2335" s="24" t="s">
        <v>83</v>
      </c>
      <c r="H2335" s="24" t="s">
        <v>80</v>
      </c>
      <c r="I2335" s="24" t="s">
        <v>113</v>
      </c>
      <c r="J2335" s="26" t="n">
        <f aca="false">IF(A2335="","",YEAR(A2335))</f>
        <v>2026</v>
      </c>
      <c r="K2335" s="26" t="n">
        <f aca="false">IF(A2335="","",MONTH(A2335))</f>
        <v>9</v>
      </c>
      <c r="L2335" s="26" t="n">
        <f aca="false">IF(B2335="","",VALUE(LEFT(B2335,2)))</f>
        <v>6</v>
      </c>
      <c r="M2335" s="26" t="n">
        <f aca="false">IF(A2335="","",IF(COUNTIFS($C$2:$C$5001,C2335,$J$2:$J$5001,J2335,$A$2:$A$5001,"&lt;"&amp;A2335)=0,1,0))</f>
        <v>0</v>
      </c>
    </row>
    <row r="2336" customFormat="false" ht="15" hidden="false" customHeight="false" outlineLevel="0" collapsed="false">
      <c r="A2336" s="23" t="n">
        <v>46281.5458333333</v>
      </c>
      <c r="B2336" s="24" t="s">
        <v>318</v>
      </c>
      <c r="C2336" s="24" t="s">
        <v>74</v>
      </c>
      <c r="D2336" s="24" t="s">
        <v>88</v>
      </c>
      <c r="E2336" s="24" t="n">
        <v>261</v>
      </c>
      <c r="F2336" s="25" t="n">
        <v>13500</v>
      </c>
      <c r="G2336" s="24" t="s">
        <v>59</v>
      </c>
      <c r="H2336" s="24" t="s">
        <v>60</v>
      </c>
      <c r="I2336" s="24" t="s">
        <v>61</v>
      </c>
      <c r="J2336" s="26" t="n">
        <f aca="false">IF(A2336="","",YEAR(A2336))</f>
        <v>2026</v>
      </c>
      <c r="K2336" s="26" t="n">
        <f aca="false">IF(A2336="","",MONTH(A2336))</f>
        <v>9</v>
      </c>
      <c r="L2336" s="26" t="n">
        <f aca="false">IF(B2336="","",VALUE(LEFT(B2336,2)))</f>
        <v>8</v>
      </c>
      <c r="M2336" s="26" t="n">
        <f aca="false">IF(A2336="","",IF(COUNTIFS($C$2:$C$5001,C2336,$J$2:$J$5001,J2336,$A$2:$A$5001,"&lt;"&amp;A2336)=0,1,0))</f>
        <v>0</v>
      </c>
    </row>
    <row r="2337" customFormat="false" ht="15" hidden="false" customHeight="false" outlineLevel="0" collapsed="false">
      <c r="A2337" s="23" t="n">
        <v>46281.6319444445</v>
      </c>
      <c r="B2337" s="24" t="s">
        <v>239</v>
      </c>
      <c r="C2337" s="24" t="s">
        <v>436</v>
      </c>
      <c r="D2337" s="24" t="s">
        <v>53</v>
      </c>
      <c r="E2337" s="24" t="n">
        <v>411</v>
      </c>
      <c r="F2337" s="25" t="n">
        <v>7000</v>
      </c>
      <c r="G2337" s="24" t="s">
        <v>59</v>
      </c>
      <c r="H2337" s="24" t="s">
        <v>60</v>
      </c>
      <c r="I2337" s="24" t="s">
        <v>61</v>
      </c>
      <c r="J2337" s="26" t="n">
        <f aca="false">IF(A2337="","",YEAR(A2337))</f>
        <v>2026</v>
      </c>
      <c r="K2337" s="26" t="n">
        <f aca="false">IF(A2337="","",MONTH(A2337))</f>
        <v>9</v>
      </c>
      <c r="L2337" s="26" t="n">
        <f aca="false">IF(B2337="","",VALUE(LEFT(B2337,2)))</f>
        <v>8</v>
      </c>
      <c r="M2337" s="26" t="n">
        <f aca="false">IF(A2337="","",IF(COUNTIFS($C$2:$C$5001,C2337,$J$2:$J$5001,J2337,$A$2:$A$5001,"&lt;"&amp;A2337)=0,1,0))</f>
        <v>0</v>
      </c>
    </row>
    <row r="2338" customFormat="false" ht="15" hidden="false" customHeight="false" outlineLevel="0" collapsed="false">
      <c r="A2338" s="23" t="n">
        <v>46281.6729166667</v>
      </c>
      <c r="B2338" s="24" t="s">
        <v>596</v>
      </c>
      <c r="C2338" s="24" t="s">
        <v>237</v>
      </c>
      <c r="D2338" s="24" t="s">
        <v>66</v>
      </c>
      <c r="E2338" s="24" t="n">
        <v>40</v>
      </c>
      <c r="F2338" s="25" t="n">
        <v>2000</v>
      </c>
      <c r="G2338" s="24" t="s">
        <v>59</v>
      </c>
      <c r="H2338" s="24" t="s">
        <v>55</v>
      </c>
      <c r="I2338" s="24" t="s">
        <v>61</v>
      </c>
      <c r="J2338" s="26" t="n">
        <f aca="false">IF(A2338="","",YEAR(A2338))</f>
        <v>2026</v>
      </c>
      <c r="K2338" s="26" t="n">
        <f aca="false">IF(A2338="","",MONTH(A2338))</f>
        <v>9</v>
      </c>
      <c r="L2338" s="26" t="n">
        <f aca="false">IF(B2338="","",VALUE(LEFT(B2338,2)))</f>
        <v>15</v>
      </c>
      <c r="M2338" s="26" t="n">
        <f aca="false">IF(A2338="","",IF(COUNTIFS($C$2:$C$5001,C2338,$J$2:$J$5001,J2338,$A$2:$A$5001,"&lt;"&amp;A2338)=0,1,0))</f>
        <v>0</v>
      </c>
    </row>
    <row r="2339" customFormat="false" ht="15" hidden="false" customHeight="false" outlineLevel="0" collapsed="false">
      <c r="A2339" s="23" t="n">
        <v>46281.7819444445</v>
      </c>
      <c r="B2339" s="24" t="s">
        <v>333</v>
      </c>
      <c r="C2339" s="24" t="s">
        <v>112</v>
      </c>
      <c r="D2339" s="24" t="s">
        <v>53</v>
      </c>
      <c r="E2339" s="24" t="n">
        <v>324</v>
      </c>
      <c r="F2339" s="25" t="n">
        <v>5500</v>
      </c>
      <c r="G2339" s="24" t="s">
        <v>83</v>
      </c>
      <c r="H2339" s="24" t="s">
        <v>60</v>
      </c>
      <c r="I2339" s="24" t="s">
        <v>61</v>
      </c>
      <c r="J2339" s="26" t="n">
        <f aca="false">IF(A2339="","",YEAR(A2339))</f>
        <v>2026</v>
      </c>
      <c r="K2339" s="26" t="n">
        <f aca="false">IF(A2339="","",MONTH(A2339))</f>
        <v>9</v>
      </c>
      <c r="L2339" s="26" t="n">
        <f aca="false">IF(B2339="","",VALUE(LEFT(B2339,2)))</f>
        <v>13</v>
      </c>
      <c r="M2339" s="26" t="n">
        <f aca="false">IF(A2339="","",IF(COUNTIFS($C$2:$C$5001,C2339,$J$2:$J$5001,J2339,$A$2:$A$5001,"&lt;"&amp;A2339)=0,1,0))</f>
        <v>0</v>
      </c>
    </row>
    <row r="2340" customFormat="false" ht="15" hidden="false" customHeight="false" outlineLevel="0" collapsed="false">
      <c r="A2340" s="23" t="n">
        <v>46281.8131944445</v>
      </c>
      <c r="B2340" s="24" t="s">
        <v>873</v>
      </c>
      <c r="C2340" s="24" t="s">
        <v>243</v>
      </c>
      <c r="D2340" s="24" t="s">
        <v>66</v>
      </c>
      <c r="E2340" s="24" t="n">
        <v>262</v>
      </c>
      <c r="F2340" s="25" t="n">
        <v>9000</v>
      </c>
      <c r="G2340" s="24" t="s">
        <v>59</v>
      </c>
      <c r="H2340" s="24" t="s">
        <v>60</v>
      </c>
      <c r="I2340" s="24" t="s">
        <v>61</v>
      </c>
      <c r="J2340" s="26" t="n">
        <f aca="false">IF(A2340="","",YEAR(A2340))</f>
        <v>2026</v>
      </c>
      <c r="K2340" s="26" t="n">
        <f aca="false">IF(A2340="","",MONTH(A2340))</f>
        <v>9</v>
      </c>
      <c r="L2340" s="26" t="n">
        <f aca="false">IF(B2340="","",VALUE(LEFT(B2340,2)))</f>
        <v>15</v>
      </c>
      <c r="M2340" s="26" t="n">
        <f aca="false">IF(A2340="","",IF(COUNTIFS($C$2:$C$5001,C2340,$J$2:$J$5001,J2340,$A$2:$A$5001,"&lt;"&amp;A2340)=0,1,0))</f>
        <v>0</v>
      </c>
    </row>
    <row r="2341" customFormat="false" ht="15" hidden="false" customHeight="false" outlineLevel="0" collapsed="false">
      <c r="A2341" s="23" t="n">
        <v>46281.8256944444</v>
      </c>
      <c r="B2341" s="24" t="s">
        <v>1048</v>
      </c>
      <c r="C2341" s="24" t="s">
        <v>742</v>
      </c>
      <c r="D2341" s="24" t="s">
        <v>88</v>
      </c>
      <c r="E2341" s="24" t="n">
        <v>130</v>
      </c>
      <c r="F2341" s="25" t="n">
        <v>7500</v>
      </c>
      <c r="G2341" s="24" t="s">
        <v>69</v>
      </c>
      <c r="H2341" s="24" t="s">
        <v>55</v>
      </c>
      <c r="I2341" s="24" t="s">
        <v>61</v>
      </c>
      <c r="J2341" s="26" t="n">
        <f aca="false">IF(A2341="","",YEAR(A2341))</f>
        <v>2026</v>
      </c>
      <c r="K2341" s="26" t="n">
        <f aca="false">IF(A2341="","",MONTH(A2341))</f>
        <v>9</v>
      </c>
      <c r="L2341" s="26" t="n">
        <f aca="false">IF(B2341="","",VALUE(LEFT(B2341,2)))</f>
        <v>17</v>
      </c>
      <c r="M2341" s="26" t="n">
        <f aca="false">IF(A2341="","",IF(COUNTIFS($C$2:$C$5001,C2341,$J$2:$J$5001,J2341,$A$2:$A$5001,"&lt;"&amp;A2341)=0,1,0))</f>
        <v>0</v>
      </c>
    </row>
    <row r="2342" customFormat="false" ht="15" hidden="false" customHeight="false" outlineLevel="0" collapsed="false">
      <c r="A2342" s="23" t="n">
        <v>46282.1368055556</v>
      </c>
      <c r="B2342" s="24" t="s">
        <v>760</v>
      </c>
      <c r="C2342" s="24" t="s">
        <v>129</v>
      </c>
      <c r="D2342" s="24" t="s">
        <v>72</v>
      </c>
      <c r="E2342" s="24" t="n">
        <v>401</v>
      </c>
      <c r="F2342" s="25" t="n">
        <v>28000</v>
      </c>
      <c r="G2342" s="24" t="s">
        <v>59</v>
      </c>
      <c r="H2342" s="24" t="s">
        <v>60</v>
      </c>
      <c r="I2342" s="24" t="s">
        <v>61</v>
      </c>
      <c r="J2342" s="26" t="n">
        <f aca="false">IF(A2342="","",YEAR(A2342))</f>
        <v>2026</v>
      </c>
      <c r="K2342" s="26" t="n">
        <f aca="false">IF(A2342="","",MONTH(A2342))</f>
        <v>9</v>
      </c>
      <c r="L2342" s="26" t="n">
        <f aca="false">IF(B2342="","",VALUE(LEFT(B2342,2)))</f>
        <v>20</v>
      </c>
      <c r="M2342" s="26" t="n">
        <f aca="false">IF(A2342="","",IF(COUNTIFS($C$2:$C$5001,C2342,$J$2:$J$5001,J2342,$A$2:$A$5001,"&lt;"&amp;A2342)=0,1,0))</f>
        <v>0</v>
      </c>
    </row>
    <row r="2343" customFormat="false" ht="15" hidden="false" customHeight="false" outlineLevel="0" collapsed="false">
      <c r="A2343" s="23" t="n">
        <v>46282.45625</v>
      </c>
      <c r="B2343" s="24" t="s">
        <v>178</v>
      </c>
      <c r="C2343" s="24" t="s">
        <v>152</v>
      </c>
      <c r="D2343" s="24" t="s">
        <v>66</v>
      </c>
      <c r="E2343" s="24" t="n">
        <v>86</v>
      </c>
      <c r="F2343" s="25" t="n">
        <v>3000</v>
      </c>
      <c r="G2343" s="24" t="s">
        <v>69</v>
      </c>
      <c r="H2343" s="24" t="s">
        <v>60</v>
      </c>
      <c r="I2343" s="24" t="s">
        <v>61</v>
      </c>
      <c r="J2343" s="26" t="n">
        <f aca="false">IF(A2343="","",YEAR(A2343))</f>
        <v>2026</v>
      </c>
      <c r="K2343" s="26" t="n">
        <f aca="false">IF(A2343="","",MONTH(A2343))</f>
        <v>9</v>
      </c>
      <c r="L2343" s="26" t="n">
        <f aca="false">IF(B2343="","",VALUE(LEFT(B2343,2)))</f>
        <v>9</v>
      </c>
      <c r="M2343" s="26" t="n">
        <f aca="false">IF(A2343="","",IF(COUNTIFS($C$2:$C$5001,C2343,$J$2:$J$5001,J2343,$A$2:$A$5001,"&lt;"&amp;A2343)=0,1,0))</f>
        <v>0</v>
      </c>
    </row>
    <row r="2344" customFormat="false" ht="15" hidden="false" customHeight="false" outlineLevel="0" collapsed="false">
      <c r="A2344" s="23" t="n">
        <v>46282.9902777778</v>
      </c>
      <c r="B2344" s="24" t="s">
        <v>695</v>
      </c>
      <c r="C2344" s="24" t="s">
        <v>448</v>
      </c>
      <c r="D2344" s="24" t="s">
        <v>66</v>
      </c>
      <c r="E2344" s="24" t="n">
        <v>170</v>
      </c>
      <c r="F2344" s="25" t="n">
        <v>6000</v>
      </c>
      <c r="G2344" s="24" t="s">
        <v>79</v>
      </c>
      <c r="H2344" s="24" t="s">
        <v>55</v>
      </c>
      <c r="I2344" s="24" t="s">
        <v>61</v>
      </c>
      <c r="J2344" s="26" t="n">
        <f aca="false">IF(A2344="","",YEAR(A2344))</f>
        <v>2026</v>
      </c>
      <c r="K2344" s="26" t="n">
        <f aca="false">IF(A2344="","",MONTH(A2344))</f>
        <v>9</v>
      </c>
      <c r="L2344" s="26" t="n">
        <f aca="false">IF(B2344="","",VALUE(LEFT(B2344,2)))</f>
        <v>20</v>
      </c>
      <c r="M2344" s="26" t="n">
        <f aca="false">IF(A2344="","",IF(COUNTIFS($C$2:$C$5001,C2344,$J$2:$J$5001,J2344,$A$2:$A$5001,"&lt;"&amp;A2344)=0,1,0))</f>
        <v>0</v>
      </c>
    </row>
    <row r="2345" customFormat="false" ht="15" hidden="false" customHeight="false" outlineLevel="0" collapsed="false">
      <c r="A2345" s="23" t="n">
        <v>46283.4444444445</v>
      </c>
      <c r="B2345" s="24" t="s">
        <v>368</v>
      </c>
      <c r="C2345" s="24" t="s">
        <v>267</v>
      </c>
      <c r="D2345" s="24" t="s">
        <v>53</v>
      </c>
      <c r="E2345" s="24" t="n">
        <v>187</v>
      </c>
      <c r="F2345" s="25" t="n">
        <v>3500</v>
      </c>
      <c r="G2345" s="24" t="s">
        <v>69</v>
      </c>
      <c r="H2345" s="24" t="s">
        <v>60</v>
      </c>
      <c r="I2345" s="24" t="s">
        <v>61</v>
      </c>
      <c r="J2345" s="26" t="n">
        <f aca="false">IF(A2345="","",YEAR(A2345))</f>
        <v>2026</v>
      </c>
      <c r="K2345" s="26" t="n">
        <f aca="false">IF(A2345="","",MONTH(A2345))</f>
        <v>9</v>
      </c>
      <c r="L2345" s="26" t="n">
        <f aca="false">IF(B2345="","",VALUE(LEFT(B2345,2)))</f>
        <v>7</v>
      </c>
      <c r="M2345" s="26" t="n">
        <f aca="false">IF(A2345="","",IF(COUNTIFS($C$2:$C$5001,C2345,$J$2:$J$5001,J2345,$A$2:$A$5001,"&lt;"&amp;A2345)=0,1,0))</f>
        <v>0</v>
      </c>
    </row>
    <row r="2346" customFormat="false" ht="15" hidden="false" customHeight="false" outlineLevel="0" collapsed="false">
      <c r="A2346" s="23" t="n">
        <v>46283.4597222222</v>
      </c>
      <c r="B2346" s="24" t="s">
        <v>974</v>
      </c>
      <c r="C2346" s="24" t="s">
        <v>52</v>
      </c>
      <c r="D2346" s="24" t="s">
        <v>66</v>
      </c>
      <c r="E2346" s="24" t="n">
        <v>239</v>
      </c>
      <c r="F2346" s="25" t="n">
        <v>8000</v>
      </c>
      <c r="G2346" s="24" t="s">
        <v>83</v>
      </c>
      <c r="H2346" s="24" t="s">
        <v>60</v>
      </c>
      <c r="I2346" s="24" t="s">
        <v>61</v>
      </c>
      <c r="J2346" s="26" t="n">
        <f aca="false">IF(A2346="","",YEAR(A2346))</f>
        <v>2026</v>
      </c>
      <c r="K2346" s="26" t="n">
        <f aca="false">IF(A2346="","",MONTH(A2346))</f>
        <v>9</v>
      </c>
      <c r="L2346" s="26" t="n">
        <f aca="false">IF(B2346="","",VALUE(LEFT(B2346,2)))</f>
        <v>7</v>
      </c>
      <c r="M2346" s="26" t="n">
        <f aca="false">IF(A2346="","",IF(COUNTIFS($C$2:$C$5001,C2346,$J$2:$J$5001,J2346,$A$2:$A$5001,"&lt;"&amp;A2346)=0,1,0))</f>
        <v>0</v>
      </c>
    </row>
    <row r="2347" customFormat="false" ht="15" hidden="false" customHeight="false" outlineLevel="0" collapsed="false">
      <c r="A2347" s="23" t="n">
        <v>46283.7472222222</v>
      </c>
      <c r="B2347" s="24" t="s">
        <v>1036</v>
      </c>
      <c r="C2347" s="24" t="s">
        <v>222</v>
      </c>
      <c r="D2347" s="24" t="s">
        <v>66</v>
      </c>
      <c r="E2347" s="24" t="n">
        <v>230</v>
      </c>
      <c r="F2347" s="25" t="n">
        <v>6800</v>
      </c>
      <c r="G2347" s="24" t="s">
        <v>69</v>
      </c>
      <c r="H2347" s="24" t="s">
        <v>80</v>
      </c>
      <c r="I2347" s="24" t="s">
        <v>113</v>
      </c>
      <c r="J2347" s="26" t="n">
        <f aca="false">IF(A2347="","",YEAR(A2347))</f>
        <v>2026</v>
      </c>
      <c r="K2347" s="26" t="n">
        <f aca="false">IF(A2347="","",MONTH(A2347))</f>
        <v>9</v>
      </c>
      <c r="L2347" s="26" t="n">
        <f aca="false">IF(B2347="","",VALUE(LEFT(B2347,2)))</f>
        <v>14</v>
      </c>
      <c r="M2347" s="26" t="n">
        <f aca="false">IF(A2347="","",IF(COUNTIFS($C$2:$C$5001,C2347,$J$2:$J$5001,J2347,$A$2:$A$5001,"&lt;"&amp;A2347)=0,1,0))</f>
        <v>0</v>
      </c>
    </row>
    <row r="2348" customFormat="false" ht="15" hidden="false" customHeight="false" outlineLevel="0" collapsed="false">
      <c r="A2348" s="23" t="n">
        <v>46283.8729166667</v>
      </c>
      <c r="B2348" s="24" t="s">
        <v>295</v>
      </c>
      <c r="C2348" s="24" t="s">
        <v>170</v>
      </c>
      <c r="D2348" s="24" t="s">
        <v>127</v>
      </c>
      <c r="E2348" s="24" t="n">
        <v>176</v>
      </c>
      <c r="F2348" s="25" t="n">
        <v>10500</v>
      </c>
      <c r="G2348" s="24" t="s">
        <v>69</v>
      </c>
      <c r="H2348" s="24" t="s">
        <v>80</v>
      </c>
      <c r="I2348" s="24" t="s">
        <v>61</v>
      </c>
      <c r="J2348" s="26" t="n">
        <f aca="false">IF(A2348="","",YEAR(A2348))</f>
        <v>2026</v>
      </c>
      <c r="K2348" s="26" t="n">
        <f aca="false">IF(A2348="","",MONTH(A2348))</f>
        <v>9</v>
      </c>
      <c r="L2348" s="26" t="n">
        <f aca="false">IF(B2348="","",VALUE(LEFT(B2348,2)))</f>
        <v>18</v>
      </c>
      <c r="M2348" s="26" t="n">
        <f aca="false">IF(A2348="","",IF(COUNTIFS($C$2:$C$5001,C2348,$J$2:$J$5001,J2348,$A$2:$A$5001,"&lt;"&amp;A2348)=0,1,0))</f>
        <v>0</v>
      </c>
    </row>
    <row r="2349" customFormat="false" ht="15" hidden="false" customHeight="false" outlineLevel="0" collapsed="false">
      <c r="A2349" s="23" t="n">
        <v>46284.0472222222</v>
      </c>
      <c r="B2349" s="24" t="s">
        <v>952</v>
      </c>
      <c r="C2349" s="24" t="s">
        <v>188</v>
      </c>
      <c r="D2349" s="24" t="s">
        <v>66</v>
      </c>
      <c r="E2349" s="24" t="n">
        <v>267</v>
      </c>
      <c r="F2349" s="25" t="n">
        <v>9000</v>
      </c>
      <c r="G2349" s="24" t="s">
        <v>69</v>
      </c>
      <c r="H2349" s="24" t="s">
        <v>80</v>
      </c>
      <c r="I2349" s="24" t="s">
        <v>61</v>
      </c>
      <c r="J2349" s="26" t="n">
        <f aca="false">IF(A2349="","",YEAR(A2349))</f>
        <v>2026</v>
      </c>
      <c r="K2349" s="26" t="n">
        <f aca="false">IF(A2349="","",MONTH(A2349))</f>
        <v>9</v>
      </c>
      <c r="L2349" s="26" t="n">
        <f aca="false">IF(B2349="","",VALUE(LEFT(B2349,2)))</f>
        <v>20</v>
      </c>
      <c r="M2349" s="26" t="n">
        <f aca="false">IF(A2349="","",IF(COUNTIFS($C$2:$C$5001,C2349,$J$2:$J$5001,J2349,$A$2:$A$5001,"&lt;"&amp;A2349)=0,1,0))</f>
        <v>0</v>
      </c>
    </row>
    <row r="2350" customFormat="false" ht="15" hidden="false" customHeight="false" outlineLevel="0" collapsed="false">
      <c r="A2350" s="23" t="n">
        <v>46284.0881944444</v>
      </c>
      <c r="B2350" s="24" t="s">
        <v>234</v>
      </c>
      <c r="C2350" s="24" t="s">
        <v>156</v>
      </c>
      <c r="D2350" s="24" t="s">
        <v>66</v>
      </c>
      <c r="E2350" s="24" t="n">
        <v>339</v>
      </c>
      <c r="F2350" s="25" t="n">
        <v>12000</v>
      </c>
      <c r="G2350" s="24" t="s">
        <v>79</v>
      </c>
      <c r="H2350" s="24" t="s">
        <v>80</v>
      </c>
      <c r="I2350" s="24" t="s">
        <v>61</v>
      </c>
      <c r="J2350" s="26" t="n">
        <f aca="false">IF(A2350="","",YEAR(A2350))</f>
        <v>2026</v>
      </c>
      <c r="K2350" s="26" t="n">
        <f aca="false">IF(A2350="","",MONTH(A2350))</f>
        <v>9</v>
      </c>
      <c r="L2350" s="26" t="n">
        <f aca="false">IF(B2350="","",VALUE(LEFT(B2350,2)))</f>
        <v>20</v>
      </c>
      <c r="M2350" s="26" t="n">
        <f aca="false">IF(A2350="","",IF(COUNTIFS($C$2:$C$5001,C2350,$J$2:$J$5001,J2350,$A$2:$A$5001,"&lt;"&amp;A2350)=0,1,0))</f>
        <v>0</v>
      </c>
    </row>
    <row r="2351" customFormat="false" ht="15" hidden="false" customHeight="false" outlineLevel="0" collapsed="false">
      <c r="A2351" s="23" t="n">
        <v>46284.4444444445</v>
      </c>
      <c r="B2351" s="24" t="s">
        <v>930</v>
      </c>
      <c r="C2351" s="24" t="s">
        <v>463</v>
      </c>
      <c r="D2351" s="24" t="s">
        <v>66</v>
      </c>
      <c r="E2351" s="24" t="n">
        <v>89</v>
      </c>
      <c r="F2351" s="25" t="n">
        <v>3000</v>
      </c>
      <c r="G2351" s="24" t="s">
        <v>59</v>
      </c>
      <c r="H2351" s="24" t="s">
        <v>55</v>
      </c>
      <c r="I2351" s="24" t="s">
        <v>61</v>
      </c>
      <c r="J2351" s="26" t="n">
        <f aca="false">IF(A2351="","",YEAR(A2351))</f>
        <v>2026</v>
      </c>
      <c r="K2351" s="26" t="n">
        <f aca="false">IF(A2351="","",MONTH(A2351))</f>
        <v>9</v>
      </c>
      <c r="L2351" s="26" t="n">
        <f aca="false">IF(B2351="","",VALUE(LEFT(B2351,2)))</f>
        <v>9</v>
      </c>
      <c r="M2351" s="26" t="n">
        <f aca="false">IF(A2351="","",IF(COUNTIFS($C$2:$C$5001,C2351,$J$2:$J$5001,J2351,$A$2:$A$5001,"&lt;"&amp;A2351)=0,1,0))</f>
        <v>0</v>
      </c>
    </row>
    <row r="2352" customFormat="false" ht="15" hidden="false" customHeight="false" outlineLevel="0" collapsed="false">
      <c r="A2352" s="23" t="n">
        <v>46284.81875</v>
      </c>
      <c r="B2352" s="24" t="s">
        <v>847</v>
      </c>
      <c r="C2352" s="24" t="s">
        <v>108</v>
      </c>
      <c r="D2352" s="24" t="s">
        <v>66</v>
      </c>
      <c r="E2352" s="24" t="n">
        <v>353</v>
      </c>
      <c r="F2352" s="25" t="n">
        <v>10200</v>
      </c>
      <c r="G2352" s="24" t="s">
        <v>59</v>
      </c>
      <c r="H2352" s="24" t="s">
        <v>80</v>
      </c>
      <c r="I2352" s="24" t="s">
        <v>113</v>
      </c>
      <c r="J2352" s="26" t="n">
        <f aca="false">IF(A2352="","",YEAR(A2352))</f>
        <v>2026</v>
      </c>
      <c r="K2352" s="26" t="n">
        <f aca="false">IF(A2352="","",MONTH(A2352))</f>
        <v>9</v>
      </c>
      <c r="L2352" s="26" t="n">
        <f aca="false">IF(B2352="","",VALUE(LEFT(B2352,2)))</f>
        <v>13</v>
      </c>
      <c r="M2352" s="26" t="n">
        <f aca="false">IF(A2352="","",IF(COUNTIFS($C$2:$C$5001,C2352,$J$2:$J$5001,J2352,$A$2:$A$5001,"&lt;"&amp;A2352)=0,1,0))</f>
        <v>0</v>
      </c>
    </row>
    <row r="2353" customFormat="false" ht="15" hidden="false" customHeight="false" outlineLevel="0" collapsed="false">
      <c r="A2353" s="23" t="n">
        <v>46284.9680555556</v>
      </c>
      <c r="B2353" s="24" t="s">
        <v>269</v>
      </c>
      <c r="C2353" s="24" t="s">
        <v>78</v>
      </c>
      <c r="D2353" s="24" t="s">
        <v>66</v>
      </c>
      <c r="E2353" s="24" t="n">
        <v>194</v>
      </c>
      <c r="F2353" s="25" t="n">
        <v>7000</v>
      </c>
      <c r="G2353" s="24" t="s">
        <v>69</v>
      </c>
      <c r="H2353" s="24" t="s">
        <v>60</v>
      </c>
      <c r="I2353" s="24" t="s">
        <v>61</v>
      </c>
      <c r="J2353" s="26" t="n">
        <f aca="false">IF(A2353="","",YEAR(A2353))</f>
        <v>2026</v>
      </c>
      <c r="K2353" s="26" t="n">
        <f aca="false">IF(A2353="","",MONTH(A2353))</f>
        <v>9</v>
      </c>
      <c r="L2353" s="26" t="n">
        <f aca="false">IF(B2353="","",VALUE(LEFT(B2353,2)))</f>
        <v>20</v>
      </c>
      <c r="M2353" s="26" t="n">
        <f aca="false">IF(A2353="","",IF(COUNTIFS($C$2:$C$5001,C2353,$J$2:$J$5001,J2353,$A$2:$A$5001,"&lt;"&amp;A2353)=0,1,0))</f>
        <v>0</v>
      </c>
    </row>
    <row r="2354" customFormat="false" ht="15" hidden="false" customHeight="false" outlineLevel="0" collapsed="false">
      <c r="A2354" s="23" t="n">
        <v>46284.9847222222</v>
      </c>
      <c r="B2354" s="24" t="s">
        <v>835</v>
      </c>
      <c r="C2354" s="24" t="s">
        <v>108</v>
      </c>
      <c r="D2354" s="24" t="s">
        <v>66</v>
      </c>
      <c r="E2354" s="24" t="n">
        <v>315</v>
      </c>
      <c r="F2354" s="25" t="n">
        <v>11000</v>
      </c>
      <c r="G2354" s="24" t="s">
        <v>59</v>
      </c>
      <c r="H2354" s="24" t="s">
        <v>60</v>
      </c>
      <c r="I2354" s="24" t="s">
        <v>61</v>
      </c>
      <c r="J2354" s="26" t="n">
        <f aca="false">IF(A2354="","",YEAR(A2354))</f>
        <v>2026</v>
      </c>
      <c r="K2354" s="26" t="n">
        <f aca="false">IF(A2354="","",MONTH(A2354))</f>
        <v>9</v>
      </c>
      <c r="L2354" s="26" t="n">
        <f aca="false">IF(B2354="","",VALUE(LEFT(B2354,2)))</f>
        <v>18</v>
      </c>
      <c r="M2354" s="26" t="n">
        <f aca="false">IF(A2354="","",IF(COUNTIFS($C$2:$C$5001,C2354,$J$2:$J$5001,J2354,$A$2:$A$5001,"&lt;"&amp;A2354)=0,1,0))</f>
        <v>0</v>
      </c>
    </row>
    <row r="2355" customFormat="false" ht="15" hidden="false" customHeight="false" outlineLevel="0" collapsed="false">
      <c r="A2355" s="23" t="n">
        <v>46285.3909722222</v>
      </c>
      <c r="B2355" s="24" t="s">
        <v>241</v>
      </c>
      <c r="C2355" s="24" t="s">
        <v>90</v>
      </c>
      <c r="D2355" s="24" t="s">
        <v>53</v>
      </c>
      <c r="E2355" s="24" t="n">
        <v>79</v>
      </c>
      <c r="F2355" s="25" t="n">
        <v>1500</v>
      </c>
      <c r="G2355" s="24" t="s">
        <v>69</v>
      </c>
      <c r="H2355" s="24" t="s">
        <v>80</v>
      </c>
      <c r="I2355" s="24" t="s">
        <v>61</v>
      </c>
      <c r="J2355" s="26" t="n">
        <f aca="false">IF(A2355="","",YEAR(A2355))</f>
        <v>2026</v>
      </c>
      <c r="K2355" s="26" t="n">
        <f aca="false">IF(A2355="","",MONTH(A2355))</f>
        <v>9</v>
      </c>
      <c r="L2355" s="26" t="n">
        <f aca="false">IF(B2355="","",VALUE(LEFT(B2355,2)))</f>
        <v>8</v>
      </c>
      <c r="M2355" s="26" t="n">
        <f aca="false">IF(A2355="","",IF(COUNTIFS($C$2:$C$5001,C2355,$J$2:$J$5001,J2355,$A$2:$A$5001,"&lt;"&amp;A2355)=0,1,0))</f>
        <v>0</v>
      </c>
    </row>
    <row r="2356" customFormat="false" ht="15" hidden="false" customHeight="false" outlineLevel="0" collapsed="false">
      <c r="A2356" s="23" t="n">
        <v>46285.5215277778</v>
      </c>
      <c r="B2356" s="24" t="s">
        <v>933</v>
      </c>
      <c r="C2356" s="24" t="s">
        <v>172</v>
      </c>
      <c r="D2356" s="24" t="s">
        <v>53</v>
      </c>
      <c r="E2356" s="24" t="n">
        <v>242</v>
      </c>
      <c r="F2356" s="25" t="n">
        <v>0</v>
      </c>
      <c r="G2356" s="24" t="s">
        <v>69</v>
      </c>
      <c r="H2356" s="24" t="s">
        <v>80</v>
      </c>
      <c r="I2356" s="24" t="s">
        <v>56</v>
      </c>
      <c r="J2356" s="26" t="n">
        <f aca="false">IF(A2356="","",YEAR(A2356))</f>
        <v>2026</v>
      </c>
      <c r="K2356" s="26" t="n">
        <f aca="false">IF(A2356="","",MONTH(A2356))</f>
        <v>9</v>
      </c>
      <c r="L2356" s="26" t="n">
        <f aca="false">IF(B2356="","",VALUE(LEFT(B2356,2)))</f>
        <v>8</v>
      </c>
      <c r="M2356" s="26" t="n">
        <f aca="false">IF(A2356="","",IF(COUNTIFS($C$2:$C$5001,C2356,$J$2:$J$5001,J2356,$A$2:$A$5001,"&lt;"&amp;A2356)=0,1,0))</f>
        <v>0</v>
      </c>
    </row>
    <row r="2357" customFormat="false" ht="15" hidden="false" customHeight="false" outlineLevel="0" collapsed="false">
      <c r="A2357" s="23" t="n">
        <v>46285.5430555556</v>
      </c>
      <c r="B2357" s="24" t="s">
        <v>349</v>
      </c>
      <c r="C2357" s="24" t="s">
        <v>436</v>
      </c>
      <c r="D2357" s="24" t="s">
        <v>66</v>
      </c>
      <c r="E2357" s="24" t="n">
        <v>334</v>
      </c>
      <c r="F2357" s="25" t="n">
        <v>12000</v>
      </c>
      <c r="G2357" s="24" t="s">
        <v>69</v>
      </c>
      <c r="H2357" s="24" t="s">
        <v>60</v>
      </c>
      <c r="I2357" s="24" t="s">
        <v>61</v>
      </c>
      <c r="J2357" s="26" t="n">
        <f aca="false">IF(A2357="","",YEAR(A2357))</f>
        <v>2026</v>
      </c>
      <c r="K2357" s="26" t="n">
        <f aca="false">IF(A2357="","",MONTH(A2357))</f>
        <v>9</v>
      </c>
      <c r="L2357" s="26" t="n">
        <f aca="false">IF(B2357="","",VALUE(LEFT(B2357,2)))</f>
        <v>7</v>
      </c>
      <c r="M2357" s="26" t="n">
        <f aca="false">IF(A2357="","",IF(COUNTIFS($C$2:$C$5001,C2357,$J$2:$J$5001,J2357,$A$2:$A$5001,"&lt;"&amp;A2357)=0,1,0))</f>
        <v>0</v>
      </c>
    </row>
    <row r="2358" customFormat="false" ht="15" hidden="false" customHeight="false" outlineLevel="0" collapsed="false">
      <c r="A2358" s="23" t="n">
        <v>46285.5541666667</v>
      </c>
      <c r="B2358" s="24" t="s">
        <v>507</v>
      </c>
      <c r="C2358" s="24" t="s">
        <v>467</v>
      </c>
      <c r="D2358" s="24" t="s">
        <v>53</v>
      </c>
      <c r="E2358" s="24" t="n">
        <v>204</v>
      </c>
      <c r="F2358" s="25" t="n">
        <v>3500</v>
      </c>
      <c r="G2358" s="24" t="s">
        <v>69</v>
      </c>
      <c r="H2358" s="24" t="s">
        <v>60</v>
      </c>
      <c r="I2358" s="24" t="s">
        <v>61</v>
      </c>
      <c r="J2358" s="26" t="n">
        <f aca="false">IF(A2358="","",YEAR(A2358))</f>
        <v>2026</v>
      </c>
      <c r="K2358" s="26" t="n">
        <f aca="false">IF(A2358="","",MONTH(A2358))</f>
        <v>9</v>
      </c>
      <c r="L2358" s="26" t="n">
        <f aca="false">IF(B2358="","",VALUE(LEFT(B2358,2)))</f>
        <v>9</v>
      </c>
      <c r="M2358" s="26" t="n">
        <f aca="false">IF(A2358="","",IF(COUNTIFS($C$2:$C$5001,C2358,$J$2:$J$5001,J2358,$A$2:$A$5001,"&lt;"&amp;A2358)=0,1,0))</f>
        <v>0</v>
      </c>
    </row>
    <row r="2359" customFormat="false" ht="15" hidden="false" customHeight="false" outlineLevel="0" collapsed="false">
      <c r="A2359" s="23" t="n">
        <v>46285.7326388889</v>
      </c>
      <c r="B2359" s="24" t="s">
        <v>1049</v>
      </c>
      <c r="C2359" s="24" t="s">
        <v>174</v>
      </c>
      <c r="D2359" s="24" t="s">
        <v>53</v>
      </c>
      <c r="E2359" s="24" t="n">
        <v>408</v>
      </c>
      <c r="F2359" s="25" t="n">
        <v>7000</v>
      </c>
      <c r="G2359" s="24" t="s">
        <v>59</v>
      </c>
      <c r="H2359" s="24" t="s">
        <v>80</v>
      </c>
      <c r="I2359" s="24" t="s">
        <v>61</v>
      </c>
      <c r="J2359" s="26" t="n">
        <f aca="false">IF(A2359="","",YEAR(A2359))</f>
        <v>2026</v>
      </c>
      <c r="K2359" s="26" t="n">
        <f aca="false">IF(A2359="","",MONTH(A2359))</f>
        <v>9</v>
      </c>
      <c r="L2359" s="26" t="n">
        <f aca="false">IF(B2359="","",VALUE(LEFT(B2359,2)))</f>
        <v>10</v>
      </c>
      <c r="M2359" s="26" t="n">
        <f aca="false">IF(A2359="","",IF(COUNTIFS($C$2:$C$5001,C2359,$J$2:$J$5001,J2359,$A$2:$A$5001,"&lt;"&amp;A2359)=0,1,0))</f>
        <v>0</v>
      </c>
    </row>
    <row r="2360" customFormat="false" ht="15" hidden="false" customHeight="false" outlineLevel="0" collapsed="false">
      <c r="A2360" s="23" t="n">
        <v>46285.7798611111</v>
      </c>
      <c r="B2360" s="24" t="s">
        <v>882</v>
      </c>
      <c r="C2360" s="24" t="s">
        <v>561</v>
      </c>
      <c r="D2360" s="24" t="s">
        <v>66</v>
      </c>
      <c r="E2360" s="24" t="n">
        <v>410</v>
      </c>
      <c r="F2360" s="25" t="n">
        <v>14000</v>
      </c>
      <c r="G2360" s="24" t="s">
        <v>69</v>
      </c>
      <c r="H2360" s="24" t="s">
        <v>80</v>
      </c>
      <c r="I2360" s="24" t="s">
        <v>61</v>
      </c>
      <c r="J2360" s="26" t="n">
        <f aca="false">IF(A2360="","",YEAR(A2360))</f>
        <v>2026</v>
      </c>
      <c r="K2360" s="26" t="n">
        <f aca="false">IF(A2360="","",MONTH(A2360))</f>
        <v>9</v>
      </c>
      <c r="L2360" s="26" t="n">
        <f aca="false">IF(B2360="","",VALUE(LEFT(B2360,2)))</f>
        <v>11</v>
      </c>
      <c r="M2360" s="26" t="n">
        <f aca="false">IF(A2360="","",IF(COUNTIFS($C$2:$C$5001,C2360,$J$2:$J$5001,J2360,$A$2:$A$5001,"&lt;"&amp;A2360)=0,1,0))</f>
        <v>0</v>
      </c>
    </row>
    <row r="2361" customFormat="false" ht="15" hidden="false" customHeight="false" outlineLevel="0" collapsed="false">
      <c r="A2361" s="23" t="n">
        <v>46285.8229166667</v>
      </c>
      <c r="B2361" s="24" t="s">
        <v>247</v>
      </c>
      <c r="C2361" s="24" t="s">
        <v>52</v>
      </c>
      <c r="D2361" s="24" t="s">
        <v>66</v>
      </c>
      <c r="E2361" s="24" t="n">
        <v>54</v>
      </c>
      <c r="F2361" s="25" t="n">
        <v>2000</v>
      </c>
      <c r="G2361" s="24" t="s">
        <v>79</v>
      </c>
      <c r="H2361" s="24" t="s">
        <v>55</v>
      </c>
      <c r="I2361" s="24" t="s">
        <v>61</v>
      </c>
      <c r="J2361" s="26" t="n">
        <f aca="false">IF(A2361="","",YEAR(A2361))</f>
        <v>2026</v>
      </c>
      <c r="K2361" s="26" t="n">
        <f aca="false">IF(A2361="","",MONTH(A2361))</f>
        <v>9</v>
      </c>
      <c r="L2361" s="26" t="n">
        <f aca="false">IF(B2361="","",VALUE(LEFT(B2361,2)))</f>
        <v>18</v>
      </c>
      <c r="M2361" s="26" t="n">
        <f aca="false">IF(A2361="","",IF(COUNTIFS($C$2:$C$5001,C2361,$J$2:$J$5001,J2361,$A$2:$A$5001,"&lt;"&amp;A2361)=0,1,0))</f>
        <v>0</v>
      </c>
    </row>
    <row r="2362" customFormat="false" ht="15" hidden="false" customHeight="false" outlineLevel="0" collapsed="false">
      <c r="A2362" s="23" t="n">
        <v>46286.325</v>
      </c>
      <c r="B2362" s="24" t="s">
        <v>859</v>
      </c>
      <c r="C2362" s="24" t="s">
        <v>179</v>
      </c>
      <c r="D2362" s="24" t="s">
        <v>66</v>
      </c>
      <c r="E2362" s="24" t="n">
        <v>32</v>
      </c>
      <c r="F2362" s="25" t="n">
        <v>1700</v>
      </c>
      <c r="G2362" s="24" t="s">
        <v>59</v>
      </c>
      <c r="H2362" s="24" t="s">
        <v>80</v>
      </c>
      <c r="I2362" s="24" t="s">
        <v>113</v>
      </c>
      <c r="J2362" s="26" t="n">
        <f aca="false">IF(A2362="","",YEAR(A2362))</f>
        <v>2026</v>
      </c>
      <c r="K2362" s="26" t="n">
        <f aca="false">IF(A2362="","",MONTH(A2362))</f>
        <v>9</v>
      </c>
      <c r="L2362" s="26" t="n">
        <f aca="false">IF(B2362="","",VALUE(LEFT(B2362,2)))</f>
        <v>7</v>
      </c>
      <c r="M2362" s="26" t="n">
        <f aca="false">IF(A2362="","",IF(COUNTIFS($C$2:$C$5001,C2362,$J$2:$J$5001,J2362,$A$2:$A$5001,"&lt;"&amp;A2362)=0,1,0))</f>
        <v>0</v>
      </c>
    </row>
    <row r="2363" customFormat="false" ht="15" hidden="false" customHeight="false" outlineLevel="0" collapsed="false">
      <c r="A2363" s="23" t="n">
        <v>46286.50625</v>
      </c>
      <c r="B2363" s="24" t="s">
        <v>239</v>
      </c>
      <c r="C2363" s="24" t="s">
        <v>82</v>
      </c>
      <c r="D2363" s="24" t="s">
        <v>66</v>
      </c>
      <c r="E2363" s="24" t="n">
        <v>230</v>
      </c>
      <c r="F2363" s="25" t="n">
        <v>6800</v>
      </c>
      <c r="G2363" s="24" t="s">
        <v>59</v>
      </c>
      <c r="H2363" s="24" t="s">
        <v>55</v>
      </c>
      <c r="I2363" s="24" t="s">
        <v>113</v>
      </c>
      <c r="J2363" s="26" t="n">
        <f aca="false">IF(A2363="","",YEAR(A2363))</f>
        <v>2026</v>
      </c>
      <c r="K2363" s="26" t="n">
        <f aca="false">IF(A2363="","",MONTH(A2363))</f>
        <v>9</v>
      </c>
      <c r="L2363" s="26" t="n">
        <f aca="false">IF(B2363="","",VALUE(LEFT(B2363,2)))</f>
        <v>8</v>
      </c>
      <c r="M2363" s="26" t="n">
        <f aca="false">IF(A2363="","",IF(COUNTIFS($C$2:$C$5001,C2363,$J$2:$J$5001,J2363,$A$2:$A$5001,"&lt;"&amp;A2363)=0,1,0))</f>
        <v>0</v>
      </c>
    </row>
    <row r="2364" customFormat="false" ht="15" hidden="false" customHeight="false" outlineLevel="0" collapsed="false">
      <c r="A2364" s="23" t="n">
        <v>46286.5444444444</v>
      </c>
      <c r="B2364" s="24" t="s">
        <v>647</v>
      </c>
      <c r="C2364" s="24" t="s">
        <v>96</v>
      </c>
      <c r="D2364" s="24" t="s">
        <v>53</v>
      </c>
      <c r="E2364" s="24" t="n">
        <v>22</v>
      </c>
      <c r="F2364" s="25" t="n">
        <v>500</v>
      </c>
      <c r="G2364" s="24" t="s">
        <v>59</v>
      </c>
      <c r="H2364" s="24" t="s">
        <v>55</v>
      </c>
      <c r="I2364" s="24" t="s">
        <v>61</v>
      </c>
      <c r="J2364" s="26" t="n">
        <f aca="false">IF(A2364="","",YEAR(A2364))</f>
        <v>2026</v>
      </c>
      <c r="K2364" s="26" t="n">
        <f aca="false">IF(A2364="","",MONTH(A2364))</f>
        <v>9</v>
      </c>
      <c r="L2364" s="26" t="n">
        <f aca="false">IF(B2364="","",VALUE(LEFT(B2364,2)))</f>
        <v>12</v>
      </c>
      <c r="M2364" s="26" t="n">
        <f aca="false">IF(A2364="","",IF(COUNTIFS($C$2:$C$5001,C2364,$J$2:$J$5001,J2364,$A$2:$A$5001,"&lt;"&amp;A2364)=0,1,0))</f>
        <v>0</v>
      </c>
    </row>
    <row r="2365" customFormat="false" ht="15" hidden="false" customHeight="false" outlineLevel="0" collapsed="false">
      <c r="A2365" s="23" t="n">
        <v>46286.5909722222</v>
      </c>
      <c r="B2365" s="24" t="s">
        <v>588</v>
      </c>
      <c r="C2365" s="24" t="s">
        <v>186</v>
      </c>
      <c r="D2365" s="24" t="s">
        <v>66</v>
      </c>
      <c r="E2365" s="24" t="n">
        <v>113</v>
      </c>
      <c r="F2365" s="25" t="n">
        <v>3400</v>
      </c>
      <c r="G2365" s="24" t="s">
        <v>69</v>
      </c>
      <c r="H2365" s="24" t="s">
        <v>80</v>
      </c>
      <c r="I2365" s="24" t="s">
        <v>113</v>
      </c>
      <c r="J2365" s="26" t="n">
        <f aca="false">IF(A2365="","",YEAR(A2365))</f>
        <v>2026</v>
      </c>
      <c r="K2365" s="26" t="n">
        <f aca="false">IF(A2365="","",MONTH(A2365))</f>
        <v>9</v>
      </c>
      <c r="L2365" s="26" t="n">
        <f aca="false">IF(B2365="","",VALUE(LEFT(B2365,2)))</f>
        <v>12</v>
      </c>
      <c r="M2365" s="26" t="n">
        <f aca="false">IF(A2365="","",IF(COUNTIFS($C$2:$C$5001,C2365,$J$2:$J$5001,J2365,$A$2:$A$5001,"&lt;"&amp;A2365)=0,1,0))</f>
        <v>0</v>
      </c>
    </row>
    <row r="2366" customFormat="false" ht="15" hidden="false" customHeight="false" outlineLevel="0" collapsed="false">
      <c r="A2366" s="23" t="n">
        <v>46286.6861111111</v>
      </c>
      <c r="B2366" s="24" t="s">
        <v>790</v>
      </c>
      <c r="C2366" s="24" t="s">
        <v>112</v>
      </c>
      <c r="D2366" s="24" t="s">
        <v>66</v>
      </c>
      <c r="E2366" s="24" t="n">
        <v>288</v>
      </c>
      <c r="F2366" s="25" t="n">
        <v>10000</v>
      </c>
      <c r="G2366" s="24" t="s">
        <v>59</v>
      </c>
      <c r="H2366" s="24" t="s">
        <v>55</v>
      </c>
      <c r="I2366" s="24" t="s">
        <v>61</v>
      </c>
      <c r="J2366" s="26" t="n">
        <f aca="false">IF(A2366="","",YEAR(A2366))</f>
        <v>2026</v>
      </c>
      <c r="K2366" s="26" t="n">
        <f aca="false">IF(A2366="","",MONTH(A2366))</f>
        <v>9</v>
      </c>
      <c r="L2366" s="26" t="n">
        <f aca="false">IF(B2366="","",VALUE(LEFT(B2366,2)))</f>
        <v>11</v>
      </c>
      <c r="M2366" s="26" t="n">
        <f aca="false">IF(A2366="","",IF(COUNTIFS($C$2:$C$5001,C2366,$J$2:$J$5001,J2366,$A$2:$A$5001,"&lt;"&amp;A2366)=0,1,0))</f>
        <v>0</v>
      </c>
    </row>
    <row r="2367" customFormat="false" ht="15" hidden="false" customHeight="false" outlineLevel="0" collapsed="false">
      <c r="A2367" s="23" t="n">
        <v>46286.7333333333</v>
      </c>
      <c r="B2367" s="24" t="s">
        <v>441</v>
      </c>
      <c r="C2367" s="24" t="s">
        <v>436</v>
      </c>
      <c r="D2367" s="24" t="s">
        <v>66</v>
      </c>
      <c r="E2367" s="24" t="n">
        <v>303</v>
      </c>
      <c r="F2367" s="25" t="n">
        <v>11000</v>
      </c>
      <c r="G2367" s="24" t="s">
        <v>59</v>
      </c>
      <c r="H2367" s="24" t="s">
        <v>80</v>
      </c>
      <c r="I2367" s="24" t="s">
        <v>61</v>
      </c>
      <c r="J2367" s="26" t="n">
        <f aca="false">IF(A2367="","",YEAR(A2367))</f>
        <v>2026</v>
      </c>
      <c r="K2367" s="26" t="n">
        <f aca="false">IF(A2367="","",MONTH(A2367))</f>
        <v>9</v>
      </c>
      <c r="L2367" s="26" t="n">
        <f aca="false">IF(B2367="","",VALUE(LEFT(B2367,2)))</f>
        <v>12</v>
      </c>
      <c r="M2367" s="26" t="n">
        <f aca="false">IF(A2367="","",IF(COUNTIFS($C$2:$C$5001,C2367,$J$2:$J$5001,J2367,$A$2:$A$5001,"&lt;"&amp;A2367)=0,1,0))</f>
        <v>0</v>
      </c>
    </row>
    <row r="2368" customFormat="false" ht="15" hidden="false" customHeight="false" outlineLevel="0" collapsed="false">
      <c r="A2368" s="23" t="n">
        <v>46286.8479166667</v>
      </c>
      <c r="B2368" s="24" t="s">
        <v>487</v>
      </c>
      <c r="C2368" s="24" t="s">
        <v>224</v>
      </c>
      <c r="D2368" s="24" t="s">
        <v>66</v>
      </c>
      <c r="E2368" s="24" t="n">
        <v>399</v>
      </c>
      <c r="F2368" s="25" t="n">
        <v>14000</v>
      </c>
      <c r="G2368" s="24" t="s">
        <v>59</v>
      </c>
      <c r="H2368" s="24" t="s">
        <v>60</v>
      </c>
      <c r="I2368" s="24" t="s">
        <v>61</v>
      </c>
      <c r="J2368" s="26" t="n">
        <f aca="false">IF(A2368="","",YEAR(A2368))</f>
        <v>2026</v>
      </c>
      <c r="K2368" s="26" t="n">
        <f aca="false">IF(A2368="","",MONTH(A2368))</f>
        <v>9</v>
      </c>
      <c r="L2368" s="26" t="n">
        <f aca="false">IF(B2368="","",VALUE(LEFT(B2368,2)))</f>
        <v>13</v>
      </c>
      <c r="M2368" s="26" t="n">
        <f aca="false">IF(A2368="","",IF(COUNTIFS($C$2:$C$5001,C2368,$J$2:$J$5001,J2368,$A$2:$A$5001,"&lt;"&amp;A2368)=0,1,0))</f>
        <v>0</v>
      </c>
    </row>
    <row r="2369" customFormat="false" ht="15" hidden="false" customHeight="false" outlineLevel="0" collapsed="false">
      <c r="A2369" s="23" t="n">
        <v>46287.4868055556</v>
      </c>
      <c r="B2369" s="24" t="s">
        <v>856</v>
      </c>
      <c r="C2369" s="24" t="s">
        <v>609</v>
      </c>
      <c r="D2369" s="24" t="s">
        <v>53</v>
      </c>
      <c r="E2369" s="24" t="n">
        <v>242</v>
      </c>
      <c r="F2369" s="25" t="n">
        <v>4500</v>
      </c>
      <c r="G2369" s="24" t="s">
        <v>59</v>
      </c>
      <c r="H2369" s="24" t="s">
        <v>55</v>
      </c>
      <c r="I2369" s="24" t="s">
        <v>61</v>
      </c>
      <c r="J2369" s="26" t="n">
        <f aca="false">IF(A2369="","",YEAR(A2369))</f>
        <v>2026</v>
      </c>
      <c r="K2369" s="26" t="n">
        <f aca="false">IF(A2369="","",MONTH(A2369))</f>
        <v>9</v>
      </c>
      <c r="L2369" s="26" t="n">
        <f aca="false">IF(B2369="","",VALUE(LEFT(B2369,2)))</f>
        <v>7</v>
      </c>
      <c r="M2369" s="26" t="n">
        <f aca="false">IF(A2369="","",IF(COUNTIFS($C$2:$C$5001,C2369,$J$2:$J$5001,J2369,$A$2:$A$5001,"&lt;"&amp;A2369)=0,1,0))</f>
        <v>0</v>
      </c>
    </row>
    <row r="2370" customFormat="false" ht="15" hidden="false" customHeight="false" outlineLevel="0" collapsed="false">
      <c r="A2370" s="23" t="n">
        <v>46288.5902777778</v>
      </c>
      <c r="B2370" s="24" t="s">
        <v>541</v>
      </c>
      <c r="C2370" s="24" t="s">
        <v>737</v>
      </c>
      <c r="D2370" s="24" t="s">
        <v>66</v>
      </c>
      <c r="E2370" s="24" t="n">
        <v>257</v>
      </c>
      <c r="F2370" s="25" t="n">
        <v>9000</v>
      </c>
      <c r="G2370" s="24" t="s">
        <v>59</v>
      </c>
      <c r="H2370" s="24" t="s">
        <v>80</v>
      </c>
      <c r="I2370" s="24" t="s">
        <v>61</v>
      </c>
      <c r="J2370" s="26" t="n">
        <f aca="false">IF(A2370="","",YEAR(A2370))</f>
        <v>2026</v>
      </c>
      <c r="K2370" s="26" t="n">
        <f aca="false">IF(A2370="","",MONTH(A2370))</f>
        <v>9</v>
      </c>
      <c r="L2370" s="26" t="n">
        <f aca="false">IF(B2370="","",VALUE(LEFT(B2370,2)))</f>
        <v>9</v>
      </c>
      <c r="M2370" s="26" t="n">
        <f aca="false">IF(A2370="","",IF(COUNTIFS($C$2:$C$5001,C2370,$J$2:$J$5001,J2370,$A$2:$A$5001,"&lt;"&amp;A2370)=0,1,0))</f>
        <v>0</v>
      </c>
    </row>
    <row r="2371" customFormat="false" ht="15" hidden="false" customHeight="false" outlineLevel="0" collapsed="false">
      <c r="A2371" s="23" t="n">
        <v>46288.6444444444</v>
      </c>
      <c r="B2371" s="24" t="s">
        <v>462</v>
      </c>
      <c r="C2371" s="24" t="s">
        <v>143</v>
      </c>
      <c r="D2371" s="24" t="s">
        <v>66</v>
      </c>
      <c r="E2371" s="24" t="n">
        <v>86</v>
      </c>
      <c r="F2371" s="25" t="n">
        <v>0</v>
      </c>
      <c r="G2371" s="24" t="s">
        <v>59</v>
      </c>
      <c r="H2371" s="24" t="s">
        <v>80</v>
      </c>
      <c r="I2371" s="24" t="s">
        <v>56</v>
      </c>
      <c r="J2371" s="26" t="n">
        <f aca="false">IF(A2371="","",YEAR(A2371))</f>
        <v>2026</v>
      </c>
      <c r="K2371" s="26" t="n">
        <f aca="false">IF(A2371="","",MONTH(A2371))</f>
        <v>9</v>
      </c>
      <c r="L2371" s="26" t="n">
        <f aca="false">IF(B2371="","",VALUE(LEFT(B2371,2)))</f>
        <v>14</v>
      </c>
      <c r="M2371" s="26" t="n">
        <f aca="false">IF(A2371="","",IF(COUNTIFS($C$2:$C$5001,C2371,$J$2:$J$5001,J2371,$A$2:$A$5001,"&lt;"&amp;A2371)=0,1,0))</f>
        <v>0</v>
      </c>
    </row>
    <row r="2372" customFormat="false" ht="15" hidden="false" customHeight="false" outlineLevel="0" collapsed="false">
      <c r="A2372" s="23" t="n">
        <v>46288.6986111111</v>
      </c>
      <c r="B2372" s="24" t="s">
        <v>979</v>
      </c>
      <c r="C2372" s="24" t="s">
        <v>164</v>
      </c>
      <c r="D2372" s="24" t="s">
        <v>66</v>
      </c>
      <c r="E2372" s="24" t="n">
        <v>33</v>
      </c>
      <c r="F2372" s="25" t="n">
        <v>2000</v>
      </c>
      <c r="G2372" s="24" t="s">
        <v>59</v>
      </c>
      <c r="H2372" s="24" t="s">
        <v>60</v>
      </c>
      <c r="I2372" s="24" t="s">
        <v>61</v>
      </c>
      <c r="J2372" s="26" t="n">
        <f aca="false">IF(A2372="","",YEAR(A2372))</f>
        <v>2026</v>
      </c>
      <c r="K2372" s="26" t="n">
        <f aca="false">IF(A2372="","",MONTH(A2372))</f>
        <v>9</v>
      </c>
      <c r="L2372" s="26" t="n">
        <f aca="false">IF(B2372="","",VALUE(LEFT(B2372,2)))</f>
        <v>16</v>
      </c>
      <c r="M2372" s="26" t="n">
        <f aca="false">IF(A2372="","",IF(COUNTIFS($C$2:$C$5001,C2372,$J$2:$J$5001,J2372,$A$2:$A$5001,"&lt;"&amp;A2372)=0,1,0))</f>
        <v>0</v>
      </c>
    </row>
    <row r="2373" customFormat="false" ht="15" hidden="false" customHeight="false" outlineLevel="0" collapsed="false">
      <c r="A2373" s="23" t="n">
        <v>46288.7930555556</v>
      </c>
      <c r="B2373" s="24" t="s">
        <v>605</v>
      </c>
      <c r="C2373" s="24" t="s">
        <v>436</v>
      </c>
      <c r="D2373" s="24" t="s">
        <v>53</v>
      </c>
      <c r="E2373" s="24" t="n">
        <v>177</v>
      </c>
      <c r="F2373" s="25" t="n">
        <v>2550</v>
      </c>
      <c r="G2373" s="24" t="s">
        <v>59</v>
      </c>
      <c r="H2373" s="24" t="s">
        <v>80</v>
      </c>
      <c r="I2373" s="24" t="s">
        <v>113</v>
      </c>
      <c r="J2373" s="26" t="n">
        <f aca="false">IF(A2373="","",YEAR(A2373))</f>
        <v>2026</v>
      </c>
      <c r="K2373" s="26" t="n">
        <f aca="false">IF(A2373="","",MONTH(A2373))</f>
        <v>9</v>
      </c>
      <c r="L2373" s="26" t="n">
        <f aca="false">IF(B2373="","",VALUE(LEFT(B2373,2)))</f>
        <v>16</v>
      </c>
      <c r="M2373" s="26" t="n">
        <f aca="false">IF(A2373="","",IF(COUNTIFS($C$2:$C$5001,C2373,$J$2:$J$5001,J2373,$A$2:$A$5001,"&lt;"&amp;A2373)=0,1,0))</f>
        <v>0</v>
      </c>
    </row>
    <row r="2374" customFormat="false" ht="15" hidden="false" customHeight="false" outlineLevel="0" collapsed="false">
      <c r="A2374" s="23" t="n">
        <v>46289.7847222222</v>
      </c>
      <c r="B2374" s="24" t="s">
        <v>1050</v>
      </c>
      <c r="C2374" s="24" t="s">
        <v>76</v>
      </c>
      <c r="D2374" s="24" t="s">
        <v>66</v>
      </c>
      <c r="E2374" s="24" t="n">
        <v>163</v>
      </c>
      <c r="F2374" s="25" t="n">
        <v>0</v>
      </c>
      <c r="G2374" s="24" t="s">
        <v>83</v>
      </c>
      <c r="H2374" s="24" t="s">
        <v>80</v>
      </c>
      <c r="I2374" s="24" t="s">
        <v>56</v>
      </c>
      <c r="J2374" s="26" t="n">
        <f aca="false">IF(A2374="","",YEAR(A2374))</f>
        <v>2026</v>
      </c>
      <c r="K2374" s="26" t="n">
        <f aca="false">IF(A2374="","",MONTH(A2374))</f>
        <v>9</v>
      </c>
      <c r="L2374" s="26" t="n">
        <f aca="false">IF(B2374="","",VALUE(LEFT(B2374,2)))</f>
        <v>16</v>
      </c>
      <c r="M2374" s="26" t="n">
        <f aca="false">IF(A2374="","",IF(COUNTIFS($C$2:$C$5001,C2374,$J$2:$J$5001,J2374,$A$2:$A$5001,"&lt;"&amp;A2374)=0,1,0))</f>
        <v>0</v>
      </c>
    </row>
    <row r="2375" customFormat="false" ht="15" hidden="false" customHeight="false" outlineLevel="0" collapsed="false">
      <c r="A2375" s="23" t="n">
        <v>46289.9166666667</v>
      </c>
      <c r="B2375" s="24" t="s">
        <v>536</v>
      </c>
      <c r="C2375" s="24" t="s">
        <v>231</v>
      </c>
      <c r="D2375" s="24" t="s">
        <v>66</v>
      </c>
      <c r="E2375" s="24" t="n">
        <v>167</v>
      </c>
      <c r="F2375" s="25" t="n">
        <v>6000</v>
      </c>
      <c r="G2375" s="24" t="s">
        <v>79</v>
      </c>
      <c r="H2375" s="24" t="s">
        <v>80</v>
      </c>
      <c r="I2375" s="24" t="s">
        <v>61</v>
      </c>
      <c r="J2375" s="26" t="n">
        <f aca="false">IF(A2375="","",YEAR(A2375))</f>
        <v>2026</v>
      </c>
      <c r="K2375" s="26" t="n">
        <f aca="false">IF(A2375="","",MONTH(A2375))</f>
        <v>9</v>
      </c>
      <c r="L2375" s="26" t="n">
        <f aca="false">IF(B2375="","",VALUE(LEFT(B2375,2)))</f>
        <v>19</v>
      </c>
      <c r="M2375" s="26" t="n">
        <f aca="false">IF(A2375="","",IF(COUNTIFS($C$2:$C$5001,C2375,$J$2:$J$5001,J2375,$A$2:$A$5001,"&lt;"&amp;A2375)=0,1,0))</f>
        <v>0</v>
      </c>
    </row>
    <row r="2376" customFormat="false" ht="15" hidden="false" customHeight="false" outlineLevel="0" collapsed="false">
      <c r="A2376" s="23" t="n">
        <v>46290.05625</v>
      </c>
      <c r="B2376" s="24" t="s">
        <v>557</v>
      </c>
      <c r="C2376" s="24" t="s">
        <v>87</v>
      </c>
      <c r="D2376" s="24" t="s">
        <v>66</v>
      </c>
      <c r="E2376" s="24" t="n">
        <v>351</v>
      </c>
      <c r="F2376" s="25" t="n">
        <v>12000</v>
      </c>
      <c r="G2376" s="24" t="s">
        <v>69</v>
      </c>
      <c r="H2376" s="24" t="s">
        <v>55</v>
      </c>
      <c r="I2376" s="24" t="s">
        <v>61</v>
      </c>
      <c r="J2376" s="26" t="n">
        <f aca="false">IF(A2376="","",YEAR(A2376))</f>
        <v>2026</v>
      </c>
      <c r="K2376" s="26" t="n">
        <f aca="false">IF(A2376="","",MONTH(A2376))</f>
        <v>9</v>
      </c>
      <c r="L2376" s="26" t="n">
        <f aca="false">IF(B2376="","",VALUE(LEFT(B2376,2)))</f>
        <v>19</v>
      </c>
      <c r="M2376" s="26" t="n">
        <f aca="false">IF(A2376="","",IF(COUNTIFS($C$2:$C$5001,C2376,$J$2:$J$5001,J2376,$A$2:$A$5001,"&lt;"&amp;A2376)=0,1,0))</f>
        <v>0</v>
      </c>
    </row>
    <row r="2377" customFormat="false" ht="15" hidden="false" customHeight="false" outlineLevel="0" collapsed="false">
      <c r="A2377" s="23" t="n">
        <v>46290.33125</v>
      </c>
      <c r="B2377" s="24" t="s">
        <v>64</v>
      </c>
      <c r="C2377" s="24" t="s">
        <v>324</v>
      </c>
      <c r="D2377" s="24" t="s">
        <v>66</v>
      </c>
      <c r="E2377" s="24" t="n">
        <v>23</v>
      </c>
      <c r="F2377" s="25" t="n">
        <v>850</v>
      </c>
      <c r="G2377" s="24" t="s">
        <v>54</v>
      </c>
      <c r="H2377" s="24" t="s">
        <v>80</v>
      </c>
      <c r="I2377" s="24" t="s">
        <v>113</v>
      </c>
      <c r="J2377" s="26" t="n">
        <f aca="false">IF(A2377="","",YEAR(A2377))</f>
        <v>2026</v>
      </c>
      <c r="K2377" s="26" t="n">
        <f aca="false">IF(A2377="","",MONTH(A2377))</f>
        <v>9</v>
      </c>
      <c r="L2377" s="26" t="n">
        <f aca="false">IF(B2377="","",VALUE(LEFT(B2377,2)))</f>
        <v>7</v>
      </c>
      <c r="M2377" s="26" t="n">
        <f aca="false">IF(A2377="","",IF(COUNTIFS($C$2:$C$5001,C2377,$J$2:$J$5001,J2377,$A$2:$A$5001,"&lt;"&amp;A2377)=0,1,0))</f>
        <v>0</v>
      </c>
    </row>
    <row r="2378" customFormat="false" ht="15" hidden="false" customHeight="false" outlineLevel="0" collapsed="false">
      <c r="A2378" s="23" t="n">
        <v>46291.1055555556</v>
      </c>
      <c r="B2378" s="24" t="s">
        <v>1051</v>
      </c>
      <c r="C2378" s="24" t="s">
        <v>339</v>
      </c>
      <c r="D2378" s="24" t="s">
        <v>53</v>
      </c>
      <c r="E2378" s="24" t="n">
        <v>355</v>
      </c>
      <c r="F2378" s="25" t="n">
        <v>6000</v>
      </c>
      <c r="G2378" s="24" t="s">
        <v>59</v>
      </c>
      <c r="H2378" s="24" t="s">
        <v>80</v>
      </c>
      <c r="I2378" s="24" t="s">
        <v>61</v>
      </c>
      <c r="J2378" s="26" t="n">
        <f aca="false">IF(A2378="","",YEAR(A2378))</f>
        <v>2026</v>
      </c>
      <c r="K2378" s="26" t="n">
        <f aca="false">IF(A2378="","",MONTH(A2378))</f>
        <v>9</v>
      </c>
      <c r="L2378" s="26" t="n">
        <f aca="false">IF(B2378="","",VALUE(LEFT(B2378,2)))</f>
        <v>20</v>
      </c>
      <c r="M2378" s="26" t="n">
        <f aca="false">IF(A2378="","",IF(COUNTIFS($C$2:$C$5001,C2378,$J$2:$J$5001,J2378,$A$2:$A$5001,"&lt;"&amp;A2378)=0,1,0))</f>
        <v>0</v>
      </c>
    </row>
    <row r="2379" customFormat="false" ht="15" hidden="false" customHeight="false" outlineLevel="0" collapsed="false">
      <c r="A2379" s="23" t="n">
        <v>46291.4284722222</v>
      </c>
      <c r="B2379" s="24" t="s">
        <v>640</v>
      </c>
      <c r="C2379" s="24" t="s">
        <v>108</v>
      </c>
      <c r="D2379" s="24" t="s">
        <v>53</v>
      </c>
      <c r="E2379" s="24" t="n">
        <v>36</v>
      </c>
      <c r="F2379" s="25" t="n">
        <v>1000</v>
      </c>
      <c r="G2379" s="24" t="s">
        <v>54</v>
      </c>
      <c r="H2379" s="24" t="s">
        <v>55</v>
      </c>
      <c r="I2379" s="24" t="s">
        <v>61</v>
      </c>
      <c r="J2379" s="26" t="n">
        <f aca="false">IF(A2379="","",YEAR(A2379))</f>
        <v>2026</v>
      </c>
      <c r="K2379" s="26" t="n">
        <f aca="false">IF(A2379="","",MONTH(A2379))</f>
        <v>9</v>
      </c>
      <c r="L2379" s="26" t="n">
        <f aca="false">IF(B2379="","",VALUE(LEFT(B2379,2)))</f>
        <v>9</v>
      </c>
      <c r="M2379" s="26" t="n">
        <f aca="false">IF(A2379="","",IF(COUNTIFS($C$2:$C$5001,C2379,$J$2:$J$5001,J2379,$A$2:$A$5001,"&lt;"&amp;A2379)=0,1,0))</f>
        <v>0</v>
      </c>
    </row>
    <row r="2380" customFormat="false" ht="15" hidden="false" customHeight="false" outlineLevel="0" collapsed="false">
      <c r="A2380" s="23" t="n">
        <v>46291.4631944444</v>
      </c>
      <c r="B2380" s="24" t="s">
        <v>282</v>
      </c>
      <c r="C2380" s="24" t="s">
        <v>172</v>
      </c>
      <c r="D2380" s="24" t="s">
        <v>66</v>
      </c>
      <c r="E2380" s="24" t="n">
        <v>137</v>
      </c>
      <c r="F2380" s="25" t="n">
        <v>0</v>
      </c>
      <c r="G2380" s="24" t="s">
        <v>83</v>
      </c>
      <c r="H2380" s="24" t="s">
        <v>55</v>
      </c>
      <c r="I2380" s="24" t="s">
        <v>56</v>
      </c>
      <c r="J2380" s="26" t="n">
        <f aca="false">IF(A2380="","",YEAR(A2380))</f>
        <v>2026</v>
      </c>
      <c r="K2380" s="26" t="n">
        <f aca="false">IF(A2380="","",MONTH(A2380))</f>
        <v>9</v>
      </c>
      <c r="L2380" s="26" t="n">
        <f aca="false">IF(B2380="","",VALUE(LEFT(B2380,2)))</f>
        <v>8</v>
      </c>
      <c r="M2380" s="26" t="n">
        <f aca="false">IF(A2380="","",IF(COUNTIFS($C$2:$C$5001,C2380,$J$2:$J$5001,J2380,$A$2:$A$5001,"&lt;"&amp;A2380)=0,1,0))</f>
        <v>0</v>
      </c>
    </row>
    <row r="2381" customFormat="false" ht="15" hidden="false" customHeight="false" outlineLevel="0" collapsed="false">
      <c r="A2381" s="23" t="n">
        <v>46291.5520833333</v>
      </c>
      <c r="B2381" s="24" t="s">
        <v>1052</v>
      </c>
      <c r="C2381" s="24" t="s">
        <v>735</v>
      </c>
      <c r="D2381" s="24" t="s">
        <v>66</v>
      </c>
      <c r="E2381" s="24" t="n">
        <v>134</v>
      </c>
      <c r="F2381" s="25" t="n">
        <v>4250</v>
      </c>
      <c r="G2381" s="24" t="s">
        <v>59</v>
      </c>
      <c r="H2381" s="24" t="s">
        <v>80</v>
      </c>
      <c r="I2381" s="24" t="s">
        <v>113</v>
      </c>
      <c r="J2381" s="26" t="n">
        <f aca="false">IF(A2381="","",YEAR(A2381))</f>
        <v>2026</v>
      </c>
      <c r="K2381" s="26" t="n">
        <f aca="false">IF(A2381="","",MONTH(A2381))</f>
        <v>9</v>
      </c>
      <c r="L2381" s="26" t="n">
        <f aca="false">IF(B2381="","",VALUE(LEFT(B2381,2)))</f>
        <v>11</v>
      </c>
      <c r="M2381" s="26" t="n">
        <f aca="false">IF(A2381="","",IF(COUNTIFS($C$2:$C$5001,C2381,$J$2:$J$5001,J2381,$A$2:$A$5001,"&lt;"&amp;A2381)=0,1,0))</f>
        <v>0</v>
      </c>
    </row>
    <row r="2382" customFormat="false" ht="15" hidden="false" customHeight="false" outlineLevel="0" collapsed="false">
      <c r="A2382" s="23" t="n">
        <v>46291.7</v>
      </c>
      <c r="B2382" s="24" t="s">
        <v>354</v>
      </c>
      <c r="C2382" s="24" t="s">
        <v>317</v>
      </c>
      <c r="D2382" s="24" t="s">
        <v>66</v>
      </c>
      <c r="E2382" s="24" t="n">
        <v>312</v>
      </c>
      <c r="F2382" s="25" t="n">
        <v>11000</v>
      </c>
      <c r="G2382" s="24" t="s">
        <v>59</v>
      </c>
      <c r="H2382" s="24" t="s">
        <v>55</v>
      </c>
      <c r="I2382" s="24" t="s">
        <v>61</v>
      </c>
      <c r="J2382" s="26" t="n">
        <f aca="false">IF(A2382="","",YEAR(A2382))</f>
        <v>2026</v>
      </c>
      <c r="K2382" s="26" t="n">
        <f aca="false">IF(A2382="","",MONTH(A2382))</f>
        <v>9</v>
      </c>
      <c r="L2382" s="26" t="n">
        <f aca="false">IF(B2382="","",VALUE(LEFT(B2382,2)))</f>
        <v>11</v>
      </c>
      <c r="M2382" s="26" t="n">
        <f aca="false">IF(A2382="","",IF(COUNTIFS($C$2:$C$5001,C2382,$J$2:$J$5001,J2382,$A$2:$A$5001,"&lt;"&amp;A2382)=0,1,0))</f>
        <v>0</v>
      </c>
    </row>
    <row r="2383" customFormat="false" ht="15" hidden="false" customHeight="false" outlineLevel="0" collapsed="false">
      <c r="A2383" s="23" t="n">
        <v>46291.7444444444</v>
      </c>
      <c r="B2383" s="24" t="s">
        <v>1053</v>
      </c>
      <c r="C2383" s="24" t="s">
        <v>339</v>
      </c>
      <c r="D2383" s="24" t="s">
        <v>66</v>
      </c>
      <c r="E2383" s="24" t="n">
        <v>293</v>
      </c>
      <c r="F2383" s="25" t="n">
        <v>10000</v>
      </c>
      <c r="G2383" s="24" t="s">
        <v>69</v>
      </c>
      <c r="H2383" s="24" t="s">
        <v>80</v>
      </c>
      <c r="I2383" s="24" t="s">
        <v>61</v>
      </c>
      <c r="J2383" s="26" t="n">
        <f aca="false">IF(A2383="","",YEAR(A2383))</f>
        <v>2026</v>
      </c>
      <c r="K2383" s="26" t="n">
        <f aca="false">IF(A2383="","",MONTH(A2383))</f>
        <v>9</v>
      </c>
      <c r="L2383" s="26" t="n">
        <f aca="false">IF(B2383="","",VALUE(LEFT(B2383,2)))</f>
        <v>12</v>
      </c>
      <c r="M2383" s="26" t="n">
        <f aca="false">IF(A2383="","",IF(COUNTIFS($C$2:$C$5001,C2383,$J$2:$J$5001,J2383,$A$2:$A$5001,"&lt;"&amp;A2383)=0,1,0))</f>
        <v>0</v>
      </c>
    </row>
    <row r="2384" customFormat="false" ht="15" hidden="false" customHeight="false" outlineLevel="0" collapsed="false">
      <c r="A2384" s="23" t="n">
        <v>46291.775</v>
      </c>
      <c r="B2384" s="24" t="s">
        <v>1014</v>
      </c>
      <c r="C2384" s="24" t="s">
        <v>123</v>
      </c>
      <c r="D2384" s="24" t="s">
        <v>66</v>
      </c>
      <c r="E2384" s="24" t="n">
        <v>218</v>
      </c>
      <c r="F2384" s="25" t="n">
        <v>0</v>
      </c>
      <c r="G2384" s="24" t="s">
        <v>59</v>
      </c>
      <c r="H2384" s="24" t="s">
        <v>80</v>
      </c>
      <c r="I2384" s="24" t="s">
        <v>56</v>
      </c>
      <c r="J2384" s="26" t="n">
        <f aca="false">IF(A2384="","",YEAR(A2384))</f>
        <v>2026</v>
      </c>
      <c r="K2384" s="26" t="n">
        <f aca="false">IF(A2384="","",MONTH(A2384))</f>
        <v>9</v>
      </c>
      <c r="L2384" s="26" t="n">
        <f aca="false">IF(B2384="","",VALUE(LEFT(B2384,2)))</f>
        <v>14</v>
      </c>
      <c r="M2384" s="26" t="n">
        <f aca="false">IF(A2384="","",IF(COUNTIFS($C$2:$C$5001,C2384,$J$2:$J$5001,J2384,$A$2:$A$5001,"&lt;"&amp;A2384)=0,1,0))</f>
        <v>0</v>
      </c>
    </row>
    <row r="2385" customFormat="false" ht="15" hidden="false" customHeight="false" outlineLevel="0" collapsed="false">
      <c r="A2385" s="23" t="n">
        <v>46292.6111111111</v>
      </c>
      <c r="B2385" s="24" t="s">
        <v>319</v>
      </c>
      <c r="C2385" s="24" t="s">
        <v>314</v>
      </c>
      <c r="D2385" s="24" t="s">
        <v>88</v>
      </c>
      <c r="E2385" s="24" t="n">
        <v>389</v>
      </c>
      <c r="F2385" s="25" t="n">
        <v>19500</v>
      </c>
      <c r="G2385" s="24" t="s">
        <v>59</v>
      </c>
      <c r="H2385" s="24" t="s">
        <v>60</v>
      </c>
      <c r="I2385" s="24" t="s">
        <v>61</v>
      </c>
      <c r="J2385" s="26" t="n">
        <f aca="false">IF(A2385="","",YEAR(A2385))</f>
        <v>2026</v>
      </c>
      <c r="K2385" s="26" t="n">
        <f aca="false">IF(A2385="","",MONTH(A2385))</f>
        <v>9</v>
      </c>
      <c r="L2385" s="26" t="n">
        <f aca="false">IF(B2385="","",VALUE(LEFT(B2385,2)))</f>
        <v>8</v>
      </c>
      <c r="M2385" s="26" t="n">
        <f aca="false">IF(A2385="","",IF(COUNTIFS($C$2:$C$5001,C2385,$J$2:$J$5001,J2385,$A$2:$A$5001,"&lt;"&amp;A2385)=0,1,0))</f>
        <v>0</v>
      </c>
    </row>
    <row r="2386" customFormat="false" ht="15" hidden="false" customHeight="false" outlineLevel="0" collapsed="false">
      <c r="A2386" s="23" t="n">
        <v>46292.7291666667</v>
      </c>
      <c r="B2386" s="24" t="s">
        <v>537</v>
      </c>
      <c r="C2386" s="24" t="s">
        <v>112</v>
      </c>
      <c r="D2386" s="24" t="s">
        <v>53</v>
      </c>
      <c r="E2386" s="24" t="n">
        <v>361</v>
      </c>
      <c r="F2386" s="25" t="n">
        <v>5525</v>
      </c>
      <c r="G2386" s="24" t="s">
        <v>79</v>
      </c>
      <c r="H2386" s="24" t="s">
        <v>60</v>
      </c>
      <c r="I2386" s="24" t="s">
        <v>113</v>
      </c>
      <c r="J2386" s="26" t="n">
        <f aca="false">IF(A2386="","",YEAR(A2386))</f>
        <v>2026</v>
      </c>
      <c r="K2386" s="26" t="n">
        <f aca="false">IF(A2386="","",MONTH(A2386))</f>
        <v>9</v>
      </c>
      <c r="L2386" s="26" t="n">
        <f aca="false">IF(B2386="","",VALUE(LEFT(B2386,2)))</f>
        <v>11</v>
      </c>
      <c r="M2386" s="26" t="n">
        <f aca="false">IF(A2386="","",IF(COUNTIFS($C$2:$C$5001,C2386,$J$2:$J$5001,J2386,$A$2:$A$5001,"&lt;"&amp;A2386)=0,1,0))</f>
        <v>0</v>
      </c>
    </row>
    <row r="2387" customFormat="false" ht="15" hidden="false" customHeight="false" outlineLevel="0" collapsed="false">
      <c r="A2387" s="23" t="n">
        <v>46292.8145833333</v>
      </c>
      <c r="B2387" s="24" t="s">
        <v>372</v>
      </c>
      <c r="C2387" s="24" t="s">
        <v>277</v>
      </c>
      <c r="D2387" s="24" t="s">
        <v>53</v>
      </c>
      <c r="E2387" s="24" t="n">
        <v>53</v>
      </c>
      <c r="F2387" s="25" t="n">
        <v>1000</v>
      </c>
      <c r="G2387" s="24" t="s">
        <v>59</v>
      </c>
      <c r="H2387" s="24" t="s">
        <v>80</v>
      </c>
      <c r="I2387" s="24" t="s">
        <v>61</v>
      </c>
      <c r="J2387" s="26" t="n">
        <f aca="false">IF(A2387="","",YEAR(A2387))</f>
        <v>2026</v>
      </c>
      <c r="K2387" s="26" t="n">
        <f aca="false">IF(A2387="","",MONTH(A2387))</f>
        <v>9</v>
      </c>
      <c r="L2387" s="26" t="n">
        <f aca="false">IF(B2387="","",VALUE(LEFT(B2387,2)))</f>
        <v>18</v>
      </c>
      <c r="M2387" s="26" t="n">
        <f aca="false">IF(A2387="","",IF(COUNTIFS($C$2:$C$5001,C2387,$J$2:$J$5001,J2387,$A$2:$A$5001,"&lt;"&amp;A2387)=0,1,0))</f>
        <v>0</v>
      </c>
    </row>
    <row r="2388" customFormat="false" ht="15" hidden="false" customHeight="false" outlineLevel="0" collapsed="false">
      <c r="A2388" s="23" t="n">
        <v>46292.8243055556</v>
      </c>
      <c r="B2388" s="24" t="s">
        <v>1046</v>
      </c>
      <c r="C2388" s="24" t="s">
        <v>339</v>
      </c>
      <c r="D2388" s="24" t="s">
        <v>66</v>
      </c>
      <c r="E2388" s="24" t="n">
        <v>95</v>
      </c>
      <c r="F2388" s="25" t="n">
        <v>4000</v>
      </c>
      <c r="G2388" s="24" t="s">
        <v>69</v>
      </c>
      <c r="H2388" s="24" t="s">
        <v>55</v>
      </c>
      <c r="I2388" s="24" t="s">
        <v>61</v>
      </c>
      <c r="J2388" s="26" t="n">
        <f aca="false">IF(A2388="","",YEAR(A2388))</f>
        <v>2026</v>
      </c>
      <c r="K2388" s="26" t="n">
        <f aca="false">IF(A2388="","",MONTH(A2388))</f>
        <v>9</v>
      </c>
      <c r="L2388" s="26" t="n">
        <f aca="false">IF(B2388="","",VALUE(LEFT(B2388,2)))</f>
        <v>18</v>
      </c>
      <c r="M2388" s="26" t="n">
        <f aca="false">IF(A2388="","",IF(COUNTIFS($C$2:$C$5001,C2388,$J$2:$J$5001,J2388,$A$2:$A$5001,"&lt;"&amp;A2388)=0,1,0))</f>
        <v>0</v>
      </c>
    </row>
    <row r="2389" customFormat="false" ht="15" hidden="false" customHeight="false" outlineLevel="0" collapsed="false">
      <c r="A2389" s="23" t="n">
        <v>46292.9569444444</v>
      </c>
      <c r="B2389" s="24" t="s">
        <v>971</v>
      </c>
      <c r="C2389" s="24" t="s">
        <v>293</v>
      </c>
      <c r="D2389" s="24" t="s">
        <v>53</v>
      </c>
      <c r="E2389" s="24" t="n">
        <v>146</v>
      </c>
      <c r="F2389" s="25" t="n">
        <v>0</v>
      </c>
      <c r="G2389" s="24" t="s">
        <v>59</v>
      </c>
      <c r="H2389" s="24" t="s">
        <v>55</v>
      </c>
      <c r="I2389" s="24" t="s">
        <v>56</v>
      </c>
      <c r="J2389" s="26" t="n">
        <f aca="false">IF(A2389="","",YEAR(A2389))</f>
        <v>2026</v>
      </c>
      <c r="K2389" s="26" t="n">
        <f aca="false">IF(A2389="","",MONTH(A2389))</f>
        <v>9</v>
      </c>
      <c r="L2389" s="26" t="n">
        <f aca="false">IF(B2389="","",VALUE(LEFT(B2389,2)))</f>
        <v>20</v>
      </c>
      <c r="M2389" s="26" t="n">
        <f aca="false">IF(A2389="","",IF(COUNTIFS($C$2:$C$5001,C2389,$J$2:$J$5001,J2389,$A$2:$A$5001,"&lt;"&amp;A2389)=0,1,0))</f>
        <v>0</v>
      </c>
    </row>
    <row r="2390" customFormat="false" ht="15" hidden="false" customHeight="false" outlineLevel="0" collapsed="false">
      <c r="A2390" s="23" t="n">
        <v>46293.0041666667</v>
      </c>
      <c r="B2390" s="24" t="s">
        <v>621</v>
      </c>
      <c r="C2390" s="24" t="s">
        <v>184</v>
      </c>
      <c r="D2390" s="24" t="s">
        <v>66</v>
      </c>
      <c r="E2390" s="24" t="n">
        <v>283</v>
      </c>
      <c r="F2390" s="25" t="n">
        <v>10000</v>
      </c>
      <c r="G2390" s="24" t="s">
        <v>69</v>
      </c>
      <c r="H2390" s="24" t="s">
        <v>80</v>
      </c>
      <c r="I2390" s="24" t="s">
        <v>61</v>
      </c>
      <c r="J2390" s="26" t="n">
        <f aca="false">IF(A2390="","",YEAR(A2390))</f>
        <v>2026</v>
      </c>
      <c r="K2390" s="26" t="n">
        <f aca="false">IF(A2390="","",MONTH(A2390))</f>
        <v>9</v>
      </c>
      <c r="L2390" s="26" t="n">
        <f aca="false">IF(B2390="","",VALUE(LEFT(B2390,2)))</f>
        <v>19</v>
      </c>
      <c r="M2390" s="26" t="n">
        <f aca="false">IF(A2390="","",IF(COUNTIFS($C$2:$C$5001,C2390,$J$2:$J$5001,J2390,$A$2:$A$5001,"&lt;"&amp;A2390)=0,1,0))</f>
        <v>0</v>
      </c>
    </row>
    <row r="2391" customFormat="false" ht="15" hidden="false" customHeight="false" outlineLevel="0" collapsed="false">
      <c r="A2391" s="23" t="n">
        <v>46293.0131944444</v>
      </c>
      <c r="B2391" s="24" t="s">
        <v>412</v>
      </c>
      <c r="C2391" s="24" t="s">
        <v>430</v>
      </c>
      <c r="D2391" s="24" t="s">
        <v>66</v>
      </c>
      <c r="E2391" s="24" t="n">
        <v>305</v>
      </c>
      <c r="F2391" s="25" t="n">
        <v>11000</v>
      </c>
      <c r="G2391" s="24" t="s">
        <v>59</v>
      </c>
      <c r="H2391" s="24" t="s">
        <v>80</v>
      </c>
      <c r="I2391" s="24" t="s">
        <v>61</v>
      </c>
      <c r="J2391" s="26" t="n">
        <f aca="false">IF(A2391="","",YEAR(A2391))</f>
        <v>2026</v>
      </c>
      <c r="K2391" s="26" t="n">
        <f aca="false">IF(A2391="","",MONTH(A2391))</f>
        <v>9</v>
      </c>
      <c r="L2391" s="26" t="n">
        <f aca="false">IF(B2391="","",VALUE(LEFT(B2391,2)))</f>
        <v>19</v>
      </c>
      <c r="M2391" s="26" t="n">
        <f aca="false">IF(A2391="","",IF(COUNTIFS($C$2:$C$5001,C2391,$J$2:$J$5001,J2391,$A$2:$A$5001,"&lt;"&amp;A2391)=0,1,0))</f>
        <v>0</v>
      </c>
    </row>
    <row r="2392" customFormat="false" ht="15" hidden="false" customHeight="false" outlineLevel="0" collapsed="false">
      <c r="A2392" s="23" t="n">
        <v>46293.4256944444</v>
      </c>
      <c r="B2392" s="24" t="s">
        <v>652</v>
      </c>
      <c r="C2392" s="24" t="s">
        <v>701</v>
      </c>
      <c r="D2392" s="24" t="s">
        <v>72</v>
      </c>
      <c r="E2392" s="24" t="n">
        <v>234</v>
      </c>
      <c r="F2392" s="25" t="n">
        <v>16000</v>
      </c>
      <c r="G2392" s="24" t="s">
        <v>59</v>
      </c>
      <c r="H2392" s="24" t="s">
        <v>80</v>
      </c>
      <c r="I2392" s="24" t="s">
        <v>61</v>
      </c>
      <c r="J2392" s="26" t="n">
        <f aca="false">IF(A2392="","",YEAR(A2392))</f>
        <v>2026</v>
      </c>
      <c r="K2392" s="26" t="n">
        <f aca="false">IF(A2392="","",MONTH(A2392))</f>
        <v>9</v>
      </c>
      <c r="L2392" s="26" t="n">
        <f aca="false">IF(B2392="","",VALUE(LEFT(B2392,2)))</f>
        <v>6</v>
      </c>
      <c r="M2392" s="26" t="n">
        <f aca="false">IF(A2392="","",IF(COUNTIFS($C$2:$C$5001,C2392,$J$2:$J$5001,J2392,$A$2:$A$5001,"&lt;"&amp;A2392)=0,1,0))</f>
        <v>0</v>
      </c>
    </row>
    <row r="2393" customFormat="false" ht="15" hidden="false" customHeight="false" outlineLevel="0" collapsed="false">
      <c r="A2393" s="23" t="n">
        <v>46293.5076388889</v>
      </c>
      <c r="B2393" s="24" t="s">
        <v>254</v>
      </c>
      <c r="C2393" s="24" t="s">
        <v>129</v>
      </c>
      <c r="D2393" s="24" t="s">
        <v>66</v>
      </c>
      <c r="E2393" s="24" t="n">
        <v>94</v>
      </c>
      <c r="F2393" s="25" t="n">
        <v>4000</v>
      </c>
      <c r="G2393" s="24" t="s">
        <v>59</v>
      </c>
      <c r="H2393" s="24" t="s">
        <v>55</v>
      </c>
      <c r="I2393" s="24" t="s">
        <v>61</v>
      </c>
      <c r="J2393" s="26" t="n">
        <f aca="false">IF(A2393="","",YEAR(A2393))</f>
        <v>2026</v>
      </c>
      <c r="K2393" s="26" t="n">
        <f aca="false">IF(A2393="","",MONTH(A2393))</f>
        <v>9</v>
      </c>
      <c r="L2393" s="26" t="n">
        <f aca="false">IF(B2393="","",VALUE(LEFT(B2393,2)))</f>
        <v>10</v>
      </c>
      <c r="M2393" s="26" t="n">
        <f aca="false">IF(A2393="","",IF(COUNTIFS($C$2:$C$5001,C2393,$J$2:$J$5001,J2393,$A$2:$A$5001,"&lt;"&amp;A2393)=0,1,0))</f>
        <v>0</v>
      </c>
    </row>
    <row r="2394" customFormat="false" ht="15" hidden="false" customHeight="false" outlineLevel="0" collapsed="false">
      <c r="A2394" s="23" t="n">
        <v>46293.8534722222</v>
      </c>
      <c r="B2394" s="24" t="s">
        <v>472</v>
      </c>
      <c r="C2394" s="24" t="s">
        <v>203</v>
      </c>
      <c r="D2394" s="24" t="s">
        <v>53</v>
      </c>
      <c r="E2394" s="24" t="n">
        <v>114</v>
      </c>
      <c r="F2394" s="25" t="n">
        <v>2000</v>
      </c>
      <c r="G2394" s="24" t="s">
        <v>83</v>
      </c>
      <c r="H2394" s="24" t="s">
        <v>60</v>
      </c>
      <c r="I2394" s="24" t="s">
        <v>61</v>
      </c>
      <c r="J2394" s="26" t="n">
        <f aca="false">IF(A2394="","",YEAR(A2394))</f>
        <v>2026</v>
      </c>
      <c r="K2394" s="26" t="n">
        <f aca="false">IF(A2394="","",MONTH(A2394))</f>
        <v>9</v>
      </c>
      <c r="L2394" s="26" t="n">
        <f aca="false">IF(B2394="","",VALUE(LEFT(B2394,2)))</f>
        <v>18</v>
      </c>
      <c r="M2394" s="26" t="n">
        <f aca="false">IF(A2394="","",IF(COUNTIFS($C$2:$C$5001,C2394,$J$2:$J$5001,J2394,$A$2:$A$5001,"&lt;"&amp;A2394)=0,1,0))</f>
        <v>0</v>
      </c>
    </row>
    <row r="2395" customFormat="false" ht="15" hidden="false" customHeight="false" outlineLevel="0" collapsed="false">
      <c r="A2395" s="23" t="n">
        <v>46293.9770833333</v>
      </c>
      <c r="B2395" s="24" t="s">
        <v>219</v>
      </c>
      <c r="C2395" s="24" t="s">
        <v>865</v>
      </c>
      <c r="D2395" s="24" t="s">
        <v>66</v>
      </c>
      <c r="E2395" s="24" t="n">
        <v>251</v>
      </c>
      <c r="F2395" s="25" t="n">
        <v>9000</v>
      </c>
      <c r="G2395" s="24" t="s">
        <v>59</v>
      </c>
      <c r="H2395" s="24" t="s">
        <v>55</v>
      </c>
      <c r="I2395" s="24" t="s">
        <v>61</v>
      </c>
      <c r="J2395" s="26" t="n">
        <f aca="false">IF(A2395="","",YEAR(A2395))</f>
        <v>2026</v>
      </c>
      <c r="K2395" s="26" t="n">
        <f aca="false">IF(A2395="","",MONTH(A2395))</f>
        <v>9</v>
      </c>
      <c r="L2395" s="26" t="n">
        <f aca="false">IF(B2395="","",VALUE(LEFT(B2395,2)))</f>
        <v>19</v>
      </c>
      <c r="M2395" s="26" t="n">
        <f aca="false">IF(A2395="","",IF(COUNTIFS($C$2:$C$5001,C2395,$J$2:$J$5001,J2395,$A$2:$A$5001,"&lt;"&amp;A2395)=0,1,0))</f>
        <v>0</v>
      </c>
    </row>
    <row r="2396" customFormat="false" ht="15" hidden="false" customHeight="false" outlineLevel="0" collapsed="false">
      <c r="A2396" s="23" t="n">
        <v>46294.0479166667</v>
      </c>
      <c r="B2396" s="24" t="s">
        <v>849</v>
      </c>
      <c r="C2396" s="24" t="s">
        <v>116</v>
      </c>
      <c r="D2396" s="24" t="s">
        <v>53</v>
      </c>
      <c r="E2396" s="24" t="n">
        <v>375</v>
      </c>
      <c r="F2396" s="25" t="n">
        <v>6500</v>
      </c>
      <c r="G2396" s="24" t="s">
        <v>59</v>
      </c>
      <c r="H2396" s="24" t="s">
        <v>55</v>
      </c>
      <c r="I2396" s="24" t="s">
        <v>61</v>
      </c>
      <c r="J2396" s="26" t="n">
        <f aca="false">IF(A2396="","",YEAR(A2396))</f>
        <v>2026</v>
      </c>
      <c r="K2396" s="26" t="n">
        <f aca="false">IF(A2396="","",MONTH(A2396))</f>
        <v>9</v>
      </c>
      <c r="L2396" s="26" t="n">
        <f aca="false">IF(B2396="","",VALUE(LEFT(B2396,2)))</f>
        <v>18</v>
      </c>
      <c r="M2396" s="26" t="n">
        <f aca="false">IF(A2396="","",IF(COUNTIFS($C$2:$C$5001,C2396,$J$2:$J$5001,J2396,$A$2:$A$5001,"&lt;"&amp;A2396)=0,1,0))</f>
        <v>0</v>
      </c>
    </row>
    <row r="2397" customFormat="false" ht="15" hidden="false" customHeight="false" outlineLevel="0" collapsed="false">
      <c r="A2397" s="23" t="n">
        <v>46296.7881944445</v>
      </c>
      <c r="B2397" s="24" t="s">
        <v>713</v>
      </c>
      <c r="C2397" s="24" t="s">
        <v>160</v>
      </c>
      <c r="D2397" s="24" t="s">
        <v>66</v>
      </c>
      <c r="E2397" s="24" t="n">
        <v>194</v>
      </c>
      <c r="F2397" s="25" t="n">
        <v>7000</v>
      </c>
      <c r="G2397" s="24" t="s">
        <v>59</v>
      </c>
      <c r="H2397" s="24" t="s">
        <v>80</v>
      </c>
      <c r="I2397" s="24" t="s">
        <v>61</v>
      </c>
      <c r="J2397" s="26" t="n">
        <f aca="false">IF(A2397="","",YEAR(A2397))</f>
        <v>2026</v>
      </c>
      <c r="K2397" s="26" t="n">
        <f aca="false">IF(A2397="","",MONTH(A2397))</f>
        <v>10</v>
      </c>
      <c r="L2397" s="26" t="n">
        <f aca="false">IF(B2397="","",VALUE(LEFT(B2397,2)))</f>
        <v>15</v>
      </c>
      <c r="M2397" s="26" t="n">
        <f aca="false">IF(A2397="","",IF(COUNTIFS($C$2:$C$5001,C2397,$J$2:$J$5001,J2397,$A$2:$A$5001,"&lt;"&amp;A2397)=0,1,0))</f>
        <v>0</v>
      </c>
    </row>
    <row r="2398" customFormat="false" ht="15" hidden="false" customHeight="false" outlineLevel="0" collapsed="false">
      <c r="A2398" s="23" t="n">
        <v>46296.7979166667</v>
      </c>
      <c r="B2398" s="24" t="s">
        <v>472</v>
      </c>
      <c r="C2398" s="24" t="s">
        <v>85</v>
      </c>
      <c r="D2398" s="24" t="s">
        <v>88</v>
      </c>
      <c r="E2398" s="24" t="n">
        <v>34</v>
      </c>
      <c r="F2398" s="25" t="n">
        <v>0</v>
      </c>
      <c r="G2398" s="24" t="s">
        <v>69</v>
      </c>
      <c r="H2398" s="24" t="s">
        <v>60</v>
      </c>
      <c r="I2398" s="24" t="s">
        <v>56</v>
      </c>
      <c r="J2398" s="26" t="n">
        <f aca="false">IF(A2398="","",YEAR(A2398))</f>
        <v>2026</v>
      </c>
      <c r="K2398" s="26" t="n">
        <f aca="false">IF(A2398="","",MONTH(A2398))</f>
        <v>10</v>
      </c>
      <c r="L2398" s="26" t="n">
        <f aca="false">IF(B2398="","",VALUE(LEFT(B2398,2)))</f>
        <v>18</v>
      </c>
      <c r="M2398" s="26" t="n">
        <f aca="false">IF(A2398="","",IF(COUNTIFS($C$2:$C$5001,C2398,$J$2:$J$5001,J2398,$A$2:$A$5001,"&lt;"&amp;A2398)=0,1,0))</f>
        <v>0</v>
      </c>
    </row>
    <row r="2399" customFormat="false" ht="15" hidden="false" customHeight="false" outlineLevel="0" collapsed="false">
      <c r="A2399" s="23" t="n">
        <v>46296.9375</v>
      </c>
      <c r="B2399" s="24" t="s">
        <v>973</v>
      </c>
      <c r="C2399" s="24" t="s">
        <v>141</v>
      </c>
      <c r="D2399" s="24" t="s">
        <v>53</v>
      </c>
      <c r="E2399" s="24" t="n">
        <v>226</v>
      </c>
      <c r="F2399" s="25" t="n">
        <v>4000</v>
      </c>
      <c r="G2399" s="24" t="s">
        <v>59</v>
      </c>
      <c r="H2399" s="24" t="s">
        <v>60</v>
      </c>
      <c r="I2399" s="24" t="s">
        <v>61</v>
      </c>
      <c r="J2399" s="26" t="n">
        <f aca="false">IF(A2399="","",YEAR(A2399))</f>
        <v>2026</v>
      </c>
      <c r="K2399" s="26" t="n">
        <f aca="false">IF(A2399="","",MONTH(A2399))</f>
        <v>10</v>
      </c>
      <c r="L2399" s="26" t="n">
        <f aca="false">IF(B2399="","",VALUE(LEFT(B2399,2)))</f>
        <v>18</v>
      </c>
      <c r="M2399" s="26" t="n">
        <f aca="false">IF(A2399="","",IF(COUNTIFS($C$2:$C$5001,C2399,$J$2:$J$5001,J2399,$A$2:$A$5001,"&lt;"&amp;A2399)=0,1,0))</f>
        <v>0</v>
      </c>
    </row>
    <row r="2400" customFormat="false" ht="15" hidden="false" customHeight="false" outlineLevel="0" collapsed="false">
      <c r="A2400" s="23" t="n">
        <v>46297.68125</v>
      </c>
      <c r="B2400" s="24" t="s">
        <v>541</v>
      </c>
      <c r="C2400" s="24" t="s">
        <v>343</v>
      </c>
      <c r="D2400" s="24" t="s">
        <v>66</v>
      </c>
      <c r="E2400" s="24" t="n">
        <v>388</v>
      </c>
      <c r="F2400" s="25" t="n">
        <v>13000</v>
      </c>
      <c r="G2400" s="24" t="s">
        <v>59</v>
      </c>
      <c r="H2400" s="24" t="s">
        <v>55</v>
      </c>
      <c r="I2400" s="24" t="s">
        <v>61</v>
      </c>
      <c r="J2400" s="26" t="n">
        <f aca="false">IF(A2400="","",YEAR(A2400))</f>
        <v>2026</v>
      </c>
      <c r="K2400" s="26" t="n">
        <f aca="false">IF(A2400="","",MONTH(A2400))</f>
        <v>10</v>
      </c>
      <c r="L2400" s="26" t="n">
        <f aca="false">IF(B2400="","",VALUE(LEFT(B2400,2)))</f>
        <v>9</v>
      </c>
      <c r="M2400" s="26" t="n">
        <f aca="false">IF(A2400="","",IF(COUNTIFS($C$2:$C$5001,C2400,$J$2:$J$5001,J2400,$A$2:$A$5001,"&lt;"&amp;A2400)=0,1,0))</f>
        <v>0</v>
      </c>
    </row>
    <row r="2401" customFormat="false" ht="15" hidden="false" customHeight="false" outlineLevel="0" collapsed="false">
      <c r="A2401" s="23" t="n">
        <v>46297.8541666667</v>
      </c>
      <c r="B2401" s="24" t="s">
        <v>157</v>
      </c>
      <c r="C2401" s="24" t="s">
        <v>735</v>
      </c>
      <c r="D2401" s="24" t="s">
        <v>72</v>
      </c>
      <c r="E2401" s="24" t="n">
        <v>306</v>
      </c>
      <c r="F2401" s="25" t="n">
        <v>22000</v>
      </c>
      <c r="G2401" s="24" t="s">
        <v>59</v>
      </c>
      <c r="H2401" s="24" t="s">
        <v>60</v>
      </c>
      <c r="I2401" s="24" t="s">
        <v>61</v>
      </c>
      <c r="J2401" s="26" t="n">
        <f aca="false">IF(A2401="","",YEAR(A2401))</f>
        <v>2026</v>
      </c>
      <c r="K2401" s="26" t="n">
        <f aca="false">IF(A2401="","",MONTH(A2401))</f>
        <v>10</v>
      </c>
      <c r="L2401" s="26" t="n">
        <f aca="false">IF(B2401="","",VALUE(LEFT(B2401,2)))</f>
        <v>15</v>
      </c>
      <c r="M2401" s="26" t="n">
        <f aca="false">IF(A2401="","",IF(COUNTIFS($C$2:$C$5001,C2401,$J$2:$J$5001,J2401,$A$2:$A$5001,"&lt;"&amp;A2401)=0,1,0))</f>
        <v>0</v>
      </c>
    </row>
    <row r="2402" customFormat="false" ht="15" hidden="false" customHeight="false" outlineLevel="0" collapsed="false">
      <c r="A2402" s="23" t="n">
        <v>46298.5208333333</v>
      </c>
      <c r="B2402" s="24" t="s">
        <v>762</v>
      </c>
      <c r="C2402" s="24" t="s">
        <v>240</v>
      </c>
      <c r="D2402" s="24" t="s">
        <v>66</v>
      </c>
      <c r="E2402" s="24" t="n">
        <v>154</v>
      </c>
      <c r="F2402" s="25" t="n">
        <v>6000</v>
      </c>
      <c r="G2402" s="24" t="s">
        <v>59</v>
      </c>
      <c r="H2402" s="24" t="s">
        <v>60</v>
      </c>
      <c r="I2402" s="24" t="s">
        <v>61</v>
      </c>
      <c r="J2402" s="26" t="n">
        <f aca="false">IF(A2402="","",YEAR(A2402))</f>
        <v>2026</v>
      </c>
      <c r="K2402" s="26" t="n">
        <f aca="false">IF(A2402="","",MONTH(A2402))</f>
        <v>10</v>
      </c>
      <c r="L2402" s="26" t="n">
        <f aca="false">IF(B2402="","",VALUE(LEFT(B2402,2)))</f>
        <v>9</v>
      </c>
      <c r="M2402" s="26" t="n">
        <f aca="false">IF(A2402="","",IF(COUNTIFS($C$2:$C$5001,C2402,$J$2:$J$5001,J2402,$A$2:$A$5001,"&lt;"&amp;A2402)=0,1,0))</f>
        <v>0</v>
      </c>
    </row>
    <row r="2403" customFormat="false" ht="15" hidden="false" customHeight="false" outlineLevel="0" collapsed="false">
      <c r="A2403" s="23" t="n">
        <v>46299.5326388889</v>
      </c>
      <c r="B2403" s="24" t="s">
        <v>955</v>
      </c>
      <c r="C2403" s="24" t="s">
        <v>486</v>
      </c>
      <c r="D2403" s="24" t="s">
        <v>66</v>
      </c>
      <c r="E2403" s="24" t="n">
        <v>63</v>
      </c>
      <c r="F2403" s="25" t="n">
        <v>3000</v>
      </c>
      <c r="G2403" s="24" t="s">
        <v>59</v>
      </c>
      <c r="H2403" s="24" t="s">
        <v>55</v>
      </c>
      <c r="I2403" s="24" t="s">
        <v>61</v>
      </c>
      <c r="J2403" s="26" t="n">
        <f aca="false">IF(A2403="","",YEAR(A2403))</f>
        <v>2026</v>
      </c>
      <c r="K2403" s="26" t="n">
        <f aca="false">IF(A2403="","",MONTH(A2403))</f>
        <v>10</v>
      </c>
      <c r="L2403" s="26" t="n">
        <f aca="false">IF(B2403="","",VALUE(LEFT(B2403,2)))</f>
        <v>11</v>
      </c>
      <c r="M2403" s="26" t="n">
        <f aca="false">IF(A2403="","",IF(COUNTIFS($C$2:$C$5001,C2403,$J$2:$J$5001,J2403,$A$2:$A$5001,"&lt;"&amp;A2403)=0,1,0))</f>
        <v>1</v>
      </c>
    </row>
    <row r="2404" customFormat="false" ht="15" hidden="false" customHeight="false" outlineLevel="0" collapsed="false">
      <c r="A2404" s="23" t="n">
        <v>46300.7277777778</v>
      </c>
      <c r="B2404" s="24" t="s">
        <v>555</v>
      </c>
      <c r="C2404" s="24" t="s">
        <v>58</v>
      </c>
      <c r="D2404" s="24" t="s">
        <v>53</v>
      </c>
      <c r="E2404" s="24" t="n">
        <v>58</v>
      </c>
      <c r="F2404" s="25" t="n">
        <v>1000</v>
      </c>
      <c r="G2404" s="24" t="s">
        <v>69</v>
      </c>
      <c r="H2404" s="24" t="s">
        <v>60</v>
      </c>
      <c r="I2404" s="24" t="s">
        <v>61</v>
      </c>
      <c r="J2404" s="26" t="n">
        <f aca="false">IF(A2404="","",YEAR(A2404))</f>
        <v>2026</v>
      </c>
      <c r="K2404" s="26" t="n">
        <f aca="false">IF(A2404="","",MONTH(A2404))</f>
        <v>10</v>
      </c>
      <c r="L2404" s="26" t="n">
        <f aca="false">IF(B2404="","",VALUE(LEFT(B2404,2)))</f>
        <v>16</v>
      </c>
      <c r="M2404" s="26" t="n">
        <f aca="false">IF(A2404="","",IF(COUNTIFS($C$2:$C$5001,C2404,$J$2:$J$5001,J2404,$A$2:$A$5001,"&lt;"&amp;A2404)=0,1,0))</f>
        <v>0</v>
      </c>
    </row>
    <row r="2405" customFormat="false" ht="15" hidden="false" customHeight="false" outlineLevel="0" collapsed="false">
      <c r="A2405" s="23" t="n">
        <v>46300.7444444444</v>
      </c>
      <c r="B2405" s="24" t="s">
        <v>1014</v>
      </c>
      <c r="C2405" s="24" t="s">
        <v>78</v>
      </c>
      <c r="D2405" s="24" t="s">
        <v>66</v>
      </c>
      <c r="E2405" s="24" t="n">
        <v>174</v>
      </c>
      <c r="F2405" s="25" t="n">
        <v>6000</v>
      </c>
      <c r="G2405" s="24" t="s">
        <v>59</v>
      </c>
      <c r="H2405" s="24" t="s">
        <v>80</v>
      </c>
      <c r="I2405" s="24" t="s">
        <v>61</v>
      </c>
      <c r="J2405" s="26" t="n">
        <f aca="false">IF(A2405="","",YEAR(A2405))</f>
        <v>2026</v>
      </c>
      <c r="K2405" s="26" t="n">
        <f aca="false">IF(A2405="","",MONTH(A2405))</f>
        <v>10</v>
      </c>
      <c r="L2405" s="26" t="n">
        <f aca="false">IF(B2405="","",VALUE(LEFT(B2405,2)))</f>
        <v>14</v>
      </c>
      <c r="M2405" s="26" t="n">
        <f aca="false">IF(A2405="","",IF(COUNTIFS($C$2:$C$5001,C2405,$J$2:$J$5001,J2405,$A$2:$A$5001,"&lt;"&amp;A2405)=0,1,0))</f>
        <v>0</v>
      </c>
    </row>
    <row r="2406" customFormat="false" ht="15" hidden="false" customHeight="false" outlineLevel="0" collapsed="false">
      <c r="A2406" s="23" t="n">
        <v>46302.3930555556</v>
      </c>
      <c r="B2406" s="24" t="s">
        <v>435</v>
      </c>
      <c r="C2406" s="24" t="s">
        <v>403</v>
      </c>
      <c r="D2406" s="24" t="s">
        <v>66</v>
      </c>
      <c r="E2406" s="24" t="n">
        <v>127</v>
      </c>
      <c r="F2406" s="25" t="n">
        <v>5000</v>
      </c>
      <c r="G2406" s="24" t="s">
        <v>59</v>
      </c>
      <c r="H2406" s="24" t="s">
        <v>80</v>
      </c>
      <c r="I2406" s="24" t="s">
        <v>61</v>
      </c>
      <c r="J2406" s="26" t="n">
        <f aca="false">IF(A2406="","",YEAR(A2406))</f>
        <v>2026</v>
      </c>
      <c r="K2406" s="26" t="n">
        <f aca="false">IF(A2406="","",MONTH(A2406))</f>
        <v>10</v>
      </c>
      <c r="L2406" s="26" t="n">
        <f aca="false">IF(B2406="","",VALUE(LEFT(B2406,2)))</f>
        <v>7</v>
      </c>
      <c r="M2406" s="26" t="n">
        <f aca="false">IF(A2406="","",IF(COUNTIFS($C$2:$C$5001,C2406,$J$2:$J$5001,J2406,$A$2:$A$5001,"&lt;"&amp;A2406)=0,1,0))</f>
        <v>0</v>
      </c>
    </row>
    <row r="2407" customFormat="false" ht="15" hidden="false" customHeight="false" outlineLevel="0" collapsed="false">
      <c r="A2407" s="23" t="n">
        <v>46302.7152777778</v>
      </c>
      <c r="B2407" s="24" t="s">
        <v>850</v>
      </c>
      <c r="C2407" s="24" t="s">
        <v>174</v>
      </c>
      <c r="D2407" s="24" t="s">
        <v>66</v>
      </c>
      <c r="E2407" s="24" t="n">
        <v>125</v>
      </c>
      <c r="F2407" s="25" t="n">
        <v>5000</v>
      </c>
      <c r="G2407" s="24" t="s">
        <v>59</v>
      </c>
      <c r="H2407" s="24" t="s">
        <v>60</v>
      </c>
      <c r="I2407" s="24" t="s">
        <v>61</v>
      </c>
      <c r="J2407" s="26" t="n">
        <f aca="false">IF(A2407="","",YEAR(A2407))</f>
        <v>2026</v>
      </c>
      <c r="K2407" s="26" t="n">
        <f aca="false">IF(A2407="","",MONTH(A2407))</f>
        <v>10</v>
      </c>
      <c r="L2407" s="26" t="n">
        <f aca="false">IF(B2407="","",VALUE(LEFT(B2407,2)))</f>
        <v>15</v>
      </c>
      <c r="M2407" s="26" t="n">
        <f aca="false">IF(A2407="","",IF(COUNTIFS($C$2:$C$5001,C2407,$J$2:$J$5001,J2407,$A$2:$A$5001,"&lt;"&amp;A2407)=0,1,0))</f>
        <v>0</v>
      </c>
    </row>
    <row r="2408" customFormat="false" ht="15" hidden="false" customHeight="false" outlineLevel="0" collapsed="false">
      <c r="A2408" s="23" t="n">
        <v>46302.7770833333</v>
      </c>
      <c r="B2408" s="24" t="s">
        <v>911</v>
      </c>
      <c r="C2408" s="24" t="s">
        <v>396</v>
      </c>
      <c r="D2408" s="24" t="s">
        <v>66</v>
      </c>
      <c r="E2408" s="24" t="n">
        <v>202</v>
      </c>
      <c r="F2408" s="25" t="n">
        <v>7000</v>
      </c>
      <c r="G2408" s="24" t="s">
        <v>69</v>
      </c>
      <c r="H2408" s="24" t="s">
        <v>80</v>
      </c>
      <c r="I2408" s="24" t="s">
        <v>61</v>
      </c>
      <c r="J2408" s="26" t="n">
        <f aca="false">IF(A2408="","",YEAR(A2408))</f>
        <v>2026</v>
      </c>
      <c r="K2408" s="26" t="n">
        <f aca="false">IF(A2408="","",MONTH(A2408))</f>
        <v>10</v>
      </c>
      <c r="L2408" s="26" t="n">
        <f aca="false">IF(B2408="","",VALUE(LEFT(B2408,2)))</f>
        <v>15</v>
      </c>
      <c r="M2408" s="26" t="n">
        <f aca="false">IF(A2408="","",IF(COUNTIFS($C$2:$C$5001,C2408,$J$2:$J$5001,J2408,$A$2:$A$5001,"&lt;"&amp;A2408)=0,1,0))</f>
        <v>0</v>
      </c>
    </row>
    <row r="2409" customFormat="false" ht="15" hidden="false" customHeight="false" outlineLevel="0" collapsed="false">
      <c r="A2409" s="23" t="n">
        <v>46303.15</v>
      </c>
      <c r="B2409" s="24" t="s">
        <v>909</v>
      </c>
      <c r="C2409" s="24" t="s">
        <v>224</v>
      </c>
      <c r="D2409" s="24" t="s">
        <v>66</v>
      </c>
      <c r="E2409" s="24" t="n">
        <v>398</v>
      </c>
      <c r="F2409" s="25" t="n">
        <v>14000</v>
      </c>
      <c r="G2409" s="24" t="s">
        <v>59</v>
      </c>
      <c r="H2409" s="24" t="s">
        <v>60</v>
      </c>
      <c r="I2409" s="24" t="s">
        <v>61</v>
      </c>
      <c r="J2409" s="26" t="n">
        <f aca="false">IF(A2409="","",YEAR(A2409))</f>
        <v>2026</v>
      </c>
      <c r="K2409" s="26" t="n">
        <f aca="false">IF(A2409="","",MONTH(A2409))</f>
        <v>10</v>
      </c>
      <c r="L2409" s="26" t="n">
        <f aca="false">IF(B2409="","",VALUE(LEFT(B2409,2)))</f>
        <v>20</v>
      </c>
      <c r="M2409" s="26" t="n">
        <f aca="false">IF(A2409="","",IF(COUNTIFS($C$2:$C$5001,C2409,$J$2:$J$5001,J2409,$A$2:$A$5001,"&lt;"&amp;A2409)=0,1,0))</f>
        <v>0</v>
      </c>
    </row>
    <row r="2410" customFormat="false" ht="15" hidden="false" customHeight="false" outlineLevel="0" collapsed="false">
      <c r="A2410" s="23" t="n">
        <v>46303.4520833333</v>
      </c>
      <c r="B2410" s="24" t="s">
        <v>963</v>
      </c>
      <c r="C2410" s="24" t="s">
        <v>92</v>
      </c>
      <c r="D2410" s="24" t="s">
        <v>66</v>
      </c>
      <c r="E2410" s="24" t="n">
        <v>123</v>
      </c>
      <c r="F2410" s="25" t="n">
        <v>5000</v>
      </c>
      <c r="G2410" s="24" t="s">
        <v>83</v>
      </c>
      <c r="H2410" s="24" t="s">
        <v>55</v>
      </c>
      <c r="I2410" s="24" t="s">
        <v>61</v>
      </c>
      <c r="J2410" s="26" t="n">
        <f aca="false">IF(A2410="","",YEAR(A2410))</f>
        <v>2026</v>
      </c>
      <c r="K2410" s="26" t="n">
        <f aca="false">IF(A2410="","",MONTH(A2410))</f>
        <v>10</v>
      </c>
      <c r="L2410" s="26" t="n">
        <f aca="false">IF(B2410="","",VALUE(LEFT(B2410,2)))</f>
        <v>8</v>
      </c>
      <c r="M2410" s="26" t="n">
        <f aca="false">IF(A2410="","",IF(COUNTIFS($C$2:$C$5001,C2410,$J$2:$J$5001,J2410,$A$2:$A$5001,"&lt;"&amp;A2410)=0,1,0))</f>
        <v>0</v>
      </c>
    </row>
    <row r="2411" customFormat="false" ht="15" hidden="false" customHeight="false" outlineLevel="0" collapsed="false">
      <c r="A2411" s="23" t="n">
        <v>46303.5861111111</v>
      </c>
      <c r="B2411" s="24" t="s">
        <v>375</v>
      </c>
      <c r="C2411" s="24" t="s">
        <v>108</v>
      </c>
      <c r="D2411" s="24" t="s">
        <v>53</v>
      </c>
      <c r="E2411" s="24" t="n">
        <v>317</v>
      </c>
      <c r="F2411" s="25" t="n">
        <v>4675</v>
      </c>
      <c r="G2411" s="24" t="s">
        <v>83</v>
      </c>
      <c r="H2411" s="24" t="s">
        <v>80</v>
      </c>
      <c r="I2411" s="24" t="s">
        <v>113</v>
      </c>
      <c r="J2411" s="26" t="n">
        <f aca="false">IF(A2411="","",YEAR(A2411))</f>
        <v>2026</v>
      </c>
      <c r="K2411" s="26" t="n">
        <f aca="false">IF(A2411="","",MONTH(A2411))</f>
        <v>10</v>
      </c>
      <c r="L2411" s="26" t="n">
        <f aca="false">IF(B2411="","",VALUE(LEFT(B2411,2)))</f>
        <v>8</v>
      </c>
      <c r="M2411" s="26" t="n">
        <f aca="false">IF(A2411="","",IF(COUNTIFS($C$2:$C$5001,C2411,$J$2:$J$5001,J2411,$A$2:$A$5001,"&lt;"&amp;A2411)=0,1,0))</f>
        <v>0</v>
      </c>
    </row>
    <row r="2412" customFormat="false" ht="15" hidden="false" customHeight="false" outlineLevel="0" collapsed="false">
      <c r="A2412" s="23" t="n">
        <v>46303.6479166667</v>
      </c>
      <c r="B2412" s="24" t="s">
        <v>95</v>
      </c>
      <c r="C2412" s="24" t="s">
        <v>177</v>
      </c>
      <c r="D2412" s="24" t="s">
        <v>66</v>
      </c>
      <c r="E2412" s="24" t="n">
        <v>27</v>
      </c>
      <c r="F2412" s="25" t="n">
        <v>1000</v>
      </c>
      <c r="G2412" s="24" t="s">
        <v>54</v>
      </c>
      <c r="H2412" s="24" t="s">
        <v>80</v>
      </c>
      <c r="I2412" s="24" t="s">
        <v>61</v>
      </c>
      <c r="J2412" s="26" t="n">
        <f aca="false">IF(A2412="","",YEAR(A2412))</f>
        <v>2026</v>
      </c>
      <c r="K2412" s="26" t="n">
        <f aca="false">IF(A2412="","",MONTH(A2412))</f>
        <v>10</v>
      </c>
      <c r="L2412" s="26" t="n">
        <f aca="false">IF(B2412="","",VALUE(LEFT(B2412,2)))</f>
        <v>15</v>
      </c>
      <c r="M2412" s="26" t="n">
        <f aca="false">IF(A2412="","",IF(COUNTIFS($C$2:$C$5001,C2412,$J$2:$J$5001,J2412,$A$2:$A$5001,"&lt;"&amp;A2412)=0,1,0))</f>
        <v>0</v>
      </c>
    </row>
    <row r="2413" customFormat="false" ht="15" hidden="false" customHeight="false" outlineLevel="0" collapsed="false">
      <c r="A2413" s="23" t="n">
        <v>46304.4465277778</v>
      </c>
      <c r="B2413" s="24" t="s">
        <v>761</v>
      </c>
      <c r="C2413" s="24" t="s">
        <v>222</v>
      </c>
      <c r="D2413" s="24" t="s">
        <v>53</v>
      </c>
      <c r="E2413" s="24" t="n">
        <v>253</v>
      </c>
      <c r="F2413" s="25" t="n">
        <v>4500</v>
      </c>
      <c r="G2413" s="24" t="s">
        <v>59</v>
      </c>
      <c r="H2413" s="24" t="s">
        <v>60</v>
      </c>
      <c r="I2413" s="24" t="s">
        <v>61</v>
      </c>
      <c r="J2413" s="26" t="n">
        <f aca="false">IF(A2413="","",YEAR(A2413))</f>
        <v>2026</v>
      </c>
      <c r="K2413" s="26" t="n">
        <f aca="false">IF(A2413="","",MONTH(A2413))</f>
        <v>10</v>
      </c>
      <c r="L2413" s="26" t="n">
        <f aca="false">IF(B2413="","",VALUE(LEFT(B2413,2)))</f>
        <v>6</v>
      </c>
      <c r="M2413" s="26" t="n">
        <f aca="false">IF(A2413="","",IF(COUNTIFS($C$2:$C$5001,C2413,$J$2:$J$5001,J2413,$A$2:$A$5001,"&lt;"&amp;A2413)=0,1,0))</f>
        <v>0</v>
      </c>
    </row>
    <row r="2414" customFormat="false" ht="15" hidden="false" customHeight="false" outlineLevel="0" collapsed="false">
      <c r="A2414" s="23" t="n">
        <v>46304.8763888889</v>
      </c>
      <c r="B2414" s="24" t="s">
        <v>1021</v>
      </c>
      <c r="C2414" s="24" t="s">
        <v>475</v>
      </c>
      <c r="D2414" s="24" t="s">
        <v>66</v>
      </c>
      <c r="E2414" s="24" t="n">
        <v>122</v>
      </c>
      <c r="F2414" s="25" t="n">
        <v>5000</v>
      </c>
      <c r="G2414" s="24" t="s">
        <v>79</v>
      </c>
      <c r="H2414" s="24" t="s">
        <v>80</v>
      </c>
      <c r="I2414" s="24" t="s">
        <v>61</v>
      </c>
      <c r="J2414" s="26" t="n">
        <f aca="false">IF(A2414="","",YEAR(A2414))</f>
        <v>2026</v>
      </c>
      <c r="K2414" s="26" t="n">
        <f aca="false">IF(A2414="","",MONTH(A2414))</f>
        <v>10</v>
      </c>
      <c r="L2414" s="26" t="n">
        <f aca="false">IF(B2414="","",VALUE(LEFT(B2414,2)))</f>
        <v>19</v>
      </c>
      <c r="M2414" s="26" t="n">
        <f aca="false">IF(A2414="","",IF(COUNTIFS($C$2:$C$5001,C2414,$J$2:$J$5001,J2414,$A$2:$A$5001,"&lt;"&amp;A2414)=0,1,0))</f>
        <v>0</v>
      </c>
    </row>
    <row r="2415" customFormat="false" ht="15" hidden="false" customHeight="false" outlineLevel="0" collapsed="false">
      <c r="A2415" s="23" t="n">
        <v>46304.9833333333</v>
      </c>
      <c r="B2415" s="24" t="s">
        <v>815</v>
      </c>
      <c r="C2415" s="24" t="s">
        <v>85</v>
      </c>
      <c r="D2415" s="24" t="s">
        <v>72</v>
      </c>
      <c r="E2415" s="24" t="n">
        <v>270</v>
      </c>
      <c r="F2415" s="25" t="n">
        <v>18000</v>
      </c>
      <c r="G2415" s="24" t="s">
        <v>59</v>
      </c>
      <c r="H2415" s="24" t="s">
        <v>80</v>
      </c>
      <c r="I2415" s="24" t="s">
        <v>61</v>
      </c>
      <c r="J2415" s="26" t="n">
        <f aca="false">IF(A2415="","",YEAR(A2415))</f>
        <v>2026</v>
      </c>
      <c r="K2415" s="26" t="n">
        <f aca="false">IF(A2415="","",MONTH(A2415))</f>
        <v>10</v>
      </c>
      <c r="L2415" s="26" t="n">
        <f aca="false">IF(B2415="","",VALUE(LEFT(B2415,2)))</f>
        <v>19</v>
      </c>
      <c r="M2415" s="26" t="n">
        <f aca="false">IF(A2415="","",IF(COUNTIFS($C$2:$C$5001,C2415,$J$2:$J$5001,J2415,$A$2:$A$5001,"&lt;"&amp;A2415)=0,1,0))</f>
        <v>0</v>
      </c>
    </row>
    <row r="2416" customFormat="false" ht="15" hidden="false" customHeight="false" outlineLevel="0" collapsed="false">
      <c r="A2416" s="23" t="n">
        <v>46305.4368055556</v>
      </c>
      <c r="B2416" s="24" t="s">
        <v>994</v>
      </c>
      <c r="C2416" s="24" t="s">
        <v>160</v>
      </c>
      <c r="D2416" s="24" t="s">
        <v>66</v>
      </c>
      <c r="E2416" s="24" t="n">
        <v>241</v>
      </c>
      <c r="F2416" s="25" t="n">
        <v>9000</v>
      </c>
      <c r="G2416" s="24" t="s">
        <v>59</v>
      </c>
      <c r="H2416" s="24" t="s">
        <v>80</v>
      </c>
      <c r="I2416" s="24" t="s">
        <v>61</v>
      </c>
      <c r="J2416" s="26" t="n">
        <f aca="false">IF(A2416="","",YEAR(A2416))</f>
        <v>2026</v>
      </c>
      <c r="K2416" s="26" t="n">
        <f aca="false">IF(A2416="","",MONTH(A2416))</f>
        <v>10</v>
      </c>
      <c r="L2416" s="26" t="n">
        <f aca="false">IF(B2416="","",VALUE(LEFT(B2416,2)))</f>
        <v>6</v>
      </c>
      <c r="M2416" s="26" t="n">
        <f aca="false">IF(A2416="","",IF(COUNTIFS($C$2:$C$5001,C2416,$J$2:$J$5001,J2416,$A$2:$A$5001,"&lt;"&amp;A2416)=0,1,0))</f>
        <v>0</v>
      </c>
    </row>
    <row r="2417" customFormat="false" ht="15" hidden="false" customHeight="false" outlineLevel="0" collapsed="false">
      <c r="A2417" s="23" t="n">
        <v>46305.5868055556</v>
      </c>
      <c r="B2417" s="24" t="s">
        <v>350</v>
      </c>
      <c r="C2417" s="24" t="s">
        <v>267</v>
      </c>
      <c r="D2417" s="24" t="s">
        <v>66</v>
      </c>
      <c r="E2417" s="24" t="n">
        <v>375</v>
      </c>
      <c r="F2417" s="25" t="n">
        <v>13000</v>
      </c>
      <c r="G2417" s="24" t="s">
        <v>79</v>
      </c>
      <c r="H2417" s="24" t="s">
        <v>55</v>
      </c>
      <c r="I2417" s="24" t="s">
        <v>61</v>
      </c>
      <c r="J2417" s="26" t="n">
        <f aca="false">IF(A2417="","",YEAR(A2417))</f>
        <v>2026</v>
      </c>
      <c r="K2417" s="26" t="n">
        <f aca="false">IF(A2417="","",MONTH(A2417))</f>
        <v>10</v>
      </c>
      <c r="L2417" s="26" t="n">
        <f aca="false">IF(B2417="","",VALUE(LEFT(B2417,2)))</f>
        <v>7</v>
      </c>
      <c r="M2417" s="26" t="n">
        <f aca="false">IF(A2417="","",IF(COUNTIFS($C$2:$C$5001,C2417,$J$2:$J$5001,J2417,$A$2:$A$5001,"&lt;"&amp;A2417)=0,1,0))</f>
        <v>0</v>
      </c>
    </row>
    <row r="2418" customFormat="false" ht="15" hidden="false" customHeight="false" outlineLevel="0" collapsed="false">
      <c r="A2418" s="23" t="n">
        <v>46305.8673611111</v>
      </c>
      <c r="B2418" s="24" t="s">
        <v>497</v>
      </c>
      <c r="C2418" s="24" t="s">
        <v>192</v>
      </c>
      <c r="D2418" s="24" t="s">
        <v>53</v>
      </c>
      <c r="E2418" s="24" t="n">
        <v>201</v>
      </c>
      <c r="F2418" s="25" t="n">
        <v>3500</v>
      </c>
      <c r="G2418" s="24" t="s">
        <v>79</v>
      </c>
      <c r="H2418" s="24" t="s">
        <v>55</v>
      </c>
      <c r="I2418" s="24" t="s">
        <v>61</v>
      </c>
      <c r="J2418" s="26" t="n">
        <f aca="false">IF(A2418="","",YEAR(A2418))</f>
        <v>2026</v>
      </c>
      <c r="K2418" s="26" t="n">
        <f aca="false">IF(A2418="","",MONTH(A2418))</f>
        <v>10</v>
      </c>
      <c r="L2418" s="26" t="n">
        <f aca="false">IF(B2418="","",VALUE(LEFT(B2418,2)))</f>
        <v>17</v>
      </c>
      <c r="M2418" s="26" t="n">
        <f aca="false">IF(A2418="","",IF(COUNTIFS($C$2:$C$5001,C2418,$J$2:$J$5001,J2418,$A$2:$A$5001,"&lt;"&amp;A2418)=0,1,0))</f>
        <v>0</v>
      </c>
    </row>
    <row r="2419" customFormat="false" ht="15" hidden="false" customHeight="false" outlineLevel="0" collapsed="false">
      <c r="A2419" s="23" t="n">
        <v>46306.4951388889</v>
      </c>
      <c r="B2419" s="24" t="s">
        <v>758</v>
      </c>
      <c r="C2419" s="24" t="s">
        <v>901</v>
      </c>
      <c r="D2419" s="24" t="s">
        <v>53</v>
      </c>
      <c r="E2419" s="24" t="n">
        <v>143</v>
      </c>
      <c r="F2419" s="25" t="n">
        <v>0</v>
      </c>
      <c r="G2419" s="24" t="s">
        <v>83</v>
      </c>
      <c r="H2419" s="24" t="s">
        <v>60</v>
      </c>
      <c r="I2419" s="24" t="s">
        <v>56</v>
      </c>
      <c r="J2419" s="26" t="n">
        <f aca="false">IF(A2419="","",YEAR(A2419))</f>
        <v>2026</v>
      </c>
      <c r="K2419" s="26" t="n">
        <f aca="false">IF(A2419="","",MONTH(A2419))</f>
        <v>10</v>
      </c>
      <c r="L2419" s="26" t="n">
        <f aca="false">IF(B2419="","",VALUE(LEFT(B2419,2)))</f>
        <v>9</v>
      </c>
      <c r="M2419" s="26" t="n">
        <f aca="false">IF(A2419="","",IF(COUNTIFS($C$2:$C$5001,C2419,$J$2:$J$5001,J2419,$A$2:$A$5001,"&lt;"&amp;A2419)=0,1,0))</f>
        <v>0</v>
      </c>
    </row>
    <row r="2420" customFormat="false" ht="15" hidden="false" customHeight="false" outlineLevel="0" collapsed="false">
      <c r="A2420" s="23" t="n">
        <v>46306.5138888889</v>
      </c>
      <c r="B2420" s="24" t="s">
        <v>624</v>
      </c>
      <c r="C2420" s="24" t="s">
        <v>145</v>
      </c>
      <c r="D2420" s="24" t="s">
        <v>66</v>
      </c>
      <c r="E2420" s="24" t="n">
        <v>228</v>
      </c>
      <c r="F2420" s="25" t="n">
        <v>6800</v>
      </c>
      <c r="G2420" s="24" t="s">
        <v>59</v>
      </c>
      <c r="H2420" s="24" t="s">
        <v>55</v>
      </c>
      <c r="I2420" s="24" t="s">
        <v>113</v>
      </c>
      <c r="J2420" s="26" t="n">
        <f aca="false">IF(A2420="","",YEAR(A2420))</f>
        <v>2026</v>
      </c>
      <c r="K2420" s="26" t="n">
        <f aca="false">IF(A2420="","",MONTH(A2420))</f>
        <v>10</v>
      </c>
      <c r="L2420" s="26" t="n">
        <f aca="false">IF(B2420="","",VALUE(LEFT(B2420,2)))</f>
        <v>8</v>
      </c>
      <c r="M2420" s="26" t="n">
        <f aca="false">IF(A2420="","",IF(COUNTIFS($C$2:$C$5001,C2420,$J$2:$J$5001,J2420,$A$2:$A$5001,"&lt;"&amp;A2420)=0,1,0))</f>
        <v>0</v>
      </c>
    </row>
    <row r="2421" customFormat="false" ht="15" hidden="false" customHeight="false" outlineLevel="0" collapsed="false">
      <c r="A2421" s="23" t="n">
        <v>46306.7722222222</v>
      </c>
      <c r="B2421" s="24" t="s">
        <v>273</v>
      </c>
      <c r="C2421" s="24" t="s">
        <v>116</v>
      </c>
      <c r="D2421" s="24" t="s">
        <v>53</v>
      </c>
      <c r="E2421" s="24" t="n">
        <v>134</v>
      </c>
      <c r="F2421" s="25" t="n">
        <v>2500</v>
      </c>
      <c r="G2421" s="24" t="s">
        <v>59</v>
      </c>
      <c r="H2421" s="24" t="s">
        <v>80</v>
      </c>
      <c r="I2421" s="24" t="s">
        <v>61</v>
      </c>
      <c r="J2421" s="26" t="n">
        <f aca="false">IF(A2421="","",YEAR(A2421))</f>
        <v>2026</v>
      </c>
      <c r="K2421" s="26" t="n">
        <f aca="false">IF(A2421="","",MONTH(A2421))</f>
        <v>10</v>
      </c>
      <c r="L2421" s="26" t="n">
        <f aca="false">IF(B2421="","",VALUE(LEFT(B2421,2)))</f>
        <v>16</v>
      </c>
      <c r="M2421" s="26" t="n">
        <f aca="false">IF(A2421="","",IF(COUNTIFS($C$2:$C$5001,C2421,$J$2:$J$5001,J2421,$A$2:$A$5001,"&lt;"&amp;A2421)=0,1,0))</f>
        <v>0</v>
      </c>
    </row>
    <row r="2422" customFormat="false" ht="15" hidden="false" customHeight="false" outlineLevel="0" collapsed="false">
      <c r="A2422" s="23" t="n">
        <v>46306.8548611111</v>
      </c>
      <c r="B2422" s="24" t="s">
        <v>814</v>
      </c>
      <c r="C2422" s="24" t="s">
        <v>317</v>
      </c>
      <c r="D2422" s="24" t="s">
        <v>66</v>
      </c>
      <c r="E2422" s="24" t="n">
        <v>123</v>
      </c>
      <c r="F2422" s="25" t="n">
        <v>0</v>
      </c>
      <c r="G2422" s="24" t="s">
        <v>59</v>
      </c>
      <c r="H2422" s="24" t="s">
        <v>55</v>
      </c>
      <c r="I2422" s="24" t="s">
        <v>56</v>
      </c>
      <c r="J2422" s="26" t="n">
        <f aca="false">IF(A2422="","",YEAR(A2422))</f>
        <v>2026</v>
      </c>
      <c r="K2422" s="26" t="n">
        <f aca="false">IF(A2422="","",MONTH(A2422))</f>
        <v>10</v>
      </c>
      <c r="L2422" s="26" t="n">
        <f aca="false">IF(B2422="","",VALUE(LEFT(B2422,2)))</f>
        <v>18</v>
      </c>
      <c r="M2422" s="26" t="n">
        <f aca="false">IF(A2422="","",IF(COUNTIFS($C$2:$C$5001,C2422,$J$2:$J$5001,J2422,$A$2:$A$5001,"&lt;"&amp;A2422)=0,1,0))</f>
        <v>0</v>
      </c>
    </row>
    <row r="2423" customFormat="false" ht="15" hidden="false" customHeight="false" outlineLevel="0" collapsed="false">
      <c r="A2423" s="23" t="n">
        <v>46306.9833333333</v>
      </c>
      <c r="B2423" s="24" t="s">
        <v>269</v>
      </c>
      <c r="C2423" s="24" t="s">
        <v>396</v>
      </c>
      <c r="D2423" s="24" t="s">
        <v>66</v>
      </c>
      <c r="E2423" s="24" t="n">
        <v>216</v>
      </c>
      <c r="F2423" s="25" t="n">
        <v>8000</v>
      </c>
      <c r="G2423" s="24" t="s">
        <v>59</v>
      </c>
      <c r="H2423" s="24" t="s">
        <v>80</v>
      </c>
      <c r="I2423" s="24" t="s">
        <v>61</v>
      </c>
      <c r="J2423" s="26" t="n">
        <f aca="false">IF(A2423="","",YEAR(A2423))</f>
        <v>2026</v>
      </c>
      <c r="K2423" s="26" t="n">
        <f aca="false">IF(A2423="","",MONTH(A2423))</f>
        <v>10</v>
      </c>
      <c r="L2423" s="26" t="n">
        <f aca="false">IF(B2423="","",VALUE(LEFT(B2423,2)))</f>
        <v>20</v>
      </c>
      <c r="M2423" s="26" t="n">
        <f aca="false">IF(A2423="","",IF(COUNTIFS($C$2:$C$5001,C2423,$J$2:$J$5001,J2423,$A$2:$A$5001,"&lt;"&amp;A2423)=0,1,0))</f>
        <v>0</v>
      </c>
    </row>
    <row r="2424" customFormat="false" ht="15" hidden="false" customHeight="false" outlineLevel="0" collapsed="false">
      <c r="A2424" s="23" t="n">
        <v>46307.5743055556</v>
      </c>
      <c r="B2424" s="24" t="s">
        <v>282</v>
      </c>
      <c r="C2424" s="24" t="s">
        <v>141</v>
      </c>
      <c r="D2424" s="24" t="s">
        <v>66</v>
      </c>
      <c r="E2424" s="24" t="n">
        <v>297</v>
      </c>
      <c r="F2424" s="25" t="n">
        <v>10000</v>
      </c>
      <c r="G2424" s="24" t="s">
        <v>59</v>
      </c>
      <c r="H2424" s="24" t="s">
        <v>60</v>
      </c>
      <c r="I2424" s="24" t="s">
        <v>61</v>
      </c>
      <c r="J2424" s="26" t="n">
        <f aca="false">IF(A2424="","",YEAR(A2424))</f>
        <v>2026</v>
      </c>
      <c r="K2424" s="26" t="n">
        <f aca="false">IF(A2424="","",MONTH(A2424))</f>
        <v>10</v>
      </c>
      <c r="L2424" s="26" t="n">
        <f aca="false">IF(B2424="","",VALUE(LEFT(B2424,2)))</f>
        <v>8</v>
      </c>
      <c r="M2424" s="26" t="n">
        <f aca="false">IF(A2424="","",IF(COUNTIFS($C$2:$C$5001,C2424,$J$2:$J$5001,J2424,$A$2:$A$5001,"&lt;"&amp;A2424)=0,1,0))</f>
        <v>0</v>
      </c>
    </row>
    <row r="2425" customFormat="false" ht="15" hidden="false" customHeight="false" outlineLevel="0" collapsed="false">
      <c r="A2425" s="23" t="n">
        <v>46307.5777777778</v>
      </c>
      <c r="B2425" s="24" t="s">
        <v>653</v>
      </c>
      <c r="C2425" s="24" t="s">
        <v>243</v>
      </c>
      <c r="D2425" s="24" t="s">
        <v>88</v>
      </c>
      <c r="E2425" s="24" t="n">
        <v>312</v>
      </c>
      <c r="F2425" s="25" t="n">
        <v>16500</v>
      </c>
      <c r="G2425" s="24" t="s">
        <v>69</v>
      </c>
      <c r="H2425" s="24" t="s">
        <v>60</v>
      </c>
      <c r="I2425" s="24" t="s">
        <v>61</v>
      </c>
      <c r="J2425" s="26" t="n">
        <f aca="false">IF(A2425="","",YEAR(A2425))</f>
        <v>2026</v>
      </c>
      <c r="K2425" s="26" t="n">
        <f aca="false">IF(A2425="","",MONTH(A2425))</f>
        <v>10</v>
      </c>
      <c r="L2425" s="26" t="n">
        <f aca="false">IF(B2425="","",VALUE(LEFT(B2425,2)))</f>
        <v>8</v>
      </c>
      <c r="M2425" s="26" t="n">
        <f aca="false">IF(A2425="","",IF(COUNTIFS($C$2:$C$5001,C2425,$J$2:$J$5001,J2425,$A$2:$A$5001,"&lt;"&amp;A2425)=0,1,0))</f>
        <v>0</v>
      </c>
    </row>
    <row r="2426" customFormat="false" ht="15" hidden="false" customHeight="false" outlineLevel="0" collapsed="false">
      <c r="A2426" s="23" t="n">
        <v>46307.8784722222</v>
      </c>
      <c r="B2426" s="24" t="s">
        <v>1054</v>
      </c>
      <c r="C2426" s="24" t="s">
        <v>194</v>
      </c>
      <c r="D2426" s="24" t="s">
        <v>66</v>
      </c>
      <c r="E2426" s="24" t="n">
        <v>215</v>
      </c>
      <c r="F2426" s="25" t="n">
        <v>8000</v>
      </c>
      <c r="G2426" s="24" t="s">
        <v>59</v>
      </c>
      <c r="H2426" s="24" t="s">
        <v>55</v>
      </c>
      <c r="I2426" s="24" t="s">
        <v>61</v>
      </c>
      <c r="J2426" s="26" t="n">
        <f aca="false">IF(A2426="","",YEAR(A2426))</f>
        <v>2026</v>
      </c>
      <c r="K2426" s="26" t="n">
        <f aca="false">IF(A2426="","",MONTH(A2426))</f>
        <v>10</v>
      </c>
      <c r="L2426" s="26" t="n">
        <f aca="false">IF(B2426="","",VALUE(LEFT(B2426,2)))</f>
        <v>17</v>
      </c>
      <c r="M2426" s="26" t="n">
        <f aca="false">IF(A2426="","",IF(COUNTIFS($C$2:$C$5001,C2426,$J$2:$J$5001,J2426,$A$2:$A$5001,"&lt;"&amp;A2426)=0,1,0))</f>
        <v>0</v>
      </c>
    </row>
    <row r="2427" customFormat="false" ht="15" hidden="false" customHeight="false" outlineLevel="0" collapsed="false">
      <c r="A2427" s="23" t="n">
        <v>46308.3465277778</v>
      </c>
      <c r="B2427" s="24" t="s">
        <v>280</v>
      </c>
      <c r="C2427" s="24" t="s">
        <v>74</v>
      </c>
      <c r="D2427" s="24" t="s">
        <v>53</v>
      </c>
      <c r="E2427" s="24" t="n">
        <v>70</v>
      </c>
      <c r="F2427" s="25" t="n">
        <v>1500</v>
      </c>
      <c r="G2427" s="24" t="s">
        <v>59</v>
      </c>
      <c r="H2427" s="24" t="s">
        <v>55</v>
      </c>
      <c r="I2427" s="24" t="s">
        <v>61</v>
      </c>
      <c r="J2427" s="26" t="n">
        <f aca="false">IF(A2427="","",YEAR(A2427))</f>
        <v>2026</v>
      </c>
      <c r="K2427" s="26" t="n">
        <f aca="false">IF(A2427="","",MONTH(A2427))</f>
        <v>10</v>
      </c>
      <c r="L2427" s="26" t="n">
        <f aca="false">IF(B2427="","",VALUE(LEFT(B2427,2)))</f>
        <v>7</v>
      </c>
      <c r="M2427" s="26" t="n">
        <f aca="false">IF(A2427="","",IF(COUNTIFS($C$2:$C$5001,C2427,$J$2:$J$5001,J2427,$A$2:$A$5001,"&lt;"&amp;A2427)=0,1,0))</f>
        <v>0</v>
      </c>
    </row>
    <row r="2428" customFormat="false" ht="15" hidden="false" customHeight="false" outlineLevel="0" collapsed="false">
      <c r="A2428" s="23" t="n">
        <v>46308.6513888889</v>
      </c>
      <c r="B2428" s="24" t="s">
        <v>575</v>
      </c>
      <c r="C2428" s="24" t="s">
        <v>312</v>
      </c>
      <c r="D2428" s="24" t="s">
        <v>66</v>
      </c>
      <c r="E2428" s="24" t="n">
        <v>171</v>
      </c>
      <c r="F2428" s="25" t="n">
        <v>6000</v>
      </c>
      <c r="G2428" s="24" t="s">
        <v>59</v>
      </c>
      <c r="H2428" s="24" t="s">
        <v>60</v>
      </c>
      <c r="I2428" s="24" t="s">
        <v>61</v>
      </c>
      <c r="J2428" s="26" t="n">
        <f aca="false">IF(A2428="","",YEAR(A2428))</f>
        <v>2026</v>
      </c>
      <c r="K2428" s="26" t="n">
        <f aca="false">IF(A2428="","",MONTH(A2428))</f>
        <v>10</v>
      </c>
      <c r="L2428" s="26" t="n">
        <f aca="false">IF(B2428="","",VALUE(LEFT(B2428,2)))</f>
        <v>12</v>
      </c>
      <c r="M2428" s="26" t="n">
        <f aca="false">IF(A2428="","",IF(COUNTIFS($C$2:$C$5001,C2428,$J$2:$J$5001,J2428,$A$2:$A$5001,"&lt;"&amp;A2428)=0,1,0))</f>
        <v>0</v>
      </c>
    </row>
    <row r="2429" customFormat="false" ht="15" hidden="false" customHeight="false" outlineLevel="0" collapsed="false">
      <c r="A2429" s="23" t="n">
        <v>46308.8319444444</v>
      </c>
      <c r="B2429" s="24" t="s">
        <v>728</v>
      </c>
      <c r="C2429" s="24" t="s">
        <v>454</v>
      </c>
      <c r="D2429" s="24" t="s">
        <v>66</v>
      </c>
      <c r="E2429" s="24" t="n">
        <v>268</v>
      </c>
      <c r="F2429" s="25" t="n">
        <v>9000</v>
      </c>
      <c r="G2429" s="24" t="s">
        <v>59</v>
      </c>
      <c r="H2429" s="24" t="s">
        <v>80</v>
      </c>
      <c r="I2429" s="24" t="s">
        <v>61</v>
      </c>
      <c r="J2429" s="26" t="n">
        <f aca="false">IF(A2429="","",YEAR(A2429))</f>
        <v>2026</v>
      </c>
      <c r="K2429" s="26" t="n">
        <f aca="false">IF(A2429="","",MONTH(A2429))</f>
        <v>10</v>
      </c>
      <c r="L2429" s="26" t="n">
        <f aca="false">IF(B2429="","",VALUE(LEFT(B2429,2)))</f>
        <v>15</v>
      </c>
      <c r="M2429" s="26" t="n">
        <f aca="false">IF(A2429="","",IF(COUNTIFS($C$2:$C$5001,C2429,$J$2:$J$5001,J2429,$A$2:$A$5001,"&lt;"&amp;A2429)=0,1,0))</f>
        <v>0</v>
      </c>
    </row>
    <row r="2430" customFormat="false" ht="15" hidden="false" customHeight="false" outlineLevel="0" collapsed="false">
      <c r="A2430" s="23" t="n">
        <v>46309.3833333333</v>
      </c>
      <c r="B2430" s="24" t="s">
        <v>719</v>
      </c>
      <c r="C2430" s="24" t="s">
        <v>141</v>
      </c>
      <c r="D2430" s="24" t="s">
        <v>127</v>
      </c>
      <c r="E2430" s="24" t="n">
        <v>187</v>
      </c>
      <c r="F2430" s="25" t="n">
        <v>12250</v>
      </c>
      <c r="G2430" s="24" t="s">
        <v>59</v>
      </c>
      <c r="H2430" s="24" t="s">
        <v>55</v>
      </c>
      <c r="I2430" s="24" t="s">
        <v>61</v>
      </c>
      <c r="J2430" s="26" t="n">
        <f aca="false">IF(A2430="","",YEAR(A2430))</f>
        <v>2026</v>
      </c>
      <c r="K2430" s="26" t="n">
        <f aca="false">IF(A2430="","",MONTH(A2430))</f>
        <v>10</v>
      </c>
      <c r="L2430" s="26" t="n">
        <f aca="false">IF(B2430="","",VALUE(LEFT(B2430,2)))</f>
        <v>6</v>
      </c>
      <c r="M2430" s="26" t="n">
        <f aca="false">IF(A2430="","",IF(COUNTIFS($C$2:$C$5001,C2430,$J$2:$J$5001,J2430,$A$2:$A$5001,"&lt;"&amp;A2430)=0,1,0))</f>
        <v>0</v>
      </c>
    </row>
    <row r="2431" customFormat="false" ht="15" hidden="false" customHeight="false" outlineLevel="0" collapsed="false">
      <c r="A2431" s="23" t="n">
        <v>46310.6215277778</v>
      </c>
      <c r="B2431" s="24" t="s">
        <v>1055</v>
      </c>
      <c r="C2431" s="24" t="s">
        <v>177</v>
      </c>
      <c r="D2431" s="24" t="s">
        <v>66</v>
      </c>
      <c r="E2431" s="24" t="n">
        <v>337</v>
      </c>
      <c r="F2431" s="25" t="n">
        <v>12000</v>
      </c>
      <c r="G2431" s="24" t="s">
        <v>69</v>
      </c>
      <c r="H2431" s="24" t="s">
        <v>60</v>
      </c>
      <c r="I2431" s="24" t="s">
        <v>61</v>
      </c>
      <c r="J2431" s="26" t="n">
        <f aca="false">IF(A2431="","",YEAR(A2431))</f>
        <v>2026</v>
      </c>
      <c r="K2431" s="26" t="n">
        <f aca="false">IF(A2431="","",MONTH(A2431))</f>
        <v>10</v>
      </c>
      <c r="L2431" s="26" t="n">
        <f aca="false">IF(B2431="","",VALUE(LEFT(B2431,2)))</f>
        <v>9</v>
      </c>
      <c r="M2431" s="26" t="n">
        <f aca="false">IF(A2431="","",IF(COUNTIFS($C$2:$C$5001,C2431,$J$2:$J$5001,J2431,$A$2:$A$5001,"&lt;"&amp;A2431)=0,1,0))</f>
        <v>0</v>
      </c>
    </row>
    <row r="2432" customFormat="false" ht="15" hidden="false" customHeight="false" outlineLevel="0" collapsed="false">
      <c r="A2432" s="23" t="n">
        <v>46311.3277777778</v>
      </c>
      <c r="B2432" s="24" t="s">
        <v>171</v>
      </c>
      <c r="C2432" s="24" t="s">
        <v>170</v>
      </c>
      <c r="D2432" s="24" t="s">
        <v>53</v>
      </c>
      <c r="E2432" s="24" t="n">
        <v>26</v>
      </c>
      <c r="F2432" s="25" t="n">
        <v>500</v>
      </c>
      <c r="G2432" s="24" t="s">
        <v>59</v>
      </c>
      <c r="H2432" s="24" t="s">
        <v>60</v>
      </c>
      <c r="I2432" s="24" t="s">
        <v>61</v>
      </c>
      <c r="J2432" s="26" t="n">
        <f aca="false">IF(A2432="","",YEAR(A2432))</f>
        <v>2026</v>
      </c>
      <c r="K2432" s="26" t="n">
        <f aca="false">IF(A2432="","",MONTH(A2432))</f>
        <v>10</v>
      </c>
      <c r="L2432" s="26" t="n">
        <f aca="false">IF(B2432="","",VALUE(LEFT(B2432,2)))</f>
        <v>7</v>
      </c>
      <c r="M2432" s="26" t="n">
        <f aca="false">IF(A2432="","",IF(COUNTIFS($C$2:$C$5001,C2432,$J$2:$J$5001,J2432,$A$2:$A$5001,"&lt;"&amp;A2432)=0,1,0))</f>
        <v>0</v>
      </c>
    </row>
    <row r="2433" customFormat="false" ht="15" hidden="false" customHeight="false" outlineLevel="0" collapsed="false">
      <c r="A2433" s="23" t="n">
        <v>46311.8027777778</v>
      </c>
      <c r="B2433" s="24" t="s">
        <v>250</v>
      </c>
      <c r="C2433" s="24" t="s">
        <v>231</v>
      </c>
      <c r="D2433" s="24" t="s">
        <v>72</v>
      </c>
      <c r="E2433" s="24" t="n">
        <v>274</v>
      </c>
      <c r="F2433" s="25" t="n">
        <v>17000</v>
      </c>
      <c r="G2433" s="24" t="s">
        <v>69</v>
      </c>
      <c r="H2433" s="24" t="s">
        <v>60</v>
      </c>
      <c r="I2433" s="24" t="s">
        <v>113</v>
      </c>
      <c r="J2433" s="26" t="n">
        <f aca="false">IF(A2433="","",YEAR(A2433))</f>
        <v>2026</v>
      </c>
      <c r="K2433" s="26" t="n">
        <f aca="false">IF(A2433="","",MONTH(A2433))</f>
        <v>10</v>
      </c>
      <c r="L2433" s="26" t="n">
        <f aca="false">IF(B2433="","",VALUE(LEFT(B2433,2)))</f>
        <v>14</v>
      </c>
      <c r="M2433" s="26" t="n">
        <f aca="false">IF(A2433="","",IF(COUNTIFS($C$2:$C$5001,C2433,$J$2:$J$5001,J2433,$A$2:$A$5001,"&lt;"&amp;A2433)=0,1,0))</f>
        <v>0</v>
      </c>
    </row>
    <row r="2434" customFormat="false" ht="15" hidden="false" customHeight="false" outlineLevel="0" collapsed="false">
      <c r="A2434" s="23" t="n">
        <v>46311.8958333333</v>
      </c>
      <c r="B2434" s="24" t="s">
        <v>599</v>
      </c>
      <c r="C2434" s="24" t="s">
        <v>865</v>
      </c>
      <c r="D2434" s="24" t="s">
        <v>66</v>
      </c>
      <c r="E2434" s="24" t="n">
        <v>305</v>
      </c>
      <c r="F2434" s="25" t="n">
        <v>11000</v>
      </c>
      <c r="G2434" s="24" t="s">
        <v>59</v>
      </c>
      <c r="H2434" s="24" t="s">
        <v>60</v>
      </c>
      <c r="I2434" s="24" t="s">
        <v>61</v>
      </c>
      <c r="J2434" s="26" t="n">
        <f aca="false">IF(A2434="","",YEAR(A2434))</f>
        <v>2026</v>
      </c>
      <c r="K2434" s="26" t="n">
        <f aca="false">IF(A2434="","",MONTH(A2434))</f>
        <v>10</v>
      </c>
      <c r="L2434" s="26" t="n">
        <f aca="false">IF(B2434="","",VALUE(LEFT(B2434,2)))</f>
        <v>16</v>
      </c>
      <c r="M2434" s="26" t="n">
        <f aca="false">IF(A2434="","",IF(COUNTIFS($C$2:$C$5001,C2434,$J$2:$J$5001,J2434,$A$2:$A$5001,"&lt;"&amp;A2434)=0,1,0))</f>
        <v>0</v>
      </c>
    </row>
    <row r="2435" customFormat="false" ht="15" hidden="false" customHeight="false" outlineLevel="0" collapsed="false">
      <c r="A2435" s="23" t="n">
        <v>46311.9326388889</v>
      </c>
      <c r="B2435" s="24" t="s">
        <v>826</v>
      </c>
      <c r="C2435" s="24" t="s">
        <v>58</v>
      </c>
      <c r="D2435" s="24" t="s">
        <v>66</v>
      </c>
      <c r="E2435" s="24" t="n">
        <v>200</v>
      </c>
      <c r="F2435" s="25" t="n">
        <v>5950</v>
      </c>
      <c r="G2435" s="24" t="s">
        <v>54</v>
      </c>
      <c r="H2435" s="24" t="s">
        <v>60</v>
      </c>
      <c r="I2435" s="24" t="s">
        <v>113</v>
      </c>
      <c r="J2435" s="26" t="n">
        <f aca="false">IF(A2435="","",YEAR(A2435))</f>
        <v>2026</v>
      </c>
      <c r="K2435" s="26" t="n">
        <f aca="false">IF(A2435="","",MONTH(A2435))</f>
        <v>10</v>
      </c>
      <c r="L2435" s="26" t="n">
        <f aca="false">IF(B2435="","",VALUE(LEFT(B2435,2)))</f>
        <v>19</v>
      </c>
      <c r="M2435" s="26" t="n">
        <f aca="false">IF(A2435="","",IF(COUNTIFS($C$2:$C$5001,C2435,$J$2:$J$5001,J2435,$A$2:$A$5001,"&lt;"&amp;A2435)=0,1,0))</f>
        <v>0</v>
      </c>
    </row>
    <row r="2436" customFormat="false" ht="15" hidden="false" customHeight="false" outlineLevel="0" collapsed="false">
      <c r="A2436" s="23" t="n">
        <v>46312.4875</v>
      </c>
      <c r="B2436" s="24" t="s">
        <v>494</v>
      </c>
      <c r="C2436" s="24" t="s">
        <v>201</v>
      </c>
      <c r="D2436" s="24" t="s">
        <v>66</v>
      </c>
      <c r="E2436" s="24" t="n">
        <v>333</v>
      </c>
      <c r="F2436" s="25" t="n">
        <v>12000</v>
      </c>
      <c r="G2436" s="24" t="s">
        <v>59</v>
      </c>
      <c r="H2436" s="24" t="s">
        <v>80</v>
      </c>
      <c r="I2436" s="24" t="s">
        <v>61</v>
      </c>
      <c r="J2436" s="26" t="n">
        <f aca="false">IF(A2436="","",YEAR(A2436))</f>
        <v>2026</v>
      </c>
      <c r="K2436" s="26" t="n">
        <f aca="false">IF(A2436="","",MONTH(A2436))</f>
        <v>10</v>
      </c>
      <c r="L2436" s="26" t="n">
        <f aca="false">IF(B2436="","",VALUE(LEFT(B2436,2)))</f>
        <v>6</v>
      </c>
      <c r="M2436" s="26" t="n">
        <f aca="false">IF(A2436="","",IF(COUNTIFS($C$2:$C$5001,C2436,$J$2:$J$5001,J2436,$A$2:$A$5001,"&lt;"&amp;A2436)=0,1,0))</f>
        <v>0</v>
      </c>
    </row>
    <row r="2437" customFormat="false" ht="15" hidden="false" customHeight="false" outlineLevel="0" collapsed="false">
      <c r="A2437" s="23" t="n">
        <v>46313.0381944445</v>
      </c>
      <c r="B2437" s="24" t="s">
        <v>818</v>
      </c>
      <c r="C2437" s="24" t="s">
        <v>396</v>
      </c>
      <c r="D2437" s="24" t="s">
        <v>66</v>
      </c>
      <c r="E2437" s="24" t="n">
        <v>413</v>
      </c>
      <c r="F2437" s="25" t="n">
        <v>14000</v>
      </c>
      <c r="G2437" s="24" t="s">
        <v>59</v>
      </c>
      <c r="H2437" s="24" t="s">
        <v>80</v>
      </c>
      <c r="I2437" s="24" t="s">
        <v>61</v>
      </c>
      <c r="J2437" s="26" t="n">
        <f aca="false">IF(A2437="","",YEAR(A2437))</f>
        <v>2026</v>
      </c>
      <c r="K2437" s="26" t="n">
        <f aca="false">IF(A2437="","",MONTH(A2437))</f>
        <v>10</v>
      </c>
      <c r="L2437" s="26" t="n">
        <f aca="false">IF(B2437="","",VALUE(LEFT(B2437,2)))</f>
        <v>18</v>
      </c>
      <c r="M2437" s="26" t="n">
        <f aca="false">IF(A2437="","",IF(COUNTIFS($C$2:$C$5001,C2437,$J$2:$J$5001,J2437,$A$2:$A$5001,"&lt;"&amp;A2437)=0,1,0))</f>
        <v>0</v>
      </c>
    </row>
    <row r="2438" customFormat="false" ht="15" hidden="false" customHeight="false" outlineLevel="0" collapsed="false">
      <c r="A2438" s="23" t="n">
        <v>46313.5416666667</v>
      </c>
      <c r="B2438" s="24" t="s">
        <v>238</v>
      </c>
      <c r="C2438" s="24" t="s">
        <v>74</v>
      </c>
      <c r="D2438" s="24" t="s">
        <v>53</v>
      </c>
      <c r="E2438" s="24" t="n">
        <v>417</v>
      </c>
      <c r="F2438" s="25" t="n">
        <v>7000</v>
      </c>
      <c r="G2438" s="24" t="s">
        <v>69</v>
      </c>
      <c r="H2438" s="24" t="s">
        <v>55</v>
      </c>
      <c r="I2438" s="24" t="s">
        <v>61</v>
      </c>
      <c r="J2438" s="26" t="n">
        <f aca="false">IF(A2438="","",YEAR(A2438))</f>
        <v>2026</v>
      </c>
      <c r="K2438" s="26" t="n">
        <f aca="false">IF(A2438="","",MONTH(A2438))</f>
        <v>10</v>
      </c>
      <c r="L2438" s="26" t="n">
        <f aca="false">IF(B2438="","",VALUE(LEFT(B2438,2)))</f>
        <v>6</v>
      </c>
      <c r="M2438" s="26" t="n">
        <f aca="false">IF(A2438="","",IF(COUNTIFS($C$2:$C$5001,C2438,$J$2:$J$5001,J2438,$A$2:$A$5001,"&lt;"&amp;A2438)=0,1,0))</f>
        <v>0</v>
      </c>
    </row>
    <row r="2439" customFormat="false" ht="15" hidden="false" customHeight="false" outlineLevel="0" collapsed="false">
      <c r="A2439" s="23" t="n">
        <v>46313.6680555556</v>
      </c>
      <c r="B2439" s="24" t="s">
        <v>103</v>
      </c>
      <c r="C2439" s="24" t="s">
        <v>87</v>
      </c>
      <c r="D2439" s="24" t="s">
        <v>53</v>
      </c>
      <c r="E2439" s="24" t="n">
        <v>297</v>
      </c>
      <c r="F2439" s="25" t="n">
        <v>5000</v>
      </c>
      <c r="G2439" s="24" t="s">
        <v>59</v>
      </c>
      <c r="H2439" s="24" t="s">
        <v>80</v>
      </c>
      <c r="I2439" s="24" t="s">
        <v>61</v>
      </c>
      <c r="J2439" s="26" t="n">
        <f aca="false">IF(A2439="","",YEAR(A2439))</f>
        <v>2026</v>
      </c>
      <c r="K2439" s="26" t="n">
        <f aca="false">IF(A2439="","",MONTH(A2439))</f>
        <v>10</v>
      </c>
      <c r="L2439" s="26" t="n">
        <f aca="false">IF(B2439="","",VALUE(LEFT(B2439,2)))</f>
        <v>11</v>
      </c>
      <c r="M2439" s="26" t="n">
        <f aca="false">IF(A2439="","",IF(COUNTIFS($C$2:$C$5001,C2439,$J$2:$J$5001,J2439,$A$2:$A$5001,"&lt;"&amp;A2439)=0,1,0))</f>
        <v>0</v>
      </c>
    </row>
    <row r="2440" customFormat="false" ht="15" hidden="false" customHeight="false" outlineLevel="0" collapsed="false">
      <c r="A2440" s="23" t="n">
        <v>46313.7298611111</v>
      </c>
      <c r="B2440" s="24" t="s">
        <v>805</v>
      </c>
      <c r="C2440" s="24" t="s">
        <v>199</v>
      </c>
      <c r="D2440" s="24" t="s">
        <v>127</v>
      </c>
      <c r="E2440" s="24" t="n">
        <v>276</v>
      </c>
      <c r="F2440" s="25" t="n">
        <v>0</v>
      </c>
      <c r="G2440" s="24" t="s">
        <v>69</v>
      </c>
      <c r="H2440" s="24" t="s">
        <v>80</v>
      </c>
      <c r="I2440" s="24" t="s">
        <v>56</v>
      </c>
      <c r="J2440" s="26" t="n">
        <f aca="false">IF(A2440="","",YEAR(A2440))</f>
        <v>2026</v>
      </c>
      <c r="K2440" s="26" t="n">
        <f aca="false">IF(A2440="","",MONTH(A2440))</f>
        <v>10</v>
      </c>
      <c r="L2440" s="26" t="n">
        <f aca="false">IF(B2440="","",VALUE(LEFT(B2440,2)))</f>
        <v>12</v>
      </c>
      <c r="M2440" s="26" t="n">
        <f aca="false">IF(A2440="","",IF(COUNTIFS($C$2:$C$5001,C2440,$J$2:$J$5001,J2440,$A$2:$A$5001,"&lt;"&amp;A2440)=0,1,0))</f>
        <v>0</v>
      </c>
    </row>
    <row r="2441" customFormat="false" ht="15" hidden="false" customHeight="false" outlineLevel="0" collapsed="false">
      <c r="A2441" s="23" t="n">
        <v>46313.8236111111</v>
      </c>
      <c r="B2441" s="24" t="s">
        <v>595</v>
      </c>
      <c r="C2441" s="24" t="s">
        <v>63</v>
      </c>
      <c r="D2441" s="24" t="s">
        <v>53</v>
      </c>
      <c r="E2441" s="24" t="n">
        <v>203</v>
      </c>
      <c r="F2441" s="25" t="n">
        <v>2975</v>
      </c>
      <c r="G2441" s="24" t="s">
        <v>59</v>
      </c>
      <c r="H2441" s="24" t="s">
        <v>60</v>
      </c>
      <c r="I2441" s="24" t="s">
        <v>113</v>
      </c>
      <c r="J2441" s="26" t="n">
        <f aca="false">IF(A2441="","",YEAR(A2441))</f>
        <v>2026</v>
      </c>
      <c r="K2441" s="26" t="n">
        <f aca="false">IF(A2441="","",MONTH(A2441))</f>
        <v>10</v>
      </c>
      <c r="L2441" s="26" t="n">
        <f aca="false">IF(B2441="","",VALUE(LEFT(B2441,2)))</f>
        <v>16</v>
      </c>
      <c r="M2441" s="26" t="n">
        <f aca="false">IF(A2441="","",IF(COUNTIFS($C$2:$C$5001,C2441,$J$2:$J$5001,J2441,$A$2:$A$5001,"&lt;"&amp;A2441)=0,1,0))</f>
        <v>0</v>
      </c>
    </row>
    <row r="2442" customFormat="false" ht="15" hidden="false" customHeight="false" outlineLevel="0" collapsed="false">
      <c r="A2442" s="23" t="n">
        <v>46315.4951388889</v>
      </c>
      <c r="B2442" s="24" t="s">
        <v>429</v>
      </c>
      <c r="C2442" s="24" t="s">
        <v>100</v>
      </c>
      <c r="D2442" s="24" t="s">
        <v>53</v>
      </c>
      <c r="E2442" s="24" t="n">
        <v>309</v>
      </c>
      <c r="F2442" s="25" t="n">
        <v>5500</v>
      </c>
      <c r="G2442" s="24" t="s">
        <v>59</v>
      </c>
      <c r="H2442" s="24" t="s">
        <v>80</v>
      </c>
      <c r="I2442" s="24" t="s">
        <v>61</v>
      </c>
      <c r="J2442" s="26" t="n">
        <f aca="false">IF(A2442="","",YEAR(A2442))</f>
        <v>2026</v>
      </c>
      <c r="K2442" s="26" t="n">
        <f aca="false">IF(A2442="","",MONTH(A2442))</f>
        <v>10</v>
      </c>
      <c r="L2442" s="26" t="n">
        <f aca="false">IF(B2442="","",VALUE(LEFT(B2442,2)))</f>
        <v>6</v>
      </c>
      <c r="M2442" s="26" t="n">
        <f aca="false">IF(A2442="","",IF(COUNTIFS($C$2:$C$5001,C2442,$J$2:$J$5001,J2442,$A$2:$A$5001,"&lt;"&amp;A2442)=0,1,0))</f>
        <v>0</v>
      </c>
    </row>
    <row r="2443" customFormat="false" ht="15" hidden="false" customHeight="false" outlineLevel="0" collapsed="false">
      <c r="A2443" s="23" t="n">
        <v>46315.5472222222</v>
      </c>
      <c r="B2443" s="24" t="s">
        <v>761</v>
      </c>
      <c r="C2443" s="24" t="s">
        <v>593</v>
      </c>
      <c r="D2443" s="24" t="s">
        <v>66</v>
      </c>
      <c r="E2443" s="24" t="n">
        <v>398</v>
      </c>
      <c r="F2443" s="25" t="n">
        <v>14000</v>
      </c>
      <c r="G2443" s="24" t="s">
        <v>59</v>
      </c>
      <c r="H2443" s="24" t="s">
        <v>80</v>
      </c>
      <c r="I2443" s="24" t="s">
        <v>61</v>
      </c>
      <c r="J2443" s="26" t="n">
        <f aca="false">IF(A2443="","",YEAR(A2443))</f>
        <v>2026</v>
      </c>
      <c r="K2443" s="26" t="n">
        <f aca="false">IF(A2443="","",MONTH(A2443))</f>
        <v>10</v>
      </c>
      <c r="L2443" s="26" t="n">
        <f aca="false">IF(B2443="","",VALUE(LEFT(B2443,2)))</f>
        <v>6</v>
      </c>
      <c r="M2443" s="26" t="n">
        <f aca="false">IF(A2443="","",IF(COUNTIFS($C$2:$C$5001,C2443,$J$2:$J$5001,J2443,$A$2:$A$5001,"&lt;"&amp;A2443)=0,1,0))</f>
        <v>0</v>
      </c>
    </row>
    <row r="2444" customFormat="false" ht="15" hidden="false" customHeight="false" outlineLevel="0" collapsed="false">
      <c r="A2444" s="23" t="n">
        <v>46315.5854166667</v>
      </c>
      <c r="B2444" s="24" t="s">
        <v>540</v>
      </c>
      <c r="C2444" s="24" t="s">
        <v>286</v>
      </c>
      <c r="D2444" s="24" t="s">
        <v>66</v>
      </c>
      <c r="E2444" s="24" t="n">
        <v>187</v>
      </c>
      <c r="F2444" s="25" t="n">
        <v>7000</v>
      </c>
      <c r="G2444" s="24" t="s">
        <v>79</v>
      </c>
      <c r="H2444" s="24" t="s">
        <v>60</v>
      </c>
      <c r="I2444" s="24" t="s">
        <v>61</v>
      </c>
      <c r="J2444" s="26" t="n">
        <f aca="false">IF(A2444="","",YEAR(A2444))</f>
        <v>2026</v>
      </c>
      <c r="K2444" s="26" t="n">
        <f aca="false">IF(A2444="","",MONTH(A2444))</f>
        <v>10</v>
      </c>
      <c r="L2444" s="26" t="n">
        <f aca="false">IF(B2444="","",VALUE(LEFT(B2444,2)))</f>
        <v>10</v>
      </c>
      <c r="M2444" s="26" t="n">
        <f aca="false">IF(A2444="","",IF(COUNTIFS($C$2:$C$5001,C2444,$J$2:$J$5001,J2444,$A$2:$A$5001,"&lt;"&amp;A2444)=0,1,0))</f>
        <v>0</v>
      </c>
    </row>
    <row r="2445" customFormat="false" ht="15" hidden="false" customHeight="false" outlineLevel="0" collapsed="false">
      <c r="A2445" s="23" t="n">
        <v>46315.6590277778</v>
      </c>
      <c r="B2445" s="24" t="s">
        <v>754</v>
      </c>
      <c r="C2445" s="24" t="s">
        <v>222</v>
      </c>
      <c r="D2445" s="24" t="s">
        <v>53</v>
      </c>
      <c r="E2445" s="24" t="n">
        <v>411</v>
      </c>
      <c r="F2445" s="25" t="n">
        <v>0</v>
      </c>
      <c r="G2445" s="24" t="s">
        <v>59</v>
      </c>
      <c r="H2445" s="24" t="s">
        <v>60</v>
      </c>
      <c r="I2445" s="24" t="s">
        <v>56</v>
      </c>
      <c r="J2445" s="26" t="n">
        <f aca="false">IF(A2445="","",YEAR(A2445))</f>
        <v>2026</v>
      </c>
      <c r="K2445" s="26" t="n">
        <f aca="false">IF(A2445="","",MONTH(A2445))</f>
        <v>10</v>
      </c>
      <c r="L2445" s="26" t="n">
        <f aca="false">IF(B2445="","",VALUE(LEFT(B2445,2)))</f>
        <v>8</v>
      </c>
      <c r="M2445" s="26" t="n">
        <f aca="false">IF(A2445="","",IF(COUNTIFS($C$2:$C$5001,C2445,$J$2:$J$5001,J2445,$A$2:$A$5001,"&lt;"&amp;A2445)=0,1,0))</f>
        <v>0</v>
      </c>
    </row>
    <row r="2446" customFormat="false" ht="15" hidden="false" customHeight="false" outlineLevel="0" collapsed="false">
      <c r="A2446" s="23" t="n">
        <v>46315.7618055556</v>
      </c>
      <c r="B2446" s="24" t="s">
        <v>643</v>
      </c>
      <c r="C2446" s="24" t="s">
        <v>186</v>
      </c>
      <c r="D2446" s="24" t="s">
        <v>53</v>
      </c>
      <c r="E2446" s="24" t="n">
        <v>97</v>
      </c>
      <c r="F2446" s="25" t="n">
        <v>2000</v>
      </c>
      <c r="G2446" s="24" t="s">
        <v>54</v>
      </c>
      <c r="H2446" s="24" t="s">
        <v>60</v>
      </c>
      <c r="I2446" s="24" t="s">
        <v>61</v>
      </c>
      <c r="J2446" s="26" t="n">
        <f aca="false">IF(A2446="","",YEAR(A2446))</f>
        <v>2026</v>
      </c>
      <c r="K2446" s="26" t="n">
        <f aca="false">IF(A2446="","",MONTH(A2446))</f>
        <v>10</v>
      </c>
      <c r="L2446" s="26" t="n">
        <f aca="false">IF(B2446="","",VALUE(LEFT(B2446,2)))</f>
        <v>16</v>
      </c>
      <c r="M2446" s="26" t="n">
        <f aca="false">IF(A2446="","",IF(COUNTIFS($C$2:$C$5001,C2446,$J$2:$J$5001,J2446,$A$2:$A$5001,"&lt;"&amp;A2446)=0,1,0))</f>
        <v>0</v>
      </c>
    </row>
    <row r="2447" customFormat="false" ht="15" hidden="false" customHeight="false" outlineLevel="0" collapsed="false">
      <c r="A2447" s="23" t="n">
        <v>46316.3270833333</v>
      </c>
      <c r="B2447" s="24" t="s">
        <v>485</v>
      </c>
      <c r="C2447" s="24" t="s">
        <v>166</v>
      </c>
      <c r="D2447" s="24" t="s">
        <v>72</v>
      </c>
      <c r="E2447" s="24" t="n">
        <v>37</v>
      </c>
      <c r="F2447" s="25" t="n">
        <v>4000</v>
      </c>
      <c r="G2447" s="24" t="s">
        <v>83</v>
      </c>
      <c r="H2447" s="24" t="s">
        <v>60</v>
      </c>
      <c r="I2447" s="24" t="s">
        <v>61</v>
      </c>
      <c r="J2447" s="26" t="n">
        <f aca="false">IF(A2447="","",YEAR(A2447))</f>
        <v>2026</v>
      </c>
      <c r="K2447" s="26" t="n">
        <f aca="false">IF(A2447="","",MONTH(A2447))</f>
        <v>10</v>
      </c>
      <c r="L2447" s="26" t="n">
        <f aca="false">IF(B2447="","",VALUE(LEFT(B2447,2)))</f>
        <v>7</v>
      </c>
      <c r="M2447" s="26" t="n">
        <f aca="false">IF(A2447="","",IF(COUNTIFS($C$2:$C$5001,C2447,$J$2:$J$5001,J2447,$A$2:$A$5001,"&lt;"&amp;A2447)=0,1,0))</f>
        <v>0</v>
      </c>
    </row>
    <row r="2448" customFormat="false" ht="15" hidden="false" customHeight="false" outlineLevel="0" collapsed="false">
      <c r="A2448" s="23" t="n">
        <v>46316.5145833333</v>
      </c>
      <c r="B2448" s="24" t="s">
        <v>630</v>
      </c>
      <c r="C2448" s="24" t="s">
        <v>143</v>
      </c>
      <c r="D2448" s="24" t="s">
        <v>53</v>
      </c>
      <c r="E2448" s="24" t="n">
        <v>197</v>
      </c>
      <c r="F2448" s="25" t="n">
        <v>3500</v>
      </c>
      <c r="G2448" s="24" t="s">
        <v>69</v>
      </c>
      <c r="H2448" s="24" t="s">
        <v>60</v>
      </c>
      <c r="I2448" s="24" t="s">
        <v>61</v>
      </c>
      <c r="J2448" s="26" t="n">
        <f aca="false">IF(A2448="","",YEAR(A2448))</f>
        <v>2026</v>
      </c>
      <c r="K2448" s="26" t="n">
        <f aca="false">IF(A2448="","",MONTH(A2448))</f>
        <v>10</v>
      </c>
      <c r="L2448" s="26" t="n">
        <f aca="false">IF(B2448="","",VALUE(LEFT(B2448,2)))</f>
        <v>9</v>
      </c>
      <c r="M2448" s="26" t="n">
        <f aca="false">IF(A2448="","",IF(COUNTIFS($C$2:$C$5001,C2448,$J$2:$J$5001,J2448,$A$2:$A$5001,"&lt;"&amp;A2448)=0,1,0))</f>
        <v>0</v>
      </c>
    </row>
    <row r="2449" customFormat="false" ht="15" hidden="false" customHeight="false" outlineLevel="0" collapsed="false">
      <c r="A2449" s="23" t="n">
        <v>46316.5777777778</v>
      </c>
      <c r="B2449" s="24" t="s">
        <v>926</v>
      </c>
      <c r="C2449" s="24" t="s">
        <v>343</v>
      </c>
      <c r="D2449" s="24" t="s">
        <v>66</v>
      </c>
      <c r="E2449" s="24" t="n">
        <v>90</v>
      </c>
      <c r="F2449" s="25" t="n">
        <v>3000</v>
      </c>
      <c r="G2449" s="24" t="s">
        <v>69</v>
      </c>
      <c r="H2449" s="24" t="s">
        <v>80</v>
      </c>
      <c r="I2449" s="24" t="s">
        <v>61</v>
      </c>
      <c r="J2449" s="26" t="n">
        <f aca="false">IF(A2449="","",YEAR(A2449))</f>
        <v>2026</v>
      </c>
      <c r="K2449" s="26" t="n">
        <f aca="false">IF(A2449="","",MONTH(A2449))</f>
        <v>10</v>
      </c>
      <c r="L2449" s="26" t="n">
        <f aca="false">IF(B2449="","",VALUE(LEFT(B2449,2)))</f>
        <v>12</v>
      </c>
      <c r="M2449" s="26" t="n">
        <f aca="false">IF(A2449="","",IF(COUNTIFS($C$2:$C$5001,C2449,$J$2:$J$5001,J2449,$A$2:$A$5001,"&lt;"&amp;A2449)=0,1,0))</f>
        <v>0</v>
      </c>
    </row>
    <row r="2450" customFormat="false" ht="15" hidden="false" customHeight="false" outlineLevel="0" collapsed="false">
      <c r="A2450" s="23" t="n">
        <v>46317.7090277778</v>
      </c>
      <c r="B2450" s="24" t="s">
        <v>1056</v>
      </c>
      <c r="C2450" s="24" t="s">
        <v>76</v>
      </c>
      <c r="D2450" s="24" t="s">
        <v>66</v>
      </c>
      <c r="E2450" s="24" t="n">
        <v>415</v>
      </c>
      <c r="F2450" s="25" t="n">
        <v>14000</v>
      </c>
      <c r="G2450" s="24" t="s">
        <v>69</v>
      </c>
      <c r="H2450" s="24" t="s">
        <v>60</v>
      </c>
      <c r="I2450" s="24" t="s">
        <v>61</v>
      </c>
      <c r="J2450" s="26" t="n">
        <f aca="false">IF(A2450="","",YEAR(A2450))</f>
        <v>2026</v>
      </c>
      <c r="K2450" s="26" t="n">
        <f aca="false">IF(A2450="","",MONTH(A2450))</f>
        <v>10</v>
      </c>
      <c r="L2450" s="26" t="n">
        <f aca="false">IF(B2450="","",VALUE(LEFT(B2450,2)))</f>
        <v>10</v>
      </c>
      <c r="M2450" s="26" t="n">
        <f aca="false">IF(A2450="","",IF(COUNTIFS($C$2:$C$5001,C2450,$J$2:$J$5001,J2450,$A$2:$A$5001,"&lt;"&amp;A2450)=0,1,0))</f>
        <v>0</v>
      </c>
    </row>
    <row r="2451" customFormat="false" ht="15" hidden="false" customHeight="false" outlineLevel="0" collapsed="false">
      <c r="A2451" s="23" t="n">
        <v>46318.7701388889</v>
      </c>
      <c r="B2451" s="24" t="s">
        <v>441</v>
      </c>
      <c r="C2451" s="24" t="s">
        <v>463</v>
      </c>
      <c r="D2451" s="24" t="s">
        <v>66</v>
      </c>
      <c r="E2451" s="24" t="n">
        <v>356</v>
      </c>
      <c r="F2451" s="25" t="n">
        <v>12000</v>
      </c>
      <c r="G2451" s="24" t="s">
        <v>59</v>
      </c>
      <c r="H2451" s="24" t="s">
        <v>55</v>
      </c>
      <c r="I2451" s="24" t="s">
        <v>61</v>
      </c>
      <c r="J2451" s="26" t="n">
        <f aca="false">IF(A2451="","",YEAR(A2451))</f>
        <v>2026</v>
      </c>
      <c r="K2451" s="26" t="n">
        <f aca="false">IF(A2451="","",MONTH(A2451))</f>
        <v>10</v>
      </c>
      <c r="L2451" s="26" t="n">
        <f aca="false">IF(B2451="","",VALUE(LEFT(B2451,2)))</f>
        <v>12</v>
      </c>
      <c r="M2451" s="26" t="n">
        <f aca="false">IF(A2451="","",IF(COUNTIFS($C$2:$C$5001,C2451,$J$2:$J$5001,J2451,$A$2:$A$5001,"&lt;"&amp;A2451)=0,1,0))</f>
        <v>0</v>
      </c>
    </row>
    <row r="2452" customFormat="false" ht="15" hidden="false" customHeight="false" outlineLevel="0" collapsed="false">
      <c r="A2452" s="23" t="n">
        <v>46319.0604166667</v>
      </c>
      <c r="B2452" s="24" t="s">
        <v>796</v>
      </c>
      <c r="C2452" s="24" t="s">
        <v>224</v>
      </c>
      <c r="D2452" s="24" t="s">
        <v>66</v>
      </c>
      <c r="E2452" s="24" t="n">
        <v>390</v>
      </c>
      <c r="F2452" s="25" t="n">
        <v>13000</v>
      </c>
      <c r="G2452" s="24" t="s">
        <v>69</v>
      </c>
      <c r="H2452" s="24" t="s">
        <v>80</v>
      </c>
      <c r="I2452" s="24" t="s">
        <v>61</v>
      </c>
      <c r="J2452" s="26" t="n">
        <f aca="false">IF(A2452="","",YEAR(A2452))</f>
        <v>2026</v>
      </c>
      <c r="K2452" s="26" t="n">
        <f aca="false">IF(A2452="","",MONTH(A2452))</f>
        <v>10</v>
      </c>
      <c r="L2452" s="26" t="n">
        <f aca="false">IF(B2452="","",VALUE(LEFT(B2452,2)))</f>
        <v>18</v>
      </c>
      <c r="M2452" s="26" t="n">
        <f aca="false">IF(A2452="","",IF(COUNTIFS($C$2:$C$5001,C2452,$J$2:$J$5001,J2452,$A$2:$A$5001,"&lt;"&amp;A2452)=0,1,0))</f>
        <v>0</v>
      </c>
    </row>
    <row r="2453" customFormat="false" ht="15" hidden="false" customHeight="false" outlineLevel="0" collapsed="false">
      <c r="A2453" s="23" t="n">
        <v>46319.4673611111</v>
      </c>
      <c r="B2453" s="24" t="s">
        <v>262</v>
      </c>
      <c r="C2453" s="24" t="s">
        <v>90</v>
      </c>
      <c r="D2453" s="24" t="s">
        <v>88</v>
      </c>
      <c r="E2453" s="24" t="n">
        <v>168</v>
      </c>
      <c r="F2453" s="25" t="n">
        <v>9000</v>
      </c>
      <c r="G2453" s="24" t="s">
        <v>59</v>
      </c>
      <c r="H2453" s="24" t="s">
        <v>60</v>
      </c>
      <c r="I2453" s="24" t="s">
        <v>61</v>
      </c>
      <c r="J2453" s="26" t="n">
        <f aca="false">IF(A2453="","",YEAR(A2453))</f>
        <v>2026</v>
      </c>
      <c r="K2453" s="26" t="n">
        <f aca="false">IF(A2453="","",MONTH(A2453))</f>
        <v>10</v>
      </c>
      <c r="L2453" s="26" t="n">
        <f aca="false">IF(B2453="","",VALUE(LEFT(B2453,2)))</f>
        <v>8</v>
      </c>
      <c r="M2453" s="26" t="n">
        <f aca="false">IF(A2453="","",IF(COUNTIFS($C$2:$C$5001,C2453,$J$2:$J$5001,J2453,$A$2:$A$5001,"&lt;"&amp;A2453)=0,1,0))</f>
        <v>0</v>
      </c>
    </row>
    <row r="2454" customFormat="false" ht="15" hidden="false" customHeight="false" outlineLevel="0" collapsed="false">
      <c r="A2454" s="23" t="n">
        <v>46319.5631944445</v>
      </c>
      <c r="B2454" s="24" t="s">
        <v>101</v>
      </c>
      <c r="C2454" s="24" t="s">
        <v>199</v>
      </c>
      <c r="D2454" s="24" t="s">
        <v>66</v>
      </c>
      <c r="E2454" s="24" t="n">
        <v>329</v>
      </c>
      <c r="F2454" s="25" t="n">
        <v>9350</v>
      </c>
      <c r="G2454" s="24" t="s">
        <v>59</v>
      </c>
      <c r="H2454" s="24" t="s">
        <v>60</v>
      </c>
      <c r="I2454" s="24" t="s">
        <v>113</v>
      </c>
      <c r="J2454" s="26" t="n">
        <f aca="false">IF(A2454="","",YEAR(A2454))</f>
        <v>2026</v>
      </c>
      <c r="K2454" s="26" t="n">
        <f aca="false">IF(A2454="","",MONTH(A2454))</f>
        <v>10</v>
      </c>
      <c r="L2454" s="26" t="n">
        <f aca="false">IF(B2454="","",VALUE(LEFT(B2454,2)))</f>
        <v>8</v>
      </c>
      <c r="M2454" s="26" t="n">
        <f aca="false">IF(A2454="","",IF(COUNTIFS($C$2:$C$5001,C2454,$J$2:$J$5001,J2454,$A$2:$A$5001,"&lt;"&amp;A2454)=0,1,0))</f>
        <v>0</v>
      </c>
    </row>
    <row r="2455" customFormat="false" ht="15" hidden="false" customHeight="false" outlineLevel="0" collapsed="false">
      <c r="A2455" s="23" t="n">
        <v>46319.63125</v>
      </c>
      <c r="B2455" s="24" t="s">
        <v>832</v>
      </c>
      <c r="C2455" s="24" t="s">
        <v>182</v>
      </c>
      <c r="D2455" s="24" t="s">
        <v>127</v>
      </c>
      <c r="E2455" s="24" t="n">
        <v>38</v>
      </c>
      <c r="F2455" s="25" t="n">
        <v>3500</v>
      </c>
      <c r="G2455" s="24" t="s">
        <v>83</v>
      </c>
      <c r="H2455" s="24" t="s">
        <v>55</v>
      </c>
      <c r="I2455" s="24" t="s">
        <v>61</v>
      </c>
      <c r="J2455" s="26" t="n">
        <f aca="false">IF(A2455="","",YEAR(A2455))</f>
        <v>2026</v>
      </c>
      <c r="K2455" s="26" t="n">
        <f aca="false">IF(A2455="","",MONTH(A2455))</f>
        <v>10</v>
      </c>
      <c r="L2455" s="26" t="n">
        <f aca="false">IF(B2455="","",VALUE(LEFT(B2455,2)))</f>
        <v>14</v>
      </c>
      <c r="M2455" s="26" t="n">
        <f aca="false">IF(A2455="","",IF(COUNTIFS($C$2:$C$5001,C2455,$J$2:$J$5001,J2455,$A$2:$A$5001,"&lt;"&amp;A2455)=0,1,0))</f>
        <v>0</v>
      </c>
    </row>
    <row r="2456" customFormat="false" ht="15" hidden="false" customHeight="false" outlineLevel="0" collapsed="false">
      <c r="A2456" s="23" t="n">
        <v>46319.7701388889</v>
      </c>
      <c r="B2456" s="24" t="s">
        <v>411</v>
      </c>
      <c r="C2456" s="24" t="s">
        <v>87</v>
      </c>
      <c r="D2456" s="24" t="s">
        <v>53</v>
      </c>
      <c r="E2456" s="24" t="n">
        <v>319</v>
      </c>
      <c r="F2456" s="25" t="n">
        <v>5500</v>
      </c>
      <c r="G2456" s="24" t="s">
        <v>79</v>
      </c>
      <c r="H2456" s="24" t="s">
        <v>80</v>
      </c>
      <c r="I2456" s="24" t="s">
        <v>61</v>
      </c>
      <c r="J2456" s="26" t="n">
        <f aca="false">IF(A2456="","",YEAR(A2456))</f>
        <v>2026</v>
      </c>
      <c r="K2456" s="26" t="n">
        <f aca="false">IF(A2456="","",MONTH(A2456))</f>
        <v>10</v>
      </c>
      <c r="L2456" s="26" t="n">
        <f aca="false">IF(B2456="","",VALUE(LEFT(B2456,2)))</f>
        <v>13</v>
      </c>
      <c r="M2456" s="26" t="n">
        <f aca="false">IF(A2456="","",IF(COUNTIFS($C$2:$C$5001,C2456,$J$2:$J$5001,J2456,$A$2:$A$5001,"&lt;"&amp;A2456)=0,1,0))</f>
        <v>0</v>
      </c>
    </row>
    <row r="2457" customFormat="false" ht="15" hidden="false" customHeight="false" outlineLevel="0" collapsed="false">
      <c r="A2457" s="23" t="n">
        <v>46320.8083333333</v>
      </c>
      <c r="B2457" s="24" t="s">
        <v>841</v>
      </c>
      <c r="C2457" s="24" t="s">
        <v>286</v>
      </c>
      <c r="D2457" s="24" t="s">
        <v>66</v>
      </c>
      <c r="E2457" s="24" t="n">
        <v>34</v>
      </c>
      <c r="F2457" s="25" t="n">
        <v>2000</v>
      </c>
      <c r="G2457" s="24" t="s">
        <v>59</v>
      </c>
      <c r="H2457" s="24" t="s">
        <v>60</v>
      </c>
      <c r="I2457" s="24" t="s">
        <v>61</v>
      </c>
      <c r="J2457" s="26" t="n">
        <f aca="false">IF(A2457="","",YEAR(A2457))</f>
        <v>2026</v>
      </c>
      <c r="K2457" s="26" t="n">
        <f aca="false">IF(A2457="","",MONTH(A2457))</f>
        <v>10</v>
      </c>
      <c r="L2457" s="26" t="n">
        <f aca="false">IF(B2457="","",VALUE(LEFT(B2457,2)))</f>
        <v>18</v>
      </c>
      <c r="M2457" s="26" t="n">
        <f aca="false">IF(A2457="","",IF(COUNTIFS($C$2:$C$5001,C2457,$J$2:$J$5001,J2457,$A$2:$A$5001,"&lt;"&amp;A2457)=0,1,0))</f>
        <v>0</v>
      </c>
    </row>
    <row r="2458" customFormat="false" ht="15" hidden="false" customHeight="false" outlineLevel="0" collapsed="false">
      <c r="A2458" s="23" t="n">
        <v>46321.3361111111</v>
      </c>
      <c r="B2458" s="24" t="s">
        <v>493</v>
      </c>
      <c r="C2458" s="24" t="s">
        <v>188</v>
      </c>
      <c r="D2458" s="24" t="s">
        <v>53</v>
      </c>
      <c r="E2458" s="24" t="n">
        <v>37</v>
      </c>
      <c r="F2458" s="25" t="n">
        <v>1000</v>
      </c>
      <c r="G2458" s="24" t="s">
        <v>83</v>
      </c>
      <c r="H2458" s="24" t="s">
        <v>55</v>
      </c>
      <c r="I2458" s="24" t="s">
        <v>61</v>
      </c>
      <c r="J2458" s="26" t="n">
        <f aca="false">IF(A2458="","",YEAR(A2458))</f>
        <v>2026</v>
      </c>
      <c r="K2458" s="26" t="n">
        <f aca="false">IF(A2458="","",MONTH(A2458))</f>
        <v>10</v>
      </c>
      <c r="L2458" s="26" t="n">
        <f aca="false">IF(B2458="","",VALUE(LEFT(B2458,2)))</f>
        <v>7</v>
      </c>
      <c r="M2458" s="26" t="n">
        <f aca="false">IF(A2458="","",IF(COUNTIFS($C$2:$C$5001,C2458,$J$2:$J$5001,J2458,$A$2:$A$5001,"&lt;"&amp;A2458)=0,1,0))</f>
        <v>0</v>
      </c>
    </row>
    <row r="2459" customFormat="false" ht="15" hidden="false" customHeight="false" outlineLevel="0" collapsed="false">
      <c r="A2459" s="23" t="n">
        <v>46321.5756944444</v>
      </c>
      <c r="B2459" s="24" t="s">
        <v>584</v>
      </c>
      <c r="C2459" s="24" t="s">
        <v>145</v>
      </c>
      <c r="D2459" s="24" t="s">
        <v>53</v>
      </c>
      <c r="E2459" s="24" t="n">
        <v>148</v>
      </c>
      <c r="F2459" s="25" t="n">
        <v>2500</v>
      </c>
      <c r="G2459" s="24" t="s">
        <v>69</v>
      </c>
      <c r="H2459" s="24" t="s">
        <v>55</v>
      </c>
      <c r="I2459" s="24" t="s">
        <v>61</v>
      </c>
      <c r="J2459" s="26" t="n">
        <f aca="false">IF(A2459="","",YEAR(A2459))</f>
        <v>2026</v>
      </c>
      <c r="K2459" s="26" t="n">
        <f aca="false">IF(A2459="","",MONTH(A2459))</f>
        <v>10</v>
      </c>
      <c r="L2459" s="26" t="n">
        <f aca="false">IF(B2459="","",VALUE(LEFT(B2459,2)))</f>
        <v>11</v>
      </c>
      <c r="M2459" s="26" t="n">
        <f aca="false">IF(A2459="","",IF(COUNTIFS($C$2:$C$5001,C2459,$J$2:$J$5001,J2459,$A$2:$A$5001,"&lt;"&amp;A2459)=0,1,0))</f>
        <v>0</v>
      </c>
    </row>
    <row r="2460" customFormat="false" ht="15" hidden="false" customHeight="false" outlineLevel="0" collapsed="false">
      <c r="A2460" s="23" t="n">
        <v>46322.8243055556</v>
      </c>
      <c r="B2460" s="24" t="s">
        <v>905</v>
      </c>
      <c r="C2460" s="24" t="s">
        <v>535</v>
      </c>
      <c r="D2460" s="24" t="s">
        <v>66</v>
      </c>
      <c r="E2460" s="24" t="n">
        <v>196</v>
      </c>
      <c r="F2460" s="25" t="n">
        <v>7000</v>
      </c>
      <c r="G2460" s="24" t="s">
        <v>59</v>
      </c>
      <c r="H2460" s="24" t="s">
        <v>60</v>
      </c>
      <c r="I2460" s="24" t="s">
        <v>61</v>
      </c>
      <c r="J2460" s="26" t="n">
        <f aca="false">IF(A2460="","",YEAR(A2460))</f>
        <v>2026</v>
      </c>
      <c r="K2460" s="26" t="n">
        <f aca="false">IF(A2460="","",MONTH(A2460))</f>
        <v>10</v>
      </c>
      <c r="L2460" s="26" t="n">
        <f aca="false">IF(B2460="","",VALUE(LEFT(B2460,2)))</f>
        <v>16</v>
      </c>
      <c r="M2460" s="26" t="n">
        <f aca="false">IF(A2460="","",IF(COUNTIFS($C$2:$C$5001,C2460,$J$2:$J$5001,J2460,$A$2:$A$5001,"&lt;"&amp;A2460)=0,1,0))</f>
        <v>0</v>
      </c>
    </row>
    <row r="2461" customFormat="false" ht="15" hidden="false" customHeight="false" outlineLevel="0" collapsed="false">
      <c r="A2461" s="23" t="n">
        <v>46322.9583333333</v>
      </c>
      <c r="B2461" s="24" t="s">
        <v>892</v>
      </c>
      <c r="C2461" s="24" t="s">
        <v>290</v>
      </c>
      <c r="D2461" s="24" t="s">
        <v>66</v>
      </c>
      <c r="E2461" s="24" t="n">
        <v>162</v>
      </c>
      <c r="F2461" s="25" t="n">
        <v>5100</v>
      </c>
      <c r="G2461" s="24" t="s">
        <v>69</v>
      </c>
      <c r="H2461" s="24" t="s">
        <v>80</v>
      </c>
      <c r="I2461" s="24" t="s">
        <v>113</v>
      </c>
      <c r="J2461" s="26" t="n">
        <f aca="false">IF(A2461="","",YEAR(A2461))</f>
        <v>2026</v>
      </c>
      <c r="K2461" s="26" t="n">
        <f aca="false">IF(A2461="","",MONTH(A2461))</f>
        <v>10</v>
      </c>
      <c r="L2461" s="26" t="n">
        <f aca="false">IF(B2461="","",VALUE(LEFT(B2461,2)))</f>
        <v>20</v>
      </c>
      <c r="M2461" s="26" t="n">
        <f aca="false">IF(A2461="","",IF(COUNTIFS($C$2:$C$5001,C2461,$J$2:$J$5001,J2461,$A$2:$A$5001,"&lt;"&amp;A2461)=0,1,0))</f>
        <v>0</v>
      </c>
    </row>
    <row r="2462" customFormat="false" ht="15" hidden="false" customHeight="false" outlineLevel="0" collapsed="false">
      <c r="A2462" s="27"/>
      <c r="F2462" s="28"/>
      <c r="J2462" s="0" t="str">
        <f aca="false">IF(A2462="","",YEAR(A2462))</f>
        <v/>
      </c>
      <c r="K2462" s="0" t="str">
        <f aca="false">IF(A2462="","",MONTH(A2462))</f>
        <v/>
      </c>
      <c r="L2462" s="0" t="str">
        <f aca="false">IF(B2462="","",VALUE(LEFT(B2462,2)))</f>
        <v/>
      </c>
      <c r="M2462" s="0" t="str">
        <f aca="false">IF(A2462="","",IF(COUNTIFS($C$2:$C$5001,C2462,$J$2:$J$5001,J2462,$A$2:$A$5001,"&lt;"&amp;A2462)=0,1,0))</f>
        <v/>
      </c>
    </row>
    <row r="2463" customFormat="false" ht="15" hidden="false" customHeight="false" outlineLevel="0" collapsed="false">
      <c r="A2463" s="27"/>
      <c r="F2463" s="28"/>
      <c r="J2463" s="0" t="str">
        <f aca="false">IF(A2463="","",YEAR(A2463))</f>
        <v/>
      </c>
      <c r="K2463" s="0" t="str">
        <f aca="false">IF(A2463="","",MONTH(A2463))</f>
        <v/>
      </c>
      <c r="L2463" s="0" t="str">
        <f aca="false">IF(B2463="","",VALUE(LEFT(B2463,2)))</f>
        <v/>
      </c>
      <c r="M2463" s="0" t="str">
        <f aca="false">IF(A2463="","",IF(COUNTIFS($C$2:$C$5001,C2463,$J$2:$J$5001,J2463,$A$2:$A$5001,"&lt;"&amp;A2463)=0,1,0))</f>
        <v/>
      </c>
    </row>
    <row r="2464" customFormat="false" ht="15" hidden="false" customHeight="false" outlineLevel="0" collapsed="false">
      <c r="A2464" s="27"/>
      <c r="F2464" s="28"/>
      <c r="J2464" s="0" t="str">
        <f aca="false">IF(A2464="","",YEAR(A2464))</f>
        <v/>
      </c>
      <c r="K2464" s="0" t="str">
        <f aca="false">IF(A2464="","",MONTH(A2464))</f>
        <v/>
      </c>
      <c r="L2464" s="0" t="str">
        <f aca="false">IF(B2464="","",VALUE(LEFT(B2464,2)))</f>
        <v/>
      </c>
      <c r="M2464" s="0" t="str">
        <f aca="false">IF(A2464="","",IF(COUNTIFS($C$2:$C$5001,C2464,$J$2:$J$5001,J2464,$A$2:$A$5001,"&lt;"&amp;A2464)=0,1,0))</f>
        <v/>
      </c>
    </row>
    <row r="2465" customFormat="false" ht="15" hidden="false" customHeight="false" outlineLevel="0" collapsed="false">
      <c r="A2465" s="27"/>
      <c r="F2465" s="28"/>
      <c r="J2465" s="0" t="str">
        <f aca="false">IF(A2465="","",YEAR(A2465))</f>
        <v/>
      </c>
      <c r="K2465" s="0" t="str">
        <f aca="false">IF(A2465="","",MONTH(A2465))</f>
        <v/>
      </c>
      <c r="L2465" s="0" t="str">
        <f aca="false">IF(B2465="","",VALUE(LEFT(B2465,2)))</f>
        <v/>
      </c>
      <c r="M2465" s="0" t="str">
        <f aca="false">IF(A2465="","",IF(COUNTIFS($C$2:$C$5001,C2465,$J$2:$J$5001,J2465,$A$2:$A$5001,"&lt;"&amp;A2465)=0,1,0))</f>
        <v/>
      </c>
    </row>
    <row r="2466" customFormat="false" ht="15" hidden="false" customHeight="false" outlineLevel="0" collapsed="false">
      <c r="A2466" s="27"/>
      <c r="F2466" s="28"/>
      <c r="J2466" s="0" t="str">
        <f aca="false">IF(A2466="","",YEAR(A2466))</f>
        <v/>
      </c>
      <c r="K2466" s="0" t="str">
        <f aca="false">IF(A2466="","",MONTH(A2466))</f>
        <v/>
      </c>
      <c r="L2466" s="0" t="str">
        <f aca="false">IF(B2466="","",VALUE(LEFT(B2466,2)))</f>
        <v/>
      </c>
      <c r="M2466" s="0" t="str">
        <f aca="false">IF(A2466="","",IF(COUNTIFS($C$2:$C$5001,C2466,$J$2:$J$5001,J2466,$A$2:$A$5001,"&lt;"&amp;A2466)=0,1,0))</f>
        <v/>
      </c>
    </row>
    <row r="2467" customFormat="false" ht="15" hidden="false" customHeight="false" outlineLevel="0" collapsed="false">
      <c r="A2467" s="27"/>
      <c r="F2467" s="28"/>
      <c r="J2467" s="0" t="str">
        <f aca="false">IF(A2467="","",YEAR(A2467))</f>
        <v/>
      </c>
      <c r="K2467" s="0" t="str">
        <f aca="false">IF(A2467="","",MONTH(A2467))</f>
        <v/>
      </c>
      <c r="L2467" s="0" t="str">
        <f aca="false">IF(B2467="","",VALUE(LEFT(B2467,2)))</f>
        <v/>
      </c>
      <c r="M2467" s="0" t="str">
        <f aca="false">IF(A2467="","",IF(COUNTIFS($C$2:$C$5001,C2467,$J$2:$J$5001,J2467,$A$2:$A$5001,"&lt;"&amp;A2467)=0,1,0))</f>
        <v/>
      </c>
    </row>
    <row r="2468" customFormat="false" ht="15" hidden="false" customHeight="false" outlineLevel="0" collapsed="false">
      <c r="A2468" s="27"/>
      <c r="F2468" s="28"/>
      <c r="J2468" s="0" t="str">
        <f aca="false">IF(A2468="","",YEAR(A2468))</f>
        <v/>
      </c>
      <c r="K2468" s="0" t="str">
        <f aca="false">IF(A2468="","",MONTH(A2468))</f>
        <v/>
      </c>
      <c r="L2468" s="0" t="str">
        <f aca="false">IF(B2468="","",VALUE(LEFT(B2468,2)))</f>
        <v/>
      </c>
      <c r="M2468" s="0" t="str">
        <f aca="false">IF(A2468="","",IF(COUNTIFS($C$2:$C$5001,C2468,$J$2:$J$5001,J2468,$A$2:$A$5001,"&lt;"&amp;A2468)=0,1,0))</f>
        <v/>
      </c>
    </row>
    <row r="2469" customFormat="false" ht="15" hidden="false" customHeight="false" outlineLevel="0" collapsed="false">
      <c r="A2469" s="27"/>
      <c r="F2469" s="28"/>
      <c r="J2469" s="0" t="str">
        <f aca="false">IF(A2469="","",YEAR(A2469))</f>
        <v/>
      </c>
      <c r="K2469" s="0" t="str">
        <f aca="false">IF(A2469="","",MONTH(A2469))</f>
        <v/>
      </c>
      <c r="L2469" s="0" t="str">
        <f aca="false">IF(B2469="","",VALUE(LEFT(B2469,2)))</f>
        <v/>
      </c>
      <c r="M2469" s="0" t="str">
        <f aca="false">IF(A2469="","",IF(COUNTIFS($C$2:$C$5001,C2469,$J$2:$J$5001,J2469,$A$2:$A$5001,"&lt;"&amp;A2469)=0,1,0))</f>
        <v/>
      </c>
    </row>
    <row r="2470" customFormat="false" ht="15" hidden="false" customHeight="false" outlineLevel="0" collapsed="false">
      <c r="A2470" s="27"/>
      <c r="F2470" s="28"/>
      <c r="J2470" s="0" t="str">
        <f aca="false">IF(A2470="","",YEAR(A2470))</f>
        <v/>
      </c>
      <c r="K2470" s="0" t="str">
        <f aca="false">IF(A2470="","",MONTH(A2470))</f>
        <v/>
      </c>
      <c r="L2470" s="0" t="str">
        <f aca="false">IF(B2470="","",VALUE(LEFT(B2470,2)))</f>
        <v/>
      </c>
      <c r="M2470" s="0" t="str">
        <f aca="false">IF(A2470="","",IF(COUNTIFS($C$2:$C$5001,C2470,$J$2:$J$5001,J2470,$A$2:$A$5001,"&lt;"&amp;A2470)=0,1,0))</f>
        <v/>
      </c>
    </row>
    <row r="2471" customFormat="false" ht="15" hidden="false" customHeight="false" outlineLevel="0" collapsed="false">
      <c r="A2471" s="27"/>
      <c r="F2471" s="28"/>
      <c r="J2471" s="0" t="str">
        <f aca="false">IF(A2471="","",YEAR(A2471))</f>
        <v/>
      </c>
      <c r="K2471" s="0" t="str">
        <f aca="false">IF(A2471="","",MONTH(A2471))</f>
        <v/>
      </c>
      <c r="L2471" s="0" t="str">
        <f aca="false">IF(B2471="","",VALUE(LEFT(B2471,2)))</f>
        <v/>
      </c>
      <c r="M2471" s="0" t="str">
        <f aca="false">IF(A2471="","",IF(COUNTIFS($C$2:$C$5001,C2471,$J$2:$J$5001,J2471,$A$2:$A$5001,"&lt;"&amp;A2471)=0,1,0))</f>
        <v/>
      </c>
    </row>
    <row r="2472" customFormat="false" ht="15" hidden="false" customHeight="false" outlineLevel="0" collapsed="false">
      <c r="A2472" s="27"/>
      <c r="F2472" s="28"/>
      <c r="J2472" s="0" t="str">
        <f aca="false">IF(A2472="","",YEAR(A2472))</f>
        <v/>
      </c>
      <c r="K2472" s="0" t="str">
        <f aca="false">IF(A2472="","",MONTH(A2472))</f>
        <v/>
      </c>
      <c r="L2472" s="0" t="str">
        <f aca="false">IF(B2472="","",VALUE(LEFT(B2472,2)))</f>
        <v/>
      </c>
      <c r="M2472" s="0" t="str">
        <f aca="false">IF(A2472="","",IF(COUNTIFS($C$2:$C$5001,C2472,$J$2:$J$5001,J2472,$A$2:$A$5001,"&lt;"&amp;A2472)=0,1,0))</f>
        <v/>
      </c>
    </row>
    <row r="2473" customFormat="false" ht="15" hidden="false" customHeight="false" outlineLevel="0" collapsed="false">
      <c r="A2473" s="27"/>
      <c r="F2473" s="28"/>
      <c r="J2473" s="0" t="str">
        <f aca="false">IF(A2473="","",YEAR(A2473))</f>
        <v/>
      </c>
      <c r="K2473" s="0" t="str">
        <f aca="false">IF(A2473="","",MONTH(A2473))</f>
        <v/>
      </c>
      <c r="L2473" s="0" t="str">
        <f aca="false">IF(B2473="","",VALUE(LEFT(B2473,2)))</f>
        <v/>
      </c>
      <c r="M2473" s="0" t="str">
        <f aca="false">IF(A2473="","",IF(COUNTIFS($C$2:$C$5001,C2473,$J$2:$J$5001,J2473,$A$2:$A$5001,"&lt;"&amp;A2473)=0,1,0))</f>
        <v/>
      </c>
    </row>
    <row r="2474" customFormat="false" ht="15" hidden="false" customHeight="false" outlineLevel="0" collapsed="false">
      <c r="A2474" s="27"/>
      <c r="F2474" s="28"/>
      <c r="J2474" s="0" t="str">
        <f aca="false">IF(A2474="","",YEAR(A2474))</f>
        <v/>
      </c>
      <c r="K2474" s="0" t="str">
        <f aca="false">IF(A2474="","",MONTH(A2474))</f>
        <v/>
      </c>
      <c r="L2474" s="0" t="str">
        <f aca="false">IF(B2474="","",VALUE(LEFT(B2474,2)))</f>
        <v/>
      </c>
      <c r="M2474" s="0" t="str">
        <f aca="false">IF(A2474="","",IF(COUNTIFS($C$2:$C$5001,C2474,$J$2:$J$5001,J2474,$A$2:$A$5001,"&lt;"&amp;A2474)=0,1,0))</f>
        <v/>
      </c>
    </row>
    <row r="2475" customFormat="false" ht="15" hidden="false" customHeight="false" outlineLevel="0" collapsed="false">
      <c r="A2475" s="27"/>
      <c r="F2475" s="28"/>
      <c r="J2475" s="0" t="str">
        <f aca="false">IF(A2475="","",YEAR(A2475))</f>
        <v/>
      </c>
      <c r="K2475" s="0" t="str">
        <f aca="false">IF(A2475="","",MONTH(A2475))</f>
        <v/>
      </c>
      <c r="L2475" s="0" t="str">
        <f aca="false">IF(B2475="","",VALUE(LEFT(B2475,2)))</f>
        <v/>
      </c>
      <c r="M2475" s="0" t="str">
        <f aca="false">IF(A2475="","",IF(COUNTIFS($C$2:$C$5001,C2475,$J$2:$J$5001,J2475,$A$2:$A$5001,"&lt;"&amp;A2475)=0,1,0))</f>
        <v/>
      </c>
    </row>
    <row r="2476" customFormat="false" ht="15" hidden="false" customHeight="false" outlineLevel="0" collapsed="false">
      <c r="A2476" s="27"/>
      <c r="F2476" s="28"/>
      <c r="J2476" s="0" t="str">
        <f aca="false">IF(A2476="","",YEAR(A2476))</f>
        <v/>
      </c>
      <c r="K2476" s="0" t="str">
        <f aca="false">IF(A2476="","",MONTH(A2476))</f>
        <v/>
      </c>
      <c r="L2476" s="0" t="str">
        <f aca="false">IF(B2476="","",VALUE(LEFT(B2476,2)))</f>
        <v/>
      </c>
      <c r="M2476" s="0" t="str">
        <f aca="false">IF(A2476="","",IF(COUNTIFS($C$2:$C$5001,C2476,$J$2:$J$5001,J2476,$A$2:$A$5001,"&lt;"&amp;A2476)=0,1,0))</f>
        <v/>
      </c>
    </row>
    <row r="2477" customFormat="false" ht="15" hidden="false" customHeight="false" outlineLevel="0" collapsed="false">
      <c r="A2477" s="27"/>
      <c r="F2477" s="28"/>
      <c r="J2477" s="0" t="str">
        <f aca="false">IF(A2477="","",YEAR(A2477))</f>
        <v/>
      </c>
      <c r="K2477" s="0" t="str">
        <f aca="false">IF(A2477="","",MONTH(A2477))</f>
        <v/>
      </c>
      <c r="L2477" s="0" t="str">
        <f aca="false">IF(B2477="","",VALUE(LEFT(B2477,2)))</f>
        <v/>
      </c>
      <c r="M2477" s="0" t="str">
        <f aca="false">IF(A2477="","",IF(COUNTIFS($C$2:$C$5001,C2477,$J$2:$J$5001,J2477,$A$2:$A$5001,"&lt;"&amp;A2477)=0,1,0))</f>
        <v/>
      </c>
    </row>
    <row r="2478" customFormat="false" ht="15" hidden="false" customHeight="false" outlineLevel="0" collapsed="false">
      <c r="A2478" s="27"/>
      <c r="F2478" s="28"/>
      <c r="J2478" s="0" t="str">
        <f aca="false">IF(A2478="","",YEAR(A2478))</f>
        <v/>
      </c>
      <c r="K2478" s="0" t="str">
        <f aca="false">IF(A2478="","",MONTH(A2478))</f>
        <v/>
      </c>
      <c r="L2478" s="0" t="str">
        <f aca="false">IF(B2478="","",VALUE(LEFT(B2478,2)))</f>
        <v/>
      </c>
      <c r="M2478" s="0" t="str">
        <f aca="false">IF(A2478="","",IF(COUNTIFS($C$2:$C$5001,C2478,$J$2:$J$5001,J2478,$A$2:$A$5001,"&lt;"&amp;A2478)=0,1,0))</f>
        <v/>
      </c>
    </row>
    <row r="2479" customFormat="false" ht="15" hidden="false" customHeight="false" outlineLevel="0" collapsed="false">
      <c r="A2479" s="27"/>
      <c r="F2479" s="28"/>
      <c r="J2479" s="0" t="str">
        <f aca="false">IF(A2479="","",YEAR(A2479))</f>
        <v/>
      </c>
      <c r="K2479" s="0" t="str">
        <f aca="false">IF(A2479="","",MONTH(A2479))</f>
        <v/>
      </c>
      <c r="L2479" s="0" t="str">
        <f aca="false">IF(B2479="","",VALUE(LEFT(B2479,2)))</f>
        <v/>
      </c>
      <c r="M2479" s="0" t="str">
        <f aca="false">IF(A2479="","",IF(COUNTIFS($C$2:$C$5001,C2479,$J$2:$J$5001,J2479,$A$2:$A$5001,"&lt;"&amp;A2479)=0,1,0))</f>
        <v/>
      </c>
    </row>
    <row r="2480" customFormat="false" ht="15" hidden="false" customHeight="false" outlineLevel="0" collapsed="false">
      <c r="A2480" s="27"/>
      <c r="F2480" s="28"/>
      <c r="J2480" s="0" t="str">
        <f aca="false">IF(A2480="","",YEAR(A2480))</f>
        <v/>
      </c>
      <c r="K2480" s="0" t="str">
        <f aca="false">IF(A2480="","",MONTH(A2480))</f>
        <v/>
      </c>
      <c r="L2480" s="0" t="str">
        <f aca="false">IF(B2480="","",VALUE(LEFT(B2480,2)))</f>
        <v/>
      </c>
      <c r="M2480" s="0" t="str">
        <f aca="false">IF(A2480="","",IF(COUNTIFS($C$2:$C$5001,C2480,$J$2:$J$5001,J2480,$A$2:$A$5001,"&lt;"&amp;A2480)=0,1,0))</f>
        <v/>
      </c>
    </row>
    <row r="2481" customFormat="false" ht="15" hidden="false" customHeight="false" outlineLevel="0" collapsed="false">
      <c r="A2481" s="27"/>
      <c r="F2481" s="28"/>
      <c r="J2481" s="0" t="str">
        <f aca="false">IF(A2481="","",YEAR(A2481))</f>
        <v/>
      </c>
      <c r="K2481" s="0" t="str">
        <f aca="false">IF(A2481="","",MONTH(A2481))</f>
        <v/>
      </c>
      <c r="L2481" s="0" t="str">
        <f aca="false">IF(B2481="","",VALUE(LEFT(B2481,2)))</f>
        <v/>
      </c>
      <c r="M2481" s="0" t="str">
        <f aca="false">IF(A2481="","",IF(COUNTIFS($C$2:$C$5001,C2481,$J$2:$J$5001,J2481,$A$2:$A$5001,"&lt;"&amp;A2481)=0,1,0))</f>
        <v/>
      </c>
    </row>
    <row r="2482" customFormat="false" ht="15" hidden="false" customHeight="false" outlineLevel="0" collapsed="false">
      <c r="A2482" s="27"/>
      <c r="F2482" s="28"/>
      <c r="J2482" s="0" t="str">
        <f aca="false">IF(A2482="","",YEAR(A2482))</f>
        <v/>
      </c>
      <c r="K2482" s="0" t="str">
        <f aca="false">IF(A2482="","",MONTH(A2482))</f>
        <v/>
      </c>
      <c r="L2482" s="0" t="str">
        <f aca="false">IF(B2482="","",VALUE(LEFT(B2482,2)))</f>
        <v/>
      </c>
      <c r="M2482" s="0" t="str">
        <f aca="false">IF(A2482="","",IF(COUNTIFS($C$2:$C$5001,C2482,$J$2:$J$5001,J2482,$A$2:$A$5001,"&lt;"&amp;A2482)=0,1,0))</f>
        <v/>
      </c>
    </row>
    <row r="2483" customFormat="false" ht="15" hidden="false" customHeight="false" outlineLevel="0" collapsed="false">
      <c r="A2483" s="27"/>
      <c r="F2483" s="28"/>
      <c r="J2483" s="0" t="str">
        <f aca="false">IF(A2483="","",YEAR(A2483))</f>
        <v/>
      </c>
      <c r="K2483" s="0" t="str">
        <f aca="false">IF(A2483="","",MONTH(A2483))</f>
        <v/>
      </c>
      <c r="L2483" s="0" t="str">
        <f aca="false">IF(B2483="","",VALUE(LEFT(B2483,2)))</f>
        <v/>
      </c>
      <c r="M2483" s="0" t="str">
        <f aca="false">IF(A2483="","",IF(COUNTIFS($C$2:$C$5001,C2483,$J$2:$J$5001,J2483,$A$2:$A$5001,"&lt;"&amp;A2483)=0,1,0))</f>
        <v/>
      </c>
    </row>
    <row r="2484" customFormat="false" ht="15" hidden="false" customHeight="false" outlineLevel="0" collapsed="false">
      <c r="A2484" s="27"/>
      <c r="F2484" s="28"/>
      <c r="J2484" s="0" t="str">
        <f aca="false">IF(A2484="","",YEAR(A2484))</f>
        <v/>
      </c>
      <c r="K2484" s="0" t="str">
        <f aca="false">IF(A2484="","",MONTH(A2484))</f>
        <v/>
      </c>
      <c r="L2484" s="0" t="str">
        <f aca="false">IF(B2484="","",VALUE(LEFT(B2484,2)))</f>
        <v/>
      </c>
      <c r="M2484" s="0" t="str">
        <f aca="false">IF(A2484="","",IF(COUNTIFS($C$2:$C$5001,C2484,$J$2:$J$5001,J2484,$A$2:$A$5001,"&lt;"&amp;A2484)=0,1,0))</f>
        <v/>
      </c>
    </row>
    <row r="2485" customFormat="false" ht="15" hidden="false" customHeight="false" outlineLevel="0" collapsed="false">
      <c r="A2485" s="27"/>
      <c r="F2485" s="28"/>
      <c r="J2485" s="0" t="str">
        <f aca="false">IF(A2485="","",YEAR(A2485))</f>
        <v/>
      </c>
      <c r="K2485" s="0" t="str">
        <f aca="false">IF(A2485="","",MONTH(A2485))</f>
        <v/>
      </c>
      <c r="L2485" s="0" t="str">
        <f aca="false">IF(B2485="","",VALUE(LEFT(B2485,2)))</f>
        <v/>
      </c>
      <c r="M2485" s="0" t="str">
        <f aca="false">IF(A2485="","",IF(COUNTIFS($C$2:$C$5001,C2485,$J$2:$J$5001,J2485,$A$2:$A$5001,"&lt;"&amp;A2485)=0,1,0))</f>
        <v/>
      </c>
    </row>
    <row r="2486" customFormat="false" ht="15" hidden="false" customHeight="false" outlineLevel="0" collapsed="false">
      <c r="A2486" s="27"/>
      <c r="F2486" s="28"/>
      <c r="J2486" s="0" t="str">
        <f aca="false">IF(A2486="","",YEAR(A2486))</f>
        <v/>
      </c>
      <c r="K2486" s="0" t="str">
        <f aca="false">IF(A2486="","",MONTH(A2486))</f>
        <v/>
      </c>
      <c r="L2486" s="0" t="str">
        <f aca="false">IF(B2486="","",VALUE(LEFT(B2486,2)))</f>
        <v/>
      </c>
      <c r="M2486" s="0" t="str">
        <f aca="false">IF(A2486="","",IF(COUNTIFS($C$2:$C$5001,C2486,$J$2:$J$5001,J2486,$A$2:$A$5001,"&lt;"&amp;A2486)=0,1,0))</f>
        <v/>
      </c>
    </row>
    <row r="2487" customFormat="false" ht="15" hidden="false" customHeight="false" outlineLevel="0" collapsed="false">
      <c r="A2487" s="27"/>
      <c r="F2487" s="28"/>
      <c r="J2487" s="0" t="str">
        <f aca="false">IF(A2487="","",YEAR(A2487))</f>
        <v/>
      </c>
      <c r="K2487" s="0" t="str">
        <f aca="false">IF(A2487="","",MONTH(A2487))</f>
        <v/>
      </c>
      <c r="L2487" s="0" t="str">
        <f aca="false">IF(B2487="","",VALUE(LEFT(B2487,2)))</f>
        <v/>
      </c>
      <c r="M2487" s="0" t="str">
        <f aca="false">IF(A2487="","",IF(COUNTIFS($C$2:$C$5001,C2487,$J$2:$J$5001,J2487,$A$2:$A$5001,"&lt;"&amp;A2487)=0,1,0))</f>
        <v/>
      </c>
    </row>
    <row r="2488" customFormat="false" ht="15" hidden="false" customHeight="false" outlineLevel="0" collapsed="false">
      <c r="A2488" s="27"/>
      <c r="F2488" s="28"/>
      <c r="J2488" s="0" t="str">
        <f aca="false">IF(A2488="","",YEAR(A2488))</f>
        <v/>
      </c>
      <c r="K2488" s="0" t="str">
        <f aca="false">IF(A2488="","",MONTH(A2488))</f>
        <v/>
      </c>
      <c r="L2488" s="0" t="str">
        <f aca="false">IF(B2488="","",VALUE(LEFT(B2488,2)))</f>
        <v/>
      </c>
      <c r="M2488" s="0" t="str">
        <f aca="false">IF(A2488="","",IF(COUNTIFS($C$2:$C$5001,C2488,$J$2:$J$5001,J2488,$A$2:$A$5001,"&lt;"&amp;A2488)=0,1,0))</f>
        <v/>
      </c>
    </row>
    <row r="2489" customFormat="false" ht="15" hidden="false" customHeight="false" outlineLevel="0" collapsed="false">
      <c r="A2489" s="27"/>
      <c r="F2489" s="28"/>
      <c r="J2489" s="0" t="str">
        <f aca="false">IF(A2489="","",YEAR(A2489))</f>
        <v/>
      </c>
      <c r="K2489" s="0" t="str">
        <f aca="false">IF(A2489="","",MONTH(A2489))</f>
        <v/>
      </c>
      <c r="L2489" s="0" t="str">
        <f aca="false">IF(B2489="","",VALUE(LEFT(B2489,2)))</f>
        <v/>
      </c>
      <c r="M2489" s="0" t="str">
        <f aca="false">IF(A2489="","",IF(COUNTIFS($C$2:$C$5001,C2489,$J$2:$J$5001,J2489,$A$2:$A$5001,"&lt;"&amp;A2489)=0,1,0))</f>
        <v/>
      </c>
    </row>
    <row r="2490" customFormat="false" ht="15" hidden="false" customHeight="false" outlineLevel="0" collapsed="false">
      <c r="A2490" s="27"/>
      <c r="F2490" s="28"/>
      <c r="J2490" s="0" t="str">
        <f aca="false">IF(A2490="","",YEAR(A2490))</f>
        <v/>
      </c>
      <c r="K2490" s="0" t="str">
        <f aca="false">IF(A2490="","",MONTH(A2490))</f>
        <v/>
      </c>
      <c r="L2490" s="0" t="str">
        <f aca="false">IF(B2490="","",VALUE(LEFT(B2490,2)))</f>
        <v/>
      </c>
      <c r="M2490" s="0" t="str">
        <f aca="false">IF(A2490="","",IF(COUNTIFS($C$2:$C$5001,C2490,$J$2:$J$5001,J2490,$A$2:$A$5001,"&lt;"&amp;A2490)=0,1,0))</f>
        <v/>
      </c>
    </row>
    <row r="2491" customFormat="false" ht="15" hidden="false" customHeight="false" outlineLevel="0" collapsed="false">
      <c r="A2491" s="27"/>
      <c r="F2491" s="28"/>
      <c r="J2491" s="0" t="str">
        <f aca="false">IF(A2491="","",YEAR(A2491))</f>
        <v/>
      </c>
      <c r="K2491" s="0" t="str">
        <f aca="false">IF(A2491="","",MONTH(A2491))</f>
        <v/>
      </c>
      <c r="L2491" s="0" t="str">
        <f aca="false">IF(B2491="","",VALUE(LEFT(B2491,2)))</f>
        <v/>
      </c>
      <c r="M2491" s="0" t="str">
        <f aca="false">IF(A2491="","",IF(COUNTIFS($C$2:$C$5001,C2491,$J$2:$J$5001,J2491,$A$2:$A$5001,"&lt;"&amp;A2491)=0,1,0))</f>
        <v/>
      </c>
    </row>
    <row r="2492" customFormat="false" ht="15" hidden="false" customHeight="false" outlineLevel="0" collapsed="false">
      <c r="A2492" s="27"/>
      <c r="F2492" s="28"/>
      <c r="J2492" s="0" t="str">
        <f aca="false">IF(A2492="","",YEAR(A2492))</f>
        <v/>
      </c>
      <c r="K2492" s="0" t="str">
        <f aca="false">IF(A2492="","",MONTH(A2492))</f>
        <v/>
      </c>
      <c r="L2492" s="0" t="str">
        <f aca="false">IF(B2492="","",VALUE(LEFT(B2492,2)))</f>
        <v/>
      </c>
      <c r="M2492" s="0" t="str">
        <f aca="false">IF(A2492="","",IF(COUNTIFS($C$2:$C$5001,C2492,$J$2:$J$5001,J2492,$A$2:$A$5001,"&lt;"&amp;A2492)=0,1,0))</f>
        <v/>
      </c>
    </row>
    <row r="2493" customFormat="false" ht="15" hidden="false" customHeight="false" outlineLevel="0" collapsed="false">
      <c r="A2493" s="27"/>
      <c r="F2493" s="28"/>
      <c r="J2493" s="0" t="str">
        <f aca="false">IF(A2493="","",YEAR(A2493))</f>
        <v/>
      </c>
      <c r="K2493" s="0" t="str">
        <f aca="false">IF(A2493="","",MONTH(A2493))</f>
        <v/>
      </c>
      <c r="L2493" s="0" t="str">
        <f aca="false">IF(B2493="","",VALUE(LEFT(B2493,2)))</f>
        <v/>
      </c>
      <c r="M2493" s="0" t="str">
        <f aca="false">IF(A2493="","",IF(COUNTIFS($C$2:$C$5001,C2493,$J$2:$J$5001,J2493,$A$2:$A$5001,"&lt;"&amp;A2493)=0,1,0))</f>
        <v/>
      </c>
    </row>
    <row r="2494" customFormat="false" ht="15" hidden="false" customHeight="false" outlineLevel="0" collapsed="false">
      <c r="A2494" s="27"/>
      <c r="F2494" s="28"/>
      <c r="J2494" s="0" t="str">
        <f aca="false">IF(A2494="","",YEAR(A2494))</f>
        <v/>
      </c>
      <c r="K2494" s="0" t="str">
        <f aca="false">IF(A2494="","",MONTH(A2494))</f>
        <v/>
      </c>
      <c r="L2494" s="0" t="str">
        <f aca="false">IF(B2494="","",VALUE(LEFT(B2494,2)))</f>
        <v/>
      </c>
      <c r="M2494" s="0" t="str">
        <f aca="false">IF(A2494="","",IF(COUNTIFS($C$2:$C$5001,C2494,$J$2:$J$5001,J2494,$A$2:$A$5001,"&lt;"&amp;A2494)=0,1,0))</f>
        <v/>
      </c>
    </row>
    <row r="2495" customFormat="false" ht="15" hidden="false" customHeight="false" outlineLevel="0" collapsed="false">
      <c r="A2495" s="27"/>
      <c r="F2495" s="28"/>
      <c r="J2495" s="0" t="str">
        <f aca="false">IF(A2495="","",YEAR(A2495))</f>
        <v/>
      </c>
      <c r="K2495" s="0" t="str">
        <f aca="false">IF(A2495="","",MONTH(A2495))</f>
        <v/>
      </c>
      <c r="L2495" s="0" t="str">
        <f aca="false">IF(B2495="","",VALUE(LEFT(B2495,2)))</f>
        <v/>
      </c>
      <c r="M2495" s="0" t="str">
        <f aca="false">IF(A2495="","",IF(COUNTIFS($C$2:$C$5001,C2495,$J$2:$J$5001,J2495,$A$2:$A$5001,"&lt;"&amp;A2495)=0,1,0))</f>
        <v/>
      </c>
    </row>
    <row r="2496" customFormat="false" ht="15" hidden="false" customHeight="false" outlineLevel="0" collapsed="false">
      <c r="A2496" s="27"/>
      <c r="F2496" s="28"/>
      <c r="J2496" s="0" t="str">
        <f aca="false">IF(A2496="","",YEAR(A2496))</f>
        <v/>
      </c>
      <c r="K2496" s="0" t="str">
        <f aca="false">IF(A2496="","",MONTH(A2496))</f>
        <v/>
      </c>
      <c r="L2496" s="0" t="str">
        <f aca="false">IF(B2496="","",VALUE(LEFT(B2496,2)))</f>
        <v/>
      </c>
      <c r="M2496" s="0" t="str">
        <f aca="false">IF(A2496="","",IF(COUNTIFS($C$2:$C$5001,C2496,$J$2:$J$5001,J2496,$A$2:$A$5001,"&lt;"&amp;A2496)=0,1,0))</f>
        <v/>
      </c>
    </row>
    <row r="2497" customFormat="false" ht="15" hidden="false" customHeight="false" outlineLevel="0" collapsed="false">
      <c r="A2497" s="27"/>
      <c r="F2497" s="28"/>
      <c r="J2497" s="0" t="str">
        <f aca="false">IF(A2497="","",YEAR(A2497))</f>
        <v/>
      </c>
      <c r="K2497" s="0" t="str">
        <f aca="false">IF(A2497="","",MONTH(A2497))</f>
        <v/>
      </c>
      <c r="L2497" s="0" t="str">
        <f aca="false">IF(B2497="","",VALUE(LEFT(B2497,2)))</f>
        <v/>
      </c>
      <c r="M2497" s="0" t="str">
        <f aca="false">IF(A2497="","",IF(COUNTIFS($C$2:$C$5001,C2497,$J$2:$J$5001,J2497,$A$2:$A$5001,"&lt;"&amp;A2497)=0,1,0))</f>
        <v/>
      </c>
    </row>
    <row r="2498" customFormat="false" ht="15" hidden="false" customHeight="false" outlineLevel="0" collapsed="false">
      <c r="A2498" s="27"/>
      <c r="F2498" s="28"/>
      <c r="J2498" s="0" t="str">
        <f aca="false">IF(A2498="","",YEAR(A2498))</f>
        <v/>
      </c>
      <c r="K2498" s="0" t="str">
        <f aca="false">IF(A2498="","",MONTH(A2498))</f>
        <v/>
      </c>
      <c r="L2498" s="0" t="str">
        <f aca="false">IF(B2498="","",VALUE(LEFT(B2498,2)))</f>
        <v/>
      </c>
      <c r="M2498" s="0" t="str">
        <f aca="false">IF(A2498="","",IF(COUNTIFS($C$2:$C$5001,C2498,$J$2:$J$5001,J2498,$A$2:$A$5001,"&lt;"&amp;A2498)=0,1,0))</f>
        <v/>
      </c>
    </row>
    <row r="2499" customFormat="false" ht="15" hidden="false" customHeight="false" outlineLevel="0" collapsed="false">
      <c r="A2499" s="27"/>
      <c r="F2499" s="28"/>
      <c r="J2499" s="0" t="str">
        <f aca="false">IF(A2499="","",YEAR(A2499))</f>
        <v/>
      </c>
      <c r="K2499" s="0" t="str">
        <f aca="false">IF(A2499="","",MONTH(A2499))</f>
        <v/>
      </c>
      <c r="L2499" s="0" t="str">
        <f aca="false">IF(B2499="","",VALUE(LEFT(B2499,2)))</f>
        <v/>
      </c>
      <c r="M2499" s="0" t="str">
        <f aca="false">IF(A2499="","",IF(COUNTIFS($C$2:$C$5001,C2499,$J$2:$J$5001,J2499,$A$2:$A$5001,"&lt;"&amp;A2499)=0,1,0))</f>
        <v/>
      </c>
    </row>
    <row r="2500" customFormat="false" ht="15" hidden="false" customHeight="false" outlineLevel="0" collapsed="false">
      <c r="A2500" s="27"/>
      <c r="F2500" s="28"/>
      <c r="J2500" s="0" t="str">
        <f aca="false">IF(A2500="","",YEAR(A2500))</f>
        <v/>
      </c>
      <c r="K2500" s="0" t="str">
        <f aca="false">IF(A2500="","",MONTH(A2500))</f>
        <v/>
      </c>
      <c r="L2500" s="0" t="str">
        <f aca="false">IF(B2500="","",VALUE(LEFT(B2500,2)))</f>
        <v/>
      </c>
      <c r="M2500" s="0" t="str">
        <f aca="false">IF(A2500="","",IF(COUNTIFS($C$2:$C$5001,C2500,$J$2:$J$5001,J2500,$A$2:$A$5001,"&lt;"&amp;A2500)=0,1,0))</f>
        <v/>
      </c>
    </row>
    <row r="2501" customFormat="false" ht="15" hidden="false" customHeight="false" outlineLevel="0" collapsed="false">
      <c r="A2501" s="27"/>
      <c r="F2501" s="28"/>
      <c r="J2501" s="0" t="str">
        <f aca="false">IF(A2501="","",YEAR(A2501))</f>
        <v/>
      </c>
      <c r="K2501" s="0" t="str">
        <f aca="false">IF(A2501="","",MONTH(A2501))</f>
        <v/>
      </c>
      <c r="L2501" s="0" t="str">
        <f aca="false">IF(B2501="","",VALUE(LEFT(B2501,2)))</f>
        <v/>
      </c>
      <c r="M2501" s="0" t="str">
        <f aca="false">IF(A2501="","",IF(COUNTIFS($C$2:$C$5001,C2501,$J$2:$J$5001,J2501,$A$2:$A$5001,"&lt;"&amp;A2501)=0,1,0))</f>
        <v/>
      </c>
    </row>
    <row r="2502" customFormat="false" ht="15" hidden="false" customHeight="false" outlineLevel="0" collapsed="false">
      <c r="A2502" s="27"/>
      <c r="F2502" s="28"/>
      <c r="J2502" s="0" t="str">
        <f aca="false">IF(A2502="","",YEAR(A2502))</f>
        <v/>
      </c>
      <c r="K2502" s="0" t="str">
        <f aca="false">IF(A2502="","",MONTH(A2502))</f>
        <v/>
      </c>
      <c r="L2502" s="0" t="str">
        <f aca="false">IF(B2502="","",VALUE(LEFT(B2502,2)))</f>
        <v/>
      </c>
      <c r="M2502" s="0" t="str">
        <f aca="false">IF(A2502="","",IF(COUNTIFS($C$2:$C$5001,C2502,$J$2:$J$5001,J2502,$A$2:$A$5001,"&lt;"&amp;A2502)=0,1,0))</f>
        <v/>
      </c>
    </row>
    <row r="2503" customFormat="false" ht="15" hidden="false" customHeight="false" outlineLevel="0" collapsed="false">
      <c r="A2503" s="27"/>
      <c r="F2503" s="28"/>
      <c r="J2503" s="0" t="str">
        <f aca="false">IF(A2503="","",YEAR(A2503))</f>
        <v/>
      </c>
      <c r="K2503" s="0" t="str">
        <f aca="false">IF(A2503="","",MONTH(A2503))</f>
        <v/>
      </c>
      <c r="L2503" s="0" t="str">
        <f aca="false">IF(B2503="","",VALUE(LEFT(B2503,2)))</f>
        <v/>
      </c>
      <c r="M2503" s="0" t="str">
        <f aca="false">IF(A2503="","",IF(COUNTIFS($C$2:$C$5001,C2503,$J$2:$J$5001,J2503,$A$2:$A$5001,"&lt;"&amp;A2503)=0,1,0))</f>
        <v/>
      </c>
    </row>
    <row r="2504" customFormat="false" ht="15" hidden="false" customHeight="false" outlineLevel="0" collapsed="false">
      <c r="A2504" s="27"/>
      <c r="F2504" s="28"/>
      <c r="J2504" s="0" t="str">
        <f aca="false">IF(A2504="","",YEAR(A2504))</f>
        <v/>
      </c>
      <c r="K2504" s="0" t="str">
        <f aca="false">IF(A2504="","",MONTH(A2504))</f>
        <v/>
      </c>
      <c r="L2504" s="0" t="str">
        <f aca="false">IF(B2504="","",VALUE(LEFT(B2504,2)))</f>
        <v/>
      </c>
      <c r="M2504" s="0" t="str">
        <f aca="false">IF(A2504="","",IF(COUNTIFS($C$2:$C$5001,C2504,$J$2:$J$5001,J2504,$A$2:$A$5001,"&lt;"&amp;A2504)=0,1,0))</f>
        <v/>
      </c>
    </row>
    <row r="2505" customFormat="false" ht="15" hidden="false" customHeight="false" outlineLevel="0" collapsed="false">
      <c r="A2505" s="27"/>
      <c r="F2505" s="28"/>
      <c r="J2505" s="0" t="str">
        <f aca="false">IF(A2505="","",YEAR(A2505))</f>
        <v/>
      </c>
      <c r="K2505" s="0" t="str">
        <f aca="false">IF(A2505="","",MONTH(A2505))</f>
        <v/>
      </c>
      <c r="L2505" s="0" t="str">
        <f aca="false">IF(B2505="","",VALUE(LEFT(B2505,2)))</f>
        <v/>
      </c>
      <c r="M2505" s="0" t="str">
        <f aca="false">IF(A2505="","",IF(COUNTIFS($C$2:$C$5001,C2505,$J$2:$J$5001,J2505,$A$2:$A$5001,"&lt;"&amp;A2505)=0,1,0))</f>
        <v/>
      </c>
    </row>
    <row r="2506" customFormat="false" ht="15" hidden="false" customHeight="false" outlineLevel="0" collapsed="false">
      <c r="A2506" s="27"/>
      <c r="F2506" s="28"/>
      <c r="J2506" s="0" t="str">
        <f aca="false">IF(A2506="","",YEAR(A2506))</f>
        <v/>
      </c>
      <c r="K2506" s="0" t="str">
        <f aca="false">IF(A2506="","",MONTH(A2506))</f>
        <v/>
      </c>
      <c r="L2506" s="0" t="str">
        <f aca="false">IF(B2506="","",VALUE(LEFT(B2506,2)))</f>
        <v/>
      </c>
      <c r="M2506" s="0" t="str">
        <f aca="false">IF(A2506="","",IF(COUNTIFS($C$2:$C$5001,C2506,$J$2:$J$5001,J2506,$A$2:$A$5001,"&lt;"&amp;A2506)=0,1,0))</f>
        <v/>
      </c>
    </row>
    <row r="2507" customFormat="false" ht="15" hidden="false" customHeight="false" outlineLevel="0" collapsed="false">
      <c r="A2507" s="27"/>
      <c r="F2507" s="28"/>
      <c r="J2507" s="0" t="str">
        <f aca="false">IF(A2507="","",YEAR(A2507))</f>
        <v/>
      </c>
      <c r="K2507" s="0" t="str">
        <f aca="false">IF(A2507="","",MONTH(A2507))</f>
        <v/>
      </c>
      <c r="L2507" s="0" t="str">
        <f aca="false">IF(B2507="","",VALUE(LEFT(B2507,2)))</f>
        <v/>
      </c>
      <c r="M2507" s="0" t="str">
        <f aca="false">IF(A2507="","",IF(COUNTIFS($C$2:$C$5001,C2507,$J$2:$J$5001,J2507,$A$2:$A$5001,"&lt;"&amp;A2507)=0,1,0))</f>
        <v/>
      </c>
    </row>
    <row r="2508" customFormat="false" ht="15" hidden="false" customHeight="false" outlineLevel="0" collapsed="false">
      <c r="A2508" s="27"/>
      <c r="F2508" s="28"/>
      <c r="J2508" s="0" t="str">
        <f aca="false">IF(A2508="","",YEAR(A2508))</f>
        <v/>
      </c>
      <c r="K2508" s="0" t="str">
        <f aca="false">IF(A2508="","",MONTH(A2508))</f>
        <v/>
      </c>
      <c r="L2508" s="0" t="str">
        <f aca="false">IF(B2508="","",VALUE(LEFT(B2508,2)))</f>
        <v/>
      </c>
      <c r="M2508" s="0" t="str">
        <f aca="false">IF(A2508="","",IF(COUNTIFS($C$2:$C$5001,C2508,$J$2:$J$5001,J2508,$A$2:$A$5001,"&lt;"&amp;A2508)=0,1,0))</f>
        <v/>
      </c>
    </row>
    <row r="2509" customFormat="false" ht="15" hidden="false" customHeight="false" outlineLevel="0" collapsed="false">
      <c r="A2509" s="27"/>
      <c r="F2509" s="28"/>
      <c r="J2509" s="0" t="str">
        <f aca="false">IF(A2509="","",YEAR(A2509))</f>
        <v/>
      </c>
      <c r="K2509" s="0" t="str">
        <f aca="false">IF(A2509="","",MONTH(A2509))</f>
        <v/>
      </c>
      <c r="L2509" s="0" t="str">
        <f aca="false">IF(B2509="","",VALUE(LEFT(B2509,2)))</f>
        <v/>
      </c>
      <c r="M2509" s="0" t="str">
        <f aca="false">IF(A2509="","",IF(COUNTIFS($C$2:$C$5001,C2509,$J$2:$J$5001,J2509,$A$2:$A$5001,"&lt;"&amp;A2509)=0,1,0))</f>
        <v/>
      </c>
    </row>
    <row r="2510" customFormat="false" ht="15" hidden="false" customHeight="false" outlineLevel="0" collapsed="false">
      <c r="A2510" s="27"/>
      <c r="F2510" s="28"/>
      <c r="J2510" s="0" t="str">
        <f aca="false">IF(A2510="","",YEAR(A2510))</f>
        <v/>
      </c>
      <c r="K2510" s="0" t="str">
        <f aca="false">IF(A2510="","",MONTH(A2510))</f>
        <v/>
      </c>
      <c r="L2510" s="0" t="str">
        <f aca="false">IF(B2510="","",VALUE(LEFT(B2510,2)))</f>
        <v/>
      </c>
      <c r="M2510" s="0" t="str">
        <f aca="false">IF(A2510="","",IF(COUNTIFS($C$2:$C$5001,C2510,$J$2:$J$5001,J2510,$A$2:$A$5001,"&lt;"&amp;A2510)=0,1,0))</f>
        <v/>
      </c>
    </row>
    <row r="2511" customFormat="false" ht="15" hidden="false" customHeight="false" outlineLevel="0" collapsed="false">
      <c r="A2511" s="27"/>
      <c r="F2511" s="28"/>
      <c r="J2511" s="0" t="str">
        <f aca="false">IF(A2511="","",YEAR(A2511))</f>
        <v/>
      </c>
      <c r="K2511" s="0" t="str">
        <f aca="false">IF(A2511="","",MONTH(A2511))</f>
        <v/>
      </c>
      <c r="L2511" s="0" t="str">
        <f aca="false">IF(B2511="","",VALUE(LEFT(B2511,2)))</f>
        <v/>
      </c>
      <c r="M2511" s="0" t="str">
        <f aca="false">IF(A2511="","",IF(COUNTIFS($C$2:$C$5001,C2511,$J$2:$J$5001,J2511,$A$2:$A$5001,"&lt;"&amp;A2511)=0,1,0))</f>
        <v/>
      </c>
    </row>
    <row r="2512" customFormat="false" ht="15" hidden="false" customHeight="false" outlineLevel="0" collapsed="false">
      <c r="A2512" s="27"/>
      <c r="F2512" s="28"/>
      <c r="J2512" s="0" t="str">
        <f aca="false">IF(A2512="","",YEAR(A2512))</f>
        <v/>
      </c>
      <c r="K2512" s="0" t="str">
        <f aca="false">IF(A2512="","",MONTH(A2512))</f>
        <v/>
      </c>
      <c r="L2512" s="0" t="str">
        <f aca="false">IF(B2512="","",VALUE(LEFT(B2512,2)))</f>
        <v/>
      </c>
      <c r="M2512" s="0" t="str">
        <f aca="false">IF(A2512="","",IF(COUNTIFS($C$2:$C$5001,C2512,$J$2:$J$5001,J2512,$A$2:$A$5001,"&lt;"&amp;A2512)=0,1,0))</f>
        <v/>
      </c>
    </row>
    <row r="2513" customFormat="false" ht="15" hidden="false" customHeight="false" outlineLevel="0" collapsed="false">
      <c r="A2513" s="27"/>
      <c r="F2513" s="28"/>
      <c r="J2513" s="0" t="str">
        <f aca="false">IF(A2513="","",YEAR(A2513))</f>
        <v/>
      </c>
      <c r="K2513" s="0" t="str">
        <f aca="false">IF(A2513="","",MONTH(A2513))</f>
        <v/>
      </c>
      <c r="L2513" s="0" t="str">
        <f aca="false">IF(B2513="","",VALUE(LEFT(B2513,2)))</f>
        <v/>
      </c>
      <c r="M2513" s="0" t="str">
        <f aca="false">IF(A2513="","",IF(COUNTIFS($C$2:$C$5001,C2513,$J$2:$J$5001,J2513,$A$2:$A$5001,"&lt;"&amp;A2513)=0,1,0))</f>
        <v/>
      </c>
    </row>
    <row r="2514" customFormat="false" ht="15" hidden="false" customHeight="false" outlineLevel="0" collapsed="false">
      <c r="A2514" s="27"/>
      <c r="F2514" s="28"/>
      <c r="J2514" s="0" t="str">
        <f aca="false">IF(A2514="","",YEAR(A2514))</f>
        <v/>
      </c>
      <c r="K2514" s="0" t="str">
        <f aca="false">IF(A2514="","",MONTH(A2514))</f>
        <v/>
      </c>
      <c r="L2514" s="0" t="str">
        <f aca="false">IF(B2514="","",VALUE(LEFT(B2514,2)))</f>
        <v/>
      </c>
      <c r="M2514" s="0" t="str">
        <f aca="false">IF(A2514="","",IF(COUNTIFS($C$2:$C$5001,C2514,$J$2:$J$5001,J2514,$A$2:$A$5001,"&lt;"&amp;A2514)=0,1,0))</f>
        <v/>
      </c>
    </row>
    <row r="2515" customFormat="false" ht="15" hidden="false" customHeight="false" outlineLevel="0" collapsed="false">
      <c r="A2515" s="27"/>
      <c r="F2515" s="28"/>
      <c r="J2515" s="0" t="str">
        <f aca="false">IF(A2515="","",YEAR(A2515))</f>
        <v/>
      </c>
      <c r="K2515" s="0" t="str">
        <f aca="false">IF(A2515="","",MONTH(A2515))</f>
        <v/>
      </c>
      <c r="L2515" s="0" t="str">
        <f aca="false">IF(B2515="","",VALUE(LEFT(B2515,2)))</f>
        <v/>
      </c>
      <c r="M2515" s="0" t="str">
        <f aca="false">IF(A2515="","",IF(COUNTIFS($C$2:$C$5001,C2515,$J$2:$J$5001,J2515,$A$2:$A$5001,"&lt;"&amp;A2515)=0,1,0))</f>
        <v/>
      </c>
    </row>
    <row r="2516" customFormat="false" ht="15" hidden="false" customHeight="false" outlineLevel="0" collapsed="false">
      <c r="A2516" s="27"/>
      <c r="F2516" s="28"/>
      <c r="J2516" s="0" t="str">
        <f aca="false">IF(A2516="","",YEAR(A2516))</f>
        <v/>
      </c>
      <c r="K2516" s="0" t="str">
        <f aca="false">IF(A2516="","",MONTH(A2516))</f>
        <v/>
      </c>
      <c r="L2516" s="0" t="str">
        <f aca="false">IF(B2516="","",VALUE(LEFT(B2516,2)))</f>
        <v/>
      </c>
      <c r="M2516" s="0" t="str">
        <f aca="false">IF(A2516="","",IF(COUNTIFS($C$2:$C$5001,C2516,$J$2:$J$5001,J2516,$A$2:$A$5001,"&lt;"&amp;A2516)=0,1,0))</f>
        <v/>
      </c>
    </row>
    <row r="2517" customFormat="false" ht="15" hidden="false" customHeight="false" outlineLevel="0" collapsed="false">
      <c r="A2517" s="27"/>
      <c r="F2517" s="28"/>
      <c r="J2517" s="0" t="str">
        <f aca="false">IF(A2517="","",YEAR(A2517))</f>
        <v/>
      </c>
      <c r="K2517" s="0" t="str">
        <f aca="false">IF(A2517="","",MONTH(A2517))</f>
        <v/>
      </c>
      <c r="L2517" s="0" t="str">
        <f aca="false">IF(B2517="","",VALUE(LEFT(B2517,2)))</f>
        <v/>
      </c>
      <c r="M2517" s="0" t="str">
        <f aca="false">IF(A2517="","",IF(COUNTIFS($C$2:$C$5001,C2517,$J$2:$J$5001,J2517,$A$2:$A$5001,"&lt;"&amp;A2517)=0,1,0))</f>
        <v/>
      </c>
    </row>
    <row r="2518" customFormat="false" ht="15" hidden="false" customHeight="false" outlineLevel="0" collapsed="false">
      <c r="A2518" s="27"/>
      <c r="F2518" s="28"/>
      <c r="J2518" s="0" t="str">
        <f aca="false">IF(A2518="","",YEAR(A2518))</f>
        <v/>
      </c>
      <c r="K2518" s="0" t="str">
        <f aca="false">IF(A2518="","",MONTH(A2518))</f>
        <v/>
      </c>
      <c r="L2518" s="0" t="str">
        <f aca="false">IF(B2518="","",VALUE(LEFT(B2518,2)))</f>
        <v/>
      </c>
      <c r="M2518" s="0" t="str">
        <f aca="false">IF(A2518="","",IF(COUNTIFS($C$2:$C$5001,C2518,$J$2:$J$5001,J2518,$A$2:$A$5001,"&lt;"&amp;A2518)=0,1,0))</f>
        <v/>
      </c>
    </row>
    <row r="2519" customFormat="false" ht="15" hidden="false" customHeight="false" outlineLevel="0" collapsed="false">
      <c r="A2519" s="27"/>
      <c r="F2519" s="28"/>
      <c r="J2519" s="0" t="str">
        <f aca="false">IF(A2519="","",YEAR(A2519))</f>
        <v/>
      </c>
      <c r="K2519" s="0" t="str">
        <f aca="false">IF(A2519="","",MONTH(A2519))</f>
        <v/>
      </c>
      <c r="L2519" s="0" t="str">
        <f aca="false">IF(B2519="","",VALUE(LEFT(B2519,2)))</f>
        <v/>
      </c>
      <c r="M2519" s="0" t="str">
        <f aca="false">IF(A2519="","",IF(COUNTIFS($C$2:$C$5001,C2519,$J$2:$J$5001,J2519,$A$2:$A$5001,"&lt;"&amp;A2519)=0,1,0))</f>
        <v/>
      </c>
    </row>
    <row r="2520" customFormat="false" ht="15" hidden="false" customHeight="false" outlineLevel="0" collapsed="false">
      <c r="A2520" s="27"/>
      <c r="F2520" s="28"/>
      <c r="J2520" s="0" t="str">
        <f aca="false">IF(A2520="","",YEAR(A2520))</f>
        <v/>
      </c>
      <c r="K2520" s="0" t="str">
        <f aca="false">IF(A2520="","",MONTH(A2520))</f>
        <v/>
      </c>
      <c r="L2520" s="0" t="str">
        <f aca="false">IF(B2520="","",VALUE(LEFT(B2520,2)))</f>
        <v/>
      </c>
      <c r="M2520" s="0" t="str">
        <f aca="false">IF(A2520="","",IF(COUNTIFS($C$2:$C$5001,C2520,$J$2:$J$5001,J2520,$A$2:$A$5001,"&lt;"&amp;A2520)=0,1,0))</f>
        <v/>
      </c>
    </row>
    <row r="2521" customFormat="false" ht="15" hidden="false" customHeight="false" outlineLevel="0" collapsed="false">
      <c r="A2521" s="27"/>
      <c r="F2521" s="28"/>
      <c r="J2521" s="0" t="str">
        <f aca="false">IF(A2521="","",YEAR(A2521))</f>
        <v/>
      </c>
      <c r="K2521" s="0" t="str">
        <f aca="false">IF(A2521="","",MONTH(A2521))</f>
        <v/>
      </c>
      <c r="L2521" s="0" t="str">
        <f aca="false">IF(B2521="","",VALUE(LEFT(B2521,2)))</f>
        <v/>
      </c>
      <c r="M2521" s="0" t="str">
        <f aca="false">IF(A2521="","",IF(COUNTIFS($C$2:$C$5001,C2521,$J$2:$J$5001,J2521,$A$2:$A$5001,"&lt;"&amp;A2521)=0,1,0))</f>
        <v/>
      </c>
    </row>
    <row r="2522" customFormat="false" ht="15" hidden="false" customHeight="false" outlineLevel="0" collapsed="false">
      <c r="A2522" s="27"/>
      <c r="F2522" s="28"/>
      <c r="J2522" s="0" t="str">
        <f aca="false">IF(A2522="","",YEAR(A2522))</f>
        <v/>
      </c>
      <c r="K2522" s="0" t="str">
        <f aca="false">IF(A2522="","",MONTH(A2522))</f>
        <v/>
      </c>
      <c r="L2522" s="0" t="str">
        <f aca="false">IF(B2522="","",VALUE(LEFT(B2522,2)))</f>
        <v/>
      </c>
      <c r="M2522" s="0" t="str">
        <f aca="false">IF(A2522="","",IF(COUNTIFS($C$2:$C$5001,C2522,$J$2:$J$5001,J2522,$A$2:$A$5001,"&lt;"&amp;A2522)=0,1,0))</f>
        <v/>
      </c>
    </row>
    <row r="2523" customFormat="false" ht="15" hidden="false" customHeight="false" outlineLevel="0" collapsed="false">
      <c r="A2523" s="27"/>
      <c r="F2523" s="28"/>
      <c r="J2523" s="0" t="str">
        <f aca="false">IF(A2523="","",YEAR(A2523))</f>
        <v/>
      </c>
      <c r="K2523" s="0" t="str">
        <f aca="false">IF(A2523="","",MONTH(A2523))</f>
        <v/>
      </c>
      <c r="L2523" s="0" t="str">
        <f aca="false">IF(B2523="","",VALUE(LEFT(B2523,2)))</f>
        <v/>
      </c>
      <c r="M2523" s="0" t="str">
        <f aca="false">IF(A2523="","",IF(COUNTIFS($C$2:$C$5001,C2523,$J$2:$J$5001,J2523,$A$2:$A$5001,"&lt;"&amp;A2523)=0,1,0))</f>
        <v/>
      </c>
    </row>
    <row r="2524" customFormat="false" ht="15" hidden="false" customHeight="false" outlineLevel="0" collapsed="false">
      <c r="A2524" s="27"/>
      <c r="F2524" s="28"/>
      <c r="J2524" s="0" t="str">
        <f aca="false">IF(A2524="","",YEAR(A2524))</f>
        <v/>
      </c>
      <c r="K2524" s="0" t="str">
        <f aca="false">IF(A2524="","",MONTH(A2524))</f>
        <v/>
      </c>
      <c r="L2524" s="0" t="str">
        <f aca="false">IF(B2524="","",VALUE(LEFT(B2524,2)))</f>
        <v/>
      </c>
      <c r="M2524" s="0" t="str">
        <f aca="false">IF(A2524="","",IF(COUNTIFS($C$2:$C$5001,C2524,$J$2:$J$5001,J2524,$A$2:$A$5001,"&lt;"&amp;A2524)=0,1,0))</f>
        <v/>
      </c>
    </row>
    <row r="2525" customFormat="false" ht="15" hidden="false" customHeight="false" outlineLevel="0" collapsed="false">
      <c r="A2525" s="27"/>
      <c r="F2525" s="28"/>
      <c r="J2525" s="0" t="str">
        <f aca="false">IF(A2525="","",YEAR(A2525))</f>
        <v/>
      </c>
      <c r="K2525" s="0" t="str">
        <f aca="false">IF(A2525="","",MONTH(A2525))</f>
        <v/>
      </c>
      <c r="L2525" s="0" t="str">
        <f aca="false">IF(B2525="","",VALUE(LEFT(B2525,2)))</f>
        <v/>
      </c>
      <c r="M2525" s="0" t="str">
        <f aca="false">IF(A2525="","",IF(COUNTIFS($C$2:$C$5001,C2525,$J$2:$J$5001,J2525,$A$2:$A$5001,"&lt;"&amp;A2525)=0,1,0))</f>
        <v/>
      </c>
    </row>
    <row r="2526" customFormat="false" ht="15" hidden="false" customHeight="false" outlineLevel="0" collapsed="false">
      <c r="A2526" s="27"/>
      <c r="F2526" s="28"/>
      <c r="J2526" s="0" t="str">
        <f aca="false">IF(A2526="","",YEAR(A2526))</f>
        <v/>
      </c>
      <c r="K2526" s="0" t="str">
        <f aca="false">IF(A2526="","",MONTH(A2526))</f>
        <v/>
      </c>
      <c r="L2526" s="0" t="str">
        <f aca="false">IF(B2526="","",VALUE(LEFT(B2526,2)))</f>
        <v/>
      </c>
      <c r="M2526" s="0" t="str">
        <f aca="false">IF(A2526="","",IF(COUNTIFS($C$2:$C$5001,C2526,$J$2:$J$5001,J2526,$A$2:$A$5001,"&lt;"&amp;A2526)=0,1,0))</f>
        <v/>
      </c>
    </row>
    <row r="2527" customFormat="false" ht="15" hidden="false" customHeight="false" outlineLevel="0" collapsed="false">
      <c r="A2527" s="27"/>
      <c r="F2527" s="28"/>
      <c r="J2527" s="0" t="str">
        <f aca="false">IF(A2527="","",YEAR(A2527))</f>
        <v/>
      </c>
      <c r="K2527" s="0" t="str">
        <f aca="false">IF(A2527="","",MONTH(A2527))</f>
        <v/>
      </c>
      <c r="L2527" s="0" t="str">
        <f aca="false">IF(B2527="","",VALUE(LEFT(B2527,2)))</f>
        <v/>
      </c>
      <c r="M2527" s="0" t="str">
        <f aca="false">IF(A2527="","",IF(COUNTIFS($C$2:$C$5001,C2527,$J$2:$J$5001,J2527,$A$2:$A$5001,"&lt;"&amp;A2527)=0,1,0))</f>
        <v/>
      </c>
    </row>
    <row r="2528" customFormat="false" ht="15" hidden="false" customHeight="false" outlineLevel="0" collapsed="false">
      <c r="A2528" s="27"/>
      <c r="F2528" s="28"/>
      <c r="J2528" s="0" t="str">
        <f aca="false">IF(A2528="","",YEAR(A2528))</f>
        <v/>
      </c>
      <c r="K2528" s="0" t="str">
        <f aca="false">IF(A2528="","",MONTH(A2528))</f>
        <v/>
      </c>
      <c r="L2528" s="0" t="str">
        <f aca="false">IF(B2528="","",VALUE(LEFT(B2528,2)))</f>
        <v/>
      </c>
      <c r="M2528" s="0" t="str">
        <f aca="false">IF(A2528="","",IF(COUNTIFS($C$2:$C$5001,C2528,$J$2:$J$5001,J2528,$A$2:$A$5001,"&lt;"&amp;A2528)=0,1,0))</f>
        <v/>
      </c>
    </row>
    <row r="2529" customFormat="false" ht="15" hidden="false" customHeight="false" outlineLevel="0" collapsed="false">
      <c r="A2529" s="27"/>
      <c r="F2529" s="28"/>
      <c r="J2529" s="0" t="str">
        <f aca="false">IF(A2529="","",YEAR(A2529))</f>
        <v/>
      </c>
      <c r="K2529" s="0" t="str">
        <f aca="false">IF(A2529="","",MONTH(A2529))</f>
        <v/>
      </c>
      <c r="L2529" s="0" t="str">
        <f aca="false">IF(B2529="","",VALUE(LEFT(B2529,2)))</f>
        <v/>
      </c>
      <c r="M2529" s="0" t="str">
        <f aca="false">IF(A2529="","",IF(COUNTIFS($C$2:$C$5001,C2529,$J$2:$J$5001,J2529,$A$2:$A$5001,"&lt;"&amp;A2529)=0,1,0))</f>
        <v/>
      </c>
    </row>
    <row r="2530" customFormat="false" ht="15" hidden="false" customHeight="false" outlineLevel="0" collapsed="false">
      <c r="A2530" s="27"/>
      <c r="F2530" s="28"/>
      <c r="J2530" s="0" t="str">
        <f aca="false">IF(A2530="","",YEAR(A2530))</f>
        <v/>
      </c>
      <c r="K2530" s="0" t="str">
        <f aca="false">IF(A2530="","",MONTH(A2530))</f>
        <v/>
      </c>
      <c r="L2530" s="0" t="str">
        <f aca="false">IF(B2530="","",VALUE(LEFT(B2530,2)))</f>
        <v/>
      </c>
      <c r="M2530" s="0" t="str">
        <f aca="false">IF(A2530="","",IF(COUNTIFS($C$2:$C$5001,C2530,$J$2:$J$5001,J2530,$A$2:$A$5001,"&lt;"&amp;A2530)=0,1,0))</f>
        <v/>
      </c>
    </row>
    <row r="2531" customFormat="false" ht="15" hidden="false" customHeight="false" outlineLevel="0" collapsed="false">
      <c r="A2531" s="27"/>
      <c r="F2531" s="28"/>
      <c r="J2531" s="0" t="str">
        <f aca="false">IF(A2531="","",YEAR(A2531))</f>
        <v/>
      </c>
      <c r="K2531" s="0" t="str">
        <f aca="false">IF(A2531="","",MONTH(A2531))</f>
        <v/>
      </c>
      <c r="L2531" s="0" t="str">
        <f aca="false">IF(B2531="","",VALUE(LEFT(B2531,2)))</f>
        <v/>
      </c>
      <c r="M2531" s="0" t="str">
        <f aca="false">IF(A2531="","",IF(COUNTIFS($C$2:$C$5001,C2531,$J$2:$J$5001,J2531,$A$2:$A$5001,"&lt;"&amp;A2531)=0,1,0))</f>
        <v/>
      </c>
    </row>
    <row r="2532" customFormat="false" ht="15" hidden="false" customHeight="false" outlineLevel="0" collapsed="false">
      <c r="A2532" s="27"/>
      <c r="F2532" s="28"/>
      <c r="J2532" s="0" t="str">
        <f aca="false">IF(A2532="","",YEAR(A2532))</f>
        <v/>
      </c>
      <c r="K2532" s="0" t="str">
        <f aca="false">IF(A2532="","",MONTH(A2532))</f>
        <v/>
      </c>
      <c r="L2532" s="0" t="str">
        <f aca="false">IF(B2532="","",VALUE(LEFT(B2532,2)))</f>
        <v/>
      </c>
      <c r="M2532" s="0" t="str">
        <f aca="false">IF(A2532="","",IF(COUNTIFS($C$2:$C$5001,C2532,$J$2:$J$5001,J2532,$A$2:$A$5001,"&lt;"&amp;A2532)=0,1,0))</f>
        <v/>
      </c>
    </row>
    <row r="2533" customFormat="false" ht="15" hidden="false" customHeight="false" outlineLevel="0" collapsed="false">
      <c r="A2533" s="27"/>
      <c r="F2533" s="28"/>
      <c r="J2533" s="0" t="str">
        <f aca="false">IF(A2533="","",YEAR(A2533))</f>
        <v/>
      </c>
      <c r="K2533" s="0" t="str">
        <f aca="false">IF(A2533="","",MONTH(A2533))</f>
        <v/>
      </c>
      <c r="L2533" s="0" t="str">
        <f aca="false">IF(B2533="","",VALUE(LEFT(B2533,2)))</f>
        <v/>
      </c>
      <c r="M2533" s="0" t="str">
        <f aca="false">IF(A2533="","",IF(COUNTIFS($C$2:$C$5001,C2533,$J$2:$J$5001,J2533,$A$2:$A$5001,"&lt;"&amp;A2533)=0,1,0))</f>
        <v/>
      </c>
    </row>
    <row r="2534" customFormat="false" ht="15" hidden="false" customHeight="false" outlineLevel="0" collapsed="false">
      <c r="A2534" s="27"/>
      <c r="F2534" s="28"/>
      <c r="J2534" s="0" t="str">
        <f aca="false">IF(A2534="","",YEAR(A2534))</f>
        <v/>
      </c>
      <c r="K2534" s="0" t="str">
        <f aca="false">IF(A2534="","",MONTH(A2534))</f>
        <v/>
      </c>
      <c r="L2534" s="0" t="str">
        <f aca="false">IF(B2534="","",VALUE(LEFT(B2534,2)))</f>
        <v/>
      </c>
      <c r="M2534" s="0" t="str">
        <f aca="false">IF(A2534="","",IF(COUNTIFS($C$2:$C$5001,C2534,$J$2:$J$5001,J2534,$A$2:$A$5001,"&lt;"&amp;A2534)=0,1,0))</f>
        <v/>
      </c>
    </row>
    <row r="2535" customFormat="false" ht="15" hidden="false" customHeight="false" outlineLevel="0" collapsed="false">
      <c r="A2535" s="27"/>
      <c r="F2535" s="28"/>
      <c r="J2535" s="0" t="str">
        <f aca="false">IF(A2535="","",YEAR(A2535))</f>
        <v/>
      </c>
      <c r="K2535" s="0" t="str">
        <f aca="false">IF(A2535="","",MONTH(A2535))</f>
        <v/>
      </c>
      <c r="L2535" s="0" t="str">
        <f aca="false">IF(B2535="","",VALUE(LEFT(B2535,2)))</f>
        <v/>
      </c>
      <c r="M2535" s="0" t="str">
        <f aca="false">IF(A2535="","",IF(COUNTIFS($C$2:$C$5001,C2535,$J$2:$J$5001,J2535,$A$2:$A$5001,"&lt;"&amp;A2535)=0,1,0))</f>
        <v/>
      </c>
    </row>
    <row r="2536" customFormat="false" ht="15" hidden="false" customHeight="false" outlineLevel="0" collapsed="false">
      <c r="A2536" s="27"/>
      <c r="F2536" s="28"/>
      <c r="J2536" s="0" t="str">
        <f aca="false">IF(A2536="","",YEAR(A2536))</f>
        <v/>
      </c>
      <c r="K2536" s="0" t="str">
        <f aca="false">IF(A2536="","",MONTH(A2536))</f>
        <v/>
      </c>
      <c r="L2536" s="0" t="str">
        <f aca="false">IF(B2536="","",VALUE(LEFT(B2536,2)))</f>
        <v/>
      </c>
      <c r="M2536" s="0" t="str">
        <f aca="false">IF(A2536="","",IF(COUNTIFS($C$2:$C$5001,C2536,$J$2:$J$5001,J2536,$A$2:$A$5001,"&lt;"&amp;A2536)=0,1,0))</f>
        <v/>
      </c>
    </row>
    <row r="2537" customFormat="false" ht="15" hidden="false" customHeight="false" outlineLevel="0" collapsed="false">
      <c r="A2537" s="27"/>
      <c r="F2537" s="28"/>
      <c r="J2537" s="0" t="str">
        <f aca="false">IF(A2537="","",YEAR(A2537))</f>
        <v/>
      </c>
      <c r="K2537" s="0" t="str">
        <f aca="false">IF(A2537="","",MONTH(A2537))</f>
        <v/>
      </c>
      <c r="L2537" s="0" t="str">
        <f aca="false">IF(B2537="","",VALUE(LEFT(B2537,2)))</f>
        <v/>
      </c>
      <c r="M2537" s="0" t="str">
        <f aca="false">IF(A2537="","",IF(COUNTIFS($C$2:$C$5001,C2537,$J$2:$J$5001,J2537,$A$2:$A$5001,"&lt;"&amp;A2537)=0,1,0))</f>
        <v/>
      </c>
    </row>
    <row r="2538" customFormat="false" ht="15" hidden="false" customHeight="false" outlineLevel="0" collapsed="false">
      <c r="A2538" s="27"/>
      <c r="F2538" s="28"/>
      <c r="J2538" s="0" t="str">
        <f aca="false">IF(A2538="","",YEAR(A2538))</f>
        <v/>
      </c>
      <c r="K2538" s="0" t="str">
        <f aca="false">IF(A2538="","",MONTH(A2538))</f>
        <v/>
      </c>
      <c r="L2538" s="0" t="str">
        <f aca="false">IF(B2538="","",VALUE(LEFT(B2538,2)))</f>
        <v/>
      </c>
      <c r="M2538" s="0" t="str">
        <f aca="false">IF(A2538="","",IF(COUNTIFS($C$2:$C$5001,C2538,$J$2:$J$5001,J2538,$A$2:$A$5001,"&lt;"&amp;A2538)=0,1,0))</f>
        <v/>
      </c>
    </row>
    <row r="2539" customFormat="false" ht="15" hidden="false" customHeight="false" outlineLevel="0" collapsed="false">
      <c r="A2539" s="27"/>
      <c r="F2539" s="28"/>
      <c r="J2539" s="0" t="str">
        <f aca="false">IF(A2539="","",YEAR(A2539))</f>
        <v/>
      </c>
      <c r="K2539" s="0" t="str">
        <f aca="false">IF(A2539="","",MONTH(A2539))</f>
        <v/>
      </c>
      <c r="L2539" s="0" t="str">
        <f aca="false">IF(B2539="","",VALUE(LEFT(B2539,2)))</f>
        <v/>
      </c>
      <c r="M2539" s="0" t="str">
        <f aca="false">IF(A2539="","",IF(COUNTIFS($C$2:$C$5001,C2539,$J$2:$J$5001,J2539,$A$2:$A$5001,"&lt;"&amp;A2539)=0,1,0))</f>
        <v/>
      </c>
    </row>
    <row r="2540" customFormat="false" ht="15" hidden="false" customHeight="false" outlineLevel="0" collapsed="false">
      <c r="A2540" s="27"/>
      <c r="F2540" s="28"/>
      <c r="J2540" s="0" t="str">
        <f aca="false">IF(A2540="","",YEAR(A2540))</f>
        <v/>
      </c>
      <c r="K2540" s="0" t="str">
        <f aca="false">IF(A2540="","",MONTH(A2540))</f>
        <v/>
      </c>
      <c r="L2540" s="0" t="str">
        <f aca="false">IF(B2540="","",VALUE(LEFT(B2540,2)))</f>
        <v/>
      </c>
      <c r="M2540" s="0" t="str">
        <f aca="false">IF(A2540="","",IF(COUNTIFS($C$2:$C$5001,C2540,$J$2:$J$5001,J2540,$A$2:$A$5001,"&lt;"&amp;A2540)=0,1,0))</f>
        <v/>
      </c>
    </row>
    <row r="2541" customFormat="false" ht="15" hidden="false" customHeight="false" outlineLevel="0" collapsed="false">
      <c r="A2541" s="27"/>
      <c r="F2541" s="28"/>
      <c r="J2541" s="0" t="str">
        <f aca="false">IF(A2541="","",YEAR(A2541))</f>
        <v/>
      </c>
      <c r="K2541" s="0" t="str">
        <f aca="false">IF(A2541="","",MONTH(A2541))</f>
        <v/>
      </c>
      <c r="L2541" s="0" t="str">
        <f aca="false">IF(B2541="","",VALUE(LEFT(B2541,2)))</f>
        <v/>
      </c>
      <c r="M2541" s="0" t="str">
        <f aca="false">IF(A2541="","",IF(COUNTIFS($C$2:$C$5001,C2541,$J$2:$J$5001,J2541,$A$2:$A$5001,"&lt;"&amp;A2541)=0,1,0))</f>
        <v/>
      </c>
    </row>
    <row r="2542" customFormat="false" ht="15" hidden="false" customHeight="false" outlineLevel="0" collapsed="false">
      <c r="A2542" s="27"/>
      <c r="F2542" s="28"/>
      <c r="J2542" s="0" t="str">
        <f aca="false">IF(A2542="","",YEAR(A2542))</f>
        <v/>
      </c>
      <c r="K2542" s="0" t="str">
        <f aca="false">IF(A2542="","",MONTH(A2542))</f>
        <v/>
      </c>
      <c r="L2542" s="0" t="str">
        <f aca="false">IF(B2542="","",VALUE(LEFT(B2542,2)))</f>
        <v/>
      </c>
      <c r="M2542" s="0" t="str">
        <f aca="false">IF(A2542="","",IF(COUNTIFS($C$2:$C$5001,C2542,$J$2:$J$5001,J2542,$A$2:$A$5001,"&lt;"&amp;A2542)=0,1,0))</f>
        <v/>
      </c>
    </row>
    <row r="2543" customFormat="false" ht="15" hidden="false" customHeight="false" outlineLevel="0" collapsed="false">
      <c r="A2543" s="27"/>
      <c r="F2543" s="28"/>
      <c r="J2543" s="0" t="str">
        <f aca="false">IF(A2543="","",YEAR(A2543))</f>
        <v/>
      </c>
      <c r="K2543" s="0" t="str">
        <f aca="false">IF(A2543="","",MONTH(A2543))</f>
        <v/>
      </c>
      <c r="L2543" s="0" t="str">
        <f aca="false">IF(B2543="","",VALUE(LEFT(B2543,2)))</f>
        <v/>
      </c>
      <c r="M2543" s="0" t="str">
        <f aca="false">IF(A2543="","",IF(COUNTIFS($C$2:$C$5001,C2543,$J$2:$J$5001,J2543,$A$2:$A$5001,"&lt;"&amp;A2543)=0,1,0))</f>
        <v/>
      </c>
    </row>
    <row r="2544" customFormat="false" ht="15" hidden="false" customHeight="false" outlineLevel="0" collapsed="false">
      <c r="A2544" s="27"/>
      <c r="F2544" s="28"/>
      <c r="J2544" s="0" t="str">
        <f aca="false">IF(A2544="","",YEAR(A2544))</f>
        <v/>
      </c>
      <c r="K2544" s="0" t="str">
        <f aca="false">IF(A2544="","",MONTH(A2544))</f>
        <v/>
      </c>
      <c r="L2544" s="0" t="str">
        <f aca="false">IF(B2544="","",VALUE(LEFT(B2544,2)))</f>
        <v/>
      </c>
      <c r="M2544" s="0" t="str">
        <f aca="false">IF(A2544="","",IF(COUNTIFS($C$2:$C$5001,C2544,$J$2:$J$5001,J2544,$A$2:$A$5001,"&lt;"&amp;A2544)=0,1,0))</f>
        <v/>
      </c>
    </row>
    <row r="2545" customFormat="false" ht="15" hidden="false" customHeight="false" outlineLevel="0" collapsed="false">
      <c r="A2545" s="27"/>
      <c r="F2545" s="28"/>
      <c r="J2545" s="0" t="str">
        <f aca="false">IF(A2545="","",YEAR(A2545))</f>
        <v/>
      </c>
      <c r="K2545" s="0" t="str">
        <f aca="false">IF(A2545="","",MONTH(A2545))</f>
        <v/>
      </c>
      <c r="L2545" s="0" t="str">
        <f aca="false">IF(B2545="","",VALUE(LEFT(B2545,2)))</f>
        <v/>
      </c>
      <c r="M2545" s="0" t="str">
        <f aca="false">IF(A2545="","",IF(COUNTIFS($C$2:$C$5001,C2545,$J$2:$J$5001,J2545,$A$2:$A$5001,"&lt;"&amp;A2545)=0,1,0))</f>
        <v/>
      </c>
    </row>
    <row r="2546" customFormat="false" ht="15" hidden="false" customHeight="false" outlineLevel="0" collapsed="false">
      <c r="A2546" s="27"/>
      <c r="F2546" s="28"/>
      <c r="J2546" s="0" t="str">
        <f aca="false">IF(A2546="","",YEAR(A2546))</f>
        <v/>
      </c>
      <c r="K2546" s="0" t="str">
        <f aca="false">IF(A2546="","",MONTH(A2546))</f>
        <v/>
      </c>
      <c r="L2546" s="0" t="str">
        <f aca="false">IF(B2546="","",VALUE(LEFT(B2546,2)))</f>
        <v/>
      </c>
      <c r="M2546" s="0" t="str">
        <f aca="false">IF(A2546="","",IF(COUNTIFS($C$2:$C$5001,C2546,$J$2:$J$5001,J2546,$A$2:$A$5001,"&lt;"&amp;A2546)=0,1,0))</f>
        <v/>
      </c>
    </row>
    <row r="2547" customFormat="false" ht="15" hidden="false" customHeight="false" outlineLevel="0" collapsed="false">
      <c r="A2547" s="27"/>
      <c r="F2547" s="28"/>
      <c r="J2547" s="0" t="str">
        <f aca="false">IF(A2547="","",YEAR(A2547))</f>
        <v/>
      </c>
      <c r="K2547" s="0" t="str">
        <f aca="false">IF(A2547="","",MONTH(A2547))</f>
        <v/>
      </c>
      <c r="L2547" s="0" t="str">
        <f aca="false">IF(B2547="","",VALUE(LEFT(B2547,2)))</f>
        <v/>
      </c>
      <c r="M2547" s="0" t="str">
        <f aca="false">IF(A2547="","",IF(COUNTIFS($C$2:$C$5001,C2547,$J$2:$J$5001,J2547,$A$2:$A$5001,"&lt;"&amp;A2547)=0,1,0))</f>
        <v/>
      </c>
    </row>
    <row r="2548" customFormat="false" ht="15" hidden="false" customHeight="false" outlineLevel="0" collapsed="false">
      <c r="A2548" s="27"/>
      <c r="F2548" s="28"/>
      <c r="J2548" s="0" t="str">
        <f aca="false">IF(A2548="","",YEAR(A2548))</f>
        <v/>
      </c>
      <c r="K2548" s="0" t="str">
        <f aca="false">IF(A2548="","",MONTH(A2548))</f>
        <v/>
      </c>
      <c r="L2548" s="0" t="str">
        <f aca="false">IF(B2548="","",VALUE(LEFT(B2548,2)))</f>
        <v/>
      </c>
      <c r="M2548" s="0" t="str">
        <f aca="false">IF(A2548="","",IF(COUNTIFS($C$2:$C$5001,C2548,$J$2:$J$5001,J2548,$A$2:$A$5001,"&lt;"&amp;A2548)=0,1,0))</f>
        <v/>
      </c>
    </row>
    <row r="2549" customFormat="false" ht="15" hidden="false" customHeight="false" outlineLevel="0" collapsed="false">
      <c r="A2549" s="27"/>
      <c r="F2549" s="28"/>
      <c r="J2549" s="0" t="str">
        <f aca="false">IF(A2549="","",YEAR(A2549))</f>
        <v/>
      </c>
      <c r="K2549" s="0" t="str">
        <f aca="false">IF(A2549="","",MONTH(A2549))</f>
        <v/>
      </c>
      <c r="L2549" s="0" t="str">
        <f aca="false">IF(B2549="","",VALUE(LEFT(B2549,2)))</f>
        <v/>
      </c>
      <c r="M2549" s="0" t="str">
        <f aca="false">IF(A2549="","",IF(COUNTIFS($C$2:$C$5001,C2549,$J$2:$J$5001,J2549,$A$2:$A$5001,"&lt;"&amp;A2549)=0,1,0))</f>
        <v/>
      </c>
    </row>
    <row r="2550" customFormat="false" ht="15" hidden="false" customHeight="false" outlineLevel="0" collapsed="false">
      <c r="A2550" s="27"/>
      <c r="F2550" s="28"/>
      <c r="J2550" s="0" t="str">
        <f aca="false">IF(A2550="","",YEAR(A2550))</f>
        <v/>
      </c>
      <c r="K2550" s="0" t="str">
        <f aca="false">IF(A2550="","",MONTH(A2550))</f>
        <v/>
      </c>
      <c r="L2550" s="0" t="str">
        <f aca="false">IF(B2550="","",VALUE(LEFT(B2550,2)))</f>
        <v/>
      </c>
      <c r="M2550" s="0" t="str">
        <f aca="false">IF(A2550="","",IF(COUNTIFS($C$2:$C$5001,C2550,$J$2:$J$5001,J2550,$A$2:$A$5001,"&lt;"&amp;A2550)=0,1,0))</f>
        <v/>
      </c>
    </row>
    <row r="2551" customFormat="false" ht="15" hidden="false" customHeight="false" outlineLevel="0" collapsed="false">
      <c r="A2551" s="27"/>
      <c r="F2551" s="28"/>
      <c r="J2551" s="0" t="str">
        <f aca="false">IF(A2551="","",YEAR(A2551))</f>
        <v/>
      </c>
      <c r="K2551" s="0" t="str">
        <f aca="false">IF(A2551="","",MONTH(A2551))</f>
        <v/>
      </c>
      <c r="L2551" s="0" t="str">
        <f aca="false">IF(B2551="","",VALUE(LEFT(B2551,2)))</f>
        <v/>
      </c>
      <c r="M2551" s="0" t="str">
        <f aca="false">IF(A2551="","",IF(COUNTIFS($C$2:$C$5001,C2551,$J$2:$J$5001,J2551,$A$2:$A$5001,"&lt;"&amp;A2551)=0,1,0))</f>
        <v/>
      </c>
    </row>
    <row r="2552" customFormat="false" ht="15" hidden="false" customHeight="false" outlineLevel="0" collapsed="false">
      <c r="A2552" s="27"/>
      <c r="F2552" s="28"/>
      <c r="J2552" s="0" t="str">
        <f aca="false">IF(A2552="","",YEAR(A2552))</f>
        <v/>
      </c>
      <c r="K2552" s="0" t="str">
        <f aca="false">IF(A2552="","",MONTH(A2552))</f>
        <v/>
      </c>
      <c r="L2552" s="0" t="str">
        <f aca="false">IF(B2552="","",VALUE(LEFT(B2552,2)))</f>
        <v/>
      </c>
      <c r="M2552" s="0" t="str">
        <f aca="false">IF(A2552="","",IF(COUNTIFS($C$2:$C$5001,C2552,$J$2:$J$5001,J2552,$A$2:$A$5001,"&lt;"&amp;A2552)=0,1,0))</f>
        <v/>
      </c>
    </row>
    <row r="2553" customFormat="false" ht="15" hidden="false" customHeight="false" outlineLevel="0" collapsed="false">
      <c r="A2553" s="27"/>
      <c r="F2553" s="28"/>
      <c r="J2553" s="0" t="str">
        <f aca="false">IF(A2553="","",YEAR(A2553))</f>
        <v/>
      </c>
      <c r="K2553" s="0" t="str">
        <f aca="false">IF(A2553="","",MONTH(A2553))</f>
        <v/>
      </c>
      <c r="L2553" s="0" t="str">
        <f aca="false">IF(B2553="","",VALUE(LEFT(B2553,2)))</f>
        <v/>
      </c>
      <c r="M2553" s="0" t="str">
        <f aca="false">IF(A2553="","",IF(COUNTIFS($C$2:$C$5001,C2553,$J$2:$J$5001,J2553,$A$2:$A$5001,"&lt;"&amp;A2553)=0,1,0))</f>
        <v/>
      </c>
    </row>
    <row r="2554" customFormat="false" ht="15" hidden="false" customHeight="false" outlineLevel="0" collapsed="false">
      <c r="A2554" s="27"/>
      <c r="F2554" s="28"/>
      <c r="J2554" s="0" t="str">
        <f aca="false">IF(A2554="","",YEAR(A2554))</f>
        <v/>
      </c>
      <c r="K2554" s="0" t="str">
        <f aca="false">IF(A2554="","",MONTH(A2554))</f>
        <v/>
      </c>
      <c r="L2554" s="0" t="str">
        <f aca="false">IF(B2554="","",VALUE(LEFT(B2554,2)))</f>
        <v/>
      </c>
      <c r="M2554" s="0" t="str">
        <f aca="false">IF(A2554="","",IF(COUNTIFS($C$2:$C$5001,C2554,$J$2:$J$5001,J2554,$A$2:$A$5001,"&lt;"&amp;A2554)=0,1,0))</f>
        <v/>
      </c>
    </row>
    <row r="2555" customFormat="false" ht="15" hidden="false" customHeight="false" outlineLevel="0" collapsed="false">
      <c r="A2555" s="27"/>
      <c r="F2555" s="28"/>
      <c r="J2555" s="0" t="str">
        <f aca="false">IF(A2555="","",YEAR(A2555))</f>
        <v/>
      </c>
      <c r="K2555" s="0" t="str">
        <f aca="false">IF(A2555="","",MONTH(A2555))</f>
        <v/>
      </c>
      <c r="L2555" s="0" t="str">
        <f aca="false">IF(B2555="","",VALUE(LEFT(B2555,2)))</f>
        <v/>
      </c>
      <c r="M2555" s="0" t="str">
        <f aca="false">IF(A2555="","",IF(COUNTIFS($C$2:$C$5001,C2555,$J$2:$J$5001,J2555,$A$2:$A$5001,"&lt;"&amp;A2555)=0,1,0))</f>
        <v/>
      </c>
    </row>
    <row r="2556" customFormat="false" ht="15" hidden="false" customHeight="false" outlineLevel="0" collapsed="false">
      <c r="A2556" s="27"/>
      <c r="F2556" s="28"/>
      <c r="J2556" s="0" t="str">
        <f aca="false">IF(A2556="","",YEAR(A2556))</f>
        <v/>
      </c>
      <c r="K2556" s="0" t="str">
        <f aca="false">IF(A2556="","",MONTH(A2556))</f>
        <v/>
      </c>
      <c r="L2556" s="0" t="str">
        <f aca="false">IF(B2556="","",VALUE(LEFT(B2556,2)))</f>
        <v/>
      </c>
      <c r="M2556" s="0" t="str">
        <f aca="false">IF(A2556="","",IF(COUNTIFS($C$2:$C$5001,C2556,$J$2:$J$5001,J2556,$A$2:$A$5001,"&lt;"&amp;A2556)=0,1,0))</f>
        <v/>
      </c>
    </row>
    <row r="2557" customFormat="false" ht="15" hidden="false" customHeight="false" outlineLevel="0" collapsed="false">
      <c r="A2557" s="27"/>
      <c r="F2557" s="28"/>
      <c r="J2557" s="0" t="str">
        <f aca="false">IF(A2557="","",YEAR(A2557))</f>
        <v/>
      </c>
      <c r="K2557" s="0" t="str">
        <f aca="false">IF(A2557="","",MONTH(A2557))</f>
        <v/>
      </c>
      <c r="L2557" s="0" t="str">
        <f aca="false">IF(B2557="","",VALUE(LEFT(B2557,2)))</f>
        <v/>
      </c>
      <c r="M2557" s="0" t="str">
        <f aca="false">IF(A2557="","",IF(COUNTIFS($C$2:$C$5001,C2557,$J$2:$J$5001,J2557,$A$2:$A$5001,"&lt;"&amp;A2557)=0,1,0))</f>
        <v/>
      </c>
    </row>
    <row r="2558" customFormat="false" ht="15" hidden="false" customHeight="false" outlineLevel="0" collapsed="false">
      <c r="A2558" s="27"/>
      <c r="F2558" s="28"/>
      <c r="J2558" s="0" t="str">
        <f aca="false">IF(A2558="","",YEAR(A2558))</f>
        <v/>
      </c>
      <c r="K2558" s="0" t="str">
        <f aca="false">IF(A2558="","",MONTH(A2558))</f>
        <v/>
      </c>
      <c r="L2558" s="0" t="str">
        <f aca="false">IF(B2558="","",VALUE(LEFT(B2558,2)))</f>
        <v/>
      </c>
      <c r="M2558" s="0" t="str">
        <f aca="false">IF(A2558="","",IF(COUNTIFS($C$2:$C$5001,C2558,$J$2:$J$5001,J2558,$A$2:$A$5001,"&lt;"&amp;A2558)=0,1,0))</f>
        <v/>
      </c>
    </row>
    <row r="2559" customFormat="false" ht="15" hidden="false" customHeight="false" outlineLevel="0" collapsed="false">
      <c r="A2559" s="27"/>
      <c r="F2559" s="28"/>
      <c r="J2559" s="0" t="str">
        <f aca="false">IF(A2559="","",YEAR(A2559))</f>
        <v/>
      </c>
      <c r="K2559" s="0" t="str">
        <f aca="false">IF(A2559="","",MONTH(A2559))</f>
        <v/>
      </c>
      <c r="L2559" s="0" t="str">
        <f aca="false">IF(B2559="","",VALUE(LEFT(B2559,2)))</f>
        <v/>
      </c>
      <c r="M2559" s="0" t="str">
        <f aca="false">IF(A2559="","",IF(COUNTIFS($C$2:$C$5001,C2559,$J$2:$J$5001,J2559,$A$2:$A$5001,"&lt;"&amp;A2559)=0,1,0))</f>
        <v/>
      </c>
    </row>
    <row r="2560" customFormat="false" ht="15" hidden="false" customHeight="false" outlineLevel="0" collapsed="false">
      <c r="A2560" s="27"/>
      <c r="F2560" s="28"/>
      <c r="J2560" s="0" t="str">
        <f aca="false">IF(A2560="","",YEAR(A2560))</f>
        <v/>
      </c>
      <c r="K2560" s="0" t="str">
        <f aca="false">IF(A2560="","",MONTH(A2560))</f>
        <v/>
      </c>
      <c r="L2560" s="0" t="str">
        <f aca="false">IF(B2560="","",VALUE(LEFT(B2560,2)))</f>
        <v/>
      </c>
      <c r="M2560" s="0" t="str">
        <f aca="false">IF(A2560="","",IF(COUNTIFS($C$2:$C$5001,C2560,$J$2:$J$5001,J2560,$A$2:$A$5001,"&lt;"&amp;A2560)=0,1,0))</f>
        <v/>
      </c>
    </row>
    <row r="2561" customFormat="false" ht="15" hidden="false" customHeight="false" outlineLevel="0" collapsed="false">
      <c r="A2561" s="27"/>
      <c r="F2561" s="28"/>
      <c r="J2561" s="0" t="str">
        <f aca="false">IF(A2561="","",YEAR(A2561))</f>
        <v/>
      </c>
      <c r="K2561" s="0" t="str">
        <f aca="false">IF(A2561="","",MONTH(A2561))</f>
        <v/>
      </c>
      <c r="L2561" s="0" t="str">
        <f aca="false">IF(B2561="","",VALUE(LEFT(B2561,2)))</f>
        <v/>
      </c>
      <c r="M2561" s="0" t="str">
        <f aca="false">IF(A2561="","",IF(COUNTIFS($C$2:$C$5001,C2561,$J$2:$J$5001,J2561,$A$2:$A$5001,"&lt;"&amp;A2561)=0,1,0))</f>
        <v/>
      </c>
    </row>
    <row r="2562" customFormat="false" ht="15" hidden="false" customHeight="false" outlineLevel="0" collapsed="false">
      <c r="A2562" s="27"/>
      <c r="F2562" s="28"/>
      <c r="J2562" s="0" t="str">
        <f aca="false">IF(A2562="","",YEAR(A2562))</f>
        <v/>
      </c>
      <c r="K2562" s="0" t="str">
        <f aca="false">IF(A2562="","",MONTH(A2562))</f>
        <v/>
      </c>
      <c r="L2562" s="0" t="str">
        <f aca="false">IF(B2562="","",VALUE(LEFT(B2562,2)))</f>
        <v/>
      </c>
      <c r="M2562" s="0" t="str">
        <f aca="false">IF(A2562="","",IF(COUNTIFS($C$2:$C$5001,C2562,$J$2:$J$5001,J2562,$A$2:$A$5001,"&lt;"&amp;A2562)=0,1,0))</f>
        <v/>
      </c>
    </row>
    <row r="2563" customFormat="false" ht="15" hidden="false" customHeight="false" outlineLevel="0" collapsed="false">
      <c r="A2563" s="27"/>
      <c r="F2563" s="28"/>
      <c r="J2563" s="0" t="str">
        <f aca="false">IF(A2563="","",YEAR(A2563))</f>
        <v/>
      </c>
      <c r="K2563" s="0" t="str">
        <f aca="false">IF(A2563="","",MONTH(A2563))</f>
        <v/>
      </c>
      <c r="L2563" s="0" t="str">
        <f aca="false">IF(B2563="","",VALUE(LEFT(B2563,2)))</f>
        <v/>
      </c>
      <c r="M2563" s="0" t="str">
        <f aca="false">IF(A2563="","",IF(COUNTIFS($C$2:$C$5001,C2563,$J$2:$J$5001,J2563,$A$2:$A$5001,"&lt;"&amp;A2563)=0,1,0))</f>
        <v/>
      </c>
    </row>
    <row r="2564" customFormat="false" ht="15" hidden="false" customHeight="false" outlineLevel="0" collapsed="false">
      <c r="A2564" s="27"/>
      <c r="F2564" s="28"/>
      <c r="J2564" s="0" t="str">
        <f aca="false">IF(A2564="","",YEAR(A2564))</f>
        <v/>
      </c>
      <c r="K2564" s="0" t="str">
        <f aca="false">IF(A2564="","",MONTH(A2564))</f>
        <v/>
      </c>
      <c r="L2564" s="0" t="str">
        <f aca="false">IF(B2564="","",VALUE(LEFT(B2564,2)))</f>
        <v/>
      </c>
      <c r="M2564" s="0" t="str">
        <f aca="false">IF(A2564="","",IF(COUNTIFS($C$2:$C$5001,C2564,$J$2:$J$5001,J2564,$A$2:$A$5001,"&lt;"&amp;A2564)=0,1,0))</f>
        <v/>
      </c>
    </row>
    <row r="2565" customFormat="false" ht="15" hidden="false" customHeight="false" outlineLevel="0" collapsed="false">
      <c r="A2565" s="27"/>
      <c r="F2565" s="28"/>
      <c r="J2565" s="0" t="str">
        <f aca="false">IF(A2565="","",YEAR(A2565))</f>
        <v/>
      </c>
      <c r="K2565" s="0" t="str">
        <f aca="false">IF(A2565="","",MONTH(A2565))</f>
        <v/>
      </c>
      <c r="L2565" s="0" t="str">
        <f aca="false">IF(B2565="","",VALUE(LEFT(B2565,2)))</f>
        <v/>
      </c>
      <c r="M2565" s="0" t="str">
        <f aca="false">IF(A2565="","",IF(COUNTIFS($C$2:$C$5001,C2565,$J$2:$J$5001,J2565,$A$2:$A$5001,"&lt;"&amp;A2565)=0,1,0))</f>
        <v/>
      </c>
    </row>
    <row r="2566" customFormat="false" ht="15" hidden="false" customHeight="false" outlineLevel="0" collapsed="false">
      <c r="A2566" s="27"/>
      <c r="F2566" s="28"/>
      <c r="J2566" s="0" t="str">
        <f aca="false">IF(A2566="","",YEAR(A2566))</f>
        <v/>
      </c>
      <c r="K2566" s="0" t="str">
        <f aca="false">IF(A2566="","",MONTH(A2566))</f>
        <v/>
      </c>
      <c r="L2566" s="0" t="str">
        <f aca="false">IF(B2566="","",VALUE(LEFT(B2566,2)))</f>
        <v/>
      </c>
      <c r="M2566" s="0" t="str">
        <f aca="false">IF(A2566="","",IF(COUNTIFS($C$2:$C$5001,C2566,$J$2:$J$5001,J2566,$A$2:$A$5001,"&lt;"&amp;A2566)=0,1,0))</f>
        <v/>
      </c>
    </row>
    <row r="2567" customFormat="false" ht="15" hidden="false" customHeight="false" outlineLevel="0" collapsed="false">
      <c r="A2567" s="27"/>
      <c r="F2567" s="28"/>
      <c r="J2567" s="0" t="str">
        <f aca="false">IF(A2567="","",YEAR(A2567))</f>
        <v/>
      </c>
      <c r="K2567" s="0" t="str">
        <f aca="false">IF(A2567="","",MONTH(A2567))</f>
        <v/>
      </c>
      <c r="L2567" s="0" t="str">
        <f aca="false">IF(B2567="","",VALUE(LEFT(B2567,2)))</f>
        <v/>
      </c>
      <c r="M2567" s="0" t="str">
        <f aca="false">IF(A2567="","",IF(COUNTIFS($C$2:$C$5001,C2567,$J$2:$J$5001,J2567,$A$2:$A$5001,"&lt;"&amp;A2567)=0,1,0))</f>
        <v/>
      </c>
    </row>
    <row r="2568" customFormat="false" ht="15" hidden="false" customHeight="false" outlineLevel="0" collapsed="false">
      <c r="A2568" s="27"/>
      <c r="F2568" s="28"/>
      <c r="J2568" s="0" t="str">
        <f aca="false">IF(A2568="","",YEAR(A2568))</f>
        <v/>
      </c>
      <c r="K2568" s="0" t="str">
        <f aca="false">IF(A2568="","",MONTH(A2568))</f>
        <v/>
      </c>
      <c r="L2568" s="0" t="str">
        <f aca="false">IF(B2568="","",VALUE(LEFT(B2568,2)))</f>
        <v/>
      </c>
      <c r="M2568" s="0" t="str">
        <f aca="false">IF(A2568="","",IF(COUNTIFS($C$2:$C$5001,C2568,$J$2:$J$5001,J2568,$A$2:$A$5001,"&lt;"&amp;A2568)=0,1,0))</f>
        <v/>
      </c>
    </row>
    <row r="2569" customFormat="false" ht="15" hidden="false" customHeight="false" outlineLevel="0" collapsed="false">
      <c r="A2569" s="27"/>
      <c r="F2569" s="28"/>
      <c r="J2569" s="0" t="str">
        <f aca="false">IF(A2569="","",YEAR(A2569))</f>
        <v/>
      </c>
      <c r="K2569" s="0" t="str">
        <f aca="false">IF(A2569="","",MONTH(A2569))</f>
        <v/>
      </c>
      <c r="L2569" s="0" t="str">
        <f aca="false">IF(B2569="","",VALUE(LEFT(B2569,2)))</f>
        <v/>
      </c>
      <c r="M2569" s="0" t="str">
        <f aca="false">IF(A2569="","",IF(COUNTIFS($C$2:$C$5001,C2569,$J$2:$J$5001,J2569,$A$2:$A$5001,"&lt;"&amp;A2569)=0,1,0))</f>
        <v/>
      </c>
    </row>
    <row r="2570" customFormat="false" ht="15" hidden="false" customHeight="false" outlineLevel="0" collapsed="false">
      <c r="A2570" s="27"/>
      <c r="F2570" s="28"/>
      <c r="J2570" s="0" t="str">
        <f aca="false">IF(A2570="","",YEAR(A2570))</f>
        <v/>
      </c>
      <c r="K2570" s="0" t="str">
        <f aca="false">IF(A2570="","",MONTH(A2570))</f>
        <v/>
      </c>
      <c r="L2570" s="0" t="str">
        <f aca="false">IF(B2570="","",VALUE(LEFT(B2570,2)))</f>
        <v/>
      </c>
      <c r="M2570" s="0" t="str">
        <f aca="false">IF(A2570="","",IF(COUNTIFS($C$2:$C$5001,C2570,$J$2:$J$5001,J2570,$A$2:$A$5001,"&lt;"&amp;A2570)=0,1,0))</f>
        <v/>
      </c>
    </row>
    <row r="2571" customFormat="false" ht="15" hidden="false" customHeight="false" outlineLevel="0" collapsed="false">
      <c r="A2571" s="27"/>
      <c r="F2571" s="28"/>
      <c r="J2571" s="0" t="str">
        <f aca="false">IF(A2571="","",YEAR(A2571))</f>
        <v/>
      </c>
      <c r="K2571" s="0" t="str">
        <f aca="false">IF(A2571="","",MONTH(A2571))</f>
        <v/>
      </c>
      <c r="L2571" s="0" t="str">
        <f aca="false">IF(B2571="","",VALUE(LEFT(B2571,2)))</f>
        <v/>
      </c>
      <c r="M2571" s="0" t="str">
        <f aca="false">IF(A2571="","",IF(COUNTIFS($C$2:$C$5001,C2571,$J$2:$J$5001,J2571,$A$2:$A$5001,"&lt;"&amp;A2571)=0,1,0))</f>
        <v/>
      </c>
    </row>
    <row r="2572" customFormat="false" ht="15" hidden="false" customHeight="false" outlineLevel="0" collapsed="false">
      <c r="A2572" s="27"/>
      <c r="F2572" s="28"/>
      <c r="J2572" s="0" t="str">
        <f aca="false">IF(A2572="","",YEAR(A2572))</f>
        <v/>
      </c>
      <c r="K2572" s="0" t="str">
        <f aca="false">IF(A2572="","",MONTH(A2572))</f>
        <v/>
      </c>
      <c r="L2572" s="0" t="str">
        <f aca="false">IF(B2572="","",VALUE(LEFT(B2572,2)))</f>
        <v/>
      </c>
      <c r="M2572" s="0" t="str">
        <f aca="false">IF(A2572="","",IF(COUNTIFS($C$2:$C$5001,C2572,$J$2:$J$5001,J2572,$A$2:$A$5001,"&lt;"&amp;A2572)=0,1,0))</f>
        <v/>
      </c>
    </row>
    <row r="2573" customFormat="false" ht="15" hidden="false" customHeight="false" outlineLevel="0" collapsed="false">
      <c r="A2573" s="27"/>
      <c r="F2573" s="28"/>
      <c r="J2573" s="0" t="str">
        <f aca="false">IF(A2573="","",YEAR(A2573))</f>
        <v/>
      </c>
      <c r="K2573" s="0" t="str">
        <f aca="false">IF(A2573="","",MONTH(A2573))</f>
        <v/>
      </c>
      <c r="L2573" s="0" t="str">
        <f aca="false">IF(B2573="","",VALUE(LEFT(B2573,2)))</f>
        <v/>
      </c>
      <c r="M2573" s="0" t="str">
        <f aca="false">IF(A2573="","",IF(COUNTIFS($C$2:$C$5001,C2573,$J$2:$J$5001,J2573,$A$2:$A$5001,"&lt;"&amp;A2573)=0,1,0))</f>
        <v/>
      </c>
    </row>
    <row r="2574" customFormat="false" ht="15" hidden="false" customHeight="false" outlineLevel="0" collapsed="false">
      <c r="A2574" s="27"/>
      <c r="F2574" s="28"/>
      <c r="J2574" s="0" t="str">
        <f aca="false">IF(A2574="","",YEAR(A2574))</f>
        <v/>
      </c>
      <c r="K2574" s="0" t="str">
        <f aca="false">IF(A2574="","",MONTH(A2574))</f>
        <v/>
      </c>
      <c r="L2574" s="0" t="str">
        <f aca="false">IF(B2574="","",VALUE(LEFT(B2574,2)))</f>
        <v/>
      </c>
      <c r="M2574" s="0" t="str">
        <f aca="false">IF(A2574="","",IF(COUNTIFS($C$2:$C$5001,C2574,$J$2:$J$5001,J2574,$A$2:$A$5001,"&lt;"&amp;A2574)=0,1,0))</f>
        <v/>
      </c>
    </row>
    <row r="2575" customFormat="false" ht="15" hidden="false" customHeight="false" outlineLevel="0" collapsed="false">
      <c r="A2575" s="27"/>
      <c r="F2575" s="28"/>
      <c r="J2575" s="0" t="str">
        <f aca="false">IF(A2575="","",YEAR(A2575))</f>
        <v/>
      </c>
      <c r="K2575" s="0" t="str">
        <f aca="false">IF(A2575="","",MONTH(A2575))</f>
        <v/>
      </c>
      <c r="L2575" s="0" t="str">
        <f aca="false">IF(B2575="","",VALUE(LEFT(B2575,2)))</f>
        <v/>
      </c>
      <c r="M2575" s="0" t="str">
        <f aca="false">IF(A2575="","",IF(COUNTIFS($C$2:$C$5001,C2575,$J$2:$J$5001,J2575,$A$2:$A$5001,"&lt;"&amp;A2575)=0,1,0))</f>
        <v/>
      </c>
    </row>
    <row r="2576" customFormat="false" ht="15" hidden="false" customHeight="false" outlineLevel="0" collapsed="false">
      <c r="A2576" s="27"/>
      <c r="F2576" s="28"/>
      <c r="J2576" s="0" t="str">
        <f aca="false">IF(A2576="","",YEAR(A2576))</f>
        <v/>
      </c>
      <c r="K2576" s="0" t="str">
        <f aca="false">IF(A2576="","",MONTH(A2576))</f>
        <v/>
      </c>
      <c r="L2576" s="0" t="str">
        <f aca="false">IF(B2576="","",VALUE(LEFT(B2576,2)))</f>
        <v/>
      </c>
      <c r="M2576" s="0" t="str">
        <f aca="false">IF(A2576="","",IF(COUNTIFS($C$2:$C$5001,C2576,$J$2:$J$5001,J2576,$A$2:$A$5001,"&lt;"&amp;A2576)=0,1,0))</f>
        <v/>
      </c>
    </row>
    <row r="2577" customFormat="false" ht="15" hidden="false" customHeight="false" outlineLevel="0" collapsed="false">
      <c r="A2577" s="27"/>
      <c r="F2577" s="28"/>
      <c r="J2577" s="0" t="str">
        <f aca="false">IF(A2577="","",YEAR(A2577))</f>
        <v/>
      </c>
      <c r="K2577" s="0" t="str">
        <f aca="false">IF(A2577="","",MONTH(A2577))</f>
        <v/>
      </c>
      <c r="L2577" s="0" t="str">
        <f aca="false">IF(B2577="","",VALUE(LEFT(B2577,2)))</f>
        <v/>
      </c>
      <c r="M2577" s="0" t="str">
        <f aca="false">IF(A2577="","",IF(COUNTIFS($C$2:$C$5001,C2577,$J$2:$J$5001,J2577,$A$2:$A$5001,"&lt;"&amp;A2577)=0,1,0))</f>
        <v/>
      </c>
    </row>
    <row r="2578" customFormat="false" ht="15" hidden="false" customHeight="false" outlineLevel="0" collapsed="false">
      <c r="A2578" s="27"/>
      <c r="F2578" s="28"/>
      <c r="J2578" s="0" t="str">
        <f aca="false">IF(A2578="","",YEAR(A2578))</f>
        <v/>
      </c>
      <c r="K2578" s="0" t="str">
        <f aca="false">IF(A2578="","",MONTH(A2578))</f>
        <v/>
      </c>
      <c r="L2578" s="0" t="str">
        <f aca="false">IF(B2578="","",VALUE(LEFT(B2578,2)))</f>
        <v/>
      </c>
      <c r="M2578" s="0" t="str">
        <f aca="false">IF(A2578="","",IF(COUNTIFS($C$2:$C$5001,C2578,$J$2:$J$5001,J2578,$A$2:$A$5001,"&lt;"&amp;A2578)=0,1,0))</f>
        <v/>
      </c>
    </row>
    <row r="2579" customFormat="false" ht="15" hidden="false" customHeight="false" outlineLevel="0" collapsed="false">
      <c r="A2579" s="27"/>
      <c r="F2579" s="28"/>
      <c r="J2579" s="0" t="str">
        <f aca="false">IF(A2579="","",YEAR(A2579))</f>
        <v/>
      </c>
      <c r="K2579" s="0" t="str">
        <f aca="false">IF(A2579="","",MONTH(A2579))</f>
        <v/>
      </c>
      <c r="L2579" s="0" t="str">
        <f aca="false">IF(B2579="","",VALUE(LEFT(B2579,2)))</f>
        <v/>
      </c>
      <c r="M2579" s="0" t="str">
        <f aca="false">IF(A2579="","",IF(COUNTIFS($C$2:$C$5001,C2579,$J$2:$J$5001,J2579,$A$2:$A$5001,"&lt;"&amp;A2579)=0,1,0))</f>
        <v/>
      </c>
    </row>
    <row r="2580" customFormat="false" ht="15" hidden="false" customHeight="false" outlineLevel="0" collapsed="false">
      <c r="A2580" s="27"/>
      <c r="F2580" s="28"/>
      <c r="J2580" s="0" t="str">
        <f aca="false">IF(A2580="","",YEAR(A2580))</f>
        <v/>
      </c>
      <c r="K2580" s="0" t="str">
        <f aca="false">IF(A2580="","",MONTH(A2580))</f>
        <v/>
      </c>
      <c r="L2580" s="0" t="str">
        <f aca="false">IF(B2580="","",VALUE(LEFT(B2580,2)))</f>
        <v/>
      </c>
      <c r="M2580" s="0" t="str">
        <f aca="false">IF(A2580="","",IF(COUNTIFS($C$2:$C$5001,C2580,$J$2:$J$5001,J2580,$A$2:$A$5001,"&lt;"&amp;A2580)=0,1,0))</f>
        <v/>
      </c>
    </row>
    <row r="2581" customFormat="false" ht="15" hidden="false" customHeight="false" outlineLevel="0" collapsed="false">
      <c r="A2581" s="27"/>
      <c r="F2581" s="28"/>
      <c r="J2581" s="0" t="str">
        <f aca="false">IF(A2581="","",YEAR(A2581))</f>
        <v/>
      </c>
      <c r="K2581" s="0" t="str">
        <f aca="false">IF(A2581="","",MONTH(A2581))</f>
        <v/>
      </c>
      <c r="L2581" s="0" t="str">
        <f aca="false">IF(B2581="","",VALUE(LEFT(B2581,2)))</f>
        <v/>
      </c>
      <c r="M2581" s="0" t="str">
        <f aca="false">IF(A2581="","",IF(COUNTIFS($C$2:$C$5001,C2581,$J$2:$J$5001,J2581,$A$2:$A$5001,"&lt;"&amp;A2581)=0,1,0))</f>
        <v/>
      </c>
    </row>
    <row r="2582" customFormat="false" ht="15" hidden="false" customHeight="false" outlineLevel="0" collapsed="false">
      <c r="A2582" s="27"/>
      <c r="F2582" s="28"/>
      <c r="J2582" s="0" t="str">
        <f aca="false">IF(A2582="","",YEAR(A2582))</f>
        <v/>
      </c>
      <c r="K2582" s="0" t="str">
        <f aca="false">IF(A2582="","",MONTH(A2582))</f>
        <v/>
      </c>
      <c r="L2582" s="0" t="str">
        <f aca="false">IF(B2582="","",VALUE(LEFT(B2582,2)))</f>
        <v/>
      </c>
      <c r="M2582" s="0" t="str">
        <f aca="false">IF(A2582="","",IF(COUNTIFS($C$2:$C$5001,C2582,$J$2:$J$5001,J2582,$A$2:$A$5001,"&lt;"&amp;A2582)=0,1,0))</f>
        <v/>
      </c>
    </row>
    <row r="2583" customFormat="false" ht="15" hidden="false" customHeight="false" outlineLevel="0" collapsed="false">
      <c r="A2583" s="27"/>
      <c r="F2583" s="28"/>
      <c r="J2583" s="0" t="str">
        <f aca="false">IF(A2583="","",YEAR(A2583))</f>
        <v/>
      </c>
      <c r="K2583" s="0" t="str">
        <f aca="false">IF(A2583="","",MONTH(A2583))</f>
        <v/>
      </c>
      <c r="L2583" s="0" t="str">
        <f aca="false">IF(B2583="","",VALUE(LEFT(B2583,2)))</f>
        <v/>
      </c>
      <c r="M2583" s="0" t="str">
        <f aca="false">IF(A2583="","",IF(COUNTIFS($C$2:$C$5001,C2583,$J$2:$J$5001,J2583,$A$2:$A$5001,"&lt;"&amp;A2583)=0,1,0))</f>
        <v/>
      </c>
    </row>
    <row r="2584" customFormat="false" ht="15" hidden="false" customHeight="false" outlineLevel="0" collapsed="false">
      <c r="A2584" s="27"/>
      <c r="F2584" s="28"/>
      <c r="J2584" s="0" t="str">
        <f aca="false">IF(A2584="","",YEAR(A2584))</f>
        <v/>
      </c>
      <c r="K2584" s="0" t="str">
        <f aca="false">IF(A2584="","",MONTH(A2584))</f>
        <v/>
      </c>
      <c r="L2584" s="0" t="str">
        <f aca="false">IF(B2584="","",VALUE(LEFT(B2584,2)))</f>
        <v/>
      </c>
      <c r="M2584" s="0" t="str">
        <f aca="false">IF(A2584="","",IF(COUNTIFS($C$2:$C$5001,C2584,$J$2:$J$5001,J2584,$A$2:$A$5001,"&lt;"&amp;A2584)=0,1,0))</f>
        <v/>
      </c>
    </row>
    <row r="2585" customFormat="false" ht="15" hidden="false" customHeight="false" outlineLevel="0" collapsed="false">
      <c r="A2585" s="27"/>
      <c r="F2585" s="28"/>
      <c r="J2585" s="0" t="str">
        <f aca="false">IF(A2585="","",YEAR(A2585))</f>
        <v/>
      </c>
      <c r="K2585" s="0" t="str">
        <f aca="false">IF(A2585="","",MONTH(A2585))</f>
        <v/>
      </c>
      <c r="L2585" s="0" t="str">
        <f aca="false">IF(B2585="","",VALUE(LEFT(B2585,2)))</f>
        <v/>
      </c>
      <c r="M2585" s="0" t="str">
        <f aca="false">IF(A2585="","",IF(COUNTIFS($C$2:$C$5001,C2585,$J$2:$J$5001,J2585,$A$2:$A$5001,"&lt;"&amp;A2585)=0,1,0))</f>
        <v/>
      </c>
    </row>
    <row r="2586" customFormat="false" ht="15" hidden="false" customHeight="false" outlineLevel="0" collapsed="false">
      <c r="A2586" s="27"/>
      <c r="F2586" s="28"/>
      <c r="J2586" s="0" t="str">
        <f aca="false">IF(A2586="","",YEAR(A2586))</f>
        <v/>
      </c>
      <c r="K2586" s="0" t="str">
        <f aca="false">IF(A2586="","",MONTH(A2586))</f>
        <v/>
      </c>
      <c r="L2586" s="0" t="str">
        <f aca="false">IF(B2586="","",VALUE(LEFT(B2586,2)))</f>
        <v/>
      </c>
      <c r="M2586" s="0" t="str">
        <f aca="false">IF(A2586="","",IF(COUNTIFS($C$2:$C$5001,C2586,$J$2:$J$5001,J2586,$A$2:$A$5001,"&lt;"&amp;A2586)=0,1,0))</f>
        <v/>
      </c>
    </row>
    <row r="2587" customFormat="false" ht="15" hidden="false" customHeight="false" outlineLevel="0" collapsed="false">
      <c r="A2587" s="27"/>
      <c r="F2587" s="28"/>
      <c r="J2587" s="0" t="str">
        <f aca="false">IF(A2587="","",YEAR(A2587))</f>
        <v/>
      </c>
      <c r="K2587" s="0" t="str">
        <f aca="false">IF(A2587="","",MONTH(A2587))</f>
        <v/>
      </c>
      <c r="L2587" s="0" t="str">
        <f aca="false">IF(B2587="","",VALUE(LEFT(B2587,2)))</f>
        <v/>
      </c>
      <c r="M2587" s="0" t="str">
        <f aca="false">IF(A2587="","",IF(COUNTIFS($C$2:$C$5001,C2587,$J$2:$J$5001,J2587,$A$2:$A$5001,"&lt;"&amp;A2587)=0,1,0))</f>
        <v/>
      </c>
    </row>
    <row r="2588" customFormat="false" ht="15" hidden="false" customHeight="false" outlineLevel="0" collapsed="false">
      <c r="A2588" s="27"/>
      <c r="F2588" s="28"/>
      <c r="J2588" s="0" t="str">
        <f aca="false">IF(A2588="","",YEAR(A2588))</f>
        <v/>
      </c>
      <c r="K2588" s="0" t="str">
        <f aca="false">IF(A2588="","",MONTH(A2588))</f>
        <v/>
      </c>
      <c r="L2588" s="0" t="str">
        <f aca="false">IF(B2588="","",VALUE(LEFT(B2588,2)))</f>
        <v/>
      </c>
      <c r="M2588" s="0" t="str">
        <f aca="false">IF(A2588="","",IF(COUNTIFS($C$2:$C$5001,C2588,$J$2:$J$5001,J2588,$A$2:$A$5001,"&lt;"&amp;A2588)=0,1,0))</f>
        <v/>
      </c>
    </row>
    <row r="2589" customFormat="false" ht="15" hidden="false" customHeight="false" outlineLevel="0" collapsed="false">
      <c r="A2589" s="27"/>
      <c r="F2589" s="28"/>
      <c r="J2589" s="0" t="str">
        <f aca="false">IF(A2589="","",YEAR(A2589))</f>
        <v/>
      </c>
      <c r="K2589" s="0" t="str">
        <f aca="false">IF(A2589="","",MONTH(A2589))</f>
        <v/>
      </c>
      <c r="L2589" s="0" t="str">
        <f aca="false">IF(B2589="","",VALUE(LEFT(B2589,2)))</f>
        <v/>
      </c>
      <c r="M2589" s="0" t="str">
        <f aca="false">IF(A2589="","",IF(COUNTIFS($C$2:$C$5001,C2589,$J$2:$J$5001,J2589,$A$2:$A$5001,"&lt;"&amp;A2589)=0,1,0))</f>
        <v/>
      </c>
    </row>
    <row r="2590" customFormat="false" ht="15" hidden="false" customHeight="false" outlineLevel="0" collapsed="false">
      <c r="A2590" s="27"/>
      <c r="F2590" s="28"/>
      <c r="J2590" s="0" t="str">
        <f aca="false">IF(A2590="","",YEAR(A2590))</f>
        <v/>
      </c>
      <c r="K2590" s="0" t="str">
        <f aca="false">IF(A2590="","",MONTH(A2590))</f>
        <v/>
      </c>
      <c r="L2590" s="0" t="str">
        <f aca="false">IF(B2590="","",VALUE(LEFT(B2590,2)))</f>
        <v/>
      </c>
      <c r="M2590" s="0" t="str">
        <f aca="false">IF(A2590="","",IF(COUNTIFS($C$2:$C$5001,C2590,$J$2:$J$5001,J2590,$A$2:$A$5001,"&lt;"&amp;A2590)=0,1,0))</f>
        <v/>
      </c>
    </row>
    <row r="2591" customFormat="false" ht="15" hidden="false" customHeight="false" outlineLevel="0" collapsed="false">
      <c r="A2591" s="27"/>
      <c r="F2591" s="28"/>
      <c r="J2591" s="0" t="str">
        <f aca="false">IF(A2591="","",YEAR(A2591))</f>
        <v/>
      </c>
      <c r="K2591" s="0" t="str">
        <f aca="false">IF(A2591="","",MONTH(A2591))</f>
        <v/>
      </c>
      <c r="L2591" s="0" t="str">
        <f aca="false">IF(B2591="","",VALUE(LEFT(B2591,2)))</f>
        <v/>
      </c>
      <c r="M2591" s="0" t="str">
        <f aca="false">IF(A2591="","",IF(COUNTIFS($C$2:$C$5001,C2591,$J$2:$J$5001,J2591,$A$2:$A$5001,"&lt;"&amp;A2591)=0,1,0))</f>
        <v/>
      </c>
    </row>
    <row r="2592" customFormat="false" ht="15" hidden="false" customHeight="false" outlineLevel="0" collapsed="false">
      <c r="A2592" s="27"/>
      <c r="F2592" s="28"/>
      <c r="J2592" s="0" t="str">
        <f aca="false">IF(A2592="","",YEAR(A2592))</f>
        <v/>
      </c>
      <c r="K2592" s="0" t="str">
        <f aca="false">IF(A2592="","",MONTH(A2592))</f>
        <v/>
      </c>
      <c r="L2592" s="0" t="str">
        <f aca="false">IF(B2592="","",VALUE(LEFT(B2592,2)))</f>
        <v/>
      </c>
      <c r="M2592" s="0" t="str">
        <f aca="false">IF(A2592="","",IF(COUNTIFS($C$2:$C$5001,C2592,$J$2:$J$5001,J2592,$A$2:$A$5001,"&lt;"&amp;A2592)=0,1,0))</f>
        <v/>
      </c>
    </row>
    <row r="2593" customFormat="false" ht="15" hidden="false" customHeight="false" outlineLevel="0" collapsed="false">
      <c r="A2593" s="27"/>
      <c r="F2593" s="28"/>
      <c r="J2593" s="0" t="str">
        <f aca="false">IF(A2593="","",YEAR(A2593))</f>
        <v/>
      </c>
      <c r="K2593" s="0" t="str">
        <f aca="false">IF(A2593="","",MONTH(A2593))</f>
        <v/>
      </c>
      <c r="L2593" s="0" t="str">
        <f aca="false">IF(B2593="","",VALUE(LEFT(B2593,2)))</f>
        <v/>
      </c>
      <c r="M2593" s="0" t="str">
        <f aca="false">IF(A2593="","",IF(COUNTIFS($C$2:$C$5001,C2593,$J$2:$J$5001,J2593,$A$2:$A$5001,"&lt;"&amp;A2593)=0,1,0))</f>
        <v/>
      </c>
    </row>
    <row r="2594" customFormat="false" ht="15" hidden="false" customHeight="false" outlineLevel="0" collapsed="false">
      <c r="A2594" s="27"/>
      <c r="F2594" s="28"/>
      <c r="J2594" s="0" t="str">
        <f aca="false">IF(A2594="","",YEAR(A2594))</f>
        <v/>
      </c>
      <c r="K2594" s="0" t="str">
        <f aca="false">IF(A2594="","",MONTH(A2594))</f>
        <v/>
      </c>
      <c r="L2594" s="0" t="str">
        <f aca="false">IF(B2594="","",VALUE(LEFT(B2594,2)))</f>
        <v/>
      </c>
      <c r="M2594" s="0" t="str">
        <f aca="false">IF(A2594="","",IF(COUNTIFS($C$2:$C$5001,C2594,$J$2:$J$5001,J2594,$A$2:$A$5001,"&lt;"&amp;A2594)=0,1,0))</f>
        <v/>
      </c>
    </row>
    <row r="2595" customFormat="false" ht="15" hidden="false" customHeight="false" outlineLevel="0" collapsed="false">
      <c r="A2595" s="27"/>
      <c r="F2595" s="28"/>
      <c r="J2595" s="0" t="str">
        <f aca="false">IF(A2595="","",YEAR(A2595))</f>
        <v/>
      </c>
      <c r="K2595" s="0" t="str">
        <f aca="false">IF(A2595="","",MONTH(A2595))</f>
        <v/>
      </c>
      <c r="L2595" s="0" t="str">
        <f aca="false">IF(B2595="","",VALUE(LEFT(B2595,2)))</f>
        <v/>
      </c>
      <c r="M2595" s="0" t="str">
        <f aca="false">IF(A2595="","",IF(COUNTIFS($C$2:$C$5001,C2595,$J$2:$J$5001,J2595,$A$2:$A$5001,"&lt;"&amp;A2595)=0,1,0))</f>
        <v/>
      </c>
    </row>
    <row r="2596" customFormat="false" ht="15" hidden="false" customHeight="false" outlineLevel="0" collapsed="false">
      <c r="A2596" s="27"/>
      <c r="F2596" s="28"/>
      <c r="J2596" s="0" t="str">
        <f aca="false">IF(A2596="","",YEAR(A2596))</f>
        <v/>
      </c>
      <c r="K2596" s="0" t="str">
        <f aca="false">IF(A2596="","",MONTH(A2596))</f>
        <v/>
      </c>
      <c r="L2596" s="0" t="str">
        <f aca="false">IF(B2596="","",VALUE(LEFT(B2596,2)))</f>
        <v/>
      </c>
      <c r="M2596" s="0" t="str">
        <f aca="false">IF(A2596="","",IF(COUNTIFS($C$2:$C$5001,C2596,$J$2:$J$5001,J2596,$A$2:$A$5001,"&lt;"&amp;A2596)=0,1,0))</f>
        <v/>
      </c>
    </row>
    <row r="2597" customFormat="false" ht="15" hidden="false" customHeight="false" outlineLevel="0" collapsed="false">
      <c r="A2597" s="27"/>
      <c r="F2597" s="28"/>
      <c r="J2597" s="0" t="str">
        <f aca="false">IF(A2597="","",YEAR(A2597))</f>
        <v/>
      </c>
      <c r="K2597" s="0" t="str">
        <f aca="false">IF(A2597="","",MONTH(A2597))</f>
        <v/>
      </c>
      <c r="L2597" s="0" t="str">
        <f aca="false">IF(B2597="","",VALUE(LEFT(B2597,2)))</f>
        <v/>
      </c>
      <c r="M2597" s="0" t="str">
        <f aca="false">IF(A2597="","",IF(COUNTIFS($C$2:$C$5001,C2597,$J$2:$J$5001,J2597,$A$2:$A$5001,"&lt;"&amp;A2597)=0,1,0))</f>
        <v/>
      </c>
    </row>
    <row r="2598" customFormat="false" ht="15" hidden="false" customHeight="false" outlineLevel="0" collapsed="false">
      <c r="A2598" s="27"/>
      <c r="F2598" s="28"/>
      <c r="J2598" s="0" t="str">
        <f aca="false">IF(A2598="","",YEAR(A2598))</f>
        <v/>
      </c>
      <c r="K2598" s="0" t="str">
        <f aca="false">IF(A2598="","",MONTH(A2598))</f>
        <v/>
      </c>
      <c r="L2598" s="0" t="str">
        <f aca="false">IF(B2598="","",VALUE(LEFT(B2598,2)))</f>
        <v/>
      </c>
      <c r="M2598" s="0" t="str">
        <f aca="false">IF(A2598="","",IF(COUNTIFS($C$2:$C$5001,C2598,$J$2:$J$5001,J2598,$A$2:$A$5001,"&lt;"&amp;A2598)=0,1,0))</f>
        <v/>
      </c>
    </row>
    <row r="2599" customFormat="false" ht="15" hidden="false" customHeight="false" outlineLevel="0" collapsed="false">
      <c r="A2599" s="27"/>
      <c r="F2599" s="28"/>
      <c r="J2599" s="0" t="str">
        <f aca="false">IF(A2599="","",YEAR(A2599))</f>
        <v/>
      </c>
      <c r="K2599" s="0" t="str">
        <f aca="false">IF(A2599="","",MONTH(A2599))</f>
        <v/>
      </c>
      <c r="L2599" s="0" t="str">
        <f aca="false">IF(B2599="","",VALUE(LEFT(B2599,2)))</f>
        <v/>
      </c>
      <c r="M2599" s="0" t="str">
        <f aca="false">IF(A2599="","",IF(COUNTIFS($C$2:$C$5001,C2599,$J$2:$J$5001,J2599,$A$2:$A$5001,"&lt;"&amp;A2599)=0,1,0))</f>
        <v/>
      </c>
    </row>
    <row r="2600" customFormat="false" ht="15" hidden="false" customHeight="false" outlineLevel="0" collapsed="false">
      <c r="A2600" s="27"/>
      <c r="F2600" s="28"/>
      <c r="J2600" s="0" t="str">
        <f aca="false">IF(A2600="","",YEAR(A2600))</f>
        <v/>
      </c>
      <c r="K2600" s="0" t="str">
        <f aca="false">IF(A2600="","",MONTH(A2600))</f>
        <v/>
      </c>
      <c r="L2600" s="0" t="str">
        <f aca="false">IF(B2600="","",VALUE(LEFT(B2600,2)))</f>
        <v/>
      </c>
      <c r="M2600" s="0" t="str">
        <f aca="false">IF(A2600="","",IF(COUNTIFS($C$2:$C$5001,C2600,$J$2:$J$5001,J2600,$A$2:$A$5001,"&lt;"&amp;A2600)=0,1,0))</f>
        <v/>
      </c>
    </row>
    <row r="2601" customFormat="false" ht="15" hidden="false" customHeight="false" outlineLevel="0" collapsed="false">
      <c r="A2601" s="27"/>
      <c r="F2601" s="28"/>
      <c r="J2601" s="0" t="str">
        <f aca="false">IF(A2601="","",YEAR(A2601))</f>
        <v/>
      </c>
      <c r="K2601" s="0" t="str">
        <f aca="false">IF(A2601="","",MONTH(A2601))</f>
        <v/>
      </c>
      <c r="L2601" s="0" t="str">
        <f aca="false">IF(B2601="","",VALUE(LEFT(B2601,2)))</f>
        <v/>
      </c>
      <c r="M2601" s="0" t="str">
        <f aca="false">IF(A2601="","",IF(COUNTIFS($C$2:$C$5001,C2601,$J$2:$J$5001,J2601,$A$2:$A$5001,"&lt;"&amp;A2601)=0,1,0))</f>
        <v/>
      </c>
    </row>
    <row r="2602" customFormat="false" ht="15" hidden="false" customHeight="false" outlineLevel="0" collapsed="false">
      <c r="A2602" s="27"/>
      <c r="F2602" s="28"/>
      <c r="J2602" s="0" t="str">
        <f aca="false">IF(A2602="","",YEAR(A2602))</f>
        <v/>
      </c>
      <c r="K2602" s="0" t="str">
        <f aca="false">IF(A2602="","",MONTH(A2602))</f>
        <v/>
      </c>
      <c r="L2602" s="0" t="str">
        <f aca="false">IF(B2602="","",VALUE(LEFT(B2602,2)))</f>
        <v/>
      </c>
      <c r="M2602" s="0" t="str">
        <f aca="false">IF(A2602="","",IF(COUNTIFS($C$2:$C$5001,C2602,$J$2:$J$5001,J2602,$A$2:$A$5001,"&lt;"&amp;A2602)=0,1,0))</f>
        <v/>
      </c>
    </row>
    <row r="2603" customFormat="false" ht="15" hidden="false" customHeight="false" outlineLevel="0" collapsed="false">
      <c r="A2603" s="27"/>
      <c r="F2603" s="28"/>
      <c r="J2603" s="0" t="str">
        <f aca="false">IF(A2603="","",YEAR(A2603))</f>
        <v/>
      </c>
      <c r="K2603" s="0" t="str">
        <f aca="false">IF(A2603="","",MONTH(A2603))</f>
        <v/>
      </c>
      <c r="L2603" s="0" t="str">
        <f aca="false">IF(B2603="","",VALUE(LEFT(B2603,2)))</f>
        <v/>
      </c>
      <c r="M2603" s="0" t="str">
        <f aca="false">IF(A2603="","",IF(COUNTIFS($C$2:$C$5001,C2603,$J$2:$J$5001,J2603,$A$2:$A$5001,"&lt;"&amp;A2603)=0,1,0))</f>
        <v/>
      </c>
    </row>
    <row r="2604" customFormat="false" ht="15" hidden="false" customHeight="false" outlineLevel="0" collapsed="false">
      <c r="A2604" s="27"/>
      <c r="F2604" s="28"/>
      <c r="J2604" s="0" t="str">
        <f aca="false">IF(A2604="","",YEAR(A2604))</f>
        <v/>
      </c>
      <c r="K2604" s="0" t="str">
        <f aca="false">IF(A2604="","",MONTH(A2604))</f>
        <v/>
      </c>
      <c r="L2604" s="0" t="str">
        <f aca="false">IF(B2604="","",VALUE(LEFT(B2604,2)))</f>
        <v/>
      </c>
      <c r="M2604" s="0" t="str">
        <f aca="false">IF(A2604="","",IF(COUNTIFS($C$2:$C$5001,C2604,$J$2:$J$5001,J2604,$A$2:$A$5001,"&lt;"&amp;A2604)=0,1,0))</f>
        <v/>
      </c>
    </row>
    <row r="2605" customFormat="false" ht="15" hidden="false" customHeight="false" outlineLevel="0" collapsed="false">
      <c r="A2605" s="27"/>
      <c r="F2605" s="28"/>
      <c r="J2605" s="0" t="str">
        <f aca="false">IF(A2605="","",YEAR(A2605))</f>
        <v/>
      </c>
      <c r="K2605" s="0" t="str">
        <f aca="false">IF(A2605="","",MONTH(A2605))</f>
        <v/>
      </c>
      <c r="L2605" s="0" t="str">
        <f aca="false">IF(B2605="","",VALUE(LEFT(B2605,2)))</f>
        <v/>
      </c>
      <c r="M2605" s="0" t="str">
        <f aca="false">IF(A2605="","",IF(COUNTIFS($C$2:$C$5001,C2605,$J$2:$J$5001,J2605,$A$2:$A$5001,"&lt;"&amp;A2605)=0,1,0))</f>
        <v/>
      </c>
    </row>
    <row r="2606" customFormat="false" ht="15" hidden="false" customHeight="false" outlineLevel="0" collapsed="false">
      <c r="A2606" s="27"/>
      <c r="F2606" s="28"/>
      <c r="J2606" s="0" t="str">
        <f aca="false">IF(A2606="","",YEAR(A2606))</f>
        <v/>
      </c>
      <c r="K2606" s="0" t="str">
        <f aca="false">IF(A2606="","",MONTH(A2606))</f>
        <v/>
      </c>
      <c r="L2606" s="0" t="str">
        <f aca="false">IF(B2606="","",VALUE(LEFT(B2606,2)))</f>
        <v/>
      </c>
      <c r="M2606" s="0" t="str">
        <f aca="false">IF(A2606="","",IF(COUNTIFS($C$2:$C$5001,C2606,$J$2:$J$5001,J2606,$A$2:$A$5001,"&lt;"&amp;A2606)=0,1,0))</f>
        <v/>
      </c>
    </row>
    <row r="2607" customFormat="false" ht="15" hidden="false" customHeight="false" outlineLevel="0" collapsed="false">
      <c r="A2607" s="27"/>
      <c r="F2607" s="28"/>
      <c r="J2607" s="0" t="str">
        <f aca="false">IF(A2607="","",YEAR(A2607))</f>
        <v/>
      </c>
      <c r="K2607" s="0" t="str">
        <f aca="false">IF(A2607="","",MONTH(A2607))</f>
        <v/>
      </c>
      <c r="L2607" s="0" t="str">
        <f aca="false">IF(B2607="","",VALUE(LEFT(B2607,2)))</f>
        <v/>
      </c>
      <c r="M2607" s="0" t="str">
        <f aca="false">IF(A2607="","",IF(COUNTIFS($C$2:$C$5001,C2607,$J$2:$J$5001,J2607,$A$2:$A$5001,"&lt;"&amp;A2607)=0,1,0))</f>
        <v/>
      </c>
    </row>
    <row r="2608" customFormat="false" ht="15" hidden="false" customHeight="false" outlineLevel="0" collapsed="false">
      <c r="A2608" s="27"/>
      <c r="F2608" s="28"/>
      <c r="J2608" s="0" t="str">
        <f aca="false">IF(A2608="","",YEAR(A2608))</f>
        <v/>
      </c>
      <c r="K2608" s="0" t="str">
        <f aca="false">IF(A2608="","",MONTH(A2608))</f>
        <v/>
      </c>
      <c r="L2608" s="0" t="str">
        <f aca="false">IF(B2608="","",VALUE(LEFT(B2608,2)))</f>
        <v/>
      </c>
      <c r="M2608" s="0" t="str">
        <f aca="false">IF(A2608="","",IF(COUNTIFS($C$2:$C$5001,C2608,$J$2:$J$5001,J2608,$A$2:$A$5001,"&lt;"&amp;A2608)=0,1,0))</f>
        <v/>
      </c>
    </row>
    <row r="2609" customFormat="false" ht="15" hidden="false" customHeight="false" outlineLevel="0" collapsed="false">
      <c r="A2609" s="27"/>
      <c r="F2609" s="28"/>
      <c r="J2609" s="0" t="str">
        <f aca="false">IF(A2609="","",YEAR(A2609))</f>
        <v/>
      </c>
      <c r="K2609" s="0" t="str">
        <f aca="false">IF(A2609="","",MONTH(A2609))</f>
        <v/>
      </c>
      <c r="L2609" s="0" t="str">
        <f aca="false">IF(B2609="","",VALUE(LEFT(B2609,2)))</f>
        <v/>
      </c>
      <c r="M2609" s="0" t="str">
        <f aca="false">IF(A2609="","",IF(COUNTIFS($C$2:$C$5001,C2609,$J$2:$J$5001,J2609,$A$2:$A$5001,"&lt;"&amp;A2609)=0,1,0))</f>
        <v/>
      </c>
    </row>
    <row r="2610" customFormat="false" ht="15" hidden="false" customHeight="false" outlineLevel="0" collapsed="false">
      <c r="A2610" s="27"/>
      <c r="F2610" s="28"/>
      <c r="J2610" s="0" t="str">
        <f aca="false">IF(A2610="","",YEAR(A2610))</f>
        <v/>
      </c>
      <c r="K2610" s="0" t="str">
        <f aca="false">IF(A2610="","",MONTH(A2610))</f>
        <v/>
      </c>
      <c r="L2610" s="0" t="str">
        <f aca="false">IF(B2610="","",VALUE(LEFT(B2610,2)))</f>
        <v/>
      </c>
      <c r="M2610" s="0" t="str">
        <f aca="false">IF(A2610="","",IF(COUNTIFS($C$2:$C$5001,C2610,$J$2:$J$5001,J2610,$A$2:$A$5001,"&lt;"&amp;A2610)=0,1,0))</f>
        <v/>
      </c>
    </row>
    <row r="2611" customFormat="false" ht="15" hidden="false" customHeight="false" outlineLevel="0" collapsed="false">
      <c r="A2611" s="27"/>
      <c r="F2611" s="28"/>
      <c r="J2611" s="0" t="str">
        <f aca="false">IF(A2611="","",YEAR(A2611))</f>
        <v/>
      </c>
      <c r="K2611" s="0" t="str">
        <f aca="false">IF(A2611="","",MONTH(A2611))</f>
        <v/>
      </c>
      <c r="L2611" s="0" t="str">
        <f aca="false">IF(B2611="","",VALUE(LEFT(B2611,2)))</f>
        <v/>
      </c>
      <c r="M2611" s="0" t="str">
        <f aca="false">IF(A2611="","",IF(COUNTIFS($C$2:$C$5001,C2611,$J$2:$J$5001,J2611,$A$2:$A$5001,"&lt;"&amp;A2611)=0,1,0))</f>
        <v/>
      </c>
    </row>
    <row r="2612" customFormat="false" ht="15" hidden="false" customHeight="false" outlineLevel="0" collapsed="false">
      <c r="A2612" s="27"/>
      <c r="F2612" s="28"/>
      <c r="J2612" s="0" t="str">
        <f aca="false">IF(A2612="","",YEAR(A2612))</f>
        <v/>
      </c>
      <c r="K2612" s="0" t="str">
        <f aca="false">IF(A2612="","",MONTH(A2612))</f>
        <v/>
      </c>
      <c r="L2612" s="0" t="str">
        <f aca="false">IF(B2612="","",VALUE(LEFT(B2612,2)))</f>
        <v/>
      </c>
      <c r="M2612" s="0" t="str">
        <f aca="false">IF(A2612="","",IF(COUNTIFS($C$2:$C$5001,C2612,$J$2:$J$5001,J2612,$A$2:$A$5001,"&lt;"&amp;A2612)=0,1,0))</f>
        <v/>
      </c>
    </row>
    <row r="2613" customFormat="false" ht="15" hidden="false" customHeight="false" outlineLevel="0" collapsed="false">
      <c r="A2613" s="27"/>
      <c r="F2613" s="28"/>
      <c r="J2613" s="0" t="str">
        <f aca="false">IF(A2613="","",YEAR(A2613))</f>
        <v/>
      </c>
      <c r="K2613" s="0" t="str">
        <f aca="false">IF(A2613="","",MONTH(A2613))</f>
        <v/>
      </c>
      <c r="L2613" s="0" t="str">
        <f aca="false">IF(B2613="","",VALUE(LEFT(B2613,2)))</f>
        <v/>
      </c>
      <c r="M2613" s="0" t="str">
        <f aca="false">IF(A2613="","",IF(COUNTIFS($C$2:$C$5001,C2613,$J$2:$J$5001,J2613,$A$2:$A$5001,"&lt;"&amp;A2613)=0,1,0))</f>
        <v/>
      </c>
    </row>
    <row r="2614" customFormat="false" ht="15" hidden="false" customHeight="false" outlineLevel="0" collapsed="false">
      <c r="A2614" s="27"/>
      <c r="F2614" s="28"/>
      <c r="J2614" s="0" t="str">
        <f aca="false">IF(A2614="","",YEAR(A2614))</f>
        <v/>
      </c>
      <c r="K2614" s="0" t="str">
        <f aca="false">IF(A2614="","",MONTH(A2614))</f>
        <v/>
      </c>
      <c r="L2614" s="0" t="str">
        <f aca="false">IF(B2614="","",VALUE(LEFT(B2614,2)))</f>
        <v/>
      </c>
      <c r="M2614" s="0" t="str">
        <f aca="false">IF(A2614="","",IF(COUNTIFS($C$2:$C$5001,C2614,$J$2:$J$5001,J2614,$A$2:$A$5001,"&lt;"&amp;A2614)=0,1,0))</f>
        <v/>
      </c>
    </row>
    <row r="2615" customFormat="false" ht="15" hidden="false" customHeight="false" outlineLevel="0" collapsed="false">
      <c r="A2615" s="27"/>
      <c r="F2615" s="28"/>
      <c r="J2615" s="0" t="str">
        <f aca="false">IF(A2615="","",YEAR(A2615))</f>
        <v/>
      </c>
      <c r="K2615" s="0" t="str">
        <f aca="false">IF(A2615="","",MONTH(A2615))</f>
        <v/>
      </c>
      <c r="L2615" s="0" t="str">
        <f aca="false">IF(B2615="","",VALUE(LEFT(B2615,2)))</f>
        <v/>
      </c>
      <c r="M2615" s="0" t="str">
        <f aca="false">IF(A2615="","",IF(COUNTIFS($C$2:$C$5001,C2615,$J$2:$J$5001,J2615,$A$2:$A$5001,"&lt;"&amp;A2615)=0,1,0))</f>
        <v/>
      </c>
    </row>
    <row r="2616" customFormat="false" ht="15" hidden="false" customHeight="false" outlineLevel="0" collapsed="false">
      <c r="A2616" s="27"/>
      <c r="F2616" s="28"/>
      <c r="J2616" s="0" t="str">
        <f aca="false">IF(A2616="","",YEAR(A2616))</f>
        <v/>
      </c>
      <c r="K2616" s="0" t="str">
        <f aca="false">IF(A2616="","",MONTH(A2616))</f>
        <v/>
      </c>
      <c r="L2616" s="0" t="str">
        <f aca="false">IF(B2616="","",VALUE(LEFT(B2616,2)))</f>
        <v/>
      </c>
      <c r="M2616" s="0" t="str">
        <f aca="false">IF(A2616="","",IF(COUNTIFS($C$2:$C$5001,C2616,$J$2:$J$5001,J2616,$A$2:$A$5001,"&lt;"&amp;A2616)=0,1,0))</f>
        <v/>
      </c>
    </row>
    <row r="2617" customFormat="false" ht="15" hidden="false" customHeight="false" outlineLevel="0" collapsed="false">
      <c r="A2617" s="27"/>
      <c r="F2617" s="28"/>
      <c r="J2617" s="0" t="str">
        <f aca="false">IF(A2617="","",YEAR(A2617))</f>
        <v/>
      </c>
      <c r="K2617" s="0" t="str">
        <f aca="false">IF(A2617="","",MONTH(A2617))</f>
        <v/>
      </c>
      <c r="L2617" s="0" t="str">
        <f aca="false">IF(B2617="","",VALUE(LEFT(B2617,2)))</f>
        <v/>
      </c>
      <c r="M2617" s="0" t="str">
        <f aca="false">IF(A2617="","",IF(COUNTIFS($C$2:$C$5001,C2617,$J$2:$J$5001,J2617,$A$2:$A$5001,"&lt;"&amp;A2617)=0,1,0))</f>
        <v/>
      </c>
    </row>
    <row r="2618" customFormat="false" ht="15" hidden="false" customHeight="false" outlineLevel="0" collapsed="false">
      <c r="A2618" s="27"/>
      <c r="F2618" s="28"/>
      <c r="J2618" s="0" t="str">
        <f aca="false">IF(A2618="","",YEAR(A2618))</f>
        <v/>
      </c>
      <c r="K2618" s="0" t="str">
        <f aca="false">IF(A2618="","",MONTH(A2618))</f>
        <v/>
      </c>
      <c r="L2618" s="0" t="str">
        <f aca="false">IF(B2618="","",VALUE(LEFT(B2618,2)))</f>
        <v/>
      </c>
      <c r="M2618" s="0" t="str">
        <f aca="false">IF(A2618="","",IF(COUNTIFS($C$2:$C$5001,C2618,$J$2:$J$5001,J2618,$A$2:$A$5001,"&lt;"&amp;A2618)=0,1,0))</f>
        <v/>
      </c>
    </row>
    <row r="2619" customFormat="false" ht="15" hidden="false" customHeight="false" outlineLevel="0" collapsed="false">
      <c r="A2619" s="27"/>
      <c r="F2619" s="28"/>
      <c r="J2619" s="0" t="str">
        <f aca="false">IF(A2619="","",YEAR(A2619))</f>
        <v/>
      </c>
      <c r="K2619" s="0" t="str">
        <f aca="false">IF(A2619="","",MONTH(A2619))</f>
        <v/>
      </c>
      <c r="L2619" s="0" t="str">
        <f aca="false">IF(B2619="","",VALUE(LEFT(B2619,2)))</f>
        <v/>
      </c>
      <c r="M2619" s="0" t="str">
        <f aca="false">IF(A2619="","",IF(COUNTIFS($C$2:$C$5001,C2619,$J$2:$J$5001,J2619,$A$2:$A$5001,"&lt;"&amp;A2619)=0,1,0))</f>
        <v/>
      </c>
    </row>
    <row r="2620" customFormat="false" ht="15" hidden="false" customHeight="false" outlineLevel="0" collapsed="false">
      <c r="A2620" s="27"/>
      <c r="F2620" s="28"/>
      <c r="J2620" s="0" t="str">
        <f aca="false">IF(A2620="","",YEAR(A2620))</f>
        <v/>
      </c>
      <c r="K2620" s="0" t="str">
        <f aca="false">IF(A2620="","",MONTH(A2620))</f>
        <v/>
      </c>
      <c r="L2620" s="0" t="str">
        <f aca="false">IF(B2620="","",VALUE(LEFT(B2620,2)))</f>
        <v/>
      </c>
      <c r="M2620" s="0" t="str">
        <f aca="false">IF(A2620="","",IF(COUNTIFS($C$2:$C$5001,C2620,$J$2:$J$5001,J2620,$A$2:$A$5001,"&lt;"&amp;A2620)=0,1,0))</f>
        <v/>
      </c>
    </row>
    <row r="2621" customFormat="false" ht="15" hidden="false" customHeight="false" outlineLevel="0" collapsed="false">
      <c r="A2621" s="27"/>
      <c r="F2621" s="28"/>
      <c r="J2621" s="0" t="str">
        <f aca="false">IF(A2621="","",YEAR(A2621))</f>
        <v/>
      </c>
      <c r="K2621" s="0" t="str">
        <f aca="false">IF(A2621="","",MONTH(A2621))</f>
        <v/>
      </c>
      <c r="L2621" s="0" t="str">
        <f aca="false">IF(B2621="","",VALUE(LEFT(B2621,2)))</f>
        <v/>
      </c>
      <c r="M2621" s="0" t="str">
        <f aca="false">IF(A2621="","",IF(COUNTIFS($C$2:$C$5001,C2621,$J$2:$J$5001,J2621,$A$2:$A$5001,"&lt;"&amp;A2621)=0,1,0))</f>
        <v/>
      </c>
    </row>
    <row r="2622" customFormat="false" ht="15" hidden="false" customHeight="false" outlineLevel="0" collapsed="false">
      <c r="A2622" s="27"/>
      <c r="F2622" s="28"/>
      <c r="J2622" s="0" t="str">
        <f aca="false">IF(A2622="","",YEAR(A2622))</f>
        <v/>
      </c>
      <c r="K2622" s="0" t="str">
        <f aca="false">IF(A2622="","",MONTH(A2622))</f>
        <v/>
      </c>
      <c r="L2622" s="0" t="str">
        <f aca="false">IF(B2622="","",VALUE(LEFT(B2622,2)))</f>
        <v/>
      </c>
      <c r="M2622" s="0" t="str">
        <f aca="false">IF(A2622="","",IF(COUNTIFS($C$2:$C$5001,C2622,$J$2:$J$5001,J2622,$A$2:$A$5001,"&lt;"&amp;A2622)=0,1,0))</f>
        <v/>
      </c>
    </row>
    <row r="2623" customFormat="false" ht="15" hidden="false" customHeight="false" outlineLevel="0" collapsed="false">
      <c r="A2623" s="27"/>
      <c r="F2623" s="28"/>
      <c r="J2623" s="0" t="str">
        <f aca="false">IF(A2623="","",YEAR(A2623))</f>
        <v/>
      </c>
      <c r="K2623" s="0" t="str">
        <f aca="false">IF(A2623="","",MONTH(A2623))</f>
        <v/>
      </c>
      <c r="L2623" s="0" t="str">
        <f aca="false">IF(B2623="","",VALUE(LEFT(B2623,2)))</f>
        <v/>
      </c>
      <c r="M2623" s="0" t="str">
        <f aca="false">IF(A2623="","",IF(COUNTIFS($C$2:$C$5001,C2623,$J$2:$J$5001,J2623,$A$2:$A$5001,"&lt;"&amp;A2623)=0,1,0))</f>
        <v/>
      </c>
    </row>
    <row r="2624" customFormat="false" ht="15" hidden="false" customHeight="false" outlineLevel="0" collapsed="false">
      <c r="A2624" s="27"/>
      <c r="F2624" s="28"/>
      <c r="J2624" s="0" t="str">
        <f aca="false">IF(A2624="","",YEAR(A2624))</f>
        <v/>
      </c>
      <c r="K2624" s="0" t="str">
        <f aca="false">IF(A2624="","",MONTH(A2624))</f>
        <v/>
      </c>
      <c r="L2624" s="0" t="str">
        <f aca="false">IF(B2624="","",VALUE(LEFT(B2624,2)))</f>
        <v/>
      </c>
      <c r="M2624" s="0" t="str">
        <f aca="false">IF(A2624="","",IF(COUNTIFS($C$2:$C$5001,C2624,$J$2:$J$5001,J2624,$A$2:$A$5001,"&lt;"&amp;A2624)=0,1,0))</f>
        <v/>
      </c>
    </row>
    <row r="2625" customFormat="false" ht="15" hidden="false" customHeight="false" outlineLevel="0" collapsed="false">
      <c r="A2625" s="27"/>
      <c r="F2625" s="28"/>
      <c r="J2625" s="0" t="str">
        <f aca="false">IF(A2625="","",YEAR(A2625))</f>
        <v/>
      </c>
      <c r="K2625" s="0" t="str">
        <f aca="false">IF(A2625="","",MONTH(A2625))</f>
        <v/>
      </c>
      <c r="L2625" s="0" t="str">
        <f aca="false">IF(B2625="","",VALUE(LEFT(B2625,2)))</f>
        <v/>
      </c>
      <c r="M2625" s="0" t="str">
        <f aca="false">IF(A2625="","",IF(COUNTIFS($C$2:$C$5001,C2625,$J$2:$J$5001,J2625,$A$2:$A$5001,"&lt;"&amp;A2625)=0,1,0))</f>
        <v/>
      </c>
    </row>
    <row r="2626" customFormat="false" ht="15" hidden="false" customHeight="false" outlineLevel="0" collapsed="false">
      <c r="A2626" s="27"/>
      <c r="F2626" s="28"/>
      <c r="J2626" s="0" t="str">
        <f aca="false">IF(A2626="","",YEAR(A2626))</f>
        <v/>
      </c>
      <c r="K2626" s="0" t="str">
        <f aca="false">IF(A2626="","",MONTH(A2626))</f>
        <v/>
      </c>
      <c r="L2626" s="0" t="str">
        <f aca="false">IF(B2626="","",VALUE(LEFT(B2626,2)))</f>
        <v/>
      </c>
      <c r="M2626" s="0" t="str">
        <f aca="false">IF(A2626="","",IF(COUNTIFS($C$2:$C$5001,C2626,$J$2:$J$5001,J2626,$A$2:$A$5001,"&lt;"&amp;A2626)=0,1,0))</f>
        <v/>
      </c>
    </row>
    <row r="2627" customFormat="false" ht="15" hidden="false" customHeight="false" outlineLevel="0" collapsed="false">
      <c r="A2627" s="27"/>
      <c r="F2627" s="28"/>
      <c r="J2627" s="0" t="str">
        <f aca="false">IF(A2627="","",YEAR(A2627))</f>
        <v/>
      </c>
      <c r="K2627" s="0" t="str">
        <f aca="false">IF(A2627="","",MONTH(A2627))</f>
        <v/>
      </c>
      <c r="L2627" s="0" t="str">
        <f aca="false">IF(B2627="","",VALUE(LEFT(B2627,2)))</f>
        <v/>
      </c>
      <c r="M2627" s="0" t="str">
        <f aca="false">IF(A2627="","",IF(COUNTIFS($C$2:$C$5001,C2627,$J$2:$J$5001,J2627,$A$2:$A$5001,"&lt;"&amp;A2627)=0,1,0))</f>
        <v/>
      </c>
    </row>
    <row r="2628" customFormat="false" ht="15" hidden="false" customHeight="false" outlineLevel="0" collapsed="false">
      <c r="A2628" s="27"/>
      <c r="F2628" s="28"/>
      <c r="J2628" s="0" t="str">
        <f aca="false">IF(A2628="","",YEAR(A2628))</f>
        <v/>
      </c>
      <c r="K2628" s="0" t="str">
        <f aca="false">IF(A2628="","",MONTH(A2628))</f>
        <v/>
      </c>
      <c r="L2628" s="0" t="str">
        <f aca="false">IF(B2628="","",VALUE(LEFT(B2628,2)))</f>
        <v/>
      </c>
      <c r="M2628" s="0" t="str">
        <f aca="false">IF(A2628="","",IF(COUNTIFS($C$2:$C$5001,C2628,$J$2:$J$5001,J2628,$A$2:$A$5001,"&lt;"&amp;A2628)=0,1,0))</f>
        <v/>
      </c>
    </row>
    <row r="2629" customFormat="false" ht="15" hidden="false" customHeight="false" outlineLevel="0" collapsed="false">
      <c r="A2629" s="27"/>
      <c r="F2629" s="28"/>
      <c r="J2629" s="0" t="str">
        <f aca="false">IF(A2629="","",YEAR(A2629))</f>
        <v/>
      </c>
      <c r="K2629" s="0" t="str">
        <f aca="false">IF(A2629="","",MONTH(A2629))</f>
        <v/>
      </c>
      <c r="L2629" s="0" t="str">
        <f aca="false">IF(B2629="","",VALUE(LEFT(B2629,2)))</f>
        <v/>
      </c>
      <c r="M2629" s="0" t="str">
        <f aca="false">IF(A2629="","",IF(COUNTIFS($C$2:$C$5001,C2629,$J$2:$J$5001,J2629,$A$2:$A$5001,"&lt;"&amp;A2629)=0,1,0))</f>
        <v/>
      </c>
    </row>
    <row r="2630" customFormat="false" ht="15" hidden="false" customHeight="false" outlineLevel="0" collapsed="false">
      <c r="A2630" s="27"/>
      <c r="F2630" s="28"/>
      <c r="J2630" s="0" t="str">
        <f aca="false">IF(A2630="","",YEAR(A2630))</f>
        <v/>
      </c>
      <c r="K2630" s="0" t="str">
        <f aca="false">IF(A2630="","",MONTH(A2630))</f>
        <v/>
      </c>
      <c r="L2630" s="0" t="str">
        <f aca="false">IF(B2630="","",VALUE(LEFT(B2630,2)))</f>
        <v/>
      </c>
      <c r="M2630" s="0" t="str">
        <f aca="false">IF(A2630="","",IF(COUNTIFS($C$2:$C$5001,C2630,$J$2:$J$5001,J2630,$A$2:$A$5001,"&lt;"&amp;A2630)=0,1,0))</f>
        <v/>
      </c>
    </row>
    <row r="2631" customFormat="false" ht="15" hidden="false" customHeight="false" outlineLevel="0" collapsed="false">
      <c r="A2631" s="27"/>
      <c r="F2631" s="28"/>
      <c r="J2631" s="0" t="str">
        <f aca="false">IF(A2631="","",YEAR(A2631))</f>
        <v/>
      </c>
      <c r="K2631" s="0" t="str">
        <f aca="false">IF(A2631="","",MONTH(A2631))</f>
        <v/>
      </c>
      <c r="L2631" s="0" t="str">
        <f aca="false">IF(B2631="","",VALUE(LEFT(B2631,2)))</f>
        <v/>
      </c>
      <c r="M2631" s="0" t="str">
        <f aca="false">IF(A2631="","",IF(COUNTIFS($C$2:$C$5001,C2631,$J$2:$J$5001,J2631,$A$2:$A$5001,"&lt;"&amp;A2631)=0,1,0))</f>
        <v/>
      </c>
    </row>
    <row r="2632" customFormat="false" ht="15" hidden="false" customHeight="false" outlineLevel="0" collapsed="false">
      <c r="A2632" s="27"/>
      <c r="F2632" s="28"/>
      <c r="J2632" s="0" t="str">
        <f aca="false">IF(A2632="","",YEAR(A2632))</f>
        <v/>
      </c>
      <c r="K2632" s="0" t="str">
        <f aca="false">IF(A2632="","",MONTH(A2632))</f>
        <v/>
      </c>
      <c r="L2632" s="0" t="str">
        <f aca="false">IF(B2632="","",VALUE(LEFT(B2632,2)))</f>
        <v/>
      </c>
      <c r="M2632" s="0" t="str">
        <f aca="false">IF(A2632="","",IF(COUNTIFS($C$2:$C$5001,C2632,$J$2:$J$5001,J2632,$A$2:$A$5001,"&lt;"&amp;A2632)=0,1,0))</f>
        <v/>
      </c>
    </row>
    <row r="2633" customFormat="false" ht="15" hidden="false" customHeight="false" outlineLevel="0" collapsed="false">
      <c r="A2633" s="27"/>
      <c r="F2633" s="28"/>
      <c r="J2633" s="0" t="str">
        <f aca="false">IF(A2633="","",YEAR(A2633))</f>
        <v/>
      </c>
      <c r="K2633" s="0" t="str">
        <f aca="false">IF(A2633="","",MONTH(A2633))</f>
        <v/>
      </c>
      <c r="L2633" s="0" t="str">
        <f aca="false">IF(B2633="","",VALUE(LEFT(B2633,2)))</f>
        <v/>
      </c>
      <c r="M2633" s="0" t="str">
        <f aca="false">IF(A2633="","",IF(COUNTIFS($C$2:$C$5001,C2633,$J$2:$J$5001,J2633,$A$2:$A$5001,"&lt;"&amp;A2633)=0,1,0))</f>
        <v/>
      </c>
    </row>
    <row r="2634" customFormat="false" ht="15" hidden="false" customHeight="false" outlineLevel="0" collapsed="false">
      <c r="A2634" s="27"/>
      <c r="F2634" s="28"/>
      <c r="J2634" s="0" t="str">
        <f aca="false">IF(A2634="","",YEAR(A2634))</f>
        <v/>
      </c>
      <c r="K2634" s="0" t="str">
        <f aca="false">IF(A2634="","",MONTH(A2634))</f>
        <v/>
      </c>
      <c r="L2634" s="0" t="str">
        <f aca="false">IF(B2634="","",VALUE(LEFT(B2634,2)))</f>
        <v/>
      </c>
      <c r="M2634" s="0" t="str">
        <f aca="false">IF(A2634="","",IF(COUNTIFS($C$2:$C$5001,C2634,$J$2:$J$5001,J2634,$A$2:$A$5001,"&lt;"&amp;A2634)=0,1,0))</f>
        <v/>
      </c>
    </row>
    <row r="2635" customFormat="false" ht="15" hidden="false" customHeight="false" outlineLevel="0" collapsed="false">
      <c r="A2635" s="27"/>
      <c r="F2635" s="28"/>
      <c r="J2635" s="0" t="str">
        <f aca="false">IF(A2635="","",YEAR(A2635))</f>
        <v/>
      </c>
      <c r="K2635" s="0" t="str">
        <f aca="false">IF(A2635="","",MONTH(A2635))</f>
        <v/>
      </c>
      <c r="L2635" s="0" t="str">
        <f aca="false">IF(B2635="","",VALUE(LEFT(B2635,2)))</f>
        <v/>
      </c>
      <c r="M2635" s="0" t="str">
        <f aca="false">IF(A2635="","",IF(COUNTIFS($C$2:$C$5001,C2635,$J$2:$J$5001,J2635,$A$2:$A$5001,"&lt;"&amp;A2635)=0,1,0))</f>
        <v/>
      </c>
    </row>
    <row r="2636" customFormat="false" ht="15" hidden="false" customHeight="false" outlineLevel="0" collapsed="false">
      <c r="A2636" s="27"/>
      <c r="F2636" s="28"/>
      <c r="J2636" s="0" t="str">
        <f aca="false">IF(A2636="","",YEAR(A2636))</f>
        <v/>
      </c>
      <c r="K2636" s="0" t="str">
        <f aca="false">IF(A2636="","",MONTH(A2636))</f>
        <v/>
      </c>
      <c r="L2636" s="0" t="str">
        <f aca="false">IF(B2636="","",VALUE(LEFT(B2636,2)))</f>
        <v/>
      </c>
      <c r="M2636" s="0" t="str">
        <f aca="false">IF(A2636="","",IF(COUNTIFS($C$2:$C$5001,C2636,$J$2:$J$5001,J2636,$A$2:$A$5001,"&lt;"&amp;A2636)=0,1,0))</f>
        <v/>
      </c>
    </row>
    <row r="2637" customFormat="false" ht="15" hidden="false" customHeight="false" outlineLevel="0" collapsed="false">
      <c r="A2637" s="27"/>
      <c r="F2637" s="28"/>
      <c r="J2637" s="0" t="str">
        <f aca="false">IF(A2637="","",YEAR(A2637))</f>
        <v/>
      </c>
      <c r="K2637" s="0" t="str">
        <f aca="false">IF(A2637="","",MONTH(A2637))</f>
        <v/>
      </c>
      <c r="L2637" s="0" t="str">
        <f aca="false">IF(B2637="","",VALUE(LEFT(B2637,2)))</f>
        <v/>
      </c>
      <c r="M2637" s="0" t="str">
        <f aca="false">IF(A2637="","",IF(COUNTIFS($C$2:$C$5001,C2637,$J$2:$J$5001,J2637,$A$2:$A$5001,"&lt;"&amp;A2637)=0,1,0))</f>
        <v/>
      </c>
    </row>
    <row r="2638" customFormat="false" ht="15" hidden="false" customHeight="false" outlineLevel="0" collapsed="false">
      <c r="A2638" s="27"/>
      <c r="F2638" s="28"/>
      <c r="J2638" s="0" t="str">
        <f aca="false">IF(A2638="","",YEAR(A2638))</f>
        <v/>
      </c>
      <c r="K2638" s="0" t="str">
        <f aca="false">IF(A2638="","",MONTH(A2638))</f>
        <v/>
      </c>
      <c r="L2638" s="0" t="str">
        <f aca="false">IF(B2638="","",VALUE(LEFT(B2638,2)))</f>
        <v/>
      </c>
      <c r="M2638" s="0" t="str">
        <f aca="false">IF(A2638="","",IF(COUNTIFS($C$2:$C$5001,C2638,$J$2:$J$5001,J2638,$A$2:$A$5001,"&lt;"&amp;A2638)=0,1,0))</f>
        <v/>
      </c>
    </row>
    <row r="2639" customFormat="false" ht="15" hidden="false" customHeight="false" outlineLevel="0" collapsed="false">
      <c r="A2639" s="27"/>
      <c r="F2639" s="28"/>
      <c r="J2639" s="0" t="str">
        <f aca="false">IF(A2639="","",YEAR(A2639))</f>
        <v/>
      </c>
      <c r="K2639" s="0" t="str">
        <f aca="false">IF(A2639="","",MONTH(A2639))</f>
        <v/>
      </c>
      <c r="L2639" s="0" t="str">
        <f aca="false">IF(B2639="","",VALUE(LEFT(B2639,2)))</f>
        <v/>
      </c>
      <c r="M2639" s="0" t="str">
        <f aca="false">IF(A2639="","",IF(COUNTIFS($C$2:$C$5001,C2639,$J$2:$J$5001,J2639,$A$2:$A$5001,"&lt;"&amp;A2639)=0,1,0))</f>
        <v/>
      </c>
    </row>
    <row r="2640" customFormat="false" ht="15" hidden="false" customHeight="false" outlineLevel="0" collapsed="false">
      <c r="A2640" s="27"/>
      <c r="F2640" s="28"/>
      <c r="J2640" s="0" t="str">
        <f aca="false">IF(A2640="","",YEAR(A2640))</f>
        <v/>
      </c>
      <c r="K2640" s="0" t="str">
        <f aca="false">IF(A2640="","",MONTH(A2640))</f>
        <v/>
      </c>
      <c r="L2640" s="0" t="str">
        <f aca="false">IF(B2640="","",VALUE(LEFT(B2640,2)))</f>
        <v/>
      </c>
      <c r="M2640" s="0" t="str">
        <f aca="false">IF(A2640="","",IF(COUNTIFS($C$2:$C$5001,C2640,$J$2:$J$5001,J2640,$A$2:$A$5001,"&lt;"&amp;A2640)=0,1,0))</f>
        <v/>
      </c>
    </row>
    <row r="2641" customFormat="false" ht="15" hidden="false" customHeight="false" outlineLevel="0" collapsed="false">
      <c r="A2641" s="27"/>
      <c r="F2641" s="28"/>
      <c r="J2641" s="0" t="str">
        <f aca="false">IF(A2641="","",YEAR(A2641))</f>
        <v/>
      </c>
      <c r="K2641" s="0" t="str">
        <f aca="false">IF(A2641="","",MONTH(A2641))</f>
        <v/>
      </c>
      <c r="L2641" s="0" t="str">
        <f aca="false">IF(B2641="","",VALUE(LEFT(B2641,2)))</f>
        <v/>
      </c>
      <c r="M2641" s="0" t="str">
        <f aca="false">IF(A2641="","",IF(COUNTIFS($C$2:$C$5001,C2641,$J$2:$J$5001,J2641,$A$2:$A$5001,"&lt;"&amp;A2641)=0,1,0))</f>
        <v/>
      </c>
    </row>
    <row r="2642" customFormat="false" ht="15" hidden="false" customHeight="false" outlineLevel="0" collapsed="false">
      <c r="A2642" s="27"/>
      <c r="F2642" s="28"/>
      <c r="J2642" s="0" t="str">
        <f aca="false">IF(A2642="","",YEAR(A2642))</f>
        <v/>
      </c>
      <c r="K2642" s="0" t="str">
        <f aca="false">IF(A2642="","",MONTH(A2642))</f>
        <v/>
      </c>
      <c r="L2642" s="0" t="str">
        <f aca="false">IF(B2642="","",VALUE(LEFT(B2642,2)))</f>
        <v/>
      </c>
      <c r="M2642" s="0" t="str">
        <f aca="false">IF(A2642="","",IF(COUNTIFS($C$2:$C$5001,C2642,$J$2:$J$5001,J2642,$A$2:$A$5001,"&lt;"&amp;A2642)=0,1,0))</f>
        <v/>
      </c>
    </row>
    <row r="2643" customFormat="false" ht="15" hidden="false" customHeight="false" outlineLevel="0" collapsed="false">
      <c r="A2643" s="27"/>
      <c r="F2643" s="28"/>
      <c r="J2643" s="0" t="str">
        <f aca="false">IF(A2643="","",YEAR(A2643))</f>
        <v/>
      </c>
      <c r="K2643" s="0" t="str">
        <f aca="false">IF(A2643="","",MONTH(A2643))</f>
        <v/>
      </c>
      <c r="L2643" s="0" t="str">
        <f aca="false">IF(B2643="","",VALUE(LEFT(B2643,2)))</f>
        <v/>
      </c>
      <c r="M2643" s="0" t="str">
        <f aca="false">IF(A2643="","",IF(COUNTIFS($C$2:$C$5001,C2643,$J$2:$J$5001,J2643,$A$2:$A$5001,"&lt;"&amp;A2643)=0,1,0))</f>
        <v/>
      </c>
    </row>
    <row r="2644" customFormat="false" ht="15" hidden="false" customHeight="false" outlineLevel="0" collapsed="false">
      <c r="A2644" s="27"/>
      <c r="F2644" s="28"/>
      <c r="J2644" s="0" t="str">
        <f aca="false">IF(A2644="","",YEAR(A2644))</f>
        <v/>
      </c>
      <c r="K2644" s="0" t="str">
        <f aca="false">IF(A2644="","",MONTH(A2644))</f>
        <v/>
      </c>
      <c r="L2644" s="0" t="str">
        <f aca="false">IF(B2644="","",VALUE(LEFT(B2644,2)))</f>
        <v/>
      </c>
      <c r="M2644" s="0" t="str">
        <f aca="false">IF(A2644="","",IF(COUNTIFS($C$2:$C$5001,C2644,$J$2:$J$5001,J2644,$A$2:$A$5001,"&lt;"&amp;A2644)=0,1,0))</f>
        <v/>
      </c>
    </row>
    <row r="2645" customFormat="false" ht="15" hidden="false" customHeight="false" outlineLevel="0" collapsed="false">
      <c r="A2645" s="27"/>
      <c r="F2645" s="28"/>
      <c r="J2645" s="0" t="str">
        <f aca="false">IF(A2645="","",YEAR(A2645))</f>
        <v/>
      </c>
      <c r="K2645" s="0" t="str">
        <f aca="false">IF(A2645="","",MONTH(A2645))</f>
        <v/>
      </c>
      <c r="L2645" s="0" t="str">
        <f aca="false">IF(B2645="","",VALUE(LEFT(B2645,2)))</f>
        <v/>
      </c>
      <c r="M2645" s="0" t="str">
        <f aca="false">IF(A2645="","",IF(COUNTIFS($C$2:$C$5001,C2645,$J$2:$J$5001,J2645,$A$2:$A$5001,"&lt;"&amp;A2645)=0,1,0))</f>
        <v/>
      </c>
    </row>
    <row r="2646" customFormat="false" ht="15" hidden="false" customHeight="false" outlineLevel="0" collapsed="false">
      <c r="A2646" s="27"/>
      <c r="F2646" s="28"/>
      <c r="J2646" s="0" t="str">
        <f aca="false">IF(A2646="","",YEAR(A2646))</f>
        <v/>
      </c>
      <c r="K2646" s="0" t="str">
        <f aca="false">IF(A2646="","",MONTH(A2646))</f>
        <v/>
      </c>
      <c r="L2646" s="0" t="str">
        <f aca="false">IF(B2646="","",VALUE(LEFT(B2646,2)))</f>
        <v/>
      </c>
      <c r="M2646" s="0" t="str">
        <f aca="false">IF(A2646="","",IF(COUNTIFS($C$2:$C$5001,C2646,$J$2:$J$5001,J2646,$A$2:$A$5001,"&lt;"&amp;A2646)=0,1,0))</f>
        <v/>
      </c>
    </row>
    <row r="2647" customFormat="false" ht="15" hidden="false" customHeight="false" outlineLevel="0" collapsed="false">
      <c r="A2647" s="27"/>
      <c r="F2647" s="28"/>
      <c r="J2647" s="0" t="str">
        <f aca="false">IF(A2647="","",YEAR(A2647))</f>
        <v/>
      </c>
      <c r="K2647" s="0" t="str">
        <f aca="false">IF(A2647="","",MONTH(A2647))</f>
        <v/>
      </c>
      <c r="L2647" s="0" t="str">
        <f aca="false">IF(B2647="","",VALUE(LEFT(B2647,2)))</f>
        <v/>
      </c>
      <c r="M2647" s="0" t="str">
        <f aca="false">IF(A2647="","",IF(COUNTIFS($C$2:$C$5001,C2647,$J$2:$J$5001,J2647,$A$2:$A$5001,"&lt;"&amp;A2647)=0,1,0))</f>
        <v/>
      </c>
    </row>
    <row r="2648" customFormat="false" ht="15" hidden="false" customHeight="false" outlineLevel="0" collapsed="false">
      <c r="A2648" s="27"/>
      <c r="F2648" s="28"/>
      <c r="J2648" s="0" t="str">
        <f aca="false">IF(A2648="","",YEAR(A2648))</f>
        <v/>
      </c>
      <c r="K2648" s="0" t="str">
        <f aca="false">IF(A2648="","",MONTH(A2648))</f>
        <v/>
      </c>
      <c r="L2648" s="0" t="str">
        <f aca="false">IF(B2648="","",VALUE(LEFT(B2648,2)))</f>
        <v/>
      </c>
      <c r="M2648" s="0" t="str">
        <f aca="false">IF(A2648="","",IF(COUNTIFS($C$2:$C$5001,C2648,$J$2:$J$5001,J2648,$A$2:$A$5001,"&lt;"&amp;A2648)=0,1,0))</f>
        <v/>
      </c>
    </row>
    <row r="2649" customFormat="false" ht="15" hidden="false" customHeight="false" outlineLevel="0" collapsed="false">
      <c r="A2649" s="27"/>
      <c r="F2649" s="28"/>
      <c r="J2649" s="0" t="str">
        <f aca="false">IF(A2649="","",YEAR(A2649))</f>
        <v/>
      </c>
      <c r="K2649" s="0" t="str">
        <f aca="false">IF(A2649="","",MONTH(A2649))</f>
        <v/>
      </c>
      <c r="L2649" s="0" t="str">
        <f aca="false">IF(B2649="","",VALUE(LEFT(B2649,2)))</f>
        <v/>
      </c>
      <c r="M2649" s="0" t="str">
        <f aca="false">IF(A2649="","",IF(COUNTIFS($C$2:$C$5001,C2649,$J$2:$J$5001,J2649,$A$2:$A$5001,"&lt;"&amp;A2649)=0,1,0))</f>
        <v/>
      </c>
    </row>
    <row r="2650" customFormat="false" ht="15" hidden="false" customHeight="false" outlineLevel="0" collapsed="false">
      <c r="A2650" s="27"/>
      <c r="F2650" s="28"/>
      <c r="J2650" s="0" t="str">
        <f aca="false">IF(A2650="","",YEAR(A2650))</f>
        <v/>
      </c>
      <c r="K2650" s="0" t="str">
        <f aca="false">IF(A2650="","",MONTH(A2650))</f>
        <v/>
      </c>
      <c r="L2650" s="0" t="str">
        <f aca="false">IF(B2650="","",VALUE(LEFT(B2650,2)))</f>
        <v/>
      </c>
      <c r="M2650" s="0" t="str">
        <f aca="false">IF(A2650="","",IF(COUNTIFS($C$2:$C$5001,C2650,$J$2:$J$5001,J2650,$A$2:$A$5001,"&lt;"&amp;A2650)=0,1,0))</f>
        <v/>
      </c>
    </row>
    <row r="2651" customFormat="false" ht="15" hidden="false" customHeight="false" outlineLevel="0" collapsed="false">
      <c r="A2651" s="27"/>
      <c r="F2651" s="28"/>
      <c r="J2651" s="0" t="str">
        <f aca="false">IF(A2651="","",YEAR(A2651))</f>
        <v/>
      </c>
      <c r="K2651" s="0" t="str">
        <f aca="false">IF(A2651="","",MONTH(A2651))</f>
        <v/>
      </c>
      <c r="L2651" s="0" t="str">
        <f aca="false">IF(B2651="","",VALUE(LEFT(B2651,2)))</f>
        <v/>
      </c>
      <c r="M2651" s="0" t="str">
        <f aca="false">IF(A2651="","",IF(COUNTIFS($C$2:$C$5001,C2651,$J$2:$J$5001,J2651,$A$2:$A$5001,"&lt;"&amp;A2651)=0,1,0))</f>
        <v/>
      </c>
    </row>
    <row r="2652" customFormat="false" ht="15" hidden="false" customHeight="false" outlineLevel="0" collapsed="false">
      <c r="A2652" s="27"/>
      <c r="F2652" s="28"/>
      <c r="J2652" s="0" t="str">
        <f aca="false">IF(A2652="","",YEAR(A2652))</f>
        <v/>
      </c>
      <c r="K2652" s="0" t="str">
        <f aca="false">IF(A2652="","",MONTH(A2652))</f>
        <v/>
      </c>
      <c r="L2652" s="0" t="str">
        <f aca="false">IF(B2652="","",VALUE(LEFT(B2652,2)))</f>
        <v/>
      </c>
      <c r="M2652" s="0" t="str">
        <f aca="false">IF(A2652="","",IF(COUNTIFS($C$2:$C$5001,C2652,$J$2:$J$5001,J2652,$A$2:$A$5001,"&lt;"&amp;A2652)=0,1,0))</f>
        <v/>
      </c>
    </row>
    <row r="2653" customFormat="false" ht="15" hidden="false" customHeight="false" outlineLevel="0" collapsed="false">
      <c r="A2653" s="27"/>
      <c r="F2653" s="28"/>
      <c r="J2653" s="0" t="str">
        <f aca="false">IF(A2653="","",YEAR(A2653))</f>
        <v/>
      </c>
      <c r="K2653" s="0" t="str">
        <f aca="false">IF(A2653="","",MONTH(A2653))</f>
        <v/>
      </c>
      <c r="L2653" s="0" t="str">
        <f aca="false">IF(B2653="","",VALUE(LEFT(B2653,2)))</f>
        <v/>
      </c>
      <c r="M2653" s="0" t="str">
        <f aca="false">IF(A2653="","",IF(COUNTIFS($C$2:$C$5001,C2653,$J$2:$J$5001,J2653,$A$2:$A$5001,"&lt;"&amp;A2653)=0,1,0))</f>
        <v/>
      </c>
    </row>
    <row r="2654" customFormat="false" ht="15" hidden="false" customHeight="false" outlineLevel="0" collapsed="false">
      <c r="A2654" s="27"/>
      <c r="F2654" s="28"/>
      <c r="J2654" s="0" t="str">
        <f aca="false">IF(A2654="","",YEAR(A2654))</f>
        <v/>
      </c>
      <c r="K2654" s="0" t="str">
        <f aca="false">IF(A2654="","",MONTH(A2654))</f>
        <v/>
      </c>
      <c r="L2654" s="0" t="str">
        <f aca="false">IF(B2654="","",VALUE(LEFT(B2654,2)))</f>
        <v/>
      </c>
      <c r="M2654" s="0" t="str">
        <f aca="false">IF(A2654="","",IF(COUNTIFS($C$2:$C$5001,C2654,$J$2:$J$5001,J2654,$A$2:$A$5001,"&lt;"&amp;A2654)=0,1,0))</f>
        <v/>
      </c>
    </row>
    <row r="2655" customFormat="false" ht="15" hidden="false" customHeight="false" outlineLevel="0" collapsed="false">
      <c r="A2655" s="27"/>
      <c r="F2655" s="28"/>
      <c r="J2655" s="0" t="str">
        <f aca="false">IF(A2655="","",YEAR(A2655))</f>
        <v/>
      </c>
      <c r="K2655" s="0" t="str">
        <f aca="false">IF(A2655="","",MONTH(A2655))</f>
        <v/>
      </c>
      <c r="L2655" s="0" t="str">
        <f aca="false">IF(B2655="","",VALUE(LEFT(B2655,2)))</f>
        <v/>
      </c>
      <c r="M2655" s="0" t="str">
        <f aca="false">IF(A2655="","",IF(COUNTIFS($C$2:$C$5001,C2655,$J$2:$J$5001,J2655,$A$2:$A$5001,"&lt;"&amp;A2655)=0,1,0))</f>
        <v/>
      </c>
    </row>
    <row r="2656" customFormat="false" ht="15" hidden="false" customHeight="false" outlineLevel="0" collapsed="false">
      <c r="A2656" s="27"/>
      <c r="F2656" s="28"/>
      <c r="J2656" s="0" t="str">
        <f aca="false">IF(A2656="","",YEAR(A2656))</f>
        <v/>
      </c>
      <c r="K2656" s="0" t="str">
        <f aca="false">IF(A2656="","",MONTH(A2656))</f>
        <v/>
      </c>
      <c r="L2656" s="0" t="str">
        <f aca="false">IF(B2656="","",VALUE(LEFT(B2656,2)))</f>
        <v/>
      </c>
      <c r="M2656" s="0" t="str">
        <f aca="false">IF(A2656="","",IF(COUNTIFS($C$2:$C$5001,C2656,$J$2:$J$5001,J2656,$A$2:$A$5001,"&lt;"&amp;A2656)=0,1,0))</f>
        <v/>
      </c>
    </row>
    <row r="2657" customFormat="false" ht="15" hidden="false" customHeight="false" outlineLevel="0" collapsed="false">
      <c r="A2657" s="27"/>
      <c r="F2657" s="28"/>
      <c r="J2657" s="0" t="str">
        <f aca="false">IF(A2657="","",YEAR(A2657))</f>
        <v/>
      </c>
      <c r="K2657" s="0" t="str">
        <f aca="false">IF(A2657="","",MONTH(A2657))</f>
        <v/>
      </c>
      <c r="L2657" s="0" t="str">
        <f aca="false">IF(B2657="","",VALUE(LEFT(B2657,2)))</f>
        <v/>
      </c>
      <c r="M2657" s="0" t="str">
        <f aca="false">IF(A2657="","",IF(COUNTIFS($C$2:$C$5001,C2657,$J$2:$J$5001,J2657,$A$2:$A$5001,"&lt;"&amp;A2657)=0,1,0))</f>
        <v/>
      </c>
    </row>
    <row r="2658" customFormat="false" ht="15" hidden="false" customHeight="false" outlineLevel="0" collapsed="false">
      <c r="A2658" s="27"/>
      <c r="F2658" s="28"/>
      <c r="J2658" s="0" t="str">
        <f aca="false">IF(A2658="","",YEAR(A2658))</f>
        <v/>
      </c>
      <c r="K2658" s="0" t="str">
        <f aca="false">IF(A2658="","",MONTH(A2658))</f>
        <v/>
      </c>
      <c r="L2658" s="0" t="str">
        <f aca="false">IF(B2658="","",VALUE(LEFT(B2658,2)))</f>
        <v/>
      </c>
      <c r="M2658" s="0" t="str">
        <f aca="false">IF(A2658="","",IF(COUNTIFS($C$2:$C$5001,C2658,$J$2:$J$5001,J2658,$A$2:$A$5001,"&lt;"&amp;A2658)=0,1,0))</f>
        <v/>
      </c>
    </row>
    <row r="2659" customFormat="false" ht="15" hidden="false" customHeight="false" outlineLevel="0" collapsed="false">
      <c r="A2659" s="27"/>
      <c r="F2659" s="28"/>
      <c r="J2659" s="0" t="str">
        <f aca="false">IF(A2659="","",YEAR(A2659))</f>
        <v/>
      </c>
      <c r="K2659" s="0" t="str">
        <f aca="false">IF(A2659="","",MONTH(A2659))</f>
        <v/>
      </c>
      <c r="L2659" s="0" t="str">
        <f aca="false">IF(B2659="","",VALUE(LEFT(B2659,2)))</f>
        <v/>
      </c>
      <c r="M2659" s="0" t="str">
        <f aca="false">IF(A2659="","",IF(COUNTIFS($C$2:$C$5001,C2659,$J$2:$J$5001,J2659,$A$2:$A$5001,"&lt;"&amp;A2659)=0,1,0))</f>
        <v/>
      </c>
    </row>
    <row r="2660" customFormat="false" ht="15" hidden="false" customHeight="false" outlineLevel="0" collapsed="false">
      <c r="A2660" s="27"/>
      <c r="F2660" s="28"/>
      <c r="J2660" s="0" t="str">
        <f aca="false">IF(A2660="","",YEAR(A2660))</f>
        <v/>
      </c>
      <c r="K2660" s="0" t="str">
        <f aca="false">IF(A2660="","",MONTH(A2660))</f>
        <v/>
      </c>
      <c r="L2660" s="0" t="str">
        <f aca="false">IF(B2660="","",VALUE(LEFT(B2660,2)))</f>
        <v/>
      </c>
      <c r="M2660" s="0" t="str">
        <f aca="false">IF(A2660="","",IF(COUNTIFS($C$2:$C$5001,C2660,$J$2:$J$5001,J2660,$A$2:$A$5001,"&lt;"&amp;A2660)=0,1,0))</f>
        <v/>
      </c>
    </row>
    <row r="2661" customFormat="false" ht="15" hidden="false" customHeight="false" outlineLevel="0" collapsed="false">
      <c r="A2661" s="27"/>
      <c r="F2661" s="28"/>
      <c r="J2661" s="0" t="str">
        <f aca="false">IF(A2661="","",YEAR(A2661))</f>
        <v/>
      </c>
      <c r="K2661" s="0" t="str">
        <f aca="false">IF(A2661="","",MONTH(A2661))</f>
        <v/>
      </c>
      <c r="L2661" s="0" t="str">
        <f aca="false">IF(B2661="","",VALUE(LEFT(B2661,2)))</f>
        <v/>
      </c>
      <c r="M2661" s="0" t="str">
        <f aca="false">IF(A2661="","",IF(COUNTIFS($C$2:$C$5001,C2661,$J$2:$J$5001,J2661,$A$2:$A$5001,"&lt;"&amp;A2661)=0,1,0))</f>
        <v/>
      </c>
    </row>
    <row r="2662" customFormat="false" ht="15" hidden="false" customHeight="false" outlineLevel="0" collapsed="false">
      <c r="A2662" s="27"/>
      <c r="F2662" s="28"/>
      <c r="J2662" s="0" t="str">
        <f aca="false">IF(A2662="","",YEAR(A2662))</f>
        <v/>
      </c>
      <c r="K2662" s="0" t="str">
        <f aca="false">IF(A2662="","",MONTH(A2662))</f>
        <v/>
      </c>
      <c r="L2662" s="0" t="str">
        <f aca="false">IF(B2662="","",VALUE(LEFT(B2662,2)))</f>
        <v/>
      </c>
      <c r="M2662" s="0" t="str">
        <f aca="false">IF(A2662="","",IF(COUNTIFS($C$2:$C$5001,C2662,$J$2:$J$5001,J2662,$A$2:$A$5001,"&lt;"&amp;A2662)=0,1,0))</f>
        <v/>
      </c>
    </row>
    <row r="2663" customFormat="false" ht="15" hidden="false" customHeight="false" outlineLevel="0" collapsed="false">
      <c r="A2663" s="27"/>
      <c r="F2663" s="28"/>
      <c r="J2663" s="0" t="str">
        <f aca="false">IF(A2663="","",YEAR(A2663))</f>
        <v/>
      </c>
      <c r="K2663" s="0" t="str">
        <f aca="false">IF(A2663="","",MONTH(A2663))</f>
        <v/>
      </c>
      <c r="L2663" s="0" t="str">
        <f aca="false">IF(B2663="","",VALUE(LEFT(B2663,2)))</f>
        <v/>
      </c>
      <c r="M2663" s="0" t="str">
        <f aca="false">IF(A2663="","",IF(COUNTIFS($C$2:$C$5001,C2663,$J$2:$J$5001,J2663,$A$2:$A$5001,"&lt;"&amp;A2663)=0,1,0))</f>
        <v/>
      </c>
    </row>
    <row r="2664" customFormat="false" ht="15" hidden="false" customHeight="false" outlineLevel="0" collapsed="false">
      <c r="A2664" s="27"/>
      <c r="F2664" s="28"/>
      <c r="J2664" s="0" t="str">
        <f aca="false">IF(A2664="","",YEAR(A2664))</f>
        <v/>
      </c>
      <c r="K2664" s="0" t="str">
        <f aca="false">IF(A2664="","",MONTH(A2664))</f>
        <v/>
      </c>
      <c r="L2664" s="0" t="str">
        <f aca="false">IF(B2664="","",VALUE(LEFT(B2664,2)))</f>
        <v/>
      </c>
      <c r="M2664" s="0" t="str">
        <f aca="false">IF(A2664="","",IF(COUNTIFS($C$2:$C$5001,C2664,$J$2:$J$5001,J2664,$A$2:$A$5001,"&lt;"&amp;A2664)=0,1,0))</f>
        <v/>
      </c>
    </row>
    <row r="2665" customFormat="false" ht="15" hidden="false" customHeight="false" outlineLevel="0" collapsed="false">
      <c r="A2665" s="27"/>
      <c r="F2665" s="28"/>
      <c r="J2665" s="0" t="str">
        <f aca="false">IF(A2665="","",YEAR(A2665))</f>
        <v/>
      </c>
      <c r="K2665" s="0" t="str">
        <f aca="false">IF(A2665="","",MONTH(A2665))</f>
        <v/>
      </c>
      <c r="L2665" s="0" t="str">
        <f aca="false">IF(B2665="","",VALUE(LEFT(B2665,2)))</f>
        <v/>
      </c>
      <c r="M2665" s="0" t="str">
        <f aca="false">IF(A2665="","",IF(COUNTIFS($C$2:$C$5001,C2665,$J$2:$J$5001,J2665,$A$2:$A$5001,"&lt;"&amp;A2665)=0,1,0))</f>
        <v/>
      </c>
    </row>
    <row r="2666" customFormat="false" ht="15" hidden="false" customHeight="false" outlineLevel="0" collapsed="false">
      <c r="A2666" s="27"/>
      <c r="F2666" s="28"/>
      <c r="J2666" s="0" t="str">
        <f aca="false">IF(A2666="","",YEAR(A2666))</f>
        <v/>
      </c>
      <c r="K2666" s="0" t="str">
        <f aca="false">IF(A2666="","",MONTH(A2666))</f>
        <v/>
      </c>
      <c r="L2666" s="0" t="str">
        <f aca="false">IF(B2666="","",VALUE(LEFT(B2666,2)))</f>
        <v/>
      </c>
      <c r="M2666" s="0" t="str">
        <f aca="false">IF(A2666="","",IF(COUNTIFS($C$2:$C$5001,C2666,$J$2:$J$5001,J2666,$A$2:$A$5001,"&lt;"&amp;A2666)=0,1,0))</f>
        <v/>
      </c>
    </row>
    <row r="2667" customFormat="false" ht="15" hidden="false" customHeight="false" outlineLevel="0" collapsed="false">
      <c r="A2667" s="27"/>
      <c r="F2667" s="28"/>
      <c r="J2667" s="0" t="str">
        <f aca="false">IF(A2667="","",YEAR(A2667))</f>
        <v/>
      </c>
      <c r="K2667" s="0" t="str">
        <f aca="false">IF(A2667="","",MONTH(A2667))</f>
        <v/>
      </c>
      <c r="L2667" s="0" t="str">
        <f aca="false">IF(B2667="","",VALUE(LEFT(B2667,2)))</f>
        <v/>
      </c>
      <c r="M2667" s="0" t="str">
        <f aca="false">IF(A2667="","",IF(COUNTIFS($C$2:$C$5001,C2667,$J$2:$J$5001,J2667,$A$2:$A$5001,"&lt;"&amp;A2667)=0,1,0))</f>
        <v/>
      </c>
    </row>
    <row r="2668" customFormat="false" ht="15" hidden="false" customHeight="false" outlineLevel="0" collapsed="false">
      <c r="A2668" s="27"/>
      <c r="F2668" s="28"/>
      <c r="J2668" s="0" t="str">
        <f aca="false">IF(A2668="","",YEAR(A2668))</f>
        <v/>
      </c>
      <c r="K2668" s="0" t="str">
        <f aca="false">IF(A2668="","",MONTH(A2668))</f>
        <v/>
      </c>
      <c r="L2668" s="0" t="str">
        <f aca="false">IF(B2668="","",VALUE(LEFT(B2668,2)))</f>
        <v/>
      </c>
      <c r="M2668" s="0" t="str">
        <f aca="false">IF(A2668="","",IF(COUNTIFS($C$2:$C$5001,C2668,$J$2:$J$5001,J2668,$A$2:$A$5001,"&lt;"&amp;A2668)=0,1,0))</f>
        <v/>
      </c>
    </row>
    <row r="2669" customFormat="false" ht="15" hidden="false" customHeight="false" outlineLevel="0" collapsed="false">
      <c r="A2669" s="27"/>
      <c r="F2669" s="28"/>
      <c r="J2669" s="0" t="str">
        <f aca="false">IF(A2669="","",YEAR(A2669))</f>
        <v/>
      </c>
      <c r="K2669" s="0" t="str">
        <f aca="false">IF(A2669="","",MONTH(A2669))</f>
        <v/>
      </c>
      <c r="L2669" s="0" t="str">
        <f aca="false">IF(B2669="","",VALUE(LEFT(B2669,2)))</f>
        <v/>
      </c>
      <c r="M2669" s="0" t="str">
        <f aca="false">IF(A2669="","",IF(COUNTIFS($C$2:$C$5001,C2669,$J$2:$J$5001,J2669,$A$2:$A$5001,"&lt;"&amp;A2669)=0,1,0))</f>
        <v/>
      </c>
    </row>
    <row r="2670" customFormat="false" ht="15" hidden="false" customHeight="false" outlineLevel="0" collapsed="false">
      <c r="A2670" s="27"/>
      <c r="F2670" s="28"/>
      <c r="J2670" s="0" t="str">
        <f aca="false">IF(A2670="","",YEAR(A2670))</f>
        <v/>
      </c>
      <c r="K2670" s="0" t="str">
        <f aca="false">IF(A2670="","",MONTH(A2670))</f>
        <v/>
      </c>
      <c r="L2670" s="0" t="str">
        <f aca="false">IF(B2670="","",VALUE(LEFT(B2670,2)))</f>
        <v/>
      </c>
      <c r="M2670" s="0" t="str">
        <f aca="false">IF(A2670="","",IF(COUNTIFS($C$2:$C$5001,C2670,$J$2:$J$5001,J2670,$A$2:$A$5001,"&lt;"&amp;A2670)=0,1,0))</f>
        <v/>
      </c>
    </row>
    <row r="2671" customFormat="false" ht="15" hidden="false" customHeight="false" outlineLevel="0" collapsed="false">
      <c r="A2671" s="27"/>
      <c r="F2671" s="28"/>
      <c r="J2671" s="0" t="str">
        <f aca="false">IF(A2671="","",YEAR(A2671))</f>
        <v/>
      </c>
      <c r="K2671" s="0" t="str">
        <f aca="false">IF(A2671="","",MONTH(A2671))</f>
        <v/>
      </c>
      <c r="L2671" s="0" t="str">
        <f aca="false">IF(B2671="","",VALUE(LEFT(B2671,2)))</f>
        <v/>
      </c>
      <c r="M2671" s="0" t="str">
        <f aca="false">IF(A2671="","",IF(COUNTIFS($C$2:$C$5001,C2671,$J$2:$J$5001,J2671,$A$2:$A$5001,"&lt;"&amp;A2671)=0,1,0))</f>
        <v/>
      </c>
    </row>
    <row r="2672" customFormat="false" ht="15" hidden="false" customHeight="false" outlineLevel="0" collapsed="false">
      <c r="A2672" s="27"/>
      <c r="F2672" s="28"/>
      <c r="J2672" s="0" t="str">
        <f aca="false">IF(A2672="","",YEAR(A2672))</f>
        <v/>
      </c>
      <c r="K2672" s="0" t="str">
        <f aca="false">IF(A2672="","",MONTH(A2672))</f>
        <v/>
      </c>
      <c r="L2672" s="0" t="str">
        <f aca="false">IF(B2672="","",VALUE(LEFT(B2672,2)))</f>
        <v/>
      </c>
      <c r="M2672" s="0" t="str">
        <f aca="false">IF(A2672="","",IF(COUNTIFS($C$2:$C$5001,C2672,$J$2:$J$5001,J2672,$A$2:$A$5001,"&lt;"&amp;A2672)=0,1,0))</f>
        <v/>
      </c>
    </row>
    <row r="2673" customFormat="false" ht="15" hidden="false" customHeight="false" outlineLevel="0" collapsed="false">
      <c r="A2673" s="27"/>
      <c r="F2673" s="28"/>
      <c r="J2673" s="0" t="str">
        <f aca="false">IF(A2673="","",YEAR(A2673))</f>
        <v/>
      </c>
      <c r="K2673" s="0" t="str">
        <f aca="false">IF(A2673="","",MONTH(A2673))</f>
        <v/>
      </c>
      <c r="L2673" s="0" t="str">
        <f aca="false">IF(B2673="","",VALUE(LEFT(B2673,2)))</f>
        <v/>
      </c>
      <c r="M2673" s="0" t="str">
        <f aca="false">IF(A2673="","",IF(COUNTIFS($C$2:$C$5001,C2673,$J$2:$J$5001,J2673,$A$2:$A$5001,"&lt;"&amp;A2673)=0,1,0))</f>
        <v/>
      </c>
    </row>
    <row r="2674" customFormat="false" ht="15" hidden="false" customHeight="false" outlineLevel="0" collapsed="false">
      <c r="A2674" s="27"/>
      <c r="F2674" s="28"/>
      <c r="J2674" s="0" t="str">
        <f aca="false">IF(A2674="","",YEAR(A2674))</f>
        <v/>
      </c>
      <c r="K2674" s="0" t="str">
        <f aca="false">IF(A2674="","",MONTH(A2674))</f>
        <v/>
      </c>
      <c r="L2674" s="0" t="str">
        <f aca="false">IF(B2674="","",VALUE(LEFT(B2674,2)))</f>
        <v/>
      </c>
      <c r="M2674" s="0" t="str">
        <f aca="false">IF(A2674="","",IF(COUNTIFS($C$2:$C$5001,C2674,$J$2:$J$5001,J2674,$A$2:$A$5001,"&lt;"&amp;A2674)=0,1,0))</f>
        <v/>
      </c>
    </row>
    <row r="2675" customFormat="false" ht="15" hidden="false" customHeight="false" outlineLevel="0" collapsed="false">
      <c r="A2675" s="27"/>
      <c r="F2675" s="28"/>
      <c r="J2675" s="0" t="str">
        <f aca="false">IF(A2675="","",YEAR(A2675))</f>
        <v/>
      </c>
      <c r="K2675" s="0" t="str">
        <f aca="false">IF(A2675="","",MONTH(A2675))</f>
        <v/>
      </c>
      <c r="L2675" s="0" t="str">
        <f aca="false">IF(B2675="","",VALUE(LEFT(B2675,2)))</f>
        <v/>
      </c>
      <c r="M2675" s="0" t="str">
        <f aca="false">IF(A2675="","",IF(COUNTIFS($C$2:$C$5001,C2675,$J$2:$J$5001,J2675,$A$2:$A$5001,"&lt;"&amp;A2675)=0,1,0))</f>
        <v/>
      </c>
    </row>
    <row r="2676" customFormat="false" ht="15" hidden="false" customHeight="false" outlineLevel="0" collapsed="false">
      <c r="A2676" s="27"/>
      <c r="F2676" s="28"/>
      <c r="J2676" s="0" t="str">
        <f aca="false">IF(A2676="","",YEAR(A2676))</f>
        <v/>
      </c>
      <c r="K2676" s="0" t="str">
        <f aca="false">IF(A2676="","",MONTH(A2676))</f>
        <v/>
      </c>
      <c r="L2676" s="0" t="str">
        <f aca="false">IF(B2676="","",VALUE(LEFT(B2676,2)))</f>
        <v/>
      </c>
      <c r="M2676" s="0" t="str">
        <f aca="false">IF(A2676="","",IF(COUNTIFS($C$2:$C$5001,C2676,$J$2:$J$5001,J2676,$A$2:$A$5001,"&lt;"&amp;A2676)=0,1,0))</f>
        <v/>
      </c>
    </row>
    <row r="2677" customFormat="false" ht="15" hidden="false" customHeight="false" outlineLevel="0" collapsed="false">
      <c r="A2677" s="27"/>
      <c r="F2677" s="28"/>
      <c r="J2677" s="0" t="str">
        <f aca="false">IF(A2677="","",YEAR(A2677))</f>
        <v/>
      </c>
      <c r="K2677" s="0" t="str">
        <f aca="false">IF(A2677="","",MONTH(A2677))</f>
        <v/>
      </c>
      <c r="L2677" s="0" t="str">
        <f aca="false">IF(B2677="","",VALUE(LEFT(B2677,2)))</f>
        <v/>
      </c>
      <c r="M2677" s="0" t="str">
        <f aca="false">IF(A2677="","",IF(COUNTIFS($C$2:$C$5001,C2677,$J$2:$J$5001,J2677,$A$2:$A$5001,"&lt;"&amp;A2677)=0,1,0))</f>
        <v/>
      </c>
    </row>
    <row r="2678" customFormat="false" ht="15" hidden="false" customHeight="false" outlineLevel="0" collapsed="false">
      <c r="A2678" s="27"/>
      <c r="F2678" s="28"/>
      <c r="J2678" s="0" t="str">
        <f aca="false">IF(A2678="","",YEAR(A2678))</f>
        <v/>
      </c>
      <c r="K2678" s="0" t="str">
        <f aca="false">IF(A2678="","",MONTH(A2678))</f>
        <v/>
      </c>
      <c r="L2678" s="0" t="str">
        <f aca="false">IF(B2678="","",VALUE(LEFT(B2678,2)))</f>
        <v/>
      </c>
      <c r="M2678" s="0" t="str">
        <f aca="false">IF(A2678="","",IF(COUNTIFS($C$2:$C$5001,C2678,$J$2:$J$5001,J2678,$A$2:$A$5001,"&lt;"&amp;A2678)=0,1,0))</f>
        <v/>
      </c>
    </row>
    <row r="2679" customFormat="false" ht="15" hidden="false" customHeight="false" outlineLevel="0" collapsed="false">
      <c r="A2679" s="27"/>
      <c r="F2679" s="28"/>
      <c r="J2679" s="0" t="str">
        <f aca="false">IF(A2679="","",YEAR(A2679))</f>
        <v/>
      </c>
      <c r="K2679" s="0" t="str">
        <f aca="false">IF(A2679="","",MONTH(A2679))</f>
        <v/>
      </c>
      <c r="L2679" s="0" t="str">
        <f aca="false">IF(B2679="","",VALUE(LEFT(B2679,2)))</f>
        <v/>
      </c>
      <c r="M2679" s="0" t="str">
        <f aca="false">IF(A2679="","",IF(COUNTIFS($C$2:$C$5001,C2679,$J$2:$J$5001,J2679,$A$2:$A$5001,"&lt;"&amp;A2679)=0,1,0))</f>
        <v/>
      </c>
    </row>
    <row r="2680" customFormat="false" ht="15" hidden="false" customHeight="false" outlineLevel="0" collapsed="false">
      <c r="A2680" s="27"/>
      <c r="F2680" s="28"/>
      <c r="J2680" s="0" t="str">
        <f aca="false">IF(A2680="","",YEAR(A2680))</f>
        <v/>
      </c>
      <c r="K2680" s="0" t="str">
        <f aca="false">IF(A2680="","",MONTH(A2680))</f>
        <v/>
      </c>
      <c r="L2680" s="0" t="str">
        <f aca="false">IF(B2680="","",VALUE(LEFT(B2680,2)))</f>
        <v/>
      </c>
      <c r="M2680" s="0" t="str">
        <f aca="false">IF(A2680="","",IF(COUNTIFS($C$2:$C$5001,C2680,$J$2:$J$5001,J2680,$A$2:$A$5001,"&lt;"&amp;A2680)=0,1,0))</f>
        <v/>
      </c>
    </row>
    <row r="2681" customFormat="false" ht="15" hidden="false" customHeight="false" outlineLevel="0" collapsed="false">
      <c r="A2681" s="27"/>
      <c r="F2681" s="28"/>
      <c r="J2681" s="0" t="str">
        <f aca="false">IF(A2681="","",YEAR(A2681))</f>
        <v/>
      </c>
      <c r="K2681" s="0" t="str">
        <f aca="false">IF(A2681="","",MONTH(A2681))</f>
        <v/>
      </c>
      <c r="L2681" s="0" t="str">
        <f aca="false">IF(B2681="","",VALUE(LEFT(B2681,2)))</f>
        <v/>
      </c>
      <c r="M2681" s="0" t="str">
        <f aca="false">IF(A2681="","",IF(COUNTIFS($C$2:$C$5001,C2681,$J$2:$J$5001,J2681,$A$2:$A$5001,"&lt;"&amp;A2681)=0,1,0))</f>
        <v/>
      </c>
    </row>
    <row r="2682" customFormat="false" ht="15" hidden="false" customHeight="false" outlineLevel="0" collapsed="false">
      <c r="A2682" s="27"/>
      <c r="F2682" s="28"/>
      <c r="J2682" s="0" t="str">
        <f aca="false">IF(A2682="","",YEAR(A2682))</f>
        <v/>
      </c>
      <c r="K2682" s="0" t="str">
        <f aca="false">IF(A2682="","",MONTH(A2682))</f>
        <v/>
      </c>
      <c r="L2682" s="0" t="str">
        <f aca="false">IF(B2682="","",VALUE(LEFT(B2682,2)))</f>
        <v/>
      </c>
      <c r="M2682" s="0" t="str">
        <f aca="false">IF(A2682="","",IF(COUNTIFS($C$2:$C$5001,C2682,$J$2:$J$5001,J2682,$A$2:$A$5001,"&lt;"&amp;A2682)=0,1,0))</f>
        <v/>
      </c>
    </row>
    <row r="2683" customFormat="false" ht="15" hidden="false" customHeight="false" outlineLevel="0" collapsed="false">
      <c r="A2683" s="27"/>
      <c r="F2683" s="28"/>
      <c r="J2683" s="0" t="str">
        <f aca="false">IF(A2683="","",YEAR(A2683))</f>
        <v/>
      </c>
      <c r="K2683" s="0" t="str">
        <f aca="false">IF(A2683="","",MONTH(A2683))</f>
        <v/>
      </c>
      <c r="L2683" s="0" t="str">
        <f aca="false">IF(B2683="","",VALUE(LEFT(B2683,2)))</f>
        <v/>
      </c>
      <c r="M2683" s="0" t="str">
        <f aca="false">IF(A2683="","",IF(COUNTIFS($C$2:$C$5001,C2683,$J$2:$J$5001,J2683,$A$2:$A$5001,"&lt;"&amp;A2683)=0,1,0))</f>
        <v/>
      </c>
    </row>
    <row r="2684" customFormat="false" ht="15" hidden="false" customHeight="false" outlineLevel="0" collapsed="false">
      <c r="A2684" s="27"/>
      <c r="F2684" s="28"/>
      <c r="J2684" s="0" t="str">
        <f aca="false">IF(A2684="","",YEAR(A2684))</f>
        <v/>
      </c>
      <c r="K2684" s="0" t="str">
        <f aca="false">IF(A2684="","",MONTH(A2684))</f>
        <v/>
      </c>
      <c r="L2684" s="0" t="str">
        <f aca="false">IF(B2684="","",VALUE(LEFT(B2684,2)))</f>
        <v/>
      </c>
      <c r="M2684" s="0" t="str">
        <f aca="false">IF(A2684="","",IF(COUNTIFS($C$2:$C$5001,C2684,$J$2:$J$5001,J2684,$A$2:$A$5001,"&lt;"&amp;A2684)=0,1,0))</f>
        <v/>
      </c>
    </row>
    <row r="2685" customFormat="false" ht="15" hidden="false" customHeight="false" outlineLevel="0" collapsed="false">
      <c r="A2685" s="27"/>
      <c r="F2685" s="28"/>
      <c r="J2685" s="0" t="str">
        <f aca="false">IF(A2685="","",YEAR(A2685))</f>
        <v/>
      </c>
      <c r="K2685" s="0" t="str">
        <f aca="false">IF(A2685="","",MONTH(A2685))</f>
        <v/>
      </c>
      <c r="L2685" s="0" t="str">
        <f aca="false">IF(B2685="","",VALUE(LEFT(B2685,2)))</f>
        <v/>
      </c>
      <c r="M2685" s="0" t="str">
        <f aca="false">IF(A2685="","",IF(COUNTIFS($C$2:$C$5001,C2685,$J$2:$J$5001,J2685,$A$2:$A$5001,"&lt;"&amp;A2685)=0,1,0))</f>
        <v/>
      </c>
    </row>
    <row r="2686" customFormat="false" ht="15" hidden="false" customHeight="false" outlineLevel="0" collapsed="false">
      <c r="A2686" s="27"/>
      <c r="F2686" s="28"/>
      <c r="J2686" s="0" t="str">
        <f aca="false">IF(A2686="","",YEAR(A2686))</f>
        <v/>
      </c>
      <c r="K2686" s="0" t="str">
        <f aca="false">IF(A2686="","",MONTH(A2686))</f>
        <v/>
      </c>
      <c r="L2686" s="0" t="str">
        <f aca="false">IF(B2686="","",VALUE(LEFT(B2686,2)))</f>
        <v/>
      </c>
      <c r="M2686" s="0" t="str">
        <f aca="false">IF(A2686="","",IF(COUNTIFS($C$2:$C$5001,C2686,$J$2:$J$5001,J2686,$A$2:$A$5001,"&lt;"&amp;A2686)=0,1,0))</f>
        <v/>
      </c>
    </row>
    <row r="2687" customFormat="false" ht="15" hidden="false" customHeight="false" outlineLevel="0" collapsed="false">
      <c r="A2687" s="27"/>
      <c r="F2687" s="28"/>
      <c r="J2687" s="0" t="str">
        <f aca="false">IF(A2687="","",YEAR(A2687))</f>
        <v/>
      </c>
      <c r="K2687" s="0" t="str">
        <f aca="false">IF(A2687="","",MONTH(A2687))</f>
        <v/>
      </c>
      <c r="L2687" s="0" t="str">
        <f aca="false">IF(B2687="","",VALUE(LEFT(B2687,2)))</f>
        <v/>
      </c>
      <c r="M2687" s="0" t="str">
        <f aca="false">IF(A2687="","",IF(COUNTIFS($C$2:$C$5001,C2687,$J$2:$J$5001,J2687,$A$2:$A$5001,"&lt;"&amp;A2687)=0,1,0))</f>
        <v/>
      </c>
    </row>
    <row r="2688" customFormat="false" ht="15" hidden="false" customHeight="false" outlineLevel="0" collapsed="false">
      <c r="A2688" s="27"/>
      <c r="F2688" s="28"/>
      <c r="J2688" s="0" t="str">
        <f aca="false">IF(A2688="","",YEAR(A2688))</f>
        <v/>
      </c>
      <c r="K2688" s="0" t="str">
        <f aca="false">IF(A2688="","",MONTH(A2688))</f>
        <v/>
      </c>
      <c r="L2688" s="0" t="str">
        <f aca="false">IF(B2688="","",VALUE(LEFT(B2688,2)))</f>
        <v/>
      </c>
      <c r="M2688" s="0" t="str">
        <f aca="false">IF(A2688="","",IF(COUNTIFS($C$2:$C$5001,C2688,$J$2:$J$5001,J2688,$A$2:$A$5001,"&lt;"&amp;A2688)=0,1,0))</f>
        <v/>
      </c>
    </row>
    <row r="2689" customFormat="false" ht="15" hidden="false" customHeight="false" outlineLevel="0" collapsed="false">
      <c r="A2689" s="27"/>
      <c r="F2689" s="28"/>
      <c r="J2689" s="0" t="str">
        <f aca="false">IF(A2689="","",YEAR(A2689))</f>
        <v/>
      </c>
      <c r="K2689" s="0" t="str">
        <f aca="false">IF(A2689="","",MONTH(A2689))</f>
        <v/>
      </c>
      <c r="L2689" s="0" t="str">
        <f aca="false">IF(B2689="","",VALUE(LEFT(B2689,2)))</f>
        <v/>
      </c>
      <c r="M2689" s="0" t="str">
        <f aca="false">IF(A2689="","",IF(COUNTIFS($C$2:$C$5001,C2689,$J$2:$J$5001,J2689,$A$2:$A$5001,"&lt;"&amp;A2689)=0,1,0))</f>
        <v/>
      </c>
    </row>
    <row r="2690" customFormat="false" ht="15" hidden="false" customHeight="false" outlineLevel="0" collapsed="false">
      <c r="A2690" s="27"/>
      <c r="F2690" s="28"/>
      <c r="J2690" s="0" t="str">
        <f aca="false">IF(A2690="","",YEAR(A2690))</f>
        <v/>
      </c>
      <c r="K2690" s="0" t="str">
        <f aca="false">IF(A2690="","",MONTH(A2690))</f>
        <v/>
      </c>
      <c r="L2690" s="0" t="str">
        <f aca="false">IF(B2690="","",VALUE(LEFT(B2690,2)))</f>
        <v/>
      </c>
      <c r="M2690" s="0" t="str">
        <f aca="false">IF(A2690="","",IF(COUNTIFS($C$2:$C$5001,C2690,$J$2:$J$5001,J2690,$A$2:$A$5001,"&lt;"&amp;A2690)=0,1,0))</f>
        <v/>
      </c>
    </row>
    <row r="2691" customFormat="false" ht="15" hidden="false" customHeight="false" outlineLevel="0" collapsed="false">
      <c r="A2691" s="27"/>
      <c r="F2691" s="28"/>
      <c r="J2691" s="0" t="str">
        <f aca="false">IF(A2691="","",YEAR(A2691))</f>
        <v/>
      </c>
      <c r="K2691" s="0" t="str">
        <f aca="false">IF(A2691="","",MONTH(A2691))</f>
        <v/>
      </c>
      <c r="L2691" s="0" t="str">
        <f aca="false">IF(B2691="","",VALUE(LEFT(B2691,2)))</f>
        <v/>
      </c>
      <c r="M2691" s="0" t="str">
        <f aca="false">IF(A2691="","",IF(COUNTIFS($C$2:$C$5001,C2691,$J$2:$J$5001,J2691,$A$2:$A$5001,"&lt;"&amp;A2691)=0,1,0))</f>
        <v/>
      </c>
    </row>
    <row r="2692" customFormat="false" ht="15" hidden="false" customHeight="false" outlineLevel="0" collapsed="false">
      <c r="A2692" s="27"/>
      <c r="F2692" s="28"/>
      <c r="J2692" s="0" t="str">
        <f aca="false">IF(A2692="","",YEAR(A2692))</f>
        <v/>
      </c>
      <c r="K2692" s="0" t="str">
        <f aca="false">IF(A2692="","",MONTH(A2692))</f>
        <v/>
      </c>
      <c r="L2692" s="0" t="str">
        <f aca="false">IF(B2692="","",VALUE(LEFT(B2692,2)))</f>
        <v/>
      </c>
      <c r="M2692" s="0" t="str">
        <f aca="false">IF(A2692="","",IF(COUNTIFS($C$2:$C$5001,C2692,$J$2:$J$5001,J2692,$A$2:$A$5001,"&lt;"&amp;A2692)=0,1,0))</f>
        <v/>
      </c>
    </row>
    <row r="2693" customFormat="false" ht="15" hidden="false" customHeight="false" outlineLevel="0" collapsed="false">
      <c r="A2693" s="27"/>
      <c r="F2693" s="28"/>
      <c r="J2693" s="0" t="str">
        <f aca="false">IF(A2693="","",YEAR(A2693))</f>
        <v/>
      </c>
      <c r="K2693" s="0" t="str">
        <f aca="false">IF(A2693="","",MONTH(A2693))</f>
        <v/>
      </c>
      <c r="L2693" s="0" t="str">
        <f aca="false">IF(B2693="","",VALUE(LEFT(B2693,2)))</f>
        <v/>
      </c>
      <c r="M2693" s="0" t="str">
        <f aca="false">IF(A2693="","",IF(COUNTIFS($C$2:$C$5001,C2693,$J$2:$J$5001,J2693,$A$2:$A$5001,"&lt;"&amp;A2693)=0,1,0))</f>
        <v/>
      </c>
    </row>
    <row r="2694" customFormat="false" ht="15" hidden="false" customHeight="false" outlineLevel="0" collapsed="false">
      <c r="A2694" s="27"/>
      <c r="F2694" s="28"/>
      <c r="J2694" s="0" t="str">
        <f aca="false">IF(A2694="","",YEAR(A2694))</f>
        <v/>
      </c>
      <c r="K2694" s="0" t="str">
        <f aca="false">IF(A2694="","",MONTH(A2694))</f>
        <v/>
      </c>
      <c r="L2694" s="0" t="str">
        <f aca="false">IF(B2694="","",VALUE(LEFT(B2694,2)))</f>
        <v/>
      </c>
      <c r="M2694" s="0" t="str">
        <f aca="false">IF(A2694="","",IF(COUNTIFS($C$2:$C$5001,C2694,$J$2:$J$5001,J2694,$A$2:$A$5001,"&lt;"&amp;A2694)=0,1,0))</f>
        <v/>
      </c>
    </row>
    <row r="2695" customFormat="false" ht="15" hidden="false" customHeight="false" outlineLevel="0" collapsed="false">
      <c r="A2695" s="27"/>
      <c r="F2695" s="28"/>
      <c r="J2695" s="0" t="str">
        <f aca="false">IF(A2695="","",YEAR(A2695))</f>
        <v/>
      </c>
      <c r="K2695" s="0" t="str">
        <f aca="false">IF(A2695="","",MONTH(A2695))</f>
        <v/>
      </c>
      <c r="L2695" s="0" t="str">
        <f aca="false">IF(B2695="","",VALUE(LEFT(B2695,2)))</f>
        <v/>
      </c>
      <c r="M2695" s="0" t="str">
        <f aca="false">IF(A2695="","",IF(COUNTIFS($C$2:$C$5001,C2695,$J$2:$J$5001,J2695,$A$2:$A$5001,"&lt;"&amp;A2695)=0,1,0))</f>
        <v/>
      </c>
    </row>
    <row r="2696" customFormat="false" ht="15" hidden="false" customHeight="false" outlineLevel="0" collapsed="false">
      <c r="A2696" s="27"/>
      <c r="F2696" s="28"/>
      <c r="J2696" s="0" t="str">
        <f aca="false">IF(A2696="","",YEAR(A2696))</f>
        <v/>
      </c>
      <c r="K2696" s="0" t="str">
        <f aca="false">IF(A2696="","",MONTH(A2696))</f>
        <v/>
      </c>
      <c r="L2696" s="0" t="str">
        <f aca="false">IF(B2696="","",VALUE(LEFT(B2696,2)))</f>
        <v/>
      </c>
      <c r="M2696" s="0" t="str">
        <f aca="false">IF(A2696="","",IF(COUNTIFS($C$2:$C$5001,C2696,$J$2:$J$5001,J2696,$A$2:$A$5001,"&lt;"&amp;A2696)=0,1,0))</f>
        <v/>
      </c>
    </row>
    <row r="2697" customFormat="false" ht="15" hidden="false" customHeight="false" outlineLevel="0" collapsed="false">
      <c r="A2697" s="27"/>
      <c r="F2697" s="28"/>
      <c r="J2697" s="0" t="str">
        <f aca="false">IF(A2697="","",YEAR(A2697))</f>
        <v/>
      </c>
      <c r="K2697" s="0" t="str">
        <f aca="false">IF(A2697="","",MONTH(A2697))</f>
        <v/>
      </c>
      <c r="L2697" s="0" t="str">
        <f aca="false">IF(B2697="","",VALUE(LEFT(B2697,2)))</f>
        <v/>
      </c>
      <c r="M2697" s="0" t="str">
        <f aca="false">IF(A2697="","",IF(COUNTIFS($C$2:$C$5001,C2697,$J$2:$J$5001,J2697,$A$2:$A$5001,"&lt;"&amp;A2697)=0,1,0))</f>
        <v/>
      </c>
    </row>
    <row r="2698" customFormat="false" ht="15" hidden="false" customHeight="false" outlineLevel="0" collapsed="false">
      <c r="A2698" s="27"/>
      <c r="F2698" s="28"/>
      <c r="J2698" s="0" t="str">
        <f aca="false">IF(A2698="","",YEAR(A2698))</f>
        <v/>
      </c>
      <c r="K2698" s="0" t="str">
        <f aca="false">IF(A2698="","",MONTH(A2698))</f>
        <v/>
      </c>
      <c r="L2698" s="0" t="str">
        <f aca="false">IF(B2698="","",VALUE(LEFT(B2698,2)))</f>
        <v/>
      </c>
      <c r="M2698" s="0" t="str">
        <f aca="false">IF(A2698="","",IF(COUNTIFS($C$2:$C$5001,C2698,$J$2:$J$5001,J2698,$A$2:$A$5001,"&lt;"&amp;A2698)=0,1,0))</f>
        <v/>
      </c>
    </row>
    <row r="2699" customFormat="false" ht="15" hidden="false" customHeight="false" outlineLevel="0" collapsed="false">
      <c r="A2699" s="27"/>
      <c r="F2699" s="28"/>
      <c r="J2699" s="0" t="str">
        <f aca="false">IF(A2699="","",YEAR(A2699))</f>
        <v/>
      </c>
      <c r="K2699" s="0" t="str">
        <f aca="false">IF(A2699="","",MONTH(A2699))</f>
        <v/>
      </c>
      <c r="L2699" s="0" t="str">
        <f aca="false">IF(B2699="","",VALUE(LEFT(B2699,2)))</f>
        <v/>
      </c>
      <c r="M2699" s="0" t="str">
        <f aca="false">IF(A2699="","",IF(COUNTIFS($C$2:$C$5001,C2699,$J$2:$J$5001,J2699,$A$2:$A$5001,"&lt;"&amp;A2699)=0,1,0))</f>
        <v/>
      </c>
    </row>
    <row r="2700" customFormat="false" ht="15" hidden="false" customHeight="false" outlineLevel="0" collapsed="false">
      <c r="A2700" s="27"/>
      <c r="F2700" s="28"/>
      <c r="J2700" s="0" t="str">
        <f aca="false">IF(A2700="","",YEAR(A2700))</f>
        <v/>
      </c>
      <c r="K2700" s="0" t="str">
        <f aca="false">IF(A2700="","",MONTH(A2700))</f>
        <v/>
      </c>
      <c r="L2700" s="0" t="str">
        <f aca="false">IF(B2700="","",VALUE(LEFT(B2700,2)))</f>
        <v/>
      </c>
      <c r="M2700" s="0" t="str">
        <f aca="false">IF(A2700="","",IF(COUNTIFS($C$2:$C$5001,C2700,$J$2:$J$5001,J2700,$A$2:$A$5001,"&lt;"&amp;A2700)=0,1,0))</f>
        <v/>
      </c>
    </row>
    <row r="2701" customFormat="false" ht="15" hidden="false" customHeight="false" outlineLevel="0" collapsed="false">
      <c r="A2701" s="27"/>
      <c r="F2701" s="28"/>
      <c r="J2701" s="0" t="str">
        <f aca="false">IF(A2701="","",YEAR(A2701))</f>
        <v/>
      </c>
      <c r="K2701" s="0" t="str">
        <f aca="false">IF(A2701="","",MONTH(A2701))</f>
        <v/>
      </c>
      <c r="L2701" s="0" t="str">
        <f aca="false">IF(B2701="","",VALUE(LEFT(B2701,2)))</f>
        <v/>
      </c>
      <c r="M2701" s="0" t="str">
        <f aca="false">IF(A2701="","",IF(COUNTIFS($C$2:$C$5001,C2701,$J$2:$J$5001,J2701,$A$2:$A$5001,"&lt;"&amp;A2701)=0,1,0))</f>
        <v/>
      </c>
    </row>
    <row r="2702" customFormat="false" ht="15" hidden="false" customHeight="false" outlineLevel="0" collapsed="false">
      <c r="A2702" s="27"/>
      <c r="F2702" s="28"/>
      <c r="J2702" s="0" t="str">
        <f aca="false">IF(A2702="","",YEAR(A2702))</f>
        <v/>
      </c>
      <c r="K2702" s="0" t="str">
        <f aca="false">IF(A2702="","",MONTH(A2702))</f>
        <v/>
      </c>
      <c r="L2702" s="0" t="str">
        <f aca="false">IF(B2702="","",VALUE(LEFT(B2702,2)))</f>
        <v/>
      </c>
      <c r="M2702" s="0" t="str">
        <f aca="false">IF(A2702="","",IF(COUNTIFS($C$2:$C$5001,C2702,$J$2:$J$5001,J2702,$A$2:$A$5001,"&lt;"&amp;A2702)=0,1,0))</f>
        <v/>
      </c>
    </row>
    <row r="2703" customFormat="false" ht="15" hidden="false" customHeight="false" outlineLevel="0" collapsed="false">
      <c r="A2703" s="27"/>
      <c r="F2703" s="28"/>
      <c r="J2703" s="0" t="str">
        <f aca="false">IF(A2703="","",YEAR(A2703))</f>
        <v/>
      </c>
      <c r="K2703" s="0" t="str">
        <f aca="false">IF(A2703="","",MONTH(A2703))</f>
        <v/>
      </c>
      <c r="L2703" s="0" t="str">
        <f aca="false">IF(B2703="","",VALUE(LEFT(B2703,2)))</f>
        <v/>
      </c>
      <c r="M2703" s="0" t="str">
        <f aca="false">IF(A2703="","",IF(COUNTIFS($C$2:$C$5001,C2703,$J$2:$J$5001,J2703,$A$2:$A$5001,"&lt;"&amp;A2703)=0,1,0))</f>
        <v/>
      </c>
    </row>
    <row r="2704" customFormat="false" ht="15" hidden="false" customHeight="false" outlineLevel="0" collapsed="false">
      <c r="A2704" s="27"/>
      <c r="F2704" s="28"/>
      <c r="J2704" s="0" t="str">
        <f aca="false">IF(A2704="","",YEAR(A2704))</f>
        <v/>
      </c>
      <c r="K2704" s="0" t="str">
        <f aca="false">IF(A2704="","",MONTH(A2704))</f>
        <v/>
      </c>
      <c r="L2704" s="0" t="str">
        <f aca="false">IF(B2704="","",VALUE(LEFT(B2704,2)))</f>
        <v/>
      </c>
      <c r="M2704" s="0" t="str">
        <f aca="false">IF(A2704="","",IF(COUNTIFS($C$2:$C$5001,C2704,$J$2:$J$5001,J2704,$A$2:$A$5001,"&lt;"&amp;A2704)=0,1,0))</f>
        <v/>
      </c>
    </row>
    <row r="2705" customFormat="false" ht="15" hidden="false" customHeight="false" outlineLevel="0" collapsed="false">
      <c r="A2705" s="27"/>
      <c r="F2705" s="28"/>
      <c r="J2705" s="0" t="str">
        <f aca="false">IF(A2705="","",YEAR(A2705))</f>
        <v/>
      </c>
      <c r="K2705" s="0" t="str">
        <f aca="false">IF(A2705="","",MONTH(A2705))</f>
        <v/>
      </c>
      <c r="L2705" s="0" t="str">
        <f aca="false">IF(B2705="","",VALUE(LEFT(B2705,2)))</f>
        <v/>
      </c>
      <c r="M2705" s="0" t="str">
        <f aca="false">IF(A2705="","",IF(COUNTIFS($C$2:$C$5001,C2705,$J$2:$J$5001,J2705,$A$2:$A$5001,"&lt;"&amp;A2705)=0,1,0))</f>
        <v/>
      </c>
    </row>
    <row r="2706" customFormat="false" ht="15" hidden="false" customHeight="false" outlineLevel="0" collapsed="false">
      <c r="A2706" s="27"/>
      <c r="F2706" s="28"/>
      <c r="J2706" s="0" t="str">
        <f aca="false">IF(A2706="","",YEAR(A2706))</f>
        <v/>
      </c>
      <c r="K2706" s="0" t="str">
        <f aca="false">IF(A2706="","",MONTH(A2706))</f>
        <v/>
      </c>
      <c r="L2706" s="0" t="str">
        <f aca="false">IF(B2706="","",VALUE(LEFT(B2706,2)))</f>
        <v/>
      </c>
      <c r="M2706" s="0" t="str">
        <f aca="false">IF(A2706="","",IF(COUNTIFS($C$2:$C$5001,C2706,$J$2:$J$5001,J2706,$A$2:$A$5001,"&lt;"&amp;A2706)=0,1,0))</f>
        <v/>
      </c>
    </row>
    <row r="2707" customFormat="false" ht="15" hidden="false" customHeight="false" outlineLevel="0" collapsed="false">
      <c r="A2707" s="27"/>
      <c r="F2707" s="28"/>
      <c r="J2707" s="0" t="str">
        <f aca="false">IF(A2707="","",YEAR(A2707))</f>
        <v/>
      </c>
      <c r="K2707" s="0" t="str">
        <f aca="false">IF(A2707="","",MONTH(A2707))</f>
        <v/>
      </c>
      <c r="L2707" s="0" t="str">
        <f aca="false">IF(B2707="","",VALUE(LEFT(B2707,2)))</f>
        <v/>
      </c>
      <c r="M2707" s="0" t="str">
        <f aca="false">IF(A2707="","",IF(COUNTIFS($C$2:$C$5001,C2707,$J$2:$J$5001,J2707,$A$2:$A$5001,"&lt;"&amp;A2707)=0,1,0))</f>
        <v/>
      </c>
    </row>
    <row r="2708" customFormat="false" ht="15" hidden="false" customHeight="false" outlineLevel="0" collapsed="false">
      <c r="A2708" s="27"/>
      <c r="F2708" s="28"/>
      <c r="J2708" s="0" t="str">
        <f aca="false">IF(A2708="","",YEAR(A2708))</f>
        <v/>
      </c>
      <c r="K2708" s="0" t="str">
        <f aca="false">IF(A2708="","",MONTH(A2708))</f>
        <v/>
      </c>
      <c r="L2708" s="0" t="str">
        <f aca="false">IF(B2708="","",VALUE(LEFT(B2708,2)))</f>
        <v/>
      </c>
      <c r="M2708" s="0" t="str">
        <f aca="false">IF(A2708="","",IF(COUNTIFS($C$2:$C$5001,C2708,$J$2:$J$5001,J2708,$A$2:$A$5001,"&lt;"&amp;A2708)=0,1,0))</f>
        <v/>
      </c>
    </row>
    <row r="2709" customFormat="false" ht="15" hidden="false" customHeight="false" outlineLevel="0" collapsed="false">
      <c r="A2709" s="27"/>
      <c r="F2709" s="28"/>
      <c r="J2709" s="0" t="str">
        <f aca="false">IF(A2709="","",YEAR(A2709))</f>
        <v/>
      </c>
      <c r="K2709" s="0" t="str">
        <f aca="false">IF(A2709="","",MONTH(A2709))</f>
        <v/>
      </c>
      <c r="L2709" s="0" t="str">
        <f aca="false">IF(B2709="","",VALUE(LEFT(B2709,2)))</f>
        <v/>
      </c>
      <c r="M2709" s="0" t="str">
        <f aca="false">IF(A2709="","",IF(COUNTIFS($C$2:$C$5001,C2709,$J$2:$J$5001,J2709,$A$2:$A$5001,"&lt;"&amp;A2709)=0,1,0))</f>
        <v/>
      </c>
    </row>
    <row r="2710" customFormat="false" ht="15" hidden="false" customHeight="false" outlineLevel="0" collapsed="false">
      <c r="A2710" s="27"/>
      <c r="F2710" s="28"/>
      <c r="J2710" s="0" t="str">
        <f aca="false">IF(A2710="","",YEAR(A2710))</f>
        <v/>
      </c>
      <c r="K2710" s="0" t="str">
        <f aca="false">IF(A2710="","",MONTH(A2710))</f>
        <v/>
      </c>
      <c r="L2710" s="0" t="str">
        <f aca="false">IF(B2710="","",VALUE(LEFT(B2710,2)))</f>
        <v/>
      </c>
      <c r="M2710" s="0" t="str">
        <f aca="false">IF(A2710="","",IF(COUNTIFS($C$2:$C$5001,C2710,$J$2:$J$5001,J2710,$A$2:$A$5001,"&lt;"&amp;A2710)=0,1,0))</f>
        <v/>
      </c>
    </row>
    <row r="2711" customFormat="false" ht="15" hidden="false" customHeight="false" outlineLevel="0" collapsed="false">
      <c r="A2711" s="27"/>
      <c r="F2711" s="28"/>
      <c r="J2711" s="0" t="str">
        <f aca="false">IF(A2711="","",YEAR(A2711))</f>
        <v/>
      </c>
      <c r="K2711" s="0" t="str">
        <f aca="false">IF(A2711="","",MONTH(A2711))</f>
        <v/>
      </c>
      <c r="L2711" s="0" t="str">
        <f aca="false">IF(B2711="","",VALUE(LEFT(B2711,2)))</f>
        <v/>
      </c>
      <c r="M2711" s="0" t="str">
        <f aca="false">IF(A2711="","",IF(COUNTIFS($C$2:$C$5001,C2711,$J$2:$J$5001,J2711,$A$2:$A$5001,"&lt;"&amp;A2711)=0,1,0))</f>
        <v/>
      </c>
    </row>
    <row r="2712" customFormat="false" ht="15" hidden="false" customHeight="false" outlineLevel="0" collapsed="false">
      <c r="A2712" s="27"/>
      <c r="F2712" s="28"/>
      <c r="J2712" s="0" t="str">
        <f aca="false">IF(A2712="","",YEAR(A2712))</f>
        <v/>
      </c>
      <c r="K2712" s="0" t="str">
        <f aca="false">IF(A2712="","",MONTH(A2712))</f>
        <v/>
      </c>
      <c r="L2712" s="0" t="str">
        <f aca="false">IF(B2712="","",VALUE(LEFT(B2712,2)))</f>
        <v/>
      </c>
      <c r="M2712" s="0" t="str">
        <f aca="false">IF(A2712="","",IF(COUNTIFS($C$2:$C$5001,C2712,$J$2:$J$5001,J2712,$A$2:$A$5001,"&lt;"&amp;A2712)=0,1,0))</f>
        <v/>
      </c>
    </row>
    <row r="2713" customFormat="false" ht="15" hidden="false" customHeight="false" outlineLevel="0" collapsed="false">
      <c r="A2713" s="27"/>
      <c r="F2713" s="28"/>
      <c r="J2713" s="0" t="str">
        <f aca="false">IF(A2713="","",YEAR(A2713))</f>
        <v/>
      </c>
      <c r="K2713" s="0" t="str">
        <f aca="false">IF(A2713="","",MONTH(A2713))</f>
        <v/>
      </c>
      <c r="L2713" s="0" t="str">
        <f aca="false">IF(B2713="","",VALUE(LEFT(B2713,2)))</f>
        <v/>
      </c>
      <c r="M2713" s="0" t="str">
        <f aca="false">IF(A2713="","",IF(COUNTIFS($C$2:$C$5001,C2713,$J$2:$J$5001,J2713,$A$2:$A$5001,"&lt;"&amp;A2713)=0,1,0))</f>
        <v/>
      </c>
    </row>
    <row r="2714" customFormat="false" ht="15" hidden="false" customHeight="false" outlineLevel="0" collapsed="false">
      <c r="A2714" s="27"/>
      <c r="F2714" s="28"/>
      <c r="J2714" s="0" t="str">
        <f aca="false">IF(A2714="","",YEAR(A2714))</f>
        <v/>
      </c>
      <c r="K2714" s="0" t="str">
        <f aca="false">IF(A2714="","",MONTH(A2714))</f>
        <v/>
      </c>
      <c r="L2714" s="0" t="str">
        <f aca="false">IF(B2714="","",VALUE(LEFT(B2714,2)))</f>
        <v/>
      </c>
      <c r="M2714" s="0" t="str">
        <f aca="false">IF(A2714="","",IF(COUNTIFS($C$2:$C$5001,C2714,$J$2:$J$5001,J2714,$A$2:$A$5001,"&lt;"&amp;A2714)=0,1,0))</f>
        <v/>
      </c>
    </row>
    <row r="2715" customFormat="false" ht="15" hidden="false" customHeight="false" outlineLevel="0" collapsed="false">
      <c r="A2715" s="27"/>
      <c r="F2715" s="28"/>
      <c r="J2715" s="0" t="str">
        <f aca="false">IF(A2715="","",YEAR(A2715))</f>
        <v/>
      </c>
      <c r="K2715" s="0" t="str">
        <f aca="false">IF(A2715="","",MONTH(A2715))</f>
        <v/>
      </c>
      <c r="L2715" s="0" t="str">
        <f aca="false">IF(B2715="","",VALUE(LEFT(B2715,2)))</f>
        <v/>
      </c>
      <c r="M2715" s="0" t="str">
        <f aca="false">IF(A2715="","",IF(COUNTIFS($C$2:$C$5001,C2715,$J$2:$J$5001,J2715,$A$2:$A$5001,"&lt;"&amp;A2715)=0,1,0))</f>
        <v/>
      </c>
    </row>
    <row r="2716" customFormat="false" ht="15" hidden="false" customHeight="false" outlineLevel="0" collapsed="false">
      <c r="A2716" s="27"/>
      <c r="F2716" s="28"/>
      <c r="J2716" s="0" t="str">
        <f aca="false">IF(A2716="","",YEAR(A2716))</f>
        <v/>
      </c>
      <c r="K2716" s="0" t="str">
        <f aca="false">IF(A2716="","",MONTH(A2716))</f>
        <v/>
      </c>
      <c r="L2716" s="0" t="str">
        <f aca="false">IF(B2716="","",VALUE(LEFT(B2716,2)))</f>
        <v/>
      </c>
      <c r="M2716" s="0" t="str">
        <f aca="false">IF(A2716="","",IF(COUNTIFS($C$2:$C$5001,C2716,$J$2:$J$5001,J2716,$A$2:$A$5001,"&lt;"&amp;A2716)=0,1,0))</f>
        <v/>
      </c>
    </row>
    <row r="2717" customFormat="false" ht="15" hidden="false" customHeight="false" outlineLevel="0" collapsed="false">
      <c r="A2717" s="27"/>
      <c r="F2717" s="28"/>
      <c r="J2717" s="0" t="str">
        <f aca="false">IF(A2717="","",YEAR(A2717))</f>
        <v/>
      </c>
      <c r="K2717" s="0" t="str">
        <f aca="false">IF(A2717="","",MONTH(A2717))</f>
        <v/>
      </c>
      <c r="L2717" s="0" t="str">
        <f aca="false">IF(B2717="","",VALUE(LEFT(B2717,2)))</f>
        <v/>
      </c>
      <c r="M2717" s="0" t="str">
        <f aca="false">IF(A2717="","",IF(COUNTIFS($C$2:$C$5001,C2717,$J$2:$J$5001,J2717,$A$2:$A$5001,"&lt;"&amp;A2717)=0,1,0))</f>
        <v/>
      </c>
    </row>
    <row r="2718" customFormat="false" ht="15" hidden="false" customHeight="false" outlineLevel="0" collapsed="false">
      <c r="A2718" s="27"/>
      <c r="F2718" s="28"/>
      <c r="J2718" s="0" t="str">
        <f aca="false">IF(A2718="","",YEAR(A2718))</f>
        <v/>
      </c>
      <c r="K2718" s="0" t="str">
        <f aca="false">IF(A2718="","",MONTH(A2718))</f>
        <v/>
      </c>
      <c r="L2718" s="0" t="str">
        <f aca="false">IF(B2718="","",VALUE(LEFT(B2718,2)))</f>
        <v/>
      </c>
      <c r="M2718" s="0" t="str">
        <f aca="false">IF(A2718="","",IF(COUNTIFS($C$2:$C$5001,C2718,$J$2:$J$5001,J2718,$A$2:$A$5001,"&lt;"&amp;A2718)=0,1,0))</f>
        <v/>
      </c>
    </row>
    <row r="2719" customFormat="false" ht="15" hidden="false" customHeight="false" outlineLevel="0" collapsed="false">
      <c r="A2719" s="27"/>
      <c r="F2719" s="28"/>
      <c r="J2719" s="0" t="str">
        <f aca="false">IF(A2719="","",YEAR(A2719))</f>
        <v/>
      </c>
      <c r="K2719" s="0" t="str">
        <f aca="false">IF(A2719="","",MONTH(A2719))</f>
        <v/>
      </c>
      <c r="L2719" s="0" t="str">
        <f aca="false">IF(B2719="","",VALUE(LEFT(B2719,2)))</f>
        <v/>
      </c>
      <c r="M2719" s="0" t="str">
        <f aca="false">IF(A2719="","",IF(COUNTIFS($C$2:$C$5001,C2719,$J$2:$J$5001,J2719,$A$2:$A$5001,"&lt;"&amp;A2719)=0,1,0))</f>
        <v/>
      </c>
    </row>
    <row r="2720" customFormat="false" ht="15" hidden="false" customHeight="false" outlineLevel="0" collapsed="false">
      <c r="A2720" s="27"/>
      <c r="F2720" s="28"/>
      <c r="J2720" s="0" t="str">
        <f aca="false">IF(A2720="","",YEAR(A2720))</f>
        <v/>
      </c>
      <c r="K2720" s="0" t="str">
        <f aca="false">IF(A2720="","",MONTH(A2720))</f>
        <v/>
      </c>
      <c r="L2720" s="0" t="str">
        <f aca="false">IF(B2720="","",VALUE(LEFT(B2720,2)))</f>
        <v/>
      </c>
      <c r="M2720" s="0" t="str">
        <f aca="false">IF(A2720="","",IF(COUNTIFS($C$2:$C$5001,C2720,$J$2:$J$5001,J2720,$A$2:$A$5001,"&lt;"&amp;A2720)=0,1,0))</f>
        <v/>
      </c>
    </row>
    <row r="2721" customFormat="false" ht="15" hidden="false" customHeight="false" outlineLevel="0" collapsed="false">
      <c r="A2721" s="27"/>
      <c r="F2721" s="28"/>
      <c r="J2721" s="0" t="str">
        <f aca="false">IF(A2721="","",YEAR(A2721))</f>
        <v/>
      </c>
      <c r="K2721" s="0" t="str">
        <f aca="false">IF(A2721="","",MONTH(A2721))</f>
        <v/>
      </c>
      <c r="L2721" s="0" t="str">
        <f aca="false">IF(B2721="","",VALUE(LEFT(B2721,2)))</f>
        <v/>
      </c>
      <c r="M2721" s="0" t="str">
        <f aca="false">IF(A2721="","",IF(COUNTIFS($C$2:$C$5001,C2721,$J$2:$J$5001,J2721,$A$2:$A$5001,"&lt;"&amp;A2721)=0,1,0))</f>
        <v/>
      </c>
    </row>
    <row r="2722" customFormat="false" ht="15" hidden="false" customHeight="false" outlineLevel="0" collapsed="false">
      <c r="A2722" s="27"/>
      <c r="F2722" s="28"/>
      <c r="J2722" s="0" t="str">
        <f aca="false">IF(A2722="","",YEAR(A2722))</f>
        <v/>
      </c>
      <c r="K2722" s="0" t="str">
        <f aca="false">IF(A2722="","",MONTH(A2722))</f>
        <v/>
      </c>
      <c r="L2722" s="0" t="str">
        <f aca="false">IF(B2722="","",VALUE(LEFT(B2722,2)))</f>
        <v/>
      </c>
      <c r="M2722" s="0" t="str">
        <f aca="false">IF(A2722="","",IF(COUNTIFS($C$2:$C$5001,C2722,$J$2:$J$5001,J2722,$A$2:$A$5001,"&lt;"&amp;A2722)=0,1,0))</f>
        <v/>
      </c>
    </row>
    <row r="2723" customFormat="false" ht="15" hidden="false" customHeight="false" outlineLevel="0" collapsed="false">
      <c r="A2723" s="27"/>
      <c r="F2723" s="28"/>
      <c r="J2723" s="0" t="str">
        <f aca="false">IF(A2723="","",YEAR(A2723))</f>
        <v/>
      </c>
      <c r="K2723" s="0" t="str">
        <f aca="false">IF(A2723="","",MONTH(A2723))</f>
        <v/>
      </c>
      <c r="L2723" s="0" t="str">
        <f aca="false">IF(B2723="","",VALUE(LEFT(B2723,2)))</f>
        <v/>
      </c>
      <c r="M2723" s="0" t="str">
        <f aca="false">IF(A2723="","",IF(COUNTIFS($C$2:$C$5001,C2723,$J$2:$J$5001,J2723,$A$2:$A$5001,"&lt;"&amp;A2723)=0,1,0))</f>
        <v/>
      </c>
    </row>
    <row r="2724" customFormat="false" ht="15" hidden="false" customHeight="false" outlineLevel="0" collapsed="false">
      <c r="A2724" s="27"/>
      <c r="F2724" s="28"/>
      <c r="J2724" s="0" t="str">
        <f aca="false">IF(A2724="","",YEAR(A2724))</f>
        <v/>
      </c>
      <c r="K2724" s="0" t="str">
        <f aca="false">IF(A2724="","",MONTH(A2724))</f>
        <v/>
      </c>
      <c r="L2724" s="0" t="str">
        <f aca="false">IF(B2724="","",VALUE(LEFT(B2724,2)))</f>
        <v/>
      </c>
      <c r="M2724" s="0" t="str">
        <f aca="false">IF(A2724="","",IF(COUNTIFS($C$2:$C$5001,C2724,$J$2:$J$5001,J2724,$A$2:$A$5001,"&lt;"&amp;A2724)=0,1,0))</f>
        <v/>
      </c>
    </row>
    <row r="2725" customFormat="false" ht="15" hidden="false" customHeight="false" outlineLevel="0" collapsed="false">
      <c r="A2725" s="27"/>
      <c r="F2725" s="28"/>
      <c r="J2725" s="0" t="str">
        <f aca="false">IF(A2725="","",YEAR(A2725))</f>
        <v/>
      </c>
      <c r="K2725" s="0" t="str">
        <f aca="false">IF(A2725="","",MONTH(A2725))</f>
        <v/>
      </c>
      <c r="L2725" s="0" t="str">
        <f aca="false">IF(B2725="","",VALUE(LEFT(B2725,2)))</f>
        <v/>
      </c>
      <c r="M2725" s="0" t="str">
        <f aca="false">IF(A2725="","",IF(COUNTIFS($C$2:$C$5001,C2725,$J$2:$J$5001,J2725,$A$2:$A$5001,"&lt;"&amp;A2725)=0,1,0))</f>
        <v/>
      </c>
    </row>
    <row r="2726" customFormat="false" ht="15" hidden="false" customHeight="false" outlineLevel="0" collapsed="false">
      <c r="A2726" s="27"/>
      <c r="F2726" s="28"/>
      <c r="J2726" s="0" t="str">
        <f aca="false">IF(A2726="","",YEAR(A2726))</f>
        <v/>
      </c>
      <c r="K2726" s="0" t="str">
        <f aca="false">IF(A2726="","",MONTH(A2726))</f>
        <v/>
      </c>
      <c r="L2726" s="0" t="str">
        <f aca="false">IF(B2726="","",VALUE(LEFT(B2726,2)))</f>
        <v/>
      </c>
      <c r="M2726" s="0" t="str">
        <f aca="false">IF(A2726="","",IF(COUNTIFS($C$2:$C$5001,C2726,$J$2:$J$5001,J2726,$A$2:$A$5001,"&lt;"&amp;A2726)=0,1,0))</f>
        <v/>
      </c>
    </row>
    <row r="2727" customFormat="false" ht="15" hidden="false" customHeight="false" outlineLevel="0" collapsed="false">
      <c r="A2727" s="27"/>
      <c r="F2727" s="28"/>
      <c r="J2727" s="0" t="str">
        <f aca="false">IF(A2727="","",YEAR(A2727))</f>
        <v/>
      </c>
      <c r="K2727" s="0" t="str">
        <f aca="false">IF(A2727="","",MONTH(A2727))</f>
        <v/>
      </c>
      <c r="L2727" s="0" t="str">
        <f aca="false">IF(B2727="","",VALUE(LEFT(B2727,2)))</f>
        <v/>
      </c>
      <c r="M2727" s="0" t="str">
        <f aca="false">IF(A2727="","",IF(COUNTIFS($C$2:$C$5001,C2727,$J$2:$J$5001,J2727,$A$2:$A$5001,"&lt;"&amp;A2727)=0,1,0))</f>
        <v/>
      </c>
    </row>
    <row r="2728" customFormat="false" ht="15" hidden="false" customHeight="false" outlineLevel="0" collapsed="false">
      <c r="A2728" s="27"/>
      <c r="F2728" s="28"/>
      <c r="J2728" s="0" t="str">
        <f aca="false">IF(A2728="","",YEAR(A2728))</f>
        <v/>
      </c>
      <c r="K2728" s="0" t="str">
        <f aca="false">IF(A2728="","",MONTH(A2728))</f>
        <v/>
      </c>
      <c r="L2728" s="0" t="str">
        <f aca="false">IF(B2728="","",VALUE(LEFT(B2728,2)))</f>
        <v/>
      </c>
      <c r="M2728" s="0" t="str">
        <f aca="false">IF(A2728="","",IF(COUNTIFS($C$2:$C$5001,C2728,$J$2:$J$5001,J2728,$A$2:$A$5001,"&lt;"&amp;A2728)=0,1,0))</f>
        <v/>
      </c>
    </row>
    <row r="2729" customFormat="false" ht="15" hidden="false" customHeight="false" outlineLevel="0" collapsed="false">
      <c r="A2729" s="27"/>
      <c r="F2729" s="28"/>
      <c r="J2729" s="0" t="str">
        <f aca="false">IF(A2729="","",YEAR(A2729))</f>
        <v/>
      </c>
      <c r="K2729" s="0" t="str">
        <f aca="false">IF(A2729="","",MONTH(A2729))</f>
        <v/>
      </c>
      <c r="L2729" s="0" t="str">
        <f aca="false">IF(B2729="","",VALUE(LEFT(B2729,2)))</f>
        <v/>
      </c>
      <c r="M2729" s="0" t="str">
        <f aca="false">IF(A2729="","",IF(COUNTIFS($C$2:$C$5001,C2729,$J$2:$J$5001,J2729,$A$2:$A$5001,"&lt;"&amp;A2729)=0,1,0))</f>
        <v/>
      </c>
    </row>
    <row r="2730" customFormat="false" ht="15" hidden="false" customHeight="false" outlineLevel="0" collapsed="false">
      <c r="A2730" s="27"/>
      <c r="F2730" s="28"/>
      <c r="J2730" s="0" t="str">
        <f aca="false">IF(A2730="","",YEAR(A2730))</f>
        <v/>
      </c>
      <c r="K2730" s="0" t="str">
        <f aca="false">IF(A2730="","",MONTH(A2730))</f>
        <v/>
      </c>
      <c r="L2730" s="0" t="str">
        <f aca="false">IF(B2730="","",VALUE(LEFT(B2730,2)))</f>
        <v/>
      </c>
      <c r="M2730" s="0" t="str">
        <f aca="false">IF(A2730="","",IF(COUNTIFS($C$2:$C$5001,C2730,$J$2:$J$5001,J2730,$A$2:$A$5001,"&lt;"&amp;A2730)=0,1,0))</f>
        <v/>
      </c>
    </row>
    <row r="2731" customFormat="false" ht="15" hidden="false" customHeight="false" outlineLevel="0" collapsed="false">
      <c r="A2731" s="27"/>
      <c r="F2731" s="28"/>
      <c r="J2731" s="0" t="str">
        <f aca="false">IF(A2731="","",YEAR(A2731))</f>
        <v/>
      </c>
      <c r="K2731" s="0" t="str">
        <f aca="false">IF(A2731="","",MONTH(A2731))</f>
        <v/>
      </c>
      <c r="L2731" s="0" t="str">
        <f aca="false">IF(B2731="","",VALUE(LEFT(B2731,2)))</f>
        <v/>
      </c>
      <c r="M2731" s="0" t="str">
        <f aca="false">IF(A2731="","",IF(COUNTIFS($C$2:$C$5001,C2731,$J$2:$J$5001,J2731,$A$2:$A$5001,"&lt;"&amp;A2731)=0,1,0))</f>
        <v/>
      </c>
    </row>
    <row r="2732" customFormat="false" ht="15" hidden="false" customHeight="false" outlineLevel="0" collapsed="false">
      <c r="A2732" s="27"/>
      <c r="F2732" s="28"/>
      <c r="J2732" s="0" t="str">
        <f aca="false">IF(A2732="","",YEAR(A2732))</f>
        <v/>
      </c>
      <c r="K2732" s="0" t="str">
        <f aca="false">IF(A2732="","",MONTH(A2732))</f>
        <v/>
      </c>
      <c r="L2732" s="0" t="str">
        <f aca="false">IF(B2732="","",VALUE(LEFT(B2732,2)))</f>
        <v/>
      </c>
      <c r="M2732" s="0" t="str">
        <f aca="false">IF(A2732="","",IF(COUNTIFS($C$2:$C$5001,C2732,$J$2:$J$5001,J2732,$A$2:$A$5001,"&lt;"&amp;A2732)=0,1,0))</f>
        <v/>
      </c>
    </row>
    <row r="2733" customFormat="false" ht="15" hidden="false" customHeight="false" outlineLevel="0" collapsed="false">
      <c r="A2733" s="27"/>
      <c r="F2733" s="28"/>
      <c r="J2733" s="0" t="str">
        <f aca="false">IF(A2733="","",YEAR(A2733))</f>
        <v/>
      </c>
      <c r="K2733" s="0" t="str">
        <f aca="false">IF(A2733="","",MONTH(A2733))</f>
        <v/>
      </c>
      <c r="L2733" s="0" t="str">
        <f aca="false">IF(B2733="","",VALUE(LEFT(B2733,2)))</f>
        <v/>
      </c>
      <c r="M2733" s="0" t="str">
        <f aca="false">IF(A2733="","",IF(COUNTIFS($C$2:$C$5001,C2733,$J$2:$J$5001,J2733,$A$2:$A$5001,"&lt;"&amp;A2733)=0,1,0))</f>
        <v/>
      </c>
    </row>
    <row r="2734" customFormat="false" ht="15" hidden="false" customHeight="false" outlineLevel="0" collapsed="false">
      <c r="A2734" s="27"/>
      <c r="F2734" s="28"/>
      <c r="J2734" s="0" t="str">
        <f aca="false">IF(A2734="","",YEAR(A2734))</f>
        <v/>
      </c>
      <c r="K2734" s="0" t="str">
        <f aca="false">IF(A2734="","",MONTH(A2734))</f>
        <v/>
      </c>
      <c r="L2734" s="0" t="str">
        <f aca="false">IF(B2734="","",VALUE(LEFT(B2734,2)))</f>
        <v/>
      </c>
      <c r="M2734" s="0" t="str">
        <f aca="false">IF(A2734="","",IF(COUNTIFS($C$2:$C$5001,C2734,$J$2:$J$5001,J2734,$A$2:$A$5001,"&lt;"&amp;A2734)=0,1,0))</f>
        <v/>
      </c>
    </row>
    <row r="2735" customFormat="false" ht="15" hidden="false" customHeight="false" outlineLevel="0" collapsed="false">
      <c r="A2735" s="27"/>
      <c r="F2735" s="28"/>
      <c r="J2735" s="0" t="str">
        <f aca="false">IF(A2735="","",YEAR(A2735))</f>
        <v/>
      </c>
      <c r="K2735" s="0" t="str">
        <f aca="false">IF(A2735="","",MONTH(A2735))</f>
        <v/>
      </c>
      <c r="L2735" s="0" t="str">
        <f aca="false">IF(B2735="","",VALUE(LEFT(B2735,2)))</f>
        <v/>
      </c>
      <c r="M2735" s="0" t="str">
        <f aca="false">IF(A2735="","",IF(COUNTIFS($C$2:$C$5001,C2735,$J$2:$J$5001,J2735,$A$2:$A$5001,"&lt;"&amp;A2735)=0,1,0))</f>
        <v/>
      </c>
    </row>
    <row r="2736" customFormat="false" ht="15" hidden="false" customHeight="false" outlineLevel="0" collapsed="false">
      <c r="A2736" s="27"/>
      <c r="F2736" s="28"/>
      <c r="J2736" s="0" t="str">
        <f aca="false">IF(A2736="","",YEAR(A2736))</f>
        <v/>
      </c>
      <c r="K2736" s="0" t="str">
        <f aca="false">IF(A2736="","",MONTH(A2736))</f>
        <v/>
      </c>
      <c r="L2736" s="0" t="str">
        <f aca="false">IF(B2736="","",VALUE(LEFT(B2736,2)))</f>
        <v/>
      </c>
      <c r="M2736" s="0" t="str">
        <f aca="false">IF(A2736="","",IF(COUNTIFS($C$2:$C$5001,C2736,$J$2:$J$5001,J2736,$A$2:$A$5001,"&lt;"&amp;A2736)=0,1,0))</f>
        <v/>
      </c>
    </row>
    <row r="2737" customFormat="false" ht="15" hidden="false" customHeight="false" outlineLevel="0" collapsed="false">
      <c r="A2737" s="27"/>
      <c r="F2737" s="28"/>
      <c r="J2737" s="0" t="str">
        <f aca="false">IF(A2737="","",YEAR(A2737))</f>
        <v/>
      </c>
      <c r="K2737" s="0" t="str">
        <f aca="false">IF(A2737="","",MONTH(A2737))</f>
        <v/>
      </c>
      <c r="L2737" s="0" t="str">
        <f aca="false">IF(B2737="","",VALUE(LEFT(B2737,2)))</f>
        <v/>
      </c>
      <c r="M2737" s="0" t="str">
        <f aca="false">IF(A2737="","",IF(COUNTIFS($C$2:$C$5001,C2737,$J$2:$J$5001,J2737,$A$2:$A$5001,"&lt;"&amp;A2737)=0,1,0))</f>
        <v/>
      </c>
    </row>
    <row r="2738" customFormat="false" ht="15" hidden="false" customHeight="false" outlineLevel="0" collapsed="false">
      <c r="A2738" s="27"/>
      <c r="F2738" s="28"/>
      <c r="J2738" s="0" t="str">
        <f aca="false">IF(A2738="","",YEAR(A2738))</f>
        <v/>
      </c>
      <c r="K2738" s="0" t="str">
        <f aca="false">IF(A2738="","",MONTH(A2738))</f>
        <v/>
      </c>
      <c r="L2738" s="0" t="str">
        <f aca="false">IF(B2738="","",VALUE(LEFT(B2738,2)))</f>
        <v/>
      </c>
      <c r="M2738" s="0" t="str">
        <f aca="false">IF(A2738="","",IF(COUNTIFS($C$2:$C$5001,C2738,$J$2:$J$5001,J2738,$A$2:$A$5001,"&lt;"&amp;A2738)=0,1,0))</f>
        <v/>
      </c>
    </row>
    <row r="2739" customFormat="false" ht="15" hidden="false" customHeight="false" outlineLevel="0" collapsed="false">
      <c r="A2739" s="27"/>
      <c r="F2739" s="28"/>
      <c r="J2739" s="0" t="str">
        <f aca="false">IF(A2739="","",YEAR(A2739))</f>
        <v/>
      </c>
      <c r="K2739" s="0" t="str">
        <f aca="false">IF(A2739="","",MONTH(A2739))</f>
        <v/>
      </c>
      <c r="L2739" s="0" t="str">
        <f aca="false">IF(B2739="","",VALUE(LEFT(B2739,2)))</f>
        <v/>
      </c>
      <c r="M2739" s="0" t="str">
        <f aca="false">IF(A2739="","",IF(COUNTIFS($C$2:$C$5001,C2739,$J$2:$J$5001,J2739,$A$2:$A$5001,"&lt;"&amp;A2739)=0,1,0))</f>
        <v/>
      </c>
    </row>
    <row r="2740" customFormat="false" ht="15" hidden="false" customHeight="false" outlineLevel="0" collapsed="false">
      <c r="A2740" s="27"/>
      <c r="F2740" s="28"/>
      <c r="J2740" s="0" t="str">
        <f aca="false">IF(A2740="","",YEAR(A2740))</f>
        <v/>
      </c>
      <c r="K2740" s="0" t="str">
        <f aca="false">IF(A2740="","",MONTH(A2740))</f>
        <v/>
      </c>
      <c r="L2740" s="0" t="str">
        <f aca="false">IF(B2740="","",VALUE(LEFT(B2740,2)))</f>
        <v/>
      </c>
      <c r="M2740" s="0" t="str">
        <f aca="false">IF(A2740="","",IF(COUNTIFS($C$2:$C$5001,C2740,$J$2:$J$5001,J2740,$A$2:$A$5001,"&lt;"&amp;A2740)=0,1,0))</f>
        <v/>
      </c>
    </row>
    <row r="2741" customFormat="false" ht="15" hidden="false" customHeight="false" outlineLevel="0" collapsed="false">
      <c r="A2741" s="27"/>
      <c r="F2741" s="28"/>
      <c r="J2741" s="0" t="str">
        <f aca="false">IF(A2741="","",YEAR(A2741))</f>
        <v/>
      </c>
      <c r="K2741" s="0" t="str">
        <f aca="false">IF(A2741="","",MONTH(A2741))</f>
        <v/>
      </c>
      <c r="L2741" s="0" t="str">
        <f aca="false">IF(B2741="","",VALUE(LEFT(B2741,2)))</f>
        <v/>
      </c>
      <c r="M2741" s="0" t="str">
        <f aca="false">IF(A2741="","",IF(COUNTIFS($C$2:$C$5001,C2741,$J$2:$J$5001,J2741,$A$2:$A$5001,"&lt;"&amp;A2741)=0,1,0))</f>
        <v/>
      </c>
    </row>
    <row r="2742" customFormat="false" ht="15" hidden="false" customHeight="false" outlineLevel="0" collapsed="false">
      <c r="A2742" s="27"/>
      <c r="F2742" s="28"/>
      <c r="J2742" s="0" t="str">
        <f aca="false">IF(A2742="","",YEAR(A2742))</f>
        <v/>
      </c>
      <c r="K2742" s="0" t="str">
        <f aca="false">IF(A2742="","",MONTH(A2742))</f>
        <v/>
      </c>
      <c r="L2742" s="0" t="str">
        <f aca="false">IF(B2742="","",VALUE(LEFT(B2742,2)))</f>
        <v/>
      </c>
      <c r="M2742" s="0" t="str">
        <f aca="false">IF(A2742="","",IF(COUNTIFS($C$2:$C$5001,C2742,$J$2:$J$5001,J2742,$A$2:$A$5001,"&lt;"&amp;A2742)=0,1,0))</f>
        <v/>
      </c>
    </row>
    <row r="2743" customFormat="false" ht="15" hidden="false" customHeight="false" outlineLevel="0" collapsed="false">
      <c r="A2743" s="27"/>
      <c r="F2743" s="28"/>
      <c r="J2743" s="0" t="str">
        <f aca="false">IF(A2743="","",YEAR(A2743))</f>
        <v/>
      </c>
      <c r="K2743" s="0" t="str">
        <f aca="false">IF(A2743="","",MONTH(A2743))</f>
        <v/>
      </c>
      <c r="L2743" s="0" t="str">
        <f aca="false">IF(B2743="","",VALUE(LEFT(B2743,2)))</f>
        <v/>
      </c>
      <c r="M2743" s="0" t="str">
        <f aca="false">IF(A2743="","",IF(COUNTIFS($C$2:$C$5001,C2743,$J$2:$J$5001,J2743,$A$2:$A$5001,"&lt;"&amp;A2743)=0,1,0))</f>
        <v/>
      </c>
    </row>
    <row r="2744" customFormat="false" ht="15" hidden="false" customHeight="false" outlineLevel="0" collapsed="false">
      <c r="A2744" s="27"/>
      <c r="F2744" s="28"/>
      <c r="J2744" s="0" t="str">
        <f aca="false">IF(A2744="","",YEAR(A2744))</f>
        <v/>
      </c>
      <c r="K2744" s="0" t="str">
        <f aca="false">IF(A2744="","",MONTH(A2744))</f>
        <v/>
      </c>
      <c r="L2744" s="0" t="str">
        <f aca="false">IF(B2744="","",VALUE(LEFT(B2744,2)))</f>
        <v/>
      </c>
      <c r="M2744" s="0" t="str">
        <f aca="false">IF(A2744="","",IF(COUNTIFS($C$2:$C$5001,C2744,$J$2:$J$5001,J2744,$A$2:$A$5001,"&lt;"&amp;A2744)=0,1,0))</f>
        <v/>
      </c>
    </row>
    <row r="2745" customFormat="false" ht="15" hidden="false" customHeight="false" outlineLevel="0" collapsed="false">
      <c r="A2745" s="27"/>
      <c r="F2745" s="28"/>
      <c r="J2745" s="0" t="str">
        <f aca="false">IF(A2745="","",YEAR(A2745))</f>
        <v/>
      </c>
      <c r="K2745" s="0" t="str">
        <f aca="false">IF(A2745="","",MONTH(A2745))</f>
        <v/>
      </c>
      <c r="L2745" s="0" t="str">
        <f aca="false">IF(B2745="","",VALUE(LEFT(B2745,2)))</f>
        <v/>
      </c>
      <c r="M2745" s="0" t="str">
        <f aca="false">IF(A2745="","",IF(COUNTIFS($C$2:$C$5001,C2745,$J$2:$J$5001,J2745,$A$2:$A$5001,"&lt;"&amp;A2745)=0,1,0))</f>
        <v/>
      </c>
    </row>
    <row r="2746" customFormat="false" ht="15" hidden="false" customHeight="false" outlineLevel="0" collapsed="false">
      <c r="A2746" s="27"/>
      <c r="F2746" s="28"/>
      <c r="J2746" s="0" t="str">
        <f aca="false">IF(A2746="","",YEAR(A2746))</f>
        <v/>
      </c>
      <c r="K2746" s="0" t="str">
        <f aca="false">IF(A2746="","",MONTH(A2746))</f>
        <v/>
      </c>
      <c r="L2746" s="0" t="str">
        <f aca="false">IF(B2746="","",VALUE(LEFT(B2746,2)))</f>
        <v/>
      </c>
      <c r="M2746" s="0" t="str">
        <f aca="false">IF(A2746="","",IF(COUNTIFS($C$2:$C$5001,C2746,$J$2:$J$5001,J2746,$A$2:$A$5001,"&lt;"&amp;A2746)=0,1,0))</f>
        <v/>
      </c>
    </row>
    <row r="2747" customFormat="false" ht="15" hidden="false" customHeight="false" outlineLevel="0" collapsed="false">
      <c r="A2747" s="27"/>
      <c r="F2747" s="28"/>
      <c r="J2747" s="0" t="str">
        <f aca="false">IF(A2747="","",YEAR(A2747))</f>
        <v/>
      </c>
      <c r="K2747" s="0" t="str">
        <f aca="false">IF(A2747="","",MONTH(A2747))</f>
        <v/>
      </c>
      <c r="L2747" s="0" t="str">
        <f aca="false">IF(B2747="","",VALUE(LEFT(B2747,2)))</f>
        <v/>
      </c>
      <c r="M2747" s="0" t="str">
        <f aca="false">IF(A2747="","",IF(COUNTIFS($C$2:$C$5001,C2747,$J$2:$J$5001,J2747,$A$2:$A$5001,"&lt;"&amp;A2747)=0,1,0))</f>
        <v/>
      </c>
    </row>
    <row r="2748" customFormat="false" ht="15" hidden="false" customHeight="false" outlineLevel="0" collapsed="false">
      <c r="A2748" s="27"/>
      <c r="F2748" s="28"/>
      <c r="J2748" s="0" t="str">
        <f aca="false">IF(A2748="","",YEAR(A2748))</f>
        <v/>
      </c>
      <c r="K2748" s="0" t="str">
        <f aca="false">IF(A2748="","",MONTH(A2748))</f>
        <v/>
      </c>
      <c r="L2748" s="0" t="str">
        <f aca="false">IF(B2748="","",VALUE(LEFT(B2748,2)))</f>
        <v/>
      </c>
      <c r="M2748" s="0" t="str">
        <f aca="false">IF(A2748="","",IF(COUNTIFS($C$2:$C$5001,C2748,$J$2:$J$5001,J2748,$A$2:$A$5001,"&lt;"&amp;A2748)=0,1,0))</f>
        <v/>
      </c>
    </row>
    <row r="2749" customFormat="false" ht="15" hidden="false" customHeight="false" outlineLevel="0" collapsed="false">
      <c r="A2749" s="27"/>
      <c r="F2749" s="28"/>
      <c r="J2749" s="0" t="str">
        <f aca="false">IF(A2749="","",YEAR(A2749))</f>
        <v/>
      </c>
      <c r="K2749" s="0" t="str">
        <f aca="false">IF(A2749="","",MONTH(A2749))</f>
        <v/>
      </c>
      <c r="L2749" s="0" t="str">
        <f aca="false">IF(B2749="","",VALUE(LEFT(B2749,2)))</f>
        <v/>
      </c>
      <c r="M2749" s="0" t="str">
        <f aca="false">IF(A2749="","",IF(COUNTIFS($C$2:$C$5001,C2749,$J$2:$J$5001,J2749,$A$2:$A$5001,"&lt;"&amp;A2749)=0,1,0))</f>
        <v/>
      </c>
    </row>
    <row r="2750" customFormat="false" ht="15" hidden="false" customHeight="false" outlineLevel="0" collapsed="false">
      <c r="A2750" s="27"/>
      <c r="F2750" s="28"/>
      <c r="J2750" s="0" t="str">
        <f aca="false">IF(A2750="","",YEAR(A2750))</f>
        <v/>
      </c>
      <c r="K2750" s="0" t="str">
        <f aca="false">IF(A2750="","",MONTH(A2750))</f>
        <v/>
      </c>
      <c r="L2750" s="0" t="str">
        <f aca="false">IF(B2750="","",VALUE(LEFT(B2750,2)))</f>
        <v/>
      </c>
      <c r="M2750" s="0" t="str">
        <f aca="false">IF(A2750="","",IF(COUNTIFS($C$2:$C$5001,C2750,$J$2:$J$5001,J2750,$A$2:$A$5001,"&lt;"&amp;A2750)=0,1,0))</f>
        <v/>
      </c>
    </row>
    <row r="2751" customFormat="false" ht="15" hidden="false" customHeight="false" outlineLevel="0" collapsed="false">
      <c r="A2751" s="27"/>
      <c r="F2751" s="28"/>
      <c r="J2751" s="0" t="str">
        <f aca="false">IF(A2751="","",YEAR(A2751))</f>
        <v/>
      </c>
      <c r="K2751" s="0" t="str">
        <f aca="false">IF(A2751="","",MONTH(A2751))</f>
        <v/>
      </c>
      <c r="L2751" s="0" t="str">
        <f aca="false">IF(B2751="","",VALUE(LEFT(B2751,2)))</f>
        <v/>
      </c>
      <c r="M2751" s="0" t="str">
        <f aca="false">IF(A2751="","",IF(COUNTIFS($C$2:$C$5001,C2751,$J$2:$J$5001,J2751,$A$2:$A$5001,"&lt;"&amp;A2751)=0,1,0))</f>
        <v/>
      </c>
    </row>
    <row r="2752" customFormat="false" ht="15" hidden="false" customHeight="false" outlineLevel="0" collapsed="false">
      <c r="A2752" s="27"/>
      <c r="F2752" s="28"/>
      <c r="J2752" s="0" t="str">
        <f aca="false">IF(A2752="","",YEAR(A2752))</f>
        <v/>
      </c>
      <c r="K2752" s="0" t="str">
        <f aca="false">IF(A2752="","",MONTH(A2752))</f>
        <v/>
      </c>
      <c r="L2752" s="0" t="str">
        <f aca="false">IF(B2752="","",VALUE(LEFT(B2752,2)))</f>
        <v/>
      </c>
      <c r="M2752" s="0" t="str">
        <f aca="false">IF(A2752="","",IF(COUNTIFS($C$2:$C$5001,C2752,$J$2:$J$5001,J2752,$A$2:$A$5001,"&lt;"&amp;A2752)=0,1,0))</f>
        <v/>
      </c>
    </row>
    <row r="2753" customFormat="false" ht="15" hidden="false" customHeight="false" outlineLevel="0" collapsed="false">
      <c r="A2753" s="27"/>
      <c r="F2753" s="28"/>
      <c r="J2753" s="0" t="str">
        <f aca="false">IF(A2753="","",YEAR(A2753))</f>
        <v/>
      </c>
      <c r="K2753" s="0" t="str">
        <f aca="false">IF(A2753="","",MONTH(A2753))</f>
        <v/>
      </c>
      <c r="L2753" s="0" t="str">
        <f aca="false">IF(B2753="","",VALUE(LEFT(B2753,2)))</f>
        <v/>
      </c>
      <c r="M2753" s="0" t="str">
        <f aca="false">IF(A2753="","",IF(COUNTIFS($C$2:$C$5001,C2753,$J$2:$J$5001,J2753,$A$2:$A$5001,"&lt;"&amp;A2753)=0,1,0))</f>
        <v/>
      </c>
    </row>
    <row r="2754" customFormat="false" ht="15" hidden="false" customHeight="false" outlineLevel="0" collapsed="false">
      <c r="A2754" s="27"/>
      <c r="F2754" s="28"/>
      <c r="J2754" s="0" t="str">
        <f aca="false">IF(A2754="","",YEAR(A2754))</f>
        <v/>
      </c>
      <c r="K2754" s="0" t="str">
        <f aca="false">IF(A2754="","",MONTH(A2754))</f>
        <v/>
      </c>
      <c r="L2754" s="0" t="str">
        <f aca="false">IF(B2754="","",VALUE(LEFT(B2754,2)))</f>
        <v/>
      </c>
      <c r="M2754" s="0" t="str">
        <f aca="false">IF(A2754="","",IF(COUNTIFS($C$2:$C$5001,C2754,$J$2:$J$5001,J2754,$A$2:$A$5001,"&lt;"&amp;A2754)=0,1,0))</f>
        <v/>
      </c>
    </row>
    <row r="2755" customFormat="false" ht="15" hidden="false" customHeight="false" outlineLevel="0" collapsed="false">
      <c r="A2755" s="27"/>
      <c r="F2755" s="28"/>
      <c r="J2755" s="0" t="str">
        <f aca="false">IF(A2755="","",YEAR(A2755))</f>
        <v/>
      </c>
      <c r="K2755" s="0" t="str">
        <f aca="false">IF(A2755="","",MONTH(A2755))</f>
        <v/>
      </c>
      <c r="L2755" s="0" t="str">
        <f aca="false">IF(B2755="","",VALUE(LEFT(B2755,2)))</f>
        <v/>
      </c>
      <c r="M2755" s="0" t="str">
        <f aca="false">IF(A2755="","",IF(COUNTIFS($C$2:$C$5001,C2755,$J$2:$J$5001,J2755,$A$2:$A$5001,"&lt;"&amp;A2755)=0,1,0))</f>
        <v/>
      </c>
    </row>
    <row r="2756" customFormat="false" ht="15" hidden="false" customHeight="false" outlineLevel="0" collapsed="false">
      <c r="A2756" s="27"/>
      <c r="F2756" s="28"/>
      <c r="J2756" s="0" t="str">
        <f aca="false">IF(A2756="","",YEAR(A2756))</f>
        <v/>
      </c>
      <c r="K2756" s="0" t="str">
        <f aca="false">IF(A2756="","",MONTH(A2756))</f>
        <v/>
      </c>
      <c r="L2756" s="0" t="str">
        <f aca="false">IF(B2756="","",VALUE(LEFT(B2756,2)))</f>
        <v/>
      </c>
      <c r="M2756" s="0" t="str">
        <f aca="false">IF(A2756="","",IF(COUNTIFS($C$2:$C$5001,C2756,$J$2:$J$5001,J2756,$A$2:$A$5001,"&lt;"&amp;A2756)=0,1,0))</f>
        <v/>
      </c>
    </row>
    <row r="2757" customFormat="false" ht="15" hidden="false" customHeight="false" outlineLevel="0" collapsed="false">
      <c r="A2757" s="27"/>
      <c r="F2757" s="28"/>
      <c r="J2757" s="0" t="str">
        <f aca="false">IF(A2757="","",YEAR(A2757))</f>
        <v/>
      </c>
      <c r="K2757" s="0" t="str">
        <f aca="false">IF(A2757="","",MONTH(A2757))</f>
        <v/>
      </c>
      <c r="L2757" s="0" t="str">
        <f aca="false">IF(B2757="","",VALUE(LEFT(B2757,2)))</f>
        <v/>
      </c>
      <c r="M2757" s="0" t="str">
        <f aca="false">IF(A2757="","",IF(COUNTIFS($C$2:$C$5001,C2757,$J$2:$J$5001,J2757,$A$2:$A$5001,"&lt;"&amp;A2757)=0,1,0))</f>
        <v/>
      </c>
    </row>
    <row r="2758" customFormat="false" ht="15" hidden="false" customHeight="false" outlineLevel="0" collapsed="false">
      <c r="A2758" s="27"/>
      <c r="F2758" s="28"/>
      <c r="J2758" s="0" t="str">
        <f aca="false">IF(A2758="","",YEAR(A2758))</f>
        <v/>
      </c>
      <c r="K2758" s="0" t="str">
        <f aca="false">IF(A2758="","",MONTH(A2758))</f>
        <v/>
      </c>
      <c r="L2758" s="0" t="str">
        <f aca="false">IF(B2758="","",VALUE(LEFT(B2758,2)))</f>
        <v/>
      </c>
      <c r="M2758" s="0" t="str">
        <f aca="false">IF(A2758="","",IF(COUNTIFS($C$2:$C$5001,C2758,$J$2:$J$5001,J2758,$A$2:$A$5001,"&lt;"&amp;A2758)=0,1,0))</f>
        <v/>
      </c>
    </row>
    <row r="2759" customFormat="false" ht="15" hidden="false" customHeight="false" outlineLevel="0" collapsed="false">
      <c r="A2759" s="27"/>
      <c r="F2759" s="28"/>
      <c r="J2759" s="0" t="str">
        <f aca="false">IF(A2759="","",YEAR(A2759))</f>
        <v/>
      </c>
      <c r="K2759" s="0" t="str">
        <f aca="false">IF(A2759="","",MONTH(A2759))</f>
        <v/>
      </c>
      <c r="L2759" s="0" t="str">
        <f aca="false">IF(B2759="","",VALUE(LEFT(B2759,2)))</f>
        <v/>
      </c>
      <c r="M2759" s="0" t="str">
        <f aca="false">IF(A2759="","",IF(COUNTIFS($C$2:$C$5001,C2759,$J$2:$J$5001,J2759,$A$2:$A$5001,"&lt;"&amp;A2759)=0,1,0))</f>
        <v/>
      </c>
    </row>
    <row r="2760" customFormat="false" ht="15" hidden="false" customHeight="false" outlineLevel="0" collapsed="false">
      <c r="A2760" s="27"/>
      <c r="F2760" s="28"/>
      <c r="J2760" s="0" t="str">
        <f aca="false">IF(A2760="","",YEAR(A2760))</f>
        <v/>
      </c>
      <c r="K2760" s="0" t="str">
        <f aca="false">IF(A2760="","",MONTH(A2760))</f>
        <v/>
      </c>
      <c r="L2760" s="0" t="str">
        <f aca="false">IF(B2760="","",VALUE(LEFT(B2760,2)))</f>
        <v/>
      </c>
      <c r="M2760" s="0" t="str">
        <f aca="false">IF(A2760="","",IF(COUNTIFS($C$2:$C$5001,C2760,$J$2:$J$5001,J2760,$A$2:$A$5001,"&lt;"&amp;A2760)=0,1,0))</f>
        <v/>
      </c>
    </row>
    <row r="2761" customFormat="false" ht="15" hidden="false" customHeight="false" outlineLevel="0" collapsed="false">
      <c r="A2761" s="27"/>
      <c r="F2761" s="28"/>
      <c r="J2761" s="0" t="str">
        <f aca="false">IF(A2761="","",YEAR(A2761))</f>
        <v/>
      </c>
      <c r="K2761" s="0" t="str">
        <f aca="false">IF(A2761="","",MONTH(A2761))</f>
        <v/>
      </c>
      <c r="L2761" s="0" t="str">
        <f aca="false">IF(B2761="","",VALUE(LEFT(B2761,2)))</f>
        <v/>
      </c>
      <c r="M2761" s="0" t="str">
        <f aca="false">IF(A2761="","",IF(COUNTIFS($C$2:$C$5001,C2761,$J$2:$J$5001,J2761,$A$2:$A$5001,"&lt;"&amp;A2761)=0,1,0))</f>
        <v/>
      </c>
    </row>
    <row r="2762" customFormat="false" ht="15" hidden="false" customHeight="false" outlineLevel="0" collapsed="false">
      <c r="A2762" s="27"/>
      <c r="F2762" s="28"/>
      <c r="J2762" s="0" t="str">
        <f aca="false">IF(A2762="","",YEAR(A2762))</f>
        <v/>
      </c>
      <c r="K2762" s="0" t="str">
        <f aca="false">IF(A2762="","",MONTH(A2762))</f>
        <v/>
      </c>
      <c r="L2762" s="0" t="str">
        <f aca="false">IF(B2762="","",VALUE(LEFT(B2762,2)))</f>
        <v/>
      </c>
      <c r="M2762" s="0" t="str">
        <f aca="false">IF(A2762="","",IF(COUNTIFS($C$2:$C$5001,C2762,$J$2:$J$5001,J2762,$A$2:$A$5001,"&lt;"&amp;A2762)=0,1,0))</f>
        <v/>
      </c>
    </row>
    <row r="2763" customFormat="false" ht="15" hidden="false" customHeight="false" outlineLevel="0" collapsed="false">
      <c r="A2763" s="27"/>
      <c r="F2763" s="28"/>
      <c r="J2763" s="0" t="str">
        <f aca="false">IF(A2763="","",YEAR(A2763))</f>
        <v/>
      </c>
      <c r="K2763" s="0" t="str">
        <f aca="false">IF(A2763="","",MONTH(A2763))</f>
        <v/>
      </c>
      <c r="L2763" s="0" t="str">
        <f aca="false">IF(B2763="","",VALUE(LEFT(B2763,2)))</f>
        <v/>
      </c>
      <c r="M2763" s="0" t="str">
        <f aca="false">IF(A2763="","",IF(COUNTIFS($C$2:$C$5001,C2763,$J$2:$J$5001,J2763,$A$2:$A$5001,"&lt;"&amp;A2763)=0,1,0))</f>
        <v/>
      </c>
    </row>
    <row r="2764" customFormat="false" ht="15" hidden="false" customHeight="false" outlineLevel="0" collapsed="false">
      <c r="A2764" s="27"/>
      <c r="F2764" s="28"/>
      <c r="J2764" s="0" t="str">
        <f aca="false">IF(A2764="","",YEAR(A2764))</f>
        <v/>
      </c>
      <c r="K2764" s="0" t="str">
        <f aca="false">IF(A2764="","",MONTH(A2764))</f>
        <v/>
      </c>
      <c r="L2764" s="0" t="str">
        <f aca="false">IF(B2764="","",VALUE(LEFT(B2764,2)))</f>
        <v/>
      </c>
      <c r="M2764" s="0" t="str">
        <f aca="false">IF(A2764="","",IF(COUNTIFS($C$2:$C$5001,C2764,$J$2:$J$5001,J2764,$A$2:$A$5001,"&lt;"&amp;A2764)=0,1,0))</f>
        <v/>
      </c>
    </row>
    <row r="2765" customFormat="false" ht="15" hidden="false" customHeight="false" outlineLevel="0" collapsed="false">
      <c r="A2765" s="27"/>
      <c r="F2765" s="28"/>
      <c r="J2765" s="0" t="str">
        <f aca="false">IF(A2765="","",YEAR(A2765))</f>
        <v/>
      </c>
      <c r="K2765" s="0" t="str">
        <f aca="false">IF(A2765="","",MONTH(A2765))</f>
        <v/>
      </c>
      <c r="L2765" s="0" t="str">
        <f aca="false">IF(B2765="","",VALUE(LEFT(B2765,2)))</f>
        <v/>
      </c>
      <c r="M2765" s="0" t="str">
        <f aca="false">IF(A2765="","",IF(COUNTIFS($C$2:$C$5001,C2765,$J$2:$J$5001,J2765,$A$2:$A$5001,"&lt;"&amp;A2765)=0,1,0))</f>
        <v/>
      </c>
    </row>
    <row r="2766" customFormat="false" ht="15" hidden="false" customHeight="false" outlineLevel="0" collapsed="false">
      <c r="A2766" s="27"/>
      <c r="F2766" s="28"/>
      <c r="J2766" s="0" t="str">
        <f aca="false">IF(A2766="","",YEAR(A2766))</f>
        <v/>
      </c>
      <c r="K2766" s="0" t="str">
        <f aca="false">IF(A2766="","",MONTH(A2766))</f>
        <v/>
      </c>
      <c r="L2766" s="0" t="str">
        <f aca="false">IF(B2766="","",VALUE(LEFT(B2766,2)))</f>
        <v/>
      </c>
      <c r="M2766" s="0" t="str">
        <f aca="false">IF(A2766="","",IF(COUNTIFS($C$2:$C$5001,C2766,$J$2:$J$5001,J2766,$A$2:$A$5001,"&lt;"&amp;A2766)=0,1,0))</f>
        <v/>
      </c>
    </row>
    <row r="2767" customFormat="false" ht="15" hidden="false" customHeight="false" outlineLevel="0" collapsed="false">
      <c r="A2767" s="27"/>
      <c r="F2767" s="28"/>
      <c r="J2767" s="0" t="str">
        <f aca="false">IF(A2767="","",YEAR(A2767))</f>
        <v/>
      </c>
      <c r="K2767" s="0" t="str">
        <f aca="false">IF(A2767="","",MONTH(A2767))</f>
        <v/>
      </c>
      <c r="L2767" s="0" t="str">
        <f aca="false">IF(B2767="","",VALUE(LEFT(B2767,2)))</f>
        <v/>
      </c>
      <c r="M2767" s="0" t="str">
        <f aca="false">IF(A2767="","",IF(COUNTIFS($C$2:$C$5001,C2767,$J$2:$J$5001,J2767,$A$2:$A$5001,"&lt;"&amp;A2767)=0,1,0))</f>
        <v/>
      </c>
    </row>
    <row r="2768" customFormat="false" ht="15" hidden="false" customHeight="false" outlineLevel="0" collapsed="false">
      <c r="A2768" s="27"/>
      <c r="F2768" s="28"/>
      <c r="J2768" s="0" t="str">
        <f aca="false">IF(A2768="","",YEAR(A2768))</f>
        <v/>
      </c>
      <c r="K2768" s="0" t="str">
        <f aca="false">IF(A2768="","",MONTH(A2768))</f>
        <v/>
      </c>
      <c r="L2768" s="0" t="str">
        <f aca="false">IF(B2768="","",VALUE(LEFT(B2768,2)))</f>
        <v/>
      </c>
      <c r="M2768" s="0" t="str">
        <f aca="false">IF(A2768="","",IF(COUNTIFS($C$2:$C$5001,C2768,$J$2:$J$5001,J2768,$A$2:$A$5001,"&lt;"&amp;A2768)=0,1,0))</f>
        <v/>
      </c>
    </row>
    <row r="2769" customFormat="false" ht="15" hidden="false" customHeight="false" outlineLevel="0" collapsed="false">
      <c r="A2769" s="27"/>
      <c r="F2769" s="28"/>
      <c r="J2769" s="0" t="str">
        <f aca="false">IF(A2769="","",YEAR(A2769))</f>
        <v/>
      </c>
      <c r="K2769" s="0" t="str">
        <f aca="false">IF(A2769="","",MONTH(A2769))</f>
        <v/>
      </c>
      <c r="L2769" s="0" t="str">
        <f aca="false">IF(B2769="","",VALUE(LEFT(B2769,2)))</f>
        <v/>
      </c>
      <c r="M2769" s="0" t="str">
        <f aca="false">IF(A2769="","",IF(COUNTIFS($C$2:$C$5001,C2769,$J$2:$J$5001,J2769,$A$2:$A$5001,"&lt;"&amp;A2769)=0,1,0))</f>
        <v/>
      </c>
    </row>
    <row r="2770" customFormat="false" ht="15" hidden="false" customHeight="false" outlineLevel="0" collapsed="false">
      <c r="A2770" s="27"/>
      <c r="F2770" s="28"/>
      <c r="J2770" s="0" t="str">
        <f aca="false">IF(A2770="","",YEAR(A2770))</f>
        <v/>
      </c>
      <c r="K2770" s="0" t="str">
        <f aca="false">IF(A2770="","",MONTH(A2770))</f>
        <v/>
      </c>
      <c r="L2770" s="0" t="str">
        <f aca="false">IF(B2770="","",VALUE(LEFT(B2770,2)))</f>
        <v/>
      </c>
      <c r="M2770" s="0" t="str">
        <f aca="false">IF(A2770="","",IF(COUNTIFS($C$2:$C$5001,C2770,$J$2:$J$5001,J2770,$A$2:$A$5001,"&lt;"&amp;A2770)=0,1,0))</f>
        <v/>
      </c>
    </row>
    <row r="2771" customFormat="false" ht="15" hidden="false" customHeight="false" outlineLevel="0" collapsed="false">
      <c r="A2771" s="27"/>
      <c r="F2771" s="28"/>
      <c r="J2771" s="0" t="str">
        <f aca="false">IF(A2771="","",YEAR(A2771))</f>
        <v/>
      </c>
      <c r="K2771" s="0" t="str">
        <f aca="false">IF(A2771="","",MONTH(A2771))</f>
        <v/>
      </c>
      <c r="L2771" s="0" t="str">
        <f aca="false">IF(B2771="","",VALUE(LEFT(B2771,2)))</f>
        <v/>
      </c>
      <c r="M2771" s="0" t="str">
        <f aca="false">IF(A2771="","",IF(COUNTIFS($C$2:$C$5001,C2771,$J$2:$J$5001,J2771,$A$2:$A$5001,"&lt;"&amp;A2771)=0,1,0))</f>
        <v/>
      </c>
    </row>
    <row r="2772" customFormat="false" ht="15" hidden="false" customHeight="false" outlineLevel="0" collapsed="false">
      <c r="A2772" s="27"/>
      <c r="F2772" s="28"/>
      <c r="J2772" s="0" t="str">
        <f aca="false">IF(A2772="","",YEAR(A2772))</f>
        <v/>
      </c>
      <c r="K2772" s="0" t="str">
        <f aca="false">IF(A2772="","",MONTH(A2772))</f>
        <v/>
      </c>
      <c r="L2772" s="0" t="str">
        <f aca="false">IF(B2772="","",VALUE(LEFT(B2772,2)))</f>
        <v/>
      </c>
      <c r="M2772" s="0" t="str">
        <f aca="false">IF(A2772="","",IF(COUNTIFS($C$2:$C$5001,C2772,$J$2:$J$5001,J2772,$A$2:$A$5001,"&lt;"&amp;A2772)=0,1,0))</f>
        <v/>
      </c>
    </row>
    <row r="2773" customFormat="false" ht="15" hidden="false" customHeight="false" outlineLevel="0" collapsed="false">
      <c r="A2773" s="27"/>
      <c r="F2773" s="28"/>
      <c r="J2773" s="0" t="str">
        <f aca="false">IF(A2773="","",YEAR(A2773))</f>
        <v/>
      </c>
      <c r="K2773" s="0" t="str">
        <f aca="false">IF(A2773="","",MONTH(A2773))</f>
        <v/>
      </c>
      <c r="L2773" s="0" t="str">
        <f aca="false">IF(B2773="","",VALUE(LEFT(B2773,2)))</f>
        <v/>
      </c>
      <c r="M2773" s="0" t="str">
        <f aca="false">IF(A2773="","",IF(COUNTIFS($C$2:$C$5001,C2773,$J$2:$J$5001,J2773,$A$2:$A$5001,"&lt;"&amp;A2773)=0,1,0))</f>
        <v/>
      </c>
    </row>
    <row r="2774" customFormat="false" ht="15" hidden="false" customHeight="false" outlineLevel="0" collapsed="false">
      <c r="A2774" s="27"/>
      <c r="F2774" s="28"/>
      <c r="J2774" s="0" t="str">
        <f aca="false">IF(A2774="","",YEAR(A2774))</f>
        <v/>
      </c>
      <c r="K2774" s="0" t="str">
        <f aca="false">IF(A2774="","",MONTH(A2774))</f>
        <v/>
      </c>
      <c r="L2774" s="0" t="str">
        <f aca="false">IF(B2774="","",VALUE(LEFT(B2774,2)))</f>
        <v/>
      </c>
      <c r="M2774" s="0" t="str">
        <f aca="false">IF(A2774="","",IF(COUNTIFS($C$2:$C$5001,C2774,$J$2:$J$5001,J2774,$A$2:$A$5001,"&lt;"&amp;A2774)=0,1,0))</f>
        <v/>
      </c>
    </row>
    <row r="2775" customFormat="false" ht="15" hidden="false" customHeight="false" outlineLevel="0" collapsed="false">
      <c r="A2775" s="27"/>
      <c r="F2775" s="28"/>
      <c r="J2775" s="0" t="str">
        <f aca="false">IF(A2775="","",YEAR(A2775))</f>
        <v/>
      </c>
      <c r="K2775" s="0" t="str">
        <f aca="false">IF(A2775="","",MONTH(A2775))</f>
        <v/>
      </c>
      <c r="L2775" s="0" t="str">
        <f aca="false">IF(B2775="","",VALUE(LEFT(B2775,2)))</f>
        <v/>
      </c>
      <c r="M2775" s="0" t="str">
        <f aca="false">IF(A2775="","",IF(COUNTIFS($C$2:$C$5001,C2775,$J$2:$J$5001,J2775,$A$2:$A$5001,"&lt;"&amp;A2775)=0,1,0))</f>
        <v/>
      </c>
    </row>
    <row r="2776" customFormat="false" ht="15" hidden="false" customHeight="false" outlineLevel="0" collapsed="false">
      <c r="A2776" s="27"/>
      <c r="F2776" s="28"/>
      <c r="J2776" s="0" t="str">
        <f aca="false">IF(A2776="","",YEAR(A2776))</f>
        <v/>
      </c>
      <c r="K2776" s="0" t="str">
        <f aca="false">IF(A2776="","",MONTH(A2776))</f>
        <v/>
      </c>
      <c r="L2776" s="0" t="str">
        <f aca="false">IF(B2776="","",VALUE(LEFT(B2776,2)))</f>
        <v/>
      </c>
      <c r="M2776" s="0" t="str">
        <f aca="false">IF(A2776="","",IF(COUNTIFS($C$2:$C$5001,C2776,$J$2:$J$5001,J2776,$A$2:$A$5001,"&lt;"&amp;A2776)=0,1,0))</f>
        <v/>
      </c>
    </row>
    <row r="2777" customFormat="false" ht="15" hidden="false" customHeight="false" outlineLevel="0" collapsed="false">
      <c r="A2777" s="27"/>
      <c r="F2777" s="28"/>
      <c r="J2777" s="0" t="str">
        <f aca="false">IF(A2777="","",YEAR(A2777))</f>
        <v/>
      </c>
      <c r="K2777" s="0" t="str">
        <f aca="false">IF(A2777="","",MONTH(A2777))</f>
        <v/>
      </c>
      <c r="L2777" s="0" t="str">
        <f aca="false">IF(B2777="","",VALUE(LEFT(B2777,2)))</f>
        <v/>
      </c>
      <c r="M2777" s="0" t="str">
        <f aca="false">IF(A2777="","",IF(COUNTIFS($C$2:$C$5001,C2777,$J$2:$J$5001,J2777,$A$2:$A$5001,"&lt;"&amp;A2777)=0,1,0))</f>
        <v/>
      </c>
    </row>
    <row r="2778" customFormat="false" ht="15" hidden="false" customHeight="false" outlineLevel="0" collapsed="false">
      <c r="A2778" s="27"/>
      <c r="F2778" s="28"/>
      <c r="J2778" s="0" t="str">
        <f aca="false">IF(A2778="","",YEAR(A2778))</f>
        <v/>
      </c>
      <c r="K2778" s="0" t="str">
        <f aca="false">IF(A2778="","",MONTH(A2778))</f>
        <v/>
      </c>
      <c r="L2778" s="0" t="str">
        <f aca="false">IF(B2778="","",VALUE(LEFT(B2778,2)))</f>
        <v/>
      </c>
      <c r="M2778" s="0" t="str">
        <f aca="false">IF(A2778="","",IF(COUNTIFS($C$2:$C$5001,C2778,$J$2:$J$5001,J2778,$A$2:$A$5001,"&lt;"&amp;A2778)=0,1,0))</f>
        <v/>
      </c>
    </row>
    <row r="2779" customFormat="false" ht="15" hidden="false" customHeight="false" outlineLevel="0" collapsed="false">
      <c r="A2779" s="27"/>
      <c r="F2779" s="28"/>
      <c r="J2779" s="0" t="str">
        <f aca="false">IF(A2779="","",YEAR(A2779))</f>
        <v/>
      </c>
      <c r="K2779" s="0" t="str">
        <f aca="false">IF(A2779="","",MONTH(A2779))</f>
        <v/>
      </c>
      <c r="L2779" s="0" t="str">
        <f aca="false">IF(B2779="","",VALUE(LEFT(B2779,2)))</f>
        <v/>
      </c>
      <c r="M2779" s="0" t="str">
        <f aca="false">IF(A2779="","",IF(COUNTIFS($C$2:$C$5001,C2779,$J$2:$J$5001,J2779,$A$2:$A$5001,"&lt;"&amp;A2779)=0,1,0))</f>
        <v/>
      </c>
    </row>
    <row r="2780" customFormat="false" ht="15" hidden="false" customHeight="false" outlineLevel="0" collapsed="false">
      <c r="A2780" s="27"/>
      <c r="F2780" s="28"/>
      <c r="J2780" s="0" t="str">
        <f aca="false">IF(A2780="","",YEAR(A2780))</f>
        <v/>
      </c>
      <c r="K2780" s="0" t="str">
        <f aca="false">IF(A2780="","",MONTH(A2780))</f>
        <v/>
      </c>
      <c r="L2780" s="0" t="str">
        <f aca="false">IF(B2780="","",VALUE(LEFT(B2780,2)))</f>
        <v/>
      </c>
      <c r="M2780" s="0" t="str">
        <f aca="false">IF(A2780="","",IF(COUNTIFS($C$2:$C$5001,C2780,$J$2:$J$5001,J2780,$A$2:$A$5001,"&lt;"&amp;A2780)=0,1,0))</f>
        <v/>
      </c>
    </row>
    <row r="2781" customFormat="false" ht="15" hidden="false" customHeight="false" outlineLevel="0" collapsed="false">
      <c r="A2781" s="27"/>
      <c r="F2781" s="28"/>
      <c r="J2781" s="0" t="str">
        <f aca="false">IF(A2781="","",YEAR(A2781))</f>
        <v/>
      </c>
      <c r="K2781" s="0" t="str">
        <f aca="false">IF(A2781="","",MONTH(A2781))</f>
        <v/>
      </c>
      <c r="L2781" s="0" t="str">
        <f aca="false">IF(B2781="","",VALUE(LEFT(B2781,2)))</f>
        <v/>
      </c>
      <c r="M2781" s="0" t="str">
        <f aca="false">IF(A2781="","",IF(COUNTIFS($C$2:$C$5001,C2781,$J$2:$J$5001,J2781,$A$2:$A$5001,"&lt;"&amp;A2781)=0,1,0))</f>
        <v/>
      </c>
    </row>
    <row r="2782" customFormat="false" ht="15" hidden="false" customHeight="false" outlineLevel="0" collapsed="false">
      <c r="A2782" s="27"/>
      <c r="F2782" s="28"/>
      <c r="J2782" s="0" t="str">
        <f aca="false">IF(A2782="","",YEAR(A2782))</f>
        <v/>
      </c>
      <c r="K2782" s="0" t="str">
        <f aca="false">IF(A2782="","",MONTH(A2782))</f>
        <v/>
      </c>
      <c r="L2782" s="0" t="str">
        <f aca="false">IF(B2782="","",VALUE(LEFT(B2782,2)))</f>
        <v/>
      </c>
      <c r="M2782" s="0" t="str">
        <f aca="false">IF(A2782="","",IF(COUNTIFS($C$2:$C$5001,C2782,$J$2:$J$5001,J2782,$A$2:$A$5001,"&lt;"&amp;A2782)=0,1,0))</f>
        <v/>
      </c>
    </row>
    <row r="2783" customFormat="false" ht="15" hidden="false" customHeight="false" outlineLevel="0" collapsed="false">
      <c r="A2783" s="27"/>
      <c r="F2783" s="28"/>
      <c r="J2783" s="0" t="str">
        <f aca="false">IF(A2783="","",YEAR(A2783))</f>
        <v/>
      </c>
      <c r="K2783" s="0" t="str">
        <f aca="false">IF(A2783="","",MONTH(A2783))</f>
        <v/>
      </c>
      <c r="L2783" s="0" t="str">
        <f aca="false">IF(B2783="","",VALUE(LEFT(B2783,2)))</f>
        <v/>
      </c>
      <c r="M2783" s="0" t="str">
        <f aca="false">IF(A2783="","",IF(COUNTIFS($C$2:$C$5001,C2783,$J$2:$J$5001,J2783,$A$2:$A$5001,"&lt;"&amp;A2783)=0,1,0))</f>
        <v/>
      </c>
    </row>
    <row r="2784" customFormat="false" ht="15" hidden="false" customHeight="false" outlineLevel="0" collapsed="false">
      <c r="A2784" s="27"/>
      <c r="F2784" s="28"/>
      <c r="J2784" s="0" t="str">
        <f aca="false">IF(A2784="","",YEAR(A2784))</f>
        <v/>
      </c>
      <c r="K2784" s="0" t="str">
        <f aca="false">IF(A2784="","",MONTH(A2784))</f>
        <v/>
      </c>
      <c r="L2784" s="0" t="str">
        <f aca="false">IF(B2784="","",VALUE(LEFT(B2784,2)))</f>
        <v/>
      </c>
      <c r="M2784" s="0" t="str">
        <f aca="false">IF(A2784="","",IF(COUNTIFS($C$2:$C$5001,C2784,$J$2:$J$5001,J2784,$A$2:$A$5001,"&lt;"&amp;A2784)=0,1,0))</f>
        <v/>
      </c>
    </row>
    <row r="2785" customFormat="false" ht="15" hidden="false" customHeight="false" outlineLevel="0" collapsed="false">
      <c r="A2785" s="27"/>
      <c r="F2785" s="28"/>
      <c r="J2785" s="0" t="str">
        <f aca="false">IF(A2785="","",YEAR(A2785))</f>
        <v/>
      </c>
      <c r="K2785" s="0" t="str">
        <f aca="false">IF(A2785="","",MONTH(A2785))</f>
        <v/>
      </c>
      <c r="L2785" s="0" t="str">
        <f aca="false">IF(B2785="","",VALUE(LEFT(B2785,2)))</f>
        <v/>
      </c>
      <c r="M2785" s="0" t="str">
        <f aca="false">IF(A2785="","",IF(COUNTIFS($C$2:$C$5001,C2785,$J$2:$J$5001,J2785,$A$2:$A$5001,"&lt;"&amp;A2785)=0,1,0))</f>
        <v/>
      </c>
    </row>
    <row r="2786" customFormat="false" ht="15" hidden="false" customHeight="false" outlineLevel="0" collapsed="false">
      <c r="A2786" s="27"/>
      <c r="F2786" s="28"/>
      <c r="J2786" s="0" t="str">
        <f aca="false">IF(A2786="","",YEAR(A2786))</f>
        <v/>
      </c>
      <c r="K2786" s="0" t="str">
        <f aca="false">IF(A2786="","",MONTH(A2786))</f>
        <v/>
      </c>
      <c r="L2786" s="0" t="str">
        <f aca="false">IF(B2786="","",VALUE(LEFT(B2786,2)))</f>
        <v/>
      </c>
      <c r="M2786" s="0" t="str">
        <f aca="false">IF(A2786="","",IF(COUNTIFS($C$2:$C$5001,C2786,$J$2:$J$5001,J2786,$A$2:$A$5001,"&lt;"&amp;A2786)=0,1,0))</f>
        <v/>
      </c>
    </row>
    <row r="2787" customFormat="false" ht="15" hidden="false" customHeight="false" outlineLevel="0" collapsed="false">
      <c r="A2787" s="27"/>
      <c r="F2787" s="28"/>
      <c r="J2787" s="0" t="str">
        <f aca="false">IF(A2787="","",YEAR(A2787))</f>
        <v/>
      </c>
      <c r="K2787" s="0" t="str">
        <f aca="false">IF(A2787="","",MONTH(A2787))</f>
        <v/>
      </c>
      <c r="L2787" s="0" t="str">
        <f aca="false">IF(B2787="","",VALUE(LEFT(B2787,2)))</f>
        <v/>
      </c>
      <c r="M2787" s="0" t="str">
        <f aca="false">IF(A2787="","",IF(COUNTIFS($C$2:$C$5001,C2787,$J$2:$J$5001,J2787,$A$2:$A$5001,"&lt;"&amp;A2787)=0,1,0))</f>
        <v/>
      </c>
    </row>
    <row r="2788" customFormat="false" ht="15" hidden="false" customHeight="false" outlineLevel="0" collapsed="false">
      <c r="A2788" s="27"/>
      <c r="F2788" s="28"/>
      <c r="J2788" s="0" t="str">
        <f aca="false">IF(A2788="","",YEAR(A2788))</f>
        <v/>
      </c>
      <c r="K2788" s="0" t="str">
        <f aca="false">IF(A2788="","",MONTH(A2788))</f>
        <v/>
      </c>
      <c r="L2788" s="0" t="str">
        <f aca="false">IF(B2788="","",VALUE(LEFT(B2788,2)))</f>
        <v/>
      </c>
      <c r="M2788" s="0" t="str">
        <f aca="false">IF(A2788="","",IF(COUNTIFS($C$2:$C$5001,C2788,$J$2:$J$5001,J2788,$A$2:$A$5001,"&lt;"&amp;A2788)=0,1,0))</f>
        <v/>
      </c>
    </row>
    <row r="2789" customFormat="false" ht="15" hidden="false" customHeight="false" outlineLevel="0" collapsed="false">
      <c r="A2789" s="27"/>
      <c r="F2789" s="28"/>
      <c r="J2789" s="0" t="str">
        <f aca="false">IF(A2789="","",YEAR(A2789))</f>
        <v/>
      </c>
      <c r="K2789" s="0" t="str">
        <f aca="false">IF(A2789="","",MONTH(A2789))</f>
        <v/>
      </c>
      <c r="L2789" s="0" t="str">
        <f aca="false">IF(B2789="","",VALUE(LEFT(B2789,2)))</f>
        <v/>
      </c>
      <c r="M2789" s="0" t="str">
        <f aca="false">IF(A2789="","",IF(COUNTIFS($C$2:$C$5001,C2789,$J$2:$J$5001,J2789,$A$2:$A$5001,"&lt;"&amp;A2789)=0,1,0))</f>
        <v/>
      </c>
    </row>
    <row r="2790" customFormat="false" ht="15" hidden="false" customHeight="false" outlineLevel="0" collapsed="false">
      <c r="A2790" s="27"/>
      <c r="F2790" s="28"/>
      <c r="J2790" s="0" t="str">
        <f aca="false">IF(A2790="","",YEAR(A2790))</f>
        <v/>
      </c>
      <c r="K2790" s="0" t="str">
        <f aca="false">IF(A2790="","",MONTH(A2790))</f>
        <v/>
      </c>
      <c r="L2790" s="0" t="str">
        <f aca="false">IF(B2790="","",VALUE(LEFT(B2790,2)))</f>
        <v/>
      </c>
      <c r="M2790" s="0" t="str">
        <f aca="false">IF(A2790="","",IF(COUNTIFS($C$2:$C$5001,C2790,$J$2:$J$5001,J2790,$A$2:$A$5001,"&lt;"&amp;A2790)=0,1,0))</f>
        <v/>
      </c>
    </row>
    <row r="2791" customFormat="false" ht="15" hidden="false" customHeight="false" outlineLevel="0" collapsed="false">
      <c r="A2791" s="27"/>
      <c r="F2791" s="28"/>
      <c r="J2791" s="0" t="str">
        <f aca="false">IF(A2791="","",YEAR(A2791))</f>
        <v/>
      </c>
      <c r="K2791" s="0" t="str">
        <f aca="false">IF(A2791="","",MONTH(A2791))</f>
        <v/>
      </c>
      <c r="L2791" s="0" t="str">
        <f aca="false">IF(B2791="","",VALUE(LEFT(B2791,2)))</f>
        <v/>
      </c>
      <c r="M2791" s="0" t="str">
        <f aca="false">IF(A2791="","",IF(COUNTIFS($C$2:$C$5001,C2791,$J$2:$J$5001,J2791,$A$2:$A$5001,"&lt;"&amp;A2791)=0,1,0))</f>
        <v/>
      </c>
    </row>
    <row r="2792" customFormat="false" ht="15" hidden="false" customHeight="false" outlineLevel="0" collapsed="false">
      <c r="A2792" s="27"/>
      <c r="F2792" s="28"/>
      <c r="J2792" s="0" t="str">
        <f aca="false">IF(A2792="","",YEAR(A2792))</f>
        <v/>
      </c>
      <c r="K2792" s="0" t="str">
        <f aca="false">IF(A2792="","",MONTH(A2792))</f>
        <v/>
      </c>
      <c r="L2792" s="0" t="str">
        <f aca="false">IF(B2792="","",VALUE(LEFT(B2792,2)))</f>
        <v/>
      </c>
      <c r="M2792" s="0" t="str">
        <f aca="false">IF(A2792="","",IF(COUNTIFS($C$2:$C$5001,C2792,$J$2:$J$5001,J2792,$A$2:$A$5001,"&lt;"&amp;A2792)=0,1,0))</f>
        <v/>
      </c>
    </row>
    <row r="2793" customFormat="false" ht="15" hidden="false" customHeight="false" outlineLevel="0" collapsed="false">
      <c r="A2793" s="27"/>
      <c r="F2793" s="28"/>
      <c r="J2793" s="0" t="str">
        <f aca="false">IF(A2793="","",YEAR(A2793))</f>
        <v/>
      </c>
      <c r="K2793" s="0" t="str">
        <f aca="false">IF(A2793="","",MONTH(A2793))</f>
        <v/>
      </c>
      <c r="L2793" s="0" t="str">
        <f aca="false">IF(B2793="","",VALUE(LEFT(B2793,2)))</f>
        <v/>
      </c>
      <c r="M2793" s="0" t="str">
        <f aca="false">IF(A2793="","",IF(COUNTIFS($C$2:$C$5001,C2793,$J$2:$J$5001,J2793,$A$2:$A$5001,"&lt;"&amp;A2793)=0,1,0))</f>
        <v/>
      </c>
    </row>
    <row r="2794" customFormat="false" ht="15" hidden="false" customHeight="false" outlineLevel="0" collapsed="false">
      <c r="A2794" s="27"/>
      <c r="F2794" s="28"/>
      <c r="J2794" s="0" t="str">
        <f aca="false">IF(A2794="","",YEAR(A2794))</f>
        <v/>
      </c>
      <c r="K2794" s="0" t="str">
        <f aca="false">IF(A2794="","",MONTH(A2794))</f>
        <v/>
      </c>
      <c r="L2794" s="0" t="str">
        <f aca="false">IF(B2794="","",VALUE(LEFT(B2794,2)))</f>
        <v/>
      </c>
      <c r="M2794" s="0" t="str">
        <f aca="false">IF(A2794="","",IF(COUNTIFS($C$2:$C$5001,C2794,$J$2:$J$5001,J2794,$A$2:$A$5001,"&lt;"&amp;A2794)=0,1,0))</f>
        <v/>
      </c>
    </row>
    <row r="2795" customFormat="false" ht="15" hidden="false" customHeight="false" outlineLevel="0" collapsed="false">
      <c r="A2795" s="27"/>
      <c r="F2795" s="28"/>
      <c r="J2795" s="0" t="str">
        <f aca="false">IF(A2795="","",YEAR(A2795))</f>
        <v/>
      </c>
      <c r="K2795" s="0" t="str">
        <f aca="false">IF(A2795="","",MONTH(A2795))</f>
        <v/>
      </c>
      <c r="L2795" s="0" t="str">
        <f aca="false">IF(B2795="","",VALUE(LEFT(B2795,2)))</f>
        <v/>
      </c>
      <c r="M2795" s="0" t="str">
        <f aca="false">IF(A2795="","",IF(COUNTIFS($C$2:$C$5001,C2795,$J$2:$J$5001,J2795,$A$2:$A$5001,"&lt;"&amp;A2795)=0,1,0))</f>
        <v/>
      </c>
    </row>
    <row r="2796" customFormat="false" ht="15" hidden="false" customHeight="false" outlineLevel="0" collapsed="false">
      <c r="A2796" s="27"/>
      <c r="F2796" s="28"/>
      <c r="J2796" s="0" t="str">
        <f aca="false">IF(A2796="","",YEAR(A2796))</f>
        <v/>
      </c>
      <c r="K2796" s="0" t="str">
        <f aca="false">IF(A2796="","",MONTH(A2796))</f>
        <v/>
      </c>
      <c r="L2796" s="0" t="str">
        <f aca="false">IF(B2796="","",VALUE(LEFT(B2796,2)))</f>
        <v/>
      </c>
      <c r="M2796" s="0" t="str">
        <f aca="false">IF(A2796="","",IF(COUNTIFS($C$2:$C$5001,C2796,$J$2:$J$5001,J2796,$A$2:$A$5001,"&lt;"&amp;A2796)=0,1,0))</f>
        <v/>
      </c>
    </row>
    <row r="2797" customFormat="false" ht="15" hidden="false" customHeight="false" outlineLevel="0" collapsed="false">
      <c r="A2797" s="27"/>
      <c r="F2797" s="28"/>
      <c r="J2797" s="0" t="str">
        <f aca="false">IF(A2797="","",YEAR(A2797))</f>
        <v/>
      </c>
      <c r="K2797" s="0" t="str">
        <f aca="false">IF(A2797="","",MONTH(A2797))</f>
        <v/>
      </c>
      <c r="L2797" s="0" t="str">
        <f aca="false">IF(B2797="","",VALUE(LEFT(B2797,2)))</f>
        <v/>
      </c>
      <c r="M2797" s="0" t="str">
        <f aca="false">IF(A2797="","",IF(COUNTIFS($C$2:$C$5001,C2797,$J$2:$J$5001,J2797,$A$2:$A$5001,"&lt;"&amp;A2797)=0,1,0))</f>
        <v/>
      </c>
    </row>
    <row r="2798" customFormat="false" ht="15" hidden="false" customHeight="false" outlineLevel="0" collapsed="false">
      <c r="A2798" s="27"/>
      <c r="F2798" s="28"/>
      <c r="J2798" s="0" t="str">
        <f aca="false">IF(A2798="","",YEAR(A2798))</f>
        <v/>
      </c>
      <c r="K2798" s="0" t="str">
        <f aca="false">IF(A2798="","",MONTH(A2798))</f>
        <v/>
      </c>
      <c r="L2798" s="0" t="str">
        <f aca="false">IF(B2798="","",VALUE(LEFT(B2798,2)))</f>
        <v/>
      </c>
      <c r="M2798" s="0" t="str">
        <f aca="false">IF(A2798="","",IF(COUNTIFS($C$2:$C$5001,C2798,$J$2:$J$5001,J2798,$A$2:$A$5001,"&lt;"&amp;A2798)=0,1,0))</f>
        <v/>
      </c>
    </row>
    <row r="2799" customFormat="false" ht="15" hidden="false" customHeight="false" outlineLevel="0" collapsed="false">
      <c r="A2799" s="27"/>
      <c r="F2799" s="28"/>
      <c r="J2799" s="0" t="str">
        <f aca="false">IF(A2799="","",YEAR(A2799))</f>
        <v/>
      </c>
      <c r="K2799" s="0" t="str">
        <f aca="false">IF(A2799="","",MONTH(A2799))</f>
        <v/>
      </c>
      <c r="L2799" s="0" t="str">
        <f aca="false">IF(B2799="","",VALUE(LEFT(B2799,2)))</f>
        <v/>
      </c>
      <c r="M2799" s="0" t="str">
        <f aca="false">IF(A2799="","",IF(COUNTIFS($C$2:$C$5001,C2799,$J$2:$J$5001,J2799,$A$2:$A$5001,"&lt;"&amp;A2799)=0,1,0))</f>
        <v/>
      </c>
    </row>
    <row r="2800" customFormat="false" ht="15" hidden="false" customHeight="false" outlineLevel="0" collapsed="false">
      <c r="A2800" s="27"/>
      <c r="F2800" s="28"/>
      <c r="J2800" s="0" t="str">
        <f aca="false">IF(A2800="","",YEAR(A2800))</f>
        <v/>
      </c>
      <c r="K2800" s="0" t="str">
        <f aca="false">IF(A2800="","",MONTH(A2800))</f>
        <v/>
      </c>
      <c r="L2800" s="0" t="str">
        <f aca="false">IF(B2800="","",VALUE(LEFT(B2800,2)))</f>
        <v/>
      </c>
      <c r="M2800" s="0" t="str">
        <f aca="false">IF(A2800="","",IF(COUNTIFS($C$2:$C$5001,C2800,$J$2:$J$5001,J2800,$A$2:$A$5001,"&lt;"&amp;A2800)=0,1,0))</f>
        <v/>
      </c>
    </row>
    <row r="2801" customFormat="false" ht="15" hidden="false" customHeight="false" outlineLevel="0" collapsed="false">
      <c r="A2801" s="27"/>
      <c r="F2801" s="28"/>
      <c r="J2801" s="0" t="str">
        <f aca="false">IF(A2801="","",YEAR(A2801))</f>
        <v/>
      </c>
      <c r="K2801" s="0" t="str">
        <f aca="false">IF(A2801="","",MONTH(A2801))</f>
        <v/>
      </c>
      <c r="L2801" s="0" t="str">
        <f aca="false">IF(B2801="","",VALUE(LEFT(B2801,2)))</f>
        <v/>
      </c>
      <c r="M2801" s="0" t="str">
        <f aca="false">IF(A2801="","",IF(COUNTIFS($C$2:$C$5001,C2801,$J$2:$J$5001,J2801,$A$2:$A$5001,"&lt;"&amp;A2801)=0,1,0))</f>
        <v/>
      </c>
    </row>
    <row r="2802" customFormat="false" ht="15" hidden="false" customHeight="false" outlineLevel="0" collapsed="false">
      <c r="A2802" s="27"/>
      <c r="F2802" s="28"/>
      <c r="J2802" s="0" t="str">
        <f aca="false">IF(A2802="","",YEAR(A2802))</f>
        <v/>
      </c>
      <c r="K2802" s="0" t="str">
        <f aca="false">IF(A2802="","",MONTH(A2802))</f>
        <v/>
      </c>
      <c r="L2802" s="0" t="str">
        <f aca="false">IF(B2802="","",VALUE(LEFT(B2802,2)))</f>
        <v/>
      </c>
      <c r="M2802" s="0" t="str">
        <f aca="false">IF(A2802="","",IF(COUNTIFS($C$2:$C$5001,C2802,$J$2:$J$5001,J2802,$A$2:$A$5001,"&lt;"&amp;A2802)=0,1,0))</f>
        <v/>
      </c>
    </row>
    <row r="2803" customFormat="false" ht="15" hidden="false" customHeight="false" outlineLevel="0" collapsed="false">
      <c r="A2803" s="27"/>
      <c r="F2803" s="28"/>
      <c r="J2803" s="0" t="str">
        <f aca="false">IF(A2803="","",YEAR(A2803))</f>
        <v/>
      </c>
      <c r="K2803" s="0" t="str">
        <f aca="false">IF(A2803="","",MONTH(A2803))</f>
        <v/>
      </c>
      <c r="L2803" s="0" t="str">
        <f aca="false">IF(B2803="","",VALUE(LEFT(B2803,2)))</f>
        <v/>
      </c>
      <c r="M2803" s="0" t="str">
        <f aca="false">IF(A2803="","",IF(COUNTIFS($C$2:$C$5001,C2803,$J$2:$J$5001,J2803,$A$2:$A$5001,"&lt;"&amp;A2803)=0,1,0))</f>
        <v/>
      </c>
    </row>
    <row r="2804" customFormat="false" ht="15" hidden="false" customHeight="false" outlineLevel="0" collapsed="false">
      <c r="A2804" s="27"/>
      <c r="F2804" s="28"/>
      <c r="J2804" s="0" t="str">
        <f aca="false">IF(A2804="","",YEAR(A2804))</f>
        <v/>
      </c>
      <c r="K2804" s="0" t="str">
        <f aca="false">IF(A2804="","",MONTH(A2804))</f>
        <v/>
      </c>
      <c r="L2804" s="0" t="str">
        <f aca="false">IF(B2804="","",VALUE(LEFT(B2804,2)))</f>
        <v/>
      </c>
      <c r="M2804" s="0" t="str">
        <f aca="false">IF(A2804="","",IF(COUNTIFS($C$2:$C$5001,C2804,$J$2:$J$5001,J2804,$A$2:$A$5001,"&lt;"&amp;A2804)=0,1,0))</f>
        <v/>
      </c>
    </row>
    <row r="2805" customFormat="false" ht="15" hidden="false" customHeight="false" outlineLevel="0" collapsed="false">
      <c r="A2805" s="27"/>
      <c r="F2805" s="28"/>
      <c r="J2805" s="0" t="str">
        <f aca="false">IF(A2805="","",YEAR(A2805))</f>
        <v/>
      </c>
      <c r="K2805" s="0" t="str">
        <f aca="false">IF(A2805="","",MONTH(A2805))</f>
        <v/>
      </c>
      <c r="L2805" s="0" t="str">
        <f aca="false">IF(B2805="","",VALUE(LEFT(B2805,2)))</f>
        <v/>
      </c>
      <c r="M2805" s="0" t="str">
        <f aca="false">IF(A2805="","",IF(COUNTIFS($C$2:$C$5001,C2805,$J$2:$J$5001,J2805,$A$2:$A$5001,"&lt;"&amp;A2805)=0,1,0))</f>
        <v/>
      </c>
    </row>
    <row r="2806" customFormat="false" ht="15" hidden="false" customHeight="false" outlineLevel="0" collapsed="false">
      <c r="A2806" s="27"/>
      <c r="F2806" s="28"/>
      <c r="J2806" s="0" t="str">
        <f aca="false">IF(A2806="","",YEAR(A2806))</f>
        <v/>
      </c>
      <c r="K2806" s="0" t="str">
        <f aca="false">IF(A2806="","",MONTH(A2806))</f>
        <v/>
      </c>
      <c r="L2806" s="0" t="str">
        <f aca="false">IF(B2806="","",VALUE(LEFT(B2806,2)))</f>
        <v/>
      </c>
      <c r="M2806" s="0" t="str">
        <f aca="false">IF(A2806="","",IF(COUNTIFS($C$2:$C$5001,C2806,$J$2:$J$5001,J2806,$A$2:$A$5001,"&lt;"&amp;A2806)=0,1,0))</f>
        <v/>
      </c>
    </row>
    <row r="2807" customFormat="false" ht="15" hidden="false" customHeight="false" outlineLevel="0" collapsed="false">
      <c r="A2807" s="27"/>
      <c r="F2807" s="28"/>
      <c r="J2807" s="0" t="str">
        <f aca="false">IF(A2807="","",YEAR(A2807))</f>
        <v/>
      </c>
      <c r="K2807" s="0" t="str">
        <f aca="false">IF(A2807="","",MONTH(A2807))</f>
        <v/>
      </c>
      <c r="L2807" s="0" t="str">
        <f aca="false">IF(B2807="","",VALUE(LEFT(B2807,2)))</f>
        <v/>
      </c>
      <c r="M2807" s="0" t="str">
        <f aca="false">IF(A2807="","",IF(COUNTIFS($C$2:$C$5001,C2807,$J$2:$J$5001,J2807,$A$2:$A$5001,"&lt;"&amp;A2807)=0,1,0))</f>
        <v/>
      </c>
    </row>
    <row r="2808" customFormat="false" ht="15" hidden="false" customHeight="false" outlineLevel="0" collapsed="false">
      <c r="A2808" s="27"/>
      <c r="F2808" s="28"/>
      <c r="J2808" s="0" t="str">
        <f aca="false">IF(A2808="","",YEAR(A2808))</f>
        <v/>
      </c>
      <c r="K2808" s="0" t="str">
        <f aca="false">IF(A2808="","",MONTH(A2808))</f>
        <v/>
      </c>
      <c r="L2808" s="0" t="str">
        <f aca="false">IF(B2808="","",VALUE(LEFT(B2808,2)))</f>
        <v/>
      </c>
      <c r="M2808" s="0" t="str">
        <f aca="false">IF(A2808="","",IF(COUNTIFS($C$2:$C$5001,C2808,$J$2:$J$5001,J2808,$A$2:$A$5001,"&lt;"&amp;A2808)=0,1,0))</f>
        <v/>
      </c>
    </row>
    <row r="2809" customFormat="false" ht="15" hidden="false" customHeight="false" outlineLevel="0" collapsed="false">
      <c r="A2809" s="27"/>
      <c r="F2809" s="28"/>
      <c r="J2809" s="0" t="str">
        <f aca="false">IF(A2809="","",YEAR(A2809))</f>
        <v/>
      </c>
      <c r="K2809" s="0" t="str">
        <f aca="false">IF(A2809="","",MONTH(A2809))</f>
        <v/>
      </c>
      <c r="L2809" s="0" t="str">
        <f aca="false">IF(B2809="","",VALUE(LEFT(B2809,2)))</f>
        <v/>
      </c>
      <c r="M2809" s="0" t="str">
        <f aca="false">IF(A2809="","",IF(COUNTIFS($C$2:$C$5001,C2809,$J$2:$J$5001,J2809,$A$2:$A$5001,"&lt;"&amp;A2809)=0,1,0))</f>
        <v/>
      </c>
    </row>
    <row r="2810" customFormat="false" ht="15" hidden="false" customHeight="false" outlineLevel="0" collapsed="false">
      <c r="A2810" s="27"/>
      <c r="F2810" s="28"/>
      <c r="J2810" s="0" t="str">
        <f aca="false">IF(A2810="","",YEAR(A2810))</f>
        <v/>
      </c>
      <c r="K2810" s="0" t="str">
        <f aca="false">IF(A2810="","",MONTH(A2810))</f>
        <v/>
      </c>
      <c r="L2810" s="0" t="str">
        <f aca="false">IF(B2810="","",VALUE(LEFT(B2810,2)))</f>
        <v/>
      </c>
      <c r="M2810" s="0" t="str">
        <f aca="false">IF(A2810="","",IF(COUNTIFS($C$2:$C$5001,C2810,$J$2:$J$5001,J2810,$A$2:$A$5001,"&lt;"&amp;A2810)=0,1,0))</f>
        <v/>
      </c>
    </row>
    <row r="2811" customFormat="false" ht="15" hidden="false" customHeight="false" outlineLevel="0" collapsed="false">
      <c r="A2811" s="27"/>
      <c r="F2811" s="28"/>
      <c r="J2811" s="0" t="str">
        <f aca="false">IF(A2811="","",YEAR(A2811))</f>
        <v/>
      </c>
      <c r="K2811" s="0" t="str">
        <f aca="false">IF(A2811="","",MONTH(A2811))</f>
        <v/>
      </c>
      <c r="L2811" s="0" t="str">
        <f aca="false">IF(B2811="","",VALUE(LEFT(B2811,2)))</f>
        <v/>
      </c>
      <c r="M2811" s="0" t="str">
        <f aca="false">IF(A2811="","",IF(COUNTIFS($C$2:$C$5001,C2811,$J$2:$J$5001,J2811,$A$2:$A$5001,"&lt;"&amp;A2811)=0,1,0))</f>
        <v/>
      </c>
    </row>
    <row r="2812" customFormat="false" ht="15" hidden="false" customHeight="false" outlineLevel="0" collapsed="false">
      <c r="A2812" s="27"/>
      <c r="F2812" s="28"/>
      <c r="J2812" s="0" t="str">
        <f aca="false">IF(A2812="","",YEAR(A2812))</f>
        <v/>
      </c>
      <c r="K2812" s="0" t="str">
        <f aca="false">IF(A2812="","",MONTH(A2812))</f>
        <v/>
      </c>
      <c r="L2812" s="0" t="str">
        <f aca="false">IF(B2812="","",VALUE(LEFT(B2812,2)))</f>
        <v/>
      </c>
      <c r="M2812" s="0" t="str">
        <f aca="false">IF(A2812="","",IF(COUNTIFS($C$2:$C$5001,C2812,$J$2:$J$5001,J2812,$A$2:$A$5001,"&lt;"&amp;A2812)=0,1,0))</f>
        <v/>
      </c>
    </row>
    <row r="2813" customFormat="false" ht="15" hidden="false" customHeight="false" outlineLevel="0" collapsed="false">
      <c r="A2813" s="27"/>
      <c r="F2813" s="28"/>
      <c r="J2813" s="0" t="str">
        <f aca="false">IF(A2813="","",YEAR(A2813))</f>
        <v/>
      </c>
      <c r="K2813" s="0" t="str">
        <f aca="false">IF(A2813="","",MONTH(A2813))</f>
        <v/>
      </c>
      <c r="L2813" s="0" t="str">
        <f aca="false">IF(B2813="","",VALUE(LEFT(B2813,2)))</f>
        <v/>
      </c>
      <c r="M2813" s="0" t="str">
        <f aca="false">IF(A2813="","",IF(COUNTIFS($C$2:$C$5001,C2813,$J$2:$J$5001,J2813,$A$2:$A$5001,"&lt;"&amp;A2813)=0,1,0))</f>
        <v/>
      </c>
    </row>
    <row r="2814" customFormat="false" ht="15" hidden="false" customHeight="false" outlineLevel="0" collapsed="false">
      <c r="A2814" s="27"/>
      <c r="F2814" s="28"/>
      <c r="J2814" s="0" t="str">
        <f aca="false">IF(A2814="","",YEAR(A2814))</f>
        <v/>
      </c>
      <c r="K2814" s="0" t="str">
        <f aca="false">IF(A2814="","",MONTH(A2814))</f>
        <v/>
      </c>
      <c r="L2814" s="0" t="str">
        <f aca="false">IF(B2814="","",VALUE(LEFT(B2814,2)))</f>
        <v/>
      </c>
      <c r="M2814" s="0" t="str">
        <f aca="false">IF(A2814="","",IF(COUNTIFS($C$2:$C$5001,C2814,$J$2:$J$5001,J2814,$A$2:$A$5001,"&lt;"&amp;A2814)=0,1,0))</f>
        <v/>
      </c>
    </row>
    <row r="2815" customFormat="false" ht="15" hidden="false" customHeight="false" outlineLevel="0" collapsed="false">
      <c r="A2815" s="27"/>
      <c r="F2815" s="28"/>
      <c r="J2815" s="0" t="str">
        <f aca="false">IF(A2815="","",YEAR(A2815))</f>
        <v/>
      </c>
      <c r="K2815" s="0" t="str">
        <f aca="false">IF(A2815="","",MONTH(A2815))</f>
        <v/>
      </c>
      <c r="L2815" s="0" t="str">
        <f aca="false">IF(B2815="","",VALUE(LEFT(B2815,2)))</f>
        <v/>
      </c>
      <c r="M2815" s="0" t="str">
        <f aca="false">IF(A2815="","",IF(COUNTIFS($C$2:$C$5001,C2815,$J$2:$J$5001,J2815,$A$2:$A$5001,"&lt;"&amp;A2815)=0,1,0))</f>
        <v/>
      </c>
    </row>
    <row r="2816" customFormat="false" ht="15" hidden="false" customHeight="false" outlineLevel="0" collapsed="false">
      <c r="A2816" s="27"/>
      <c r="F2816" s="28"/>
      <c r="J2816" s="0" t="str">
        <f aca="false">IF(A2816="","",YEAR(A2816))</f>
        <v/>
      </c>
      <c r="K2816" s="0" t="str">
        <f aca="false">IF(A2816="","",MONTH(A2816))</f>
        <v/>
      </c>
      <c r="L2816" s="0" t="str">
        <f aca="false">IF(B2816="","",VALUE(LEFT(B2816,2)))</f>
        <v/>
      </c>
      <c r="M2816" s="0" t="str">
        <f aca="false">IF(A2816="","",IF(COUNTIFS($C$2:$C$5001,C2816,$J$2:$J$5001,J2816,$A$2:$A$5001,"&lt;"&amp;A2816)=0,1,0))</f>
        <v/>
      </c>
    </row>
    <row r="2817" customFormat="false" ht="15" hidden="false" customHeight="false" outlineLevel="0" collapsed="false">
      <c r="A2817" s="27"/>
      <c r="F2817" s="28"/>
      <c r="J2817" s="0" t="str">
        <f aca="false">IF(A2817="","",YEAR(A2817))</f>
        <v/>
      </c>
      <c r="K2817" s="0" t="str">
        <f aca="false">IF(A2817="","",MONTH(A2817))</f>
        <v/>
      </c>
      <c r="L2817" s="0" t="str">
        <f aca="false">IF(B2817="","",VALUE(LEFT(B2817,2)))</f>
        <v/>
      </c>
      <c r="M2817" s="0" t="str">
        <f aca="false">IF(A2817="","",IF(COUNTIFS($C$2:$C$5001,C2817,$J$2:$J$5001,J2817,$A$2:$A$5001,"&lt;"&amp;A2817)=0,1,0))</f>
        <v/>
      </c>
    </row>
    <row r="2818" customFormat="false" ht="15" hidden="false" customHeight="false" outlineLevel="0" collapsed="false">
      <c r="A2818" s="27"/>
      <c r="F2818" s="28"/>
      <c r="J2818" s="0" t="str">
        <f aca="false">IF(A2818="","",YEAR(A2818))</f>
        <v/>
      </c>
      <c r="K2818" s="0" t="str">
        <f aca="false">IF(A2818="","",MONTH(A2818))</f>
        <v/>
      </c>
      <c r="L2818" s="0" t="str">
        <f aca="false">IF(B2818="","",VALUE(LEFT(B2818,2)))</f>
        <v/>
      </c>
      <c r="M2818" s="0" t="str">
        <f aca="false">IF(A2818="","",IF(COUNTIFS($C$2:$C$5001,C2818,$J$2:$J$5001,J2818,$A$2:$A$5001,"&lt;"&amp;A2818)=0,1,0))</f>
        <v/>
      </c>
    </row>
    <row r="2819" customFormat="false" ht="15" hidden="false" customHeight="false" outlineLevel="0" collapsed="false">
      <c r="A2819" s="27"/>
      <c r="F2819" s="28"/>
      <c r="J2819" s="0" t="str">
        <f aca="false">IF(A2819="","",YEAR(A2819))</f>
        <v/>
      </c>
      <c r="K2819" s="0" t="str">
        <f aca="false">IF(A2819="","",MONTH(A2819))</f>
        <v/>
      </c>
      <c r="L2819" s="0" t="str">
        <f aca="false">IF(B2819="","",VALUE(LEFT(B2819,2)))</f>
        <v/>
      </c>
      <c r="M2819" s="0" t="str">
        <f aca="false">IF(A2819="","",IF(COUNTIFS($C$2:$C$5001,C2819,$J$2:$J$5001,J2819,$A$2:$A$5001,"&lt;"&amp;A2819)=0,1,0))</f>
        <v/>
      </c>
    </row>
    <row r="2820" customFormat="false" ht="15" hidden="false" customHeight="false" outlineLevel="0" collapsed="false">
      <c r="A2820" s="27"/>
      <c r="F2820" s="28"/>
      <c r="J2820" s="0" t="str">
        <f aca="false">IF(A2820="","",YEAR(A2820))</f>
        <v/>
      </c>
      <c r="K2820" s="0" t="str">
        <f aca="false">IF(A2820="","",MONTH(A2820))</f>
        <v/>
      </c>
      <c r="L2820" s="0" t="str">
        <f aca="false">IF(B2820="","",VALUE(LEFT(B2820,2)))</f>
        <v/>
      </c>
      <c r="M2820" s="0" t="str">
        <f aca="false">IF(A2820="","",IF(COUNTIFS($C$2:$C$5001,C2820,$J$2:$J$5001,J2820,$A$2:$A$5001,"&lt;"&amp;A2820)=0,1,0))</f>
        <v/>
      </c>
    </row>
    <row r="2821" customFormat="false" ht="15" hidden="false" customHeight="false" outlineLevel="0" collapsed="false">
      <c r="A2821" s="27"/>
      <c r="F2821" s="28"/>
      <c r="J2821" s="0" t="str">
        <f aca="false">IF(A2821="","",YEAR(A2821))</f>
        <v/>
      </c>
      <c r="K2821" s="0" t="str">
        <f aca="false">IF(A2821="","",MONTH(A2821))</f>
        <v/>
      </c>
      <c r="L2821" s="0" t="str">
        <f aca="false">IF(B2821="","",VALUE(LEFT(B2821,2)))</f>
        <v/>
      </c>
      <c r="M2821" s="0" t="str">
        <f aca="false">IF(A2821="","",IF(COUNTIFS($C$2:$C$5001,C2821,$J$2:$J$5001,J2821,$A$2:$A$5001,"&lt;"&amp;A2821)=0,1,0))</f>
        <v/>
      </c>
    </row>
    <row r="2822" customFormat="false" ht="15" hidden="false" customHeight="false" outlineLevel="0" collapsed="false">
      <c r="A2822" s="27"/>
      <c r="F2822" s="28"/>
      <c r="J2822" s="0" t="str">
        <f aca="false">IF(A2822="","",YEAR(A2822))</f>
        <v/>
      </c>
      <c r="K2822" s="0" t="str">
        <f aca="false">IF(A2822="","",MONTH(A2822))</f>
        <v/>
      </c>
      <c r="L2822" s="0" t="str">
        <f aca="false">IF(B2822="","",VALUE(LEFT(B2822,2)))</f>
        <v/>
      </c>
      <c r="M2822" s="0" t="str">
        <f aca="false">IF(A2822="","",IF(COUNTIFS($C$2:$C$5001,C2822,$J$2:$J$5001,J2822,$A$2:$A$5001,"&lt;"&amp;A2822)=0,1,0))</f>
        <v/>
      </c>
    </row>
    <row r="2823" customFormat="false" ht="15" hidden="false" customHeight="false" outlineLevel="0" collapsed="false">
      <c r="A2823" s="27"/>
      <c r="F2823" s="28"/>
      <c r="J2823" s="0" t="str">
        <f aca="false">IF(A2823="","",YEAR(A2823))</f>
        <v/>
      </c>
      <c r="K2823" s="0" t="str">
        <f aca="false">IF(A2823="","",MONTH(A2823))</f>
        <v/>
      </c>
      <c r="L2823" s="0" t="str">
        <f aca="false">IF(B2823="","",VALUE(LEFT(B2823,2)))</f>
        <v/>
      </c>
      <c r="M2823" s="0" t="str">
        <f aca="false">IF(A2823="","",IF(COUNTIFS($C$2:$C$5001,C2823,$J$2:$J$5001,J2823,$A$2:$A$5001,"&lt;"&amp;A2823)=0,1,0))</f>
        <v/>
      </c>
    </row>
    <row r="2824" customFormat="false" ht="15" hidden="false" customHeight="false" outlineLevel="0" collapsed="false">
      <c r="A2824" s="27"/>
      <c r="F2824" s="28"/>
      <c r="J2824" s="0" t="str">
        <f aca="false">IF(A2824="","",YEAR(A2824))</f>
        <v/>
      </c>
      <c r="K2824" s="0" t="str">
        <f aca="false">IF(A2824="","",MONTH(A2824))</f>
        <v/>
      </c>
      <c r="L2824" s="0" t="str">
        <f aca="false">IF(B2824="","",VALUE(LEFT(B2824,2)))</f>
        <v/>
      </c>
      <c r="M2824" s="0" t="str">
        <f aca="false">IF(A2824="","",IF(COUNTIFS($C$2:$C$5001,C2824,$J$2:$J$5001,J2824,$A$2:$A$5001,"&lt;"&amp;A2824)=0,1,0))</f>
        <v/>
      </c>
    </row>
    <row r="2825" customFormat="false" ht="15" hidden="false" customHeight="false" outlineLevel="0" collapsed="false">
      <c r="A2825" s="27"/>
      <c r="F2825" s="28"/>
      <c r="J2825" s="0" t="str">
        <f aca="false">IF(A2825="","",YEAR(A2825))</f>
        <v/>
      </c>
      <c r="K2825" s="0" t="str">
        <f aca="false">IF(A2825="","",MONTH(A2825))</f>
        <v/>
      </c>
      <c r="L2825" s="0" t="str">
        <f aca="false">IF(B2825="","",VALUE(LEFT(B2825,2)))</f>
        <v/>
      </c>
      <c r="M2825" s="0" t="str">
        <f aca="false">IF(A2825="","",IF(COUNTIFS($C$2:$C$5001,C2825,$J$2:$J$5001,J2825,$A$2:$A$5001,"&lt;"&amp;A2825)=0,1,0))</f>
        <v/>
      </c>
    </row>
    <row r="2826" customFormat="false" ht="15" hidden="false" customHeight="false" outlineLevel="0" collapsed="false">
      <c r="A2826" s="27"/>
      <c r="F2826" s="28"/>
      <c r="J2826" s="0" t="str">
        <f aca="false">IF(A2826="","",YEAR(A2826))</f>
        <v/>
      </c>
      <c r="K2826" s="0" t="str">
        <f aca="false">IF(A2826="","",MONTH(A2826))</f>
        <v/>
      </c>
      <c r="L2826" s="0" t="str">
        <f aca="false">IF(B2826="","",VALUE(LEFT(B2826,2)))</f>
        <v/>
      </c>
      <c r="M2826" s="0" t="str">
        <f aca="false">IF(A2826="","",IF(COUNTIFS($C$2:$C$5001,C2826,$J$2:$J$5001,J2826,$A$2:$A$5001,"&lt;"&amp;A2826)=0,1,0))</f>
        <v/>
      </c>
    </row>
    <row r="2827" customFormat="false" ht="15" hidden="false" customHeight="false" outlineLevel="0" collapsed="false">
      <c r="A2827" s="27"/>
      <c r="F2827" s="28"/>
      <c r="J2827" s="0" t="str">
        <f aca="false">IF(A2827="","",YEAR(A2827))</f>
        <v/>
      </c>
      <c r="K2827" s="0" t="str">
        <f aca="false">IF(A2827="","",MONTH(A2827))</f>
        <v/>
      </c>
      <c r="L2827" s="0" t="str">
        <f aca="false">IF(B2827="","",VALUE(LEFT(B2827,2)))</f>
        <v/>
      </c>
      <c r="M2827" s="0" t="str">
        <f aca="false">IF(A2827="","",IF(COUNTIFS($C$2:$C$5001,C2827,$J$2:$J$5001,J2827,$A$2:$A$5001,"&lt;"&amp;A2827)=0,1,0))</f>
        <v/>
      </c>
    </row>
    <row r="2828" customFormat="false" ht="15" hidden="false" customHeight="false" outlineLevel="0" collapsed="false">
      <c r="A2828" s="27"/>
      <c r="F2828" s="28"/>
      <c r="J2828" s="0" t="str">
        <f aca="false">IF(A2828="","",YEAR(A2828))</f>
        <v/>
      </c>
      <c r="K2828" s="0" t="str">
        <f aca="false">IF(A2828="","",MONTH(A2828))</f>
        <v/>
      </c>
      <c r="L2828" s="0" t="str">
        <f aca="false">IF(B2828="","",VALUE(LEFT(B2828,2)))</f>
        <v/>
      </c>
      <c r="M2828" s="0" t="str">
        <f aca="false">IF(A2828="","",IF(COUNTIFS($C$2:$C$5001,C2828,$J$2:$J$5001,J2828,$A$2:$A$5001,"&lt;"&amp;A2828)=0,1,0))</f>
        <v/>
      </c>
    </row>
    <row r="2829" customFormat="false" ht="15" hidden="false" customHeight="false" outlineLevel="0" collapsed="false">
      <c r="A2829" s="27"/>
      <c r="F2829" s="28"/>
      <c r="J2829" s="0" t="str">
        <f aca="false">IF(A2829="","",YEAR(A2829))</f>
        <v/>
      </c>
      <c r="K2829" s="0" t="str">
        <f aca="false">IF(A2829="","",MONTH(A2829))</f>
        <v/>
      </c>
      <c r="L2829" s="0" t="str">
        <f aca="false">IF(B2829="","",VALUE(LEFT(B2829,2)))</f>
        <v/>
      </c>
      <c r="M2829" s="0" t="str">
        <f aca="false">IF(A2829="","",IF(COUNTIFS($C$2:$C$5001,C2829,$J$2:$J$5001,J2829,$A$2:$A$5001,"&lt;"&amp;A2829)=0,1,0))</f>
        <v/>
      </c>
    </row>
    <row r="2830" customFormat="false" ht="15" hidden="false" customHeight="false" outlineLevel="0" collapsed="false">
      <c r="A2830" s="27"/>
      <c r="F2830" s="28"/>
      <c r="J2830" s="0" t="str">
        <f aca="false">IF(A2830="","",YEAR(A2830))</f>
        <v/>
      </c>
      <c r="K2830" s="0" t="str">
        <f aca="false">IF(A2830="","",MONTH(A2830))</f>
        <v/>
      </c>
      <c r="L2830" s="0" t="str">
        <f aca="false">IF(B2830="","",VALUE(LEFT(B2830,2)))</f>
        <v/>
      </c>
      <c r="M2830" s="0" t="str">
        <f aca="false">IF(A2830="","",IF(COUNTIFS($C$2:$C$5001,C2830,$J$2:$J$5001,J2830,$A$2:$A$5001,"&lt;"&amp;A2830)=0,1,0))</f>
        <v/>
      </c>
    </row>
    <row r="2831" customFormat="false" ht="15" hidden="false" customHeight="false" outlineLevel="0" collapsed="false">
      <c r="A2831" s="27"/>
      <c r="F2831" s="28"/>
      <c r="J2831" s="0" t="str">
        <f aca="false">IF(A2831="","",YEAR(A2831))</f>
        <v/>
      </c>
      <c r="K2831" s="0" t="str">
        <f aca="false">IF(A2831="","",MONTH(A2831))</f>
        <v/>
      </c>
      <c r="L2831" s="0" t="str">
        <f aca="false">IF(B2831="","",VALUE(LEFT(B2831,2)))</f>
        <v/>
      </c>
      <c r="M2831" s="0" t="str">
        <f aca="false">IF(A2831="","",IF(COUNTIFS($C$2:$C$5001,C2831,$J$2:$J$5001,J2831,$A$2:$A$5001,"&lt;"&amp;A2831)=0,1,0))</f>
        <v/>
      </c>
    </row>
    <row r="2832" customFormat="false" ht="15" hidden="false" customHeight="false" outlineLevel="0" collapsed="false">
      <c r="A2832" s="27"/>
      <c r="F2832" s="28"/>
      <c r="J2832" s="0" t="str">
        <f aca="false">IF(A2832="","",YEAR(A2832))</f>
        <v/>
      </c>
      <c r="K2832" s="0" t="str">
        <f aca="false">IF(A2832="","",MONTH(A2832))</f>
        <v/>
      </c>
      <c r="L2832" s="0" t="str">
        <f aca="false">IF(B2832="","",VALUE(LEFT(B2832,2)))</f>
        <v/>
      </c>
      <c r="M2832" s="0" t="str">
        <f aca="false">IF(A2832="","",IF(COUNTIFS($C$2:$C$5001,C2832,$J$2:$J$5001,J2832,$A$2:$A$5001,"&lt;"&amp;A2832)=0,1,0))</f>
        <v/>
      </c>
    </row>
    <row r="2833" customFormat="false" ht="15" hidden="false" customHeight="false" outlineLevel="0" collapsed="false">
      <c r="A2833" s="27"/>
      <c r="F2833" s="28"/>
      <c r="J2833" s="0" t="str">
        <f aca="false">IF(A2833="","",YEAR(A2833))</f>
        <v/>
      </c>
      <c r="K2833" s="0" t="str">
        <f aca="false">IF(A2833="","",MONTH(A2833))</f>
        <v/>
      </c>
      <c r="L2833" s="0" t="str">
        <f aca="false">IF(B2833="","",VALUE(LEFT(B2833,2)))</f>
        <v/>
      </c>
      <c r="M2833" s="0" t="str">
        <f aca="false">IF(A2833="","",IF(COUNTIFS($C$2:$C$5001,C2833,$J$2:$J$5001,J2833,$A$2:$A$5001,"&lt;"&amp;A2833)=0,1,0))</f>
        <v/>
      </c>
    </row>
    <row r="2834" customFormat="false" ht="15" hidden="false" customHeight="false" outlineLevel="0" collapsed="false">
      <c r="A2834" s="27"/>
      <c r="F2834" s="28"/>
      <c r="J2834" s="0" t="str">
        <f aca="false">IF(A2834="","",YEAR(A2834))</f>
        <v/>
      </c>
      <c r="K2834" s="0" t="str">
        <f aca="false">IF(A2834="","",MONTH(A2834))</f>
        <v/>
      </c>
      <c r="L2834" s="0" t="str">
        <f aca="false">IF(B2834="","",VALUE(LEFT(B2834,2)))</f>
        <v/>
      </c>
      <c r="M2834" s="0" t="str">
        <f aca="false">IF(A2834="","",IF(COUNTIFS($C$2:$C$5001,C2834,$J$2:$J$5001,J2834,$A$2:$A$5001,"&lt;"&amp;A2834)=0,1,0))</f>
        <v/>
      </c>
    </row>
    <row r="2835" customFormat="false" ht="15" hidden="false" customHeight="false" outlineLevel="0" collapsed="false">
      <c r="A2835" s="27"/>
      <c r="F2835" s="28"/>
      <c r="J2835" s="0" t="str">
        <f aca="false">IF(A2835="","",YEAR(A2835))</f>
        <v/>
      </c>
      <c r="K2835" s="0" t="str">
        <f aca="false">IF(A2835="","",MONTH(A2835))</f>
        <v/>
      </c>
      <c r="L2835" s="0" t="str">
        <f aca="false">IF(B2835="","",VALUE(LEFT(B2835,2)))</f>
        <v/>
      </c>
      <c r="M2835" s="0" t="str">
        <f aca="false">IF(A2835="","",IF(COUNTIFS($C$2:$C$5001,C2835,$J$2:$J$5001,J2835,$A$2:$A$5001,"&lt;"&amp;A2835)=0,1,0))</f>
        <v/>
      </c>
    </row>
    <row r="2836" customFormat="false" ht="15" hidden="false" customHeight="false" outlineLevel="0" collapsed="false">
      <c r="A2836" s="27"/>
      <c r="F2836" s="28"/>
      <c r="J2836" s="0" t="str">
        <f aca="false">IF(A2836="","",YEAR(A2836))</f>
        <v/>
      </c>
      <c r="K2836" s="0" t="str">
        <f aca="false">IF(A2836="","",MONTH(A2836))</f>
        <v/>
      </c>
      <c r="L2836" s="0" t="str">
        <f aca="false">IF(B2836="","",VALUE(LEFT(B2836,2)))</f>
        <v/>
      </c>
      <c r="M2836" s="0" t="str">
        <f aca="false">IF(A2836="","",IF(COUNTIFS($C$2:$C$5001,C2836,$J$2:$J$5001,J2836,$A$2:$A$5001,"&lt;"&amp;A2836)=0,1,0))</f>
        <v/>
      </c>
    </row>
    <row r="2837" customFormat="false" ht="15" hidden="false" customHeight="false" outlineLevel="0" collapsed="false">
      <c r="A2837" s="27"/>
      <c r="F2837" s="28"/>
      <c r="J2837" s="0" t="str">
        <f aca="false">IF(A2837="","",YEAR(A2837))</f>
        <v/>
      </c>
      <c r="K2837" s="0" t="str">
        <f aca="false">IF(A2837="","",MONTH(A2837))</f>
        <v/>
      </c>
      <c r="L2837" s="0" t="str">
        <f aca="false">IF(B2837="","",VALUE(LEFT(B2837,2)))</f>
        <v/>
      </c>
      <c r="M2837" s="0" t="str">
        <f aca="false">IF(A2837="","",IF(COUNTIFS($C$2:$C$5001,C2837,$J$2:$J$5001,J2837,$A$2:$A$5001,"&lt;"&amp;A2837)=0,1,0))</f>
        <v/>
      </c>
    </row>
    <row r="2838" customFormat="false" ht="15" hidden="false" customHeight="false" outlineLevel="0" collapsed="false">
      <c r="A2838" s="27"/>
      <c r="F2838" s="28"/>
      <c r="J2838" s="0" t="str">
        <f aca="false">IF(A2838="","",YEAR(A2838))</f>
        <v/>
      </c>
      <c r="K2838" s="0" t="str">
        <f aca="false">IF(A2838="","",MONTH(A2838))</f>
        <v/>
      </c>
      <c r="L2838" s="0" t="str">
        <f aca="false">IF(B2838="","",VALUE(LEFT(B2838,2)))</f>
        <v/>
      </c>
      <c r="M2838" s="0" t="str">
        <f aca="false">IF(A2838="","",IF(COUNTIFS($C$2:$C$5001,C2838,$J$2:$J$5001,J2838,$A$2:$A$5001,"&lt;"&amp;A2838)=0,1,0))</f>
        <v/>
      </c>
    </row>
    <row r="2839" customFormat="false" ht="15" hidden="false" customHeight="false" outlineLevel="0" collapsed="false">
      <c r="A2839" s="27"/>
      <c r="F2839" s="28"/>
      <c r="J2839" s="0" t="str">
        <f aca="false">IF(A2839="","",YEAR(A2839))</f>
        <v/>
      </c>
      <c r="K2839" s="0" t="str">
        <f aca="false">IF(A2839="","",MONTH(A2839))</f>
        <v/>
      </c>
      <c r="L2839" s="0" t="str">
        <f aca="false">IF(B2839="","",VALUE(LEFT(B2839,2)))</f>
        <v/>
      </c>
      <c r="M2839" s="0" t="str">
        <f aca="false">IF(A2839="","",IF(COUNTIFS($C$2:$C$5001,C2839,$J$2:$J$5001,J2839,$A$2:$A$5001,"&lt;"&amp;A2839)=0,1,0))</f>
        <v/>
      </c>
    </row>
    <row r="2840" customFormat="false" ht="15" hidden="false" customHeight="false" outlineLevel="0" collapsed="false">
      <c r="A2840" s="27"/>
      <c r="F2840" s="28"/>
      <c r="J2840" s="0" t="str">
        <f aca="false">IF(A2840="","",YEAR(A2840))</f>
        <v/>
      </c>
      <c r="K2840" s="0" t="str">
        <f aca="false">IF(A2840="","",MONTH(A2840))</f>
        <v/>
      </c>
      <c r="L2840" s="0" t="str">
        <f aca="false">IF(B2840="","",VALUE(LEFT(B2840,2)))</f>
        <v/>
      </c>
      <c r="M2840" s="0" t="str">
        <f aca="false">IF(A2840="","",IF(COUNTIFS($C$2:$C$5001,C2840,$J$2:$J$5001,J2840,$A$2:$A$5001,"&lt;"&amp;A2840)=0,1,0))</f>
        <v/>
      </c>
    </row>
    <row r="2841" customFormat="false" ht="15" hidden="false" customHeight="false" outlineLevel="0" collapsed="false">
      <c r="A2841" s="27"/>
      <c r="F2841" s="28"/>
      <c r="J2841" s="0" t="str">
        <f aca="false">IF(A2841="","",YEAR(A2841))</f>
        <v/>
      </c>
      <c r="K2841" s="0" t="str">
        <f aca="false">IF(A2841="","",MONTH(A2841))</f>
        <v/>
      </c>
      <c r="L2841" s="0" t="str">
        <f aca="false">IF(B2841="","",VALUE(LEFT(B2841,2)))</f>
        <v/>
      </c>
      <c r="M2841" s="0" t="str">
        <f aca="false">IF(A2841="","",IF(COUNTIFS($C$2:$C$5001,C2841,$J$2:$J$5001,J2841,$A$2:$A$5001,"&lt;"&amp;A2841)=0,1,0))</f>
        <v/>
      </c>
    </row>
    <row r="2842" customFormat="false" ht="15" hidden="false" customHeight="false" outlineLevel="0" collapsed="false">
      <c r="A2842" s="27"/>
      <c r="F2842" s="28"/>
      <c r="J2842" s="0" t="str">
        <f aca="false">IF(A2842="","",YEAR(A2842))</f>
        <v/>
      </c>
      <c r="K2842" s="0" t="str">
        <f aca="false">IF(A2842="","",MONTH(A2842))</f>
        <v/>
      </c>
      <c r="L2842" s="0" t="str">
        <f aca="false">IF(B2842="","",VALUE(LEFT(B2842,2)))</f>
        <v/>
      </c>
      <c r="M2842" s="0" t="str">
        <f aca="false">IF(A2842="","",IF(COUNTIFS($C$2:$C$5001,C2842,$J$2:$J$5001,J2842,$A$2:$A$5001,"&lt;"&amp;A2842)=0,1,0))</f>
        <v/>
      </c>
    </row>
    <row r="2843" customFormat="false" ht="15" hidden="false" customHeight="false" outlineLevel="0" collapsed="false">
      <c r="A2843" s="27"/>
      <c r="F2843" s="28"/>
      <c r="J2843" s="0" t="str">
        <f aca="false">IF(A2843="","",YEAR(A2843))</f>
        <v/>
      </c>
      <c r="K2843" s="0" t="str">
        <f aca="false">IF(A2843="","",MONTH(A2843))</f>
        <v/>
      </c>
      <c r="L2843" s="0" t="str">
        <f aca="false">IF(B2843="","",VALUE(LEFT(B2843,2)))</f>
        <v/>
      </c>
      <c r="M2843" s="0" t="str">
        <f aca="false">IF(A2843="","",IF(COUNTIFS($C$2:$C$5001,C2843,$J$2:$J$5001,J2843,$A$2:$A$5001,"&lt;"&amp;A2843)=0,1,0))</f>
        <v/>
      </c>
    </row>
    <row r="2844" customFormat="false" ht="15" hidden="false" customHeight="false" outlineLevel="0" collapsed="false">
      <c r="A2844" s="27"/>
      <c r="F2844" s="28"/>
      <c r="J2844" s="0" t="str">
        <f aca="false">IF(A2844="","",YEAR(A2844))</f>
        <v/>
      </c>
      <c r="K2844" s="0" t="str">
        <f aca="false">IF(A2844="","",MONTH(A2844))</f>
        <v/>
      </c>
      <c r="L2844" s="0" t="str">
        <f aca="false">IF(B2844="","",VALUE(LEFT(B2844,2)))</f>
        <v/>
      </c>
      <c r="M2844" s="0" t="str">
        <f aca="false">IF(A2844="","",IF(COUNTIFS($C$2:$C$5001,C2844,$J$2:$J$5001,J2844,$A$2:$A$5001,"&lt;"&amp;A2844)=0,1,0))</f>
        <v/>
      </c>
    </row>
    <row r="2845" customFormat="false" ht="15" hidden="false" customHeight="false" outlineLevel="0" collapsed="false">
      <c r="A2845" s="27"/>
      <c r="F2845" s="28"/>
      <c r="J2845" s="0" t="str">
        <f aca="false">IF(A2845="","",YEAR(A2845))</f>
        <v/>
      </c>
      <c r="K2845" s="0" t="str">
        <f aca="false">IF(A2845="","",MONTH(A2845))</f>
        <v/>
      </c>
      <c r="L2845" s="0" t="str">
        <f aca="false">IF(B2845="","",VALUE(LEFT(B2845,2)))</f>
        <v/>
      </c>
      <c r="M2845" s="0" t="str">
        <f aca="false">IF(A2845="","",IF(COUNTIFS($C$2:$C$5001,C2845,$J$2:$J$5001,J2845,$A$2:$A$5001,"&lt;"&amp;A2845)=0,1,0))</f>
        <v/>
      </c>
    </row>
    <row r="2846" customFormat="false" ht="15" hidden="false" customHeight="false" outlineLevel="0" collapsed="false">
      <c r="A2846" s="27"/>
      <c r="F2846" s="28"/>
      <c r="J2846" s="0" t="str">
        <f aca="false">IF(A2846="","",YEAR(A2846))</f>
        <v/>
      </c>
      <c r="K2846" s="0" t="str">
        <f aca="false">IF(A2846="","",MONTH(A2846))</f>
        <v/>
      </c>
      <c r="L2846" s="0" t="str">
        <f aca="false">IF(B2846="","",VALUE(LEFT(B2846,2)))</f>
        <v/>
      </c>
      <c r="M2846" s="0" t="str">
        <f aca="false">IF(A2846="","",IF(COUNTIFS($C$2:$C$5001,C2846,$J$2:$J$5001,J2846,$A$2:$A$5001,"&lt;"&amp;A2846)=0,1,0))</f>
        <v/>
      </c>
    </row>
    <row r="2847" customFormat="false" ht="15" hidden="false" customHeight="false" outlineLevel="0" collapsed="false">
      <c r="A2847" s="27"/>
      <c r="F2847" s="28"/>
      <c r="J2847" s="0" t="str">
        <f aca="false">IF(A2847="","",YEAR(A2847))</f>
        <v/>
      </c>
      <c r="K2847" s="0" t="str">
        <f aca="false">IF(A2847="","",MONTH(A2847))</f>
        <v/>
      </c>
      <c r="L2847" s="0" t="str">
        <f aca="false">IF(B2847="","",VALUE(LEFT(B2847,2)))</f>
        <v/>
      </c>
      <c r="M2847" s="0" t="str">
        <f aca="false">IF(A2847="","",IF(COUNTIFS($C$2:$C$5001,C2847,$J$2:$J$5001,J2847,$A$2:$A$5001,"&lt;"&amp;A2847)=0,1,0))</f>
        <v/>
      </c>
    </row>
    <row r="2848" customFormat="false" ht="15" hidden="false" customHeight="false" outlineLevel="0" collapsed="false">
      <c r="A2848" s="27"/>
      <c r="F2848" s="28"/>
      <c r="J2848" s="0" t="str">
        <f aca="false">IF(A2848="","",YEAR(A2848))</f>
        <v/>
      </c>
      <c r="K2848" s="0" t="str">
        <f aca="false">IF(A2848="","",MONTH(A2848))</f>
        <v/>
      </c>
      <c r="L2848" s="0" t="str">
        <f aca="false">IF(B2848="","",VALUE(LEFT(B2848,2)))</f>
        <v/>
      </c>
      <c r="M2848" s="0" t="str">
        <f aca="false">IF(A2848="","",IF(COUNTIFS($C$2:$C$5001,C2848,$J$2:$J$5001,J2848,$A$2:$A$5001,"&lt;"&amp;A2848)=0,1,0))</f>
        <v/>
      </c>
    </row>
    <row r="2849" customFormat="false" ht="15" hidden="false" customHeight="false" outlineLevel="0" collapsed="false">
      <c r="A2849" s="27"/>
      <c r="F2849" s="28"/>
      <c r="J2849" s="0" t="str">
        <f aca="false">IF(A2849="","",YEAR(A2849))</f>
        <v/>
      </c>
      <c r="K2849" s="0" t="str">
        <f aca="false">IF(A2849="","",MONTH(A2849))</f>
        <v/>
      </c>
      <c r="L2849" s="0" t="str">
        <f aca="false">IF(B2849="","",VALUE(LEFT(B2849,2)))</f>
        <v/>
      </c>
      <c r="M2849" s="0" t="str">
        <f aca="false">IF(A2849="","",IF(COUNTIFS($C$2:$C$5001,C2849,$J$2:$J$5001,J2849,$A$2:$A$5001,"&lt;"&amp;A2849)=0,1,0))</f>
        <v/>
      </c>
    </row>
    <row r="2850" customFormat="false" ht="15" hidden="false" customHeight="false" outlineLevel="0" collapsed="false">
      <c r="A2850" s="27"/>
      <c r="F2850" s="28"/>
      <c r="J2850" s="0" t="str">
        <f aca="false">IF(A2850="","",YEAR(A2850))</f>
        <v/>
      </c>
      <c r="K2850" s="0" t="str">
        <f aca="false">IF(A2850="","",MONTH(A2850))</f>
        <v/>
      </c>
      <c r="L2850" s="0" t="str">
        <f aca="false">IF(B2850="","",VALUE(LEFT(B2850,2)))</f>
        <v/>
      </c>
      <c r="M2850" s="0" t="str">
        <f aca="false">IF(A2850="","",IF(COUNTIFS($C$2:$C$5001,C2850,$J$2:$J$5001,J2850,$A$2:$A$5001,"&lt;"&amp;A2850)=0,1,0))</f>
        <v/>
      </c>
    </row>
    <row r="2851" customFormat="false" ht="15" hidden="false" customHeight="false" outlineLevel="0" collapsed="false">
      <c r="A2851" s="27"/>
      <c r="F2851" s="28"/>
      <c r="J2851" s="0" t="str">
        <f aca="false">IF(A2851="","",YEAR(A2851))</f>
        <v/>
      </c>
      <c r="K2851" s="0" t="str">
        <f aca="false">IF(A2851="","",MONTH(A2851))</f>
        <v/>
      </c>
      <c r="L2851" s="0" t="str">
        <f aca="false">IF(B2851="","",VALUE(LEFT(B2851,2)))</f>
        <v/>
      </c>
      <c r="M2851" s="0" t="str">
        <f aca="false">IF(A2851="","",IF(COUNTIFS($C$2:$C$5001,C2851,$J$2:$J$5001,J2851,$A$2:$A$5001,"&lt;"&amp;A2851)=0,1,0))</f>
        <v/>
      </c>
    </row>
    <row r="2852" customFormat="false" ht="15" hidden="false" customHeight="false" outlineLevel="0" collapsed="false">
      <c r="A2852" s="27"/>
      <c r="F2852" s="28"/>
      <c r="J2852" s="0" t="str">
        <f aca="false">IF(A2852="","",YEAR(A2852))</f>
        <v/>
      </c>
      <c r="K2852" s="0" t="str">
        <f aca="false">IF(A2852="","",MONTH(A2852))</f>
        <v/>
      </c>
      <c r="L2852" s="0" t="str">
        <f aca="false">IF(B2852="","",VALUE(LEFT(B2852,2)))</f>
        <v/>
      </c>
      <c r="M2852" s="0" t="str">
        <f aca="false">IF(A2852="","",IF(COUNTIFS($C$2:$C$5001,C2852,$J$2:$J$5001,J2852,$A$2:$A$5001,"&lt;"&amp;A2852)=0,1,0))</f>
        <v/>
      </c>
    </row>
    <row r="2853" customFormat="false" ht="15" hidden="false" customHeight="false" outlineLevel="0" collapsed="false">
      <c r="A2853" s="27"/>
      <c r="F2853" s="28"/>
      <c r="J2853" s="0" t="str">
        <f aca="false">IF(A2853="","",YEAR(A2853))</f>
        <v/>
      </c>
      <c r="K2853" s="0" t="str">
        <f aca="false">IF(A2853="","",MONTH(A2853))</f>
        <v/>
      </c>
      <c r="L2853" s="0" t="str">
        <f aca="false">IF(B2853="","",VALUE(LEFT(B2853,2)))</f>
        <v/>
      </c>
      <c r="M2853" s="0" t="str">
        <f aca="false">IF(A2853="","",IF(COUNTIFS($C$2:$C$5001,C2853,$J$2:$J$5001,J2853,$A$2:$A$5001,"&lt;"&amp;A2853)=0,1,0))</f>
        <v/>
      </c>
    </row>
    <row r="2854" customFormat="false" ht="15" hidden="false" customHeight="false" outlineLevel="0" collapsed="false">
      <c r="A2854" s="27"/>
      <c r="F2854" s="28"/>
      <c r="J2854" s="0" t="str">
        <f aca="false">IF(A2854="","",YEAR(A2854))</f>
        <v/>
      </c>
      <c r="K2854" s="0" t="str">
        <f aca="false">IF(A2854="","",MONTH(A2854))</f>
        <v/>
      </c>
      <c r="L2854" s="0" t="str">
        <f aca="false">IF(B2854="","",VALUE(LEFT(B2854,2)))</f>
        <v/>
      </c>
      <c r="M2854" s="0" t="str">
        <f aca="false">IF(A2854="","",IF(COUNTIFS($C$2:$C$5001,C2854,$J$2:$J$5001,J2854,$A$2:$A$5001,"&lt;"&amp;A2854)=0,1,0))</f>
        <v/>
      </c>
    </row>
    <row r="2855" customFormat="false" ht="15" hidden="false" customHeight="false" outlineLevel="0" collapsed="false">
      <c r="A2855" s="27"/>
      <c r="F2855" s="28"/>
      <c r="J2855" s="0" t="str">
        <f aca="false">IF(A2855="","",YEAR(A2855))</f>
        <v/>
      </c>
      <c r="K2855" s="0" t="str">
        <f aca="false">IF(A2855="","",MONTH(A2855))</f>
        <v/>
      </c>
      <c r="L2855" s="0" t="str">
        <f aca="false">IF(B2855="","",VALUE(LEFT(B2855,2)))</f>
        <v/>
      </c>
      <c r="M2855" s="0" t="str">
        <f aca="false">IF(A2855="","",IF(COUNTIFS($C$2:$C$5001,C2855,$J$2:$J$5001,J2855,$A$2:$A$5001,"&lt;"&amp;A2855)=0,1,0))</f>
        <v/>
      </c>
    </row>
    <row r="2856" customFormat="false" ht="15" hidden="false" customHeight="false" outlineLevel="0" collapsed="false">
      <c r="A2856" s="27"/>
      <c r="F2856" s="28"/>
      <c r="J2856" s="0" t="str">
        <f aca="false">IF(A2856="","",YEAR(A2856))</f>
        <v/>
      </c>
      <c r="K2856" s="0" t="str">
        <f aca="false">IF(A2856="","",MONTH(A2856))</f>
        <v/>
      </c>
      <c r="L2856" s="0" t="str">
        <f aca="false">IF(B2856="","",VALUE(LEFT(B2856,2)))</f>
        <v/>
      </c>
      <c r="M2856" s="0" t="str">
        <f aca="false">IF(A2856="","",IF(COUNTIFS($C$2:$C$5001,C2856,$J$2:$J$5001,J2856,$A$2:$A$5001,"&lt;"&amp;A2856)=0,1,0))</f>
        <v/>
      </c>
    </row>
    <row r="2857" customFormat="false" ht="15" hidden="false" customHeight="false" outlineLevel="0" collapsed="false">
      <c r="A2857" s="27"/>
      <c r="F2857" s="28"/>
      <c r="J2857" s="0" t="str">
        <f aca="false">IF(A2857="","",YEAR(A2857))</f>
        <v/>
      </c>
      <c r="K2857" s="0" t="str">
        <f aca="false">IF(A2857="","",MONTH(A2857))</f>
        <v/>
      </c>
      <c r="L2857" s="0" t="str">
        <f aca="false">IF(B2857="","",VALUE(LEFT(B2857,2)))</f>
        <v/>
      </c>
      <c r="M2857" s="0" t="str">
        <f aca="false">IF(A2857="","",IF(COUNTIFS($C$2:$C$5001,C2857,$J$2:$J$5001,J2857,$A$2:$A$5001,"&lt;"&amp;A2857)=0,1,0))</f>
        <v/>
      </c>
    </row>
    <row r="2858" customFormat="false" ht="15" hidden="false" customHeight="false" outlineLevel="0" collapsed="false">
      <c r="A2858" s="27"/>
      <c r="F2858" s="28"/>
      <c r="J2858" s="0" t="str">
        <f aca="false">IF(A2858="","",YEAR(A2858))</f>
        <v/>
      </c>
      <c r="K2858" s="0" t="str">
        <f aca="false">IF(A2858="","",MONTH(A2858))</f>
        <v/>
      </c>
      <c r="L2858" s="0" t="str">
        <f aca="false">IF(B2858="","",VALUE(LEFT(B2858,2)))</f>
        <v/>
      </c>
      <c r="M2858" s="0" t="str">
        <f aca="false">IF(A2858="","",IF(COUNTIFS($C$2:$C$5001,C2858,$J$2:$J$5001,J2858,$A$2:$A$5001,"&lt;"&amp;A2858)=0,1,0))</f>
        <v/>
      </c>
    </row>
    <row r="2859" customFormat="false" ht="15" hidden="false" customHeight="false" outlineLevel="0" collapsed="false">
      <c r="A2859" s="27"/>
      <c r="F2859" s="28"/>
      <c r="J2859" s="0" t="str">
        <f aca="false">IF(A2859="","",YEAR(A2859))</f>
        <v/>
      </c>
      <c r="K2859" s="0" t="str">
        <f aca="false">IF(A2859="","",MONTH(A2859))</f>
        <v/>
      </c>
      <c r="L2859" s="0" t="str">
        <f aca="false">IF(B2859="","",VALUE(LEFT(B2859,2)))</f>
        <v/>
      </c>
      <c r="M2859" s="0" t="str">
        <f aca="false">IF(A2859="","",IF(COUNTIFS($C$2:$C$5001,C2859,$J$2:$J$5001,J2859,$A$2:$A$5001,"&lt;"&amp;A2859)=0,1,0))</f>
        <v/>
      </c>
    </row>
    <row r="2860" customFormat="false" ht="15" hidden="false" customHeight="false" outlineLevel="0" collapsed="false">
      <c r="A2860" s="27"/>
      <c r="F2860" s="28"/>
      <c r="J2860" s="0" t="str">
        <f aca="false">IF(A2860="","",YEAR(A2860))</f>
        <v/>
      </c>
      <c r="K2860" s="0" t="str">
        <f aca="false">IF(A2860="","",MONTH(A2860))</f>
        <v/>
      </c>
      <c r="L2860" s="0" t="str">
        <f aca="false">IF(B2860="","",VALUE(LEFT(B2860,2)))</f>
        <v/>
      </c>
      <c r="M2860" s="0" t="str">
        <f aca="false">IF(A2860="","",IF(COUNTIFS($C$2:$C$5001,C2860,$J$2:$J$5001,J2860,$A$2:$A$5001,"&lt;"&amp;A2860)=0,1,0))</f>
        <v/>
      </c>
    </row>
    <row r="2861" customFormat="false" ht="15" hidden="false" customHeight="false" outlineLevel="0" collapsed="false">
      <c r="A2861" s="27"/>
      <c r="F2861" s="28"/>
      <c r="J2861" s="0" t="str">
        <f aca="false">IF(A2861="","",YEAR(A2861))</f>
        <v/>
      </c>
      <c r="K2861" s="0" t="str">
        <f aca="false">IF(A2861="","",MONTH(A2861))</f>
        <v/>
      </c>
      <c r="L2861" s="0" t="str">
        <f aca="false">IF(B2861="","",VALUE(LEFT(B2861,2)))</f>
        <v/>
      </c>
      <c r="M2861" s="0" t="str">
        <f aca="false">IF(A2861="","",IF(COUNTIFS($C$2:$C$5001,C2861,$J$2:$J$5001,J2861,$A$2:$A$5001,"&lt;"&amp;A2861)=0,1,0))</f>
        <v/>
      </c>
    </row>
    <row r="2862" customFormat="false" ht="15" hidden="false" customHeight="false" outlineLevel="0" collapsed="false">
      <c r="A2862" s="27"/>
      <c r="F2862" s="28"/>
      <c r="J2862" s="0" t="str">
        <f aca="false">IF(A2862="","",YEAR(A2862))</f>
        <v/>
      </c>
      <c r="K2862" s="0" t="str">
        <f aca="false">IF(A2862="","",MONTH(A2862))</f>
        <v/>
      </c>
      <c r="L2862" s="0" t="str">
        <f aca="false">IF(B2862="","",VALUE(LEFT(B2862,2)))</f>
        <v/>
      </c>
      <c r="M2862" s="0" t="str">
        <f aca="false">IF(A2862="","",IF(COUNTIFS($C$2:$C$5001,C2862,$J$2:$J$5001,J2862,$A$2:$A$5001,"&lt;"&amp;A2862)=0,1,0))</f>
        <v/>
      </c>
    </row>
    <row r="2863" customFormat="false" ht="15" hidden="false" customHeight="false" outlineLevel="0" collapsed="false">
      <c r="A2863" s="27"/>
      <c r="F2863" s="28"/>
      <c r="J2863" s="0" t="str">
        <f aca="false">IF(A2863="","",YEAR(A2863))</f>
        <v/>
      </c>
      <c r="K2863" s="0" t="str">
        <f aca="false">IF(A2863="","",MONTH(A2863))</f>
        <v/>
      </c>
      <c r="L2863" s="0" t="str">
        <f aca="false">IF(B2863="","",VALUE(LEFT(B2863,2)))</f>
        <v/>
      </c>
      <c r="M2863" s="0" t="str">
        <f aca="false">IF(A2863="","",IF(COUNTIFS($C$2:$C$5001,C2863,$J$2:$J$5001,J2863,$A$2:$A$5001,"&lt;"&amp;A2863)=0,1,0))</f>
        <v/>
      </c>
    </row>
    <row r="2864" customFormat="false" ht="15" hidden="false" customHeight="false" outlineLevel="0" collapsed="false">
      <c r="A2864" s="27"/>
      <c r="F2864" s="28"/>
      <c r="J2864" s="0" t="str">
        <f aca="false">IF(A2864="","",YEAR(A2864))</f>
        <v/>
      </c>
      <c r="K2864" s="0" t="str">
        <f aca="false">IF(A2864="","",MONTH(A2864))</f>
        <v/>
      </c>
      <c r="L2864" s="0" t="str">
        <f aca="false">IF(B2864="","",VALUE(LEFT(B2864,2)))</f>
        <v/>
      </c>
      <c r="M2864" s="0" t="str">
        <f aca="false">IF(A2864="","",IF(COUNTIFS($C$2:$C$5001,C2864,$J$2:$J$5001,J2864,$A$2:$A$5001,"&lt;"&amp;A2864)=0,1,0))</f>
        <v/>
      </c>
    </row>
    <row r="2865" customFormat="false" ht="15" hidden="false" customHeight="false" outlineLevel="0" collapsed="false">
      <c r="A2865" s="27"/>
      <c r="F2865" s="28"/>
      <c r="J2865" s="0" t="str">
        <f aca="false">IF(A2865="","",YEAR(A2865))</f>
        <v/>
      </c>
      <c r="K2865" s="0" t="str">
        <f aca="false">IF(A2865="","",MONTH(A2865))</f>
        <v/>
      </c>
      <c r="L2865" s="0" t="str">
        <f aca="false">IF(B2865="","",VALUE(LEFT(B2865,2)))</f>
        <v/>
      </c>
      <c r="M2865" s="0" t="str">
        <f aca="false">IF(A2865="","",IF(COUNTIFS($C$2:$C$5001,C2865,$J$2:$J$5001,J2865,$A$2:$A$5001,"&lt;"&amp;A2865)=0,1,0))</f>
        <v/>
      </c>
    </row>
    <row r="2866" customFormat="false" ht="15" hidden="false" customHeight="false" outlineLevel="0" collapsed="false">
      <c r="A2866" s="27"/>
      <c r="F2866" s="28"/>
      <c r="J2866" s="0" t="str">
        <f aca="false">IF(A2866="","",YEAR(A2866))</f>
        <v/>
      </c>
      <c r="K2866" s="0" t="str">
        <f aca="false">IF(A2866="","",MONTH(A2866))</f>
        <v/>
      </c>
      <c r="L2866" s="0" t="str">
        <f aca="false">IF(B2866="","",VALUE(LEFT(B2866,2)))</f>
        <v/>
      </c>
      <c r="M2866" s="0" t="str">
        <f aca="false">IF(A2866="","",IF(COUNTIFS($C$2:$C$5001,C2866,$J$2:$J$5001,J2866,$A$2:$A$5001,"&lt;"&amp;A2866)=0,1,0))</f>
        <v/>
      </c>
    </row>
    <row r="2867" customFormat="false" ht="15" hidden="false" customHeight="false" outlineLevel="0" collapsed="false">
      <c r="A2867" s="27"/>
      <c r="F2867" s="28"/>
      <c r="J2867" s="0" t="str">
        <f aca="false">IF(A2867="","",YEAR(A2867))</f>
        <v/>
      </c>
      <c r="K2867" s="0" t="str">
        <f aca="false">IF(A2867="","",MONTH(A2867))</f>
        <v/>
      </c>
      <c r="L2867" s="0" t="str">
        <f aca="false">IF(B2867="","",VALUE(LEFT(B2867,2)))</f>
        <v/>
      </c>
      <c r="M2867" s="0" t="str">
        <f aca="false">IF(A2867="","",IF(COUNTIFS($C$2:$C$5001,C2867,$J$2:$J$5001,J2867,$A$2:$A$5001,"&lt;"&amp;A2867)=0,1,0))</f>
        <v/>
      </c>
    </row>
    <row r="2868" customFormat="false" ht="15" hidden="false" customHeight="false" outlineLevel="0" collapsed="false">
      <c r="A2868" s="27"/>
      <c r="F2868" s="28"/>
      <c r="J2868" s="0" t="str">
        <f aca="false">IF(A2868="","",YEAR(A2868))</f>
        <v/>
      </c>
      <c r="K2868" s="0" t="str">
        <f aca="false">IF(A2868="","",MONTH(A2868))</f>
        <v/>
      </c>
      <c r="L2868" s="0" t="str">
        <f aca="false">IF(B2868="","",VALUE(LEFT(B2868,2)))</f>
        <v/>
      </c>
      <c r="M2868" s="0" t="str">
        <f aca="false">IF(A2868="","",IF(COUNTIFS($C$2:$C$5001,C2868,$J$2:$J$5001,J2868,$A$2:$A$5001,"&lt;"&amp;A2868)=0,1,0))</f>
        <v/>
      </c>
    </row>
    <row r="2869" customFormat="false" ht="15" hidden="false" customHeight="false" outlineLevel="0" collapsed="false">
      <c r="A2869" s="27"/>
      <c r="F2869" s="28"/>
      <c r="J2869" s="0" t="str">
        <f aca="false">IF(A2869="","",YEAR(A2869))</f>
        <v/>
      </c>
      <c r="K2869" s="0" t="str">
        <f aca="false">IF(A2869="","",MONTH(A2869))</f>
        <v/>
      </c>
      <c r="L2869" s="0" t="str">
        <f aca="false">IF(B2869="","",VALUE(LEFT(B2869,2)))</f>
        <v/>
      </c>
      <c r="M2869" s="0" t="str">
        <f aca="false">IF(A2869="","",IF(COUNTIFS($C$2:$C$5001,C2869,$J$2:$J$5001,J2869,$A$2:$A$5001,"&lt;"&amp;A2869)=0,1,0))</f>
        <v/>
      </c>
    </row>
    <row r="2870" customFormat="false" ht="15" hidden="false" customHeight="false" outlineLevel="0" collapsed="false">
      <c r="A2870" s="27"/>
      <c r="F2870" s="28"/>
      <c r="J2870" s="0" t="str">
        <f aca="false">IF(A2870="","",YEAR(A2870))</f>
        <v/>
      </c>
      <c r="K2870" s="0" t="str">
        <f aca="false">IF(A2870="","",MONTH(A2870))</f>
        <v/>
      </c>
      <c r="L2870" s="0" t="str">
        <f aca="false">IF(B2870="","",VALUE(LEFT(B2870,2)))</f>
        <v/>
      </c>
      <c r="M2870" s="0" t="str">
        <f aca="false">IF(A2870="","",IF(COUNTIFS($C$2:$C$5001,C2870,$J$2:$J$5001,J2870,$A$2:$A$5001,"&lt;"&amp;A2870)=0,1,0))</f>
        <v/>
      </c>
    </row>
    <row r="2871" customFormat="false" ht="15" hidden="false" customHeight="false" outlineLevel="0" collapsed="false">
      <c r="A2871" s="27"/>
      <c r="F2871" s="28"/>
      <c r="J2871" s="0" t="str">
        <f aca="false">IF(A2871="","",YEAR(A2871))</f>
        <v/>
      </c>
      <c r="K2871" s="0" t="str">
        <f aca="false">IF(A2871="","",MONTH(A2871))</f>
        <v/>
      </c>
      <c r="L2871" s="0" t="str">
        <f aca="false">IF(B2871="","",VALUE(LEFT(B2871,2)))</f>
        <v/>
      </c>
      <c r="M2871" s="0" t="str">
        <f aca="false">IF(A2871="","",IF(COUNTIFS($C$2:$C$5001,C2871,$J$2:$J$5001,J2871,$A$2:$A$5001,"&lt;"&amp;A2871)=0,1,0))</f>
        <v/>
      </c>
    </row>
    <row r="2872" customFormat="false" ht="15" hidden="false" customHeight="false" outlineLevel="0" collapsed="false">
      <c r="A2872" s="27"/>
      <c r="F2872" s="28"/>
      <c r="J2872" s="0" t="str">
        <f aca="false">IF(A2872="","",YEAR(A2872))</f>
        <v/>
      </c>
      <c r="K2872" s="0" t="str">
        <f aca="false">IF(A2872="","",MONTH(A2872))</f>
        <v/>
      </c>
      <c r="L2872" s="0" t="str">
        <f aca="false">IF(B2872="","",VALUE(LEFT(B2872,2)))</f>
        <v/>
      </c>
      <c r="M2872" s="0" t="str">
        <f aca="false">IF(A2872="","",IF(COUNTIFS($C$2:$C$5001,C2872,$J$2:$J$5001,J2872,$A$2:$A$5001,"&lt;"&amp;A2872)=0,1,0))</f>
        <v/>
      </c>
    </row>
    <row r="2873" customFormat="false" ht="15" hidden="false" customHeight="false" outlineLevel="0" collapsed="false">
      <c r="A2873" s="27"/>
      <c r="F2873" s="28"/>
      <c r="J2873" s="0" t="str">
        <f aca="false">IF(A2873="","",YEAR(A2873))</f>
        <v/>
      </c>
      <c r="K2873" s="0" t="str">
        <f aca="false">IF(A2873="","",MONTH(A2873))</f>
        <v/>
      </c>
      <c r="L2873" s="0" t="str">
        <f aca="false">IF(B2873="","",VALUE(LEFT(B2873,2)))</f>
        <v/>
      </c>
      <c r="M2873" s="0" t="str">
        <f aca="false">IF(A2873="","",IF(COUNTIFS($C$2:$C$5001,C2873,$J$2:$J$5001,J2873,$A$2:$A$5001,"&lt;"&amp;A2873)=0,1,0))</f>
        <v/>
      </c>
    </row>
    <row r="2874" customFormat="false" ht="15" hidden="false" customHeight="false" outlineLevel="0" collapsed="false">
      <c r="A2874" s="27"/>
      <c r="F2874" s="28"/>
      <c r="J2874" s="0" t="str">
        <f aca="false">IF(A2874="","",YEAR(A2874))</f>
        <v/>
      </c>
      <c r="K2874" s="0" t="str">
        <f aca="false">IF(A2874="","",MONTH(A2874))</f>
        <v/>
      </c>
      <c r="L2874" s="0" t="str">
        <f aca="false">IF(B2874="","",VALUE(LEFT(B2874,2)))</f>
        <v/>
      </c>
      <c r="M2874" s="0" t="str">
        <f aca="false">IF(A2874="","",IF(COUNTIFS($C$2:$C$5001,C2874,$J$2:$J$5001,J2874,$A$2:$A$5001,"&lt;"&amp;A2874)=0,1,0))</f>
        <v/>
      </c>
    </row>
    <row r="2875" customFormat="false" ht="15" hidden="false" customHeight="false" outlineLevel="0" collapsed="false">
      <c r="A2875" s="27"/>
      <c r="F2875" s="28"/>
      <c r="J2875" s="0" t="str">
        <f aca="false">IF(A2875="","",YEAR(A2875))</f>
        <v/>
      </c>
      <c r="K2875" s="0" t="str">
        <f aca="false">IF(A2875="","",MONTH(A2875))</f>
        <v/>
      </c>
      <c r="L2875" s="0" t="str">
        <f aca="false">IF(B2875="","",VALUE(LEFT(B2875,2)))</f>
        <v/>
      </c>
      <c r="M2875" s="0" t="str">
        <f aca="false">IF(A2875="","",IF(COUNTIFS($C$2:$C$5001,C2875,$J$2:$J$5001,J2875,$A$2:$A$5001,"&lt;"&amp;A2875)=0,1,0))</f>
        <v/>
      </c>
    </row>
    <row r="2876" customFormat="false" ht="15" hidden="false" customHeight="false" outlineLevel="0" collapsed="false">
      <c r="A2876" s="27"/>
      <c r="F2876" s="28"/>
      <c r="J2876" s="0" t="str">
        <f aca="false">IF(A2876="","",YEAR(A2876))</f>
        <v/>
      </c>
      <c r="K2876" s="0" t="str">
        <f aca="false">IF(A2876="","",MONTH(A2876))</f>
        <v/>
      </c>
      <c r="L2876" s="0" t="str">
        <f aca="false">IF(B2876="","",VALUE(LEFT(B2876,2)))</f>
        <v/>
      </c>
      <c r="M2876" s="0" t="str">
        <f aca="false">IF(A2876="","",IF(COUNTIFS($C$2:$C$5001,C2876,$J$2:$J$5001,J2876,$A$2:$A$5001,"&lt;"&amp;A2876)=0,1,0))</f>
        <v/>
      </c>
    </row>
    <row r="2877" customFormat="false" ht="15" hidden="false" customHeight="false" outlineLevel="0" collapsed="false">
      <c r="A2877" s="27"/>
      <c r="F2877" s="28"/>
      <c r="J2877" s="0" t="str">
        <f aca="false">IF(A2877="","",YEAR(A2877))</f>
        <v/>
      </c>
      <c r="K2877" s="0" t="str">
        <f aca="false">IF(A2877="","",MONTH(A2877))</f>
        <v/>
      </c>
      <c r="L2877" s="0" t="str">
        <f aca="false">IF(B2877="","",VALUE(LEFT(B2877,2)))</f>
        <v/>
      </c>
      <c r="M2877" s="0" t="str">
        <f aca="false">IF(A2877="","",IF(COUNTIFS($C$2:$C$5001,C2877,$J$2:$J$5001,J2877,$A$2:$A$5001,"&lt;"&amp;A2877)=0,1,0))</f>
        <v/>
      </c>
    </row>
    <row r="2878" customFormat="false" ht="15" hidden="false" customHeight="false" outlineLevel="0" collapsed="false">
      <c r="A2878" s="27"/>
      <c r="F2878" s="28"/>
      <c r="J2878" s="0" t="str">
        <f aca="false">IF(A2878="","",YEAR(A2878))</f>
        <v/>
      </c>
      <c r="K2878" s="0" t="str">
        <f aca="false">IF(A2878="","",MONTH(A2878))</f>
        <v/>
      </c>
      <c r="L2878" s="0" t="str">
        <f aca="false">IF(B2878="","",VALUE(LEFT(B2878,2)))</f>
        <v/>
      </c>
      <c r="M2878" s="0" t="str">
        <f aca="false">IF(A2878="","",IF(COUNTIFS($C$2:$C$5001,C2878,$J$2:$J$5001,J2878,$A$2:$A$5001,"&lt;"&amp;A2878)=0,1,0))</f>
        <v/>
      </c>
    </row>
    <row r="2879" customFormat="false" ht="15" hidden="false" customHeight="false" outlineLevel="0" collapsed="false">
      <c r="A2879" s="27"/>
      <c r="F2879" s="28"/>
      <c r="J2879" s="0" t="str">
        <f aca="false">IF(A2879="","",YEAR(A2879))</f>
        <v/>
      </c>
      <c r="K2879" s="0" t="str">
        <f aca="false">IF(A2879="","",MONTH(A2879))</f>
        <v/>
      </c>
      <c r="L2879" s="0" t="str">
        <f aca="false">IF(B2879="","",VALUE(LEFT(B2879,2)))</f>
        <v/>
      </c>
      <c r="M2879" s="0" t="str">
        <f aca="false">IF(A2879="","",IF(COUNTIFS($C$2:$C$5001,C2879,$J$2:$J$5001,J2879,$A$2:$A$5001,"&lt;"&amp;A2879)=0,1,0))</f>
        <v/>
      </c>
    </row>
    <row r="2880" customFormat="false" ht="15" hidden="false" customHeight="false" outlineLevel="0" collapsed="false">
      <c r="A2880" s="27"/>
      <c r="F2880" s="28"/>
      <c r="J2880" s="0" t="str">
        <f aca="false">IF(A2880="","",YEAR(A2880))</f>
        <v/>
      </c>
      <c r="K2880" s="0" t="str">
        <f aca="false">IF(A2880="","",MONTH(A2880))</f>
        <v/>
      </c>
      <c r="L2880" s="0" t="str">
        <f aca="false">IF(B2880="","",VALUE(LEFT(B2880,2)))</f>
        <v/>
      </c>
      <c r="M2880" s="0" t="str">
        <f aca="false">IF(A2880="","",IF(COUNTIFS($C$2:$C$5001,C2880,$J$2:$J$5001,J2880,$A$2:$A$5001,"&lt;"&amp;A2880)=0,1,0))</f>
        <v/>
      </c>
    </row>
    <row r="2881" customFormat="false" ht="15" hidden="false" customHeight="false" outlineLevel="0" collapsed="false">
      <c r="A2881" s="27"/>
      <c r="F2881" s="28"/>
      <c r="J2881" s="0" t="str">
        <f aca="false">IF(A2881="","",YEAR(A2881))</f>
        <v/>
      </c>
      <c r="K2881" s="0" t="str">
        <f aca="false">IF(A2881="","",MONTH(A2881))</f>
        <v/>
      </c>
      <c r="L2881" s="0" t="str">
        <f aca="false">IF(B2881="","",VALUE(LEFT(B2881,2)))</f>
        <v/>
      </c>
      <c r="M2881" s="0" t="str">
        <f aca="false">IF(A2881="","",IF(COUNTIFS($C$2:$C$5001,C2881,$J$2:$J$5001,J2881,$A$2:$A$5001,"&lt;"&amp;A2881)=0,1,0))</f>
        <v/>
      </c>
    </row>
    <row r="2882" customFormat="false" ht="15" hidden="false" customHeight="false" outlineLevel="0" collapsed="false">
      <c r="A2882" s="27"/>
      <c r="F2882" s="28"/>
      <c r="J2882" s="0" t="str">
        <f aca="false">IF(A2882="","",YEAR(A2882))</f>
        <v/>
      </c>
      <c r="K2882" s="0" t="str">
        <f aca="false">IF(A2882="","",MONTH(A2882))</f>
        <v/>
      </c>
      <c r="L2882" s="0" t="str">
        <f aca="false">IF(B2882="","",VALUE(LEFT(B2882,2)))</f>
        <v/>
      </c>
      <c r="M2882" s="0" t="str">
        <f aca="false">IF(A2882="","",IF(COUNTIFS($C$2:$C$5001,C2882,$J$2:$J$5001,J2882,$A$2:$A$5001,"&lt;"&amp;A2882)=0,1,0))</f>
        <v/>
      </c>
    </row>
    <row r="2883" customFormat="false" ht="15" hidden="false" customHeight="false" outlineLevel="0" collapsed="false">
      <c r="A2883" s="27"/>
      <c r="F2883" s="28"/>
      <c r="J2883" s="0" t="str">
        <f aca="false">IF(A2883="","",YEAR(A2883))</f>
        <v/>
      </c>
      <c r="K2883" s="0" t="str">
        <f aca="false">IF(A2883="","",MONTH(A2883))</f>
        <v/>
      </c>
      <c r="L2883" s="0" t="str">
        <f aca="false">IF(B2883="","",VALUE(LEFT(B2883,2)))</f>
        <v/>
      </c>
      <c r="M2883" s="0" t="str">
        <f aca="false">IF(A2883="","",IF(COUNTIFS($C$2:$C$5001,C2883,$J$2:$J$5001,J2883,$A$2:$A$5001,"&lt;"&amp;A2883)=0,1,0))</f>
        <v/>
      </c>
    </row>
    <row r="2884" customFormat="false" ht="15" hidden="false" customHeight="false" outlineLevel="0" collapsed="false">
      <c r="A2884" s="27"/>
      <c r="F2884" s="28"/>
      <c r="J2884" s="0" t="str">
        <f aca="false">IF(A2884="","",YEAR(A2884))</f>
        <v/>
      </c>
      <c r="K2884" s="0" t="str">
        <f aca="false">IF(A2884="","",MONTH(A2884))</f>
        <v/>
      </c>
      <c r="L2884" s="0" t="str">
        <f aca="false">IF(B2884="","",VALUE(LEFT(B2884,2)))</f>
        <v/>
      </c>
      <c r="M2884" s="0" t="str">
        <f aca="false">IF(A2884="","",IF(COUNTIFS($C$2:$C$5001,C2884,$J$2:$J$5001,J2884,$A$2:$A$5001,"&lt;"&amp;A2884)=0,1,0))</f>
        <v/>
      </c>
    </row>
    <row r="2885" customFormat="false" ht="15" hidden="false" customHeight="false" outlineLevel="0" collapsed="false">
      <c r="A2885" s="27"/>
      <c r="F2885" s="28"/>
      <c r="J2885" s="0" t="str">
        <f aca="false">IF(A2885="","",YEAR(A2885))</f>
        <v/>
      </c>
      <c r="K2885" s="0" t="str">
        <f aca="false">IF(A2885="","",MONTH(A2885))</f>
        <v/>
      </c>
      <c r="L2885" s="0" t="str">
        <f aca="false">IF(B2885="","",VALUE(LEFT(B2885,2)))</f>
        <v/>
      </c>
      <c r="M2885" s="0" t="str">
        <f aca="false">IF(A2885="","",IF(COUNTIFS($C$2:$C$5001,C2885,$J$2:$J$5001,J2885,$A$2:$A$5001,"&lt;"&amp;A2885)=0,1,0))</f>
        <v/>
      </c>
    </row>
    <row r="2886" customFormat="false" ht="15" hidden="false" customHeight="false" outlineLevel="0" collapsed="false">
      <c r="A2886" s="27"/>
      <c r="F2886" s="28"/>
      <c r="J2886" s="0" t="str">
        <f aca="false">IF(A2886="","",YEAR(A2886))</f>
        <v/>
      </c>
      <c r="K2886" s="0" t="str">
        <f aca="false">IF(A2886="","",MONTH(A2886))</f>
        <v/>
      </c>
      <c r="L2886" s="0" t="str">
        <f aca="false">IF(B2886="","",VALUE(LEFT(B2886,2)))</f>
        <v/>
      </c>
      <c r="M2886" s="0" t="str">
        <f aca="false">IF(A2886="","",IF(COUNTIFS($C$2:$C$5001,C2886,$J$2:$J$5001,J2886,$A$2:$A$5001,"&lt;"&amp;A2886)=0,1,0))</f>
        <v/>
      </c>
    </row>
    <row r="2887" customFormat="false" ht="15" hidden="false" customHeight="false" outlineLevel="0" collapsed="false">
      <c r="A2887" s="27"/>
      <c r="F2887" s="28"/>
      <c r="J2887" s="0" t="str">
        <f aca="false">IF(A2887="","",YEAR(A2887))</f>
        <v/>
      </c>
      <c r="K2887" s="0" t="str">
        <f aca="false">IF(A2887="","",MONTH(A2887))</f>
        <v/>
      </c>
      <c r="L2887" s="0" t="str">
        <f aca="false">IF(B2887="","",VALUE(LEFT(B2887,2)))</f>
        <v/>
      </c>
      <c r="M2887" s="0" t="str">
        <f aca="false">IF(A2887="","",IF(COUNTIFS($C$2:$C$5001,C2887,$J$2:$J$5001,J2887,$A$2:$A$5001,"&lt;"&amp;A2887)=0,1,0))</f>
        <v/>
      </c>
    </row>
    <row r="2888" customFormat="false" ht="15" hidden="false" customHeight="false" outlineLevel="0" collapsed="false">
      <c r="A2888" s="27"/>
      <c r="F2888" s="28"/>
      <c r="J2888" s="0" t="str">
        <f aca="false">IF(A2888="","",YEAR(A2888))</f>
        <v/>
      </c>
      <c r="K2888" s="0" t="str">
        <f aca="false">IF(A2888="","",MONTH(A2888))</f>
        <v/>
      </c>
      <c r="L2888" s="0" t="str">
        <f aca="false">IF(B2888="","",VALUE(LEFT(B2888,2)))</f>
        <v/>
      </c>
      <c r="M2888" s="0" t="str">
        <f aca="false">IF(A2888="","",IF(COUNTIFS($C$2:$C$5001,C2888,$J$2:$J$5001,J2888,$A$2:$A$5001,"&lt;"&amp;A2888)=0,1,0))</f>
        <v/>
      </c>
    </row>
    <row r="2889" customFormat="false" ht="15" hidden="false" customHeight="false" outlineLevel="0" collapsed="false">
      <c r="A2889" s="27"/>
      <c r="F2889" s="28"/>
      <c r="J2889" s="0" t="str">
        <f aca="false">IF(A2889="","",YEAR(A2889))</f>
        <v/>
      </c>
      <c r="K2889" s="0" t="str">
        <f aca="false">IF(A2889="","",MONTH(A2889))</f>
        <v/>
      </c>
      <c r="L2889" s="0" t="str">
        <f aca="false">IF(B2889="","",VALUE(LEFT(B2889,2)))</f>
        <v/>
      </c>
      <c r="M2889" s="0" t="str">
        <f aca="false">IF(A2889="","",IF(COUNTIFS($C$2:$C$5001,C2889,$J$2:$J$5001,J2889,$A$2:$A$5001,"&lt;"&amp;A2889)=0,1,0))</f>
        <v/>
      </c>
    </row>
    <row r="2890" customFormat="false" ht="15" hidden="false" customHeight="false" outlineLevel="0" collapsed="false">
      <c r="A2890" s="27"/>
      <c r="F2890" s="28"/>
      <c r="J2890" s="0" t="str">
        <f aca="false">IF(A2890="","",YEAR(A2890))</f>
        <v/>
      </c>
      <c r="K2890" s="0" t="str">
        <f aca="false">IF(A2890="","",MONTH(A2890))</f>
        <v/>
      </c>
      <c r="L2890" s="0" t="str">
        <f aca="false">IF(B2890="","",VALUE(LEFT(B2890,2)))</f>
        <v/>
      </c>
      <c r="M2890" s="0" t="str">
        <f aca="false">IF(A2890="","",IF(COUNTIFS($C$2:$C$5001,C2890,$J$2:$J$5001,J2890,$A$2:$A$5001,"&lt;"&amp;A2890)=0,1,0))</f>
        <v/>
      </c>
    </row>
    <row r="2891" customFormat="false" ht="15" hidden="false" customHeight="false" outlineLevel="0" collapsed="false">
      <c r="A2891" s="27"/>
      <c r="F2891" s="28"/>
      <c r="J2891" s="0" t="str">
        <f aca="false">IF(A2891="","",YEAR(A2891))</f>
        <v/>
      </c>
      <c r="K2891" s="0" t="str">
        <f aca="false">IF(A2891="","",MONTH(A2891))</f>
        <v/>
      </c>
      <c r="L2891" s="0" t="str">
        <f aca="false">IF(B2891="","",VALUE(LEFT(B2891,2)))</f>
        <v/>
      </c>
      <c r="M2891" s="0" t="str">
        <f aca="false">IF(A2891="","",IF(COUNTIFS($C$2:$C$5001,C2891,$J$2:$J$5001,J2891,$A$2:$A$5001,"&lt;"&amp;A2891)=0,1,0))</f>
        <v/>
      </c>
    </row>
    <row r="2892" customFormat="false" ht="15" hidden="false" customHeight="false" outlineLevel="0" collapsed="false">
      <c r="A2892" s="27"/>
      <c r="F2892" s="28"/>
      <c r="J2892" s="0" t="str">
        <f aca="false">IF(A2892="","",YEAR(A2892))</f>
        <v/>
      </c>
      <c r="K2892" s="0" t="str">
        <f aca="false">IF(A2892="","",MONTH(A2892))</f>
        <v/>
      </c>
      <c r="L2892" s="0" t="str">
        <f aca="false">IF(B2892="","",VALUE(LEFT(B2892,2)))</f>
        <v/>
      </c>
      <c r="M2892" s="0" t="str">
        <f aca="false">IF(A2892="","",IF(COUNTIFS($C$2:$C$5001,C2892,$J$2:$J$5001,J2892,$A$2:$A$5001,"&lt;"&amp;A2892)=0,1,0))</f>
        <v/>
      </c>
    </row>
    <row r="2893" customFormat="false" ht="15" hidden="false" customHeight="false" outlineLevel="0" collapsed="false">
      <c r="A2893" s="27"/>
      <c r="F2893" s="28"/>
      <c r="J2893" s="0" t="str">
        <f aca="false">IF(A2893="","",YEAR(A2893))</f>
        <v/>
      </c>
      <c r="K2893" s="0" t="str">
        <f aca="false">IF(A2893="","",MONTH(A2893))</f>
        <v/>
      </c>
      <c r="L2893" s="0" t="str">
        <f aca="false">IF(B2893="","",VALUE(LEFT(B2893,2)))</f>
        <v/>
      </c>
      <c r="M2893" s="0" t="str">
        <f aca="false">IF(A2893="","",IF(COUNTIFS($C$2:$C$5001,C2893,$J$2:$J$5001,J2893,$A$2:$A$5001,"&lt;"&amp;A2893)=0,1,0))</f>
        <v/>
      </c>
    </row>
    <row r="2894" customFormat="false" ht="15" hidden="false" customHeight="false" outlineLevel="0" collapsed="false">
      <c r="A2894" s="27"/>
      <c r="F2894" s="28"/>
      <c r="J2894" s="0" t="str">
        <f aca="false">IF(A2894="","",YEAR(A2894))</f>
        <v/>
      </c>
      <c r="K2894" s="0" t="str">
        <f aca="false">IF(A2894="","",MONTH(A2894))</f>
        <v/>
      </c>
      <c r="L2894" s="0" t="str">
        <f aca="false">IF(B2894="","",VALUE(LEFT(B2894,2)))</f>
        <v/>
      </c>
      <c r="M2894" s="0" t="str">
        <f aca="false">IF(A2894="","",IF(COUNTIFS($C$2:$C$5001,C2894,$J$2:$J$5001,J2894,$A$2:$A$5001,"&lt;"&amp;A2894)=0,1,0))</f>
        <v/>
      </c>
    </row>
    <row r="2895" customFormat="false" ht="15" hidden="false" customHeight="false" outlineLevel="0" collapsed="false">
      <c r="A2895" s="27"/>
      <c r="F2895" s="28"/>
      <c r="J2895" s="0" t="str">
        <f aca="false">IF(A2895="","",YEAR(A2895))</f>
        <v/>
      </c>
      <c r="K2895" s="0" t="str">
        <f aca="false">IF(A2895="","",MONTH(A2895))</f>
        <v/>
      </c>
      <c r="L2895" s="0" t="str">
        <f aca="false">IF(B2895="","",VALUE(LEFT(B2895,2)))</f>
        <v/>
      </c>
      <c r="M2895" s="0" t="str">
        <f aca="false">IF(A2895="","",IF(COUNTIFS($C$2:$C$5001,C2895,$J$2:$J$5001,J2895,$A$2:$A$5001,"&lt;"&amp;A2895)=0,1,0))</f>
        <v/>
      </c>
    </row>
    <row r="2896" customFormat="false" ht="15" hidden="false" customHeight="false" outlineLevel="0" collapsed="false">
      <c r="A2896" s="27"/>
      <c r="F2896" s="28"/>
      <c r="J2896" s="0" t="str">
        <f aca="false">IF(A2896="","",YEAR(A2896))</f>
        <v/>
      </c>
      <c r="K2896" s="0" t="str">
        <f aca="false">IF(A2896="","",MONTH(A2896))</f>
        <v/>
      </c>
      <c r="L2896" s="0" t="str">
        <f aca="false">IF(B2896="","",VALUE(LEFT(B2896,2)))</f>
        <v/>
      </c>
      <c r="M2896" s="0" t="str">
        <f aca="false">IF(A2896="","",IF(COUNTIFS($C$2:$C$5001,C2896,$J$2:$J$5001,J2896,$A$2:$A$5001,"&lt;"&amp;A2896)=0,1,0))</f>
        <v/>
      </c>
    </row>
    <row r="2897" customFormat="false" ht="15" hidden="false" customHeight="false" outlineLevel="0" collapsed="false">
      <c r="A2897" s="27"/>
      <c r="F2897" s="28"/>
      <c r="J2897" s="0" t="str">
        <f aca="false">IF(A2897="","",YEAR(A2897))</f>
        <v/>
      </c>
      <c r="K2897" s="0" t="str">
        <f aca="false">IF(A2897="","",MONTH(A2897))</f>
        <v/>
      </c>
      <c r="L2897" s="0" t="str">
        <f aca="false">IF(B2897="","",VALUE(LEFT(B2897,2)))</f>
        <v/>
      </c>
      <c r="M2897" s="0" t="str">
        <f aca="false">IF(A2897="","",IF(COUNTIFS($C$2:$C$5001,C2897,$J$2:$J$5001,J2897,$A$2:$A$5001,"&lt;"&amp;A2897)=0,1,0))</f>
        <v/>
      </c>
    </row>
    <row r="2898" customFormat="false" ht="15" hidden="false" customHeight="false" outlineLevel="0" collapsed="false">
      <c r="A2898" s="27"/>
      <c r="F2898" s="28"/>
      <c r="J2898" s="0" t="str">
        <f aca="false">IF(A2898="","",YEAR(A2898))</f>
        <v/>
      </c>
      <c r="K2898" s="0" t="str">
        <f aca="false">IF(A2898="","",MONTH(A2898))</f>
        <v/>
      </c>
      <c r="L2898" s="0" t="str">
        <f aca="false">IF(B2898="","",VALUE(LEFT(B2898,2)))</f>
        <v/>
      </c>
      <c r="M2898" s="0" t="str">
        <f aca="false">IF(A2898="","",IF(COUNTIFS($C$2:$C$5001,C2898,$J$2:$J$5001,J2898,$A$2:$A$5001,"&lt;"&amp;A2898)=0,1,0))</f>
        <v/>
      </c>
    </row>
    <row r="2899" customFormat="false" ht="15" hidden="false" customHeight="false" outlineLevel="0" collapsed="false">
      <c r="A2899" s="27"/>
      <c r="F2899" s="28"/>
      <c r="J2899" s="0" t="str">
        <f aca="false">IF(A2899="","",YEAR(A2899))</f>
        <v/>
      </c>
      <c r="K2899" s="0" t="str">
        <f aca="false">IF(A2899="","",MONTH(A2899))</f>
        <v/>
      </c>
      <c r="L2899" s="0" t="str">
        <f aca="false">IF(B2899="","",VALUE(LEFT(B2899,2)))</f>
        <v/>
      </c>
      <c r="M2899" s="0" t="str">
        <f aca="false">IF(A2899="","",IF(COUNTIFS($C$2:$C$5001,C2899,$J$2:$J$5001,J2899,$A$2:$A$5001,"&lt;"&amp;A2899)=0,1,0))</f>
        <v/>
      </c>
    </row>
    <row r="2900" customFormat="false" ht="15" hidden="false" customHeight="false" outlineLevel="0" collapsed="false">
      <c r="A2900" s="27"/>
      <c r="F2900" s="28"/>
      <c r="J2900" s="0" t="str">
        <f aca="false">IF(A2900="","",YEAR(A2900))</f>
        <v/>
      </c>
      <c r="K2900" s="0" t="str">
        <f aca="false">IF(A2900="","",MONTH(A2900))</f>
        <v/>
      </c>
      <c r="L2900" s="0" t="str">
        <f aca="false">IF(B2900="","",VALUE(LEFT(B2900,2)))</f>
        <v/>
      </c>
      <c r="M2900" s="0" t="str">
        <f aca="false">IF(A2900="","",IF(COUNTIFS($C$2:$C$5001,C2900,$J$2:$J$5001,J2900,$A$2:$A$5001,"&lt;"&amp;A2900)=0,1,0))</f>
        <v/>
      </c>
    </row>
    <row r="2901" customFormat="false" ht="15" hidden="false" customHeight="false" outlineLevel="0" collapsed="false">
      <c r="A2901" s="27"/>
      <c r="F2901" s="28"/>
      <c r="J2901" s="0" t="str">
        <f aca="false">IF(A2901="","",YEAR(A2901))</f>
        <v/>
      </c>
      <c r="K2901" s="0" t="str">
        <f aca="false">IF(A2901="","",MONTH(A2901))</f>
        <v/>
      </c>
      <c r="L2901" s="0" t="str">
        <f aca="false">IF(B2901="","",VALUE(LEFT(B2901,2)))</f>
        <v/>
      </c>
      <c r="M2901" s="0" t="str">
        <f aca="false">IF(A2901="","",IF(COUNTIFS($C$2:$C$5001,C2901,$J$2:$J$5001,J2901,$A$2:$A$5001,"&lt;"&amp;A2901)=0,1,0))</f>
        <v/>
      </c>
    </row>
    <row r="2902" customFormat="false" ht="15" hidden="false" customHeight="false" outlineLevel="0" collapsed="false">
      <c r="A2902" s="27"/>
      <c r="F2902" s="28"/>
      <c r="J2902" s="0" t="str">
        <f aca="false">IF(A2902="","",YEAR(A2902))</f>
        <v/>
      </c>
      <c r="K2902" s="0" t="str">
        <f aca="false">IF(A2902="","",MONTH(A2902))</f>
        <v/>
      </c>
      <c r="L2902" s="0" t="str">
        <f aca="false">IF(B2902="","",VALUE(LEFT(B2902,2)))</f>
        <v/>
      </c>
      <c r="M2902" s="0" t="str">
        <f aca="false">IF(A2902="","",IF(COUNTIFS($C$2:$C$5001,C2902,$J$2:$J$5001,J2902,$A$2:$A$5001,"&lt;"&amp;A2902)=0,1,0))</f>
        <v/>
      </c>
    </row>
    <row r="2903" customFormat="false" ht="15" hidden="false" customHeight="false" outlineLevel="0" collapsed="false">
      <c r="A2903" s="27"/>
      <c r="F2903" s="28"/>
      <c r="J2903" s="0" t="str">
        <f aca="false">IF(A2903="","",YEAR(A2903))</f>
        <v/>
      </c>
      <c r="K2903" s="0" t="str">
        <f aca="false">IF(A2903="","",MONTH(A2903))</f>
        <v/>
      </c>
      <c r="L2903" s="0" t="str">
        <f aca="false">IF(B2903="","",VALUE(LEFT(B2903,2)))</f>
        <v/>
      </c>
      <c r="M2903" s="0" t="str">
        <f aca="false">IF(A2903="","",IF(COUNTIFS($C$2:$C$5001,C2903,$J$2:$J$5001,J2903,$A$2:$A$5001,"&lt;"&amp;A2903)=0,1,0))</f>
        <v/>
      </c>
    </row>
    <row r="2904" customFormat="false" ht="15" hidden="false" customHeight="false" outlineLevel="0" collapsed="false">
      <c r="A2904" s="27"/>
      <c r="F2904" s="28"/>
      <c r="J2904" s="0" t="str">
        <f aca="false">IF(A2904="","",YEAR(A2904))</f>
        <v/>
      </c>
      <c r="K2904" s="0" t="str">
        <f aca="false">IF(A2904="","",MONTH(A2904))</f>
        <v/>
      </c>
      <c r="L2904" s="0" t="str">
        <f aca="false">IF(B2904="","",VALUE(LEFT(B2904,2)))</f>
        <v/>
      </c>
      <c r="M2904" s="0" t="str">
        <f aca="false">IF(A2904="","",IF(COUNTIFS($C$2:$C$5001,C2904,$J$2:$J$5001,J2904,$A$2:$A$5001,"&lt;"&amp;A2904)=0,1,0))</f>
        <v/>
      </c>
    </row>
    <row r="2905" customFormat="false" ht="15" hidden="false" customHeight="false" outlineLevel="0" collapsed="false">
      <c r="A2905" s="27"/>
      <c r="F2905" s="28"/>
      <c r="J2905" s="0" t="str">
        <f aca="false">IF(A2905="","",YEAR(A2905))</f>
        <v/>
      </c>
      <c r="K2905" s="0" t="str">
        <f aca="false">IF(A2905="","",MONTH(A2905))</f>
        <v/>
      </c>
      <c r="L2905" s="0" t="str">
        <f aca="false">IF(B2905="","",VALUE(LEFT(B2905,2)))</f>
        <v/>
      </c>
      <c r="M2905" s="0" t="str">
        <f aca="false">IF(A2905="","",IF(COUNTIFS($C$2:$C$5001,C2905,$J$2:$J$5001,J2905,$A$2:$A$5001,"&lt;"&amp;A2905)=0,1,0))</f>
        <v/>
      </c>
    </row>
    <row r="2906" customFormat="false" ht="15" hidden="false" customHeight="false" outlineLevel="0" collapsed="false">
      <c r="A2906" s="27"/>
      <c r="F2906" s="28"/>
      <c r="J2906" s="0" t="str">
        <f aca="false">IF(A2906="","",YEAR(A2906))</f>
        <v/>
      </c>
      <c r="K2906" s="0" t="str">
        <f aca="false">IF(A2906="","",MONTH(A2906))</f>
        <v/>
      </c>
      <c r="L2906" s="0" t="str">
        <f aca="false">IF(B2906="","",VALUE(LEFT(B2906,2)))</f>
        <v/>
      </c>
      <c r="M2906" s="0" t="str">
        <f aca="false">IF(A2906="","",IF(COUNTIFS($C$2:$C$5001,C2906,$J$2:$J$5001,J2906,$A$2:$A$5001,"&lt;"&amp;A2906)=0,1,0))</f>
        <v/>
      </c>
    </row>
    <row r="2907" customFormat="false" ht="15" hidden="false" customHeight="false" outlineLevel="0" collapsed="false">
      <c r="A2907" s="27"/>
      <c r="F2907" s="28"/>
      <c r="J2907" s="0" t="str">
        <f aca="false">IF(A2907="","",YEAR(A2907))</f>
        <v/>
      </c>
      <c r="K2907" s="0" t="str">
        <f aca="false">IF(A2907="","",MONTH(A2907))</f>
        <v/>
      </c>
      <c r="L2907" s="0" t="str">
        <f aca="false">IF(B2907="","",VALUE(LEFT(B2907,2)))</f>
        <v/>
      </c>
      <c r="M2907" s="0" t="str">
        <f aca="false">IF(A2907="","",IF(COUNTIFS($C$2:$C$5001,C2907,$J$2:$J$5001,J2907,$A$2:$A$5001,"&lt;"&amp;A2907)=0,1,0))</f>
        <v/>
      </c>
    </row>
    <row r="2908" customFormat="false" ht="15" hidden="false" customHeight="false" outlineLevel="0" collapsed="false">
      <c r="A2908" s="27"/>
      <c r="F2908" s="28"/>
      <c r="J2908" s="0" t="str">
        <f aca="false">IF(A2908="","",YEAR(A2908))</f>
        <v/>
      </c>
      <c r="K2908" s="0" t="str">
        <f aca="false">IF(A2908="","",MONTH(A2908))</f>
        <v/>
      </c>
      <c r="L2908" s="0" t="str">
        <f aca="false">IF(B2908="","",VALUE(LEFT(B2908,2)))</f>
        <v/>
      </c>
      <c r="M2908" s="0" t="str">
        <f aca="false">IF(A2908="","",IF(COUNTIFS($C$2:$C$5001,C2908,$J$2:$J$5001,J2908,$A$2:$A$5001,"&lt;"&amp;A2908)=0,1,0))</f>
        <v/>
      </c>
    </row>
    <row r="2909" customFormat="false" ht="15" hidden="false" customHeight="false" outlineLevel="0" collapsed="false">
      <c r="A2909" s="27"/>
      <c r="F2909" s="28"/>
      <c r="J2909" s="0" t="str">
        <f aca="false">IF(A2909="","",YEAR(A2909))</f>
        <v/>
      </c>
      <c r="K2909" s="0" t="str">
        <f aca="false">IF(A2909="","",MONTH(A2909))</f>
        <v/>
      </c>
      <c r="L2909" s="0" t="str">
        <f aca="false">IF(B2909="","",VALUE(LEFT(B2909,2)))</f>
        <v/>
      </c>
      <c r="M2909" s="0" t="str">
        <f aca="false">IF(A2909="","",IF(COUNTIFS($C$2:$C$5001,C2909,$J$2:$J$5001,J2909,$A$2:$A$5001,"&lt;"&amp;A2909)=0,1,0))</f>
        <v/>
      </c>
    </row>
    <row r="2910" customFormat="false" ht="15" hidden="false" customHeight="false" outlineLevel="0" collapsed="false">
      <c r="A2910" s="27"/>
      <c r="F2910" s="28"/>
      <c r="J2910" s="0" t="str">
        <f aca="false">IF(A2910="","",YEAR(A2910))</f>
        <v/>
      </c>
      <c r="K2910" s="0" t="str">
        <f aca="false">IF(A2910="","",MONTH(A2910))</f>
        <v/>
      </c>
      <c r="L2910" s="0" t="str">
        <f aca="false">IF(B2910="","",VALUE(LEFT(B2910,2)))</f>
        <v/>
      </c>
      <c r="M2910" s="0" t="str">
        <f aca="false">IF(A2910="","",IF(COUNTIFS($C$2:$C$5001,C2910,$J$2:$J$5001,J2910,$A$2:$A$5001,"&lt;"&amp;A2910)=0,1,0))</f>
        <v/>
      </c>
    </row>
    <row r="2911" customFormat="false" ht="15" hidden="false" customHeight="false" outlineLevel="0" collapsed="false">
      <c r="A2911" s="27"/>
      <c r="F2911" s="28"/>
      <c r="J2911" s="0" t="str">
        <f aca="false">IF(A2911="","",YEAR(A2911))</f>
        <v/>
      </c>
      <c r="K2911" s="0" t="str">
        <f aca="false">IF(A2911="","",MONTH(A2911))</f>
        <v/>
      </c>
      <c r="L2911" s="0" t="str">
        <f aca="false">IF(B2911="","",VALUE(LEFT(B2911,2)))</f>
        <v/>
      </c>
      <c r="M2911" s="0" t="str">
        <f aca="false">IF(A2911="","",IF(COUNTIFS($C$2:$C$5001,C2911,$J$2:$J$5001,J2911,$A$2:$A$5001,"&lt;"&amp;A2911)=0,1,0))</f>
        <v/>
      </c>
    </row>
    <row r="2912" customFormat="false" ht="15" hidden="false" customHeight="false" outlineLevel="0" collapsed="false">
      <c r="A2912" s="27"/>
      <c r="F2912" s="28"/>
      <c r="J2912" s="0" t="str">
        <f aca="false">IF(A2912="","",YEAR(A2912))</f>
        <v/>
      </c>
      <c r="K2912" s="0" t="str">
        <f aca="false">IF(A2912="","",MONTH(A2912))</f>
        <v/>
      </c>
      <c r="L2912" s="0" t="str">
        <f aca="false">IF(B2912="","",VALUE(LEFT(B2912,2)))</f>
        <v/>
      </c>
      <c r="M2912" s="0" t="str">
        <f aca="false">IF(A2912="","",IF(COUNTIFS($C$2:$C$5001,C2912,$J$2:$J$5001,J2912,$A$2:$A$5001,"&lt;"&amp;A2912)=0,1,0))</f>
        <v/>
      </c>
    </row>
    <row r="2913" customFormat="false" ht="15" hidden="false" customHeight="false" outlineLevel="0" collapsed="false">
      <c r="A2913" s="27"/>
      <c r="F2913" s="28"/>
      <c r="J2913" s="0" t="str">
        <f aca="false">IF(A2913="","",YEAR(A2913))</f>
        <v/>
      </c>
      <c r="K2913" s="0" t="str">
        <f aca="false">IF(A2913="","",MONTH(A2913))</f>
        <v/>
      </c>
      <c r="L2913" s="0" t="str">
        <f aca="false">IF(B2913="","",VALUE(LEFT(B2913,2)))</f>
        <v/>
      </c>
      <c r="M2913" s="0" t="str">
        <f aca="false">IF(A2913="","",IF(COUNTIFS($C$2:$C$5001,C2913,$J$2:$J$5001,J2913,$A$2:$A$5001,"&lt;"&amp;A2913)=0,1,0))</f>
        <v/>
      </c>
    </row>
    <row r="2914" customFormat="false" ht="15" hidden="false" customHeight="false" outlineLevel="0" collapsed="false">
      <c r="A2914" s="27"/>
      <c r="F2914" s="28"/>
      <c r="J2914" s="0" t="str">
        <f aca="false">IF(A2914="","",YEAR(A2914))</f>
        <v/>
      </c>
      <c r="K2914" s="0" t="str">
        <f aca="false">IF(A2914="","",MONTH(A2914))</f>
        <v/>
      </c>
      <c r="L2914" s="0" t="str">
        <f aca="false">IF(B2914="","",VALUE(LEFT(B2914,2)))</f>
        <v/>
      </c>
      <c r="M2914" s="0" t="str">
        <f aca="false">IF(A2914="","",IF(COUNTIFS($C$2:$C$5001,C2914,$J$2:$J$5001,J2914,$A$2:$A$5001,"&lt;"&amp;A2914)=0,1,0))</f>
        <v/>
      </c>
    </row>
    <row r="2915" customFormat="false" ht="15" hidden="false" customHeight="false" outlineLevel="0" collapsed="false">
      <c r="A2915" s="27"/>
      <c r="F2915" s="28"/>
      <c r="J2915" s="0" t="str">
        <f aca="false">IF(A2915="","",YEAR(A2915))</f>
        <v/>
      </c>
      <c r="K2915" s="0" t="str">
        <f aca="false">IF(A2915="","",MONTH(A2915))</f>
        <v/>
      </c>
      <c r="L2915" s="0" t="str">
        <f aca="false">IF(B2915="","",VALUE(LEFT(B2915,2)))</f>
        <v/>
      </c>
      <c r="M2915" s="0" t="str">
        <f aca="false">IF(A2915="","",IF(COUNTIFS($C$2:$C$5001,C2915,$J$2:$J$5001,J2915,$A$2:$A$5001,"&lt;"&amp;A2915)=0,1,0))</f>
        <v/>
      </c>
    </row>
    <row r="2916" customFormat="false" ht="15" hidden="false" customHeight="false" outlineLevel="0" collapsed="false">
      <c r="A2916" s="27"/>
      <c r="F2916" s="28"/>
      <c r="J2916" s="0" t="str">
        <f aca="false">IF(A2916="","",YEAR(A2916))</f>
        <v/>
      </c>
      <c r="K2916" s="0" t="str">
        <f aca="false">IF(A2916="","",MONTH(A2916))</f>
        <v/>
      </c>
      <c r="L2916" s="0" t="str">
        <f aca="false">IF(B2916="","",VALUE(LEFT(B2916,2)))</f>
        <v/>
      </c>
      <c r="M2916" s="0" t="str">
        <f aca="false">IF(A2916="","",IF(COUNTIFS($C$2:$C$5001,C2916,$J$2:$J$5001,J2916,$A$2:$A$5001,"&lt;"&amp;A2916)=0,1,0))</f>
        <v/>
      </c>
    </row>
    <row r="2917" customFormat="false" ht="15" hidden="false" customHeight="false" outlineLevel="0" collapsed="false">
      <c r="A2917" s="27"/>
      <c r="F2917" s="28"/>
      <c r="J2917" s="0" t="str">
        <f aca="false">IF(A2917="","",YEAR(A2917))</f>
        <v/>
      </c>
      <c r="K2917" s="0" t="str">
        <f aca="false">IF(A2917="","",MONTH(A2917))</f>
        <v/>
      </c>
      <c r="L2917" s="0" t="str">
        <f aca="false">IF(B2917="","",VALUE(LEFT(B2917,2)))</f>
        <v/>
      </c>
      <c r="M2917" s="0" t="str">
        <f aca="false">IF(A2917="","",IF(COUNTIFS($C$2:$C$5001,C2917,$J$2:$J$5001,J2917,$A$2:$A$5001,"&lt;"&amp;A2917)=0,1,0))</f>
        <v/>
      </c>
    </row>
    <row r="2918" customFormat="false" ht="15" hidden="false" customHeight="false" outlineLevel="0" collapsed="false">
      <c r="A2918" s="27"/>
      <c r="F2918" s="28"/>
      <c r="J2918" s="0" t="str">
        <f aca="false">IF(A2918="","",YEAR(A2918))</f>
        <v/>
      </c>
      <c r="K2918" s="0" t="str">
        <f aca="false">IF(A2918="","",MONTH(A2918))</f>
        <v/>
      </c>
      <c r="L2918" s="0" t="str">
        <f aca="false">IF(B2918="","",VALUE(LEFT(B2918,2)))</f>
        <v/>
      </c>
      <c r="M2918" s="0" t="str">
        <f aca="false">IF(A2918="","",IF(COUNTIFS($C$2:$C$5001,C2918,$J$2:$J$5001,J2918,$A$2:$A$5001,"&lt;"&amp;A2918)=0,1,0))</f>
        <v/>
      </c>
    </row>
    <row r="2919" customFormat="false" ht="15" hidden="false" customHeight="false" outlineLevel="0" collapsed="false">
      <c r="A2919" s="27"/>
      <c r="F2919" s="28"/>
      <c r="J2919" s="0" t="str">
        <f aca="false">IF(A2919="","",YEAR(A2919))</f>
        <v/>
      </c>
      <c r="K2919" s="0" t="str">
        <f aca="false">IF(A2919="","",MONTH(A2919))</f>
        <v/>
      </c>
      <c r="L2919" s="0" t="str">
        <f aca="false">IF(B2919="","",VALUE(LEFT(B2919,2)))</f>
        <v/>
      </c>
      <c r="M2919" s="0" t="str">
        <f aca="false">IF(A2919="","",IF(COUNTIFS($C$2:$C$5001,C2919,$J$2:$J$5001,J2919,$A$2:$A$5001,"&lt;"&amp;A2919)=0,1,0))</f>
        <v/>
      </c>
    </row>
    <row r="2920" customFormat="false" ht="15" hidden="false" customHeight="false" outlineLevel="0" collapsed="false">
      <c r="A2920" s="27"/>
      <c r="F2920" s="28"/>
      <c r="J2920" s="0" t="str">
        <f aca="false">IF(A2920="","",YEAR(A2920))</f>
        <v/>
      </c>
      <c r="K2920" s="0" t="str">
        <f aca="false">IF(A2920="","",MONTH(A2920))</f>
        <v/>
      </c>
      <c r="L2920" s="0" t="str">
        <f aca="false">IF(B2920="","",VALUE(LEFT(B2920,2)))</f>
        <v/>
      </c>
      <c r="M2920" s="0" t="str">
        <f aca="false">IF(A2920="","",IF(COUNTIFS($C$2:$C$5001,C2920,$J$2:$J$5001,J2920,$A$2:$A$5001,"&lt;"&amp;A2920)=0,1,0))</f>
        <v/>
      </c>
    </row>
    <row r="2921" customFormat="false" ht="15" hidden="false" customHeight="false" outlineLevel="0" collapsed="false">
      <c r="A2921" s="27"/>
      <c r="F2921" s="28"/>
      <c r="J2921" s="0" t="str">
        <f aca="false">IF(A2921="","",YEAR(A2921))</f>
        <v/>
      </c>
      <c r="K2921" s="0" t="str">
        <f aca="false">IF(A2921="","",MONTH(A2921))</f>
        <v/>
      </c>
      <c r="L2921" s="0" t="str">
        <f aca="false">IF(B2921="","",VALUE(LEFT(B2921,2)))</f>
        <v/>
      </c>
      <c r="M2921" s="0" t="str">
        <f aca="false">IF(A2921="","",IF(COUNTIFS($C$2:$C$5001,C2921,$J$2:$J$5001,J2921,$A$2:$A$5001,"&lt;"&amp;A2921)=0,1,0))</f>
        <v/>
      </c>
    </row>
    <row r="2922" customFormat="false" ht="15" hidden="false" customHeight="false" outlineLevel="0" collapsed="false">
      <c r="A2922" s="27"/>
      <c r="F2922" s="28"/>
      <c r="J2922" s="0" t="str">
        <f aca="false">IF(A2922="","",YEAR(A2922))</f>
        <v/>
      </c>
      <c r="K2922" s="0" t="str">
        <f aca="false">IF(A2922="","",MONTH(A2922))</f>
        <v/>
      </c>
      <c r="L2922" s="0" t="str">
        <f aca="false">IF(B2922="","",VALUE(LEFT(B2922,2)))</f>
        <v/>
      </c>
      <c r="M2922" s="0" t="str">
        <f aca="false">IF(A2922="","",IF(COUNTIFS($C$2:$C$5001,C2922,$J$2:$J$5001,J2922,$A$2:$A$5001,"&lt;"&amp;A2922)=0,1,0))</f>
        <v/>
      </c>
    </row>
    <row r="2923" customFormat="false" ht="15" hidden="false" customHeight="false" outlineLevel="0" collapsed="false">
      <c r="A2923" s="27"/>
      <c r="F2923" s="28"/>
      <c r="J2923" s="0" t="str">
        <f aca="false">IF(A2923="","",YEAR(A2923))</f>
        <v/>
      </c>
      <c r="K2923" s="0" t="str">
        <f aca="false">IF(A2923="","",MONTH(A2923))</f>
        <v/>
      </c>
      <c r="L2923" s="0" t="str">
        <f aca="false">IF(B2923="","",VALUE(LEFT(B2923,2)))</f>
        <v/>
      </c>
      <c r="M2923" s="0" t="str">
        <f aca="false">IF(A2923="","",IF(COUNTIFS($C$2:$C$5001,C2923,$J$2:$J$5001,J2923,$A$2:$A$5001,"&lt;"&amp;A2923)=0,1,0))</f>
        <v/>
      </c>
    </row>
    <row r="2924" customFormat="false" ht="15" hidden="false" customHeight="false" outlineLevel="0" collapsed="false">
      <c r="A2924" s="27"/>
      <c r="F2924" s="28"/>
      <c r="J2924" s="0" t="str">
        <f aca="false">IF(A2924="","",YEAR(A2924))</f>
        <v/>
      </c>
      <c r="K2924" s="0" t="str">
        <f aca="false">IF(A2924="","",MONTH(A2924))</f>
        <v/>
      </c>
      <c r="L2924" s="0" t="str">
        <f aca="false">IF(B2924="","",VALUE(LEFT(B2924,2)))</f>
        <v/>
      </c>
      <c r="M2924" s="0" t="str">
        <f aca="false">IF(A2924="","",IF(COUNTIFS($C$2:$C$5001,C2924,$J$2:$J$5001,J2924,$A$2:$A$5001,"&lt;"&amp;A2924)=0,1,0))</f>
        <v/>
      </c>
    </row>
    <row r="2925" customFormat="false" ht="15" hidden="false" customHeight="false" outlineLevel="0" collapsed="false">
      <c r="A2925" s="27"/>
      <c r="F2925" s="28"/>
      <c r="J2925" s="0" t="str">
        <f aca="false">IF(A2925="","",YEAR(A2925))</f>
        <v/>
      </c>
      <c r="K2925" s="0" t="str">
        <f aca="false">IF(A2925="","",MONTH(A2925))</f>
        <v/>
      </c>
      <c r="L2925" s="0" t="str">
        <f aca="false">IF(B2925="","",VALUE(LEFT(B2925,2)))</f>
        <v/>
      </c>
      <c r="M2925" s="0" t="str">
        <f aca="false">IF(A2925="","",IF(COUNTIFS($C$2:$C$5001,C2925,$J$2:$J$5001,J2925,$A$2:$A$5001,"&lt;"&amp;A2925)=0,1,0))</f>
        <v/>
      </c>
    </row>
    <row r="2926" customFormat="false" ht="15" hidden="false" customHeight="false" outlineLevel="0" collapsed="false">
      <c r="A2926" s="27"/>
      <c r="F2926" s="28"/>
      <c r="J2926" s="0" t="str">
        <f aca="false">IF(A2926="","",YEAR(A2926))</f>
        <v/>
      </c>
      <c r="K2926" s="0" t="str">
        <f aca="false">IF(A2926="","",MONTH(A2926))</f>
        <v/>
      </c>
      <c r="L2926" s="0" t="str">
        <f aca="false">IF(B2926="","",VALUE(LEFT(B2926,2)))</f>
        <v/>
      </c>
      <c r="M2926" s="0" t="str">
        <f aca="false">IF(A2926="","",IF(COUNTIFS($C$2:$C$5001,C2926,$J$2:$J$5001,J2926,$A$2:$A$5001,"&lt;"&amp;A2926)=0,1,0))</f>
        <v/>
      </c>
    </row>
    <row r="2927" customFormat="false" ht="15" hidden="false" customHeight="false" outlineLevel="0" collapsed="false">
      <c r="A2927" s="27"/>
      <c r="F2927" s="28"/>
      <c r="J2927" s="0" t="str">
        <f aca="false">IF(A2927="","",YEAR(A2927))</f>
        <v/>
      </c>
      <c r="K2927" s="0" t="str">
        <f aca="false">IF(A2927="","",MONTH(A2927))</f>
        <v/>
      </c>
      <c r="L2927" s="0" t="str">
        <f aca="false">IF(B2927="","",VALUE(LEFT(B2927,2)))</f>
        <v/>
      </c>
      <c r="M2927" s="0" t="str">
        <f aca="false">IF(A2927="","",IF(COUNTIFS($C$2:$C$5001,C2927,$J$2:$J$5001,J2927,$A$2:$A$5001,"&lt;"&amp;A2927)=0,1,0))</f>
        <v/>
      </c>
    </row>
    <row r="2928" customFormat="false" ht="15" hidden="false" customHeight="false" outlineLevel="0" collapsed="false">
      <c r="A2928" s="27"/>
      <c r="F2928" s="28"/>
      <c r="J2928" s="0" t="str">
        <f aca="false">IF(A2928="","",YEAR(A2928))</f>
        <v/>
      </c>
      <c r="K2928" s="0" t="str">
        <f aca="false">IF(A2928="","",MONTH(A2928))</f>
        <v/>
      </c>
      <c r="L2928" s="0" t="str">
        <f aca="false">IF(B2928="","",VALUE(LEFT(B2928,2)))</f>
        <v/>
      </c>
      <c r="M2928" s="0" t="str">
        <f aca="false">IF(A2928="","",IF(COUNTIFS($C$2:$C$5001,C2928,$J$2:$J$5001,J2928,$A$2:$A$5001,"&lt;"&amp;A2928)=0,1,0))</f>
        <v/>
      </c>
    </row>
    <row r="2929" customFormat="false" ht="15" hidden="false" customHeight="false" outlineLevel="0" collapsed="false">
      <c r="A2929" s="27"/>
      <c r="F2929" s="28"/>
      <c r="J2929" s="0" t="str">
        <f aca="false">IF(A2929="","",YEAR(A2929))</f>
        <v/>
      </c>
      <c r="K2929" s="0" t="str">
        <f aca="false">IF(A2929="","",MONTH(A2929))</f>
        <v/>
      </c>
      <c r="L2929" s="0" t="str">
        <f aca="false">IF(B2929="","",VALUE(LEFT(B2929,2)))</f>
        <v/>
      </c>
      <c r="M2929" s="0" t="str">
        <f aca="false">IF(A2929="","",IF(COUNTIFS($C$2:$C$5001,C2929,$J$2:$J$5001,J2929,$A$2:$A$5001,"&lt;"&amp;A2929)=0,1,0))</f>
        <v/>
      </c>
    </row>
    <row r="2930" customFormat="false" ht="15" hidden="false" customHeight="false" outlineLevel="0" collapsed="false">
      <c r="A2930" s="27"/>
      <c r="F2930" s="28"/>
      <c r="J2930" s="0" t="str">
        <f aca="false">IF(A2930="","",YEAR(A2930))</f>
        <v/>
      </c>
      <c r="K2930" s="0" t="str">
        <f aca="false">IF(A2930="","",MONTH(A2930))</f>
        <v/>
      </c>
      <c r="L2930" s="0" t="str">
        <f aca="false">IF(B2930="","",VALUE(LEFT(B2930,2)))</f>
        <v/>
      </c>
      <c r="M2930" s="0" t="str">
        <f aca="false">IF(A2930="","",IF(COUNTIFS($C$2:$C$5001,C2930,$J$2:$J$5001,J2930,$A$2:$A$5001,"&lt;"&amp;A2930)=0,1,0))</f>
        <v/>
      </c>
    </row>
    <row r="2931" customFormat="false" ht="15" hidden="false" customHeight="false" outlineLevel="0" collapsed="false">
      <c r="A2931" s="27"/>
      <c r="F2931" s="28"/>
      <c r="J2931" s="0" t="str">
        <f aca="false">IF(A2931="","",YEAR(A2931))</f>
        <v/>
      </c>
      <c r="K2931" s="0" t="str">
        <f aca="false">IF(A2931="","",MONTH(A2931))</f>
        <v/>
      </c>
      <c r="L2931" s="0" t="str">
        <f aca="false">IF(B2931="","",VALUE(LEFT(B2931,2)))</f>
        <v/>
      </c>
      <c r="M2931" s="0" t="str">
        <f aca="false">IF(A2931="","",IF(COUNTIFS($C$2:$C$5001,C2931,$J$2:$J$5001,J2931,$A$2:$A$5001,"&lt;"&amp;A2931)=0,1,0))</f>
        <v/>
      </c>
    </row>
    <row r="2932" customFormat="false" ht="15" hidden="false" customHeight="false" outlineLevel="0" collapsed="false">
      <c r="A2932" s="27"/>
      <c r="F2932" s="28"/>
      <c r="J2932" s="0" t="str">
        <f aca="false">IF(A2932="","",YEAR(A2932))</f>
        <v/>
      </c>
      <c r="K2932" s="0" t="str">
        <f aca="false">IF(A2932="","",MONTH(A2932))</f>
        <v/>
      </c>
      <c r="L2932" s="0" t="str">
        <f aca="false">IF(B2932="","",VALUE(LEFT(B2932,2)))</f>
        <v/>
      </c>
      <c r="M2932" s="0" t="str">
        <f aca="false">IF(A2932="","",IF(COUNTIFS($C$2:$C$5001,C2932,$J$2:$J$5001,J2932,$A$2:$A$5001,"&lt;"&amp;A2932)=0,1,0))</f>
        <v/>
      </c>
    </row>
    <row r="2933" customFormat="false" ht="15" hidden="false" customHeight="false" outlineLevel="0" collapsed="false">
      <c r="A2933" s="27"/>
      <c r="F2933" s="28"/>
      <c r="J2933" s="0" t="str">
        <f aca="false">IF(A2933="","",YEAR(A2933))</f>
        <v/>
      </c>
      <c r="K2933" s="0" t="str">
        <f aca="false">IF(A2933="","",MONTH(A2933))</f>
        <v/>
      </c>
      <c r="L2933" s="0" t="str">
        <f aca="false">IF(B2933="","",VALUE(LEFT(B2933,2)))</f>
        <v/>
      </c>
      <c r="M2933" s="0" t="str">
        <f aca="false">IF(A2933="","",IF(COUNTIFS($C$2:$C$5001,C2933,$J$2:$J$5001,J2933,$A$2:$A$5001,"&lt;"&amp;A2933)=0,1,0))</f>
        <v/>
      </c>
    </row>
    <row r="2934" customFormat="false" ht="15" hidden="false" customHeight="false" outlineLevel="0" collapsed="false">
      <c r="A2934" s="27"/>
      <c r="F2934" s="28"/>
      <c r="J2934" s="0" t="str">
        <f aca="false">IF(A2934="","",YEAR(A2934))</f>
        <v/>
      </c>
      <c r="K2934" s="0" t="str">
        <f aca="false">IF(A2934="","",MONTH(A2934))</f>
        <v/>
      </c>
      <c r="L2934" s="0" t="str">
        <f aca="false">IF(B2934="","",VALUE(LEFT(B2934,2)))</f>
        <v/>
      </c>
      <c r="M2934" s="0" t="str">
        <f aca="false">IF(A2934="","",IF(COUNTIFS($C$2:$C$5001,C2934,$J$2:$J$5001,J2934,$A$2:$A$5001,"&lt;"&amp;A2934)=0,1,0))</f>
        <v/>
      </c>
    </row>
    <row r="2935" customFormat="false" ht="15" hidden="false" customHeight="false" outlineLevel="0" collapsed="false">
      <c r="A2935" s="27"/>
      <c r="F2935" s="28"/>
      <c r="J2935" s="0" t="str">
        <f aca="false">IF(A2935="","",YEAR(A2935))</f>
        <v/>
      </c>
      <c r="K2935" s="0" t="str">
        <f aca="false">IF(A2935="","",MONTH(A2935))</f>
        <v/>
      </c>
      <c r="L2935" s="0" t="str">
        <f aca="false">IF(B2935="","",VALUE(LEFT(B2935,2)))</f>
        <v/>
      </c>
      <c r="M2935" s="0" t="str">
        <f aca="false">IF(A2935="","",IF(COUNTIFS($C$2:$C$5001,C2935,$J$2:$J$5001,J2935,$A$2:$A$5001,"&lt;"&amp;A2935)=0,1,0))</f>
        <v/>
      </c>
    </row>
    <row r="2936" customFormat="false" ht="15" hidden="false" customHeight="false" outlineLevel="0" collapsed="false">
      <c r="A2936" s="27"/>
      <c r="F2936" s="28"/>
      <c r="J2936" s="0" t="str">
        <f aca="false">IF(A2936="","",YEAR(A2936))</f>
        <v/>
      </c>
      <c r="K2936" s="0" t="str">
        <f aca="false">IF(A2936="","",MONTH(A2936))</f>
        <v/>
      </c>
      <c r="L2936" s="0" t="str">
        <f aca="false">IF(B2936="","",VALUE(LEFT(B2936,2)))</f>
        <v/>
      </c>
      <c r="M2936" s="0" t="str">
        <f aca="false">IF(A2936="","",IF(COUNTIFS($C$2:$C$5001,C2936,$J$2:$J$5001,J2936,$A$2:$A$5001,"&lt;"&amp;A2936)=0,1,0))</f>
        <v/>
      </c>
    </row>
    <row r="2937" customFormat="false" ht="15" hidden="false" customHeight="false" outlineLevel="0" collapsed="false">
      <c r="A2937" s="27"/>
      <c r="F2937" s="28"/>
      <c r="J2937" s="0" t="str">
        <f aca="false">IF(A2937="","",YEAR(A2937))</f>
        <v/>
      </c>
      <c r="K2937" s="0" t="str">
        <f aca="false">IF(A2937="","",MONTH(A2937))</f>
        <v/>
      </c>
      <c r="L2937" s="0" t="str">
        <f aca="false">IF(B2937="","",VALUE(LEFT(B2937,2)))</f>
        <v/>
      </c>
      <c r="M2937" s="0" t="str">
        <f aca="false">IF(A2937="","",IF(COUNTIFS($C$2:$C$5001,C2937,$J$2:$J$5001,J2937,$A$2:$A$5001,"&lt;"&amp;A2937)=0,1,0))</f>
        <v/>
      </c>
    </row>
    <row r="2938" customFormat="false" ht="15" hidden="false" customHeight="false" outlineLevel="0" collapsed="false">
      <c r="A2938" s="27"/>
      <c r="F2938" s="28"/>
      <c r="J2938" s="0" t="str">
        <f aca="false">IF(A2938="","",YEAR(A2938))</f>
        <v/>
      </c>
      <c r="K2938" s="0" t="str">
        <f aca="false">IF(A2938="","",MONTH(A2938))</f>
        <v/>
      </c>
      <c r="L2938" s="0" t="str">
        <f aca="false">IF(B2938="","",VALUE(LEFT(B2938,2)))</f>
        <v/>
      </c>
      <c r="M2938" s="0" t="str">
        <f aca="false">IF(A2938="","",IF(COUNTIFS($C$2:$C$5001,C2938,$J$2:$J$5001,J2938,$A$2:$A$5001,"&lt;"&amp;A2938)=0,1,0))</f>
        <v/>
      </c>
    </row>
    <row r="2939" customFormat="false" ht="15" hidden="false" customHeight="false" outlineLevel="0" collapsed="false">
      <c r="A2939" s="27"/>
      <c r="F2939" s="28"/>
      <c r="J2939" s="0" t="str">
        <f aca="false">IF(A2939="","",YEAR(A2939))</f>
        <v/>
      </c>
      <c r="K2939" s="0" t="str">
        <f aca="false">IF(A2939="","",MONTH(A2939))</f>
        <v/>
      </c>
      <c r="L2939" s="0" t="str">
        <f aca="false">IF(B2939="","",VALUE(LEFT(B2939,2)))</f>
        <v/>
      </c>
      <c r="M2939" s="0" t="str">
        <f aca="false">IF(A2939="","",IF(COUNTIFS($C$2:$C$5001,C2939,$J$2:$J$5001,J2939,$A$2:$A$5001,"&lt;"&amp;A2939)=0,1,0))</f>
        <v/>
      </c>
    </row>
    <row r="2940" customFormat="false" ht="15" hidden="false" customHeight="false" outlineLevel="0" collapsed="false">
      <c r="A2940" s="27"/>
      <c r="F2940" s="28"/>
      <c r="J2940" s="0" t="str">
        <f aca="false">IF(A2940="","",YEAR(A2940))</f>
        <v/>
      </c>
      <c r="K2940" s="0" t="str">
        <f aca="false">IF(A2940="","",MONTH(A2940))</f>
        <v/>
      </c>
      <c r="L2940" s="0" t="str">
        <f aca="false">IF(B2940="","",VALUE(LEFT(B2940,2)))</f>
        <v/>
      </c>
      <c r="M2940" s="0" t="str">
        <f aca="false">IF(A2940="","",IF(COUNTIFS($C$2:$C$5001,C2940,$J$2:$J$5001,J2940,$A$2:$A$5001,"&lt;"&amp;A2940)=0,1,0))</f>
        <v/>
      </c>
    </row>
    <row r="2941" customFormat="false" ht="15" hidden="false" customHeight="false" outlineLevel="0" collapsed="false">
      <c r="A2941" s="27"/>
      <c r="F2941" s="28"/>
      <c r="J2941" s="0" t="str">
        <f aca="false">IF(A2941="","",YEAR(A2941))</f>
        <v/>
      </c>
      <c r="K2941" s="0" t="str">
        <f aca="false">IF(A2941="","",MONTH(A2941))</f>
        <v/>
      </c>
      <c r="L2941" s="0" t="str">
        <f aca="false">IF(B2941="","",VALUE(LEFT(B2941,2)))</f>
        <v/>
      </c>
      <c r="M2941" s="0" t="str">
        <f aca="false">IF(A2941="","",IF(COUNTIFS($C$2:$C$5001,C2941,$J$2:$J$5001,J2941,$A$2:$A$5001,"&lt;"&amp;A2941)=0,1,0))</f>
        <v/>
      </c>
    </row>
    <row r="2942" customFormat="false" ht="15" hidden="false" customHeight="false" outlineLevel="0" collapsed="false">
      <c r="A2942" s="27"/>
      <c r="F2942" s="28"/>
      <c r="J2942" s="0" t="str">
        <f aca="false">IF(A2942="","",YEAR(A2942))</f>
        <v/>
      </c>
      <c r="K2942" s="0" t="str">
        <f aca="false">IF(A2942="","",MONTH(A2942))</f>
        <v/>
      </c>
      <c r="L2942" s="0" t="str">
        <f aca="false">IF(B2942="","",VALUE(LEFT(B2942,2)))</f>
        <v/>
      </c>
      <c r="M2942" s="0" t="str">
        <f aca="false">IF(A2942="","",IF(COUNTIFS($C$2:$C$5001,C2942,$J$2:$J$5001,J2942,$A$2:$A$5001,"&lt;"&amp;A2942)=0,1,0))</f>
        <v/>
      </c>
    </row>
    <row r="2943" customFormat="false" ht="15" hidden="false" customHeight="false" outlineLevel="0" collapsed="false">
      <c r="A2943" s="27"/>
      <c r="F2943" s="28"/>
      <c r="J2943" s="0" t="str">
        <f aca="false">IF(A2943="","",YEAR(A2943))</f>
        <v/>
      </c>
      <c r="K2943" s="0" t="str">
        <f aca="false">IF(A2943="","",MONTH(A2943))</f>
        <v/>
      </c>
      <c r="L2943" s="0" t="str">
        <f aca="false">IF(B2943="","",VALUE(LEFT(B2943,2)))</f>
        <v/>
      </c>
      <c r="M2943" s="0" t="str">
        <f aca="false">IF(A2943="","",IF(COUNTIFS($C$2:$C$5001,C2943,$J$2:$J$5001,J2943,$A$2:$A$5001,"&lt;"&amp;A2943)=0,1,0))</f>
        <v/>
      </c>
    </row>
    <row r="2944" customFormat="false" ht="15" hidden="false" customHeight="false" outlineLevel="0" collapsed="false">
      <c r="A2944" s="27"/>
      <c r="F2944" s="28"/>
      <c r="J2944" s="0" t="str">
        <f aca="false">IF(A2944="","",YEAR(A2944))</f>
        <v/>
      </c>
      <c r="K2944" s="0" t="str">
        <f aca="false">IF(A2944="","",MONTH(A2944))</f>
        <v/>
      </c>
      <c r="L2944" s="0" t="str">
        <f aca="false">IF(B2944="","",VALUE(LEFT(B2944,2)))</f>
        <v/>
      </c>
      <c r="M2944" s="0" t="str">
        <f aca="false">IF(A2944="","",IF(COUNTIFS($C$2:$C$5001,C2944,$J$2:$J$5001,J2944,$A$2:$A$5001,"&lt;"&amp;A2944)=0,1,0))</f>
        <v/>
      </c>
    </row>
    <row r="2945" customFormat="false" ht="15" hidden="false" customHeight="false" outlineLevel="0" collapsed="false">
      <c r="A2945" s="27"/>
      <c r="F2945" s="28"/>
      <c r="J2945" s="0" t="str">
        <f aca="false">IF(A2945="","",YEAR(A2945))</f>
        <v/>
      </c>
      <c r="K2945" s="0" t="str">
        <f aca="false">IF(A2945="","",MONTH(A2945))</f>
        <v/>
      </c>
      <c r="L2945" s="0" t="str">
        <f aca="false">IF(B2945="","",VALUE(LEFT(B2945,2)))</f>
        <v/>
      </c>
      <c r="M2945" s="0" t="str">
        <f aca="false">IF(A2945="","",IF(COUNTIFS($C$2:$C$5001,C2945,$J$2:$J$5001,J2945,$A$2:$A$5001,"&lt;"&amp;A2945)=0,1,0))</f>
        <v/>
      </c>
    </row>
    <row r="2946" customFormat="false" ht="15" hidden="false" customHeight="false" outlineLevel="0" collapsed="false">
      <c r="A2946" s="27"/>
      <c r="F2946" s="28"/>
      <c r="J2946" s="0" t="str">
        <f aca="false">IF(A2946="","",YEAR(A2946))</f>
        <v/>
      </c>
      <c r="K2946" s="0" t="str">
        <f aca="false">IF(A2946="","",MONTH(A2946))</f>
        <v/>
      </c>
      <c r="L2946" s="0" t="str">
        <f aca="false">IF(B2946="","",VALUE(LEFT(B2946,2)))</f>
        <v/>
      </c>
      <c r="M2946" s="0" t="str">
        <f aca="false">IF(A2946="","",IF(COUNTIFS($C$2:$C$5001,C2946,$J$2:$J$5001,J2946,$A$2:$A$5001,"&lt;"&amp;A2946)=0,1,0))</f>
        <v/>
      </c>
    </row>
    <row r="2947" customFormat="false" ht="15" hidden="false" customHeight="false" outlineLevel="0" collapsed="false">
      <c r="A2947" s="27"/>
      <c r="F2947" s="28"/>
      <c r="J2947" s="0" t="str">
        <f aca="false">IF(A2947="","",YEAR(A2947))</f>
        <v/>
      </c>
      <c r="K2947" s="0" t="str">
        <f aca="false">IF(A2947="","",MONTH(A2947))</f>
        <v/>
      </c>
      <c r="L2947" s="0" t="str">
        <f aca="false">IF(B2947="","",VALUE(LEFT(B2947,2)))</f>
        <v/>
      </c>
      <c r="M2947" s="0" t="str">
        <f aca="false">IF(A2947="","",IF(COUNTIFS($C$2:$C$5001,C2947,$J$2:$J$5001,J2947,$A$2:$A$5001,"&lt;"&amp;A2947)=0,1,0))</f>
        <v/>
      </c>
    </row>
    <row r="2948" customFormat="false" ht="15" hidden="false" customHeight="false" outlineLevel="0" collapsed="false">
      <c r="A2948" s="27"/>
      <c r="F2948" s="28"/>
      <c r="J2948" s="0" t="str">
        <f aca="false">IF(A2948="","",YEAR(A2948))</f>
        <v/>
      </c>
      <c r="K2948" s="0" t="str">
        <f aca="false">IF(A2948="","",MONTH(A2948))</f>
        <v/>
      </c>
      <c r="L2948" s="0" t="str">
        <f aca="false">IF(B2948="","",VALUE(LEFT(B2948,2)))</f>
        <v/>
      </c>
      <c r="M2948" s="0" t="str">
        <f aca="false">IF(A2948="","",IF(COUNTIFS($C$2:$C$5001,C2948,$J$2:$J$5001,J2948,$A$2:$A$5001,"&lt;"&amp;A2948)=0,1,0))</f>
        <v/>
      </c>
    </row>
    <row r="2949" customFormat="false" ht="15" hidden="false" customHeight="false" outlineLevel="0" collapsed="false">
      <c r="A2949" s="27"/>
      <c r="F2949" s="28"/>
      <c r="J2949" s="0" t="str">
        <f aca="false">IF(A2949="","",YEAR(A2949))</f>
        <v/>
      </c>
      <c r="K2949" s="0" t="str">
        <f aca="false">IF(A2949="","",MONTH(A2949))</f>
        <v/>
      </c>
      <c r="L2949" s="0" t="str">
        <f aca="false">IF(B2949="","",VALUE(LEFT(B2949,2)))</f>
        <v/>
      </c>
      <c r="M2949" s="0" t="str">
        <f aca="false">IF(A2949="","",IF(COUNTIFS($C$2:$C$5001,C2949,$J$2:$J$5001,J2949,$A$2:$A$5001,"&lt;"&amp;A2949)=0,1,0))</f>
        <v/>
      </c>
    </row>
    <row r="2950" customFormat="false" ht="15" hidden="false" customHeight="false" outlineLevel="0" collapsed="false">
      <c r="A2950" s="27"/>
      <c r="F2950" s="28"/>
      <c r="J2950" s="0" t="str">
        <f aca="false">IF(A2950="","",YEAR(A2950))</f>
        <v/>
      </c>
      <c r="K2950" s="0" t="str">
        <f aca="false">IF(A2950="","",MONTH(A2950))</f>
        <v/>
      </c>
      <c r="L2950" s="0" t="str">
        <f aca="false">IF(B2950="","",VALUE(LEFT(B2950,2)))</f>
        <v/>
      </c>
      <c r="M2950" s="0" t="str">
        <f aca="false">IF(A2950="","",IF(COUNTIFS($C$2:$C$5001,C2950,$J$2:$J$5001,J2950,$A$2:$A$5001,"&lt;"&amp;A2950)=0,1,0))</f>
        <v/>
      </c>
    </row>
    <row r="2951" customFormat="false" ht="15" hidden="false" customHeight="false" outlineLevel="0" collapsed="false">
      <c r="A2951" s="27"/>
      <c r="F2951" s="28"/>
      <c r="J2951" s="0" t="str">
        <f aca="false">IF(A2951="","",YEAR(A2951))</f>
        <v/>
      </c>
      <c r="K2951" s="0" t="str">
        <f aca="false">IF(A2951="","",MONTH(A2951))</f>
        <v/>
      </c>
      <c r="L2951" s="0" t="str">
        <f aca="false">IF(B2951="","",VALUE(LEFT(B2951,2)))</f>
        <v/>
      </c>
      <c r="M2951" s="0" t="str">
        <f aca="false">IF(A2951="","",IF(COUNTIFS($C$2:$C$5001,C2951,$J$2:$J$5001,J2951,$A$2:$A$5001,"&lt;"&amp;A2951)=0,1,0))</f>
        <v/>
      </c>
    </row>
    <row r="2952" customFormat="false" ht="15" hidden="false" customHeight="false" outlineLevel="0" collapsed="false">
      <c r="A2952" s="27"/>
      <c r="F2952" s="28"/>
      <c r="J2952" s="0" t="str">
        <f aca="false">IF(A2952="","",YEAR(A2952))</f>
        <v/>
      </c>
      <c r="K2952" s="0" t="str">
        <f aca="false">IF(A2952="","",MONTH(A2952))</f>
        <v/>
      </c>
      <c r="L2952" s="0" t="str">
        <f aca="false">IF(B2952="","",VALUE(LEFT(B2952,2)))</f>
        <v/>
      </c>
      <c r="M2952" s="0" t="str">
        <f aca="false">IF(A2952="","",IF(COUNTIFS($C$2:$C$5001,C2952,$J$2:$J$5001,J2952,$A$2:$A$5001,"&lt;"&amp;A2952)=0,1,0))</f>
        <v/>
      </c>
    </row>
    <row r="2953" customFormat="false" ht="15" hidden="false" customHeight="false" outlineLevel="0" collapsed="false">
      <c r="A2953" s="27"/>
      <c r="F2953" s="28"/>
      <c r="J2953" s="0" t="str">
        <f aca="false">IF(A2953="","",YEAR(A2953))</f>
        <v/>
      </c>
      <c r="K2953" s="0" t="str">
        <f aca="false">IF(A2953="","",MONTH(A2953))</f>
        <v/>
      </c>
      <c r="L2953" s="0" t="str">
        <f aca="false">IF(B2953="","",VALUE(LEFT(B2953,2)))</f>
        <v/>
      </c>
      <c r="M2953" s="0" t="str">
        <f aca="false">IF(A2953="","",IF(COUNTIFS($C$2:$C$5001,C2953,$J$2:$J$5001,J2953,$A$2:$A$5001,"&lt;"&amp;A2953)=0,1,0))</f>
        <v/>
      </c>
    </row>
    <row r="2954" customFormat="false" ht="15" hidden="false" customHeight="false" outlineLevel="0" collapsed="false">
      <c r="A2954" s="27"/>
      <c r="F2954" s="28"/>
      <c r="J2954" s="0" t="str">
        <f aca="false">IF(A2954="","",YEAR(A2954))</f>
        <v/>
      </c>
      <c r="K2954" s="0" t="str">
        <f aca="false">IF(A2954="","",MONTH(A2954))</f>
        <v/>
      </c>
      <c r="L2954" s="0" t="str">
        <f aca="false">IF(B2954="","",VALUE(LEFT(B2954,2)))</f>
        <v/>
      </c>
      <c r="M2954" s="0" t="str">
        <f aca="false">IF(A2954="","",IF(COUNTIFS($C$2:$C$5001,C2954,$J$2:$J$5001,J2954,$A$2:$A$5001,"&lt;"&amp;A2954)=0,1,0))</f>
        <v/>
      </c>
    </row>
    <row r="2955" customFormat="false" ht="15" hidden="false" customHeight="false" outlineLevel="0" collapsed="false">
      <c r="A2955" s="27"/>
      <c r="F2955" s="28"/>
      <c r="J2955" s="0" t="str">
        <f aca="false">IF(A2955="","",YEAR(A2955))</f>
        <v/>
      </c>
      <c r="K2955" s="0" t="str">
        <f aca="false">IF(A2955="","",MONTH(A2955))</f>
        <v/>
      </c>
      <c r="L2955" s="0" t="str">
        <f aca="false">IF(B2955="","",VALUE(LEFT(B2955,2)))</f>
        <v/>
      </c>
      <c r="M2955" s="0" t="str">
        <f aca="false">IF(A2955="","",IF(COUNTIFS($C$2:$C$5001,C2955,$J$2:$J$5001,J2955,$A$2:$A$5001,"&lt;"&amp;A2955)=0,1,0))</f>
        <v/>
      </c>
    </row>
    <row r="2956" customFormat="false" ht="15" hidden="false" customHeight="false" outlineLevel="0" collapsed="false">
      <c r="A2956" s="27"/>
      <c r="F2956" s="28"/>
      <c r="J2956" s="0" t="str">
        <f aca="false">IF(A2956="","",YEAR(A2956))</f>
        <v/>
      </c>
      <c r="K2956" s="0" t="str">
        <f aca="false">IF(A2956="","",MONTH(A2956))</f>
        <v/>
      </c>
      <c r="L2956" s="0" t="str">
        <f aca="false">IF(B2956="","",VALUE(LEFT(B2956,2)))</f>
        <v/>
      </c>
      <c r="M2956" s="0" t="str">
        <f aca="false">IF(A2956="","",IF(COUNTIFS($C$2:$C$5001,C2956,$J$2:$J$5001,J2956,$A$2:$A$5001,"&lt;"&amp;A2956)=0,1,0))</f>
        <v/>
      </c>
    </row>
    <row r="2957" customFormat="false" ht="15" hidden="false" customHeight="false" outlineLevel="0" collapsed="false">
      <c r="A2957" s="27"/>
      <c r="F2957" s="28"/>
      <c r="J2957" s="0" t="str">
        <f aca="false">IF(A2957="","",YEAR(A2957))</f>
        <v/>
      </c>
      <c r="K2957" s="0" t="str">
        <f aca="false">IF(A2957="","",MONTH(A2957))</f>
        <v/>
      </c>
      <c r="L2957" s="0" t="str">
        <f aca="false">IF(B2957="","",VALUE(LEFT(B2957,2)))</f>
        <v/>
      </c>
      <c r="M2957" s="0" t="str">
        <f aca="false">IF(A2957="","",IF(COUNTIFS($C$2:$C$5001,C2957,$J$2:$J$5001,J2957,$A$2:$A$5001,"&lt;"&amp;A2957)=0,1,0))</f>
        <v/>
      </c>
    </row>
    <row r="2958" customFormat="false" ht="15" hidden="false" customHeight="false" outlineLevel="0" collapsed="false">
      <c r="A2958" s="27"/>
      <c r="F2958" s="28"/>
      <c r="J2958" s="0" t="str">
        <f aca="false">IF(A2958="","",YEAR(A2958))</f>
        <v/>
      </c>
      <c r="K2958" s="0" t="str">
        <f aca="false">IF(A2958="","",MONTH(A2958))</f>
        <v/>
      </c>
      <c r="L2958" s="0" t="str">
        <f aca="false">IF(B2958="","",VALUE(LEFT(B2958,2)))</f>
        <v/>
      </c>
      <c r="M2958" s="0" t="str">
        <f aca="false">IF(A2958="","",IF(COUNTIFS($C$2:$C$5001,C2958,$J$2:$J$5001,J2958,$A$2:$A$5001,"&lt;"&amp;A2958)=0,1,0))</f>
        <v/>
      </c>
    </row>
    <row r="2959" customFormat="false" ht="15" hidden="false" customHeight="false" outlineLevel="0" collapsed="false">
      <c r="A2959" s="27"/>
      <c r="F2959" s="28"/>
      <c r="J2959" s="0" t="str">
        <f aca="false">IF(A2959="","",YEAR(A2959))</f>
        <v/>
      </c>
      <c r="K2959" s="0" t="str">
        <f aca="false">IF(A2959="","",MONTH(A2959))</f>
        <v/>
      </c>
      <c r="L2959" s="0" t="str">
        <f aca="false">IF(B2959="","",VALUE(LEFT(B2959,2)))</f>
        <v/>
      </c>
      <c r="M2959" s="0" t="str">
        <f aca="false">IF(A2959="","",IF(COUNTIFS($C$2:$C$5001,C2959,$J$2:$J$5001,J2959,$A$2:$A$5001,"&lt;"&amp;A2959)=0,1,0))</f>
        <v/>
      </c>
    </row>
    <row r="2960" customFormat="false" ht="15" hidden="false" customHeight="false" outlineLevel="0" collapsed="false">
      <c r="A2960" s="27"/>
      <c r="F2960" s="28"/>
      <c r="J2960" s="0" t="str">
        <f aca="false">IF(A2960="","",YEAR(A2960))</f>
        <v/>
      </c>
      <c r="K2960" s="0" t="str">
        <f aca="false">IF(A2960="","",MONTH(A2960))</f>
        <v/>
      </c>
      <c r="L2960" s="0" t="str">
        <f aca="false">IF(B2960="","",VALUE(LEFT(B2960,2)))</f>
        <v/>
      </c>
      <c r="M2960" s="0" t="str">
        <f aca="false">IF(A2960="","",IF(COUNTIFS($C$2:$C$5001,C2960,$J$2:$J$5001,J2960,$A$2:$A$5001,"&lt;"&amp;A2960)=0,1,0))</f>
        <v/>
      </c>
    </row>
    <row r="2961" customFormat="false" ht="15" hidden="false" customHeight="false" outlineLevel="0" collapsed="false">
      <c r="A2961" s="27"/>
      <c r="F2961" s="28"/>
      <c r="J2961" s="0" t="str">
        <f aca="false">IF(A2961="","",YEAR(A2961))</f>
        <v/>
      </c>
      <c r="K2961" s="0" t="str">
        <f aca="false">IF(A2961="","",MONTH(A2961))</f>
        <v/>
      </c>
      <c r="L2961" s="0" t="str">
        <f aca="false">IF(B2961="","",VALUE(LEFT(B2961,2)))</f>
        <v/>
      </c>
      <c r="M2961" s="0" t="str">
        <f aca="false">IF(A2961="","",IF(COUNTIFS($C$2:$C$5001,C2961,$J$2:$J$5001,J2961,$A$2:$A$5001,"&lt;"&amp;A2961)=0,1,0))</f>
        <v/>
      </c>
    </row>
    <row r="2962" customFormat="false" ht="15" hidden="false" customHeight="false" outlineLevel="0" collapsed="false">
      <c r="A2962" s="27"/>
      <c r="F2962" s="28"/>
      <c r="J2962" s="0" t="str">
        <f aca="false">IF(A2962="","",YEAR(A2962))</f>
        <v/>
      </c>
      <c r="K2962" s="0" t="str">
        <f aca="false">IF(A2962="","",MONTH(A2962))</f>
        <v/>
      </c>
      <c r="L2962" s="0" t="str">
        <f aca="false">IF(B2962="","",VALUE(LEFT(B2962,2)))</f>
        <v/>
      </c>
      <c r="M2962" s="0" t="str">
        <f aca="false">IF(A2962="","",IF(COUNTIFS($C$2:$C$5001,C2962,$J$2:$J$5001,J2962,$A$2:$A$5001,"&lt;"&amp;A2962)=0,1,0))</f>
        <v/>
      </c>
    </row>
    <row r="2963" customFormat="false" ht="15" hidden="false" customHeight="false" outlineLevel="0" collapsed="false">
      <c r="A2963" s="27"/>
      <c r="F2963" s="28"/>
      <c r="J2963" s="0" t="str">
        <f aca="false">IF(A2963="","",YEAR(A2963))</f>
        <v/>
      </c>
      <c r="K2963" s="0" t="str">
        <f aca="false">IF(A2963="","",MONTH(A2963))</f>
        <v/>
      </c>
      <c r="L2963" s="0" t="str">
        <f aca="false">IF(B2963="","",VALUE(LEFT(B2963,2)))</f>
        <v/>
      </c>
      <c r="M2963" s="0" t="str">
        <f aca="false">IF(A2963="","",IF(COUNTIFS($C$2:$C$5001,C2963,$J$2:$J$5001,J2963,$A$2:$A$5001,"&lt;"&amp;A2963)=0,1,0))</f>
        <v/>
      </c>
    </row>
    <row r="2964" customFormat="false" ht="15" hidden="false" customHeight="false" outlineLevel="0" collapsed="false">
      <c r="A2964" s="27"/>
      <c r="F2964" s="28"/>
      <c r="J2964" s="0" t="str">
        <f aca="false">IF(A2964="","",YEAR(A2964))</f>
        <v/>
      </c>
      <c r="K2964" s="0" t="str">
        <f aca="false">IF(A2964="","",MONTH(A2964))</f>
        <v/>
      </c>
      <c r="L2964" s="0" t="str">
        <f aca="false">IF(B2964="","",VALUE(LEFT(B2964,2)))</f>
        <v/>
      </c>
      <c r="M2964" s="0" t="str">
        <f aca="false">IF(A2964="","",IF(COUNTIFS($C$2:$C$5001,C2964,$J$2:$J$5001,J2964,$A$2:$A$5001,"&lt;"&amp;A2964)=0,1,0))</f>
        <v/>
      </c>
    </row>
    <row r="2965" customFormat="false" ht="15" hidden="false" customHeight="false" outlineLevel="0" collapsed="false">
      <c r="A2965" s="27"/>
      <c r="F2965" s="28"/>
      <c r="J2965" s="0" t="str">
        <f aca="false">IF(A2965="","",YEAR(A2965))</f>
        <v/>
      </c>
      <c r="K2965" s="0" t="str">
        <f aca="false">IF(A2965="","",MONTH(A2965))</f>
        <v/>
      </c>
      <c r="L2965" s="0" t="str">
        <f aca="false">IF(B2965="","",VALUE(LEFT(B2965,2)))</f>
        <v/>
      </c>
      <c r="M2965" s="0" t="str">
        <f aca="false">IF(A2965="","",IF(COUNTIFS($C$2:$C$5001,C2965,$J$2:$J$5001,J2965,$A$2:$A$5001,"&lt;"&amp;A2965)=0,1,0))</f>
        <v/>
      </c>
    </row>
    <row r="2966" customFormat="false" ht="15" hidden="false" customHeight="false" outlineLevel="0" collapsed="false">
      <c r="A2966" s="27"/>
      <c r="F2966" s="28"/>
      <c r="J2966" s="0" t="str">
        <f aca="false">IF(A2966="","",YEAR(A2966))</f>
        <v/>
      </c>
      <c r="K2966" s="0" t="str">
        <f aca="false">IF(A2966="","",MONTH(A2966))</f>
        <v/>
      </c>
      <c r="L2966" s="0" t="str">
        <f aca="false">IF(B2966="","",VALUE(LEFT(B2966,2)))</f>
        <v/>
      </c>
      <c r="M2966" s="0" t="str">
        <f aca="false">IF(A2966="","",IF(COUNTIFS($C$2:$C$5001,C2966,$J$2:$J$5001,J2966,$A$2:$A$5001,"&lt;"&amp;A2966)=0,1,0))</f>
        <v/>
      </c>
    </row>
    <row r="2967" customFormat="false" ht="15" hidden="false" customHeight="false" outlineLevel="0" collapsed="false">
      <c r="A2967" s="27"/>
      <c r="F2967" s="28"/>
      <c r="J2967" s="0" t="str">
        <f aca="false">IF(A2967="","",YEAR(A2967))</f>
        <v/>
      </c>
      <c r="K2967" s="0" t="str">
        <f aca="false">IF(A2967="","",MONTH(A2967))</f>
        <v/>
      </c>
      <c r="L2967" s="0" t="str">
        <f aca="false">IF(B2967="","",VALUE(LEFT(B2967,2)))</f>
        <v/>
      </c>
      <c r="M2967" s="0" t="str">
        <f aca="false">IF(A2967="","",IF(COUNTIFS($C$2:$C$5001,C2967,$J$2:$J$5001,J2967,$A$2:$A$5001,"&lt;"&amp;A2967)=0,1,0))</f>
        <v/>
      </c>
    </row>
    <row r="2968" customFormat="false" ht="15" hidden="false" customHeight="false" outlineLevel="0" collapsed="false">
      <c r="A2968" s="27"/>
      <c r="F2968" s="28"/>
      <c r="J2968" s="0" t="str">
        <f aca="false">IF(A2968="","",YEAR(A2968))</f>
        <v/>
      </c>
      <c r="K2968" s="0" t="str">
        <f aca="false">IF(A2968="","",MONTH(A2968))</f>
        <v/>
      </c>
      <c r="L2968" s="0" t="str">
        <f aca="false">IF(B2968="","",VALUE(LEFT(B2968,2)))</f>
        <v/>
      </c>
      <c r="M2968" s="0" t="str">
        <f aca="false">IF(A2968="","",IF(COUNTIFS($C$2:$C$5001,C2968,$J$2:$J$5001,J2968,$A$2:$A$5001,"&lt;"&amp;A2968)=0,1,0))</f>
        <v/>
      </c>
    </row>
    <row r="2969" customFormat="false" ht="15" hidden="false" customHeight="false" outlineLevel="0" collapsed="false">
      <c r="A2969" s="27"/>
      <c r="F2969" s="28"/>
      <c r="J2969" s="0" t="str">
        <f aca="false">IF(A2969="","",YEAR(A2969))</f>
        <v/>
      </c>
      <c r="K2969" s="0" t="str">
        <f aca="false">IF(A2969="","",MONTH(A2969))</f>
        <v/>
      </c>
      <c r="L2969" s="0" t="str">
        <f aca="false">IF(B2969="","",VALUE(LEFT(B2969,2)))</f>
        <v/>
      </c>
      <c r="M2969" s="0" t="str">
        <f aca="false">IF(A2969="","",IF(COUNTIFS($C$2:$C$5001,C2969,$J$2:$J$5001,J2969,$A$2:$A$5001,"&lt;"&amp;A2969)=0,1,0))</f>
        <v/>
      </c>
    </row>
    <row r="2970" customFormat="false" ht="15" hidden="false" customHeight="false" outlineLevel="0" collapsed="false">
      <c r="A2970" s="27"/>
      <c r="F2970" s="28"/>
      <c r="J2970" s="0" t="str">
        <f aca="false">IF(A2970="","",YEAR(A2970))</f>
        <v/>
      </c>
      <c r="K2970" s="0" t="str">
        <f aca="false">IF(A2970="","",MONTH(A2970))</f>
        <v/>
      </c>
      <c r="L2970" s="0" t="str">
        <f aca="false">IF(B2970="","",VALUE(LEFT(B2970,2)))</f>
        <v/>
      </c>
      <c r="M2970" s="0" t="str">
        <f aca="false">IF(A2970="","",IF(COUNTIFS($C$2:$C$5001,C2970,$J$2:$J$5001,J2970,$A$2:$A$5001,"&lt;"&amp;A2970)=0,1,0))</f>
        <v/>
      </c>
    </row>
    <row r="2971" customFormat="false" ht="15" hidden="false" customHeight="false" outlineLevel="0" collapsed="false">
      <c r="A2971" s="27"/>
      <c r="F2971" s="28"/>
      <c r="J2971" s="0" t="str">
        <f aca="false">IF(A2971="","",YEAR(A2971))</f>
        <v/>
      </c>
      <c r="K2971" s="0" t="str">
        <f aca="false">IF(A2971="","",MONTH(A2971))</f>
        <v/>
      </c>
      <c r="L2971" s="0" t="str">
        <f aca="false">IF(B2971="","",VALUE(LEFT(B2971,2)))</f>
        <v/>
      </c>
      <c r="M2971" s="0" t="str">
        <f aca="false">IF(A2971="","",IF(COUNTIFS($C$2:$C$5001,C2971,$J$2:$J$5001,J2971,$A$2:$A$5001,"&lt;"&amp;A2971)=0,1,0))</f>
        <v/>
      </c>
    </row>
    <row r="2972" customFormat="false" ht="15" hidden="false" customHeight="false" outlineLevel="0" collapsed="false">
      <c r="A2972" s="27"/>
      <c r="F2972" s="28"/>
      <c r="J2972" s="0" t="str">
        <f aca="false">IF(A2972="","",YEAR(A2972))</f>
        <v/>
      </c>
      <c r="K2972" s="0" t="str">
        <f aca="false">IF(A2972="","",MONTH(A2972))</f>
        <v/>
      </c>
      <c r="L2972" s="0" t="str">
        <f aca="false">IF(B2972="","",VALUE(LEFT(B2972,2)))</f>
        <v/>
      </c>
      <c r="M2972" s="0" t="str">
        <f aca="false">IF(A2972="","",IF(COUNTIFS($C$2:$C$5001,C2972,$J$2:$J$5001,J2972,$A$2:$A$5001,"&lt;"&amp;A2972)=0,1,0))</f>
        <v/>
      </c>
    </row>
    <row r="2973" customFormat="false" ht="15" hidden="false" customHeight="false" outlineLevel="0" collapsed="false">
      <c r="A2973" s="27"/>
      <c r="F2973" s="28"/>
      <c r="J2973" s="0" t="str">
        <f aca="false">IF(A2973="","",YEAR(A2973))</f>
        <v/>
      </c>
      <c r="K2973" s="0" t="str">
        <f aca="false">IF(A2973="","",MONTH(A2973))</f>
        <v/>
      </c>
      <c r="L2973" s="0" t="str">
        <f aca="false">IF(B2973="","",VALUE(LEFT(B2973,2)))</f>
        <v/>
      </c>
      <c r="M2973" s="0" t="str">
        <f aca="false">IF(A2973="","",IF(COUNTIFS($C$2:$C$5001,C2973,$J$2:$J$5001,J2973,$A$2:$A$5001,"&lt;"&amp;A2973)=0,1,0))</f>
        <v/>
      </c>
    </row>
    <row r="2974" customFormat="false" ht="15" hidden="false" customHeight="false" outlineLevel="0" collapsed="false">
      <c r="A2974" s="27"/>
      <c r="F2974" s="28"/>
      <c r="J2974" s="0" t="str">
        <f aca="false">IF(A2974="","",YEAR(A2974))</f>
        <v/>
      </c>
      <c r="K2974" s="0" t="str">
        <f aca="false">IF(A2974="","",MONTH(A2974))</f>
        <v/>
      </c>
      <c r="L2974" s="0" t="str">
        <f aca="false">IF(B2974="","",VALUE(LEFT(B2974,2)))</f>
        <v/>
      </c>
      <c r="M2974" s="0" t="str">
        <f aca="false">IF(A2974="","",IF(COUNTIFS($C$2:$C$5001,C2974,$J$2:$J$5001,J2974,$A$2:$A$5001,"&lt;"&amp;A2974)=0,1,0))</f>
        <v/>
      </c>
    </row>
    <row r="2975" customFormat="false" ht="15" hidden="false" customHeight="false" outlineLevel="0" collapsed="false">
      <c r="A2975" s="27"/>
      <c r="F2975" s="28"/>
      <c r="J2975" s="0" t="str">
        <f aca="false">IF(A2975="","",YEAR(A2975))</f>
        <v/>
      </c>
      <c r="K2975" s="0" t="str">
        <f aca="false">IF(A2975="","",MONTH(A2975))</f>
        <v/>
      </c>
      <c r="L2975" s="0" t="str">
        <f aca="false">IF(B2975="","",VALUE(LEFT(B2975,2)))</f>
        <v/>
      </c>
      <c r="M2975" s="0" t="str">
        <f aca="false">IF(A2975="","",IF(COUNTIFS($C$2:$C$5001,C2975,$J$2:$J$5001,J2975,$A$2:$A$5001,"&lt;"&amp;A2975)=0,1,0))</f>
        <v/>
      </c>
    </row>
    <row r="2976" customFormat="false" ht="15" hidden="false" customHeight="false" outlineLevel="0" collapsed="false">
      <c r="A2976" s="27"/>
      <c r="F2976" s="28"/>
      <c r="J2976" s="0" t="str">
        <f aca="false">IF(A2976="","",YEAR(A2976))</f>
        <v/>
      </c>
      <c r="K2976" s="0" t="str">
        <f aca="false">IF(A2976="","",MONTH(A2976))</f>
        <v/>
      </c>
      <c r="L2976" s="0" t="str">
        <f aca="false">IF(B2976="","",VALUE(LEFT(B2976,2)))</f>
        <v/>
      </c>
      <c r="M2976" s="0" t="str">
        <f aca="false">IF(A2976="","",IF(COUNTIFS($C$2:$C$5001,C2976,$J$2:$J$5001,J2976,$A$2:$A$5001,"&lt;"&amp;A2976)=0,1,0))</f>
        <v/>
      </c>
    </row>
    <row r="2977" customFormat="false" ht="15" hidden="false" customHeight="false" outlineLevel="0" collapsed="false">
      <c r="A2977" s="27"/>
      <c r="F2977" s="28"/>
      <c r="J2977" s="0" t="str">
        <f aca="false">IF(A2977="","",YEAR(A2977))</f>
        <v/>
      </c>
      <c r="K2977" s="0" t="str">
        <f aca="false">IF(A2977="","",MONTH(A2977))</f>
        <v/>
      </c>
      <c r="L2977" s="0" t="str">
        <f aca="false">IF(B2977="","",VALUE(LEFT(B2977,2)))</f>
        <v/>
      </c>
      <c r="M2977" s="0" t="str">
        <f aca="false">IF(A2977="","",IF(COUNTIFS($C$2:$C$5001,C2977,$J$2:$J$5001,J2977,$A$2:$A$5001,"&lt;"&amp;A2977)=0,1,0))</f>
        <v/>
      </c>
    </row>
    <row r="2978" customFormat="false" ht="15" hidden="false" customHeight="false" outlineLevel="0" collapsed="false">
      <c r="A2978" s="27"/>
      <c r="F2978" s="28"/>
      <c r="J2978" s="0" t="str">
        <f aca="false">IF(A2978="","",YEAR(A2978))</f>
        <v/>
      </c>
      <c r="K2978" s="0" t="str">
        <f aca="false">IF(A2978="","",MONTH(A2978))</f>
        <v/>
      </c>
      <c r="L2978" s="0" t="str">
        <f aca="false">IF(B2978="","",VALUE(LEFT(B2978,2)))</f>
        <v/>
      </c>
      <c r="M2978" s="0" t="str">
        <f aca="false">IF(A2978="","",IF(COUNTIFS($C$2:$C$5001,C2978,$J$2:$J$5001,J2978,$A$2:$A$5001,"&lt;"&amp;A2978)=0,1,0))</f>
        <v/>
      </c>
    </row>
    <row r="2979" customFormat="false" ht="15" hidden="false" customHeight="false" outlineLevel="0" collapsed="false">
      <c r="A2979" s="27"/>
      <c r="F2979" s="28"/>
      <c r="J2979" s="0" t="str">
        <f aca="false">IF(A2979="","",YEAR(A2979))</f>
        <v/>
      </c>
      <c r="K2979" s="0" t="str">
        <f aca="false">IF(A2979="","",MONTH(A2979))</f>
        <v/>
      </c>
      <c r="L2979" s="0" t="str">
        <f aca="false">IF(B2979="","",VALUE(LEFT(B2979,2)))</f>
        <v/>
      </c>
      <c r="M2979" s="0" t="str">
        <f aca="false">IF(A2979="","",IF(COUNTIFS($C$2:$C$5001,C2979,$J$2:$J$5001,J2979,$A$2:$A$5001,"&lt;"&amp;A2979)=0,1,0))</f>
        <v/>
      </c>
    </row>
    <row r="2980" customFormat="false" ht="15" hidden="false" customHeight="false" outlineLevel="0" collapsed="false">
      <c r="A2980" s="27"/>
      <c r="F2980" s="28"/>
      <c r="J2980" s="0" t="str">
        <f aca="false">IF(A2980="","",YEAR(A2980))</f>
        <v/>
      </c>
      <c r="K2980" s="0" t="str">
        <f aca="false">IF(A2980="","",MONTH(A2980))</f>
        <v/>
      </c>
      <c r="L2980" s="0" t="str">
        <f aca="false">IF(B2980="","",VALUE(LEFT(B2980,2)))</f>
        <v/>
      </c>
      <c r="M2980" s="0" t="str">
        <f aca="false">IF(A2980="","",IF(COUNTIFS($C$2:$C$5001,C2980,$J$2:$J$5001,J2980,$A$2:$A$5001,"&lt;"&amp;A2980)=0,1,0))</f>
        <v/>
      </c>
    </row>
    <row r="2981" customFormat="false" ht="15" hidden="false" customHeight="false" outlineLevel="0" collapsed="false">
      <c r="A2981" s="27"/>
      <c r="F2981" s="28"/>
      <c r="J2981" s="0" t="str">
        <f aca="false">IF(A2981="","",YEAR(A2981))</f>
        <v/>
      </c>
      <c r="K2981" s="0" t="str">
        <f aca="false">IF(A2981="","",MONTH(A2981))</f>
        <v/>
      </c>
      <c r="L2981" s="0" t="str">
        <f aca="false">IF(B2981="","",VALUE(LEFT(B2981,2)))</f>
        <v/>
      </c>
      <c r="M2981" s="0" t="str">
        <f aca="false">IF(A2981="","",IF(COUNTIFS($C$2:$C$5001,C2981,$J$2:$J$5001,J2981,$A$2:$A$5001,"&lt;"&amp;A2981)=0,1,0))</f>
        <v/>
      </c>
    </row>
    <row r="2982" customFormat="false" ht="15" hidden="false" customHeight="false" outlineLevel="0" collapsed="false">
      <c r="A2982" s="27"/>
      <c r="F2982" s="28"/>
      <c r="J2982" s="0" t="str">
        <f aca="false">IF(A2982="","",YEAR(A2982))</f>
        <v/>
      </c>
      <c r="K2982" s="0" t="str">
        <f aca="false">IF(A2982="","",MONTH(A2982))</f>
        <v/>
      </c>
      <c r="L2982" s="0" t="str">
        <f aca="false">IF(B2982="","",VALUE(LEFT(B2982,2)))</f>
        <v/>
      </c>
      <c r="M2982" s="0" t="str">
        <f aca="false">IF(A2982="","",IF(COUNTIFS($C$2:$C$5001,C2982,$J$2:$J$5001,J2982,$A$2:$A$5001,"&lt;"&amp;A2982)=0,1,0))</f>
        <v/>
      </c>
    </row>
    <row r="2983" customFormat="false" ht="15" hidden="false" customHeight="false" outlineLevel="0" collapsed="false">
      <c r="A2983" s="27"/>
      <c r="F2983" s="28"/>
      <c r="J2983" s="0" t="str">
        <f aca="false">IF(A2983="","",YEAR(A2983))</f>
        <v/>
      </c>
      <c r="K2983" s="0" t="str">
        <f aca="false">IF(A2983="","",MONTH(A2983))</f>
        <v/>
      </c>
      <c r="L2983" s="0" t="str">
        <f aca="false">IF(B2983="","",VALUE(LEFT(B2983,2)))</f>
        <v/>
      </c>
      <c r="M2983" s="0" t="str">
        <f aca="false">IF(A2983="","",IF(COUNTIFS($C$2:$C$5001,C2983,$J$2:$J$5001,J2983,$A$2:$A$5001,"&lt;"&amp;A2983)=0,1,0))</f>
        <v/>
      </c>
    </row>
    <row r="2984" customFormat="false" ht="15" hidden="false" customHeight="false" outlineLevel="0" collapsed="false">
      <c r="A2984" s="27"/>
      <c r="F2984" s="28"/>
      <c r="J2984" s="0" t="str">
        <f aca="false">IF(A2984="","",YEAR(A2984))</f>
        <v/>
      </c>
      <c r="K2984" s="0" t="str">
        <f aca="false">IF(A2984="","",MONTH(A2984))</f>
        <v/>
      </c>
      <c r="L2984" s="0" t="str">
        <f aca="false">IF(B2984="","",VALUE(LEFT(B2984,2)))</f>
        <v/>
      </c>
      <c r="M2984" s="0" t="str">
        <f aca="false">IF(A2984="","",IF(COUNTIFS($C$2:$C$5001,C2984,$J$2:$J$5001,J2984,$A$2:$A$5001,"&lt;"&amp;A2984)=0,1,0))</f>
        <v/>
      </c>
    </row>
    <row r="2985" customFormat="false" ht="15" hidden="false" customHeight="false" outlineLevel="0" collapsed="false">
      <c r="A2985" s="27"/>
      <c r="F2985" s="28"/>
      <c r="J2985" s="0" t="str">
        <f aca="false">IF(A2985="","",YEAR(A2985))</f>
        <v/>
      </c>
      <c r="K2985" s="0" t="str">
        <f aca="false">IF(A2985="","",MONTH(A2985))</f>
        <v/>
      </c>
      <c r="L2985" s="0" t="str">
        <f aca="false">IF(B2985="","",VALUE(LEFT(B2985,2)))</f>
        <v/>
      </c>
      <c r="M2985" s="0" t="str">
        <f aca="false">IF(A2985="","",IF(COUNTIFS($C$2:$C$5001,C2985,$J$2:$J$5001,J2985,$A$2:$A$5001,"&lt;"&amp;A2985)=0,1,0))</f>
        <v/>
      </c>
    </row>
    <row r="2986" customFormat="false" ht="15" hidden="false" customHeight="false" outlineLevel="0" collapsed="false">
      <c r="A2986" s="27"/>
      <c r="F2986" s="28"/>
      <c r="J2986" s="0" t="str">
        <f aca="false">IF(A2986="","",YEAR(A2986))</f>
        <v/>
      </c>
      <c r="K2986" s="0" t="str">
        <f aca="false">IF(A2986="","",MONTH(A2986))</f>
        <v/>
      </c>
      <c r="L2986" s="0" t="str">
        <f aca="false">IF(B2986="","",VALUE(LEFT(B2986,2)))</f>
        <v/>
      </c>
      <c r="M2986" s="0" t="str">
        <f aca="false">IF(A2986="","",IF(COUNTIFS($C$2:$C$5001,C2986,$J$2:$J$5001,J2986,$A$2:$A$5001,"&lt;"&amp;A2986)=0,1,0))</f>
        <v/>
      </c>
    </row>
    <row r="2987" customFormat="false" ht="15" hidden="false" customHeight="false" outlineLevel="0" collapsed="false">
      <c r="A2987" s="27"/>
      <c r="F2987" s="28"/>
      <c r="J2987" s="0" t="str">
        <f aca="false">IF(A2987="","",YEAR(A2987))</f>
        <v/>
      </c>
      <c r="K2987" s="0" t="str">
        <f aca="false">IF(A2987="","",MONTH(A2987))</f>
        <v/>
      </c>
      <c r="L2987" s="0" t="str">
        <f aca="false">IF(B2987="","",VALUE(LEFT(B2987,2)))</f>
        <v/>
      </c>
      <c r="M2987" s="0" t="str">
        <f aca="false">IF(A2987="","",IF(COUNTIFS($C$2:$C$5001,C2987,$J$2:$J$5001,J2987,$A$2:$A$5001,"&lt;"&amp;A2987)=0,1,0))</f>
        <v/>
      </c>
    </row>
    <row r="2988" customFormat="false" ht="15" hidden="false" customHeight="false" outlineLevel="0" collapsed="false">
      <c r="A2988" s="27"/>
      <c r="F2988" s="28"/>
      <c r="J2988" s="0" t="str">
        <f aca="false">IF(A2988="","",YEAR(A2988))</f>
        <v/>
      </c>
      <c r="K2988" s="0" t="str">
        <f aca="false">IF(A2988="","",MONTH(A2988))</f>
        <v/>
      </c>
      <c r="L2988" s="0" t="str">
        <f aca="false">IF(B2988="","",VALUE(LEFT(B2988,2)))</f>
        <v/>
      </c>
      <c r="M2988" s="0" t="str">
        <f aca="false">IF(A2988="","",IF(COUNTIFS($C$2:$C$5001,C2988,$J$2:$J$5001,J2988,$A$2:$A$5001,"&lt;"&amp;A2988)=0,1,0))</f>
        <v/>
      </c>
    </row>
    <row r="2989" customFormat="false" ht="15" hidden="false" customHeight="false" outlineLevel="0" collapsed="false">
      <c r="A2989" s="27"/>
      <c r="F2989" s="28"/>
      <c r="J2989" s="0" t="str">
        <f aca="false">IF(A2989="","",YEAR(A2989))</f>
        <v/>
      </c>
      <c r="K2989" s="0" t="str">
        <f aca="false">IF(A2989="","",MONTH(A2989))</f>
        <v/>
      </c>
      <c r="L2989" s="0" t="str">
        <f aca="false">IF(B2989="","",VALUE(LEFT(B2989,2)))</f>
        <v/>
      </c>
      <c r="M2989" s="0" t="str">
        <f aca="false">IF(A2989="","",IF(COUNTIFS($C$2:$C$5001,C2989,$J$2:$J$5001,J2989,$A$2:$A$5001,"&lt;"&amp;A2989)=0,1,0))</f>
        <v/>
      </c>
    </row>
    <row r="2990" customFormat="false" ht="15" hidden="false" customHeight="false" outlineLevel="0" collapsed="false">
      <c r="A2990" s="27"/>
      <c r="F2990" s="28"/>
      <c r="J2990" s="0" t="str">
        <f aca="false">IF(A2990="","",YEAR(A2990))</f>
        <v/>
      </c>
      <c r="K2990" s="0" t="str">
        <f aca="false">IF(A2990="","",MONTH(A2990))</f>
        <v/>
      </c>
      <c r="L2990" s="0" t="str">
        <f aca="false">IF(B2990="","",VALUE(LEFT(B2990,2)))</f>
        <v/>
      </c>
      <c r="M2990" s="0" t="str">
        <f aca="false">IF(A2990="","",IF(COUNTIFS($C$2:$C$5001,C2990,$J$2:$J$5001,J2990,$A$2:$A$5001,"&lt;"&amp;A2990)=0,1,0))</f>
        <v/>
      </c>
    </row>
    <row r="2991" customFormat="false" ht="15" hidden="false" customHeight="false" outlineLevel="0" collapsed="false">
      <c r="A2991" s="27"/>
      <c r="F2991" s="28"/>
      <c r="J2991" s="0" t="str">
        <f aca="false">IF(A2991="","",YEAR(A2991))</f>
        <v/>
      </c>
      <c r="K2991" s="0" t="str">
        <f aca="false">IF(A2991="","",MONTH(A2991))</f>
        <v/>
      </c>
      <c r="L2991" s="0" t="str">
        <f aca="false">IF(B2991="","",VALUE(LEFT(B2991,2)))</f>
        <v/>
      </c>
      <c r="M2991" s="0" t="str">
        <f aca="false">IF(A2991="","",IF(COUNTIFS($C$2:$C$5001,C2991,$J$2:$J$5001,J2991,$A$2:$A$5001,"&lt;"&amp;A2991)=0,1,0))</f>
        <v/>
      </c>
    </row>
    <row r="2992" customFormat="false" ht="15" hidden="false" customHeight="false" outlineLevel="0" collapsed="false">
      <c r="A2992" s="27"/>
      <c r="F2992" s="28"/>
      <c r="J2992" s="0" t="str">
        <f aca="false">IF(A2992="","",YEAR(A2992))</f>
        <v/>
      </c>
      <c r="K2992" s="0" t="str">
        <f aca="false">IF(A2992="","",MONTH(A2992))</f>
        <v/>
      </c>
      <c r="L2992" s="0" t="str">
        <f aca="false">IF(B2992="","",VALUE(LEFT(B2992,2)))</f>
        <v/>
      </c>
      <c r="M2992" s="0" t="str">
        <f aca="false">IF(A2992="","",IF(COUNTIFS($C$2:$C$5001,C2992,$J$2:$J$5001,J2992,$A$2:$A$5001,"&lt;"&amp;A2992)=0,1,0))</f>
        <v/>
      </c>
    </row>
    <row r="2993" customFormat="false" ht="15" hidden="false" customHeight="false" outlineLevel="0" collapsed="false">
      <c r="A2993" s="27"/>
      <c r="F2993" s="28"/>
      <c r="J2993" s="0" t="str">
        <f aca="false">IF(A2993="","",YEAR(A2993))</f>
        <v/>
      </c>
      <c r="K2993" s="0" t="str">
        <f aca="false">IF(A2993="","",MONTH(A2993))</f>
        <v/>
      </c>
      <c r="L2993" s="0" t="str">
        <f aca="false">IF(B2993="","",VALUE(LEFT(B2993,2)))</f>
        <v/>
      </c>
      <c r="M2993" s="0" t="str">
        <f aca="false">IF(A2993="","",IF(COUNTIFS($C$2:$C$5001,C2993,$J$2:$J$5001,J2993,$A$2:$A$5001,"&lt;"&amp;A2993)=0,1,0))</f>
        <v/>
      </c>
    </row>
    <row r="2994" customFormat="false" ht="15" hidden="false" customHeight="false" outlineLevel="0" collapsed="false">
      <c r="A2994" s="27"/>
      <c r="F2994" s="28"/>
      <c r="J2994" s="0" t="str">
        <f aca="false">IF(A2994="","",YEAR(A2994))</f>
        <v/>
      </c>
      <c r="K2994" s="0" t="str">
        <f aca="false">IF(A2994="","",MONTH(A2994))</f>
        <v/>
      </c>
      <c r="L2994" s="0" t="str">
        <f aca="false">IF(B2994="","",VALUE(LEFT(B2994,2)))</f>
        <v/>
      </c>
      <c r="M2994" s="0" t="str">
        <f aca="false">IF(A2994="","",IF(COUNTIFS($C$2:$C$5001,C2994,$J$2:$J$5001,J2994,$A$2:$A$5001,"&lt;"&amp;A2994)=0,1,0))</f>
        <v/>
      </c>
    </row>
    <row r="2995" customFormat="false" ht="15" hidden="false" customHeight="false" outlineLevel="0" collapsed="false">
      <c r="A2995" s="27"/>
      <c r="F2995" s="28"/>
      <c r="J2995" s="0" t="str">
        <f aca="false">IF(A2995="","",YEAR(A2995))</f>
        <v/>
      </c>
      <c r="K2995" s="0" t="str">
        <f aca="false">IF(A2995="","",MONTH(A2995))</f>
        <v/>
      </c>
      <c r="L2995" s="0" t="str">
        <f aca="false">IF(B2995="","",VALUE(LEFT(B2995,2)))</f>
        <v/>
      </c>
      <c r="M2995" s="0" t="str">
        <f aca="false">IF(A2995="","",IF(COUNTIFS($C$2:$C$5001,C2995,$J$2:$J$5001,J2995,$A$2:$A$5001,"&lt;"&amp;A2995)=0,1,0))</f>
        <v/>
      </c>
    </row>
    <row r="2996" customFormat="false" ht="15" hidden="false" customHeight="false" outlineLevel="0" collapsed="false">
      <c r="A2996" s="27"/>
      <c r="F2996" s="28"/>
      <c r="J2996" s="0" t="str">
        <f aca="false">IF(A2996="","",YEAR(A2996))</f>
        <v/>
      </c>
      <c r="K2996" s="0" t="str">
        <f aca="false">IF(A2996="","",MONTH(A2996))</f>
        <v/>
      </c>
      <c r="L2996" s="0" t="str">
        <f aca="false">IF(B2996="","",VALUE(LEFT(B2996,2)))</f>
        <v/>
      </c>
      <c r="M2996" s="0" t="str">
        <f aca="false">IF(A2996="","",IF(COUNTIFS($C$2:$C$5001,C2996,$J$2:$J$5001,J2996,$A$2:$A$5001,"&lt;"&amp;A2996)=0,1,0))</f>
        <v/>
      </c>
    </row>
    <row r="2997" customFormat="false" ht="15" hidden="false" customHeight="false" outlineLevel="0" collapsed="false">
      <c r="A2997" s="27"/>
      <c r="F2997" s="28"/>
      <c r="J2997" s="0" t="str">
        <f aca="false">IF(A2997="","",YEAR(A2997))</f>
        <v/>
      </c>
      <c r="K2997" s="0" t="str">
        <f aca="false">IF(A2997="","",MONTH(A2997))</f>
        <v/>
      </c>
      <c r="L2997" s="0" t="str">
        <f aca="false">IF(B2997="","",VALUE(LEFT(B2997,2)))</f>
        <v/>
      </c>
      <c r="M2997" s="0" t="str">
        <f aca="false">IF(A2997="","",IF(COUNTIFS($C$2:$C$5001,C2997,$J$2:$J$5001,J2997,$A$2:$A$5001,"&lt;"&amp;A2997)=0,1,0))</f>
        <v/>
      </c>
    </row>
    <row r="2998" customFormat="false" ht="15" hidden="false" customHeight="false" outlineLevel="0" collapsed="false">
      <c r="A2998" s="27"/>
      <c r="F2998" s="28"/>
      <c r="J2998" s="0" t="str">
        <f aca="false">IF(A2998="","",YEAR(A2998))</f>
        <v/>
      </c>
      <c r="K2998" s="0" t="str">
        <f aca="false">IF(A2998="","",MONTH(A2998))</f>
        <v/>
      </c>
      <c r="L2998" s="0" t="str">
        <f aca="false">IF(B2998="","",VALUE(LEFT(B2998,2)))</f>
        <v/>
      </c>
      <c r="M2998" s="0" t="str">
        <f aca="false">IF(A2998="","",IF(COUNTIFS($C$2:$C$5001,C2998,$J$2:$J$5001,J2998,$A$2:$A$5001,"&lt;"&amp;A2998)=0,1,0))</f>
        <v/>
      </c>
    </row>
    <row r="2999" customFormat="false" ht="15" hidden="false" customHeight="false" outlineLevel="0" collapsed="false">
      <c r="A2999" s="27"/>
      <c r="F2999" s="28"/>
      <c r="J2999" s="0" t="str">
        <f aca="false">IF(A2999="","",YEAR(A2999))</f>
        <v/>
      </c>
      <c r="K2999" s="0" t="str">
        <f aca="false">IF(A2999="","",MONTH(A2999))</f>
        <v/>
      </c>
      <c r="L2999" s="0" t="str">
        <f aca="false">IF(B2999="","",VALUE(LEFT(B2999,2)))</f>
        <v/>
      </c>
      <c r="M2999" s="0" t="str">
        <f aca="false">IF(A2999="","",IF(COUNTIFS($C$2:$C$5001,C2999,$J$2:$J$5001,J2999,$A$2:$A$5001,"&lt;"&amp;A2999)=0,1,0))</f>
        <v/>
      </c>
    </row>
    <row r="3000" customFormat="false" ht="15" hidden="false" customHeight="false" outlineLevel="0" collapsed="false">
      <c r="A3000" s="27"/>
      <c r="F3000" s="28"/>
      <c r="J3000" s="0" t="str">
        <f aca="false">IF(A3000="","",YEAR(A3000))</f>
        <v/>
      </c>
      <c r="K3000" s="0" t="str">
        <f aca="false">IF(A3000="","",MONTH(A3000))</f>
        <v/>
      </c>
      <c r="L3000" s="0" t="str">
        <f aca="false">IF(B3000="","",VALUE(LEFT(B3000,2)))</f>
        <v/>
      </c>
      <c r="M3000" s="0" t="str">
        <f aca="false">IF(A3000="","",IF(COUNTIFS($C$2:$C$5001,C3000,$J$2:$J$5001,J3000,$A$2:$A$5001,"&lt;"&amp;A3000)=0,1,0))</f>
        <v/>
      </c>
    </row>
    <row r="3001" customFormat="false" ht="15" hidden="false" customHeight="false" outlineLevel="0" collapsed="false">
      <c r="A3001" s="27"/>
      <c r="F3001" s="28"/>
      <c r="J3001" s="0" t="str">
        <f aca="false">IF(A3001="","",YEAR(A3001))</f>
        <v/>
      </c>
      <c r="K3001" s="0" t="str">
        <f aca="false">IF(A3001="","",MONTH(A3001))</f>
        <v/>
      </c>
      <c r="L3001" s="0" t="str">
        <f aca="false">IF(B3001="","",VALUE(LEFT(B3001,2)))</f>
        <v/>
      </c>
      <c r="M3001" s="0" t="str">
        <f aca="false">IF(A3001="","",IF(COUNTIFS($C$2:$C$5001,C3001,$J$2:$J$5001,J3001,$A$2:$A$5001,"&lt;"&amp;A3001)=0,1,0))</f>
        <v/>
      </c>
    </row>
    <row r="3002" customFormat="false" ht="15" hidden="false" customHeight="false" outlineLevel="0" collapsed="false">
      <c r="A3002" s="27"/>
      <c r="F3002" s="28"/>
      <c r="J3002" s="0" t="str">
        <f aca="false">IF(A3002="","",YEAR(A3002))</f>
        <v/>
      </c>
      <c r="K3002" s="0" t="str">
        <f aca="false">IF(A3002="","",MONTH(A3002))</f>
        <v/>
      </c>
      <c r="L3002" s="0" t="str">
        <f aca="false">IF(B3002="","",VALUE(LEFT(B3002,2)))</f>
        <v/>
      </c>
      <c r="M3002" s="0" t="str">
        <f aca="false">IF(A3002="","",IF(COUNTIFS($C$2:$C$5001,C3002,$J$2:$J$5001,J3002,$A$2:$A$5001,"&lt;"&amp;A3002)=0,1,0))</f>
        <v/>
      </c>
    </row>
    <row r="3003" customFormat="false" ht="15" hidden="false" customHeight="false" outlineLevel="0" collapsed="false">
      <c r="A3003" s="27"/>
      <c r="F3003" s="28"/>
      <c r="J3003" s="0" t="str">
        <f aca="false">IF(A3003="","",YEAR(A3003))</f>
        <v/>
      </c>
      <c r="K3003" s="0" t="str">
        <f aca="false">IF(A3003="","",MONTH(A3003))</f>
        <v/>
      </c>
      <c r="L3003" s="0" t="str">
        <f aca="false">IF(B3003="","",VALUE(LEFT(B3003,2)))</f>
        <v/>
      </c>
      <c r="M3003" s="0" t="str">
        <f aca="false">IF(A3003="","",IF(COUNTIFS($C$2:$C$5001,C3003,$J$2:$J$5001,J3003,$A$2:$A$5001,"&lt;"&amp;A3003)=0,1,0))</f>
        <v/>
      </c>
    </row>
    <row r="3004" customFormat="false" ht="15" hidden="false" customHeight="false" outlineLevel="0" collapsed="false">
      <c r="A3004" s="27"/>
      <c r="F3004" s="28"/>
      <c r="J3004" s="0" t="str">
        <f aca="false">IF(A3004="","",YEAR(A3004))</f>
        <v/>
      </c>
      <c r="K3004" s="0" t="str">
        <f aca="false">IF(A3004="","",MONTH(A3004))</f>
        <v/>
      </c>
      <c r="L3004" s="0" t="str">
        <f aca="false">IF(B3004="","",VALUE(LEFT(B3004,2)))</f>
        <v/>
      </c>
      <c r="M3004" s="0" t="str">
        <f aca="false">IF(A3004="","",IF(COUNTIFS($C$2:$C$5001,C3004,$J$2:$J$5001,J3004,$A$2:$A$5001,"&lt;"&amp;A3004)=0,1,0))</f>
        <v/>
      </c>
    </row>
    <row r="3005" customFormat="false" ht="15" hidden="false" customHeight="false" outlineLevel="0" collapsed="false">
      <c r="A3005" s="27"/>
      <c r="F3005" s="28"/>
      <c r="J3005" s="0" t="str">
        <f aca="false">IF(A3005="","",YEAR(A3005))</f>
        <v/>
      </c>
      <c r="K3005" s="0" t="str">
        <f aca="false">IF(A3005="","",MONTH(A3005))</f>
        <v/>
      </c>
      <c r="L3005" s="0" t="str">
        <f aca="false">IF(B3005="","",VALUE(LEFT(B3005,2)))</f>
        <v/>
      </c>
      <c r="M3005" s="0" t="str">
        <f aca="false">IF(A3005="","",IF(COUNTIFS($C$2:$C$5001,C3005,$J$2:$J$5001,J3005,$A$2:$A$5001,"&lt;"&amp;A3005)=0,1,0))</f>
        <v/>
      </c>
    </row>
    <row r="3006" customFormat="false" ht="15" hidden="false" customHeight="false" outlineLevel="0" collapsed="false">
      <c r="A3006" s="27"/>
      <c r="F3006" s="28"/>
      <c r="J3006" s="0" t="str">
        <f aca="false">IF(A3006="","",YEAR(A3006))</f>
        <v/>
      </c>
      <c r="K3006" s="0" t="str">
        <f aca="false">IF(A3006="","",MONTH(A3006))</f>
        <v/>
      </c>
      <c r="L3006" s="0" t="str">
        <f aca="false">IF(B3006="","",VALUE(LEFT(B3006,2)))</f>
        <v/>
      </c>
      <c r="M3006" s="0" t="str">
        <f aca="false">IF(A3006="","",IF(COUNTIFS($C$2:$C$5001,C3006,$J$2:$J$5001,J3006,$A$2:$A$5001,"&lt;"&amp;A3006)=0,1,0))</f>
        <v/>
      </c>
    </row>
    <row r="3007" customFormat="false" ht="15" hidden="false" customHeight="false" outlineLevel="0" collapsed="false">
      <c r="A3007" s="27"/>
      <c r="F3007" s="28"/>
      <c r="J3007" s="0" t="str">
        <f aca="false">IF(A3007="","",YEAR(A3007))</f>
        <v/>
      </c>
      <c r="K3007" s="0" t="str">
        <f aca="false">IF(A3007="","",MONTH(A3007))</f>
        <v/>
      </c>
      <c r="L3007" s="0" t="str">
        <f aca="false">IF(B3007="","",VALUE(LEFT(B3007,2)))</f>
        <v/>
      </c>
      <c r="M3007" s="0" t="str">
        <f aca="false">IF(A3007="","",IF(COUNTIFS($C$2:$C$5001,C3007,$J$2:$J$5001,J3007,$A$2:$A$5001,"&lt;"&amp;A3007)=0,1,0))</f>
        <v/>
      </c>
    </row>
    <row r="3008" customFormat="false" ht="15" hidden="false" customHeight="false" outlineLevel="0" collapsed="false">
      <c r="A3008" s="27"/>
      <c r="F3008" s="28"/>
      <c r="J3008" s="0" t="str">
        <f aca="false">IF(A3008="","",YEAR(A3008))</f>
        <v/>
      </c>
      <c r="K3008" s="0" t="str">
        <f aca="false">IF(A3008="","",MONTH(A3008))</f>
        <v/>
      </c>
      <c r="L3008" s="0" t="str">
        <f aca="false">IF(B3008="","",VALUE(LEFT(B3008,2)))</f>
        <v/>
      </c>
      <c r="M3008" s="0" t="str">
        <f aca="false">IF(A3008="","",IF(COUNTIFS($C$2:$C$5001,C3008,$J$2:$J$5001,J3008,$A$2:$A$5001,"&lt;"&amp;A3008)=0,1,0))</f>
        <v/>
      </c>
    </row>
    <row r="3009" customFormat="false" ht="15" hidden="false" customHeight="false" outlineLevel="0" collapsed="false">
      <c r="A3009" s="27"/>
      <c r="F3009" s="28"/>
      <c r="J3009" s="0" t="str">
        <f aca="false">IF(A3009="","",YEAR(A3009))</f>
        <v/>
      </c>
      <c r="K3009" s="0" t="str">
        <f aca="false">IF(A3009="","",MONTH(A3009))</f>
        <v/>
      </c>
      <c r="L3009" s="0" t="str">
        <f aca="false">IF(B3009="","",VALUE(LEFT(B3009,2)))</f>
        <v/>
      </c>
      <c r="M3009" s="0" t="str">
        <f aca="false">IF(A3009="","",IF(COUNTIFS($C$2:$C$5001,C3009,$J$2:$J$5001,J3009,$A$2:$A$5001,"&lt;"&amp;A3009)=0,1,0))</f>
        <v/>
      </c>
    </row>
    <row r="3010" customFormat="false" ht="15" hidden="false" customHeight="false" outlineLevel="0" collapsed="false">
      <c r="A3010" s="27"/>
      <c r="F3010" s="28"/>
      <c r="J3010" s="0" t="str">
        <f aca="false">IF(A3010="","",YEAR(A3010))</f>
        <v/>
      </c>
      <c r="K3010" s="0" t="str">
        <f aca="false">IF(A3010="","",MONTH(A3010))</f>
        <v/>
      </c>
      <c r="L3010" s="0" t="str">
        <f aca="false">IF(B3010="","",VALUE(LEFT(B3010,2)))</f>
        <v/>
      </c>
      <c r="M3010" s="0" t="str">
        <f aca="false">IF(A3010="","",IF(COUNTIFS($C$2:$C$5001,C3010,$J$2:$J$5001,J3010,$A$2:$A$5001,"&lt;"&amp;A3010)=0,1,0))</f>
        <v/>
      </c>
    </row>
    <row r="3011" customFormat="false" ht="15" hidden="false" customHeight="false" outlineLevel="0" collapsed="false">
      <c r="A3011" s="27"/>
      <c r="F3011" s="28"/>
      <c r="J3011" s="0" t="str">
        <f aca="false">IF(A3011="","",YEAR(A3011))</f>
        <v/>
      </c>
      <c r="K3011" s="0" t="str">
        <f aca="false">IF(A3011="","",MONTH(A3011))</f>
        <v/>
      </c>
      <c r="L3011" s="0" t="str">
        <f aca="false">IF(B3011="","",VALUE(LEFT(B3011,2)))</f>
        <v/>
      </c>
      <c r="M3011" s="0" t="str">
        <f aca="false">IF(A3011="","",IF(COUNTIFS($C$2:$C$5001,C3011,$J$2:$J$5001,J3011,$A$2:$A$5001,"&lt;"&amp;A3011)=0,1,0))</f>
        <v/>
      </c>
    </row>
    <row r="3012" customFormat="false" ht="15" hidden="false" customHeight="false" outlineLevel="0" collapsed="false">
      <c r="A3012" s="27"/>
      <c r="F3012" s="28"/>
      <c r="J3012" s="0" t="str">
        <f aca="false">IF(A3012="","",YEAR(A3012))</f>
        <v/>
      </c>
      <c r="K3012" s="0" t="str">
        <f aca="false">IF(A3012="","",MONTH(A3012))</f>
        <v/>
      </c>
      <c r="L3012" s="0" t="str">
        <f aca="false">IF(B3012="","",VALUE(LEFT(B3012,2)))</f>
        <v/>
      </c>
      <c r="M3012" s="0" t="str">
        <f aca="false">IF(A3012="","",IF(COUNTIFS($C$2:$C$5001,C3012,$J$2:$J$5001,J3012,$A$2:$A$5001,"&lt;"&amp;A3012)=0,1,0))</f>
        <v/>
      </c>
    </row>
    <row r="3013" customFormat="false" ht="15" hidden="false" customHeight="false" outlineLevel="0" collapsed="false">
      <c r="A3013" s="27"/>
      <c r="F3013" s="28"/>
      <c r="J3013" s="0" t="str">
        <f aca="false">IF(A3013="","",YEAR(A3013))</f>
        <v/>
      </c>
      <c r="K3013" s="0" t="str">
        <f aca="false">IF(A3013="","",MONTH(A3013))</f>
        <v/>
      </c>
      <c r="L3013" s="0" t="str">
        <f aca="false">IF(B3013="","",VALUE(LEFT(B3013,2)))</f>
        <v/>
      </c>
      <c r="M3013" s="0" t="str">
        <f aca="false">IF(A3013="","",IF(COUNTIFS($C$2:$C$5001,C3013,$J$2:$J$5001,J3013,$A$2:$A$5001,"&lt;"&amp;A3013)=0,1,0))</f>
        <v/>
      </c>
    </row>
    <row r="3014" customFormat="false" ht="15" hidden="false" customHeight="false" outlineLevel="0" collapsed="false">
      <c r="A3014" s="27"/>
      <c r="F3014" s="28"/>
      <c r="J3014" s="0" t="str">
        <f aca="false">IF(A3014="","",YEAR(A3014))</f>
        <v/>
      </c>
      <c r="K3014" s="0" t="str">
        <f aca="false">IF(A3014="","",MONTH(A3014))</f>
        <v/>
      </c>
      <c r="L3014" s="0" t="str">
        <f aca="false">IF(B3014="","",VALUE(LEFT(B3014,2)))</f>
        <v/>
      </c>
      <c r="M3014" s="0" t="str">
        <f aca="false">IF(A3014="","",IF(COUNTIFS($C$2:$C$5001,C3014,$J$2:$J$5001,J3014,$A$2:$A$5001,"&lt;"&amp;A3014)=0,1,0))</f>
        <v/>
      </c>
    </row>
    <row r="3015" customFormat="false" ht="15" hidden="false" customHeight="false" outlineLevel="0" collapsed="false">
      <c r="A3015" s="27"/>
      <c r="F3015" s="28"/>
      <c r="J3015" s="0" t="str">
        <f aca="false">IF(A3015="","",YEAR(A3015))</f>
        <v/>
      </c>
      <c r="K3015" s="0" t="str">
        <f aca="false">IF(A3015="","",MONTH(A3015))</f>
        <v/>
      </c>
      <c r="L3015" s="0" t="str">
        <f aca="false">IF(B3015="","",VALUE(LEFT(B3015,2)))</f>
        <v/>
      </c>
      <c r="M3015" s="0" t="str">
        <f aca="false">IF(A3015="","",IF(COUNTIFS($C$2:$C$5001,C3015,$J$2:$J$5001,J3015,$A$2:$A$5001,"&lt;"&amp;A3015)=0,1,0))</f>
        <v/>
      </c>
    </row>
    <row r="3016" customFormat="false" ht="15" hidden="false" customHeight="false" outlineLevel="0" collapsed="false">
      <c r="A3016" s="27"/>
      <c r="F3016" s="28"/>
      <c r="J3016" s="0" t="str">
        <f aca="false">IF(A3016="","",YEAR(A3016))</f>
        <v/>
      </c>
      <c r="K3016" s="0" t="str">
        <f aca="false">IF(A3016="","",MONTH(A3016))</f>
        <v/>
      </c>
      <c r="L3016" s="0" t="str">
        <f aca="false">IF(B3016="","",VALUE(LEFT(B3016,2)))</f>
        <v/>
      </c>
      <c r="M3016" s="0" t="str">
        <f aca="false">IF(A3016="","",IF(COUNTIFS($C$2:$C$5001,C3016,$J$2:$J$5001,J3016,$A$2:$A$5001,"&lt;"&amp;A3016)=0,1,0))</f>
        <v/>
      </c>
    </row>
    <row r="3017" customFormat="false" ht="15" hidden="false" customHeight="false" outlineLevel="0" collapsed="false">
      <c r="A3017" s="27"/>
      <c r="F3017" s="28"/>
      <c r="J3017" s="0" t="str">
        <f aca="false">IF(A3017="","",YEAR(A3017))</f>
        <v/>
      </c>
      <c r="K3017" s="0" t="str">
        <f aca="false">IF(A3017="","",MONTH(A3017))</f>
        <v/>
      </c>
      <c r="L3017" s="0" t="str">
        <f aca="false">IF(B3017="","",VALUE(LEFT(B3017,2)))</f>
        <v/>
      </c>
      <c r="M3017" s="0" t="str">
        <f aca="false">IF(A3017="","",IF(COUNTIFS($C$2:$C$5001,C3017,$J$2:$J$5001,J3017,$A$2:$A$5001,"&lt;"&amp;A3017)=0,1,0))</f>
        <v/>
      </c>
    </row>
    <row r="3018" customFormat="false" ht="15" hidden="false" customHeight="false" outlineLevel="0" collapsed="false">
      <c r="A3018" s="27"/>
      <c r="F3018" s="28"/>
      <c r="J3018" s="0" t="str">
        <f aca="false">IF(A3018="","",YEAR(A3018))</f>
        <v/>
      </c>
      <c r="K3018" s="0" t="str">
        <f aca="false">IF(A3018="","",MONTH(A3018))</f>
        <v/>
      </c>
      <c r="L3018" s="0" t="str">
        <f aca="false">IF(B3018="","",VALUE(LEFT(B3018,2)))</f>
        <v/>
      </c>
      <c r="M3018" s="0" t="str">
        <f aca="false">IF(A3018="","",IF(COUNTIFS($C$2:$C$5001,C3018,$J$2:$J$5001,J3018,$A$2:$A$5001,"&lt;"&amp;A3018)=0,1,0))</f>
        <v/>
      </c>
    </row>
    <row r="3019" customFormat="false" ht="15" hidden="false" customHeight="false" outlineLevel="0" collapsed="false">
      <c r="A3019" s="27"/>
      <c r="F3019" s="28"/>
      <c r="J3019" s="0" t="str">
        <f aca="false">IF(A3019="","",YEAR(A3019))</f>
        <v/>
      </c>
      <c r="K3019" s="0" t="str">
        <f aca="false">IF(A3019="","",MONTH(A3019))</f>
        <v/>
      </c>
      <c r="L3019" s="0" t="str">
        <f aca="false">IF(B3019="","",VALUE(LEFT(B3019,2)))</f>
        <v/>
      </c>
      <c r="M3019" s="0" t="str">
        <f aca="false">IF(A3019="","",IF(COUNTIFS($C$2:$C$5001,C3019,$J$2:$J$5001,J3019,$A$2:$A$5001,"&lt;"&amp;A3019)=0,1,0))</f>
        <v/>
      </c>
    </row>
    <row r="3020" customFormat="false" ht="15" hidden="false" customHeight="false" outlineLevel="0" collapsed="false">
      <c r="A3020" s="27"/>
      <c r="F3020" s="28"/>
      <c r="J3020" s="0" t="str">
        <f aca="false">IF(A3020="","",YEAR(A3020))</f>
        <v/>
      </c>
      <c r="K3020" s="0" t="str">
        <f aca="false">IF(A3020="","",MONTH(A3020))</f>
        <v/>
      </c>
      <c r="L3020" s="0" t="str">
        <f aca="false">IF(B3020="","",VALUE(LEFT(B3020,2)))</f>
        <v/>
      </c>
      <c r="M3020" s="0" t="str">
        <f aca="false">IF(A3020="","",IF(COUNTIFS($C$2:$C$5001,C3020,$J$2:$J$5001,J3020,$A$2:$A$5001,"&lt;"&amp;A3020)=0,1,0))</f>
        <v/>
      </c>
    </row>
    <row r="3021" customFormat="false" ht="15" hidden="false" customHeight="false" outlineLevel="0" collapsed="false">
      <c r="A3021" s="27"/>
      <c r="F3021" s="28"/>
      <c r="J3021" s="0" t="str">
        <f aca="false">IF(A3021="","",YEAR(A3021))</f>
        <v/>
      </c>
      <c r="K3021" s="0" t="str">
        <f aca="false">IF(A3021="","",MONTH(A3021))</f>
        <v/>
      </c>
      <c r="L3021" s="0" t="str">
        <f aca="false">IF(B3021="","",VALUE(LEFT(B3021,2)))</f>
        <v/>
      </c>
      <c r="M3021" s="0" t="str">
        <f aca="false">IF(A3021="","",IF(COUNTIFS($C$2:$C$5001,C3021,$J$2:$J$5001,J3021,$A$2:$A$5001,"&lt;"&amp;A3021)=0,1,0))</f>
        <v/>
      </c>
    </row>
    <row r="3022" customFormat="false" ht="15" hidden="false" customHeight="false" outlineLevel="0" collapsed="false">
      <c r="A3022" s="27"/>
      <c r="F3022" s="28"/>
      <c r="J3022" s="0" t="str">
        <f aca="false">IF(A3022="","",YEAR(A3022))</f>
        <v/>
      </c>
      <c r="K3022" s="0" t="str">
        <f aca="false">IF(A3022="","",MONTH(A3022))</f>
        <v/>
      </c>
      <c r="L3022" s="0" t="str">
        <f aca="false">IF(B3022="","",VALUE(LEFT(B3022,2)))</f>
        <v/>
      </c>
      <c r="M3022" s="0" t="str">
        <f aca="false">IF(A3022="","",IF(COUNTIFS($C$2:$C$5001,C3022,$J$2:$J$5001,J3022,$A$2:$A$5001,"&lt;"&amp;A3022)=0,1,0))</f>
        <v/>
      </c>
    </row>
    <row r="3023" customFormat="false" ht="15" hidden="false" customHeight="false" outlineLevel="0" collapsed="false">
      <c r="A3023" s="27"/>
      <c r="F3023" s="28"/>
      <c r="J3023" s="0" t="str">
        <f aca="false">IF(A3023="","",YEAR(A3023))</f>
        <v/>
      </c>
      <c r="K3023" s="0" t="str">
        <f aca="false">IF(A3023="","",MONTH(A3023))</f>
        <v/>
      </c>
      <c r="L3023" s="0" t="str">
        <f aca="false">IF(B3023="","",VALUE(LEFT(B3023,2)))</f>
        <v/>
      </c>
      <c r="M3023" s="0" t="str">
        <f aca="false">IF(A3023="","",IF(COUNTIFS($C$2:$C$5001,C3023,$J$2:$J$5001,J3023,$A$2:$A$5001,"&lt;"&amp;A3023)=0,1,0))</f>
        <v/>
      </c>
    </row>
    <row r="3024" customFormat="false" ht="15" hidden="false" customHeight="false" outlineLevel="0" collapsed="false">
      <c r="A3024" s="27"/>
      <c r="F3024" s="28"/>
      <c r="J3024" s="0" t="str">
        <f aca="false">IF(A3024="","",YEAR(A3024))</f>
        <v/>
      </c>
      <c r="K3024" s="0" t="str">
        <f aca="false">IF(A3024="","",MONTH(A3024))</f>
        <v/>
      </c>
      <c r="L3024" s="0" t="str">
        <f aca="false">IF(B3024="","",VALUE(LEFT(B3024,2)))</f>
        <v/>
      </c>
      <c r="M3024" s="0" t="str">
        <f aca="false">IF(A3024="","",IF(COUNTIFS($C$2:$C$5001,C3024,$J$2:$J$5001,J3024,$A$2:$A$5001,"&lt;"&amp;A3024)=0,1,0))</f>
        <v/>
      </c>
    </row>
    <row r="3025" customFormat="false" ht="15" hidden="false" customHeight="false" outlineLevel="0" collapsed="false">
      <c r="A3025" s="27"/>
      <c r="F3025" s="28"/>
      <c r="J3025" s="0" t="str">
        <f aca="false">IF(A3025="","",YEAR(A3025))</f>
        <v/>
      </c>
      <c r="K3025" s="0" t="str">
        <f aca="false">IF(A3025="","",MONTH(A3025))</f>
        <v/>
      </c>
      <c r="L3025" s="0" t="str">
        <f aca="false">IF(B3025="","",VALUE(LEFT(B3025,2)))</f>
        <v/>
      </c>
      <c r="M3025" s="0" t="str">
        <f aca="false">IF(A3025="","",IF(COUNTIFS($C$2:$C$5001,C3025,$J$2:$J$5001,J3025,$A$2:$A$5001,"&lt;"&amp;A3025)=0,1,0))</f>
        <v/>
      </c>
    </row>
    <row r="3026" customFormat="false" ht="15" hidden="false" customHeight="false" outlineLevel="0" collapsed="false">
      <c r="A3026" s="27"/>
      <c r="F3026" s="28"/>
      <c r="J3026" s="0" t="str">
        <f aca="false">IF(A3026="","",YEAR(A3026))</f>
        <v/>
      </c>
      <c r="K3026" s="0" t="str">
        <f aca="false">IF(A3026="","",MONTH(A3026))</f>
        <v/>
      </c>
      <c r="L3026" s="0" t="str">
        <f aca="false">IF(B3026="","",VALUE(LEFT(B3026,2)))</f>
        <v/>
      </c>
      <c r="M3026" s="0" t="str">
        <f aca="false">IF(A3026="","",IF(COUNTIFS($C$2:$C$5001,C3026,$J$2:$J$5001,J3026,$A$2:$A$5001,"&lt;"&amp;A3026)=0,1,0))</f>
        <v/>
      </c>
    </row>
    <row r="3027" customFormat="false" ht="15" hidden="false" customHeight="false" outlineLevel="0" collapsed="false">
      <c r="A3027" s="27"/>
      <c r="F3027" s="28"/>
      <c r="J3027" s="0" t="str">
        <f aca="false">IF(A3027="","",YEAR(A3027))</f>
        <v/>
      </c>
      <c r="K3027" s="0" t="str">
        <f aca="false">IF(A3027="","",MONTH(A3027))</f>
        <v/>
      </c>
      <c r="L3027" s="0" t="str">
        <f aca="false">IF(B3027="","",VALUE(LEFT(B3027,2)))</f>
        <v/>
      </c>
      <c r="M3027" s="0" t="str">
        <f aca="false">IF(A3027="","",IF(COUNTIFS($C$2:$C$5001,C3027,$J$2:$J$5001,J3027,$A$2:$A$5001,"&lt;"&amp;A3027)=0,1,0))</f>
        <v/>
      </c>
    </row>
    <row r="3028" customFormat="false" ht="15" hidden="false" customHeight="false" outlineLevel="0" collapsed="false">
      <c r="A3028" s="27"/>
      <c r="F3028" s="28"/>
      <c r="J3028" s="0" t="str">
        <f aca="false">IF(A3028="","",YEAR(A3028))</f>
        <v/>
      </c>
      <c r="K3028" s="0" t="str">
        <f aca="false">IF(A3028="","",MONTH(A3028))</f>
        <v/>
      </c>
      <c r="L3028" s="0" t="str">
        <f aca="false">IF(B3028="","",VALUE(LEFT(B3028,2)))</f>
        <v/>
      </c>
      <c r="M3028" s="0" t="str">
        <f aca="false">IF(A3028="","",IF(COUNTIFS($C$2:$C$5001,C3028,$J$2:$J$5001,J3028,$A$2:$A$5001,"&lt;"&amp;A3028)=0,1,0))</f>
        <v/>
      </c>
    </row>
    <row r="3029" customFormat="false" ht="15" hidden="false" customHeight="false" outlineLevel="0" collapsed="false">
      <c r="A3029" s="27"/>
      <c r="F3029" s="28"/>
      <c r="J3029" s="0" t="str">
        <f aca="false">IF(A3029="","",YEAR(A3029))</f>
        <v/>
      </c>
      <c r="K3029" s="0" t="str">
        <f aca="false">IF(A3029="","",MONTH(A3029))</f>
        <v/>
      </c>
      <c r="L3029" s="0" t="str">
        <f aca="false">IF(B3029="","",VALUE(LEFT(B3029,2)))</f>
        <v/>
      </c>
      <c r="M3029" s="0" t="str">
        <f aca="false">IF(A3029="","",IF(COUNTIFS($C$2:$C$5001,C3029,$J$2:$J$5001,J3029,$A$2:$A$5001,"&lt;"&amp;A3029)=0,1,0))</f>
        <v/>
      </c>
    </row>
    <row r="3030" customFormat="false" ht="15" hidden="false" customHeight="false" outlineLevel="0" collapsed="false">
      <c r="A3030" s="27"/>
      <c r="F3030" s="28"/>
      <c r="J3030" s="0" t="str">
        <f aca="false">IF(A3030="","",YEAR(A3030))</f>
        <v/>
      </c>
      <c r="K3030" s="0" t="str">
        <f aca="false">IF(A3030="","",MONTH(A3030))</f>
        <v/>
      </c>
      <c r="L3030" s="0" t="str">
        <f aca="false">IF(B3030="","",VALUE(LEFT(B3030,2)))</f>
        <v/>
      </c>
      <c r="M3030" s="0" t="str">
        <f aca="false">IF(A3030="","",IF(COUNTIFS($C$2:$C$5001,C3030,$J$2:$J$5001,J3030,$A$2:$A$5001,"&lt;"&amp;A3030)=0,1,0))</f>
        <v/>
      </c>
    </row>
    <row r="3031" customFormat="false" ht="15" hidden="false" customHeight="false" outlineLevel="0" collapsed="false">
      <c r="A3031" s="27"/>
      <c r="F3031" s="28"/>
      <c r="J3031" s="0" t="str">
        <f aca="false">IF(A3031="","",YEAR(A3031))</f>
        <v/>
      </c>
      <c r="K3031" s="0" t="str">
        <f aca="false">IF(A3031="","",MONTH(A3031))</f>
        <v/>
      </c>
      <c r="L3031" s="0" t="str">
        <f aca="false">IF(B3031="","",VALUE(LEFT(B3031,2)))</f>
        <v/>
      </c>
      <c r="M3031" s="0" t="str">
        <f aca="false">IF(A3031="","",IF(COUNTIFS($C$2:$C$5001,C3031,$J$2:$J$5001,J3031,$A$2:$A$5001,"&lt;"&amp;A3031)=0,1,0))</f>
        <v/>
      </c>
    </row>
    <row r="3032" customFormat="false" ht="15" hidden="false" customHeight="false" outlineLevel="0" collapsed="false">
      <c r="A3032" s="27"/>
      <c r="F3032" s="28"/>
      <c r="J3032" s="0" t="str">
        <f aca="false">IF(A3032="","",YEAR(A3032))</f>
        <v/>
      </c>
      <c r="K3032" s="0" t="str">
        <f aca="false">IF(A3032="","",MONTH(A3032))</f>
        <v/>
      </c>
      <c r="L3032" s="0" t="str">
        <f aca="false">IF(B3032="","",VALUE(LEFT(B3032,2)))</f>
        <v/>
      </c>
      <c r="M3032" s="0" t="str">
        <f aca="false">IF(A3032="","",IF(COUNTIFS($C$2:$C$5001,C3032,$J$2:$J$5001,J3032,$A$2:$A$5001,"&lt;"&amp;A3032)=0,1,0))</f>
        <v/>
      </c>
    </row>
    <row r="3033" customFormat="false" ht="15" hidden="false" customHeight="false" outlineLevel="0" collapsed="false">
      <c r="A3033" s="27"/>
      <c r="F3033" s="28"/>
      <c r="J3033" s="0" t="str">
        <f aca="false">IF(A3033="","",YEAR(A3033))</f>
        <v/>
      </c>
      <c r="K3033" s="0" t="str">
        <f aca="false">IF(A3033="","",MONTH(A3033))</f>
        <v/>
      </c>
      <c r="L3033" s="0" t="str">
        <f aca="false">IF(B3033="","",VALUE(LEFT(B3033,2)))</f>
        <v/>
      </c>
      <c r="M3033" s="0" t="str">
        <f aca="false">IF(A3033="","",IF(COUNTIFS($C$2:$C$5001,C3033,$J$2:$J$5001,J3033,$A$2:$A$5001,"&lt;"&amp;A3033)=0,1,0))</f>
        <v/>
      </c>
    </row>
    <row r="3034" customFormat="false" ht="15" hidden="false" customHeight="false" outlineLevel="0" collapsed="false">
      <c r="A3034" s="27"/>
      <c r="F3034" s="28"/>
      <c r="J3034" s="0" t="str">
        <f aca="false">IF(A3034="","",YEAR(A3034))</f>
        <v/>
      </c>
      <c r="K3034" s="0" t="str">
        <f aca="false">IF(A3034="","",MONTH(A3034))</f>
        <v/>
      </c>
      <c r="L3034" s="0" t="str">
        <f aca="false">IF(B3034="","",VALUE(LEFT(B3034,2)))</f>
        <v/>
      </c>
      <c r="M3034" s="0" t="str">
        <f aca="false">IF(A3034="","",IF(COUNTIFS($C$2:$C$5001,C3034,$J$2:$J$5001,J3034,$A$2:$A$5001,"&lt;"&amp;A3034)=0,1,0))</f>
        <v/>
      </c>
    </row>
    <row r="3035" customFormat="false" ht="15" hidden="false" customHeight="false" outlineLevel="0" collapsed="false">
      <c r="A3035" s="27"/>
      <c r="F3035" s="28"/>
      <c r="J3035" s="0" t="str">
        <f aca="false">IF(A3035="","",YEAR(A3035))</f>
        <v/>
      </c>
      <c r="K3035" s="0" t="str">
        <f aca="false">IF(A3035="","",MONTH(A3035))</f>
        <v/>
      </c>
      <c r="L3035" s="0" t="str">
        <f aca="false">IF(B3035="","",VALUE(LEFT(B3035,2)))</f>
        <v/>
      </c>
      <c r="M3035" s="0" t="str">
        <f aca="false">IF(A3035="","",IF(COUNTIFS($C$2:$C$5001,C3035,$J$2:$J$5001,J3035,$A$2:$A$5001,"&lt;"&amp;A3035)=0,1,0))</f>
        <v/>
      </c>
    </row>
    <row r="3036" customFormat="false" ht="15" hidden="false" customHeight="false" outlineLevel="0" collapsed="false">
      <c r="A3036" s="27"/>
      <c r="F3036" s="28"/>
      <c r="J3036" s="0" t="str">
        <f aca="false">IF(A3036="","",YEAR(A3036))</f>
        <v/>
      </c>
      <c r="K3036" s="0" t="str">
        <f aca="false">IF(A3036="","",MONTH(A3036))</f>
        <v/>
      </c>
      <c r="L3036" s="0" t="str">
        <f aca="false">IF(B3036="","",VALUE(LEFT(B3036,2)))</f>
        <v/>
      </c>
      <c r="M3036" s="0" t="str">
        <f aca="false">IF(A3036="","",IF(COUNTIFS($C$2:$C$5001,C3036,$J$2:$J$5001,J3036,$A$2:$A$5001,"&lt;"&amp;A3036)=0,1,0))</f>
        <v/>
      </c>
    </row>
    <row r="3037" customFormat="false" ht="15" hidden="false" customHeight="false" outlineLevel="0" collapsed="false">
      <c r="A3037" s="27"/>
      <c r="F3037" s="28"/>
      <c r="J3037" s="0" t="str">
        <f aca="false">IF(A3037="","",YEAR(A3037))</f>
        <v/>
      </c>
      <c r="K3037" s="0" t="str">
        <f aca="false">IF(A3037="","",MONTH(A3037))</f>
        <v/>
      </c>
      <c r="L3037" s="0" t="str">
        <f aca="false">IF(B3037="","",VALUE(LEFT(B3037,2)))</f>
        <v/>
      </c>
      <c r="M3037" s="0" t="str">
        <f aca="false">IF(A3037="","",IF(COUNTIFS($C$2:$C$5001,C3037,$J$2:$J$5001,J3037,$A$2:$A$5001,"&lt;"&amp;A3037)=0,1,0))</f>
        <v/>
      </c>
    </row>
    <row r="3038" customFormat="false" ht="15" hidden="false" customHeight="false" outlineLevel="0" collapsed="false">
      <c r="A3038" s="27"/>
      <c r="F3038" s="28"/>
      <c r="J3038" s="0" t="str">
        <f aca="false">IF(A3038="","",YEAR(A3038))</f>
        <v/>
      </c>
      <c r="K3038" s="0" t="str">
        <f aca="false">IF(A3038="","",MONTH(A3038))</f>
        <v/>
      </c>
      <c r="L3038" s="0" t="str">
        <f aca="false">IF(B3038="","",VALUE(LEFT(B3038,2)))</f>
        <v/>
      </c>
      <c r="M3038" s="0" t="str">
        <f aca="false">IF(A3038="","",IF(COUNTIFS($C$2:$C$5001,C3038,$J$2:$J$5001,J3038,$A$2:$A$5001,"&lt;"&amp;A3038)=0,1,0))</f>
        <v/>
      </c>
    </row>
    <row r="3039" customFormat="false" ht="15" hidden="false" customHeight="false" outlineLevel="0" collapsed="false">
      <c r="A3039" s="27"/>
      <c r="F3039" s="28"/>
      <c r="J3039" s="0" t="str">
        <f aca="false">IF(A3039="","",YEAR(A3039))</f>
        <v/>
      </c>
      <c r="K3039" s="0" t="str">
        <f aca="false">IF(A3039="","",MONTH(A3039))</f>
        <v/>
      </c>
      <c r="L3039" s="0" t="str">
        <f aca="false">IF(B3039="","",VALUE(LEFT(B3039,2)))</f>
        <v/>
      </c>
      <c r="M3039" s="0" t="str">
        <f aca="false">IF(A3039="","",IF(COUNTIFS($C$2:$C$5001,C3039,$J$2:$J$5001,J3039,$A$2:$A$5001,"&lt;"&amp;A3039)=0,1,0))</f>
        <v/>
      </c>
    </row>
    <row r="3040" customFormat="false" ht="15" hidden="false" customHeight="false" outlineLevel="0" collapsed="false">
      <c r="A3040" s="27"/>
      <c r="F3040" s="28"/>
      <c r="J3040" s="0" t="str">
        <f aca="false">IF(A3040="","",YEAR(A3040))</f>
        <v/>
      </c>
      <c r="K3040" s="0" t="str">
        <f aca="false">IF(A3040="","",MONTH(A3040))</f>
        <v/>
      </c>
      <c r="L3040" s="0" t="str">
        <f aca="false">IF(B3040="","",VALUE(LEFT(B3040,2)))</f>
        <v/>
      </c>
      <c r="M3040" s="0" t="str">
        <f aca="false">IF(A3040="","",IF(COUNTIFS($C$2:$C$5001,C3040,$J$2:$J$5001,J3040,$A$2:$A$5001,"&lt;"&amp;A3040)=0,1,0))</f>
        <v/>
      </c>
    </row>
    <row r="3041" customFormat="false" ht="15" hidden="false" customHeight="false" outlineLevel="0" collapsed="false">
      <c r="A3041" s="27"/>
      <c r="F3041" s="28"/>
      <c r="J3041" s="0" t="str">
        <f aca="false">IF(A3041="","",YEAR(A3041))</f>
        <v/>
      </c>
      <c r="K3041" s="0" t="str">
        <f aca="false">IF(A3041="","",MONTH(A3041))</f>
        <v/>
      </c>
      <c r="L3041" s="0" t="str">
        <f aca="false">IF(B3041="","",VALUE(LEFT(B3041,2)))</f>
        <v/>
      </c>
      <c r="M3041" s="0" t="str">
        <f aca="false">IF(A3041="","",IF(COUNTIFS($C$2:$C$5001,C3041,$J$2:$J$5001,J3041,$A$2:$A$5001,"&lt;"&amp;A3041)=0,1,0))</f>
        <v/>
      </c>
    </row>
    <row r="3042" customFormat="false" ht="15" hidden="false" customHeight="false" outlineLevel="0" collapsed="false">
      <c r="A3042" s="27"/>
      <c r="F3042" s="28"/>
      <c r="J3042" s="0" t="str">
        <f aca="false">IF(A3042="","",YEAR(A3042))</f>
        <v/>
      </c>
      <c r="K3042" s="0" t="str">
        <f aca="false">IF(A3042="","",MONTH(A3042))</f>
        <v/>
      </c>
      <c r="L3042" s="0" t="str">
        <f aca="false">IF(B3042="","",VALUE(LEFT(B3042,2)))</f>
        <v/>
      </c>
      <c r="M3042" s="0" t="str">
        <f aca="false">IF(A3042="","",IF(COUNTIFS($C$2:$C$5001,C3042,$J$2:$J$5001,J3042,$A$2:$A$5001,"&lt;"&amp;A3042)=0,1,0))</f>
        <v/>
      </c>
    </row>
    <row r="3043" customFormat="false" ht="15" hidden="false" customHeight="false" outlineLevel="0" collapsed="false">
      <c r="A3043" s="27"/>
      <c r="F3043" s="28"/>
      <c r="J3043" s="0" t="str">
        <f aca="false">IF(A3043="","",YEAR(A3043))</f>
        <v/>
      </c>
      <c r="K3043" s="0" t="str">
        <f aca="false">IF(A3043="","",MONTH(A3043))</f>
        <v/>
      </c>
      <c r="L3043" s="0" t="str">
        <f aca="false">IF(B3043="","",VALUE(LEFT(B3043,2)))</f>
        <v/>
      </c>
      <c r="M3043" s="0" t="str">
        <f aca="false">IF(A3043="","",IF(COUNTIFS($C$2:$C$5001,C3043,$J$2:$J$5001,J3043,$A$2:$A$5001,"&lt;"&amp;A3043)=0,1,0))</f>
        <v/>
      </c>
    </row>
    <row r="3044" customFormat="false" ht="15" hidden="false" customHeight="false" outlineLevel="0" collapsed="false">
      <c r="A3044" s="27"/>
      <c r="F3044" s="28"/>
      <c r="J3044" s="0" t="str">
        <f aca="false">IF(A3044="","",YEAR(A3044))</f>
        <v/>
      </c>
      <c r="K3044" s="0" t="str">
        <f aca="false">IF(A3044="","",MONTH(A3044))</f>
        <v/>
      </c>
      <c r="L3044" s="0" t="str">
        <f aca="false">IF(B3044="","",VALUE(LEFT(B3044,2)))</f>
        <v/>
      </c>
      <c r="M3044" s="0" t="str">
        <f aca="false">IF(A3044="","",IF(COUNTIFS($C$2:$C$5001,C3044,$J$2:$J$5001,J3044,$A$2:$A$5001,"&lt;"&amp;A3044)=0,1,0))</f>
        <v/>
      </c>
    </row>
    <row r="3045" customFormat="false" ht="15" hidden="false" customHeight="false" outlineLevel="0" collapsed="false">
      <c r="A3045" s="27"/>
      <c r="F3045" s="28"/>
      <c r="J3045" s="0" t="str">
        <f aca="false">IF(A3045="","",YEAR(A3045))</f>
        <v/>
      </c>
      <c r="K3045" s="0" t="str">
        <f aca="false">IF(A3045="","",MONTH(A3045))</f>
        <v/>
      </c>
      <c r="L3045" s="0" t="str">
        <f aca="false">IF(B3045="","",VALUE(LEFT(B3045,2)))</f>
        <v/>
      </c>
      <c r="M3045" s="0" t="str">
        <f aca="false">IF(A3045="","",IF(COUNTIFS($C$2:$C$5001,C3045,$J$2:$J$5001,J3045,$A$2:$A$5001,"&lt;"&amp;A3045)=0,1,0))</f>
        <v/>
      </c>
    </row>
    <row r="3046" customFormat="false" ht="15" hidden="false" customHeight="false" outlineLevel="0" collapsed="false">
      <c r="A3046" s="27"/>
      <c r="F3046" s="28"/>
      <c r="J3046" s="0" t="str">
        <f aca="false">IF(A3046="","",YEAR(A3046))</f>
        <v/>
      </c>
      <c r="K3046" s="0" t="str">
        <f aca="false">IF(A3046="","",MONTH(A3046))</f>
        <v/>
      </c>
      <c r="L3046" s="0" t="str">
        <f aca="false">IF(B3046="","",VALUE(LEFT(B3046,2)))</f>
        <v/>
      </c>
      <c r="M3046" s="0" t="str">
        <f aca="false">IF(A3046="","",IF(COUNTIFS($C$2:$C$5001,C3046,$J$2:$J$5001,J3046,$A$2:$A$5001,"&lt;"&amp;A3046)=0,1,0))</f>
        <v/>
      </c>
    </row>
    <row r="3047" customFormat="false" ht="15" hidden="false" customHeight="false" outlineLevel="0" collapsed="false">
      <c r="A3047" s="27"/>
      <c r="F3047" s="28"/>
      <c r="J3047" s="0" t="str">
        <f aca="false">IF(A3047="","",YEAR(A3047))</f>
        <v/>
      </c>
      <c r="K3047" s="0" t="str">
        <f aca="false">IF(A3047="","",MONTH(A3047))</f>
        <v/>
      </c>
      <c r="L3047" s="0" t="str">
        <f aca="false">IF(B3047="","",VALUE(LEFT(B3047,2)))</f>
        <v/>
      </c>
      <c r="M3047" s="0" t="str">
        <f aca="false">IF(A3047="","",IF(COUNTIFS($C$2:$C$5001,C3047,$J$2:$J$5001,J3047,$A$2:$A$5001,"&lt;"&amp;A3047)=0,1,0))</f>
        <v/>
      </c>
    </row>
    <row r="3048" customFormat="false" ht="15" hidden="false" customHeight="false" outlineLevel="0" collapsed="false">
      <c r="A3048" s="27"/>
      <c r="F3048" s="28"/>
      <c r="J3048" s="0" t="str">
        <f aca="false">IF(A3048="","",YEAR(A3048))</f>
        <v/>
      </c>
      <c r="K3048" s="0" t="str">
        <f aca="false">IF(A3048="","",MONTH(A3048))</f>
        <v/>
      </c>
      <c r="L3048" s="0" t="str">
        <f aca="false">IF(B3048="","",VALUE(LEFT(B3048,2)))</f>
        <v/>
      </c>
      <c r="M3048" s="0" t="str">
        <f aca="false">IF(A3048="","",IF(COUNTIFS($C$2:$C$5001,C3048,$J$2:$J$5001,J3048,$A$2:$A$5001,"&lt;"&amp;A3048)=0,1,0))</f>
        <v/>
      </c>
    </row>
    <row r="3049" customFormat="false" ht="15" hidden="false" customHeight="false" outlineLevel="0" collapsed="false">
      <c r="A3049" s="27"/>
      <c r="F3049" s="28"/>
      <c r="J3049" s="0" t="str">
        <f aca="false">IF(A3049="","",YEAR(A3049))</f>
        <v/>
      </c>
      <c r="K3049" s="0" t="str">
        <f aca="false">IF(A3049="","",MONTH(A3049))</f>
        <v/>
      </c>
      <c r="L3049" s="0" t="str">
        <f aca="false">IF(B3049="","",VALUE(LEFT(B3049,2)))</f>
        <v/>
      </c>
      <c r="M3049" s="0" t="str">
        <f aca="false">IF(A3049="","",IF(COUNTIFS($C$2:$C$5001,C3049,$J$2:$J$5001,J3049,$A$2:$A$5001,"&lt;"&amp;A3049)=0,1,0))</f>
        <v/>
      </c>
    </row>
    <row r="3050" customFormat="false" ht="15" hidden="false" customHeight="false" outlineLevel="0" collapsed="false">
      <c r="A3050" s="27"/>
      <c r="F3050" s="28"/>
      <c r="J3050" s="0" t="str">
        <f aca="false">IF(A3050="","",YEAR(A3050))</f>
        <v/>
      </c>
      <c r="K3050" s="0" t="str">
        <f aca="false">IF(A3050="","",MONTH(A3050))</f>
        <v/>
      </c>
      <c r="L3050" s="0" t="str">
        <f aca="false">IF(B3050="","",VALUE(LEFT(B3050,2)))</f>
        <v/>
      </c>
      <c r="M3050" s="0" t="str">
        <f aca="false">IF(A3050="","",IF(COUNTIFS($C$2:$C$5001,C3050,$J$2:$J$5001,J3050,$A$2:$A$5001,"&lt;"&amp;A3050)=0,1,0))</f>
        <v/>
      </c>
    </row>
    <row r="3051" customFormat="false" ht="15" hidden="false" customHeight="false" outlineLevel="0" collapsed="false">
      <c r="A3051" s="27"/>
      <c r="F3051" s="28"/>
      <c r="J3051" s="0" t="str">
        <f aca="false">IF(A3051="","",YEAR(A3051))</f>
        <v/>
      </c>
      <c r="K3051" s="0" t="str">
        <f aca="false">IF(A3051="","",MONTH(A3051))</f>
        <v/>
      </c>
      <c r="L3051" s="0" t="str">
        <f aca="false">IF(B3051="","",VALUE(LEFT(B3051,2)))</f>
        <v/>
      </c>
      <c r="M3051" s="0" t="str">
        <f aca="false">IF(A3051="","",IF(COUNTIFS($C$2:$C$5001,C3051,$J$2:$J$5001,J3051,$A$2:$A$5001,"&lt;"&amp;A3051)=0,1,0))</f>
        <v/>
      </c>
    </row>
    <row r="3052" customFormat="false" ht="15" hidden="false" customHeight="false" outlineLevel="0" collapsed="false">
      <c r="A3052" s="27"/>
      <c r="F3052" s="28"/>
      <c r="J3052" s="0" t="str">
        <f aca="false">IF(A3052="","",YEAR(A3052))</f>
        <v/>
      </c>
      <c r="K3052" s="0" t="str">
        <f aca="false">IF(A3052="","",MONTH(A3052))</f>
        <v/>
      </c>
      <c r="L3052" s="0" t="str">
        <f aca="false">IF(B3052="","",VALUE(LEFT(B3052,2)))</f>
        <v/>
      </c>
      <c r="M3052" s="0" t="str">
        <f aca="false">IF(A3052="","",IF(COUNTIFS($C$2:$C$5001,C3052,$J$2:$J$5001,J3052,$A$2:$A$5001,"&lt;"&amp;A3052)=0,1,0))</f>
        <v/>
      </c>
    </row>
    <row r="3053" customFormat="false" ht="15" hidden="false" customHeight="false" outlineLevel="0" collapsed="false">
      <c r="A3053" s="27"/>
      <c r="F3053" s="28"/>
      <c r="J3053" s="0" t="str">
        <f aca="false">IF(A3053="","",YEAR(A3053))</f>
        <v/>
      </c>
      <c r="K3053" s="0" t="str">
        <f aca="false">IF(A3053="","",MONTH(A3053))</f>
        <v/>
      </c>
      <c r="L3053" s="0" t="str">
        <f aca="false">IF(B3053="","",VALUE(LEFT(B3053,2)))</f>
        <v/>
      </c>
      <c r="M3053" s="0" t="str">
        <f aca="false">IF(A3053="","",IF(COUNTIFS($C$2:$C$5001,C3053,$J$2:$J$5001,J3053,$A$2:$A$5001,"&lt;"&amp;A3053)=0,1,0))</f>
        <v/>
      </c>
    </row>
    <row r="3054" customFormat="false" ht="15" hidden="false" customHeight="false" outlineLevel="0" collapsed="false">
      <c r="A3054" s="27"/>
      <c r="F3054" s="28"/>
      <c r="J3054" s="0" t="str">
        <f aca="false">IF(A3054="","",YEAR(A3054))</f>
        <v/>
      </c>
      <c r="K3054" s="0" t="str">
        <f aca="false">IF(A3054="","",MONTH(A3054))</f>
        <v/>
      </c>
      <c r="L3054" s="0" t="str">
        <f aca="false">IF(B3054="","",VALUE(LEFT(B3054,2)))</f>
        <v/>
      </c>
      <c r="M3054" s="0" t="str">
        <f aca="false">IF(A3054="","",IF(COUNTIFS($C$2:$C$5001,C3054,$J$2:$J$5001,J3054,$A$2:$A$5001,"&lt;"&amp;A3054)=0,1,0))</f>
        <v/>
      </c>
    </row>
    <row r="3055" customFormat="false" ht="15" hidden="false" customHeight="false" outlineLevel="0" collapsed="false">
      <c r="A3055" s="27"/>
      <c r="F3055" s="28"/>
      <c r="J3055" s="0" t="str">
        <f aca="false">IF(A3055="","",YEAR(A3055))</f>
        <v/>
      </c>
      <c r="K3055" s="0" t="str">
        <f aca="false">IF(A3055="","",MONTH(A3055))</f>
        <v/>
      </c>
      <c r="L3055" s="0" t="str">
        <f aca="false">IF(B3055="","",VALUE(LEFT(B3055,2)))</f>
        <v/>
      </c>
      <c r="M3055" s="0" t="str">
        <f aca="false">IF(A3055="","",IF(COUNTIFS($C$2:$C$5001,C3055,$J$2:$J$5001,J3055,$A$2:$A$5001,"&lt;"&amp;A3055)=0,1,0))</f>
        <v/>
      </c>
    </row>
    <row r="3056" customFormat="false" ht="15" hidden="false" customHeight="false" outlineLevel="0" collapsed="false">
      <c r="A3056" s="27"/>
      <c r="F3056" s="28"/>
      <c r="J3056" s="0" t="str">
        <f aca="false">IF(A3056="","",YEAR(A3056))</f>
        <v/>
      </c>
      <c r="K3056" s="0" t="str">
        <f aca="false">IF(A3056="","",MONTH(A3056))</f>
        <v/>
      </c>
      <c r="L3056" s="0" t="str">
        <f aca="false">IF(B3056="","",VALUE(LEFT(B3056,2)))</f>
        <v/>
      </c>
      <c r="M3056" s="0" t="str">
        <f aca="false">IF(A3056="","",IF(COUNTIFS($C$2:$C$5001,C3056,$J$2:$J$5001,J3056,$A$2:$A$5001,"&lt;"&amp;A3056)=0,1,0))</f>
        <v/>
      </c>
    </row>
    <row r="3057" customFormat="false" ht="15" hidden="false" customHeight="false" outlineLevel="0" collapsed="false">
      <c r="A3057" s="27"/>
      <c r="F3057" s="28"/>
      <c r="J3057" s="0" t="str">
        <f aca="false">IF(A3057="","",YEAR(A3057))</f>
        <v/>
      </c>
      <c r="K3057" s="0" t="str">
        <f aca="false">IF(A3057="","",MONTH(A3057))</f>
        <v/>
      </c>
      <c r="L3057" s="0" t="str">
        <f aca="false">IF(B3057="","",VALUE(LEFT(B3057,2)))</f>
        <v/>
      </c>
      <c r="M3057" s="0" t="str">
        <f aca="false">IF(A3057="","",IF(COUNTIFS($C$2:$C$5001,C3057,$J$2:$J$5001,J3057,$A$2:$A$5001,"&lt;"&amp;A3057)=0,1,0))</f>
        <v/>
      </c>
    </row>
    <row r="3058" customFormat="false" ht="15" hidden="false" customHeight="false" outlineLevel="0" collapsed="false">
      <c r="A3058" s="27"/>
      <c r="F3058" s="28"/>
      <c r="J3058" s="0" t="str">
        <f aca="false">IF(A3058="","",YEAR(A3058))</f>
        <v/>
      </c>
      <c r="K3058" s="0" t="str">
        <f aca="false">IF(A3058="","",MONTH(A3058))</f>
        <v/>
      </c>
      <c r="L3058" s="0" t="str">
        <f aca="false">IF(B3058="","",VALUE(LEFT(B3058,2)))</f>
        <v/>
      </c>
      <c r="M3058" s="0" t="str">
        <f aca="false">IF(A3058="","",IF(COUNTIFS($C$2:$C$5001,C3058,$J$2:$J$5001,J3058,$A$2:$A$5001,"&lt;"&amp;A3058)=0,1,0))</f>
        <v/>
      </c>
    </row>
    <row r="3059" customFormat="false" ht="15" hidden="false" customHeight="false" outlineLevel="0" collapsed="false">
      <c r="A3059" s="27"/>
      <c r="F3059" s="28"/>
      <c r="J3059" s="0" t="str">
        <f aca="false">IF(A3059="","",YEAR(A3059))</f>
        <v/>
      </c>
      <c r="K3059" s="0" t="str">
        <f aca="false">IF(A3059="","",MONTH(A3059))</f>
        <v/>
      </c>
      <c r="L3059" s="0" t="str">
        <f aca="false">IF(B3059="","",VALUE(LEFT(B3059,2)))</f>
        <v/>
      </c>
      <c r="M3059" s="0" t="str">
        <f aca="false">IF(A3059="","",IF(COUNTIFS($C$2:$C$5001,C3059,$J$2:$J$5001,J3059,$A$2:$A$5001,"&lt;"&amp;A3059)=0,1,0))</f>
        <v/>
      </c>
    </row>
    <row r="3060" customFormat="false" ht="15" hidden="false" customHeight="false" outlineLevel="0" collapsed="false">
      <c r="A3060" s="27"/>
      <c r="F3060" s="28"/>
      <c r="J3060" s="0" t="str">
        <f aca="false">IF(A3060="","",YEAR(A3060))</f>
        <v/>
      </c>
      <c r="K3060" s="0" t="str">
        <f aca="false">IF(A3060="","",MONTH(A3060))</f>
        <v/>
      </c>
      <c r="L3060" s="0" t="str">
        <f aca="false">IF(B3060="","",VALUE(LEFT(B3060,2)))</f>
        <v/>
      </c>
      <c r="M3060" s="0" t="str">
        <f aca="false">IF(A3060="","",IF(COUNTIFS($C$2:$C$5001,C3060,$J$2:$J$5001,J3060,$A$2:$A$5001,"&lt;"&amp;A3060)=0,1,0))</f>
        <v/>
      </c>
    </row>
    <row r="3061" customFormat="false" ht="15" hidden="false" customHeight="false" outlineLevel="0" collapsed="false">
      <c r="A3061" s="27"/>
      <c r="F3061" s="28"/>
      <c r="J3061" s="0" t="str">
        <f aca="false">IF(A3061="","",YEAR(A3061))</f>
        <v/>
      </c>
      <c r="K3061" s="0" t="str">
        <f aca="false">IF(A3061="","",MONTH(A3061))</f>
        <v/>
      </c>
      <c r="L3061" s="0" t="str">
        <f aca="false">IF(B3061="","",VALUE(LEFT(B3061,2)))</f>
        <v/>
      </c>
      <c r="M3061" s="0" t="str">
        <f aca="false">IF(A3061="","",IF(COUNTIFS($C$2:$C$5001,C3061,$J$2:$J$5001,J3061,$A$2:$A$5001,"&lt;"&amp;A3061)=0,1,0))</f>
        <v/>
      </c>
    </row>
    <row r="3062" customFormat="false" ht="15" hidden="false" customHeight="false" outlineLevel="0" collapsed="false">
      <c r="A3062" s="27"/>
      <c r="F3062" s="28"/>
      <c r="J3062" s="0" t="str">
        <f aca="false">IF(A3062="","",YEAR(A3062))</f>
        <v/>
      </c>
      <c r="K3062" s="0" t="str">
        <f aca="false">IF(A3062="","",MONTH(A3062))</f>
        <v/>
      </c>
      <c r="L3062" s="0" t="str">
        <f aca="false">IF(B3062="","",VALUE(LEFT(B3062,2)))</f>
        <v/>
      </c>
      <c r="M3062" s="0" t="str">
        <f aca="false">IF(A3062="","",IF(COUNTIFS($C$2:$C$5001,C3062,$J$2:$J$5001,J3062,$A$2:$A$5001,"&lt;"&amp;A3062)=0,1,0))</f>
        <v/>
      </c>
    </row>
    <row r="3063" customFormat="false" ht="15" hidden="false" customHeight="false" outlineLevel="0" collapsed="false">
      <c r="A3063" s="27"/>
      <c r="F3063" s="28"/>
      <c r="J3063" s="0" t="str">
        <f aca="false">IF(A3063="","",YEAR(A3063))</f>
        <v/>
      </c>
      <c r="K3063" s="0" t="str">
        <f aca="false">IF(A3063="","",MONTH(A3063))</f>
        <v/>
      </c>
      <c r="L3063" s="0" t="str">
        <f aca="false">IF(B3063="","",VALUE(LEFT(B3063,2)))</f>
        <v/>
      </c>
      <c r="M3063" s="0" t="str">
        <f aca="false">IF(A3063="","",IF(COUNTIFS($C$2:$C$5001,C3063,$J$2:$J$5001,J3063,$A$2:$A$5001,"&lt;"&amp;A3063)=0,1,0))</f>
        <v/>
      </c>
    </row>
    <row r="3064" customFormat="false" ht="15" hidden="false" customHeight="false" outlineLevel="0" collapsed="false">
      <c r="A3064" s="27"/>
      <c r="F3064" s="28"/>
      <c r="J3064" s="0" t="str">
        <f aca="false">IF(A3064="","",YEAR(A3064))</f>
        <v/>
      </c>
      <c r="K3064" s="0" t="str">
        <f aca="false">IF(A3064="","",MONTH(A3064))</f>
        <v/>
      </c>
      <c r="L3064" s="0" t="str">
        <f aca="false">IF(B3064="","",VALUE(LEFT(B3064,2)))</f>
        <v/>
      </c>
      <c r="M3064" s="0" t="str">
        <f aca="false">IF(A3064="","",IF(COUNTIFS($C$2:$C$5001,C3064,$J$2:$J$5001,J3064,$A$2:$A$5001,"&lt;"&amp;A3064)=0,1,0))</f>
        <v/>
      </c>
    </row>
    <row r="3065" customFormat="false" ht="15" hidden="false" customHeight="false" outlineLevel="0" collapsed="false">
      <c r="A3065" s="27"/>
      <c r="F3065" s="28"/>
      <c r="J3065" s="0" t="str">
        <f aca="false">IF(A3065="","",YEAR(A3065))</f>
        <v/>
      </c>
      <c r="K3065" s="0" t="str">
        <f aca="false">IF(A3065="","",MONTH(A3065))</f>
        <v/>
      </c>
      <c r="L3065" s="0" t="str">
        <f aca="false">IF(B3065="","",VALUE(LEFT(B3065,2)))</f>
        <v/>
      </c>
      <c r="M3065" s="0" t="str">
        <f aca="false">IF(A3065="","",IF(COUNTIFS($C$2:$C$5001,C3065,$J$2:$J$5001,J3065,$A$2:$A$5001,"&lt;"&amp;A3065)=0,1,0))</f>
        <v/>
      </c>
    </row>
    <row r="3066" customFormat="false" ht="15" hidden="false" customHeight="false" outlineLevel="0" collapsed="false">
      <c r="A3066" s="27"/>
      <c r="F3066" s="28"/>
      <c r="J3066" s="0" t="str">
        <f aca="false">IF(A3066="","",YEAR(A3066))</f>
        <v/>
      </c>
      <c r="K3066" s="0" t="str">
        <f aca="false">IF(A3066="","",MONTH(A3066))</f>
        <v/>
      </c>
      <c r="L3066" s="0" t="str">
        <f aca="false">IF(B3066="","",VALUE(LEFT(B3066,2)))</f>
        <v/>
      </c>
      <c r="M3066" s="0" t="str">
        <f aca="false">IF(A3066="","",IF(COUNTIFS($C$2:$C$5001,C3066,$J$2:$J$5001,J3066,$A$2:$A$5001,"&lt;"&amp;A3066)=0,1,0))</f>
        <v/>
      </c>
    </row>
    <row r="3067" customFormat="false" ht="15" hidden="false" customHeight="false" outlineLevel="0" collapsed="false">
      <c r="A3067" s="27"/>
      <c r="F3067" s="28"/>
      <c r="J3067" s="0" t="str">
        <f aca="false">IF(A3067="","",YEAR(A3067))</f>
        <v/>
      </c>
      <c r="K3067" s="0" t="str">
        <f aca="false">IF(A3067="","",MONTH(A3067))</f>
        <v/>
      </c>
      <c r="L3067" s="0" t="str">
        <f aca="false">IF(B3067="","",VALUE(LEFT(B3067,2)))</f>
        <v/>
      </c>
      <c r="M3067" s="0" t="str">
        <f aca="false">IF(A3067="","",IF(COUNTIFS($C$2:$C$5001,C3067,$J$2:$J$5001,J3067,$A$2:$A$5001,"&lt;"&amp;A3067)=0,1,0))</f>
        <v/>
      </c>
    </row>
    <row r="3068" customFormat="false" ht="15" hidden="false" customHeight="false" outlineLevel="0" collapsed="false">
      <c r="A3068" s="27"/>
      <c r="F3068" s="28"/>
      <c r="J3068" s="0" t="str">
        <f aca="false">IF(A3068="","",YEAR(A3068))</f>
        <v/>
      </c>
      <c r="K3068" s="0" t="str">
        <f aca="false">IF(A3068="","",MONTH(A3068))</f>
        <v/>
      </c>
      <c r="L3068" s="0" t="str">
        <f aca="false">IF(B3068="","",VALUE(LEFT(B3068,2)))</f>
        <v/>
      </c>
      <c r="M3068" s="0" t="str">
        <f aca="false">IF(A3068="","",IF(COUNTIFS($C$2:$C$5001,C3068,$J$2:$J$5001,J3068,$A$2:$A$5001,"&lt;"&amp;A3068)=0,1,0))</f>
        <v/>
      </c>
    </row>
    <row r="3069" customFormat="false" ht="15" hidden="false" customHeight="false" outlineLevel="0" collapsed="false">
      <c r="A3069" s="27"/>
      <c r="F3069" s="28"/>
      <c r="J3069" s="0" t="str">
        <f aca="false">IF(A3069="","",YEAR(A3069))</f>
        <v/>
      </c>
      <c r="K3069" s="0" t="str">
        <f aca="false">IF(A3069="","",MONTH(A3069))</f>
        <v/>
      </c>
      <c r="L3069" s="0" t="str">
        <f aca="false">IF(B3069="","",VALUE(LEFT(B3069,2)))</f>
        <v/>
      </c>
      <c r="M3069" s="0" t="str">
        <f aca="false">IF(A3069="","",IF(COUNTIFS($C$2:$C$5001,C3069,$J$2:$J$5001,J3069,$A$2:$A$5001,"&lt;"&amp;A3069)=0,1,0))</f>
        <v/>
      </c>
    </row>
    <row r="3070" customFormat="false" ht="15" hidden="false" customHeight="false" outlineLevel="0" collapsed="false">
      <c r="A3070" s="27"/>
      <c r="F3070" s="28"/>
      <c r="J3070" s="0" t="str">
        <f aca="false">IF(A3070="","",YEAR(A3070))</f>
        <v/>
      </c>
      <c r="K3070" s="0" t="str">
        <f aca="false">IF(A3070="","",MONTH(A3070))</f>
        <v/>
      </c>
      <c r="L3070" s="0" t="str">
        <f aca="false">IF(B3070="","",VALUE(LEFT(B3070,2)))</f>
        <v/>
      </c>
      <c r="M3070" s="0" t="str">
        <f aca="false">IF(A3070="","",IF(COUNTIFS($C$2:$C$5001,C3070,$J$2:$J$5001,J3070,$A$2:$A$5001,"&lt;"&amp;A3070)=0,1,0))</f>
        <v/>
      </c>
    </row>
    <row r="3071" customFormat="false" ht="15" hidden="false" customHeight="false" outlineLevel="0" collapsed="false">
      <c r="A3071" s="27"/>
      <c r="F3071" s="28"/>
      <c r="J3071" s="0" t="str">
        <f aca="false">IF(A3071="","",YEAR(A3071))</f>
        <v/>
      </c>
      <c r="K3071" s="0" t="str">
        <f aca="false">IF(A3071="","",MONTH(A3071))</f>
        <v/>
      </c>
      <c r="L3071" s="0" t="str">
        <f aca="false">IF(B3071="","",VALUE(LEFT(B3071,2)))</f>
        <v/>
      </c>
      <c r="M3071" s="0" t="str">
        <f aca="false">IF(A3071="","",IF(COUNTIFS($C$2:$C$5001,C3071,$J$2:$J$5001,J3071,$A$2:$A$5001,"&lt;"&amp;A3071)=0,1,0))</f>
        <v/>
      </c>
    </row>
    <row r="3072" customFormat="false" ht="15" hidden="false" customHeight="false" outlineLevel="0" collapsed="false">
      <c r="A3072" s="27"/>
      <c r="F3072" s="28"/>
      <c r="J3072" s="0" t="str">
        <f aca="false">IF(A3072="","",YEAR(A3072))</f>
        <v/>
      </c>
      <c r="K3072" s="0" t="str">
        <f aca="false">IF(A3072="","",MONTH(A3072))</f>
        <v/>
      </c>
      <c r="L3072" s="0" t="str">
        <f aca="false">IF(B3072="","",VALUE(LEFT(B3072,2)))</f>
        <v/>
      </c>
      <c r="M3072" s="0" t="str">
        <f aca="false">IF(A3072="","",IF(COUNTIFS($C$2:$C$5001,C3072,$J$2:$J$5001,J3072,$A$2:$A$5001,"&lt;"&amp;A3072)=0,1,0))</f>
        <v/>
      </c>
    </row>
    <row r="3073" customFormat="false" ht="15" hidden="false" customHeight="false" outlineLevel="0" collapsed="false">
      <c r="A3073" s="27"/>
      <c r="F3073" s="28"/>
      <c r="J3073" s="0" t="str">
        <f aca="false">IF(A3073="","",YEAR(A3073))</f>
        <v/>
      </c>
      <c r="K3073" s="0" t="str">
        <f aca="false">IF(A3073="","",MONTH(A3073))</f>
        <v/>
      </c>
      <c r="L3073" s="0" t="str">
        <f aca="false">IF(B3073="","",VALUE(LEFT(B3073,2)))</f>
        <v/>
      </c>
      <c r="M3073" s="0" t="str">
        <f aca="false">IF(A3073="","",IF(COUNTIFS($C$2:$C$5001,C3073,$J$2:$J$5001,J3073,$A$2:$A$5001,"&lt;"&amp;A3073)=0,1,0))</f>
        <v/>
      </c>
    </row>
    <row r="3074" customFormat="false" ht="15" hidden="false" customHeight="false" outlineLevel="0" collapsed="false">
      <c r="A3074" s="27"/>
      <c r="F3074" s="28"/>
      <c r="J3074" s="0" t="str">
        <f aca="false">IF(A3074="","",YEAR(A3074))</f>
        <v/>
      </c>
      <c r="K3074" s="0" t="str">
        <f aca="false">IF(A3074="","",MONTH(A3074))</f>
        <v/>
      </c>
      <c r="L3074" s="0" t="str">
        <f aca="false">IF(B3074="","",VALUE(LEFT(B3074,2)))</f>
        <v/>
      </c>
      <c r="M3074" s="0" t="str">
        <f aca="false">IF(A3074="","",IF(COUNTIFS($C$2:$C$5001,C3074,$J$2:$J$5001,J3074,$A$2:$A$5001,"&lt;"&amp;A3074)=0,1,0))</f>
        <v/>
      </c>
    </row>
    <row r="3075" customFormat="false" ht="15" hidden="false" customHeight="false" outlineLevel="0" collapsed="false">
      <c r="A3075" s="27"/>
      <c r="F3075" s="28"/>
      <c r="J3075" s="0" t="str">
        <f aca="false">IF(A3075="","",YEAR(A3075))</f>
        <v/>
      </c>
      <c r="K3075" s="0" t="str">
        <f aca="false">IF(A3075="","",MONTH(A3075))</f>
        <v/>
      </c>
      <c r="L3075" s="0" t="str">
        <f aca="false">IF(B3075="","",VALUE(LEFT(B3075,2)))</f>
        <v/>
      </c>
      <c r="M3075" s="0" t="str">
        <f aca="false">IF(A3075="","",IF(COUNTIFS($C$2:$C$5001,C3075,$J$2:$J$5001,J3075,$A$2:$A$5001,"&lt;"&amp;A3075)=0,1,0))</f>
        <v/>
      </c>
    </row>
    <row r="3076" customFormat="false" ht="15" hidden="false" customHeight="false" outlineLevel="0" collapsed="false">
      <c r="A3076" s="27"/>
      <c r="F3076" s="28"/>
      <c r="J3076" s="0" t="str">
        <f aca="false">IF(A3076="","",YEAR(A3076))</f>
        <v/>
      </c>
      <c r="K3076" s="0" t="str">
        <f aca="false">IF(A3076="","",MONTH(A3076))</f>
        <v/>
      </c>
      <c r="L3076" s="0" t="str">
        <f aca="false">IF(B3076="","",VALUE(LEFT(B3076,2)))</f>
        <v/>
      </c>
      <c r="M3076" s="0" t="str">
        <f aca="false">IF(A3076="","",IF(COUNTIFS($C$2:$C$5001,C3076,$J$2:$J$5001,J3076,$A$2:$A$5001,"&lt;"&amp;A3076)=0,1,0))</f>
        <v/>
      </c>
    </row>
    <row r="3077" customFormat="false" ht="15" hidden="false" customHeight="false" outlineLevel="0" collapsed="false">
      <c r="A3077" s="27"/>
      <c r="F3077" s="28"/>
      <c r="J3077" s="0" t="str">
        <f aca="false">IF(A3077="","",YEAR(A3077))</f>
        <v/>
      </c>
      <c r="K3077" s="0" t="str">
        <f aca="false">IF(A3077="","",MONTH(A3077))</f>
        <v/>
      </c>
      <c r="L3077" s="0" t="str">
        <f aca="false">IF(B3077="","",VALUE(LEFT(B3077,2)))</f>
        <v/>
      </c>
      <c r="M3077" s="0" t="str">
        <f aca="false">IF(A3077="","",IF(COUNTIFS($C$2:$C$5001,C3077,$J$2:$J$5001,J3077,$A$2:$A$5001,"&lt;"&amp;A3077)=0,1,0))</f>
        <v/>
      </c>
    </row>
    <row r="3078" customFormat="false" ht="15" hidden="false" customHeight="false" outlineLevel="0" collapsed="false">
      <c r="A3078" s="27"/>
      <c r="F3078" s="28"/>
      <c r="J3078" s="0" t="str">
        <f aca="false">IF(A3078="","",YEAR(A3078))</f>
        <v/>
      </c>
      <c r="K3078" s="0" t="str">
        <f aca="false">IF(A3078="","",MONTH(A3078))</f>
        <v/>
      </c>
      <c r="L3078" s="0" t="str">
        <f aca="false">IF(B3078="","",VALUE(LEFT(B3078,2)))</f>
        <v/>
      </c>
      <c r="M3078" s="0" t="str">
        <f aca="false">IF(A3078="","",IF(COUNTIFS($C$2:$C$5001,C3078,$J$2:$J$5001,J3078,$A$2:$A$5001,"&lt;"&amp;A3078)=0,1,0))</f>
        <v/>
      </c>
    </row>
    <row r="3079" customFormat="false" ht="15" hidden="false" customHeight="false" outlineLevel="0" collapsed="false">
      <c r="A3079" s="27"/>
      <c r="F3079" s="28"/>
      <c r="J3079" s="0" t="str">
        <f aca="false">IF(A3079="","",YEAR(A3079))</f>
        <v/>
      </c>
      <c r="K3079" s="0" t="str">
        <f aca="false">IF(A3079="","",MONTH(A3079))</f>
        <v/>
      </c>
      <c r="L3079" s="0" t="str">
        <f aca="false">IF(B3079="","",VALUE(LEFT(B3079,2)))</f>
        <v/>
      </c>
      <c r="M3079" s="0" t="str">
        <f aca="false">IF(A3079="","",IF(COUNTIFS($C$2:$C$5001,C3079,$J$2:$J$5001,J3079,$A$2:$A$5001,"&lt;"&amp;A3079)=0,1,0))</f>
        <v/>
      </c>
    </row>
    <row r="3080" customFormat="false" ht="15" hidden="false" customHeight="false" outlineLevel="0" collapsed="false">
      <c r="A3080" s="27"/>
      <c r="F3080" s="28"/>
      <c r="J3080" s="0" t="str">
        <f aca="false">IF(A3080="","",YEAR(A3080))</f>
        <v/>
      </c>
      <c r="K3080" s="0" t="str">
        <f aca="false">IF(A3080="","",MONTH(A3080))</f>
        <v/>
      </c>
      <c r="L3080" s="0" t="str">
        <f aca="false">IF(B3080="","",VALUE(LEFT(B3080,2)))</f>
        <v/>
      </c>
      <c r="M3080" s="0" t="str">
        <f aca="false">IF(A3080="","",IF(COUNTIFS($C$2:$C$5001,C3080,$J$2:$J$5001,J3080,$A$2:$A$5001,"&lt;"&amp;A3080)=0,1,0))</f>
        <v/>
      </c>
    </row>
    <row r="3081" customFormat="false" ht="15" hidden="false" customHeight="false" outlineLevel="0" collapsed="false">
      <c r="A3081" s="27"/>
      <c r="F3081" s="28"/>
      <c r="J3081" s="0" t="str">
        <f aca="false">IF(A3081="","",YEAR(A3081))</f>
        <v/>
      </c>
      <c r="K3081" s="0" t="str">
        <f aca="false">IF(A3081="","",MONTH(A3081))</f>
        <v/>
      </c>
      <c r="L3081" s="0" t="str">
        <f aca="false">IF(B3081="","",VALUE(LEFT(B3081,2)))</f>
        <v/>
      </c>
      <c r="M3081" s="0" t="str">
        <f aca="false">IF(A3081="","",IF(COUNTIFS($C$2:$C$5001,C3081,$J$2:$J$5001,J3081,$A$2:$A$5001,"&lt;"&amp;A3081)=0,1,0))</f>
        <v/>
      </c>
    </row>
    <row r="3082" customFormat="false" ht="15" hidden="false" customHeight="false" outlineLevel="0" collapsed="false">
      <c r="A3082" s="27"/>
      <c r="F3082" s="28"/>
      <c r="J3082" s="0" t="str">
        <f aca="false">IF(A3082="","",YEAR(A3082))</f>
        <v/>
      </c>
      <c r="K3082" s="0" t="str">
        <f aca="false">IF(A3082="","",MONTH(A3082))</f>
        <v/>
      </c>
      <c r="L3082" s="0" t="str">
        <f aca="false">IF(B3082="","",VALUE(LEFT(B3082,2)))</f>
        <v/>
      </c>
      <c r="M3082" s="0" t="str">
        <f aca="false">IF(A3082="","",IF(COUNTIFS($C$2:$C$5001,C3082,$J$2:$J$5001,J3082,$A$2:$A$5001,"&lt;"&amp;A3082)=0,1,0))</f>
        <v/>
      </c>
    </row>
    <row r="3083" customFormat="false" ht="15" hidden="false" customHeight="false" outlineLevel="0" collapsed="false">
      <c r="A3083" s="27"/>
      <c r="F3083" s="28"/>
      <c r="J3083" s="0" t="str">
        <f aca="false">IF(A3083="","",YEAR(A3083))</f>
        <v/>
      </c>
      <c r="K3083" s="0" t="str">
        <f aca="false">IF(A3083="","",MONTH(A3083))</f>
        <v/>
      </c>
      <c r="L3083" s="0" t="str">
        <f aca="false">IF(B3083="","",VALUE(LEFT(B3083,2)))</f>
        <v/>
      </c>
      <c r="M3083" s="0" t="str">
        <f aca="false">IF(A3083="","",IF(COUNTIFS($C$2:$C$5001,C3083,$J$2:$J$5001,J3083,$A$2:$A$5001,"&lt;"&amp;A3083)=0,1,0))</f>
        <v/>
      </c>
    </row>
    <row r="3084" customFormat="false" ht="15" hidden="false" customHeight="false" outlineLevel="0" collapsed="false">
      <c r="A3084" s="27"/>
      <c r="F3084" s="28"/>
      <c r="J3084" s="0" t="str">
        <f aca="false">IF(A3084="","",YEAR(A3084))</f>
        <v/>
      </c>
      <c r="K3084" s="0" t="str">
        <f aca="false">IF(A3084="","",MONTH(A3084))</f>
        <v/>
      </c>
      <c r="L3084" s="0" t="str">
        <f aca="false">IF(B3084="","",VALUE(LEFT(B3084,2)))</f>
        <v/>
      </c>
      <c r="M3084" s="0" t="str">
        <f aca="false">IF(A3084="","",IF(COUNTIFS($C$2:$C$5001,C3084,$J$2:$J$5001,J3084,$A$2:$A$5001,"&lt;"&amp;A3084)=0,1,0))</f>
        <v/>
      </c>
    </row>
    <row r="3085" customFormat="false" ht="15" hidden="false" customHeight="false" outlineLevel="0" collapsed="false">
      <c r="A3085" s="27"/>
      <c r="F3085" s="28"/>
      <c r="J3085" s="0" t="str">
        <f aca="false">IF(A3085="","",YEAR(A3085))</f>
        <v/>
      </c>
      <c r="K3085" s="0" t="str">
        <f aca="false">IF(A3085="","",MONTH(A3085))</f>
        <v/>
      </c>
      <c r="L3085" s="0" t="str">
        <f aca="false">IF(B3085="","",VALUE(LEFT(B3085,2)))</f>
        <v/>
      </c>
      <c r="M3085" s="0" t="str">
        <f aca="false">IF(A3085="","",IF(COUNTIFS($C$2:$C$5001,C3085,$J$2:$J$5001,J3085,$A$2:$A$5001,"&lt;"&amp;A3085)=0,1,0))</f>
        <v/>
      </c>
    </row>
    <row r="3086" customFormat="false" ht="15" hidden="false" customHeight="false" outlineLevel="0" collapsed="false">
      <c r="A3086" s="27"/>
      <c r="F3086" s="28"/>
      <c r="J3086" s="0" t="str">
        <f aca="false">IF(A3086="","",YEAR(A3086))</f>
        <v/>
      </c>
      <c r="K3086" s="0" t="str">
        <f aca="false">IF(A3086="","",MONTH(A3086))</f>
        <v/>
      </c>
      <c r="L3086" s="0" t="str">
        <f aca="false">IF(B3086="","",VALUE(LEFT(B3086,2)))</f>
        <v/>
      </c>
      <c r="M3086" s="0" t="str">
        <f aca="false">IF(A3086="","",IF(COUNTIFS($C$2:$C$5001,C3086,$J$2:$J$5001,J3086,$A$2:$A$5001,"&lt;"&amp;A3086)=0,1,0))</f>
        <v/>
      </c>
    </row>
    <row r="3087" customFormat="false" ht="15" hidden="false" customHeight="false" outlineLevel="0" collapsed="false">
      <c r="A3087" s="27"/>
      <c r="F3087" s="28"/>
      <c r="J3087" s="0" t="str">
        <f aca="false">IF(A3087="","",YEAR(A3087))</f>
        <v/>
      </c>
      <c r="K3087" s="0" t="str">
        <f aca="false">IF(A3087="","",MONTH(A3087))</f>
        <v/>
      </c>
      <c r="L3087" s="0" t="str">
        <f aca="false">IF(B3087="","",VALUE(LEFT(B3087,2)))</f>
        <v/>
      </c>
      <c r="M3087" s="0" t="str">
        <f aca="false">IF(A3087="","",IF(COUNTIFS($C$2:$C$5001,C3087,$J$2:$J$5001,J3087,$A$2:$A$5001,"&lt;"&amp;A3087)=0,1,0))</f>
        <v/>
      </c>
    </row>
    <row r="3088" customFormat="false" ht="15" hidden="false" customHeight="false" outlineLevel="0" collapsed="false">
      <c r="A3088" s="27"/>
      <c r="F3088" s="28"/>
      <c r="J3088" s="0" t="str">
        <f aca="false">IF(A3088="","",YEAR(A3088))</f>
        <v/>
      </c>
      <c r="K3088" s="0" t="str">
        <f aca="false">IF(A3088="","",MONTH(A3088))</f>
        <v/>
      </c>
      <c r="L3088" s="0" t="str">
        <f aca="false">IF(B3088="","",VALUE(LEFT(B3088,2)))</f>
        <v/>
      </c>
      <c r="M3088" s="0" t="str">
        <f aca="false">IF(A3088="","",IF(COUNTIFS($C$2:$C$5001,C3088,$J$2:$J$5001,J3088,$A$2:$A$5001,"&lt;"&amp;A3088)=0,1,0))</f>
        <v/>
      </c>
    </row>
    <row r="3089" customFormat="false" ht="15" hidden="false" customHeight="false" outlineLevel="0" collapsed="false">
      <c r="A3089" s="27"/>
      <c r="F3089" s="28"/>
      <c r="J3089" s="0" t="str">
        <f aca="false">IF(A3089="","",YEAR(A3089))</f>
        <v/>
      </c>
      <c r="K3089" s="0" t="str">
        <f aca="false">IF(A3089="","",MONTH(A3089))</f>
        <v/>
      </c>
      <c r="L3089" s="0" t="str">
        <f aca="false">IF(B3089="","",VALUE(LEFT(B3089,2)))</f>
        <v/>
      </c>
      <c r="M3089" s="0" t="str">
        <f aca="false">IF(A3089="","",IF(COUNTIFS($C$2:$C$5001,C3089,$J$2:$J$5001,J3089,$A$2:$A$5001,"&lt;"&amp;A3089)=0,1,0))</f>
        <v/>
      </c>
    </row>
    <row r="3090" customFormat="false" ht="15" hidden="false" customHeight="false" outlineLevel="0" collapsed="false">
      <c r="A3090" s="27"/>
      <c r="F3090" s="28"/>
      <c r="J3090" s="0" t="str">
        <f aca="false">IF(A3090="","",YEAR(A3090))</f>
        <v/>
      </c>
      <c r="K3090" s="0" t="str">
        <f aca="false">IF(A3090="","",MONTH(A3090))</f>
        <v/>
      </c>
      <c r="L3090" s="0" t="str">
        <f aca="false">IF(B3090="","",VALUE(LEFT(B3090,2)))</f>
        <v/>
      </c>
      <c r="M3090" s="0" t="str">
        <f aca="false">IF(A3090="","",IF(COUNTIFS($C$2:$C$5001,C3090,$J$2:$J$5001,J3090,$A$2:$A$5001,"&lt;"&amp;A3090)=0,1,0))</f>
        <v/>
      </c>
    </row>
    <row r="3091" customFormat="false" ht="15" hidden="false" customHeight="false" outlineLevel="0" collapsed="false">
      <c r="A3091" s="27"/>
      <c r="F3091" s="28"/>
      <c r="J3091" s="0" t="str">
        <f aca="false">IF(A3091="","",YEAR(A3091))</f>
        <v/>
      </c>
      <c r="K3091" s="0" t="str">
        <f aca="false">IF(A3091="","",MONTH(A3091))</f>
        <v/>
      </c>
      <c r="L3091" s="0" t="str">
        <f aca="false">IF(B3091="","",VALUE(LEFT(B3091,2)))</f>
        <v/>
      </c>
      <c r="M3091" s="0" t="str">
        <f aca="false">IF(A3091="","",IF(COUNTIFS($C$2:$C$5001,C3091,$J$2:$J$5001,J3091,$A$2:$A$5001,"&lt;"&amp;A3091)=0,1,0))</f>
        <v/>
      </c>
    </row>
    <row r="3092" customFormat="false" ht="15" hidden="false" customHeight="false" outlineLevel="0" collapsed="false">
      <c r="A3092" s="27"/>
      <c r="F3092" s="28"/>
      <c r="J3092" s="0" t="str">
        <f aca="false">IF(A3092="","",YEAR(A3092))</f>
        <v/>
      </c>
      <c r="K3092" s="0" t="str">
        <f aca="false">IF(A3092="","",MONTH(A3092))</f>
        <v/>
      </c>
      <c r="L3092" s="0" t="str">
        <f aca="false">IF(B3092="","",VALUE(LEFT(B3092,2)))</f>
        <v/>
      </c>
      <c r="M3092" s="0" t="str">
        <f aca="false">IF(A3092="","",IF(COUNTIFS($C$2:$C$5001,C3092,$J$2:$J$5001,J3092,$A$2:$A$5001,"&lt;"&amp;A3092)=0,1,0))</f>
        <v/>
      </c>
    </row>
    <row r="3093" customFormat="false" ht="15" hidden="false" customHeight="false" outlineLevel="0" collapsed="false">
      <c r="A3093" s="27"/>
      <c r="F3093" s="28"/>
      <c r="J3093" s="0" t="str">
        <f aca="false">IF(A3093="","",YEAR(A3093))</f>
        <v/>
      </c>
      <c r="K3093" s="0" t="str">
        <f aca="false">IF(A3093="","",MONTH(A3093))</f>
        <v/>
      </c>
      <c r="L3093" s="0" t="str">
        <f aca="false">IF(B3093="","",VALUE(LEFT(B3093,2)))</f>
        <v/>
      </c>
      <c r="M3093" s="0" t="str">
        <f aca="false">IF(A3093="","",IF(COUNTIFS($C$2:$C$5001,C3093,$J$2:$J$5001,J3093,$A$2:$A$5001,"&lt;"&amp;A3093)=0,1,0))</f>
        <v/>
      </c>
    </row>
    <row r="3094" customFormat="false" ht="15" hidden="false" customHeight="false" outlineLevel="0" collapsed="false">
      <c r="A3094" s="27"/>
      <c r="F3094" s="28"/>
      <c r="J3094" s="0" t="str">
        <f aca="false">IF(A3094="","",YEAR(A3094))</f>
        <v/>
      </c>
      <c r="K3094" s="0" t="str">
        <f aca="false">IF(A3094="","",MONTH(A3094))</f>
        <v/>
      </c>
      <c r="L3094" s="0" t="str">
        <f aca="false">IF(B3094="","",VALUE(LEFT(B3094,2)))</f>
        <v/>
      </c>
      <c r="M3094" s="0" t="str">
        <f aca="false">IF(A3094="","",IF(COUNTIFS($C$2:$C$5001,C3094,$J$2:$J$5001,J3094,$A$2:$A$5001,"&lt;"&amp;A3094)=0,1,0))</f>
        <v/>
      </c>
    </row>
    <row r="3095" customFormat="false" ht="15" hidden="false" customHeight="false" outlineLevel="0" collapsed="false">
      <c r="A3095" s="27"/>
      <c r="F3095" s="28"/>
      <c r="J3095" s="0" t="str">
        <f aca="false">IF(A3095="","",YEAR(A3095))</f>
        <v/>
      </c>
      <c r="K3095" s="0" t="str">
        <f aca="false">IF(A3095="","",MONTH(A3095))</f>
        <v/>
      </c>
      <c r="L3095" s="0" t="str">
        <f aca="false">IF(B3095="","",VALUE(LEFT(B3095,2)))</f>
        <v/>
      </c>
      <c r="M3095" s="0" t="str">
        <f aca="false">IF(A3095="","",IF(COUNTIFS($C$2:$C$5001,C3095,$J$2:$J$5001,J3095,$A$2:$A$5001,"&lt;"&amp;A3095)=0,1,0))</f>
        <v/>
      </c>
    </row>
    <row r="3096" customFormat="false" ht="15" hidden="false" customHeight="false" outlineLevel="0" collapsed="false">
      <c r="A3096" s="27"/>
      <c r="F3096" s="28"/>
      <c r="J3096" s="0" t="str">
        <f aca="false">IF(A3096="","",YEAR(A3096))</f>
        <v/>
      </c>
      <c r="K3096" s="0" t="str">
        <f aca="false">IF(A3096="","",MONTH(A3096))</f>
        <v/>
      </c>
      <c r="L3096" s="0" t="str">
        <f aca="false">IF(B3096="","",VALUE(LEFT(B3096,2)))</f>
        <v/>
      </c>
      <c r="M3096" s="0" t="str">
        <f aca="false">IF(A3096="","",IF(COUNTIFS($C$2:$C$5001,C3096,$J$2:$J$5001,J3096,$A$2:$A$5001,"&lt;"&amp;A3096)=0,1,0))</f>
        <v/>
      </c>
    </row>
    <row r="3097" customFormat="false" ht="15" hidden="false" customHeight="false" outlineLevel="0" collapsed="false">
      <c r="A3097" s="27"/>
      <c r="F3097" s="28"/>
      <c r="J3097" s="0" t="str">
        <f aca="false">IF(A3097="","",YEAR(A3097))</f>
        <v/>
      </c>
      <c r="K3097" s="0" t="str">
        <f aca="false">IF(A3097="","",MONTH(A3097))</f>
        <v/>
      </c>
      <c r="L3097" s="0" t="str">
        <f aca="false">IF(B3097="","",VALUE(LEFT(B3097,2)))</f>
        <v/>
      </c>
      <c r="M3097" s="0" t="str">
        <f aca="false">IF(A3097="","",IF(COUNTIFS($C$2:$C$5001,C3097,$J$2:$J$5001,J3097,$A$2:$A$5001,"&lt;"&amp;A3097)=0,1,0))</f>
        <v/>
      </c>
    </row>
    <row r="3098" customFormat="false" ht="15" hidden="false" customHeight="false" outlineLevel="0" collapsed="false">
      <c r="A3098" s="27"/>
      <c r="F3098" s="28"/>
      <c r="J3098" s="0" t="str">
        <f aca="false">IF(A3098="","",YEAR(A3098))</f>
        <v/>
      </c>
      <c r="K3098" s="0" t="str">
        <f aca="false">IF(A3098="","",MONTH(A3098))</f>
        <v/>
      </c>
      <c r="L3098" s="0" t="str">
        <f aca="false">IF(B3098="","",VALUE(LEFT(B3098,2)))</f>
        <v/>
      </c>
      <c r="M3098" s="0" t="str">
        <f aca="false">IF(A3098="","",IF(COUNTIFS($C$2:$C$5001,C3098,$J$2:$J$5001,J3098,$A$2:$A$5001,"&lt;"&amp;A3098)=0,1,0))</f>
        <v/>
      </c>
    </row>
    <row r="3099" customFormat="false" ht="15" hidden="false" customHeight="false" outlineLevel="0" collapsed="false">
      <c r="A3099" s="27"/>
      <c r="F3099" s="28"/>
      <c r="J3099" s="0" t="str">
        <f aca="false">IF(A3099="","",YEAR(A3099))</f>
        <v/>
      </c>
      <c r="K3099" s="0" t="str">
        <f aca="false">IF(A3099="","",MONTH(A3099))</f>
        <v/>
      </c>
      <c r="L3099" s="0" t="str">
        <f aca="false">IF(B3099="","",VALUE(LEFT(B3099,2)))</f>
        <v/>
      </c>
      <c r="M3099" s="0" t="str">
        <f aca="false">IF(A3099="","",IF(COUNTIFS($C$2:$C$5001,C3099,$J$2:$J$5001,J3099,$A$2:$A$5001,"&lt;"&amp;A3099)=0,1,0))</f>
        <v/>
      </c>
    </row>
    <row r="3100" customFormat="false" ht="15" hidden="false" customHeight="false" outlineLevel="0" collapsed="false">
      <c r="A3100" s="27"/>
      <c r="F3100" s="28"/>
      <c r="J3100" s="0" t="str">
        <f aca="false">IF(A3100="","",YEAR(A3100))</f>
        <v/>
      </c>
      <c r="K3100" s="0" t="str">
        <f aca="false">IF(A3100="","",MONTH(A3100))</f>
        <v/>
      </c>
      <c r="L3100" s="0" t="str">
        <f aca="false">IF(B3100="","",VALUE(LEFT(B3100,2)))</f>
        <v/>
      </c>
      <c r="M3100" s="0" t="str">
        <f aca="false">IF(A3100="","",IF(COUNTIFS($C$2:$C$5001,C3100,$J$2:$J$5001,J3100,$A$2:$A$5001,"&lt;"&amp;A3100)=0,1,0))</f>
        <v/>
      </c>
    </row>
    <row r="3101" customFormat="false" ht="15" hidden="false" customHeight="false" outlineLevel="0" collapsed="false">
      <c r="A3101" s="27"/>
      <c r="F3101" s="28"/>
      <c r="J3101" s="0" t="str">
        <f aca="false">IF(A3101="","",YEAR(A3101))</f>
        <v/>
      </c>
      <c r="K3101" s="0" t="str">
        <f aca="false">IF(A3101="","",MONTH(A3101))</f>
        <v/>
      </c>
      <c r="L3101" s="0" t="str">
        <f aca="false">IF(B3101="","",VALUE(LEFT(B3101,2)))</f>
        <v/>
      </c>
      <c r="M3101" s="0" t="str">
        <f aca="false">IF(A3101="","",IF(COUNTIFS($C$2:$C$5001,C3101,$J$2:$J$5001,J3101,$A$2:$A$5001,"&lt;"&amp;A3101)=0,1,0))</f>
        <v/>
      </c>
    </row>
    <row r="3102" customFormat="false" ht="15" hidden="false" customHeight="false" outlineLevel="0" collapsed="false">
      <c r="A3102" s="27"/>
      <c r="F3102" s="28"/>
      <c r="J3102" s="0" t="str">
        <f aca="false">IF(A3102="","",YEAR(A3102))</f>
        <v/>
      </c>
      <c r="K3102" s="0" t="str">
        <f aca="false">IF(A3102="","",MONTH(A3102))</f>
        <v/>
      </c>
      <c r="L3102" s="0" t="str">
        <f aca="false">IF(B3102="","",VALUE(LEFT(B3102,2)))</f>
        <v/>
      </c>
      <c r="M3102" s="0" t="str">
        <f aca="false">IF(A3102="","",IF(COUNTIFS($C$2:$C$5001,C3102,$J$2:$J$5001,J3102,$A$2:$A$5001,"&lt;"&amp;A3102)=0,1,0))</f>
        <v/>
      </c>
    </row>
    <row r="3103" customFormat="false" ht="15" hidden="false" customHeight="false" outlineLevel="0" collapsed="false">
      <c r="A3103" s="27"/>
      <c r="F3103" s="28"/>
      <c r="J3103" s="0" t="str">
        <f aca="false">IF(A3103="","",YEAR(A3103))</f>
        <v/>
      </c>
      <c r="K3103" s="0" t="str">
        <f aca="false">IF(A3103="","",MONTH(A3103))</f>
        <v/>
      </c>
      <c r="L3103" s="0" t="str">
        <f aca="false">IF(B3103="","",VALUE(LEFT(B3103,2)))</f>
        <v/>
      </c>
      <c r="M3103" s="0" t="str">
        <f aca="false">IF(A3103="","",IF(COUNTIFS($C$2:$C$5001,C3103,$J$2:$J$5001,J3103,$A$2:$A$5001,"&lt;"&amp;A3103)=0,1,0))</f>
        <v/>
      </c>
    </row>
    <row r="3104" customFormat="false" ht="15" hidden="false" customHeight="false" outlineLevel="0" collapsed="false">
      <c r="A3104" s="27"/>
      <c r="F3104" s="28"/>
      <c r="J3104" s="0" t="str">
        <f aca="false">IF(A3104="","",YEAR(A3104))</f>
        <v/>
      </c>
      <c r="K3104" s="0" t="str">
        <f aca="false">IF(A3104="","",MONTH(A3104))</f>
        <v/>
      </c>
      <c r="L3104" s="0" t="str">
        <f aca="false">IF(B3104="","",VALUE(LEFT(B3104,2)))</f>
        <v/>
      </c>
      <c r="M3104" s="0" t="str">
        <f aca="false">IF(A3104="","",IF(COUNTIFS($C$2:$C$5001,C3104,$J$2:$J$5001,J3104,$A$2:$A$5001,"&lt;"&amp;A3104)=0,1,0))</f>
        <v/>
      </c>
    </row>
    <row r="3105" customFormat="false" ht="15" hidden="false" customHeight="false" outlineLevel="0" collapsed="false">
      <c r="A3105" s="27"/>
      <c r="F3105" s="28"/>
      <c r="J3105" s="0" t="str">
        <f aca="false">IF(A3105="","",YEAR(A3105))</f>
        <v/>
      </c>
      <c r="K3105" s="0" t="str">
        <f aca="false">IF(A3105="","",MONTH(A3105))</f>
        <v/>
      </c>
      <c r="L3105" s="0" t="str">
        <f aca="false">IF(B3105="","",VALUE(LEFT(B3105,2)))</f>
        <v/>
      </c>
      <c r="M3105" s="0" t="str">
        <f aca="false">IF(A3105="","",IF(COUNTIFS($C$2:$C$5001,C3105,$J$2:$J$5001,J3105,$A$2:$A$5001,"&lt;"&amp;A3105)=0,1,0))</f>
        <v/>
      </c>
    </row>
    <row r="3106" customFormat="false" ht="15" hidden="false" customHeight="false" outlineLevel="0" collapsed="false">
      <c r="A3106" s="27"/>
      <c r="F3106" s="28"/>
      <c r="J3106" s="0" t="str">
        <f aca="false">IF(A3106="","",YEAR(A3106))</f>
        <v/>
      </c>
      <c r="K3106" s="0" t="str">
        <f aca="false">IF(A3106="","",MONTH(A3106))</f>
        <v/>
      </c>
      <c r="L3106" s="0" t="str">
        <f aca="false">IF(B3106="","",VALUE(LEFT(B3106,2)))</f>
        <v/>
      </c>
      <c r="M3106" s="0" t="str">
        <f aca="false">IF(A3106="","",IF(COUNTIFS($C$2:$C$5001,C3106,$J$2:$J$5001,J3106,$A$2:$A$5001,"&lt;"&amp;A3106)=0,1,0))</f>
        <v/>
      </c>
    </row>
    <row r="3107" customFormat="false" ht="15" hidden="false" customHeight="false" outlineLevel="0" collapsed="false">
      <c r="A3107" s="27"/>
      <c r="F3107" s="28"/>
      <c r="J3107" s="0" t="str">
        <f aca="false">IF(A3107="","",YEAR(A3107))</f>
        <v/>
      </c>
      <c r="K3107" s="0" t="str">
        <f aca="false">IF(A3107="","",MONTH(A3107))</f>
        <v/>
      </c>
      <c r="L3107" s="0" t="str">
        <f aca="false">IF(B3107="","",VALUE(LEFT(B3107,2)))</f>
        <v/>
      </c>
      <c r="M3107" s="0" t="str">
        <f aca="false">IF(A3107="","",IF(COUNTIFS($C$2:$C$5001,C3107,$J$2:$J$5001,J3107,$A$2:$A$5001,"&lt;"&amp;A3107)=0,1,0))</f>
        <v/>
      </c>
    </row>
    <row r="3108" customFormat="false" ht="15" hidden="false" customHeight="false" outlineLevel="0" collapsed="false">
      <c r="A3108" s="27"/>
      <c r="F3108" s="28"/>
      <c r="J3108" s="0" t="str">
        <f aca="false">IF(A3108="","",YEAR(A3108))</f>
        <v/>
      </c>
      <c r="K3108" s="0" t="str">
        <f aca="false">IF(A3108="","",MONTH(A3108))</f>
        <v/>
      </c>
      <c r="L3108" s="0" t="str">
        <f aca="false">IF(B3108="","",VALUE(LEFT(B3108,2)))</f>
        <v/>
      </c>
      <c r="M3108" s="0" t="str">
        <f aca="false">IF(A3108="","",IF(COUNTIFS($C$2:$C$5001,C3108,$J$2:$J$5001,J3108,$A$2:$A$5001,"&lt;"&amp;A3108)=0,1,0))</f>
        <v/>
      </c>
    </row>
    <row r="3109" customFormat="false" ht="15" hidden="false" customHeight="false" outlineLevel="0" collapsed="false">
      <c r="A3109" s="27"/>
      <c r="F3109" s="28"/>
      <c r="J3109" s="0" t="str">
        <f aca="false">IF(A3109="","",YEAR(A3109))</f>
        <v/>
      </c>
      <c r="K3109" s="0" t="str">
        <f aca="false">IF(A3109="","",MONTH(A3109))</f>
        <v/>
      </c>
      <c r="L3109" s="0" t="str">
        <f aca="false">IF(B3109="","",VALUE(LEFT(B3109,2)))</f>
        <v/>
      </c>
      <c r="M3109" s="0" t="str">
        <f aca="false">IF(A3109="","",IF(COUNTIFS($C$2:$C$5001,C3109,$J$2:$J$5001,J3109,$A$2:$A$5001,"&lt;"&amp;A3109)=0,1,0))</f>
        <v/>
      </c>
    </row>
    <row r="3110" customFormat="false" ht="15" hidden="false" customHeight="false" outlineLevel="0" collapsed="false">
      <c r="A3110" s="27"/>
      <c r="F3110" s="28"/>
      <c r="J3110" s="0" t="str">
        <f aca="false">IF(A3110="","",YEAR(A3110))</f>
        <v/>
      </c>
      <c r="K3110" s="0" t="str">
        <f aca="false">IF(A3110="","",MONTH(A3110))</f>
        <v/>
      </c>
      <c r="L3110" s="0" t="str">
        <f aca="false">IF(B3110="","",VALUE(LEFT(B3110,2)))</f>
        <v/>
      </c>
      <c r="M3110" s="0" t="str">
        <f aca="false">IF(A3110="","",IF(COUNTIFS($C$2:$C$5001,C3110,$J$2:$J$5001,J3110,$A$2:$A$5001,"&lt;"&amp;A3110)=0,1,0))</f>
        <v/>
      </c>
    </row>
    <row r="3111" customFormat="false" ht="15" hidden="false" customHeight="false" outlineLevel="0" collapsed="false">
      <c r="A3111" s="27"/>
      <c r="F3111" s="28"/>
      <c r="J3111" s="0" t="str">
        <f aca="false">IF(A3111="","",YEAR(A3111))</f>
        <v/>
      </c>
      <c r="K3111" s="0" t="str">
        <f aca="false">IF(A3111="","",MONTH(A3111))</f>
        <v/>
      </c>
      <c r="L3111" s="0" t="str">
        <f aca="false">IF(B3111="","",VALUE(LEFT(B3111,2)))</f>
        <v/>
      </c>
      <c r="M3111" s="0" t="str">
        <f aca="false">IF(A3111="","",IF(COUNTIFS($C$2:$C$5001,C3111,$J$2:$J$5001,J3111,$A$2:$A$5001,"&lt;"&amp;A3111)=0,1,0))</f>
        <v/>
      </c>
    </row>
    <row r="3112" customFormat="false" ht="15" hidden="false" customHeight="false" outlineLevel="0" collapsed="false">
      <c r="A3112" s="27"/>
      <c r="F3112" s="28"/>
      <c r="J3112" s="0" t="str">
        <f aca="false">IF(A3112="","",YEAR(A3112))</f>
        <v/>
      </c>
      <c r="K3112" s="0" t="str">
        <f aca="false">IF(A3112="","",MONTH(A3112))</f>
        <v/>
      </c>
      <c r="L3112" s="0" t="str">
        <f aca="false">IF(B3112="","",VALUE(LEFT(B3112,2)))</f>
        <v/>
      </c>
      <c r="M3112" s="0" t="str">
        <f aca="false">IF(A3112="","",IF(COUNTIFS($C$2:$C$5001,C3112,$J$2:$J$5001,J3112,$A$2:$A$5001,"&lt;"&amp;A3112)=0,1,0))</f>
        <v/>
      </c>
    </row>
    <row r="3113" customFormat="false" ht="15" hidden="false" customHeight="false" outlineLevel="0" collapsed="false">
      <c r="A3113" s="27"/>
      <c r="F3113" s="28"/>
      <c r="J3113" s="0" t="str">
        <f aca="false">IF(A3113="","",YEAR(A3113))</f>
        <v/>
      </c>
      <c r="K3113" s="0" t="str">
        <f aca="false">IF(A3113="","",MONTH(A3113))</f>
        <v/>
      </c>
      <c r="L3113" s="0" t="str">
        <f aca="false">IF(B3113="","",VALUE(LEFT(B3113,2)))</f>
        <v/>
      </c>
      <c r="M3113" s="0" t="str">
        <f aca="false">IF(A3113="","",IF(COUNTIFS($C$2:$C$5001,C3113,$J$2:$J$5001,J3113,$A$2:$A$5001,"&lt;"&amp;A3113)=0,1,0))</f>
        <v/>
      </c>
    </row>
    <row r="3114" customFormat="false" ht="15" hidden="false" customHeight="false" outlineLevel="0" collapsed="false">
      <c r="A3114" s="27"/>
      <c r="F3114" s="28"/>
      <c r="J3114" s="0" t="str">
        <f aca="false">IF(A3114="","",YEAR(A3114))</f>
        <v/>
      </c>
      <c r="K3114" s="0" t="str">
        <f aca="false">IF(A3114="","",MONTH(A3114))</f>
        <v/>
      </c>
      <c r="L3114" s="0" t="str">
        <f aca="false">IF(B3114="","",VALUE(LEFT(B3114,2)))</f>
        <v/>
      </c>
      <c r="M3114" s="0" t="str">
        <f aca="false">IF(A3114="","",IF(COUNTIFS($C$2:$C$5001,C3114,$J$2:$J$5001,J3114,$A$2:$A$5001,"&lt;"&amp;A3114)=0,1,0))</f>
        <v/>
      </c>
    </row>
    <row r="3115" customFormat="false" ht="15" hidden="false" customHeight="false" outlineLevel="0" collapsed="false">
      <c r="A3115" s="27"/>
      <c r="F3115" s="28"/>
      <c r="J3115" s="0" t="str">
        <f aca="false">IF(A3115="","",YEAR(A3115))</f>
        <v/>
      </c>
      <c r="K3115" s="0" t="str">
        <f aca="false">IF(A3115="","",MONTH(A3115))</f>
        <v/>
      </c>
      <c r="L3115" s="0" t="str">
        <f aca="false">IF(B3115="","",VALUE(LEFT(B3115,2)))</f>
        <v/>
      </c>
      <c r="M3115" s="0" t="str">
        <f aca="false">IF(A3115="","",IF(COUNTIFS($C$2:$C$5001,C3115,$J$2:$J$5001,J3115,$A$2:$A$5001,"&lt;"&amp;A3115)=0,1,0))</f>
        <v/>
      </c>
    </row>
    <row r="3116" customFormat="false" ht="15" hidden="false" customHeight="false" outlineLevel="0" collapsed="false">
      <c r="A3116" s="27"/>
      <c r="F3116" s="28"/>
      <c r="J3116" s="0" t="str">
        <f aca="false">IF(A3116="","",YEAR(A3116))</f>
        <v/>
      </c>
      <c r="K3116" s="0" t="str">
        <f aca="false">IF(A3116="","",MONTH(A3116))</f>
        <v/>
      </c>
      <c r="L3116" s="0" t="str">
        <f aca="false">IF(B3116="","",VALUE(LEFT(B3116,2)))</f>
        <v/>
      </c>
      <c r="M3116" s="0" t="str">
        <f aca="false">IF(A3116="","",IF(COUNTIFS($C$2:$C$5001,C3116,$J$2:$J$5001,J3116,$A$2:$A$5001,"&lt;"&amp;A3116)=0,1,0))</f>
        <v/>
      </c>
    </row>
    <row r="3117" customFormat="false" ht="15" hidden="false" customHeight="false" outlineLevel="0" collapsed="false">
      <c r="A3117" s="27"/>
      <c r="F3117" s="28"/>
      <c r="J3117" s="0" t="str">
        <f aca="false">IF(A3117="","",YEAR(A3117))</f>
        <v/>
      </c>
      <c r="K3117" s="0" t="str">
        <f aca="false">IF(A3117="","",MONTH(A3117))</f>
        <v/>
      </c>
      <c r="L3117" s="0" t="str">
        <f aca="false">IF(B3117="","",VALUE(LEFT(B3117,2)))</f>
        <v/>
      </c>
      <c r="M3117" s="0" t="str">
        <f aca="false">IF(A3117="","",IF(COUNTIFS($C$2:$C$5001,C3117,$J$2:$J$5001,J3117,$A$2:$A$5001,"&lt;"&amp;A3117)=0,1,0))</f>
        <v/>
      </c>
    </row>
    <row r="3118" customFormat="false" ht="15" hidden="false" customHeight="false" outlineLevel="0" collapsed="false">
      <c r="A3118" s="27"/>
      <c r="F3118" s="28"/>
      <c r="J3118" s="0" t="str">
        <f aca="false">IF(A3118="","",YEAR(A3118))</f>
        <v/>
      </c>
      <c r="K3118" s="0" t="str">
        <f aca="false">IF(A3118="","",MONTH(A3118))</f>
        <v/>
      </c>
      <c r="L3118" s="0" t="str">
        <f aca="false">IF(B3118="","",VALUE(LEFT(B3118,2)))</f>
        <v/>
      </c>
      <c r="M3118" s="0" t="str">
        <f aca="false">IF(A3118="","",IF(COUNTIFS($C$2:$C$5001,C3118,$J$2:$J$5001,J3118,$A$2:$A$5001,"&lt;"&amp;A3118)=0,1,0))</f>
        <v/>
      </c>
    </row>
    <row r="3119" customFormat="false" ht="15" hidden="false" customHeight="false" outlineLevel="0" collapsed="false">
      <c r="A3119" s="27"/>
      <c r="F3119" s="28"/>
      <c r="J3119" s="0" t="str">
        <f aca="false">IF(A3119="","",YEAR(A3119))</f>
        <v/>
      </c>
      <c r="K3119" s="0" t="str">
        <f aca="false">IF(A3119="","",MONTH(A3119))</f>
        <v/>
      </c>
      <c r="L3119" s="0" t="str">
        <f aca="false">IF(B3119="","",VALUE(LEFT(B3119,2)))</f>
        <v/>
      </c>
      <c r="M3119" s="0" t="str">
        <f aca="false">IF(A3119="","",IF(COUNTIFS($C$2:$C$5001,C3119,$J$2:$J$5001,J3119,$A$2:$A$5001,"&lt;"&amp;A3119)=0,1,0))</f>
        <v/>
      </c>
    </row>
    <row r="3120" customFormat="false" ht="15" hidden="false" customHeight="false" outlineLevel="0" collapsed="false">
      <c r="A3120" s="27"/>
      <c r="F3120" s="28"/>
      <c r="J3120" s="0" t="str">
        <f aca="false">IF(A3120="","",YEAR(A3120))</f>
        <v/>
      </c>
      <c r="K3120" s="0" t="str">
        <f aca="false">IF(A3120="","",MONTH(A3120))</f>
        <v/>
      </c>
      <c r="L3120" s="0" t="str">
        <f aca="false">IF(B3120="","",VALUE(LEFT(B3120,2)))</f>
        <v/>
      </c>
      <c r="M3120" s="0" t="str">
        <f aca="false">IF(A3120="","",IF(COUNTIFS($C$2:$C$5001,C3120,$J$2:$J$5001,J3120,$A$2:$A$5001,"&lt;"&amp;A3120)=0,1,0))</f>
        <v/>
      </c>
    </row>
    <row r="3121" customFormat="false" ht="15" hidden="false" customHeight="false" outlineLevel="0" collapsed="false">
      <c r="A3121" s="27"/>
      <c r="F3121" s="28"/>
      <c r="J3121" s="0" t="str">
        <f aca="false">IF(A3121="","",YEAR(A3121))</f>
        <v/>
      </c>
      <c r="K3121" s="0" t="str">
        <f aca="false">IF(A3121="","",MONTH(A3121))</f>
        <v/>
      </c>
      <c r="L3121" s="0" t="str">
        <f aca="false">IF(B3121="","",VALUE(LEFT(B3121,2)))</f>
        <v/>
      </c>
      <c r="M3121" s="0" t="str">
        <f aca="false">IF(A3121="","",IF(COUNTIFS($C$2:$C$5001,C3121,$J$2:$J$5001,J3121,$A$2:$A$5001,"&lt;"&amp;A3121)=0,1,0))</f>
        <v/>
      </c>
    </row>
    <row r="3122" customFormat="false" ht="15" hidden="false" customHeight="false" outlineLevel="0" collapsed="false">
      <c r="A3122" s="27"/>
      <c r="F3122" s="28"/>
      <c r="J3122" s="0" t="str">
        <f aca="false">IF(A3122="","",YEAR(A3122))</f>
        <v/>
      </c>
      <c r="K3122" s="0" t="str">
        <f aca="false">IF(A3122="","",MONTH(A3122))</f>
        <v/>
      </c>
      <c r="L3122" s="0" t="str">
        <f aca="false">IF(B3122="","",VALUE(LEFT(B3122,2)))</f>
        <v/>
      </c>
      <c r="M3122" s="0" t="str">
        <f aca="false">IF(A3122="","",IF(COUNTIFS($C$2:$C$5001,C3122,$J$2:$J$5001,J3122,$A$2:$A$5001,"&lt;"&amp;A3122)=0,1,0))</f>
        <v/>
      </c>
    </row>
    <row r="3123" customFormat="false" ht="15" hidden="false" customHeight="false" outlineLevel="0" collapsed="false">
      <c r="A3123" s="27"/>
      <c r="F3123" s="28"/>
      <c r="J3123" s="0" t="str">
        <f aca="false">IF(A3123="","",YEAR(A3123))</f>
        <v/>
      </c>
      <c r="K3123" s="0" t="str">
        <f aca="false">IF(A3123="","",MONTH(A3123))</f>
        <v/>
      </c>
      <c r="L3123" s="0" t="str">
        <f aca="false">IF(B3123="","",VALUE(LEFT(B3123,2)))</f>
        <v/>
      </c>
      <c r="M3123" s="0" t="str">
        <f aca="false">IF(A3123="","",IF(COUNTIFS($C$2:$C$5001,C3123,$J$2:$J$5001,J3123,$A$2:$A$5001,"&lt;"&amp;A3123)=0,1,0))</f>
        <v/>
      </c>
    </row>
    <row r="3124" customFormat="false" ht="15" hidden="false" customHeight="false" outlineLevel="0" collapsed="false">
      <c r="A3124" s="27"/>
      <c r="F3124" s="28"/>
      <c r="J3124" s="0" t="str">
        <f aca="false">IF(A3124="","",YEAR(A3124))</f>
        <v/>
      </c>
      <c r="K3124" s="0" t="str">
        <f aca="false">IF(A3124="","",MONTH(A3124))</f>
        <v/>
      </c>
      <c r="L3124" s="0" t="str">
        <f aca="false">IF(B3124="","",VALUE(LEFT(B3124,2)))</f>
        <v/>
      </c>
      <c r="M3124" s="0" t="str">
        <f aca="false">IF(A3124="","",IF(COUNTIFS($C$2:$C$5001,C3124,$J$2:$J$5001,J3124,$A$2:$A$5001,"&lt;"&amp;A3124)=0,1,0))</f>
        <v/>
      </c>
    </row>
    <row r="3125" customFormat="false" ht="15" hidden="false" customHeight="false" outlineLevel="0" collapsed="false">
      <c r="A3125" s="27"/>
      <c r="F3125" s="28"/>
      <c r="J3125" s="0" t="str">
        <f aca="false">IF(A3125="","",YEAR(A3125))</f>
        <v/>
      </c>
      <c r="K3125" s="0" t="str">
        <f aca="false">IF(A3125="","",MONTH(A3125))</f>
        <v/>
      </c>
      <c r="L3125" s="0" t="str">
        <f aca="false">IF(B3125="","",VALUE(LEFT(B3125,2)))</f>
        <v/>
      </c>
      <c r="M3125" s="0" t="str">
        <f aca="false">IF(A3125="","",IF(COUNTIFS($C$2:$C$5001,C3125,$J$2:$J$5001,J3125,$A$2:$A$5001,"&lt;"&amp;A3125)=0,1,0))</f>
        <v/>
      </c>
    </row>
    <row r="3126" customFormat="false" ht="15" hidden="false" customHeight="false" outlineLevel="0" collapsed="false">
      <c r="A3126" s="27"/>
      <c r="F3126" s="28"/>
      <c r="J3126" s="0" t="str">
        <f aca="false">IF(A3126="","",YEAR(A3126))</f>
        <v/>
      </c>
      <c r="K3126" s="0" t="str">
        <f aca="false">IF(A3126="","",MONTH(A3126))</f>
        <v/>
      </c>
      <c r="L3126" s="0" t="str">
        <f aca="false">IF(B3126="","",VALUE(LEFT(B3126,2)))</f>
        <v/>
      </c>
      <c r="M3126" s="0" t="str">
        <f aca="false">IF(A3126="","",IF(COUNTIFS($C$2:$C$5001,C3126,$J$2:$J$5001,J3126,$A$2:$A$5001,"&lt;"&amp;A3126)=0,1,0))</f>
        <v/>
      </c>
    </row>
    <row r="3127" customFormat="false" ht="15" hidden="false" customHeight="false" outlineLevel="0" collapsed="false">
      <c r="A3127" s="27"/>
      <c r="F3127" s="28"/>
      <c r="J3127" s="0" t="str">
        <f aca="false">IF(A3127="","",YEAR(A3127))</f>
        <v/>
      </c>
      <c r="K3127" s="0" t="str">
        <f aca="false">IF(A3127="","",MONTH(A3127))</f>
        <v/>
      </c>
      <c r="L3127" s="0" t="str">
        <f aca="false">IF(B3127="","",VALUE(LEFT(B3127,2)))</f>
        <v/>
      </c>
      <c r="M3127" s="0" t="str">
        <f aca="false">IF(A3127="","",IF(COUNTIFS($C$2:$C$5001,C3127,$J$2:$J$5001,J3127,$A$2:$A$5001,"&lt;"&amp;A3127)=0,1,0))</f>
        <v/>
      </c>
    </row>
    <row r="3128" customFormat="false" ht="15" hidden="false" customHeight="false" outlineLevel="0" collapsed="false">
      <c r="A3128" s="27"/>
      <c r="F3128" s="28"/>
      <c r="J3128" s="0" t="str">
        <f aca="false">IF(A3128="","",YEAR(A3128))</f>
        <v/>
      </c>
      <c r="K3128" s="0" t="str">
        <f aca="false">IF(A3128="","",MONTH(A3128))</f>
        <v/>
      </c>
      <c r="L3128" s="0" t="str">
        <f aca="false">IF(B3128="","",VALUE(LEFT(B3128,2)))</f>
        <v/>
      </c>
      <c r="M3128" s="0" t="str">
        <f aca="false">IF(A3128="","",IF(COUNTIFS($C$2:$C$5001,C3128,$J$2:$J$5001,J3128,$A$2:$A$5001,"&lt;"&amp;A3128)=0,1,0))</f>
        <v/>
      </c>
    </row>
    <row r="3129" customFormat="false" ht="15" hidden="false" customHeight="false" outlineLevel="0" collapsed="false">
      <c r="A3129" s="27"/>
      <c r="F3129" s="28"/>
      <c r="J3129" s="0" t="str">
        <f aca="false">IF(A3129="","",YEAR(A3129))</f>
        <v/>
      </c>
      <c r="K3129" s="0" t="str">
        <f aca="false">IF(A3129="","",MONTH(A3129))</f>
        <v/>
      </c>
      <c r="L3129" s="0" t="str">
        <f aca="false">IF(B3129="","",VALUE(LEFT(B3129,2)))</f>
        <v/>
      </c>
      <c r="M3129" s="0" t="str">
        <f aca="false">IF(A3129="","",IF(COUNTIFS($C$2:$C$5001,C3129,$J$2:$J$5001,J3129,$A$2:$A$5001,"&lt;"&amp;A3129)=0,1,0))</f>
        <v/>
      </c>
    </row>
    <row r="3130" customFormat="false" ht="15" hidden="false" customHeight="false" outlineLevel="0" collapsed="false">
      <c r="A3130" s="27"/>
      <c r="F3130" s="28"/>
      <c r="J3130" s="0" t="str">
        <f aca="false">IF(A3130="","",YEAR(A3130))</f>
        <v/>
      </c>
      <c r="K3130" s="0" t="str">
        <f aca="false">IF(A3130="","",MONTH(A3130))</f>
        <v/>
      </c>
      <c r="L3130" s="0" t="str">
        <f aca="false">IF(B3130="","",VALUE(LEFT(B3130,2)))</f>
        <v/>
      </c>
      <c r="M3130" s="0" t="str">
        <f aca="false">IF(A3130="","",IF(COUNTIFS($C$2:$C$5001,C3130,$J$2:$J$5001,J3130,$A$2:$A$5001,"&lt;"&amp;A3130)=0,1,0))</f>
        <v/>
      </c>
    </row>
    <row r="3131" customFormat="false" ht="15" hidden="false" customHeight="false" outlineLevel="0" collapsed="false">
      <c r="A3131" s="27"/>
      <c r="F3131" s="28"/>
      <c r="J3131" s="0" t="str">
        <f aca="false">IF(A3131="","",YEAR(A3131))</f>
        <v/>
      </c>
      <c r="K3131" s="0" t="str">
        <f aca="false">IF(A3131="","",MONTH(A3131))</f>
        <v/>
      </c>
      <c r="L3131" s="0" t="str">
        <f aca="false">IF(B3131="","",VALUE(LEFT(B3131,2)))</f>
        <v/>
      </c>
      <c r="M3131" s="0" t="str">
        <f aca="false">IF(A3131="","",IF(COUNTIFS($C$2:$C$5001,C3131,$J$2:$J$5001,J3131,$A$2:$A$5001,"&lt;"&amp;A3131)=0,1,0))</f>
        <v/>
      </c>
    </row>
    <row r="3132" customFormat="false" ht="15" hidden="false" customHeight="false" outlineLevel="0" collapsed="false">
      <c r="A3132" s="27"/>
      <c r="F3132" s="28"/>
      <c r="J3132" s="0" t="str">
        <f aca="false">IF(A3132="","",YEAR(A3132))</f>
        <v/>
      </c>
      <c r="K3132" s="0" t="str">
        <f aca="false">IF(A3132="","",MONTH(A3132))</f>
        <v/>
      </c>
      <c r="L3132" s="0" t="str">
        <f aca="false">IF(B3132="","",VALUE(LEFT(B3132,2)))</f>
        <v/>
      </c>
      <c r="M3132" s="0" t="str">
        <f aca="false">IF(A3132="","",IF(COUNTIFS($C$2:$C$5001,C3132,$J$2:$J$5001,J3132,$A$2:$A$5001,"&lt;"&amp;A3132)=0,1,0))</f>
        <v/>
      </c>
    </row>
    <row r="3133" customFormat="false" ht="15" hidden="false" customHeight="false" outlineLevel="0" collapsed="false">
      <c r="A3133" s="27"/>
      <c r="F3133" s="28"/>
      <c r="J3133" s="0" t="str">
        <f aca="false">IF(A3133="","",YEAR(A3133))</f>
        <v/>
      </c>
      <c r="K3133" s="0" t="str">
        <f aca="false">IF(A3133="","",MONTH(A3133))</f>
        <v/>
      </c>
      <c r="L3133" s="0" t="str">
        <f aca="false">IF(B3133="","",VALUE(LEFT(B3133,2)))</f>
        <v/>
      </c>
      <c r="M3133" s="0" t="str">
        <f aca="false">IF(A3133="","",IF(COUNTIFS($C$2:$C$5001,C3133,$J$2:$J$5001,J3133,$A$2:$A$5001,"&lt;"&amp;A3133)=0,1,0))</f>
        <v/>
      </c>
    </row>
    <row r="3134" customFormat="false" ht="15" hidden="false" customHeight="false" outlineLevel="0" collapsed="false">
      <c r="A3134" s="27"/>
      <c r="F3134" s="28"/>
      <c r="J3134" s="0" t="str">
        <f aca="false">IF(A3134="","",YEAR(A3134))</f>
        <v/>
      </c>
      <c r="K3134" s="0" t="str">
        <f aca="false">IF(A3134="","",MONTH(A3134))</f>
        <v/>
      </c>
      <c r="L3134" s="0" t="str">
        <f aca="false">IF(B3134="","",VALUE(LEFT(B3134,2)))</f>
        <v/>
      </c>
      <c r="M3134" s="0" t="str">
        <f aca="false">IF(A3134="","",IF(COUNTIFS($C$2:$C$5001,C3134,$J$2:$J$5001,J3134,$A$2:$A$5001,"&lt;"&amp;A3134)=0,1,0))</f>
        <v/>
      </c>
    </row>
    <row r="3135" customFormat="false" ht="15" hidden="false" customHeight="false" outlineLevel="0" collapsed="false">
      <c r="A3135" s="27"/>
      <c r="F3135" s="28"/>
      <c r="J3135" s="0" t="str">
        <f aca="false">IF(A3135="","",YEAR(A3135))</f>
        <v/>
      </c>
      <c r="K3135" s="0" t="str">
        <f aca="false">IF(A3135="","",MONTH(A3135))</f>
        <v/>
      </c>
      <c r="L3135" s="0" t="str">
        <f aca="false">IF(B3135="","",VALUE(LEFT(B3135,2)))</f>
        <v/>
      </c>
      <c r="M3135" s="0" t="str">
        <f aca="false">IF(A3135="","",IF(COUNTIFS($C$2:$C$5001,C3135,$J$2:$J$5001,J3135,$A$2:$A$5001,"&lt;"&amp;A3135)=0,1,0))</f>
        <v/>
      </c>
    </row>
    <row r="3136" customFormat="false" ht="15" hidden="false" customHeight="false" outlineLevel="0" collapsed="false">
      <c r="A3136" s="27"/>
      <c r="F3136" s="28"/>
      <c r="J3136" s="0" t="str">
        <f aca="false">IF(A3136="","",YEAR(A3136))</f>
        <v/>
      </c>
      <c r="K3136" s="0" t="str">
        <f aca="false">IF(A3136="","",MONTH(A3136))</f>
        <v/>
      </c>
      <c r="L3136" s="0" t="str">
        <f aca="false">IF(B3136="","",VALUE(LEFT(B3136,2)))</f>
        <v/>
      </c>
      <c r="M3136" s="0" t="str">
        <f aca="false">IF(A3136="","",IF(COUNTIFS($C$2:$C$5001,C3136,$J$2:$J$5001,J3136,$A$2:$A$5001,"&lt;"&amp;A3136)=0,1,0))</f>
        <v/>
      </c>
    </row>
    <row r="3137" customFormat="false" ht="15" hidden="false" customHeight="false" outlineLevel="0" collapsed="false">
      <c r="A3137" s="27"/>
      <c r="F3137" s="28"/>
      <c r="J3137" s="0" t="str">
        <f aca="false">IF(A3137="","",YEAR(A3137))</f>
        <v/>
      </c>
      <c r="K3137" s="0" t="str">
        <f aca="false">IF(A3137="","",MONTH(A3137))</f>
        <v/>
      </c>
      <c r="L3137" s="0" t="str">
        <f aca="false">IF(B3137="","",VALUE(LEFT(B3137,2)))</f>
        <v/>
      </c>
      <c r="M3137" s="0" t="str">
        <f aca="false">IF(A3137="","",IF(COUNTIFS($C$2:$C$5001,C3137,$J$2:$J$5001,J3137,$A$2:$A$5001,"&lt;"&amp;A3137)=0,1,0))</f>
        <v/>
      </c>
    </row>
    <row r="3138" customFormat="false" ht="15" hidden="false" customHeight="false" outlineLevel="0" collapsed="false">
      <c r="A3138" s="27"/>
      <c r="F3138" s="28"/>
      <c r="J3138" s="0" t="str">
        <f aca="false">IF(A3138="","",YEAR(A3138))</f>
        <v/>
      </c>
      <c r="K3138" s="0" t="str">
        <f aca="false">IF(A3138="","",MONTH(A3138))</f>
        <v/>
      </c>
      <c r="L3138" s="0" t="str">
        <f aca="false">IF(B3138="","",VALUE(LEFT(B3138,2)))</f>
        <v/>
      </c>
      <c r="M3138" s="0" t="str">
        <f aca="false">IF(A3138="","",IF(COUNTIFS($C$2:$C$5001,C3138,$J$2:$J$5001,J3138,$A$2:$A$5001,"&lt;"&amp;A3138)=0,1,0))</f>
        <v/>
      </c>
    </row>
    <row r="3139" customFormat="false" ht="15" hidden="false" customHeight="false" outlineLevel="0" collapsed="false">
      <c r="A3139" s="27"/>
      <c r="F3139" s="28"/>
      <c r="J3139" s="0" t="str">
        <f aca="false">IF(A3139="","",YEAR(A3139))</f>
        <v/>
      </c>
      <c r="K3139" s="0" t="str">
        <f aca="false">IF(A3139="","",MONTH(A3139))</f>
        <v/>
      </c>
      <c r="L3139" s="0" t="str">
        <f aca="false">IF(B3139="","",VALUE(LEFT(B3139,2)))</f>
        <v/>
      </c>
      <c r="M3139" s="0" t="str">
        <f aca="false">IF(A3139="","",IF(COUNTIFS($C$2:$C$5001,C3139,$J$2:$J$5001,J3139,$A$2:$A$5001,"&lt;"&amp;A3139)=0,1,0))</f>
        <v/>
      </c>
    </row>
    <row r="3140" customFormat="false" ht="15" hidden="false" customHeight="false" outlineLevel="0" collapsed="false">
      <c r="A3140" s="27"/>
      <c r="F3140" s="28"/>
      <c r="J3140" s="0" t="str">
        <f aca="false">IF(A3140="","",YEAR(A3140))</f>
        <v/>
      </c>
      <c r="K3140" s="0" t="str">
        <f aca="false">IF(A3140="","",MONTH(A3140))</f>
        <v/>
      </c>
      <c r="L3140" s="0" t="str">
        <f aca="false">IF(B3140="","",VALUE(LEFT(B3140,2)))</f>
        <v/>
      </c>
      <c r="M3140" s="0" t="str">
        <f aca="false">IF(A3140="","",IF(COUNTIFS($C$2:$C$5001,C3140,$J$2:$J$5001,J3140,$A$2:$A$5001,"&lt;"&amp;A3140)=0,1,0))</f>
        <v/>
      </c>
    </row>
    <row r="3141" customFormat="false" ht="15" hidden="false" customHeight="false" outlineLevel="0" collapsed="false">
      <c r="A3141" s="27"/>
      <c r="F3141" s="28"/>
      <c r="J3141" s="0" t="str">
        <f aca="false">IF(A3141="","",YEAR(A3141))</f>
        <v/>
      </c>
      <c r="K3141" s="0" t="str">
        <f aca="false">IF(A3141="","",MONTH(A3141))</f>
        <v/>
      </c>
      <c r="L3141" s="0" t="str">
        <f aca="false">IF(B3141="","",VALUE(LEFT(B3141,2)))</f>
        <v/>
      </c>
      <c r="M3141" s="0" t="str">
        <f aca="false">IF(A3141="","",IF(COUNTIFS($C$2:$C$5001,C3141,$J$2:$J$5001,J3141,$A$2:$A$5001,"&lt;"&amp;A3141)=0,1,0))</f>
        <v/>
      </c>
    </row>
    <row r="3142" customFormat="false" ht="15" hidden="false" customHeight="false" outlineLevel="0" collapsed="false">
      <c r="A3142" s="27"/>
      <c r="F3142" s="28"/>
      <c r="J3142" s="0" t="str">
        <f aca="false">IF(A3142="","",YEAR(A3142))</f>
        <v/>
      </c>
      <c r="K3142" s="0" t="str">
        <f aca="false">IF(A3142="","",MONTH(A3142))</f>
        <v/>
      </c>
      <c r="L3142" s="0" t="str">
        <f aca="false">IF(B3142="","",VALUE(LEFT(B3142,2)))</f>
        <v/>
      </c>
      <c r="M3142" s="0" t="str">
        <f aca="false">IF(A3142="","",IF(COUNTIFS($C$2:$C$5001,C3142,$J$2:$J$5001,J3142,$A$2:$A$5001,"&lt;"&amp;A3142)=0,1,0))</f>
        <v/>
      </c>
    </row>
    <row r="3143" customFormat="false" ht="15" hidden="false" customHeight="false" outlineLevel="0" collapsed="false">
      <c r="A3143" s="27"/>
      <c r="F3143" s="28"/>
      <c r="J3143" s="0" t="str">
        <f aca="false">IF(A3143="","",YEAR(A3143))</f>
        <v/>
      </c>
      <c r="K3143" s="0" t="str">
        <f aca="false">IF(A3143="","",MONTH(A3143))</f>
        <v/>
      </c>
      <c r="L3143" s="0" t="str">
        <f aca="false">IF(B3143="","",VALUE(LEFT(B3143,2)))</f>
        <v/>
      </c>
      <c r="M3143" s="0" t="str">
        <f aca="false">IF(A3143="","",IF(COUNTIFS($C$2:$C$5001,C3143,$J$2:$J$5001,J3143,$A$2:$A$5001,"&lt;"&amp;A3143)=0,1,0))</f>
        <v/>
      </c>
    </row>
    <row r="3144" customFormat="false" ht="15" hidden="false" customHeight="false" outlineLevel="0" collapsed="false">
      <c r="A3144" s="27"/>
      <c r="F3144" s="28"/>
      <c r="J3144" s="0" t="str">
        <f aca="false">IF(A3144="","",YEAR(A3144))</f>
        <v/>
      </c>
      <c r="K3144" s="0" t="str">
        <f aca="false">IF(A3144="","",MONTH(A3144))</f>
        <v/>
      </c>
      <c r="L3144" s="0" t="str">
        <f aca="false">IF(B3144="","",VALUE(LEFT(B3144,2)))</f>
        <v/>
      </c>
      <c r="M3144" s="0" t="str">
        <f aca="false">IF(A3144="","",IF(COUNTIFS($C$2:$C$5001,C3144,$J$2:$J$5001,J3144,$A$2:$A$5001,"&lt;"&amp;A3144)=0,1,0))</f>
        <v/>
      </c>
    </row>
    <row r="3145" customFormat="false" ht="15" hidden="false" customHeight="false" outlineLevel="0" collapsed="false">
      <c r="A3145" s="27"/>
      <c r="F3145" s="28"/>
      <c r="J3145" s="0" t="str">
        <f aca="false">IF(A3145="","",YEAR(A3145))</f>
        <v/>
      </c>
      <c r="K3145" s="0" t="str">
        <f aca="false">IF(A3145="","",MONTH(A3145))</f>
        <v/>
      </c>
      <c r="L3145" s="0" t="str">
        <f aca="false">IF(B3145="","",VALUE(LEFT(B3145,2)))</f>
        <v/>
      </c>
      <c r="M3145" s="0" t="str">
        <f aca="false">IF(A3145="","",IF(COUNTIFS($C$2:$C$5001,C3145,$J$2:$J$5001,J3145,$A$2:$A$5001,"&lt;"&amp;A3145)=0,1,0))</f>
        <v/>
      </c>
    </row>
    <row r="3146" customFormat="false" ht="15" hidden="false" customHeight="false" outlineLevel="0" collapsed="false">
      <c r="A3146" s="27"/>
      <c r="F3146" s="28"/>
      <c r="J3146" s="0" t="str">
        <f aca="false">IF(A3146="","",YEAR(A3146))</f>
        <v/>
      </c>
      <c r="K3146" s="0" t="str">
        <f aca="false">IF(A3146="","",MONTH(A3146))</f>
        <v/>
      </c>
      <c r="L3146" s="0" t="str">
        <f aca="false">IF(B3146="","",VALUE(LEFT(B3146,2)))</f>
        <v/>
      </c>
      <c r="M3146" s="0" t="str">
        <f aca="false">IF(A3146="","",IF(COUNTIFS($C$2:$C$5001,C3146,$J$2:$J$5001,J3146,$A$2:$A$5001,"&lt;"&amp;A3146)=0,1,0))</f>
        <v/>
      </c>
    </row>
    <row r="3147" customFormat="false" ht="15" hidden="false" customHeight="false" outlineLevel="0" collapsed="false">
      <c r="A3147" s="27"/>
      <c r="F3147" s="28"/>
      <c r="J3147" s="0" t="str">
        <f aca="false">IF(A3147="","",YEAR(A3147))</f>
        <v/>
      </c>
      <c r="K3147" s="0" t="str">
        <f aca="false">IF(A3147="","",MONTH(A3147))</f>
        <v/>
      </c>
      <c r="L3147" s="0" t="str">
        <f aca="false">IF(B3147="","",VALUE(LEFT(B3147,2)))</f>
        <v/>
      </c>
      <c r="M3147" s="0" t="str">
        <f aca="false">IF(A3147="","",IF(COUNTIFS($C$2:$C$5001,C3147,$J$2:$J$5001,J3147,$A$2:$A$5001,"&lt;"&amp;A3147)=0,1,0))</f>
        <v/>
      </c>
    </row>
    <row r="3148" customFormat="false" ht="15" hidden="false" customHeight="false" outlineLevel="0" collapsed="false">
      <c r="A3148" s="27"/>
      <c r="F3148" s="28"/>
      <c r="J3148" s="0" t="str">
        <f aca="false">IF(A3148="","",YEAR(A3148))</f>
        <v/>
      </c>
      <c r="K3148" s="0" t="str">
        <f aca="false">IF(A3148="","",MONTH(A3148))</f>
        <v/>
      </c>
      <c r="L3148" s="0" t="str">
        <f aca="false">IF(B3148="","",VALUE(LEFT(B3148,2)))</f>
        <v/>
      </c>
      <c r="M3148" s="0" t="str">
        <f aca="false">IF(A3148="","",IF(COUNTIFS($C$2:$C$5001,C3148,$J$2:$J$5001,J3148,$A$2:$A$5001,"&lt;"&amp;A3148)=0,1,0))</f>
        <v/>
      </c>
    </row>
    <row r="3149" customFormat="false" ht="15" hidden="false" customHeight="false" outlineLevel="0" collapsed="false">
      <c r="A3149" s="27"/>
      <c r="F3149" s="28"/>
      <c r="J3149" s="0" t="str">
        <f aca="false">IF(A3149="","",YEAR(A3149))</f>
        <v/>
      </c>
      <c r="K3149" s="0" t="str">
        <f aca="false">IF(A3149="","",MONTH(A3149))</f>
        <v/>
      </c>
      <c r="L3149" s="0" t="str">
        <f aca="false">IF(B3149="","",VALUE(LEFT(B3149,2)))</f>
        <v/>
      </c>
      <c r="M3149" s="0" t="str">
        <f aca="false">IF(A3149="","",IF(COUNTIFS($C$2:$C$5001,C3149,$J$2:$J$5001,J3149,$A$2:$A$5001,"&lt;"&amp;A3149)=0,1,0))</f>
        <v/>
      </c>
    </row>
    <row r="3150" customFormat="false" ht="15" hidden="false" customHeight="false" outlineLevel="0" collapsed="false">
      <c r="A3150" s="27"/>
      <c r="F3150" s="28"/>
      <c r="J3150" s="0" t="str">
        <f aca="false">IF(A3150="","",YEAR(A3150))</f>
        <v/>
      </c>
      <c r="K3150" s="0" t="str">
        <f aca="false">IF(A3150="","",MONTH(A3150))</f>
        <v/>
      </c>
      <c r="L3150" s="0" t="str">
        <f aca="false">IF(B3150="","",VALUE(LEFT(B3150,2)))</f>
        <v/>
      </c>
      <c r="M3150" s="0" t="str">
        <f aca="false">IF(A3150="","",IF(COUNTIFS($C$2:$C$5001,C3150,$J$2:$J$5001,J3150,$A$2:$A$5001,"&lt;"&amp;A3150)=0,1,0))</f>
        <v/>
      </c>
    </row>
    <row r="3151" customFormat="false" ht="15" hidden="false" customHeight="false" outlineLevel="0" collapsed="false">
      <c r="A3151" s="27"/>
      <c r="F3151" s="28"/>
      <c r="J3151" s="0" t="str">
        <f aca="false">IF(A3151="","",YEAR(A3151))</f>
        <v/>
      </c>
      <c r="K3151" s="0" t="str">
        <f aca="false">IF(A3151="","",MONTH(A3151))</f>
        <v/>
      </c>
      <c r="L3151" s="0" t="str">
        <f aca="false">IF(B3151="","",VALUE(LEFT(B3151,2)))</f>
        <v/>
      </c>
      <c r="M3151" s="0" t="str">
        <f aca="false">IF(A3151="","",IF(COUNTIFS($C$2:$C$5001,C3151,$J$2:$J$5001,J3151,$A$2:$A$5001,"&lt;"&amp;A3151)=0,1,0))</f>
        <v/>
      </c>
    </row>
    <row r="3152" customFormat="false" ht="15" hidden="false" customHeight="false" outlineLevel="0" collapsed="false">
      <c r="A3152" s="27"/>
      <c r="F3152" s="28"/>
      <c r="J3152" s="0" t="str">
        <f aca="false">IF(A3152="","",YEAR(A3152))</f>
        <v/>
      </c>
      <c r="K3152" s="0" t="str">
        <f aca="false">IF(A3152="","",MONTH(A3152))</f>
        <v/>
      </c>
      <c r="L3152" s="0" t="str">
        <f aca="false">IF(B3152="","",VALUE(LEFT(B3152,2)))</f>
        <v/>
      </c>
      <c r="M3152" s="0" t="str">
        <f aca="false">IF(A3152="","",IF(COUNTIFS($C$2:$C$5001,C3152,$J$2:$J$5001,J3152,$A$2:$A$5001,"&lt;"&amp;A3152)=0,1,0))</f>
        <v/>
      </c>
    </row>
    <row r="3153" customFormat="false" ht="15" hidden="false" customHeight="false" outlineLevel="0" collapsed="false">
      <c r="A3153" s="27"/>
      <c r="F3153" s="28"/>
      <c r="J3153" s="0" t="str">
        <f aca="false">IF(A3153="","",YEAR(A3153))</f>
        <v/>
      </c>
      <c r="K3153" s="0" t="str">
        <f aca="false">IF(A3153="","",MONTH(A3153))</f>
        <v/>
      </c>
      <c r="L3153" s="0" t="str">
        <f aca="false">IF(B3153="","",VALUE(LEFT(B3153,2)))</f>
        <v/>
      </c>
      <c r="M3153" s="0" t="str">
        <f aca="false">IF(A3153="","",IF(COUNTIFS($C$2:$C$5001,C3153,$J$2:$J$5001,J3153,$A$2:$A$5001,"&lt;"&amp;A3153)=0,1,0))</f>
        <v/>
      </c>
    </row>
    <row r="3154" customFormat="false" ht="15" hidden="false" customHeight="false" outlineLevel="0" collapsed="false">
      <c r="A3154" s="27"/>
      <c r="F3154" s="28"/>
      <c r="J3154" s="0" t="str">
        <f aca="false">IF(A3154="","",YEAR(A3154))</f>
        <v/>
      </c>
      <c r="K3154" s="0" t="str">
        <f aca="false">IF(A3154="","",MONTH(A3154))</f>
        <v/>
      </c>
      <c r="L3154" s="0" t="str">
        <f aca="false">IF(B3154="","",VALUE(LEFT(B3154,2)))</f>
        <v/>
      </c>
      <c r="M3154" s="0" t="str">
        <f aca="false">IF(A3154="","",IF(COUNTIFS($C$2:$C$5001,C3154,$J$2:$J$5001,J3154,$A$2:$A$5001,"&lt;"&amp;A3154)=0,1,0))</f>
        <v/>
      </c>
    </row>
    <row r="3155" customFormat="false" ht="15" hidden="false" customHeight="false" outlineLevel="0" collapsed="false">
      <c r="A3155" s="27"/>
      <c r="F3155" s="28"/>
      <c r="J3155" s="0" t="str">
        <f aca="false">IF(A3155="","",YEAR(A3155))</f>
        <v/>
      </c>
      <c r="K3155" s="0" t="str">
        <f aca="false">IF(A3155="","",MONTH(A3155))</f>
        <v/>
      </c>
      <c r="L3155" s="0" t="str">
        <f aca="false">IF(B3155="","",VALUE(LEFT(B3155,2)))</f>
        <v/>
      </c>
      <c r="M3155" s="0" t="str">
        <f aca="false">IF(A3155="","",IF(COUNTIFS($C$2:$C$5001,C3155,$J$2:$J$5001,J3155,$A$2:$A$5001,"&lt;"&amp;A3155)=0,1,0))</f>
        <v/>
      </c>
    </row>
    <row r="3156" customFormat="false" ht="15" hidden="false" customHeight="false" outlineLevel="0" collapsed="false">
      <c r="A3156" s="27"/>
      <c r="F3156" s="28"/>
      <c r="J3156" s="0" t="str">
        <f aca="false">IF(A3156="","",YEAR(A3156))</f>
        <v/>
      </c>
      <c r="K3156" s="0" t="str">
        <f aca="false">IF(A3156="","",MONTH(A3156))</f>
        <v/>
      </c>
      <c r="L3156" s="0" t="str">
        <f aca="false">IF(B3156="","",VALUE(LEFT(B3156,2)))</f>
        <v/>
      </c>
      <c r="M3156" s="0" t="str">
        <f aca="false">IF(A3156="","",IF(COUNTIFS($C$2:$C$5001,C3156,$J$2:$J$5001,J3156,$A$2:$A$5001,"&lt;"&amp;A3156)=0,1,0))</f>
        <v/>
      </c>
    </row>
    <row r="3157" customFormat="false" ht="15" hidden="false" customHeight="false" outlineLevel="0" collapsed="false">
      <c r="A3157" s="27"/>
      <c r="F3157" s="28"/>
      <c r="J3157" s="0" t="str">
        <f aca="false">IF(A3157="","",YEAR(A3157))</f>
        <v/>
      </c>
      <c r="K3157" s="0" t="str">
        <f aca="false">IF(A3157="","",MONTH(A3157))</f>
        <v/>
      </c>
      <c r="L3157" s="0" t="str">
        <f aca="false">IF(B3157="","",VALUE(LEFT(B3157,2)))</f>
        <v/>
      </c>
      <c r="M3157" s="0" t="str">
        <f aca="false">IF(A3157="","",IF(COUNTIFS($C$2:$C$5001,C3157,$J$2:$J$5001,J3157,$A$2:$A$5001,"&lt;"&amp;A3157)=0,1,0))</f>
        <v/>
      </c>
    </row>
    <row r="3158" customFormat="false" ht="15" hidden="false" customHeight="false" outlineLevel="0" collapsed="false">
      <c r="A3158" s="27"/>
      <c r="F3158" s="28"/>
      <c r="J3158" s="0" t="str">
        <f aca="false">IF(A3158="","",YEAR(A3158))</f>
        <v/>
      </c>
      <c r="K3158" s="0" t="str">
        <f aca="false">IF(A3158="","",MONTH(A3158))</f>
        <v/>
      </c>
      <c r="L3158" s="0" t="str">
        <f aca="false">IF(B3158="","",VALUE(LEFT(B3158,2)))</f>
        <v/>
      </c>
      <c r="M3158" s="0" t="str">
        <f aca="false">IF(A3158="","",IF(COUNTIFS($C$2:$C$5001,C3158,$J$2:$J$5001,J3158,$A$2:$A$5001,"&lt;"&amp;A3158)=0,1,0))</f>
        <v/>
      </c>
    </row>
    <row r="3159" customFormat="false" ht="15" hidden="false" customHeight="false" outlineLevel="0" collapsed="false">
      <c r="A3159" s="27"/>
      <c r="F3159" s="28"/>
      <c r="J3159" s="0" t="str">
        <f aca="false">IF(A3159="","",YEAR(A3159))</f>
        <v/>
      </c>
      <c r="K3159" s="0" t="str">
        <f aca="false">IF(A3159="","",MONTH(A3159))</f>
        <v/>
      </c>
      <c r="L3159" s="0" t="str">
        <f aca="false">IF(B3159="","",VALUE(LEFT(B3159,2)))</f>
        <v/>
      </c>
      <c r="M3159" s="0" t="str">
        <f aca="false">IF(A3159="","",IF(COUNTIFS($C$2:$C$5001,C3159,$J$2:$J$5001,J3159,$A$2:$A$5001,"&lt;"&amp;A3159)=0,1,0))</f>
        <v/>
      </c>
    </row>
    <row r="3160" customFormat="false" ht="15" hidden="false" customHeight="false" outlineLevel="0" collapsed="false">
      <c r="A3160" s="27"/>
      <c r="F3160" s="28"/>
      <c r="J3160" s="0" t="str">
        <f aca="false">IF(A3160="","",YEAR(A3160))</f>
        <v/>
      </c>
      <c r="K3160" s="0" t="str">
        <f aca="false">IF(A3160="","",MONTH(A3160))</f>
        <v/>
      </c>
      <c r="L3160" s="0" t="str">
        <f aca="false">IF(B3160="","",VALUE(LEFT(B3160,2)))</f>
        <v/>
      </c>
      <c r="M3160" s="0" t="str">
        <f aca="false">IF(A3160="","",IF(COUNTIFS($C$2:$C$5001,C3160,$J$2:$J$5001,J3160,$A$2:$A$5001,"&lt;"&amp;A3160)=0,1,0))</f>
        <v/>
      </c>
    </row>
    <row r="3161" customFormat="false" ht="15" hidden="false" customHeight="false" outlineLevel="0" collapsed="false">
      <c r="A3161" s="27"/>
      <c r="F3161" s="28"/>
      <c r="J3161" s="0" t="str">
        <f aca="false">IF(A3161="","",YEAR(A3161))</f>
        <v/>
      </c>
      <c r="K3161" s="0" t="str">
        <f aca="false">IF(A3161="","",MONTH(A3161))</f>
        <v/>
      </c>
      <c r="L3161" s="0" t="str">
        <f aca="false">IF(B3161="","",VALUE(LEFT(B3161,2)))</f>
        <v/>
      </c>
      <c r="M3161" s="0" t="str">
        <f aca="false">IF(A3161="","",IF(COUNTIFS($C$2:$C$5001,C3161,$J$2:$J$5001,J3161,$A$2:$A$5001,"&lt;"&amp;A3161)=0,1,0))</f>
        <v/>
      </c>
    </row>
    <row r="3162" customFormat="false" ht="15" hidden="false" customHeight="false" outlineLevel="0" collapsed="false">
      <c r="A3162" s="27"/>
      <c r="F3162" s="28"/>
      <c r="J3162" s="0" t="str">
        <f aca="false">IF(A3162="","",YEAR(A3162))</f>
        <v/>
      </c>
      <c r="K3162" s="0" t="str">
        <f aca="false">IF(A3162="","",MONTH(A3162))</f>
        <v/>
      </c>
      <c r="L3162" s="0" t="str">
        <f aca="false">IF(B3162="","",VALUE(LEFT(B3162,2)))</f>
        <v/>
      </c>
      <c r="M3162" s="0" t="str">
        <f aca="false">IF(A3162="","",IF(COUNTIFS($C$2:$C$5001,C3162,$J$2:$J$5001,J3162,$A$2:$A$5001,"&lt;"&amp;A3162)=0,1,0))</f>
        <v/>
      </c>
    </row>
    <row r="3163" customFormat="false" ht="15" hidden="false" customHeight="false" outlineLevel="0" collapsed="false">
      <c r="A3163" s="27"/>
      <c r="F3163" s="28"/>
      <c r="J3163" s="0" t="str">
        <f aca="false">IF(A3163="","",YEAR(A3163))</f>
        <v/>
      </c>
      <c r="K3163" s="0" t="str">
        <f aca="false">IF(A3163="","",MONTH(A3163))</f>
        <v/>
      </c>
      <c r="L3163" s="0" t="str">
        <f aca="false">IF(B3163="","",VALUE(LEFT(B3163,2)))</f>
        <v/>
      </c>
      <c r="M3163" s="0" t="str">
        <f aca="false">IF(A3163="","",IF(COUNTIFS($C$2:$C$5001,C3163,$J$2:$J$5001,J3163,$A$2:$A$5001,"&lt;"&amp;A3163)=0,1,0))</f>
        <v/>
      </c>
    </row>
    <row r="3164" customFormat="false" ht="15" hidden="false" customHeight="false" outlineLevel="0" collapsed="false">
      <c r="A3164" s="27"/>
      <c r="F3164" s="28"/>
      <c r="J3164" s="0" t="str">
        <f aca="false">IF(A3164="","",YEAR(A3164))</f>
        <v/>
      </c>
      <c r="K3164" s="0" t="str">
        <f aca="false">IF(A3164="","",MONTH(A3164))</f>
        <v/>
      </c>
      <c r="L3164" s="0" t="str">
        <f aca="false">IF(B3164="","",VALUE(LEFT(B3164,2)))</f>
        <v/>
      </c>
      <c r="M3164" s="0" t="str">
        <f aca="false">IF(A3164="","",IF(COUNTIFS($C$2:$C$5001,C3164,$J$2:$J$5001,J3164,$A$2:$A$5001,"&lt;"&amp;A3164)=0,1,0))</f>
        <v/>
      </c>
    </row>
    <row r="3165" customFormat="false" ht="15" hidden="false" customHeight="false" outlineLevel="0" collapsed="false">
      <c r="A3165" s="27"/>
      <c r="F3165" s="28"/>
      <c r="J3165" s="0" t="str">
        <f aca="false">IF(A3165="","",YEAR(A3165))</f>
        <v/>
      </c>
      <c r="K3165" s="0" t="str">
        <f aca="false">IF(A3165="","",MONTH(A3165))</f>
        <v/>
      </c>
      <c r="L3165" s="0" t="str">
        <f aca="false">IF(B3165="","",VALUE(LEFT(B3165,2)))</f>
        <v/>
      </c>
      <c r="M3165" s="0" t="str">
        <f aca="false">IF(A3165="","",IF(COUNTIFS($C$2:$C$5001,C3165,$J$2:$J$5001,J3165,$A$2:$A$5001,"&lt;"&amp;A3165)=0,1,0))</f>
        <v/>
      </c>
    </row>
    <row r="3166" customFormat="false" ht="15" hidden="false" customHeight="false" outlineLevel="0" collapsed="false">
      <c r="A3166" s="27"/>
      <c r="F3166" s="28"/>
      <c r="J3166" s="0" t="str">
        <f aca="false">IF(A3166="","",YEAR(A3166))</f>
        <v/>
      </c>
      <c r="K3166" s="0" t="str">
        <f aca="false">IF(A3166="","",MONTH(A3166))</f>
        <v/>
      </c>
      <c r="L3166" s="0" t="str">
        <f aca="false">IF(B3166="","",VALUE(LEFT(B3166,2)))</f>
        <v/>
      </c>
      <c r="M3166" s="0" t="str">
        <f aca="false">IF(A3166="","",IF(COUNTIFS($C$2:$C$5001,C3166,$J$2:$J$5001,J3166,$A$2:$A$5001,"&lt;"&amp;A3166)=0,1,0))</f>
        <v/>
      </c>
    </row>
    <row r="3167" customFormat="false" ht="15" hidden="false" customHeight="false" outlineLevel="0" collapsed="false">
      <c r="A3167" s="27"/>
      <c r="F3167" s="28"/>
      <c r="J3167" s="0" t="str">
        <f aca="false">IF(A3167="","",YEAR(A3167))</f>
        <v/>
      </c>
      <c r="K3167" s="0" t="str">
        <f aca="false">IF(A3167="","",MONTH(A3167))</f>
        <v/>
      </c>
      <c r="L3167" s="0" t="str">
        <f aca="false">IF(B3167="","",VALUE(LEFT(B3167,2)))</f>
        <v/>
      </c>
      <c r="M3167" s="0" t="str">
        <f aca="false">IF(A3167="","",IF(COUNTIFS($C$2:$C$5001,C3167,$J$2:$J$5001,J3167,$A$2:$A$5001,"&lt;"&amp;A3167)=0,1,0))</f>
        <v/>
      </c>
    </row>
    <row r="3168" customFormat="false" ht="15" hidden="false" customHeight="false" outlineLevel="0" collapsed="false">
      <c r="A3168" s="27"/>
      <c r="F3168" s="28"/>
      <c r="J3168" s="0" t="str">
        <f aca="false">IF(A3168="","",YEAR(A3168))</f>
        <v/>
      </c>
      <c r="K3168" s="0" t="str">
        <f aca="false">IF(A3168="","",MONTH(A3168))</f>
        <v/>
      </c>
      <c r="L3168" s="0" t="str">
        <f aca="false">IF(B3168="","",VALUE(LEFT(B3168,2)))</f>
        <v/>
      </c>
      <c r="M3168" s="0" t="str">
        <f aca="false">IF(A3168="","",IF(COUNTIFS($C$2:$C$5001,C3168,$J$2:$J$5001,J3168,$A$2:$A$5001,"&lt;"&amp;A3168)=0,1,0))</f>
        <v/>
      </c>
    </row>
    <row r="3169" customFormat="false" ht="15" hidden="false" customHeight="false" outlineLevel="0" collapsed="false">
      <c r="A3169" s="27"/>
      <c r="F3169" s="28"/>
      <c r="J3169" s="0" t="str">
        <f aca="false">IF(A3169="","",YEAR(A3169))</f>
        <v/>
      </c>
      <c r="K3169" s="0" t="str">
        <f aca="false">IF(A3169="","",MONTH(A3169))</f>
        <v/>
      </c>
      <c r="L3169" s="0" t="str">
        <f aca="false">IF(B3169="","",VALUE(LEFT(B3169,2)))</f>
        <v/>
      </c>
      <c r="M3169" s="0" t="str">
        <f aca="false">IF(A3169="","",IF(COUNTIFS($C$2:$C$5001,C3169,$J$2:$J$5001,J3169,$A$2:$A$5001,"&lt;"&amp;A3169)=0,1,0))</f>
        <v/>
      </c>
    </row>
    <row r="3170" customFormat="false" ht="15" hidden="false" customHeight="false" outlineLevel="0" collapsed="false">
      <c r="A3170" s="27"/>
      <c r="F3170" s="28"/>
      <c r="J3170" s="0" t="str">
        <f aca="false">IF(A3170="","",YEAR(A3170))</f>
        <v/>
      </c>
      <c r="K3170" s="0" t="str">
        <f aca="false">IF(A3170="","",MONTH(A3170))</f>
        <v/>
      </c>
      <c r="L3170" s="0" t="str">
        <f aca="false">IF(B3170="","",VALUE(LEFT(B3170,2)))</f>
        <v/>
      </c>
      <c r="M3170" s="0" t="str">
        <f aca="false">IF(A3170="","",IF(COUNTIFS($C$2:$C$5001,C3170,$J$2:$J$5001,J3170,$A$2:$A$5001,"&lt;"&amp;A3170)=0,1,0))</f>
        <v/>
      </c>
    </row>
    <row r="3171" customFormat="false" ht="15" hidden="false" customHeight="false" outlineLevel="0" collapsed="false">
      <c r="A3171" s="27"/>
      <c r="F3171" s="28"/>
      <c r="J3171" s="0" t="str">
        <f aca="false">IF(A3171="","",YEAR(A3171))</f>
        <v/>
      </c>
      <c r="K3171" s="0" t="str">
        <f aca="false">IF(A3171="","",MONTH(A3171))</f>
        <v/>
      </c>
      <c r="L3171" s="0" t="str">
        <f aca="false">IF(B3171="","",VALUE(LEFT(B3171,2)))</f>
        <v/>
      </c>
      <c r="M3171" s="0" t="str">
        <f aca="false">IF(A3171="","",IF(COUNTIFS($C$2:$C$5001,C3171,$J$2:$J$5001,J3171,$A$2:$A$5001,"&lt;"&amp;A3171)=0,1,0))</f>
        <v/>
      </c>
    </row>
    <row r="3172" customFormat="false" ht="15" hidden="false" customHeight="false" outlineLevel="0" collapsed="false">
      <c r="A3172" s="27"/>
      <c r="F3172" s="28"/>
      <c r="J3172" s="0" t="str">
        <f aca="false">IF(A3172="","",YEAR(A3172))</f>
        <v/>
      </c>
      <c r="K3172" s="0" t="str">
        <f aca="false">IF(A3172="","",MONTH(A3172))</f>
        <v/>
      </c>
      <c r="L3172" s="0" t="str">
        <f aca="false">IF(B3172="","",VALUE(LEFT(B3172,2)))</f>
        <v/>
      </c>
      <c r="M3172" s="0" t="str">
        <f aca="false">IF(A3172="","",IF(COUNTIFS($C$2:$C$5001,C3172,$J$2:$J$5001,J3172,$A$2:$A$5001,"&lt;"&amp;A3172)=0,1,0))</f>
        <v/>
      </c>
    </row>
    <row r="3173" customFormat="false" ht="15" hidden="false" customHeight="false" outlineLevel="0" collapsed="false">
      <c r="A3173" s="27"/>
      <c r="F3173" s="28"/>
      <c r="J3173" s="0" t="str">
        <f aca="false">IF(A3173="","",YEAR(A3173))</f>
        <v/>
      </c>
      <c r="K3173" s="0" t="str">
        <f aca="false">IF(A3173="","",MONTH(A3173))</f>
        <v/>
      </c>
      <c r="L3173" s="0" t="str">
        <f aca="false">IF(B3173="","",VALUE(LEFT(B3173,2)))</f>
        <v/>
      </c>
      <c r="M3173" s="0" t="str">
        <f aca="false">IF(A3173="","",IF(COUNTIFS($C$2:$C$5001,C3173,$J$2:$J$5001,J3173,$A$2:$A$5001,"&lt;"&amp;A3173)=0,1,0))</f>
        <v/>
      </c>
    </row>
    <row r="3174" customFormat="false" ht="15" hidden="false" customHeight="false" outlineLevel="0" collapsed="false">
      <c r="A3174" s="27"/>
      <c r="F3174" s="28"/>
      <c r="J3174" s="0" t="str">
        <f aca="false">IF(A3174="","",YEAR(A3174))</f>
        <v/>
      </c>
      <c r="K3174" s="0" t="str">
        <f aca="false">IF(A3174="","",MONTH(A3174))</f>
        <v/>
      </c>
      <c r="L3174" s="0" t="str">
        <f aca="false">IF(B3174="","",VALUE(LEFT(B3174,2)))</f>
        <v/>
      </c>
      <c r="M3174" s="0" t="str">
        <f aca="false">IF(A3174="","",IF(COUNTIFS($C$2:$C$5001,C3174,$J$2:$J$5001,J3174,$A$2:$A$5001,"&lt;"&amp;A3174)=0,1,0))</f>
        <v/>
      </c>
    </row>
    <row r="3175" customFormat="false" ht="15" hidden="false" customHeight="false" outlineLevel="0" collapsed="false">
      <c r="A3175" s="27"/>
      <c r="F3175" s="28"/>
      <c r="J3175" s="0" t="str">
        <f aca="false">IF(A3175="","",YEAR(A3175))</f>
        <v/>
      </c>
      <c r="K3175" s="0" t="str">
        <f aca="false">IF(A3175="","",MONTH(A3175))</f>
        <v/>
      </c>
      <c r="L3175" s="0" t="str">
        <f aca="false">IF(B3175="","",VALUE(LEFT(B3175,2)))</f>
        <v/>
      </c>
      <c r="M3175" s="0" t="str">
        <f aca="false">IF(A3175="","",IF(COUNTIFS($C$2:$C$5001,C3175,$J$2:$J$5001,J3175,$A$2:$A$5001,"&lt;"&amp;A3175)=0,1,0))</f>
        <v/>
      </c>
    </row>
    <row r="3176" customFormat="false" ht="15" hidden="false" customHeight="false" outlineLevel="0" collapsed="false">
      <c r="A3176" s="27"/>
      <c r="F3176" s="28"/>
      <c r="J3176" s="0" t="str">
        <f aca="false">IF(A3176="","",YEAR(A3176))</f>
        <v/>
      </c>
      <c r="K3176" s="0" t="str">
        <f aca="false">IF(A3176="","",MONTH(A3176))</f>
        <v/>
      </c>
      <c r="L3176" s="0" t="str">
        <f aca="false">IF(B3176="","",VALUE(LEFT(B3176,2)))</f>
        <v/>
      </c>
      <c r="M3176" s="0" t="str">
        <f aca="false">IF(A3176="","",IF(COUNTIFS($C$2:$C$5001,C3176,$J$2:$J$5001,J3176,$A$2:$A$5001,"&lt;"&amp;A3176)=0,1,0))</f>
        <v/>
      </c>
    </row>
    <row r="3177" customFormat="false" ht="15" hidden="false" customHeight="false" outlineLevel="0" collapsed="false">
      <c r="A3177" s="27"/>
      <c r="F3177" s="28"/>
      <c r="J3177" s="0" t="str">
        <f aca="false">IF(A3177="","",YEAR(A3177))</f>
        <v/>
      </c>
      <c r="K3177" s="0" t="str">
        <f aca="false">IF(A3177="","",MONTH(A3177))</f>
        <v/>
      </c>
      <c r="L3177" s="0" t="str">
        <f aca="false">IF(B3177="","",VALUE(LEFT(B3177,2)))</f>
        <v/>
      </c>
      <c r="M3177" s="0" t="str">
        <f aca="false">IF(A3177="","",IF(COUNTIFS($C$2:$C$5001,C3177,$J$2:$J$5001,J3177,$A$2:$A$5001,"&lt;"&amp;A3177)=0,1,0))</f>
        <v/>
      </c>
    </row>
    <row r="3178" customFormat="false" ht="15" hidden="false" customHeight="false" outlineLevel="0" collapsed="false">
      <c r="A3178" s="27"/>
      <c r="F3178" s="28"/>
      <c r="J3178" s="0" t="str">
        <f aca="false">IF(A3178="","",YEAR(A3178))</f>
        <v/>
      </c>
      <c r="K3178" s="0" t="str">
        <f aca="false">IF(A3178="","",MONTH(A3178))</f>
        <v/>
      </c>
      <c r="L3178" s="0" t="str">
        <f aca="false">IF(B3178="","",VALUE(LEFT(B3178,2)))</f>
        <v/>
      </c>
      <c r="M3178" s="0" t="str">
        <f aca="false">IF(A3178="","",IF(COUNTIFS($C$2:$C$5001,C3178,$J$2:$J$5001,J3178,$A$2:$A$5001,"&lt;"&amp;A3178)=0,1,0))</f>
        <v/>
      </c>
    </row>
    <row r="3179" customFormat="false" ht="15" hidden="false" customHeight="false" outlineLevel="0" collapsed="false">
      <c r="A3179" s="27"/>
      <c r="F3179" s="28"/>
      <c r="J3179" s="0" t="str">
        <f aca="false">IF(A3179="","",YEAR(A3179))</f>
        <v/>
      </c>
      <c r="K3179" s="0" t="str">
        <f aca="false">IF(A3179="","",MONTH(A3179))</f>
        <v/>
      </c>
      <c r="L3179" s="0" t="str">
        <f aca="false">IF(B3179="","",VALUE(LEFT(B3179,2)))</f>
        <v/>
      </c>
      <c r="M3179" s="0" t="str">
        <f aca="false">IF(A3179="","",IF(COUNTIFS($C$2:$C$5001,C3179,$J$2:$J$5001,J3179,$A$2:$A$5001,"&lt;"&amp;A3179)=0,1,0))</f>
        <v/>
      </c>
    </row>
    <row r="3180" customFormat="false" ht="15" hidden="false" customHeight="false" outlineLevel="0" collapsed="false">
      <c r="A3180" s="27"/>
      <c r="F3180" s="28"/>
      <c r="J3180" s="0" t="str">
        <f aca="false">IF(A3180="","",YEAR(A3180))</f>
        <v/>
      </c>
      <c r="K3180" s="0" t="str">
        <f aca="false">IF(A3180="","",MONTH(A3180))</f>
        <v/>
      </c>
      <c r="L3180" s="0" t="str">
        <f aca="false">IF(B3180="","",VALUE(LEFT(B3180,2)))</f>
        <v/>
      </c>
      <c r="M3180" s="0" t="str">
        <f aca="false">IF(A3180="","",IF(COUNTIFS($C$2:$C$5001,C3180,$J$2:$J$5001,J3180,$A$2:$A$5001,"&lt;"&amp;A3180)=0,1,0))</f>
        <v/>
      </c>
    </row>
    <row r="3181" customFormat="false" ht="15" hidden="false" customHeight="false" outlineLevel="0" collapsed="false">
      <c r="A3181" s="27"/>
      <c r="F3181" s="28"/>
      <c r="J3181" s="0" t="str">
        <f aca="false">IF(A3181="","",YEAR(A3181))</f>
        <v/>
      </c>
      <c r="K3181" s="0" t="str">
        <f aca="false">IF(A3181="","",MONTH(A3181))</f>
        <v/>
      </c>
      <c r="L3181" s="0" t="str">
        <f aca="false">IF(B3181="","",VALUE(LEFT(B3181,2)))</f>
        <v/>
      </c>
      <c r="M3181" s="0" t="str">
        <f aca="false">IF(A3181="","",IF(COUNTIFS($C$2:$C$5001,C3181,$J$2:$J$5001,J3181,$A$2:$A$5001,"&lt;"&amp;A3181)=0,1,0))</f>
        <v/>
      </c>
    </row>
    <row r="3182" customFormat="false" ht="15" hidden="false" customHeight="false" outlineLevel="0" collapsed="false">
      <c r="A3182" s="27"/>
      <c r="F3182" s="28"/>
      <c r="J3182" s="0" t="str">
        <f aca="false">IF(A3182="","",YEAR(A3182))</f>
        <v/>
      </c>
      <c r="K3182" s="0" t="str">
        <f aca="false">IF(A3182="","",MONTH(A3182))</f>
        <v/>
      </c>
      <c r="L3182" s="0" t="str">
        <f aca="false">IF(B3182="","",VALUE(LEFT(B3182,2)))</f>
        <v/>
      </c>
      <c r="M3182" s="0" t="str">
        <f aca="false">IF(A3182="","",IF(COUNTIFS($C$2:$C$5001,C3182,$J$2:$J$5001,J3182,$A$2:$A$5001,"&lt;"&amp;A3182)=0,1,0))</f>
        <v/>
      </c>
    </row>
    <row r="3183" customFormat="false" ht="15" hidden="false" customHeight="false" outlineLevel="0" collapsed="false">
      <c r="A3183" s="27"/>
      <c r="F3183" s="28"/>
      <c r="J3183" s="0" t="str">
        <f aca="false">IF(A3183="","",YEAR(A3183))</f>
        <v/>
      </c>
      <c r="K3183" s="0" t="str">
        <f aca="false">IF(A3183="","",MONTH(A3183))</f>
        <v/>
      </c>
      <c r="L3183" s="0" t="str">
        <f aca="false">IF(B3183="","",VALUE(LEFT(B3183,2)))</f>
        <v/>
      </c>
      <c r="M3183" s="0" t="str">
        <f aca="false">IF(A3183="","",IF(COUNTIFS($C$2:$C$5001,C3183,$J$2:$J$5001,J3183,$A$2:$A$5001,"&lt;"&amp;A3183)=0,1,0))</f>
        <v/>
      </c>
    </row>
    <row r="3184" customFormat="false" ht="15" hidden="false" customHeight="false" outlineLevel="0" collapsed="false">
      <c r="A3184" s="27"/>
      <c r="F3184" s="28"/>
      <c r="J3184" s="0" t="str">
        <f aca="false">IF(A3184="","",YEAR(A3184))</f>
        <v/>
      </c>
      <c r="K3184" s="0" t="str">
        <f aca="false">IF(A3184="","",MONTH(A3184))</f>
        <v/>
      </c>
      <c r="L3184" s="0" t="str">
        <f aca="false">IF(B3184="","",VALUE(LEFT(B3184,2)))</f>
        <v/>
      </c>
      <c r="M3184" s="0" t="str">
        <f aca="false">IF(A3184="","",IF(COUNTIFS($C$2:$C$5001,C3184,$J$2:$J$5001,J3184,$A$2:$A$5001,"&lt;"&amp;A3184)=0,1,0))</f>
        <v/>
      </c>
    </row>
    <row r="3185" customFormat="false" ht="15" hidden="false" customHeight="false" outlineLevel="0" collapsed="false">
      <c r="A3185" s="27"/>
      <c r="F3185" s="28"/>
      <c r="J3185" s="0" t="str">
        <f aca="false">IF(A3185="","",YEAR(A3185))</f>
        <v/>
      </c>
      <c r="K3185" s="0" t="str">
        <f aca="false">IF(A3185="","",MONTH(A3185))</f>
        <v/>
      </c>
      <c r="L3185" s="0" t="str">
        <f aca="false">IF(B3185="","",VALUE(LEFT(B3185,2)))</f>
        <v/>
      </c>
      <c r="M3185" s="0" t="str">
        <f aca="false">IF(A3185="","",IF(COUNTIFS($C$2:$C$5001,C3185,$J$2:$J$5001,J3185,$A$2:$A$5001,"&lt;"&amp;A3185)=0,1,0))</f>
        <v/>
      </c>
    </row>
    <row r="3186" customFormat="false" ht="15" hidden="false" customHeight="false" outlineLevel="0" collapsed="false">
      <c r="A3186" s="27"/>
      <c r="F3186" s="28"/>
      <c r="J3186" s="0" t="str">
        <f aca="false">IF(A3186="","",YEAR(A3186))</f>
        <v/>
      </c>
      <c r="K3186" s="0" t="str">
        <f aca="false">IF(A3186="","",MONTH(A3186))</f>
        <v/>
      </c>
      <c r="L3186" s="0" t="str">
        <f aca="false">IF(B3186="","",VALUE(LEFT(B3186,2)))</f>
        <v/>
      </c>
      <c r="M3186" s="0" t="str">
        <f aca="false">IF(A3186="","",IF(COUNTIFS($C$2:$C$5001,C3186,$J$2:$J$5001,J3186,$A$2:$A$5001,"&lt;"&amp;A3186)=0,1,0))</f>
        <v/>
      </c>
    </row>
    <row r="3187" customFormat="false" ht="15" hidden="false" customHeight="false" outlineLevel="0" collapsed="false">
      <c r="A3187" s="27"/>
      <c r="F3187" s="28"/>
      <c r="J3187" s="0" t="str">
        <f aca="false">IF(A3187="","",YEAR(A3187))</f>
        <v/>
      </c>
      <c r="K3187" s="0" t="str">
        <f aca="false">IF(A3187="","",MONTH(A3187))</f>
        <v/>
      </c>
      <c r="L3187" s="0" t="str">
        <f aca="false">IF(B3187="","",VALUE(LEFT(B3187,2)))</f>
        <v/>
      </c>
      <c r="M3187" s="0" t="str">
        <f aca="false">IF(A3187="","",IF(COUNTIFS($C$2:$C$5001,C3187,$J$2:$J$5001,J3187,$A$2:$A$5001,"&lt;"&amp;A3187)=0,1,0))</f>
        <v/>
      </c>
    </row>
    <row r="3188" customFormat="false" ht="15" hidden="false" customHeight="false" outlineLevel="0" collapsed="false">
      <c r="A3188" s="27"/>
      <c r="F3188" s="28"/>
      <c r="J3188" s="0" t="str">
        <f aca="false">IF(A3188="","",YEAR(A3188))</f>
        <v/>
      </c>
      <c r="K3188" s="0" t="str">
        <f aca="false">IF(A3188="","",MONTH(A3188))</f>
        <v/>
      </c>
      <c r="L3188" s="0" t="str">
        <f aca="false">IF(B3188="","",VALUE(LEFT(B3188,2)))</f>
        <v/>
      </c>
      <c r="M3188" s="0" t="str">
        <f aca="false">IF(A3188="","",IF(COUNTIFS($C$2:$C$5001,C3188,$J$2:$J$5001,J3188,$A$2:$A$5001,"&lt;"&amp;A3188)=0,1,0))</f>
        <v/>
      </c>
    </row>
    <row r="3189" customFormat="false" ht="15" hidden="false" customHeight="false" outlineLevel="0" collapsed="false">
      <c r="A3189" s="27"/>
      <c r="F3189" s="28"/>
      <c r="J3189" s="0" t="str">
        <f aca="false">IF(A3189="","",YEAR(A3189))</f>
        <v/>
      </c>
      <c r="K3189" s="0" t="str">
        <f aca="false">IF(A3189="","",MONTH(A3189))</f>
        <v/>
      </c>
      <c r="L3189" s="0" t="str">
        <f aca="false">IF(B3189="","",VALUE(LEFT(B3189,2)))</f>
        <v/>
      </c>
      <c r="M3189" s="0" t="str">
        <f aca="false">IF(A3189="","",IF(COUNTIFS($C$2:$C$5001,C3189,$J$2:$J$5001,J3189,$A$2:$A$5001,"&lt;"&amp;A3189)=0,1,0))</f>
        <v/>
      </c>
    </row>
    <row r="3190" customFormat="false" ht="15" hidden="false" customHeight="false" outlineLevel="0" collapsed="false">
      <c r="A3190" s="27"/>
      <c r="F3190" s="28"/>
      <c r="J3190" s="0" t="str">
        <f aca="false">IF(A3190="","",YEAR(A3190))</f>
        <v/>
      </c>
      <c r="K3190" s="0" t="str">
        <f aca="false">IF(A3190="","",MONTH(A3190))</f>
        <v/>
      </c>
      <c r="L3190" s="0" t="str">
        <f aca="false">IF(B3190="","",VALUE(LEFT(B3190,2)))</f>
        <v/>
      </c>
      <c r="M3190" s="0" t="str">
        <f aca="false">IF(A3190="","",IF(COUNTIFS($C$2:$C$5001,C3190,$J$2:$J$5001,J3190,$A$2:$A$5001,"&lt;"&amp;A3190)=0,1,0))</f>
        <v/>
      </c>
    </row>
    <row r="3191" customFormat="false" ht="15" hidden="false" customHeight="false" outlineLevel="0" collapsed="false">
      <c r="A3191" s="27"/>
      <c r="F3191" s="28"/>
      <c r="J3191" s="0" t="str">
        <f aca="false">IF(A3191="","",YEAR(A3191))</f>
        <v/>
      </c>
      <c r="K3191" s="0" t="str">
        <f aca="false">IF(A3191="","",MONTH(A3191))</f>
        <v/>
      </c>
      <c r="L3191" s="0" t="str">
        <f aca="false">IF(B3191="","",VALUE(LEFT(B3191,2)))</f>
        <v/>
      </c>
      <c r="M3191" s="0" t="str">
        <f aca="false">IF(A3191="","",IF(COUNTIFS($C$2:$C$5001,C3191,$J$2:$J$5001,J3191,$A$2:$A$5001,"&lt;"&amp;A3191)=0,1,0))</f>
        <v/>
      </c>
    </row>
    <row r="3192" customFormat="false" ht="15" hidden="false" customHeight="false" outlineLevel="0" collapsed="false">
      <c r="A3192" s="27"/>
      <c r="F3192" s="28"/>
      <c r="J3192" s="0" t="str">
        <f aca="false">IF(A3192="","",YEAR(A3192))</f>
        <v/>
      </c>
      <c r="K3192" s="0" t="str">
        <f aca="false">IF(A3192="","",MONTH(A3192))</f>
        <v/>
      </c>
      <c r="L3192" s="0" t="str">
        <f aca="false">IF(B3192="","",VALUE(LEFT(B3192,2)))</f>
        <v/>
      </c>
      <c r="M3192" s="0" t="str">
        <f aca="false">IF(A3192="","",IF(COUNTIFS($C$2:$C$5001,C3192,$J$2:$J$5001,J3192,$A$2:$A$5001,"&lt;"&amp;A3192)=0,1,0))</f>
        <v/>
      </c>
    </row>
    <row r="3193" customFormat="false" ht="15" hidden="false" customHeight="false" outlineLevel="0" collapsed="false">
      <c r="A3193" s="27"/>
      <c r="F3193" s="28"/>
      <c r="J3193" s="0" t="str">
        <f aca="false">IF(A3193="","",YEAR(A3193))</f>
        <v/>
      </c>
      <c r="K3193" s="0" t="str">
        <f aca="false">IF(A3193="","",MONTH(A3193))</f>
        <v/>
      </c>
      <c r="L3193" s="0" t="str">
        <f aca="false">IF(B3193="","",VALUE(LEFT(B3193,2)))</f>
        <v/>
      </c>
      <c r="M3193" s="0" t="str">
        <f aca="false">IF(A3193="","",IF(COUNTIFS($C$2:$C$5001,C3193,$J$2:$J$5001,J3193,$A$2:$A$5001,"&lt;"&amp;A3193)=0,1,0))</f>
        <v/>
      </c>
    </row>
    <row r="3194" customFormat="false" ht="15" hidden="false" customHeight="false" outlineLevel="0" collapsed="false">
      <c r="A3194" s="27"/>
      <c r="F3194" s="28"/>
      <c r="J3194" s="0" t="str">
        <f aca="false">IF(A3194="","",YEAR(A3194))</f>
        <v/>
      </c>
      <c r="K3194" s="0" t="str">
        <f aca="false">IF(A3194="","",MONTH(A3194))</f>
        <v/>
      </c>
      <c r="L3194" s="0" t="str">
        <f aca="false">IF(B3194="","",VALUE(LEFT(B3194,2)))</f>
        <v/>
      </c>
      <c r="M3194" s="0" t="str">
        <f aca="false">IF(A3194="","",IF(COUNTIFS($C$2:$C$5001,C3194,$J$2:$J$5001,J3194,$A$2:$A$5001,"&lt;"&amp;A3194)=0,1,0))</f>
        <v/>
      </c>
    </row>
    <row r="3195" customFormat="false" ht="15" hidden="false" customHeight="false" outlineLevel="0" collapsed="false">
      <c r="A3195" s="27"/>
      <c r="F3195" s="28"/>
      <c r="J3195" s="0" t="str">
        <f aca="false">IF(A3195="","",YEAR(A3195))</f>
        <v/>
      </c>
      <c r="K3195" s="0" t="str">
        <f aca="false">IF(A3195="","",MONTH(A3195))</f>
        <v/>
      </c>
      <c r="L3195" s="0" t="str">
        <f aca="false">IF(B3195="","",VALUE(LEFT(B3195,2)))</f>
        <v/>
      </c>
      <c r="M3195" s="0" t="str">
        <f aca="false">IF(A3195="","",IF(COUNTIFS($C$2:$C$5001,C3195,$J$2:$J$5001,J3195,$A$2:$A$5001,"&lt;"&amp;A3195)=0,1,0))</f>
        <v/>
      </c>
    </row>
    <row r="3196" customFormat="false" ht="15" hidden="false" customHeight="false" outlineLevel="0" collapsed="false">
      <c r="A3196" s="27"/>
      <c r="F3196" s="28"/>
      <c r="J3196" s="0" t="str">
        <f aca="false">IF(A3196="","",YEAR(A3196))</f>
        <v/>
      </c>
      <c r="K3196" s="0" t="str">
        <f aca="false">IF(A3196="","",MONTH(A3196))</f>
        <v/>
      </c>
      <c r="L3196" s="0" t="str">
        <f aca="false">IF(B3196="","",VALUE(LEFT(B3196,2)))</f>
        <v/>
      </c>
      <c r="M3196" s="0" t="str">
        <f aca="false">IF(A3196="","",IF(COUNTIFS($C$2:$C$5001,C3196,$J$2:$J$5001,J3196,$A$2:$A$5001,"&lt;"&amp;A3196)=0,1,0))</f>
        <v/>
      </c>
    </row>
    <row r="3197" customFormat="false" ht="15" hidden="false" customHeight="false" outlineLevel="0" collapsed="false">
      <c r="A3197" s="27"/>
      <c r="F3197" s="28"/>
      <c r="J3197" s="0" t="str">
        <f aca="false">IF(A3197="","",YEAR(A3197))</f>
        <v/>
      </c>
      <c r="K3197" s="0" t="str">
        <f aca="false">IF(A3197="","",MONTH(A3197))</f>
        <v/>
      </c>
      <c r="L3197" s="0" t="str">
        <f aca="false">IF(B3197="","",VALUE(LEFT(B3197,2)))</f>
        <v/>
      </c>
      <c r="M3197" s="0" t="str">
        <f aca="false">IF(A3197="","",IF(COUNTIFS($C$2:$C$5001,C3197,$J$2:$J$5001,J3197,$A$2:$A$5001,"&lt;"&amp;A3197)=0,1,0))</f>
        <v/>
      </c>
    </row>
    <row r="3198" customFormat="false" ht="15" hidden="false" customHeight="false" outlineLevel="0" collapsed="false">
      <c r="A3198" s="27"/>
      <c r="F3198" s="28"/>
      <c r="J3198" s="0" t="str">
        <f aca="false">IF(A3198="","",YEAR(A3198))</f>
        <v/>
      </c>
      <c r="K3198" s="0" t="str">
        <f aca="false">IF(A3198="","",MONTH(A3198))</f>
        <v/>
      </c>
      <c r="L3198" s="0" t="str">
        <f aca="false">IF(B3198="","",VALUE(LEFT(B3198,2)))</f>
        <v/>
      </c>
      <c r="M3198" s="0" t="str">
        <f aca="false">IF(A3198="","",IF(COUNTIFS($C$2:$C$5001,C3198,$J$2:$J$5001,J3198,$A$2:$A$5001,"&lt;"&amp;A3198)=0,1,0))</f>
        <v/>
      </c>
    </row>
    <row r="3199" customFormat="false" ht="15" hidden="false" customHeight="false" outlineLevel="0" collapsed="false">
      <c r="A3199" s="27"/>
      <c r="F3199" s="28"/>
      <c r="J3199" s="0" t="str">
        <f aca="false">IF(A3199="","",YEAR(A3199))</f>
        <v/>
      </c>
      <c r="K3199" s="0" t="str">
        <f aca="false">IF(A3199="","",MONTH(A3199))</f>
        <v/>
      </c>
      <c r="L3199" s="0" t="str">
        <f aca="false">IF(B3199="","",VALUE(LEFT(B3199,2)))</f>
        <v/>
      </c>
      <c r="M3199" s="0" t="str">
        <f aca="false">IF(A3199="","",IF(COUNTIFS($C$2:$C$5001,C3199,$J$2:$J$5001,J3199,$A$2:$A$5001,"&lt;"&amp;A3199)=0,1,0))</f>
        <v/>
      </c>
    </row>
    <row r="3200" customFormat="false" ht="15" hidden="false" customHeight="false" outlineLevel="0" collapsed="false">
      <c r="A3200" s="27"/>
      <c r="F3200" s="28"/>
      <c r="J3200" s="0" t="str">
        <f aca="false">IF(A3200="","",YEAR(A3200))</f>
        <v/>
      </c>
      <c r="K3200" s="0" t="str">
        <f aca="false">IF(A3200="","",MONTH(A3200))</f>
        <v/>
      </c>
      <c r="L3200" s="0" t="str">
        <f aca="false">IF(B3200="","",VALUE(LEFT(B3200,2)))</f>
        <v/>
      </c>
      <c r="M3200" s="0" t="str">
        <f aca="false">IF(A3200="","",IF(COUNTIFS($C$2:$C$5001,C3200,$J$2:$J$5001,J3200,$A$2:$A$5001,"&lt;"&amp;A3200)=0,1,0))</f>
        <v/>
      </c>
    </row>
    <row r="3201" customFormat="false" ht="15" hidden="false" customHeight="false" outlineLevel="0" collapsed="false">
      <c r="A3201" s="27"/>
      <c r="F3201" s="28"/>
      <c r="J3201" s="0" t="str">
        <f aca="false">IF(A3201="","",YEAR(A3201))</f>
        <v/>
      </c>
      <c r="K3201" s="0" t="str">
        <f aca="false">IF(A3201="","",MONTH(A3201))</f>
        <v/>
      </c>
      <c r="L3201" s="0" t="str">
        <f aca="false">IF(B3201="","",VALUE(LEFT(B3201,2)))</f>
        <v/>
      </c>
      <c r="M3201" s="0" t="str">
        <f aca="false">IF(A3201="","",IF(COUNTIFS($C$2:$C$5001,C3201,$J$2:$J$5001,J3201,$A$2:$A$5001,"&lt;"&amp;A3201)=0,1,0))</f>
        <v/>
      </c>
    </row>
    <row r="3202" customFormat="false" ht="15" hidden="false" customHeight="false" outlineLevel="0" collapsed="false">
      <c r="A3202" s="27"/>
      <c r="F3202" s="28"/>
      <c r="J3202" s="0" t="str">
        <f aca="false">IF(A3202="","",YEAR(A3202))</f>
        <v/>
      </c>
      <c r="K3202" s="0" t="str">
        <f aca="false">IF(A3202="","",MONTH(A3202))</f>
        <v/>
      </c>
      <c r="L3202" s="0" t="str">
        <f aca="false">IF(B3202="","",VALUE(LEFT(B3202,2)))</f>
        <v/>
      </c>
      <c r="M3202" s="0" t="str">
        <f aca="false">IF(A3202="","",IF(COUNTIFS($C$2:$C$5001,C3202,$J$2:$J$5001,J3202,$A$2:$A$5001,"&lt;"&amp;A3202)=0,1,0))</f>
        <v/>
      </c>
    </row>
    <row r="3203" customFormat="false" ht="15" hidden="false" customHeight="false" outlineLevel="0" collapsed="false">
      <c r="A3203" s="27"/>
      <c r="F3203" s="28"/>
      <c r="J3203" s="0" t="str">
        <f aca="false">IF(A3203="","",YEAR(A3203))</f>
        <v/>
      </c>
      <c r="K3203" s="0" t="str">
        <f aca="false">IF(A3203="","",MONTH(A3203))</f>
        <v/>
      </c>
      <c r="L3203" s="0" t="str">
        <f aca="false">IF(B3203="","",VALUE(LEFT(B3203,2)))</f>
        <v/>
      </c>
      <c r="M3203" s="0" t="str">
        <f aca="false">IF(A3203="","",IF(COUNTIFS($C$2:$C$5001,C3203,$J$2:$J$5001,J3203,$A$2:$A$5001,"&lt;"&amp;A3203)=0,1,0))</f>
        <v/>
      </c>
    </row>
    <row r="3204" customFormat="false" ht="15" hidden="false" customHeight="false" outlineLevel="0" collapsed="false">
      <c r="A3204" s="27"/>
      <c r="F3204" s="28"/>
      <c r="J3204" s="0" t="str">
        <f aca="false">IF(A3204="","",YEAR(A3204))</f>
        <v/>
      </c>
      <c r="K3204" s="0" t="str">
        <f aca="false">IF(A3204="","",MONTH(A3204))</f>
        <v/>
      </c>
      <c r="L3204" s="0" t="str">
        <f aca="false">IF(B3204="","",VALUE(LEFT(B3204,2)))</f>
        <v/>
      </c>
      <c r="M3204" s="0" t="str">
        <f aca="false">IF(A3204="","",IF(COUNTIFS($C$2:$C$5001,C3204,$J$2:$J$5001,J3204,$A$2:$A$5001,"&lt;"&amp;A3204)=0,1,0))</f>
        <v/>
      </c>
    </row>
    <row r="3205" customFormat="false" ht="15" hidden="false" customHeight="false" outlineLevel="0" collapsed="false">
      <c r="A3205" s="27"/>
      <c r="F3205" s="28"/>
      <c r="J3205" s="0" t="str">
        <f aca="false">IF(A3205="","",YEAR(A3205))</f>
        <v/>
      </c>
      <c r="K3205" s="0" t="str">
        <f aca="false">IF(A3205="","",MONTH(A3205))</f>
        <v/>
      </c>
      <c r="L3205" s="0" t="str">
        <f aca="false">IF(B3205="","",VALUE(LEFT(B3205,2)))</f>
        <v/>
      </c>
      <c r="M3205" s="0" t="str">
        <f aca="false">IF(A3205="","",IF(COUNTIFS($C$2:$C$5001,C3205,$J$2:$J$5001,J3205,$A$2:$A$5001,"&lt;"&amp;A3205)=0,1,0))</f>
        <v/>
      </c>
    </row>
    <row r="3206" customFormat="false" ht="15" hidden="false" customHeight="false" outlineLevel="0" collapsed="false">
      <c r="A3206" s="27"/>
      <c r="F3206" s="28"/>
      <c r="J3206" s="0" t="str">
        <f aca="false">IF(A3206="","",YEAR(A3206))</f>
        <v/>
      </c>
      <c r="K3206" s="0" t="str">
        <f aca="false">IF(A3206="","",MONTH(A3206))</f>
        <v/>
      </c>
      <c r="L3206" s="0" t="str">
        <f aca="false">IF(B3206="","",VALUE(LEFT(B3206,2)))</f>
        <v/>
      </c>
      <c r="M3206" s="0" t="str">
        <f aca="false">IF(A3206="","",IF(COUNTIFS($C$2:$C$5001,C3206,$J$2:$J$5001,J3206,$A$2:$A$5001,"&lt;"&amp;A3206)=0,1,0))</f>
        <v/>
      </c>
    </row>
    <row r="3207" customFormat="false" ht="15" hidden="false" customHeight="false" outlineLevel="0" collapsed="false">
      <c r="A3207" s="27"/>
      <c r="F3207" s="28"/>
      <c r="J3207" s="0" t="str">
        <f aca="false">IF(A3207="","",YEAR(A3207))</f>
        <v/>
      </c>
      <c r="K3207" s="0" t="str">
        <f aca="false">IF(A3207="","",MONTH(A3207))</f>
        <v/>
      </c>
      <c r="L3207" s="0" t="str">
        <f aca="false">IF(B3207="","",VALUE(LEFT(B3207,2)))</f>
        <v/>
      </c>
      <c r="M3207" s="0" t="str">
        <f aca="false">IF(A3207="","",IF(COUNTIFS($C$2:$C$5001,C3207,$J$2:$J$5001,J3207,$A$2:$A$5001,"&lt;"&amp;A3207)=0,1,0))</f>
        <v/>
      </c>
    </row>
    <row r="3208" customFormat="false" ht="15" hidden="false" customHeight="false" outlineLevel="0" collapsed="false">
      <c r="A3208" s="27"/>
      <c r="F3208" s="28"/>
      <c r="J3208" s="0" t="str">
        <f aca="false">IF(A3208="","",YEAR(A3208))</f>
        <v/>
      </c>
      <c r="K3208" s="0" t="str">
        <f aca="false">IF(A3208="","",MONTH(A3208))</f>
        <v/>
      </c>
      <c r="L3208" s="0" t="str">
        <f aca="false">IF(B3208="","",VALUE(LEFT(B3208,2)))</f>
        <v/>
      </c>
      <c r="M3208" s="0" t="str">
        <f aca="false">IF(A3208="","",IF(COUNTIFS($C$2:$C$5001,C3208,$J$2:$J$5001,J3208,$A$2:$A$5001,"&lt;"&amp;A3208)=0,1,0))</f>
        <v/>
      </c>
    </row>
    <row r="3209" customFormat="false" ht="15" hidden="false" customHeight="false" outlineLevel="0" collapsed="false">
      <c r="A3209" s="27"/>
      <c r="F3209" s="28"/>
      <c r="J3209" s="0" t="str">
        <f aca="false">IF(A3209="","",YEAR(A3209))</f>
        <v/>
      </c>
      <c r="K3209" s="0" t="str">
        <f aca="false">IF(A3209="","",MONTH(A3209))</f>
        <v/>
      </c>
      <c r="L3209" s="0" t="str">
        <f aca="false">IF(B3209="","",VALUE(LEFT(B3209,2)))</f>
        <v/>
      </c>
      <c r="M3209" s="0" t="str">
        <f aca="false">IF(A3209="","",IF(COUNTIFS($C$2:$C$5001,C3209,$J$2:$J$5001,J3209,$A$2:$A$5001,"&lt;"&amp;A3209)=0,1,0))</f>
        <v/>
      </c>
    </row>
    <row r="3210" customFormat="false" ht="15" hidden="false" customHeight="false" outlineLevel="0" collapsed="false">
      <c r="A3210" s="27"/>
      <c r="F3210" s="28"/>
      <c r="J3210" s="0" t="str">
        <f aca="false">IF(A3210="","",YEAR(A3210))</f>
        <v/>
      </c>
      <c r="K3210" s="0" t="str">
        <f aca="false">IF(A3210="","",MONTH(A3210))</f>
        <v/>
      </c>
      <c r="L3210" s="0" t="str">
        <f aca="false">IF(B3210="","",VALUE(LEFT(B3210,2)))</f>
        <v/>
      </c>
      <c r="M3210" s="0" t="str">
        <f aca="false">IF(A3210="","",IF(COUNTIFS($C$2:$C$5001,C3210,$J$2:$J$5001,J3210,$A$2:$A$5001,"&lt;"&amp;A3210)=0,1,0))</f>
        <v/>
      </c>
    </row>
    <row r="3211" customFormat="false" ht="15" hidden="false" customHeight="false" outlineLevel="0" collapsed="false">
      <c r="A3211" s="27"/>
      <c r="F3211" s="28"/>
      <c r="J3211" s="0" t="str">
        <f aca="false">IF(A3211="","",YEAR(A3211))</f>
        <v/>
      </c>
      <c r="K3211" s="0" t="str">
        <f aca="false">IF(A3211="","",MONTH(A3211))</f>
        <v/>
      </c>
      <c r="L3211" s="0" t="str">
        <f aca="false">IF(B3211="","",VALUE(LEFT(B3211,2)))</f>
        <v/>
      </c>
      <c r="M3211" s="0" t="str">
        <f aca="false">IF(A3211="","",IF(COUNTIFS($C$2:$C$5001,C3211,$J$2:$J$5001,J3211,$A$2:$A$5001,"&lt;"&amp;A3211)=0,1,0))</f>
        <v/>
      </c>
    </row>
    <row r="3212" customFormat="false" ht="15" hidden="false" customHeight="false" outlineLevel="0" collapsed="false">
      <c r="A3212" s="27"/>
      <c r="F3212" s="28"/>
      <c r="J3212" s="0" t="str">
        <f aca="false">IF(A3212="","",YEAR(A3212))</f>
        <v/>
      </c>
      <c r="K3212" s="0" t="str">
        <f aca="false">IF(A3212="","",MONTH(A3212))</f>
        <v/>
      </c>
      <c r="L3212" s="0" t="str">
        <f aca="false">IF(B3212="","",VALUE(LEFT(B3212,2)))</f>
        <v/>
      </c>
      <c r="M3212" s="0" t="str">
        <f aca="false">IF(A3212="","",IF(COUNTIFS($C$2:$C$5001,C3212,$J$2:$J$5001,J3212,$A$2:$A$5001,"&lt;"&amp;A3212)=0,1,0))</f>
        <v/>
      </c>
    </row>
    <row r="3213" customFormat="false" ht="15" hidden="false" customHeight="false" outlineLevel="0" collapsed="false">
      <c r="A3213" s="27"/>
      <c r="F3213" s="28"/>
      <c r="J3213" s="0" t="str">
        <f aca="false">IF(A3213="","",YEAR(A3213))</f>
        <v/>
      </c>
      <c r="K3213" s="0" t="str">
        <f aca="false">IF(A3213="","",MONTH(A3213))</f>
        <v/>
      </c>
      <c r="L3213" s="0" t="str">
        <f aca="false">IF(B3213="","",VALUE(LEFT(B3213,2)))</f>
        <v/>
      </c>
      <c r="M3213" s="0" t="str">
        <f aca="false">IF(A3213="","",IF(COUNTIFS($C$2:$C$5001,C3213,$J$2:$J$5001,J3213,$A$2:$A$5001,"&lt;"&amp;A3213)=0,1,0))</f>
        <v/>
      </c>
    </row>
    <row r="3214" customFormat="false" ht="15" hidden="false" customHeight="false" outlineLevel="0" collapsed="false">
      <c r="A3214" s="27"/>
      <c r="F3214" s="28"/>
      <c r="J3214" s="0" t="str">
        <f aca="false">IF(A3214="","",YEAR(A3214))</f>
        <v/>
      </c>
      <c r="K3214" s="0" t="str">
        <f aca="false">IF(A3214="","",MONTH(A3214))</f>
        <v/>
      </c>
      <c r="L3214" s="0" t="str">
        <f aca="false">IF(B3214="","",VALUE(LEFT(B3214,2)))</f>
        <v/>
      </c>
      <c r="M3214" s="0" t="str">
        <f aca="false">IF(A3214="","",IF(COUNTIFS($C$2:$C$5001,C3214,$J$2:$J$5001,J3214,$A$2:$A$5001,"&lt;"&amp;A3214)=0,1,0))</f>
        <v/>
      </c>
    </row>
    <row r="3215" customFormat="false" ht="15" hidden="false" customHeight="false" outlineLevel="0" collapsed="false">
      <c r="A3215" s="27"/>
      <c r="F3215" s="28"/>
      <c r="J3215" s="0" t="str">
        <f aca="false">IF(A3215="","",YEAR(A3215))</f>
        <v/>
      </c>
      <c r="K3215" s="0" t="str">
        <f aca="false">IF(A3215="","",MONTH(A3215))</f>
        <v/>
      </c>
      <c r="L3215" s="0" t="str">
        <f aca="false">IF(B3215="","",VALUE(LEFT(B3215,2)))</f>
        <v/>
      </c>
      <c r="M3215" s="0" t="str">
        <f aca="false">IF(A3215="","",IF(COUNTIFS($C$2:$C$5001,C3215,$J$2:$J$5001,J3215,$A$2:$A$5001,"&lt;"&amp;A3215)=0,1,0))</f>
        <v/>
      </c>
    </row>
    <row r="3216" customFormat="false" ht="15" hidden="false" customHeight="false" outlineLevel="0" collapsed="false">
      <c r="A3216" s="27"/>
      <c r="F3216" s="28"/>
      <c r="J3216" s="0" t="str">
        <f aca="false">IF(A3216="","",YEAR(A3216))</f>
        <v/>
      </c>
      <c r="K3216" s="0" t="str">
        <f aca="false">IF(A3216="","",MONTH(A3216))</f>
        <v/>
      </c>
      <c r="L3216" s="0" t="str">
        <f aca="false">IF(B3216="","",VALUE(LEFT(B3216,2)))</f>
        <v/>
      </c>
      <c r="M3216" s="0" t="str">
        <f aca="false">IF(A3216="","",IF(COUNTIFS($C$2:$C$5001,C3216,$J$2:$J$5001,J3216,$A$2:$A$5001,"&lt;"&amp;A3216)=0,1,0))</f>
        <v/>
      </c>
    </row>
    <row r="3217" customFormat="false" ht="15" hidden="false" customHeight="false" outlineLevel="0" collapsed="false">
      <c r="A3217" s="27"/>
      <c r="F3217" s="28"/>
      <c r="J3217" s="0" t="str">
        <f aca="false">IF(A3217="","",YEAR(A3217))</f>
        <v/>
      </c>
      <c r="K3217" s="0" t="str">
        <f aca="false">IF(A3217="","",MONTH(A3217))</f>
        <v/>
      </c>
      <c r="L3217" s="0" t="str">
        <f aca="false">IF(B3217="","",VALUE(LEFT(B3217,2)))</f>
        <v/>
      </c>
      <c r="M3217" s="0" t="str">
        <f aca="false">IF(A3217="","",IF(COUNTIFS($C$2:$C$5001,C3217,$J$2:$J$5001,J3217,$A$2:$A$5001,"&lt;"&amp;A3217)=0,1,0))</f>
        <v/>
      </c>
    </row>
    <row r="3218" customFormat="false" ht="15" hidden="false" customHeight="false" outlineLevel="0" collapsed="false">
      <c r="A3218" s="27"/>
      <c r="F3218" s="28"/>
      <c r="J3218" s="0" t="str">
        <f aca="false">IF(A3218="","",YEAR(A3218))</f>
        <v/>
      </c>
      <c r="K3218" s="0" t="str">
        <f aca="false">IF(A3218="","",MONTH(A3218))</f>
        <v/>
      </c>
      <c r="L3218" s="0" t="str">
        <f aca="false">IF(B3218="","",VALUE(LEFT(B3218,2)))</f>
        <v/>
      </c>
      <c r="M3218" s="0" t="str">
        <f aca="false">IF(A3218="","",IF(COUNTIFS($C$2:$C$5001,C3218,$J$2:$J$5001,J3218,$A$2:$A$5001,"&lt;"&amp;A3218)=0,1,0))</f>
        <v/>
      </c>
    </row>
    <row r="3219" customFormat="false" ht="15" hidden="false" customHeight="false" outlineLevel="0" collapsed="false">
      <c r="A3219" s="27"/>
      <c r="F3219" s="28"/>
      <c r="J3219" s="0" t="str">
        <f aca="false">IF(A3219="","",YEAR(A3219))</f>
        <v/>
      </c>
      <c r="K3219" s="0" t="str">
        <f aca="false">IF(A3219="","",MONTH(A3219))</f>
        <v/>
      </c>
      <c r="L3219" s="0" t="str">
        <f aca="false">IF(B3219="","",VALUE(LEFT(B3219,2)))</f>
        <v/>
      </c>
      <c r="M3219" s="0" t="str">
        <f aca="false">IF(A3219="","",IF(COUNTIFS($C$2:$C$5001,C3219,$J$2:$J$5001,J3219,$A$2:$A$5001,"&lt;"&amp;A3219)=0,1,0))</f>
        <v/>
      </c>
    </row>
    <row r="3220" customFormat="false" ht="15" hidden="false" customHeight="false" outlineLevel="0" collapsed="false">
      <c r="A3220" s="27"/>
      <c r="F3220" s="28"/>
      <c r="J3220" s="0" t="str">
        <f aca="false">IF(A3220="","",YEAR(A3220))</f>
        <v/>
      </c>
      <c r="K3220" s="0" t="str">
        <f aca="false">IF(A3220="","",MONTH(A3220))</f>
        <v/>
      </c>
      <c r="L3220" s="0" t="str">
        <f aca="false">IF(B3220="","",VALUE(LEFT(B3220,2)))</f>
        <v/>
      </c>
      <c r="M3220" s="0" t="str">
        <f aca="false">IF(A3220="","",IF(COUNTIFS($C$2:$C$5001,C3220,$J$2:$J$5001,J3220,$A$2:$A$5001,"&lt;"&amp;A3220)=0,1,0))</f>
        <v/>
      </c>
    </row>
    <row r="3221" customFormat="false" ht="15" hidden="false" customHeight="false" outlineLevel="0" collapsed="false">
      <c r="A3221" s="27"/>
      <c r="F3221" s="28"/>
      <c r="J3221" s="0" t="str">
        <f aca="false">IF(A3221="","",YEAR(A3221))</f>
        <v/>
      </c>
      <c r="K3221" s="0" t="str">
        <f aca="false">IF(A3221="","",MONTH(A3221))</f>
        <v/>
      </c>
      <c r="L3221" s="0" t="str">
        <f aca="false">IF(B3221="","",VALUE(LEFT(B3221,2)))</f>
        <v/>
      </c>
      <c r="M3221" s="0" t="str">
        <f aca="false">IF(A3221="","",IF(COUNTIFS($C$2:$C$5001,C3221,$J$2:$J$5001,J3221,$A$2:$A$5001,"&lt;"&amp;A3221)=0,1,0))</f>
        <v/>
      </c>
    </row>
    <row r="3222" customFormat="false" ht="15" hidden="false" customHeight="false" outlineLevel="0" collapsed="false">
      <c r="A3222" s="27"/>
      <c r="F3222" s="28"/>
      <c r="J3222" s="0" t="str">
        <f aca="false">IF(A3222="","",YEAR(A3222))</f>
        <v/>
      </c>
      <c r="K3222" s="0" t="str">
        <f aca="false">IF(A3222="","",MONTH(A3222))</f>
        <v/>
      </c>
      <c r="L3222" s="0" t="str">
        <f aca="false">IF(B3222="","",VALUE(LEFT(B3222,2)))</f>
        <v/>
      </c>
      <c r="M3222" s="0" t="str">
        <f aca="false">IF(A3222="","",IF(COUNTIFS($C$2:$C$5001,C3222,$J$2:$J$5001,J3222,$A$2:$A$5001,"&lt;"&amp;A3222)=0,1,0))</f>
        <v/>
      </c>
    </row>
    <row r="3223" customFormat="false" ht="15" hidden="false" customHeight="false" outlineLevel="0" collapsed="false">
      <c r="A3223" s="27"/>
      <c r="F3223" s="28"/>
      <c r="J3223" s="0" t="str">
        <f aca="false">IF(A3223="","",YEAR(A3223))</f>
        <v/>
      </c>
      <c r="K3223" s="0" t="str">
        <f aca="false">IF(A3223="","",MONTH(A3223))</f>
        <v/>
      </c>
      <c r="L3223" s="0" t="str">
        <f aca="false">IF(B3223="","",VALUE(LEFT(B3223,2)))</f>
        <v/>
      </c>
      <c r="M3223" s="0" t="str">
        <f aca="false">IF(A3223="","",IF(COUNTIFS($C$2:$C$5001,C3223,$J$2:$J$5001,J3223,$A$2:$A$5001,"&lt;"&amp;A3223)=0,1,0))</f>
        <v/>
      </c>
    </row>
    <row r="3224" customFormat="false" ht="15" hidden="false" customHeight="false" outlineLevel="0" collapsed="false">
      <c r="A3224" s="27"/>
      <c r="F3224" s="28"/>
      <c r="J3224" s="0" t="str">
        <f aca="false">IF(A3224="","",YEAR(A3224))</f>
        <v/>
      </c>
      <c r="K3224" s="0" t="str">
        <f aca="false">IF(A3224="","",MONTH(A3224))</f>
        <v/>
      </c>
      <c r="L3224" s="0" t="str">
        <f aca="false">IF(B3224="","",VALUE(LEFT(B3224,2)))</f>
        <v/>
      </c>
      <c r="M3224" s="0" t="str">
        <f aca="false">IF(A3224="","",IF(COUNTIFS($C$2:$C$5001,C3224,$J$2:$J$5001,J3224,$A$2:$A$5001,"&lt;"&amp;A3224)=0,1,0))</f>
        <v/>
      </c>
    </row>
    <row r="3225" customFormat="false" ht="15" hidden="false" customHeight="false" outlineLevel="0" collapsed="false">
      <c r="A3225" s="27"/>
      <c r="F3225" s="28"/>
      <c r="J3225" s="0" t="str">
        <f aca="false">IF(A3225="","",YEAR(A3225))</f>
        <v/>
      </c>
      <c r="K3225" s="0" t="str">
        <f aca="false">IF(A3225="","",MONTH(A3225))</f>
        <v/>
      </c>
      <c r="L3225" s="0" t="str">
        <f aca="false">IF(B3225="","",VALUE(LEFT(B3225,2)))</f>
        <v/>
      </c>
      <c r="M3225" s="0" t="str">
        <f aca="false">IF(A3225="","",IF(COUNTIFS($C$2:$C$5001,C3225,$J$2:$J$5001,J3225,$A$2:$A$5001,"&lt;"&amp;A3225)=0,1,0))</f>
        <v/>
      </c>
    </row>
    <row r="3226" customFormat="false" ht="15" hidden="false" customHeight="false" outlineLevel="0" collapsed="false">
      <c r="A3226" s="27"/>
      <c r="F3226" s="28"/>
      <c r="J3226" s="0" t="str">
        <f aca="false">IF(A3226="","",YEAR(A3226))</f>
        <v/>
      </c>
      <c r="K3226" s="0" t="str">
        <f aca="false">IF(A3226="","",MONTH(A3226))</f>
        <v/>
      </c>
      <c r="L3226" s="0" t="str">
        <f aca="false">IF(B3226="","",VALUE(LEFT(B3226,2)))</f>
        <v/>
      </c>
      <c r="M3226" s="0" t="str">
        <f aca="false">IF(A3226="","",IF(COUNTIFS($C$2:$C$5001,C3226,$J$2:$J$5001,J3226,$A$2:$A$5001,"&lt;"&amp;A3226)=0,1,0))</f>
        <v/>
      </c>
    </row>
    <row r="3227" customFormat="false" ht="15" hidden="false" customHeight="false" outlineLevel="0" collapsed="false">
      <c r="A3227" s="27"/>
      <c r="F3227" s="28"/>
      <c r="J3227" s="0" t="str">
        <f aca="false">IF(A3227="","",YEAR(A3227))</f>
        <v/>
      </c>
      <c r="K3227" s="0" t="str">
        <f aca="false">IF(A3227="","",MONTH(A3227))</f>
        <v/>
      </c>
      <c r="L3227" s="0" t="str">
        <f aca="false">IF(B3227="","",VALUE(LEFT(B3227,2)))</f>
        <v/>
      </c>
      <c r="M3227" s="0" t="str">
        <f aca="false">IF(A3227="","",IF(COUNTIFS($C$2:$C$5001,C3227,$J$2:$J$5001,J3227,$A$2:$A$5001,"&lt;"&amp;A3227)=0,1,0))</f>
        <v/>
      </c>
    </row>
    <row r="3228" customFormat="false" ht="15" hidden="false" customHeight="false" outlineLevel="0" collapsed="false">
      <c r="A3228" s="27"/>
      <c r="F3228" s="28"/>
      <c r="J3228" s="0" t="str">
        <f aca="false">IF(A3228="","",YEAR(A3228))</f>
        <v/>
      </c>
      <c r="K3228" s="0" t="str">
        <f aca="false">IF(A3228="","",MONTH(A3228))</f>
        <v/>
      </c>
      <c r="L3228" s="0" t="str">
        <f aca="false">IF(B3228="","",VALUE(LEFT(B3228,2)))</f>
        <v/>
      </c>
      <c r="M3228" s="0" t="str">
        <f aca="false">IF(A3228="","",IF(COUNTIFS($C$2:$C$5001,C3228,$J$2:$J$5001,J3228,$A$2:$A$5001,"&lt;"&amp;A3228)=0,1,0))</f>
        <v/>
      </c>
    </row>
    <row r="3229" customFormat="false" ht="15" hidden="false" customHeight="false" outlineLevel="0" collapsed="false">
      <c r="A3229" s="27"/>
      <c r="F3229" s="28"/>
      <c r="J3229" s="0" t="str">
        <f aca="false">IF(A3229="","",YEAR(A3229))</f>
        <v/>
      </c>
      <c r="K3229" s="0" t="str">
        <f aca="false">IF(A3229="","",MONTH(A3229))</f>
        <v/>
      </c>
      <c r="L3229" s="0" t="str">
        <f aca="false">IF(B3229="","",VALUE(LEFT(B3229,2)))</f>
        <v/>
      </c>
      <c r="M3229" s="0" t="str">
        <f aca="false">IF(A3229="","",IF(COUNTIFS($C$2:$C$5001,C3229,$J$2:$J$5001,J3229,$A$2:$A$5001,"&lt;"&amp;A3229)=0,1,0))</f>
        <v/>
      </c>
    </row>
    <row r="3230" customFormat="false" ht="15" hidden="false" customHeight="false" outlineLevel="0" collapsed="false">
      <c r="A3230" s="27"/>
      <c r="F3230" s="28"/>
      <c r="J3230" s="0" t="str">
        <f aca="false">IF(A3230="","",YEAR(A3230))</f>
        <v/>
      </c>
      <c r="K3230" s="0" t="str">
        <f aca="false">IF(A3230="","",MONTH(A3230))</f>
        <v/>
      </c>
      <c r="L3230" s="0" t="str">
        <f aca="false">IF(B3230="","",VALUE(LEFT(B3230,2)))</f>
        <v/>
      </c>
      <c r="M3230" s="0" t="str">
        <f aca="false">IF(A3230="","",IF(COUNTIFS($C$2:$C$5001,C3230,$J$2:$J$5001,J3230,$A$2:$A$5001,"&lt;"&amp;A3230)=0,1,0))</f>
        <v/>
      </c>
    </row>
    <row r="3231" customFormat="false" ht="15" hidden="false" customHeight="false" outlineLevel="0" collapsed="false">
      <c r="A3231" s="27"/>
      <c r="F3231" s="28"/>
      <c r="J3231" s="0" t="str">
        <f aca="false">IF(A3231="","",YEAR(A3231))</f>
        <v/>
      </c>
      <c r="K3231" s="0" t="str">
        <f aca="false">IF(A3231="","",MONTH(A3231))</f>
        <v/>
      </c>
      <c r="L3231" s="0" t="str">
        <f aca="false">IF(B3231="","",VALUE(LEFT(B3231,2)))</f>
        <v/>
      </c>
      <c r="M3231" s="0" t="str">
        <f aca="false">IF(A3231="","",IF(COUNTIFS($C$2:$C$5001,C3231,$J$2:$J$5001,J3231,$A$2:$A$5001,"&lt;"&amp;A3231)=0,1,0))</f>
        <v/>
      </c>
    </row>
    <row r="3232" customFormat="false" ht="15" hidden="false" customHeight="false" outlineLevel="0" collapsed="false">
      <c r="A3232" s="27"/>
      <c r="F3232" s="28"/>
      <c r="J3232" s="0" t="str">
        <f aca="false">IF(A3232="","",YEAR(A3232))</f>
        <v/>
      </c>
      <c r="K3232" s="0" t="str">
        <f aca="false">IF(A3232="","",MONTH(A3232))</f>
        <v/>
      </c>
      <c r="L3232" s="0" t="str">
        <f aca="false">IF(B3232="","",VALUE(LEFT(B3232,2)))</f>
        <v/>
      </c>
      <c r="M3232" s="0" t="str">
        <f aca="false">IF(A3232="","",IF(COUNTIFS($C$2:$C$5001,C3232,$J$2:$J$5001,J3232,$A$2:$A$5001,"&lt;"&amp;A3232)=0,1,0))</f>
        <v/>
      </c>
    </row>
    <row r="3233" customFormat="false" ht="15" hidden="false" customHeight="false" outlineLevel="0" collapsed="false">
      <c r="A3233" s="27"/>
      <c r="F3233" s="28"/>
      <c r="J3233" s="0" t="str">
        <f aca="false">IF(A3233="","",YEAR(A3233))</f>
        <v/>
      </c>
      <c r="K3233" s="0" t="str">
        <f aca="false">IF(A3233="","",MONTH(A3233))</f>
        <v/>
      </c>
      <c r="L3233" s="0" t="str">
        <f aca="false">IF(B3233="","",VALUE(LEFT(B3233,2)))</f>
        <v/>
      </c>
      <c r="M3233" s="0" t="str">
        <f aca="false">IF(A3233="","",IF(COUNTIFS($C$2:$C$5001,C3233,$J$2:$J$5001,J3233,$A$2:$A$5001,"&lt;"&amp;A3233)=0,1,0))</f>
        <v/>
      </c>
    </row>
    <row r="3234" customFormat="false" ht="15" hidden="false" customHeight="false" outlineLevel="0" collapsed="false">
      <c r="A3234" s="27"/>
      <c r="F3234" s="28"/>
      <c r="J3234" s="0" t="str">
        <f aca="false">IF(A3234="","",YEAR(A3234))</f>
        <v/>
      </c>
      <c r="K3234" s="0" t="str">
        <f aca="false">IF(A3234="","",MONTH(A3234))</f>
        <v/>
      </c>
      <c r="L3234" s="0" t="str">
        <f aca="false">IF(B3234="","",VALUE(LEFT(B3234,2)))</f>
        <v/>
      </c>
      <c r="M3234" s="0" t="str">
        <f aca="false">IF(A3234="","",IF(COUNTIFS($C$2:$C$5001,C3234,$J$2:$J$5001,J3234,$A$2:$A$5001,"&lt;"&amp;A3234)=0,1,0))</f>
        <v/>
      </c>
    </row>
    <row r="3235" customFormat="false" ht="15" hidden="false" customHeight="false" outlineLevel="0" collapsed="false">
      <c r="A3235" s="27"/>
      <c r="F3235" s="28"/>
      <c r="J3235" s="0" t="str">
        <f aca="false">IF(A3235="","",YEAR(A3235))</f>
        <v/>
      </c>
      <c r="K3235" s="0" t="str">
        <f aca="false">IF(A3235="","",MONTH(A3235))</f>
        <v/>
      </c>
      <c r="L3235" s="0" t="str">
        <f aca="false">IF(B3235="","",VALUE(LEFT(B3235,2)))</f>
        <v/>
      </c>
      <c r="M3235" s="0" t="str">
        <f aca="false">IF(A3235="","",IF(COUNTIFS($C$2:$C$5001,C3235,$J$2:$J$5001,J3235,$A$2:$A$5001,"&lt;"&amp;A3235)=0,1,0))</f>
        <v/>
      </c>
    </row>
    <row r="3236" customFormat="false" ht="15" hidden="false" customHeight="false" outlineLevel="0" collapsed="false">
      <c r="A3236" s="27"/>
      <c r="F3236" s="28"/>
      <c r="J3236" s="0" t="str">
        <f aca="false">IF(A3236="","",YEAR(A3236))</f>
        <v/>
      </c>
      <c r="K3236" s="0" t="str">
        <f aca="false">IF(A3236="","",MONTH(A3236))</f>
        <v/>
      </c>
      <c r="L3236" s="0" t="str">
        <f aca="false">IF(B3236="","",VALUE(LEFT(B3236,2)))</f>
        <v/>
      </c>
      <c r="M3236" s="0" t="str">
        <f aca="false">IF(A3236="","",IF(COUNTIFS($C$2:$C$5001,C3236,$J$2:$J$5001,J3236,$A$2:$A$5001,"&lt;"&amp;A3236)=0,1,0))</f>
        <v/>
      </c>
    </row>
    <row r="3237" customFormat="false" ht="15" hidden="false" customHeight="false" outlineLevel="0" collapsed="false">
      <c r="A3237" s="27"/>
      <c r="F3237" s="28"/>
      <c r="J3237" s="0" t="str">
        <f aca="false">IF(A3237="","",YEAR(A3237))</f>
        <v/>
      </c>
      <c r="K3237" s="0" t="str">
        <f aca="false">IF(A3237="","",MONTH(A3237))</f>
        <v/>
      </c>
      <c r="L3237" s="0" t="str">
        <f aca="false">IF(B3237="","",VALUE(LEFT(B3237,2)))</f>
        <v/>
      </c>
      <c r="M3237" s="0" t="str">
        <f aca="false">IF(A3237="","",IF(COUNTIFS($C$2:$C$5001,C3237,$J$2:$J$5001,J3237,$A$2:$A$5001,"&lt;"&amp;A3237)=0,1,0))</f>
        <v/>
      </c>
    </row>
    <row r="3238" customFormat="false" ht="15" hidden="false" customHeight="false" outlineLevel="0" collapsed="false">
      <c r="A3238" s="27"/>
      <c r="F3238" s="28"/>
      <c r="J3238" s="0" t="str">
        <f aca="false">IF(A3238="","",YEAR(A3238))</f>
        <v/>
      </c>
      <c r="K3238" s="0" t="str">
        <f aca="false">IF(A3238="","",MONTH(A3238))</f>
        <v/>
      </c>
      <c r="L3238" s="0" t="str">
        <f aca="false">IF(B3238="","",VALUE(LEFT(B3238,2)))</f>
        <v/>
      </c>
      <c r="M3238" s="0" t="str">
        <f aca="false">IF(A3238="","",IF(COUNTIFS($C$2:$C$5001,C3238,$J$2:$J$5001,J3238,$A$2:$A$5001,"&lt;"&amp;A3238)=0,1,0))</f>
        <v/>
      </c>
    </row>
    <row r="3239" customFormat="false" ht="15" hidden="false" customHeight="false" outlineLevel="0" collapsed="false">
      <c r="A3239" s="27"/>
      <c r="F3239" s="28"/>
      <c r="J3239" s="0" t="str">
        <f aca="false">IF(A3239="","",YEAR(A3239))</f>
        <v/>
      </c>
      <c r="K3239" s="0" t="str">
        <f aca="false">IF(A3239="","",MONTH(A3239))</f>
        <v/>
      </c>
      <c r="L3239" s="0" t="str">
        <f aca="false">IF(B3239="","",VALUE(LEFT(B3239,2)))</f>
        <v/>
      </c>
      <c r="M3239" s="0" t="str">
        <f aca="false">IF(A3239="","",IF(COUNTIFS($C$2:$C$5001,C3239,$J$2:$J$5001,J3239,$A$2:$A$5001,"&lt;"&amp;A3239)=0,1,0))</f>
        <v/>
      </c>
    </row>
    <row r="3240" customFormat="false" ht="15" hidden="false" customHeight="false" outlineLevel="0" collapsed="false">
      <c r="A3240" s="27"/>
      <c r="F3240" s="28"/>
      <c r="J3240" s="0" t="str">
        <f aca="false">IF(A3240="","",YEAR(A3240))</f>
        <v/>
      </c>
      <c r="K3240" s="0" t="str">
        <f aca="false">IF(A3240="","",MONTH(A3240))</f>
        <v/>
      </c>
      <c r="L3240" s="0" t="str">
        <f aca="false">IF(B3240="","",VALUE(LEFT(B3240,2)))</f>
        <v/>
      </c>
      <c r="M3240" s="0" t="str">
        <f aca="false">IF(A3240="","",IF(COUNTIFS($C$2:$C$5001,C3240,$J$2:$J$5001,J3240,$A$2:$A$5001,"&lt;"&amp;A3240)=0,1,0))</f>
        <v/>
      </c>
    </row>
    <row r="3241" customFormat="false" ht="15" hidden="false" customHeight="false" outlineLevel="0" collapsed="false">
      <c r="A3241" s="27"/>
      <c r="F3241" s="28"/>
      <c r="J3241" s="0" t="str">
        <f aca="false">IF(A3241="","",YEAR(A3241))</f>
        <v/>
      </c>
      <c r="K3241" s="0" t="str">
        <f aca="false">IF(A3241="","",MONTH(A3241))</f>
        <v/>
      </c>
      <c r="L3241" s="0" t="str">
        <f aca="false">IF(B3241="","",VALUE(LEFT(B3241,2)))</f>
        <v/>
      </c>
      <c r="M3241" s="0" t="str">
        <f aca="false">IF(A3241="","",IF(COUNTIFS($C$2:$C$5001,C3241,$J$2:$J$5001,J3241,$A$2:$A$5001,"&lt;"&amp;A3241)=0,1,0))</f>
        <v/>
      </c>
    </row>
    <row r="3242" customFormat="false" ht="15" hidden="false" customHeight="false" outlineLevel="0" collapsed="false">
      <c r="A3242" s="27"/>
      <c r="F3242" s="28"/>
      <c r="J3242" s="0" t="str">
        <f aca="false">IF(A3242="","",YEAR(A3242))</f>
        <v/>
      </c>
      <c r="K3242" s="0" t="str">
        <f aca="false">IF(A3242="","",MONTH(A3242))</f>
        <v/>
      </c>
      <c r="L3242" s="0" t="str">
        <f aca="false">IF(B3242="","",VALUE(LEFT(B3242,2)))</f>
        <v/>
      </c>
      <c r="M3242" s="0" t="str">
        <f aca="false">IF(A3242="","",IF(COUNTIFS($C$2:$C$5001,C3242,$J$2:$J$5001,J3242,$A$2:$A$5001,"&lt;"&amp;A3242)=0,1,0))</f>
        <v/>
      </c>
    </row>
    <row r="3243" customFormat="false" ht="15" hidden="false" customHeight="false" outlineLevel="0" collapsed="false">
      <c r="A3243" s="27"/>
      <c r="F3243" s="28"/>
      <c r="J3243" s="0" t="str">
        <f aca="false">IF(A3243="","",YEAR(A3243))</f>
        <v/>
      </c>
      <c r="K3243" s="0" t="str">
        <f aca="false">IF(A3243="","",MONTH(A3243))</f>
        <v/>
      </c>
      <c r="L3243" s="0" t="str">
        <f aca="false">IF(B3243="","",VALUE(LEFT(B3243,2)))</f>
        <v/>
      </c>
      <c r="M3243" s="0" t="str">
        <f aca="false">IF(A3243="","",IF(COUNTIFS($C$2:$C$5001,C3243,$J$2:$J$5001,J3243,$A$2:$A$5001,"&lt;"&amp;A3243)=0,1,0))</f>
        <v/>
      </c>
    </row>
    <row r="3244" customFormat="false" ht="15" hidden="false" customHeight="false" outlineLevel="0" collapsed="false">
      <c r="A3244" s="27"/>
      <c r="F3244" s="28"/>
      <c r="J3244" s="0" t="str">
        <f aca="false">IF(A3244="","",YEAR(A3244))</f>
        <v/>
      </c>
      <c r="K3244" s="0" t="str">
        <f aca="false">IF(A3244="","",MONTH(A3244))</f>
        <v/>
      </c>
      <c r="L3244" s="0" t="str">
        <f aca="false">IF(B3244="","",VALUE(LEFT(B3244,2)))</f>
        <v/>
      </c>
      <c r="M3244" s="0" t="str">
        <f aca="false">IF(A3244="","",IF(COUNTIFS($C$2:$C$5001,C3244,$J$2:$J$5001,J3244,$A$2:$A$5001,"&lt;"&amp;A3244)=0,1,0))</f>
        <v/>
      </c>
    </row>
    <row r="3245" customFormat="false" ht="15" hidden="false" customHeight="false" outlineLevel="0" collapsed="false">
      <c r="A3245" s="27"/>
      <c r="F3245" s="28"/>
      <c r="J3245" s="0" t="str">
        <f aca="false">IF(A3245="","",YEAR(A3245))</f>
        <v/>
      </c>
      <c r="K3245" s="0" t="str">
        <f aca="false">IF(A3245="","",MONTH(A3245))</f>
        <v/>
      </c>
      <c r="L3245" s="0" t="str">
        <f aca="false">IF(B3245="","",VALUE(LEFT(B3245,2)))</f>
        <v/>
      </c>
      <c r="M3245" s="0" t="str">
        <f aca="false">IF(A3245="","",IF(COUNTIFS($C$2:$C$5001,C3245,$J$2:$J$5001,J3245,$A$2:$A$5001,"&lt;"&amp;A3245)=0,1,0))</f>
        <v/>
      </c>
    </row>
    <row r="3246" customFormat="false" ht="15" hidden="false" customHeight="false" outlineLevel="0" collapsed="false">
      <c r="A3246" s="27"/>
      <c r="F3246" s="28"/>
      <c r="J3246" s="0" t="str">
        <f aca="false">IF(A3246="","",YEAR(A3246))</f>
        <v/>
      </c>
      <c r="K3246" s="0" t="str">
        <f aca="false">IF(A3246="","",MONTH(A3246))</f>
        <v/>
      </c>
      <c r="L3246" s="0" t="str">
        <f aca="false">IF(B3246="","",VALUE(LEFT(B3246,2)))</f>
        <v/>
      </c>
      <c r="M3246" s="0" t="str">
        <f aca="false">IF(A3246="","",IF(COUNTIFS($C$2:$C$5001,C3246,$J$2:$J$5001,J3246,$A$2:$A$5001,"&lt;"&amp;A3246)=0,1,0))</f>
        <v/>
      </c>
    </row>
    <row r="3247" customFormat="false" ht="15" hidden="false" customHeight="false" outlineLevel="0" collapsed="false">
      <c r="A3247" s="27"/>
      <c r="F3247" s="28"/>
      <c r="J3247" s="0" t="str">
        <f aca="false">IF(A3247="","",YEAR(A3247))</f>
        <v/>
      </c>
      <c r="K3247" s="0" t="str">
        <f aca="false">IF(A3247="","",MONTH(A3247))</f>
        <v/>
      </c>
      <c r="L3247" s="0" t="str">
        <f aca="false">IF(B3247="","",VALUE(LEFT(B3247,2)))</f>
        <v/>
      </c>
      <c r="M3247" s="0" t="str">
        <f aca="false">IF(A3247="","",IF(COUNTIFS($C$2:$C$5001,C3247,$J$2:$J$5001,J3247,$A$2:$A$5001,"&lt;"&amp;A3247)=0,1,0))</f>
        <v/>
      </c>
    </row>
    <row r="3248" customFormat="false" ht="15" hidden="false" customHeight="false" outlineLevel="0" collapsed="false">
      <c r="A3248" s="27"/>
      <c r="F3248" s="28"/>
      <c r="J3248" s="0" t="str">
        <f aca="false">IF(A3248="","",YEAR(A3248))</f>
        <v/>
      </c>
      <c r="K3248" s="0" t="str">
        <f aca="false">IF(A3248="","",MONTH(A3248))</f>
        <v/>
      </c>
      <c r="L3248" s="0" t="str">
        <f aca="false">IF(B3248="","",VALUE(LEFT(B3248,2)))</f>
        <v/>
      </c>
      <c r="M3248" s="0" t="str">
        <f aca="false">IF(A3248="","",IF(COUNTIFS($C$2:$C$5001,C3248,$J$2:$J$5001,J3248,$A$2:$A$5001,"&lt;"&amp;A3248)=0,1,0))</f>
        <v/>
      </c>
    </row>
    <row r="3249" customFormat="false" ht="15" hidden="false" customHeight="false" outlineLevel="0" collapsed="false">
      <c r="A3249" s="27"/>
      <c r="F3249" s="28"/>
      <c r="J3249" s="0" t="str">
        <f aca="false">IF(A3249="","",YEAR(A3249))</f>
        <v/>
      </c>
      <c r="K3249" s="0" t="str">
        <f aca="false">IF(A3249="","",MONTH(A3249))</f>
        <v/>
      </c>
      <c r="L3249" s="0" t="str">
        <f aca="false">IF(B3249="","",VALUE(LEFT(B3249,2)))</f>
        <v/>
      </c>
      <c r="M3249" s="0" t="str">
        <f aca="false">IF(A3249="","",IF(COUNTIFS($C$2:$C$5001,C3249,$J$2:$J$5001,J3249,$A$2:$A$5001,"&lt;"&amp;A3249)=0,1,0))</f>
        <v/>
      </c>
    </row>
    <row r="3250" customFormat="false" ht="15" hidden="false" customHeight="false" outlineLevel="0" collapsed="false">
      <c r="A3250" s="27"/>
      <c r="F3250" s="28"/>
      <c r="J3250" s="0" t="str">
        <f aca="false">IF(A3250="","",YEAR(A3250))</f>
        <v/>
      </c>
      <c r="K3250" s="0" t="str">
        <f aca="false">IF(A3250="","",MONTH(A3250))</f>
        <v/>
      </c>
      <c r="L3250" s="0" t="str">
        <f aca="false">IF(B3250="","",VALUE(LEFT(B3250,2)))</f>
        <v/>
      </c>
      <c r="M3250" s="0" t="str">
        <f aca="false">IF(A3250="","",IF(COUNTIFS($C$2:$C$5001,C3250,$J$2:$J$5001,J3250,$A$2:$A$5001,"&lt;"&amp;A3250)=0,1,0))</f>
        <v/>
      </c>
    </row>
    <row r="3251" customFormat="false" ht="15" hidden="false" customHeight="false" outlineLevel="0" collapsed="false">
      <c r="A3251" s="27"/>
      <c r="F3251" s="28"/>
      <c r="J3251" s="0" t="str">
        <f aca="false">IF(A3251="","",YEAR(A3251))</f>
        <v/>
      </c>
      <c r="K3251" s="0" t="str">
        <f aca="false">IF(A3251="","",MONTH(A3251))</f>
        <v/>
      </c>
      <c r="L3251" s="0" t="str">
        <f aca="false">IF(B3251="","",VALUE(LEFT(B3251,2)))</f>
        <v/>
      </c>
      <c r="M3251" s="0" t="str">
        <f aca="false">IF(A3251="","",IF(COUNTIFS($C$2:$C$5001,C3251,$J$2:$J$5001,J3251,$A$2:$A$5001,"&lt;"&amp;A3251)=0,1,0))</f>
        <v/>
      </c>
    </row>
    <row r="3252" customFormat="false" ht="15" hidden="false" customHeight="false" outlineLevel="0" collapsed="false">
      <c r="A3252" s="27"/>
      <c r="F3252" s="28"/>
      <c r="J3252" s="0" t="str">
        <f aca="false">IF(A3252="","",YEAR(A3252))</f>
        <v/>
      </c>
      <c r="K3252" s="0" t="str">
        <f aca="false">IF(A3252="","",MONTH(A3252))</f>
        <v/>
      </c>
      <c r="L3252" s="0" t="str">
        <f aca="false">IF(B3252="","",VALUE(LEFT(B3252,2)))</f>
        <v/>
      </c>
      <c r="M3252" s="0" t="str">
        <f aca="false">IF(A3252="","",IF(COUNTIFS($C$2:$C$5001,C3252,$J$2:$J$5001,J3252,$A$2:$A$5001,"&lt;"&amp;A3252)=0,1,0))</f>
        <v/>
      </c>
    </row>
    <row r="3253" customFormat="false" ht="15" hidden="false" customHeight="false" outlineLevel="0" collapsed="false">
      <c r="A3253" s="27"/>
      <c r="F3253" s="28"/>
      <c r="J3253" s="0" t="str">
        <f aca="false">IF(A3253="","",YEAR(A3253))</f>
        <v/>
      </c>
      <c r="K3253" s="0" t="str">
        <f aca="false">IF(A3253="","",MONTH(A3253))</f>
        <v/>
      </c>
      <c r="L3253" s="0" t="str">
        <f aca="false">IF(B3253="","",VALUE(LEFT(B3253,2)))</f>
        <v/>
      </c>
      <c r="M3253" s="0" t="str">
        <f aca="false">IF(A3253="","",IF(COUNTIFS($C$2:$C$5001,C3253,$J$2:$J$5001,J3253,$A$2:$A$5001,"&lt;"&amp;A3253)=0,1,0))</f>
        <v/>
      </c>
    </row>
    <row r="3254" customFormat="false" ht="15" hidden="false" customHeight="false" outlineLevel="0" collapsed="false">
      <c r="A3254" s="27"/>
      <c r="F3254" s="28"/>
      <c r="J3254" s="0" t="str">
        <f aca="false">IF(A3254="","",YEAR(A3254))</f>
        <v/>
      </c>
      <c r="K3254" s="0" t="str">
        <f aca="false">IF(A3254="","",MONTH(A3254))</f>
        <v/>
      </c>
      <c r="L3254" s="0" t="str">
        <f aca="false">IF(B3254="","",VALUE(LEFT(B3254,2)))</f>
        <v/>
      </c>
      <c r="M3254" s="0" t="str">
        <f aca="false">IF(A3254="","",IF(COUNTIFS($C$2:$C$5001,C3254,$J$2:$J$5001,J3254,$A$2:$A$5001,"&lt;"&amp;A3254)=0,1,0))</f>
        <v/>
      </c>
    </row>
    <row r="3255" customFormat="false" ht="15" hidden="false" customHeight="false" outlineLevel="0" collapsed="false">
      <c r="A3255" s="27"/>
      <c r="F3255" s="28"/>
      <c r="J3255" s="0" t="str">
        <f aca="false">IF(A3255="","",YEAR(A3255))</f>
        <v/>
      </c>
      <c r="K3255" s="0" t="str">
        <f aca="false">IF(A3255="","",MONTH(A3255))</f>
        <v/>
      </c>
      <c r="L3255" s="0" t="str">
        <f aca="false">IF(B3255="","",VALUE(LEFT(B3255,2)))</f>
        <v/>
      </c>
      <c r="M3255" s="0" t="str">
        <f aca="false">IF(A3255="","",IF(COUNTIFS($C$2:$C$5001,C3255,$J$2:$J$5001,J3255,$A$2:$A$5001,"&lt;"&amp;A3255)=0,1,0))</f>
        <v/>
      </c>
    </row>
    <row r="3256" customFormat="false" ht="15" hidden="false" customHeight="false" outlineLevel="0" collapsed="false">
      <c r="A3256" s="27"/>
      <c r="F3256" s="28"/>
      <c r="J3256" s="0" t="str">
        <f aca="false">IF(A3256="","",YEAR(A3256))</f>
        <v/>
      </c>
      <c r="K3256" s="0" t="str">
        <f aca="false">IF(A3256="","",MONTH(A3256))</f>
        <v/>
      </c>
      <c r="L3256" s="0" t="str">
        <f aca="false">IF(B3256="","",VALUE(LEFT(B3256,2)))</f>
        <v/>
      </c>
      <c r="M3256" s="0" t="str">
        <f aca="false">IF(A3256="","",IF(COUNTIFS($C$2:$C$5001,C3256,$J$2:$J$5001,J3256,$A$2:$A$5001,"&lt;"&amp;A3256)=0,1,0))</f>
        <v/>
      </c>
    </row>
    <row r="3257" customFormat="false" ht="15" hidden="false" customHeight="false" outlineLevel="0" collapsed="false">
      <c r="A3257" s="27"/>
      <c r="F3257" s="28"/>
      <c r="J3257" s="0" t="str">
        <f aca="false">IF(A3257="","",YEAR(A3257))</f>
        <v/>
      </c>
      <c r="K3257" s="0" t="str">
        <f aca="false">IF(A3257="","",MONTH(A3257))</f>
        <v/>
      </c>
      <c r="L3257" s="0" t="str">
        <f aca="false">IF(B3257="","",VALUE(LEFT(B3257,2)))</f>
        <v/>
      </c>
      <c r="M3257" s="0" t="str">
        <f aca="false">IF(A3257="","",IF(COUNTIFS($C$2:$C$5001,C3257,$J$2:$J$5001,J3257,$A$2:$A$5001,"&lt;"&amp;A3257)=0,1,0))</f>
        <v/>
      </c>
    </row>
    <row r="3258" customFormat="false" ht="15" hidden="false" customHeight="false" outlineLevel="0" collapsed="false">
      <c r="A3258" s="27"/>
      <c r="F3258" s="28"/>
      <c r="J3258" s="0" t="str">
        <f aca="false">IF(A3258="","",YEAR(A3258))</f>
        <v/>
      </c>
      <c r="K3258" s="0" t="str">
        <f aca="false">IF(A3258="","",MONTH(A3258))</f>
        <v/>
      </c>
      <c r="L3258" s="0" t="str">
        <f aca="false">IF(B3258="","",VALUE(LEFT(B3258,2)))</f>
        <v/>
      </c>
      <c r="M3258" s="0" t="str">
        <f aca="false">IF(A3258="","",IF(COUNTIFS($C$2:$C$5001,C3258,$J$2:$J$5001,J3258,$A$2:$A$5001,"&lt;"&amp;A3258)=0,1,0))</f>
        <v/>
      </c>
    </row>
    <row r="3259" customFormat="false" ht="15" hidden="false" customHeight="false" outlineLevel="0" collapsed="false">
      <c r="A3259" s="27"/>
      <c r="F3259" s="28"/>
      <c r="J3259" s="0" t="str">
        <f aca="false">IF(A3259="","",YEAR(A3259))</f>
        <v/>
      </c>
      <c r="K3259" s="0" t="str">
        <f aca="false">IF(A3259="","",MONTH(A3259))</f>
        <v/>
      </c>
      <c r="L3259" s="0" t="str">
        <f aca="false">IF(B3259="","",VALUE(LEFT(B3259,2)))</f>
        <v/>
      </c>
      <c r="M3259" s="0" t="str">
        <f aca="false">IF(A3259="","",IF(COUNTIFS($C$2:$C$5001,C3259,$J$2:$J$5001,J3259,$A$2:$A$5001,"&lt;"&amp;A3259)=0,1,0))</f>
        <v/>
      </c>
    </row>
    <row r="3260" customFormat="false" ht="15" hidden="false" customHeight="false" outlineLevel="0" collapsed="false">
      <c r="A3260" s="27"/>
      <c r="F3260" s="28"/>
      <c r="J3260" s="0" t="str">
        <f aca="false">IF(A3260="","",YEAR(A3260))</f>
        <v/>
      </c>
      <c r="K3260" s="0" t="str">
        <f aca="false">IF(A3260="","",MONTH(A3260))</f>
        <v/>
      </c>
      <c r="L3260" s="0" t="str">
        <f aca="false">IF(B3260="","",VALUE(LEFT(B3260,2)))</f>
        <v/>
      </c>
      <c r="M3260" s="0" t="str">
        <f aca="false">IF(A3260="","",IF(COUNTIFS($C$2:$C$5001,C3260,$J$2:$J$5001,J3260,$A$2:$A$5001,"&lt;"&amp;A3260)=0,1,0))</f>
        <v/>
      </c>
    </row>
    <row r="3261" customFormat="false" ht="15" hidden="false" customHeight="false" outlineLevel="0" collapsed="false">
      <c r="A3261" s="27"/>
      <c r="F3261" s="28"/>
      <c r="J3261" s="0" t="str">
        <f aca="false">IF(A3261="","",YEAR(A3261))</f>
        <v/>
      </c>
      <c r="K3261" s="0" t="str">
        <f aca="false">IF(A3261="","",MONTH(A3261))</f>
        <v/>
      </c>
      <c r="L3261" s="0" t="str">
        <f aca="false">IF(B3261="","",VALUE(LEFT(B3261,2)))</f>
        <v/>
      </c>
      <c r="M3261" s="0" t="str">
        <f aca="false">IF(A3261="","",IF(COUNTIFS($C$2:$C$5001,C3261,$J$2:$J$5001,J3261,$A$2:$A$5001,"&lt;"&amp;A3261)=0,1,0))</f>
        <v/>
      </c>
    </row>
    <row r="3262" customFormat="false" ht="15" hidden="false" customHeight="false" outlineLevel="0" collapsed="false">
      <c r="A3262" s="27"/>
      <c r="F3262" s="28"/>
      <c r="J3262" s="0" t="str">
        <f aca="false">IF(A3262="","",YEAR(A3262))</f>
        <v/>
      </c>
      <c r="K3262" s="0" t="str">
        <f aca="false">IF(A3262="","",MONTH(A3262))</f>
        <v/>
      </c>
      <c r="L3262" s="0" t="str">
        <f aca="false">IF(B3262="","",VALUE(LEFT(B3262,2)))</f>
        <v/>
      </c>
      <c r="M3262" s="0" t="str">
        <f aca="false">IF(A3262="","",IF(COUNTIFS($C$2:$C$5001,C3262,$J$2:$J$5001,J3262,$A$2:$A$5001,"&lt;"&amp;A3262)=0,1,0))</f>
        <v/>
      </c>
    </row>
    <row r="3263" customFormat="false" ht="15" hidden="false" customHeight="false" outlineLevel="0" collapsed="false">
      <c r="A3263" s="27"/>
      <c r="F3263" s="28"/>
      <c r="J3263" s="0" t="str">
        <f aca="false">IF(A3263="","",YEAR(A3263))</f>
        <v/>
      </c>
      <c r="K3263" s="0" t="str">
        <f aca="false">IF(A3263="","",MONTH(A3263))</f>
        <v/>
      </c>
      <c r="L3263" s="0" t="str">
        <f aca="false">IF(B3263="","",VALUE(LEFT(B3263,2)))</f>
        <v/>
      </c>
      <c r="M3263" s="0" t="str">
        <f aca="false">IF(A3263="","",IF(COUNTIFS($C$2:$C$5001,C3263,$J$2:$J$5001,J3263,$A$2:$A$5001,"&lt;"&amp;A3263)=0,1,0))</f>
        <v/>
      </c>
    </row>
    <row r="3264" customFormat="false" ht="15" hidden="false" customHeight="false" outlineLevel="0" collapsed="false">
      <c r="A3264" s="27"/>
      <c r="F3264" s="28"/>
      <c r="J3264" s="0" t="str">
        <f aca="false">IF(A3264="","",YEAR(A3264))</f>
        <v/>
      </c>
      <c r="K3264" s="0" t="str">
        <f aca="false">IF(A3264="","",MONTH(A3264))</f>
        <v/>
      </c>
      <c r="L3264" s="0" t="str">
        <f aca="false">IF(B3264="","",VALUE(LEFT(B3264,2)))</f>
        <v/>
      </c>
      <c r="M3264" s="0" t="str">
        <f aca="false">IF(A3264="","",IF(COUNTIFS($C$2:$C$5001,C3264,$J$2:$J$5001,J3264,$A$2:$A$5001,"&lt;"&amp;A3264)=0,1,0))</f>
        <v/>
      </c>
    </row>
    <row r="3265" customFormat="false" ht="15" hidden="false" customHeight="false" outlineLevel="0" collapsed="false">
      <c r="A3265" s="27"/>
      <c r="F3265" s="28"/>
      <c r="J3265" s="0" t="str">
        <f aca="false">IF(A3265="","",YEAR(A3265))</f>
        <v/>
      </c>
      <c r="K3265" s="0" t="str">
        <f aca="false">IF(A3265="","",MONTH(A3265))</f>
        <v/>
      </c>
      <c r="L3265" s="0" t="str">
        <f aca="false">IF(B3265="","",VALUE(LEFT(B3265,2)))</f>
        <v/>
      </c>
      <c r="M3265" s="0" t="str">
        <f aca="false">IF(A3265="","",IF(COUNTIFS($C$2:$C$5001,C3265,$J$2:$J$5001,J3265,$A$2:$A$5001,"&lt;"&amp;A3265)=0,1,0))</f>
        <v/>
      </c>
    </row>
    <row r="3266" customFormat="false" ht="15" hidden="false" customHeight="false" outlineLevel="0" collapsed="false">
      <c r="A3266" s="27"/>
      <c r="F3266" s="28"/>
      <c r="J3266" s="0" t="str">
        <f aca="false">IF(A3266="","",YEAR(A3266))</f>
        <v/>
      </c>
      <c r="K3266" s="0" t="str">
        <f aca="false">IF(A3266="","",MONTH(A3266))</f>
        <v/>
      </c>
      <c r="L3266" s="0" t="str">
        <f aca="false">IF(B3266="","",VALUE(LEFT(B3266,2)))</f>
        <v/>
      </c>
      <c r="M3266" s="0" t="str">
        <f aca="false">IF(A3266="","",IF(COUNTIFS($C$2:$C$5001,C3266,$J$2:$J$5001,J3266,$A$2:$A$5001,"&lt;"&amp;A3266)=0,1,0))</f>
        <v/>
      </c>
    </row>
    <row r="3267" customFormat="false" ht="15" hidden="false" customHeight="false" outlineLevel="0" collapsed="false">
      <c r="A3267" s="27"/>
      <c r="F3267" s="28"/>
      <c r="J3267" s="0" t="str">
        <f aca="false">IF(A3267="","",YEAR(A3267))</f>
        <v/>
      </c>
      <c r="K3267" s="0" t="str">
        <f aca="false">IF(A3267="","",MONTH(A3267))</f>
        <v/>
      </c>
      <c r="L3267" s="0" t="str">
        <f aca="false">IF(B3267="","",VALUE(LEFT(B3267,2)))</f>
        <v/>
      </c>
      <c r="M3267" s="0" t="str">
        <f aca="false">IF(A3267="","",IF(COUNTIFS($C$2:$C$5001,C3267,$J$2:$J$5001,J3267,$A$2:$A$5001,"&lt;"&amp;A3267)=0,1,0))</f>
        <v/>
      </c>
    </row>
    <row r="3268" customFormat="false" ht="15" hidden="false" customHeight="false" outlineLevel="0" collapsed="false">
      <c r="A3268" s="27"/>
      <c r="F3268" s="28"/>
      <c r="J3268" s="0" t="str">
        <f aca="false">IF(A3268="","",YEAR(A3268))</f>
        <v/>
      </c>
      <c r="K3268" s="0" t="str">
        <f aca="false">IF(A3268="","",MONTH(A3268))</f>
        <v/>
      </c>
      <c r="L3268" s="0" t="str">
        <f aca="false">IF(B3268="","",VALUE(LEFT(B3268,2)))</f>
        <v/>
      </c>
      <c r="M3268" s="0" t="str">
        <f aca="false">IF(A3268="","",IF(COUNTIFS($C$2:$C$5001,C3268,$J$2:$J$5001,J3268,$A$2:$A$5001,"&lt;"&amp;A3268)=0,1,0))</f>
        <v/>
      </c>
    </row>
    <row r="3269" customFormat="false" ht="15" hidden="false" customHeight="false" outlineLevel="0" collapsed="false">
      <c r="A3269" s="27"/>
      <c r="F3269" s="28"/>
      <c r="J3269" s="0" t="str">
        <f aca="false">IF(A3269="","",YEAR(A3269))</f>
        <v/>
      </c>
      <c r="K3269" s="0" t="str">
        <f aca="false">IF(A3269="","",MONTH(A3269))</f>
        <v/>
      </c>
      <c r="L3269" s="0" t="str">
        <f aca="false">IF(B3269="","",VALUE(LEFT(B3269,2)))</f>
        <v/>
      </c>
      <c r="M3269" s="0" t="str">
        <f aca="false">IF(A3269="","",IF(COUNTIFS($C$2:$C$5001,C3269,$J$2:$J$5001,J3269,$A$2:$A$5001,"&lt;"&amp;A3269)=0,1,0))</f>
        <v/>
      </c>
    </row>
    <row r="3270" customFormat="false" ht="15" hidden="false" customHeight="false" outlineLevel="0" collapsed="false">
      <c r="A3270" s="27"/>
      <c r="F3270" s="28"/>
      <c r="J3270" s="0" t="str">
        <f aca="false">IF(A3270="","",YEAR(A3270))</f>
        <v/>
      </c>
      <c r="K3270" s="0" t="str">
        <f aca="false">IF(A3270="","",MONTH(A3270))</f>
        <v/>
      </c>
      <c r="L3270" s="0" t="str">
        <f aca="false">IF(B3270="","",VALUE(LEFT(B3270,2)))</f>
        <v/>
      </c>
      <c r="M3270" s="0" t="str">
        <f aca="false">IF(A3270="","",IF(COUNTIFS($C$2:$C$5001,C3270,$J$2:$J$5001,J3270,$A$2:$A$5001,"&lt;"&amp;A3270)=0,1,0))</f>
        <v/>
      </c>
    </row>
    <row r="3271" customFormat="false" ht="15" hidden="false" customHeight="false" outlineLevel="0" collapsed="false">
      <c r="A3271" s="27"/>
      <c r="F3271" s="28"/>
      <c r="J3271" s="0" t="str">
        <f aca="false">IF(A3271="","",YEAR(A3271))</f>
        <v/>
      </c>
      <c r="K3271" s="0" t="str">
        <f aca="false">IF(A3271="","",MONTH(A3271))</f>
        <v/>
      </c>
      <c r="L3271" s="0" t="str">
        <f aca="false">IF(B3271="","",VALUE(LEFT(B3271,2)))</f>
        <v/>
      </c>
      <c r="M3271" s="0" t="str">
        <f aca="false">IF(A3271="","",IF(COUNTIFS($C$2:$C$5001,C3271,$J$2:$J$5001,J3271,$A$2:$A$5001,"&lt;"&amp;A3271)=0,1,0))</f>
        <v/>
      </c>
    </row>
    <row r="3272" customFormat="false" ht="15" hidden="false" customHeight="false" outlineLevel="0" collapsed="false">
      <c r="A3272" s="27"/>
      <c r="F3272" s="28"/>
      <c r="J3272" s="0" t="str">
        <f aca="false">IF(A3272="","",YEAR(A3272))</f>
        <v/>
      </c>
      <c r="K3272" s="0" t="str">
        <f aca="false">IF(A3272="","",MONTH(A3272))</f>
        <v/>
      </c>
      <c r="L3272" s="0" t="str">
        <f aca="false">IF(B3272="","",VALUE(LEFT(B3272,2)))</f>
        <v/>
      </c>
      <c r="M3272" s="0" t="str">
        <f aca="false">IF(A3272="","",IF(COUNTIFS($C$2:$C$5001,C3272,$J$2:$J$5001,J3272,$A$2:$A$5001,"&lt;"&amp;A3272)=0,1,0))</f>
        <v/>
      </c>
    </row>
    <row r="3273" customFormat="false" ht="15" hidden="false" customHeight="false" outlineLevel="0" collapsed="false">
      <c r="A3273" s="27"/>
      <c r="F3273" s="28"/>
      <c r="J3273" s="0" t="str">
        <f aca="false">IF(A3273="","",YEAR(A3273))</f>
        <v/>
      </c>
      <c r="K3273" s="0" t="str">
        <f aca="false">IF(A3273="","",MONTH(A3273))</f>
        <v/>
      </c>
      <c r="L3273" s="0" t="str">
        <f aca="false">IF(B3273="","",VALUE(LEFT(B3273,2)))</f>
        <v/>
      </c>
      <c r="M3273" s="0" t="str">
        <f aca="false">IF(A3273="","",IF(COUNTIFS($C$2:$C$5001,C3273,$J$2:$J$5001,J3273,$A$2:$A$5001,"&lt;"&amp;A3273)=0,1,0))</f>
        <v/>
      </c>
    </row>
    <row r="3274" customFormat="false" ht="15" hidden="false" customHeight="false" outlineLevel="0" collapsed="false">
      <c r="A3274" s="27"/>
      <c r="F3274" s="28"/>
      <c r="J3274" s="0" t="str">
        <f aca="false">IF(A3274="","",YEAR(A3274))</f>
        <v/>
      </c>
      <c r="K3274" s="0" t="str">
        <f aca="false">IF(A3274="","",MONTH(A3274))</f>
        <v/>
      </c>
      <c r="L3274" s="0" t="str">
        <f aca="false">IF(B3274="","",VALUE(LEFT(B3274,2)))</f>
        <v/>
      </c>
      <c r="M3274" s="0" t="str">
        <f aca="false">IF(A3274="","",IF(COUNTIFS($C$2:$C$5001,C3274,$J$2:$J$5001,J3274,$A$2:$A$5001,"&lt;"&amp;A3274)=0,1,0))</f>
        <v/>
      </c>
    </row>
    <row r="3275" customFormat="false" ht="15" hidden="false" customHeight="false" outlineLevel="0" collapsed="false">
      <c r="A3275" s="27"/>
      <c r="F3275" s="28"/>
      <c r="J3275" s="0" t="str">
        <f aca="false">IF(A3275="","",YEAR(A3275))</f>
        <v/>
      </c>
      <c r="K3275" s="0" t="str">
        <f aca="false">IF(A3275="","",MONTH(A3275))</f>
        <v/>
      </c>
      <c r="L3275" s="0" t="str">
        <f aca="false">IF(B3275="","",VALUE(LEFT(B3275,2)))</f>
        <v/>
      </c>
      <c r="M3275" s="0" t="str">
        <f aca="false">IF(A3275="","",IF(COUNTIFS($C$2:$C$5001,C3275,$J$2:$J$5001,J3275,$A$2:$A$5001,"&lt;"&amp;A3275)=0,1,0))</f>
        <v/>
      </c>
    </row>
    <row r="3276" customFormat="false" ht="15" hidden="false" customHeight="false" outlineLevel="0" collapsed="false">
      <c r="A3276" s="27"/>
      <c r="F3276" s="28"/>
      <c r="J3276" s="0" t="str">
        <f aca="false">IF(A3276="","",YEAR(A3276))</f>
        <v/>
      </c>
      <c r="K3276" s="0" t="str">
        <f aca="false">IF(A3276="","",MONTH(A3276))</f>
        <v/>
      </c>
      <c r="L3276" s="0" t="str">
        <f aca="false">IF(B3276="","",VALUE(LEFT(B3276,2)))</f>
        <v/>
      </c>
      <c r="M3276" s="0" t="str">
        <f aca="false">IF(A3276="","",IF(COUNTIFS($C$2:$C$5001,C3276,$J$2:$J$5001,J3276,$A$2:$A$5001,"&lt;"&amp;A3276)=0,1,0))</f>
        <v/>
      </c>
    </row>
    <row r="3277" customFormat="false" ht="15" hidden="false" customHeight="false" outlineLevel="0" collapsed="false">
      <c r="A3277" s="27"/>
      <c r="F3277" s="28"/>
      <c r="J3277" s="0" t="str">
        <f aca="false">IF(A3277="","",YEAR(A3277))</f>
        <v/>
      </c>
      <c r="K3277" s="0" t="str">
        <f aca="false">IF(A3277="","",MONTH(A3277))</f>
        <v/>
      </c>
      <c r="L3277" s="0" t="str">
        <f aca="false">IF(B3277="","",VALUE(LEFT(B3277,2)))</f>
        <v/>
      </c>
      <c r="M3277" s="0" t="str">
        <f aca="false">IF(A3277="","",IF(COUNTIFS($C$2:$C$5001,C3277,$J$2:$J$5001,J3277,$A$2:$A$5001,"&lt;"&amp;A3277)=0,1,0))</f>
        <v/>
      </c>
    </row>
    <row r="3278" customFormat="false" ht="15" hidden="false" customHeight="false" outlineLevel="0" collapsed="false">
      <c r="A3278" s="27"/>
      <c r="F3278" s="28"/>
      <c r="J3278" s="0" t="str">
        <f aca="false">IF(A3278="","",YEAR(A3278))</f>
        <v/>
      </c>
      <c r="K3278" s="0" t="str">
        <f aca="false">IF(A3278="","",MONTH(A3278))</f>
        <v/>
      </c>
      <c r="L3278" s="0" t="str">
        <f aca="false">IF(B3278="","",VALUE(LEFT(B3278,2)))</f>
        <v/>
      </c>
      <c r="M3278" s="0" t="str">
        <f aca="false">IF(A3278="","",IF(COUNTIFS($C$2:$C$5001,C3278,$J$2:$J$5001,J3278,$A$2:$A$5001,"&lt;"&amp;A3278)=0,1,0))</f>
        <v/>
      </c>
    </row>
    <row r="3279" customFormat="false" ht="15" hidden="false" customHeight="false" outlineLevel="0" collapsed="false">
      <c r="A3279" s="27"/>
      <c r="F3279" s="28"/>
      <c r="J3279" s="0" t="str">
        <f aca="false">IF(A3279="","",YEAR(A3279))</f>
        <v/>
      </c>
      <c r="K3279" s="0" t="str">
        <f aca="false">IF(A3279="","",MONTH(A3279))</f>
        <v/>
      </c>
      <c r="L3279" s="0" t="str">
        <f aca="false">IF(B3279="","",VALUE(LEFT(B3279,2)))</f>
        <v/>
      </c>
      <c r="M3279" s="0" t="str">
        <f aca="false">IF(A3279="","",IF(COUNTIFS($C$2:$C$5001,C3279,$J$2:$J$5001,J3279,$A$2:$A$5001,"&lt;"&amp;A3279)=0,1,0))</f>
        <v/>
      </c>
    </row>
    <row r="3280" customFormat="false" ht="15" hidden="false" customHeight="false" outlineLevel="0" collapsed="false">
      <c r="A3280" s="27"/>
      <c r="F3280" s="28"/>
      <c r="J3280" s="0" t="str">
        <f aca="false">IF(A3280="","",YEAR(A3280))</f>
        <v/>
      </c>
      <c r="K3280" s="0" t="str">
        <f aca="false">IF(A3280="","",MONTH(A3280))</f>
        <v/>
      </c>
      <c r="L3280" s="0" t="str">
        <f aca="false">IF(B3280="","",VALUE(LEFT(B3280,2)))</f>
        <v/>
      </c>
      <c r="M3280" s="0" t="str">
        <f aca="false">IF(A3280="","",IF(COUNTIFS($C$2:$C$5001,C3280,$J$2:$J$5001,J3280,$A$2:$A$5001,"&lt;"&amp;A3280)=0,1,0))</f>
        <v/>
      </c>
    </row>
    <row r="3281" customFormat="false" ht="15" hidden="false" customHeight="false" outlineLevel="0" collapsed="false">
      <c r="A3281" s="27"/>
      <c r="F3281" s="28"/>
      <c r="J3281" s="0" t="str">
        <f aca="false">IF(A3281="","",YEAR(A3281))</f>
        <v/>
      </c>
      <c r="K3281" s="0" t="str">
        <f aca="false">IF(A3281="","",MONTH(A3281))</f>
        <v/>
      </c>
      <c r="L3281" s="0" t="str">
        <f aca="false">IF(B3281="","",VALUE(LEFT(B3281,2)))</f>
        <v/>
      </c>
      <c r="M3281" s="0" t="str">
        <f aca="false">IF(A3281="","",IF(COUNTIFS($C$2:$C$5001,C3281,$J$2:$J$5001,J3281,$A$2:$A$5001,"&lt;"&amp;A3281)=0,1,0))</f>
        <v/>
      </c>
    </row>
    <row r="3282" customFormat="false" ht="15" hidden="false" customHeight="false" outlineLevel="0" collapsed="false">
      <c r="A3282" s="27"/>
      <c r="F3282" s="28"/>
      <c r="J3282" s="0" t="str">
        <f aca="false">IF(A3282="","",YEAR(A3282))</f>
        <v/>
      </c>
      <c r="K3282" s="0" t="str">
        <f aca="false">IF(A3282="","",MONTH(A3282))</f>
        <v/>
      </c>
      <c r="L3282" s="0" t="str">
        <f aca="false">IF(B3282="","",VALUE(LEFT(B3282,2)))</f>
        <v/>
      </c>
      <c r="M3282" s="0" t="str">
        <f aca="false">IF(A3282="","",IF(COUNTIFS($C$2:$C$5001,C3282,$J$2:$J$5001,J3282,$A$2:$A$5001,"&lt;"&amp;A3282)=0,1,0))</f>
        <v/>
      </c>
    </row>
    <row r="3283" customFormat="false" ht="15" hidden="false" customHeight="false" outlineLevel="0" collapsed="false">
      <c r="A3283" s="27"/>
      <c r="F3283" s="28"/>
      <c r="J3283" s="0" t="str">
        <f aca="false">IF(A3283="","",YEAR(A3283))</f>
        <v/>
      </c>
      <c r="K3283" s="0" t="str">
        <f aca="false">IF(A3283="","",MONTH(A3283))</f>
        <v/>
      </c>
      <c r="L3283" s="0" t="str">
        <f aca="false">IF(B3283="","",VALUE(LEFT(B3283,2)))</f>
        <v/>
      </c>
      <c r="M3283" s="0" t="str">
        <f aca="false">IF(A3283="","",IF(COUNTIFS($C$2:$C$5001,C3283,$J$2:$J$5001,J3283,$A$2:$A$5001,"&lt;"&amp;A3283)=0,1,0))</f>
        <v/>
      </c>
    </row>
    <row r="3284" customFormat="false" ht="15" hidden="false" customHeight="false" outlineLevel="0" collapsed="false">
      <c r="A3284" s="27"/>
      <c r="F3284" s="28"/>
      <c r="J3284" s="0" t="str">
        <f aca="false">IF(A3284="","",YEAR(A3284))</f>
        <v/>
      </c>
      <c r="K3284" s="0" t="str">
        <f aca="false">IF(A3284="","",MONTH(A3284))</f>
        <v/>
      </c>
      <c r="L3284" s="0" t="str">
        <f aca="false">IF(B3284="","",VALUE(LEFT(B3284,2)))</f>
        <v/>
      </c>
      <c r="M3284" s="0" t="str">
        <f aca="false">IF(A3284="","",IF(COUNTIFS($C$2:$C$5001,C3284,$J$2:$J$5001,J3284,$A$2:$A$5001,"&lt;"&amp;A3284)=0,1,0))</f>
        <v/>
      </c>
    </row>
    <row r="3285" customFormat="false" ht="15" hidden="false" customHeight="false" outlineLevel="0" collapsed="false">
      <c r="A3285" s="27"/>
      <c r="F3285" s="28"/>
      <c r="J3285" s="0" t="str">
        <f aca="false">IF(A3285="","",YEAR(A3285))</f>
        <v/>
      </c>
      <c r="K3285" s="0" t="str">
        <f aca="false">IF(A3285="","",MONTH(A3285))</f>
        <v/>
      </c>
      <c r="L3285" s="0" t="str">
        <f aca="false">IF(B3285="","",VALUE(LEFT(B3285,2)))</f>
        <v/>
      </c>
      <c r="M3285" s="0" t="str">
        <f aca="false">IF(A3285="","",IF(COUNTIFS($C$2:$C$5001,C3285,$J$2:$J$5001,J3285,$A$2:$A$5001,"&lt;"&amp;A3285)=0,1,0))</f>
        <v/>
      </c>
    </row>
    <row r="3286" customFormat="false" ht="15" hidden="false" customHeight="false" outlineLevel="0" collapsed="false">
      <c r="A3286" s="27"/>
      <c r="F3286" s="28"/>
      <c r="J3286" s="0" t="str">
        <f aca="false">IF(A3286="","",YEAR(A3286))</f>
        <v/>
      </c>
      <c r="K3286" s="0" t="str">
        <f aca="false">IF(A3286="","",MONTH(A3286))</f>
        <v/>
      </c>
      <c r="L3286" s="0" t="str">
        <f aca="false">IF(B3286="","",VALUE(LEFT(B3286,2)))</f>
        <v/>
      </c>
      <c r="M3286" s="0" t="str">
        <f aca="false">IF(A3286="","",IF(COUNTIFS($C$2:$C$5001,C3286,$J$2:$J$5001,J3286,$A$2:$A$5001,"&lt;"&amp;A3286)=0,1,0))</f>
        <v/>
      </c>
    </row>
    <row r="3287" customFormat="false" ht="15" hidden="false" customHeight="false" outlineLevel="0" collapsed="false">
      <c r="A3287" s="27"/>
      <c r="F3287" s="28"/>
      <c r="J3287" s="0" t="str">
        <f aca="false">IF(A3287="","",YEAR(A3287))</f>
        <v/>
      </c>
      <c r="K3287" s="0" t="str">
        <f aca="false">IF(A3287="","",MONTH(A3287))</f>
        <v/>
      </c>
      <c r="L3287" s="0" t="str">
        <f aca="false">IF(B3287="","",VALUE(LEFT(B3287,2)))</f>
        <v/>
      </c>
      <c r="M3287" s="0" t="str">
        <f aca="false">IF(A3287="","",IF(COUNTIFS($C$2:$C$5001,C3287,$J$2:$J$5001,J3287,$A$2:$A$5001,"&lt;"&amp;A3287)=0,1,0))</f>
        <v/>
      </c>
    </row>
    <row r="3288" customFormat="false" ht="15" hidden="false" customHeight="false" outlineLevel="0" collapsed="false">
      <c r="A3288" s="27"/>
      <c r="F3288" s="28"/>
      <c r="J3288" s="0" t="str">
        <f aca="false">IF(A3288="","",YEAR(A3288))</f>
        <v/>
      </c>
      <c r="K3288" s="0" t="str">
        <f aca="false">IF(A3288="","",MONTH(A3288))</f>
        <v/>
      </c>
      <c r="L3288" s="0" t="str">
        <f aca="false">IF(B3288="","",VALUE(LEFT(B3288,2)))</f>
        <v/>
      </c>
      <c r="M3288" s="0" t="str">
        <f aca="false">IF(A3288="","",IF(COUNTIFS($C$2:$C$5001,C3288,$J$2:$J$5001,J3288,$A$2:$A$5001,"&lt;"&amp;A3288)=0,1,0))</f>
        <v/>
      </c>
    </row>
    <row r="3289" customFormat="false" ht="15" hidden="false" customHeight="false" outlineLevel="0" collapsed="false">
      <c r="A3289" s="27"/>
      <c r="F3289" s="28"/>
      <c r="J3289" s="0" t="str">
        <f aca="false">IF(A3289="","",YEAR(A3289))</f>
        <v/>
      </c>
      <c r="K3289" s="0" t="str">
        <f aca="false">IF(A3289="","",MONTH(A3289))</f>
        <v/>
      </c>
      <c r="L3289" s="0" t="str">
        <f aca="false">IF(B3289="","",VALUE(LEFT(B3289,2)))</f>
        <v/>
      </c>
      <c r="M3289" s="0" t="str">
        <f aca="false">IF(A3289="","",IF(COUNTIFS($C$2:$C$5001,C3289,$J$2:$J$5001,J3289,$A$2:$A$5001,"&lt;"&amp;A3289)=0,1,0))</f>
        <v/>
      </c>
    </row>
    <row r="3290" customFormat="false" ht="15" hidden="false" customHeight="false" outlineLevel="0" collapsed="false">
      <c r="A3290" s="27"/>
      <c r="F3290" s="28"/>
      <c r="J3290" s="0" t="str">
        <f aca="false">IF(A3290="","",YEAR(A3290))</f>
        <v/>
      </c>
      <c r="K3290" s="0" t="str">
        <f aca="false">IF(A3290="","",MONTH(A3290))</f>
        <v/>
      </c>
      <c r="L3290" s="0" t="str">
        <f aca="false">IF(B3290="","",VALUE(LEFT(B3290,2)))</f>
        <v/>
      </c>
      <c r="M3290" s="0" t="str">
        <f aca="false">IF(A3290="","",IF(COUNTIFS($C$2:$C$5001,C3290,$J$2:$J$5001,J3290,$A$2:$A$5001,"&lt;"&amp;A3290)=0,1,0))</f>
        <v/>
      </c>
    </row>
    <row r="3291" customFormat="false" ht="15" hidden="false" customHeight="false" outlineLevel="0" collapsed="false">
      <c r="A3291" s="27"/>
      <c r="F3291" s="28"/>
      <c r="J3291" s="0" t="str">
        <f aca="false">IF(A3291="","",YEAR(A3291))</f>
        <v/>
      </c>
      <c r="K3291" s="0" t="str">
        <f aca="false">IF(A3291="","",MONTH(A3291))</f>
        <v/>
      </c>
      <c r="L3291" s="0" t="str">
        <f aca="false">IF(B3291="","",VALUE(LEFT(B3291,2)))</f>
        <v/>
      </c>
      <c r="M3291" s="0" t="str">
        <f aca="false">IF(A3291="","",IF(COUNTIFS($C$2:$C$5001,C3291,$J$2:$J$5001,J3291,$A$2:$A$5001,"&lt;"&amp;A3291)=0,1,0))</f>
        <v/>
      </c>
    </row>
    <row r="3292" customFormat="false" ht="15" hidden="false" customHeight="false" outlineLevel="0" collapsed="false">
      <c r="A3292" s="27"/>
      <c r="F3292" s="28"/>
      <c r="J3292" s="0" t="str">
        <f aca="false">IF(A3292="","",YEAR(A3292))</f>
        <v/>
      </c>
      <c r="K3292" s="0" t="str">
        <f aca="false">IF(A3292="","",MONTH(A3292))</f>
        <v/>
      </c>
      <c r="L3292" s="0" t="str">
        <f aca="false">IF(B3292="","",VALUE(LEFT(B3292,2)))</f>
        <v/>
      </c>
      <c r="M3292" s="0" t="str">
        <f aca="false">IF(A3292="","",IF(COUNTIFS($C$2:$C$5001,C3292,$J$2:$J$5001,J3292,$A$2:$A$5001,"&lt;"&amp;A3292)=0,1,0))</f>
        <v/>
      </c>
    </row>
    <row r="3293" customFormat="false" ht="15" hidden="false" customHeight="false" outlineLevel="0" collapsed="false">
      <c r="A3293" s="27"/>
      <c r="F3293" s="28"/>
      <c r="J3293" s="0" t="str">
        <f aca="false">IF(A3293="","",YEAR(A3293))</f>
        <v/>
      </c>
      <c r="K3293" s="0" t="str">
        <f aca="false">IF(A3293="","",MONTH(A3293))</f>
        <v/>
      </c>
      <c r="L3293" s="0" t="str">
        <f aca="false">IF(B3293="","",VALUE(LEFT(B3293,2)))</f>
        <v/>
      </c>
      <c r="M3293" s="0" t="str">
        <f aca="false">IF(A3293="","",IF(COUNTIFS($C$2:$C$5001,C3293,$J$2:$J$5001,J3293,$A$2:$A$5001,"&lt;"&amp;A3293)=0,1,0))</f>
        <v/>
      </c>
    </row>
    <row r="3294" customFormat="false" ht="15" hidden="false" customHeight="false" outlineLevel="0" collapsed="false">
      <c r="A3294" s="27"/>
      <c r="F3294" s="28"/>
      <c r="J3294" s="0" t="str">
        <f aca="false">IF(A3294="","",YEAR(A3294))</f>
        <v/>
      </c>
      <c r="K3294" s="0" t="str">
        <f aca="false">IF(A3294="","",MONTH(A3294))</f>
        <v/>
      </c>
      <c r="L3294" s="0" t="str">
        <f aca="false">IF(B3294="","",VALUE(LEFT(B3294,2)))</f>
        <v/>
      </c>
      <c r="M3294" s="0" t="str">
        <f aca="false">IF(A3294="","",IF(COUNTIFS($C$2:$C$5001,C3294,$J$2:$J$5001,J3294,$A$2:$A$5001,"&lt;"&amp;A3294)=0,1,0))</f>
        <v/>
      </c>
    </row>
    <row r="3295" customFormat="false" ht="15" hidden="false" customHeight="false" outlineLevel="0" collapsed="false">
      <c r="A3295" s="27"/>
      <c r="F3295" s="28"/>
      <c r="J3295" s="0" t="str">
        <f aca="false">IF(A3295="","",YEAR(A3295))</f>
        <v/>
      </c>
      <c r="K3295" s="0" t="str">
        <f aca="false">IF(A3295="","",MONTH(A3295))</f>
        <v/>
      </c>
      <c r="L3295" s="0" t="str">
        <f aca="false">IF(B3295="","",VALUE(LEFT(B3295,2)))</f>
        <v/>
      </c>
      <c r="M3295" s="0" t="str">
        <f aca="false">IF(A3295="","",IF(COUNTIFS($C$2:$C$5001,C3295,$J$2:$J$5001,J3295,$A$2:$A$5001,"&lt;"&amp;A3295)=0,1,0))</f>
        <v/>
      </c>
    </row>
    <row r="3296" customFormat="false" ht="15" hidden="false" customHeight="false" outlineLevel="0" collapsed="false">
      <c r="A3296" s="27"/>
      <c r="F3296" s="28"/>
      <c r="J3296" s="0" t="str">
        <f aca="false">IF(A3296="","",YEAR(A3296))</f>
        <v/>
      </c>
      <c r="K3296" s="0" t="str">
        <f aca="false">IF(A3296="","",MONTH(A3296))</f>
        <v/>
      </c>
      <c r="L3296" s="0" t="str">
        <f aca="false">IF(B3296="","",VALUE(LEFT(B3296,2)))</f>
        <v/>
      </c>
      <c r="M3296" s="0" t="str">
        <f aca="false">IF(A3296="","",IF(COUNTIFS($C$2:$C$5001,C3296,$J$2:$J$5001,J3296,$A$2:$A$5001,"&lt;"&amp;A3296)=0,1,0))</f>
        <v/>
      </c>
    </row>
    <row r="3297" customFormat="false" ht="15" hidden="false" customHeight="false" outlineLevel="0" collapsed="false">
      <c r="A3297" s="27"/>
      <c r="F3297" s="28"/>
      <c r="J3297" s="0" t="str">
        <f aca="false">IF(A3297="","",YEAR(A3297))</f>
        <v/>
      </c>
      <c r="K3297" s="0" t="str">
        <f aca="false">IF(A3297="","",MONTH(A3297))</f>
        <v/>
      </c>
      <c r="L3297" s="0" t="str">
        <f aca="false">IF(B3297="","",VALUE(LEFT(B3297,2)))</f>
        <v/>
      </c>
      <c r="M3297" s="0" t="str">
        <f aca="false">IF(A3297="","",IF(COUNTIFS($C$2:$C$5001,C3297,$J$2:$J$5001,J3297,$A$2:$A$5001,"&lt;"&amp;A3297)=0,1,0))</f>
        <v/>
      </c>
    </row>
    <row r="3298" customFormat="false" ht="15" hidden="false" customHeight="false" outlineLevel="0" collapsed="false">
      <c r="A3298" s="27"/>
      <c r="F3298" s="28"/>
      <c r="J3298" s="0" t="str">
        <f aca="false">IF(A3298="","",YEAR(A3298))</f>
        <v/>
      </c>
      <c r="K3298" s="0" t="str">
        <f aca="false">IF(A3298="","",MONTH(A3298))</f>
        <v/>
      </c>
      <c r="L3298" s="0" t="str">
        <f aca="false">IF(B3298="","",VALUE(LEFT(B3298,2)))</f>
        <v/>
      </c>
      <c r="M3298" s="0" t="str">
        <f aca="false">IF(A3298="","",IF(COUNTIFS($C$2:$C$5001,C3298,$J$2:$J$5001,J3298,$A$2:$A$5001,"&lt;"&amp;A3298)=0,1,0))</f>
        <v/>
      </c>
    </row>
    <row r="3299" customFormat="false" ht="15" hidden="false" customHeight="false" outlineLevel="0" collapsed="false">
      <c r="A3299" s="27"/>
      <c r="F3299" s="28"/>
      <c r="J3299" s="0" t="str">
        <f aca="false">IF(A3299="","",YEAR(A3299))</f>
        <v/>
      </c>
      <c r="K3299" s="0" t="str">
        <f aca="false">IF(A3299="","",MONTH(A3299))</f>
        <v/>
      </c>
      <c r="L3299" s="0" t="str">
        <f aca="false">IF(B3299="","",VALUE(LEFT(B3299,2)))</f>
        <v/>
      </c>
      <c r="M3299" s="0" t="str">
        <f aca="false">IF(A3299="","",IF(COUNTIFS($C$2:$C$5001,C3299,$J$2:$J$5001,J3299,$A$2:$A$5001,"&lt;"&amp;A3299)=0,1,0))</f>
        <v/>
      </c>
    </row>
    <row r="3300" customFormat="false" ht="15" hidden="false" customHeight="false" outlineLevel="0" collapsed="false">
      <c r="A3300" s="27"/>
      <c r="F3300" s="28"/>
      <c r="J3300" s="0" t="str">
        <f aca="false">IF(A3300="","",YEAR(A3300))</f>
        <v/>
      </c>
      <c r="K3300" s="0" t="str">
        <f aca="false">IF(A3300="","",MONTH(A3300))</f>
        <v/>
      </c>
      <c r="L3300" s="0" t="str">
        <f aca="false">IF(B3300="","",VALUE(LEFT(B3300,2)))</f>
        <v/>
      </c>
      <c r="M3300" s="0" t="str">
        <f aca="false">IF(A3300="","",IF(COUNTIFS($C$2:$C$5001,C3300,$J$2:$J$5001,J3300,$A$2:$A$5001,"&lt;"&amp;A3300)=0,1,0))</f>
        <v/>
      </c>
    </row>
    <row r="3301" customFormat="false" ht="15" hidden="false" customHeight="false" outlineLevel="0" collapsed="false">
      <c r="A3301" s="27"/>
      <c r="F3301" s="28"/>
      <c r="J3301" s="0" t="str">
        <f aca="false">IF(A3301="","",YEAR(A3301))</f>
        <v/>
      </c>
      <c r="K3301" s="0" t="str">
        <f aca="false">IF(A3301="","",MONTH(A3301))</f>
        <v/>
      </c>
      <c r="L3301" s="0" t="str">
        <f aca="false">IF(B3301="","",VALUE(LEFT(B3301,2)))</f>
        <v/>
      </c>
      <c r="M3301" s="0" t="str">
        <f aca="false">IF(A3301="","",IF(COUNTIFS($C$2:$C$5001,C3301,$J$2:$J$5001,J3301,$A$2:$A$5001,"&lt;"&amp;A3301)=0,1,0))</f>
        <v/>
      </c>
    </row>
    <row r="3302" customFormat="false" ht="15" hidden="false" customHeight="false" outlineLevel="0" collapsed="false">
      <c r="A3302" s="27"/>
      <c r="F3302" s="28"/>
      <c r="J3302" s="0" t="str">
        <f aca="false">IF(A3302="","",YEAR(A3302))</f>
        <v/>
      </c>
      <c r="K3302" s="0" t="str">
        <f aca="false">IF(A3302="","",MONTH(A3302))</f>
        <v/>
      </c>
      <c r="L3302" s="0" t="str">
        <f aca="false">IF(B3302="","",VALUE(LEFT(B3302,2)))</f>
        <v/>
      </c>
      <c r="M3302" s="0" t="str">
        <f aca="false">IF(A3302="","",IF(COUNTIFS($C$2:$C$5001,C3302,$J$2:$J$5001,J3302,$A$2:$A$5001,"&lt;"&amp;A3302)=0,1,0))</f>
        <v/>
      </c>
    </row>
    <row r="3303" customFormat="false" ht="15" hidden="false" customHeight="false" outlineLevel="0" collapsed="false">
      <c r="A3303" s="27"/>
      <c r="F3303" s="28"/>
      <c r="J3303" s="0" t="str">
        <f aca="false">IF(A3303="","",YEAR(A3303))</f>
        <v/>
      </c>
      <c r="K3303" s="0" t="str">
        <f aca="false">IF(A3303="","",MONTH(A3303))</f>
        <v/>
      </c>
      <c r="L3303" s="0" t="str">
        <f aca="false">IF(B3303="","",VALUE(LEFT(B3303,2)))</f>
        <v/>
      </c>
      <c r="M3303" s="0" t="str">
        <f aca="false">IF(A3303="","",IF(COUNTIFS($C$2:$C$5001,C3303,$J$2:$J$5001,J3303,$A$2:$A$5001,"&lt;"&amp;A3303)=0,1,0))</f>
        <v/>
      </c>
    </row>
    <row r="3304" customFormat="false" ht="15" hidden="false" customHeight="false" outlineLevel="0" collapsed="false">
      <c r="A3304" s="27"/>
      <c r="F3304" s="28"/>
      <c r="J3304" s="0" t="str">
        <f aca="false">IF(A3304="","",YEAR(A3304))</f>
        <v/>
      </c>
      <c r="K3304" s="0" t="str">
        <f aca="false">IF(A3304="","",MONTH(A3304))</f>
        <v/>
      </c>
      <c r="L3304" s="0" t="str">
        <f aca="false">IF(B3304="","",VALUE(LEFT(B3304,2)))</f>
        <v/>
      </c>
      <c r="M3304" s="0" t="str">
        <f aca="false">IF(A3304="","",IF(COUNTIFS($C$2:$C$5001,C3304,$J$2:$J$5001,J3304,$A$2:$A$5001,"&lt;"&amp;A3304)=0,1,0))</f>
        <v/>
      </c>
    </row>
    <row r="3305" customFormat="false" ht="15" hidden="false" customHeight="false" outlineLevel="0" collapsed="false">
      <c r="A3305" s="27"/>
      <c r="F3305" s="28"/>
      <c r="J3305" s="0" t="str">
        <f aca="false">IF(A3305="","",YEAR(A3305))</f>
        <v/>
      </c>
      <c r="K3305" s="0" t="str">
        <f aca="false">IF(A3305="","",MONTH(A3305))</f>
        <v/>
      </c>
      <c r="L3305" s="0" t="str">
        <f aca="false">IF(B3305="","",VALUE(LEFT(B3305,2)))</f>
        <v/>
      </c>
      <c r="M3305" s="0" t="str">
        <f aca="false">IF(A3305="","",IF(COUNTIFS($C$2:$C$5001,C3305,$J$2:$J$5001,J3305,$A$2:$A$5001,"&lt;"&amp;A3305)=0,1,0))</f>
        <v/>
      </c>
    </row>
    <row r="3306" customFormat="false" ht="15" hidden="false" customHeight="false" outlineLevel="0" collapsed="false">
      <c r="A3306" s="27"/>
      <c r="F3306" s="28"/>
      <c r="J3306" s="0" t="str">
        <f aca="false">IF(A3306="","",YEAR(A3306))</f>
        <v/>
      </c>
      <c r="K3306" s="0" t="str">
        <f aca="false">IF(A3306="","",MONTH(A3306))</f>
        <v/>
      </c>
      <c r="L3306" s="0" t="str">
        <f aca="false">IF(B3306="","",VALUE(LEFT(B3306,2)))</f>
        <v/>
      </c>
      <c r="M3306" s="0" t="str">
        <f aca="false">IF(A3306="","",IF(COUNTIFS($C$2:$C$5001,C3306,$J$2:$J$5001,J3306,$A$2:$A$5001,"&lt;"&amp;A3306)=0,1,0))</f>
        <v/>
      </c>
    </row>
    <row r="3307" customFormat="false" ht="15" hidden="false" customHeight="false" outlineLevel="0" collapsed="false">
      <c r="A3307" s="27"/>
      <c r="F3307" s="28"/>
      <c r="J3307" s="0" t="str">
        <f aca="false">IF(A3307="","",YEAR(A3307))</f>
        <v/>
      </c>
      <c r="K3307" s="0" t="str">
        <f aca="false">IF(A3307="","",MONTH(A3307))</f>
        <v/>
      </c>
      <c r="L3307" s="0" t="str">
        <f aca="false">IF(B3307="","",VALUE(LEFT(B3307,2)))</f>
        <v/>
      </c>
      <c r="M3307" s="0" t="str">
        <f aca="false">IF(A3307="","",IF(COUNTIFS($C$2:$C$5001,C3307,$J$2:$J$5001,J3307,$A$2:$A$5001,"&lt;"&amp;A3307)=0,1,0))</f>
        <v/>
      </c>
    </row>
    <row r="3308" customFormat="false" ht="15" hidden="false" customHeight="false" outlineLevel="0" collapsed="false">
      <c r="A3308" s="27"/>
      <c r="F3308" s="28"/>
      <c r="J3308" s="0" t="str">
        <f aca="false">IF(A3308="","",YEAR(A3308))</f>
        <v/>
      </c>
      <c r="K3308" s="0" t="str">
        <f aca="false">IF(A3308="","",MONTH(A3308))</f>
        <v/>
      </c>
      <c r="L3308" s="0" t="str">
        <f aca="false">IF(B3308="","",VALUE(LEFT(B3308,2)))</f>
        <v/>
      </c>
      <c r="M3308" s="0" t="str">
        <f aca="false">IF(A3308="","",IF(COUNTIFS($C$2:$C$5001,C3308,$J$2:$J$5001,J3308,$A$2:$A$5001,"&lt;"&amp;A3308)=0,1,0))</f>
        <v/>
      </c>
    </row>
    <row r="3309" customFormat="false" ht="15" hidden="false" customHeight="false" outlineLevel="0" collapsed="false">
      <c r="A3309" s="27"/>
      <c r="F3309" s="28"/>
      <c r="J3309" s="0" t="str">
        <f aca="false">IF(A3309="","",YEAR(A3309))</f>
        <v/>
      </c>
      <c r="K3309" s="0" t="str">
        <f aca="false">IF(A3309="","",MONTH(A3309))</f>
        <v/>
      </c>
      <c r="L3309" s="0" t="str">
        <f aca="false">IF(B3309="","",VALUE(LEFT(B3309,2)))</f>
        <v/>
      </c>
      <c r="M3309" s="0" t="str">
        <f aca="false">IF(A3309="","",IF(COUNTIFS($C$2:$C$5001,C3309,$J$2:$J$5001,J3309,$A$2:$A$5001,"&lt;"&amp;A3309)=0,1,0))</f>
        <v/>
      </c>
    </row>
    <row r="3310" customFormat="false" ht="15" hidden="false" customHeight="false" outlineLevel="0" collapsed="false">
      <c r="A3310" s="27"/>
      <c r="F3310" s="28"/>
      <c r="J3310" s="0" t="str">
        <f aca="false">IF(A3310="","",YEAR(A3310))</f>
        <v/>
      </c>
      <c r="K3310" s="0" t="str">
        <f aca="false">IF(A3310="","",MONTH(A3310))</f>
        <v/>
      </c>
      <c r="L3310" s="0" t="str">
        <f aca="false">IF(B3310="","",VALUE(LEFT(B3310,2)))</f>
        <v/>
      </c>
      <c r="M3310" s="0" t="str">
        <f aca="false">IF(A3310="","",IF(COUNTIFS($C$2:$C$5001,C3310,$J$2:$J$5001,J3310,$A$2:$A$5001,"&lt;"&amp;A3310)=0,1,0))</f>
        <v/>
      </c>
    </row>
    <row r="3311" customFormat="false" ht="15" hidden="false" customHeight="false" outlineLevel="0" collapsed="false">
      <c r="A3311" s="27"/>
      <c r="F3311" s="28"/>
      <c r="J3311" s="0" t="str">
        <f aca="false">IF(A3311="","",YEAR(A3311))</f>
        <v/>
      </c>
      <c r="K3311" s="0" t="str">
        <f aca="false">IF(A3311="","",MONTH(A3311))</f>
        <v/>
      </c>
      <c r="L3311" s="0" t="str">
        <f aca="false">IF(B3311="","",VALUE(LEFT(B3311,2)))</f>
        <v/>
      </c>
      <c r="M3311" s="0" t="str">
        <f aca="false">IF(A3311="","",IF(COUNTIFS($C$2:$C$5001,C3311,$J$2:$J$5001,J3311,$A$2:$A$5001,"&lt;"&amp;A3311)=0,1,0))</f>
        <v/>
      </c>
    </row>
    <row r="3312" customFormat="false" ht="15" hidden="false" customHeight="false" outlineLevel="0" collapsed="false">
      <c r="A3312" s="27"/>
      <c r="F3312" s="28"/>
      <c r="J3312" s="0" t="str">
        <f aca="false">IF(A3312="","",YEAR(A3312))</f>
        <v/>
      </c>
      <c r="K3312" s="0" t="str">
        <f aca="false">IF(A3312="","",MONTH(A3312))</f>
        <v/>
      </c>
      <c r="L3312" s="0" t="str">
        <f aca="false">IF(B3312="","",VALUE(LEFT(B3312,2)))</f>
        <v/>
      </c>
      <c r="M3312" s="0" t="str">
        <f aca="false">IF(A3312="","",IF(COUNTIFS($C$2:$C$5001,C3312,$J$2:$J$5001,J3312,$A$2:$A$5001,"&lt;"&amp;A3312)=0,1,0))</f>
        <v/>
      </c>
    </row>
    <row r="3313" customFormat="false" ht="15" hidden="false" customHeight="false" outlineLevel="0" collapsed="false">
      <c r="A3313" s="27"/>
      <c r="F3313" s="28"/>
      <c r="J3313" s="0" t="str">
        <f aca="false">IF(A3313="","",YEAR(A3313))</f>
        <v/>
      </c>
      <c r="K3313" s="0" t="str">
        <f aca="false">IF(A3313="","",MONTH(A3313))</f>
        <v/>
      </c>
      <c r="L3313" s="0" t="str">
        <f aca="false">IF(B3313="","",VALUE(LEFT(B3313,2)))</f>
        <v/>
      </c>
      <c r="M3313" s="0" t="str">
        <f aca="false">IF(A3313="","",IF(COUNTIFS($C$2:$C$5001,C3313,$J$2:$J$5001,J3313,$A$2:$A$5001,"&lt;"&amp;A3313)=0,1,0))</f>
        <v/>
      </c>
    </row>
    <row r="3314" customFormat="false" ht="15" hidden="false" customHeight="false" outlineLevel="0" collapsed="false">
      <c r="A3314" s="27"/>
      <c r="F3314" s="28"/>
      <c r="J3314" s="0" t="str">
        <f aca="false">IF(A3314="","",YEAR(A3314))</f>
        <v/>
      </c>
      <c r="K3314" s="0" t="str">
        <f aca="false">IF(A3314="","",MONTH(A3314))</f>
        <v/>
      </c>
      <c r="L3314" s="0" t="str">
        <f aca="false">IF(B3314="","",VALUE(LEFT(B3314,2)))</f>
        <v/>
      </c>
      <c r="M3314" s="0" t="str">
        <f aca="false">IF(A3314="","",IF(COUNTIFS($C$2:$C$5001,C3314,$J$2:$J$5001,J3314,$A$2:$A$5001,"&lt;"&amp;A3314)=0,1,0))</f>
        <v/>
      </c>
    </row>
    <row r="3315" customFormat="false" ht="15" hidden="false" customHeight="false" outlineLevel="0" collapsed="false">
      <c r="A3315" s="27"/>
      <c r="F3315" s="28"/>
      <c r="J3315" s="0" t="str">
        <f aca="false">IF(A3315="","",YEAR(A3315))</f>
        <v/>
      </c>
      <c r="K3315" s="0" t="str">
        <f aca="false">IF(A3315="","",MONTH(A3315))</f>
        <v/>
      </c>
      <c r="L3315" s="0" t="str">
        <f aca="false">IF(B3315="","",VALUE(LEFT(B3315,2)))</f>
        <v/>
      </c>
      <c r="M3315" s="0" t="str">
        <f aca="false">IF(A3315="","",IF(COUNTIFS($C$2:$C$5001,C3315,$J$2:$J$5001,J3315,$A$2:$A$5001,"&lt;"&amp;A3315)=0,1,0))</f>
        <v/>
      </c>
    </row>
    <row r="3316" customFormat="false" ht="15" hidden="false" customHeight="false" outlineLevel="0" collapsed="false">
      <c r="A3316" s="27"/>
      <c r="F3316" s="28"/>
      <c r="J3316" s="0" t="str">
        <f aca="false">IF(A3316="","",YEAR(A3316))</f>
        <v/>
      </c>
      <c r="K3316" s="0" t="str">
        <f aca="false">IF(A3316="","",MONTH(A3316))</f>
        <v/>
      </c>
      <c r="L3316" s="0" t="str">
        <f aca="false">IF(B3316="","",VALUE(LEFT(B3316,2)))</f>
        <v/>
      </c>
      <c r="M3316" s="0" t="str">
        <f aca="false">IF(A3316="","",IF(COUNTIFS($C$2:$C$5001,C3316,$J$2:$J$5001,J3316,$A$2:$A$5001,"&lt;"&amp;A3316)=0,1,0))</f>
        <v/>
      </c>
    </row>
    <row r="3317" customFormat="false" ht="15" hidden="false" customHeight="false" outlineLevel="0" collapsed="false">
      <c r="A3317" s="27"/>
      <c r="F3317" s="28"/>
      <c r="J3317" s="0" t="str">
        <f aca="false">IF(A3317="","",YEAR(A3317))</f>
        <v/>
      </c>
      <c r="K3317" s="0" t="str">
        <f aca="false">IF(A3317="","",MONTH(A3317))</f>
        <v/>
      </c>
      <c r="L3317" s="0" t="str">
        <f aca="false">IF(B3317="","",VALUE(LEFT(B3317,2)))</f>
        <v/>
      </c>
      <c r="M3317" s="0" t="str">
        <f aca="false">IF(A3317="","",IF(COUNTIFS($C$2:$C$5001,C3317,$J$2:$J$5001,J3317,$A$2:$A$5001,"&lt;"&amp;A3317)=0,1,0))</f>
        <v/>
      </c>
    </row>
    <row r="3318" customFormat="false" ht="15" hidden="false" customHeight="false" outlineLevel="0" collapsed="false">
      <c r="A3318" s="27"/>
      <c r="F3318" s="28"/>
      <c r="J3318" s="0" t="str">
        <f aca="false">IF(A3318="","",YEAR(A3318))</f>
        <v/>
      </c>
      <c r="K3318" s="0" t="str">
        <f aca="false">IF(A3318="","",MONTH(A3318))</f>
        <v/>
      </c>
      <c r="L3318" s="0" t="str">
        <f aca="false">IF(B3318="","",VALUE(LEFT(B3318,2)))</f>
        <v/>
      </c>
      <c r="M3318" s="0" t="str">
        <f aca="false">IF(A3318="","",IF(COUNTIFS($C$2:$C$5001,C3318,$J$2:$J$5001,J3318,$A$2:$A$5001,"&lt;"&amp;A3318)=0,1,0))</f>
        <v/>
      </c>
    </row>
    <row r="3319" customFormat="false" ht="15" hidden="false" customHeight="false" outlineLevel="0" collapsed="false">
      <c r="A3319" s="27"/>
      <c r="F3319" s="28"/>
      <c r="J3319" s="0" t="str">
        <f aca="false">IF(A3319="","",YEAR(A3319))</f>
        <v/>
      </c>
      <c r="K3319" s="0" t="str">
        <f aca="false">IF(A3319="","",MONTH(A3319))</f>
        <v/>
      </c>
      <c r="L3319" s="0" t="str">
        <f aca="false">IF(B3319="","",VALUE(LEFT(B3319,2)))</f>
        <v/>
      </c>
      <c r="M3319" s="0" t="str">
        <f aca="false">IF(A3319="","",IF(COUNTIFS($C$2:$C$5001,C3319,$J$2:$J$5001,J3319,$A$2:$A$5001,"&lt;"&amp;A3319)=0,1,0))</f>
        <v/>
      </c>
    </row>
    <row r="3320" customFormat="false" ht="15" hidden="false" customHeight="false" outlineLevel="0" collapsed="false">
      <c r="A3320" s="27"/>
      <c r="F3320" s="28"/>
      <c r="J3320" s="0" t="str">
        <f aca="false">IF(A3320="","",YEAR(A3320))</f>
        <v/>
      </c>
      <c r="K3320" s="0" t="str">
        <f aca="false">IF(A3320="","",MONTH(A3320))</f>
        <v/>
      </c>
      <c r="L3320" s="0" t="str">
        <f aca="false">IF(B3320="","",VALUE(LEFT(B3320,2)))</f>
        <v/>
      </c>
      <c r="M3320" s="0" t="str">
        <f aca="false">IF(A3320="","",IF(COUNTIFS($C$2:$C$5001,C3320,$J$2:$J$5001,J3320,$A$2:$A$5001,"&lt;"&amp;A3320)=0,1,0))</f>
        <v/>
      </c>
    </row>
    <row r="3321" customFormat="false" ht="15" hidden="false" customHeight="false" outlineLevel="0" collapsed="false">
      <c r="A3321" s="27"/>
      <c r="F3321" s="28"/>
      <c r="J3321" s="0" t="str">
        <f aca="false">IF(A3321="","",YEAR(A3321))</f>
        <v/>
      </c>
      <c r="K3321" s="0" t="str">
        <f aca="false">IF(A3321="","",MONTH(A3321))</f>
        <v/>
      </c>
      <c r="L3321" s="0" t="str">
        <f aca="false">IF(B3321="","",VALUE(LEFT(B3321,2)))</f>
        <v/>
      </c>
      <c r="M3321" s="0" t="str">
        <f aca="false">IF(A3321="","",IF(COUNTIFS($C$2:$C$5001,C3321,$J$2:$J$5001,J3321,$A$2:$A$5001,"&lt;"&amp;A3321)=0,1,0))</f>
        <v/>
      </c>
    </row>
    <row r="3322" customFormat="false" ht="15" hidden="false" customHeight="false" outlineLevel="0" collapsed="false">
      <c r="A3322" s="27"/>
      <c r="F3322" s="28"/>
      <c r="J3322" s="0" t="str">
        <f aca="false">IF(A3322="","",YEAR(A3322))</f>
        <v/>
      </c>
      <c r="K3322" s="0" t="str">
        <f aca="false">IF(A3322="","",MONTH(A3322))</f>
        <v/>
      </c>
      <c r="L3322" s="0" t="str">
        <f aca="false">IF(B3322="","",VALUE(LEFT(B3322,2)))</f>
        <v/>
      </c>
      <c r="M3322" s="0" t="str">
        <f aca="false">IF(A3322="","",IF(COUNTIFS($C$2:$C$5001,C3322,$J$2:$J$5001,J3322,$A$2:$A$5001,"&lt;"&amp;A3322)=0,1,0))</f>
        <v/>
      </c>
    </row>
    <row r="3323" customFormat="false" ht="15" hidden="false" customHeight="false" outlineLevel="0" collapsed="false">
      <c r="A3323" s="27"/>
      <c r="F3323" s="28"/>
      <c r="J3323" s="0" t="str">
        <f aca="false">IF(A3323="","",YEAR(A3323))</f>
        <v/>
      </c>
      <c r="K3323" s="0" t="str">
        <f aca="false">IF(A3323="","",MONTH(A3323))</f>
        <v/>
      </c>
      <c r="L3323" s="0" t="str">
        <f aca="false">IF(B3323="","",VALUE(LEFT(B3323,2)))</f>
        <v/>
      </c>
      <c r="M3323" s="0" t="str">
        <f aca="false">IF(A3323="","",IF(COUNTIFS($C$2:$C$5001,C3323,$J$2:$J$5001,J3323,$A$2:$A$5001,"&lt;"&amp;A3323)=0,1,0))</f>
        <v/>
      </c>
    </row>
    <row r="3324" customFormat="false" ht="15" hidden="false" customHeight="false" outlineLevel="0" collapsed="false">
      <c r="A3324" s="27"/>
      <c r="F3324" s="28"/>
      <c r="J3324" s="0" t="str">
        <f aca="false">IF(A3324="","",YEAR(A3324))</f>
        <v/>
      </c>
      <c r="K3324" s="0" t="str">
        <f aca="false">IF(A3324="","",MONTH(A3324))</f>
        <v/>
      </c>
      <c r="L3324" s="0" t="str">
        <f aca="false">IF(B3324="","",VALUE(LEFT(B3324,2)))</f>
        <v/>
      </c>
      <c r="M3324" s="0" t="str">
        <f aca="false">IF(A3324="","",IF(COUNTIFS($C$2:$C$5001,C3324,$J$2:$J$5001,J3324,$A$2:$A$5001,"&lt;"&amp;A3324)=0,1,0))</f>
        <v/>
      </c>
    </row>
    <row r="3325" customFormat="false" ht="15" hidden="false" customHeight="false" outlineLevel="0" collapsed="false">
      <c r="A3325" s="27"/>
      <c r="F3325" s="28"/>
      <c r="J3325" s="0" t="str">
        <f aca="false">IF(A3325="","",YEAR(A3325))</f>
        <v/>
      </c>
      <c r="K3325" s="0" t="str">
        <f aca="false">IF(A3325="","",MONTH(A3325))</f>
        <v/>
      </c>
      <c r="L3325" s="0" t="str">
        <f aca="false">IF(B3325="","",VALUE(LEFT(B3325,2)))</f>
        <v/>
      </c>
      <c r="M3325" s="0" t="str">
        <f aca="false">IF(A3325="","",IF(COUNTIFS($C$2:$C$5001,C3325,$J$2:$J$5001,J3325,$A$2:$A$5001,"&lt;"&amp;A3325)=0,1,0))</f>
        <v/>
      </c>
    </row>
    <row r="3326" customFormat="false" ht="15" hidden="false" customHeight="false" outlineLevel="0" collapsed="false">
      <c r="A3326" s="27"/>
      <c r="F3326" s="28"/>
      <c r="J3326" s="0" t="str">
        <f aca="false">IF(A3326="","",YEAR(A3326))</f>
        <v/>
      </c>
      <c r="K3326" s="0" t="str">
        <f aca="false">IF(A3326="","",MONTH(A3326))</f>
        <v/>
      </c>
      <c r="L3326" s="0" t="str">
        <f aca="false">IF(B3326="","",VALUE(LEFT(B3326,2)))</f>
        <v/>
      </c>
      <c r="M3326" s="0" t="str">
        <f aca="false">IF(A3326="","",IF(COUNTIFS($C$2:$C$5001,C3326,$J$2:$J$5001,J3326,$A$2:$A$5001,"&lt;"&amp;A3326)=0,1,0))</f>
        <v/>
      </c>
    </row>
    <row r="3327" customFormat="false" ht="15" hidden="false" customHeight="false" outlineLevel="0" collapsed="false">
      <c r="A3327" s="27"/>
      <c r="F3327" s="28"/>
      <c r="J3327" s="0" t="str">
        <f aca="false">IF(A3327="","",YEAR(A3327))</f>
        <v/>
      </c>
      <c r="K3327" s="0" t="str">
        <f aca="false">IF(A3327="","",MONTH(A3327))</f>
        <v/>
      </c>
      <c r="L3327" s="0" t="str">
        <f aca="false">IF(B3327="","",VALUE(LEFT(B3327,2)))</f>
        <v/>
      </c>
      <c r="M3327" s="0" t="str">
        <f aca="false">IF(A3327="","",IF(COUNTIFS($C$2:$C$5001,C3327,$J$2:$J$5001,J3327,$A$2:$A$5001,"&lt;"&amp;A3327)=0,1,0))</f>
        <v/>
      </c>
    </row>
    <row r="3328" customFormat="false" ht="15" hidden="false" customHeight="false" outlineLevel="0" collapsed="false">
      <c r="A3328" s="27"/>
      <c r="F3328" s="28"/>
      <c r="J3328" s="0" t="str">
        <f aca="false">IF(A3328="","",YEAR(A3328))</f>
        <v/>
      </c>
      <c r="K3328" s="0" t="str">
        <f aca="false">IF(A3328="","",MONTH(A3328))</f>
        <v/>
      </c>
      <c r="L3328" s="0" t="str">
        <f aca="false">IF(B3328="","",VALUE(LEFT(B3328,2)))</f>
        <v/>
      </c>
      <c r="M3328" s="0" t="str">
        <f aca="false">IF(A3328="","",IF(COUNTIFS($C$2:$C$5001,C3328,$J$2:$J$5001,J3328,$A$2:$A$5001,"&lt;"&amp;A3328)=0,1,0))</f>
        <v/>
      </c>
    </row>
    <row r="3329" customFormat="false" ht="15" hidden="false" customHeight="false" outlineLevel="0" collapsed="false">
      <c r="A3329" s="27"/>
      <c r="F3329" s="28"/>
      <c r="J3329" s="0" t="str">
        <f aca="false">IF(A3329="","",YEAR(A3329))</f>
        <v/>
      </c>
      <c r="K3329" s="0" t="str">
        <f aca="false">IF(A3329="","",MONTH(A3329))</f>
        <v/>
      </c>
      <c r="L3329" s="0" t="str">
        <f aca="false">IF(B3329="","",VALUE(LEFT(B3329,2)))</f>
        <v/>
      </c>
      <c r="M3329" s="0" t="str">
        <f aca="false">IF(A3329="","",IF(COUNTIFS($C$2:$C$5001,C3329,$J$2:$J$5001,J3329,$A$2:$A$5001,"&lt;"&amp;A3329)=0,1,0))</f>
        <v/>
      </c>
    </row>
    <row r="3330" customFormat="false" ht="15" hidden="false" customHeight="false" outlineLevel="0" collapsed="false">
      <c r="A3330" s="27"/>
      <c r="F3330" s="28"/>
      <c r="J3330" s="0" t="str">
        <f aca="false">IF(A3330="","",YEAR(A3330))</f>
        <v/>
      </c>
      <c r="K3330" s="0" t="str">
        <f aca="false">IF(A3330="","",MONTH(A3330))</f>
        <v/>
      </c>
      <c r="L3330" s="0" t="str">
        <f aca="false">IF(B3330="","",VALUE(LEFT(B3330,2)))</f>
        <v/>
      </c>
      <c r="M3330" s="0" t="str">
        <f aca="false">IF(A3330="","",IF(COUNTIFS($C$2:$C$5001,C3330,$J$2:$J$5001,J3330,$A$2:$A$5001,"&lt;"&amp;A3330)=0,1,0))</f>
        <v/>
      </c>
    </row>
    <row r="3331" customFormat="false" ht="15" hidden="false" customHeight="false" outlineLevel="0" collapsed="false">
      <c r="A3331" s="27"/>
      <c r="F3331" s="28"/>
      <c r="J3331" s="0" t="str">
        <f aca="false">IF(A3331="","",YEAR(A3331))</f>
        <v/>
      </c>
      <c r="K3331" s="0" t="str">
        <f aca="false">IF(A3331="","",MONTH(A3331))</f>
        <v/>
      </c>
      <c r="L3331" s="0" t="str">
        <f aca="false">IF(B3331="","",VALUE(LEFT(B3331,2)))</f>
        <v/>
      </c>
      <c r="M3331" s="0" t="str">
        <f aca="false">IF(A3331="","",IF(COUNTIFS($C$2:$C$5001,C3331,$J$2:$J$5001,J3331,$A$2:$A$5001,"&lt;"&amp;A3331)=0,1,0))</f>
        <v/>
      </c>
    </row>
    <row r="3332" customFormat="false" ht="15" hidden="false" customHeight="false" outlineLevel="0" collapsed="false">
      <c r="A3332" s="27"/>
      <c r="F3332" s="28"/>
      <c r="J3332" s="0" t="str">
        <f aca="false">IF(A3332="","",YEAR(A3332))</f>
        <v/>
      </c>
      <c r="K3332" s="0" t="str">
        <f aca="false">IF(A3332="","",MONTH(A3332))</f>
        <v/>
      </c>
      <c r="L3332" s="0" t="str">
        <f aca="false">IF(B3332="","",VALUE(LEFT(B3332,2)))</f>
        <v/>
      </c>
      <c r="M3332" s="0" t="str">
        <f aca="false">IF(A3332="","",IF(COUNTIFS($C$2:$C$5001,C3332,$J$2:$J$5001,J3332,$A$2:$A$5001,"&lt;"&amp;A3332)=0,1,0))</f>
        <v/>
      </c>
    </row>
    <row r="3333" customFormat="false" ht="15" hidden="false" customHeight="false" outlineLevel="0" collapsed="false">
      <c r="A3333" s="27"/>
      <c r="F3333" s="28"/>
      <c r="J3333" s="0" t="str">
        <f aca="false">IF(A3333="","",YEAR(A3333))</f>
        <v/>
      </c>
      <c r="K3333" s="0" t="str">
        <f aca="false">IF(A3333="","",MONTH(A3333))</f>
        <v/>
      </c>
      <c r="L3333" s="0" t="str">
        <f aca="false">IF(B3333="","",VALUE(LEFT(B3333,2)))</f>
        <v/>
      </c>
      <c r="M3333" s="0" t="str">
        <f aca="false">IF(A3333="","",IF(COUNTIFS($C$2:$C$5001,C3333,$J$2:$J$5001,J3333,$A$2:$A$5001,"&lt;"&amp;A3333)=0,1,0))</f>
        <v/>
      </c>
    </row>
    <row r="3334" customFormat="false" ht="15" hidden="false" customHeight="false" outlineLevel="0" collapsed="false">
      <c r="A3334" s="27"/>
      <c r="F3334" s="28"/>
      <c r="J3334" s="0" t="str">
        <f aca="false">IF(A3334="","",YEAR(A3334))</f>
        <v/>
      </c>
      <c r="K3334" s="0" t="str">
        <f aca="false">IF(A3334="","",MONTH(A3334))</f>
        <v/>
      </c>
      <c r="L3334" s="0" t="str">
        <f aca="false">IF(B3334="","",VALUE(LEFT(B3334,2)))</f>
        <v/>
      </c>
      <c r="M3334" s="0" t="str">
        <f aca="false">IF(A3334="","",IF(COUNTIFS($C$2:$C$5001,C3334,$J$2:$J$5001,J3334,$A$2:$A$5001,"&lt;"&amp;A3334)=0,1,0))</f>
        <v/>
      </c>
    </row>
    <row r="3335" customFormat="false" ht="15" hidden="false" customHeight="false" outlineLevel="0" collapsed="false">
      <c r="A3335" s="27"/>
      <c r="F3335" s="28"/>
      <c r="J3335" s="0" t="str">
        <f aca="false">IF(A3335="","",YEAR(A3335))</f>
        <v/>
      </c>
      <c r="K3335" s="0" t="str">
        <f aca="false">IF(A3335="","",MONTH(A3335))</f>
        <v/>
      </c>
      <c r="L3335" s="0" t="str">
        <f aca="false">IF(B3335="","",VALUE(LEFT(B3335,2)))</f>
        <v/>
      </c>
      <c r="M3335" s="0" t="str">
        <f aca="false">IF(A3335="","",IF(COUNTIFS($C$2:$C$5001,C3335,$J$2:$J$5001,J3335,$A$2:$A$5001,"&lt;"&amp;A3335)=0,1,0))</f>
        <v/>
      </c>
    </row>
    <row r="3336" customFormat="false" ht="15" hidden="false" customHeight="false" outlineLevel="0" collapsed="false">
      <c r="A3336" s="27"/>
      <c r="F3336" s="28"/>
      <c r="J3336" s="0" t="str">
        <f aca="false">IF(A3336="","",YEAR(A3336))</f>
        <v/>
      </c>
      <c r="K3336" s="0" t="str">
        <f aca="false">IF(A3336="","",MONTH(A3336))</f>
        <v/>
      </c>
      <c r="L3336" s="0" t="str">
        <f aca="false">IF(B3336="","",VALUE(LEFT(B3336,2)))</f>
        <v/>
      </c>
      <c r="M3336" s="0" t="str">
        <f aca="false">IF(A3336="","",IF(COUNTIFS($C$2:$C$5001,C3336,$J$2:$J$5001,J3336,$A$2:$A$5001,"&lt;"&amp;A3336)=0,1,0))</f>
        <v/>
      </c>
    </row>
    <row r="3337" customFormat="false" ht="15" hidden="false" customHeight="false" outlineLevel="0" collapsed="false">
      <c r="A3337" s="27"/>
      <c r="F3337" s="28"/>
      <c r="J3337" s="0" t="str">
        <f aca="false">IF(A3337="","",YEAR(A3337))</f>
        <v/>
      </c>
      <c r="K3337" s="0" t="str">
        <f aca="false">IF(A3337="","",MONTH(A3337))</f>
        <v/>
      </c>
      <c r="L3337" s="0" t="str">
        <f aca="false">IF(B3337="","",VALUE(LEFT(B3337,2)))</f>
        <v/>
      </c>
      <c r="M3337" s="0" t="str">
        <f aca="false">IF(A3337="","",IF(COUNTIFS($C$2:$C$5001,C3337,$J$2:$J$5001,J3337,$A$2:$A$5001,"&lt;"&amp;A3337)=0,1,0))</f>
        <v/>
      </c>
    </row>
    <row r="3338" customFormat="false" ht="15" hidden="false" customHeight="false" outlineLevel="0" collapsed="false">
      <c r="A3338" s="27"/>
      <c r="F3338" s="28"/>
      <c r="J3338" s="0" t="str">
        <f aca="false">IF(A3338="","",YEAR(A3338))</f>
        <v/>
      </c>
      <c r="K3338" s="0" t="str">
        <f aca="false">IF(A3338="","",MONTH(A3338))</f>
        <v/>
      </c>
      <c r="L3338" s="0" t="str">
        <f aca="false">IF(B3338="","",VALUE(LEFT(B3338,2)))</f>
        <v/>
      </c>
      <c r="M3338" s="0" t="str">
        <f aca="false">IF(A3338="","",IF(COUNTIFS($C$2:$C$5001,C3338,$J$2:$J$5001,J3338,$A$2:$A$5001,"&lt;"&amp;A3338)=0,1,0))</f>
        <v/>
      </c>
    </row>
    <row r="3339" customFormat="false" ht="15" hidden="false" customHeight="false" outlineLevel="0" collapsed="false">
      <c r="A3339" s="27"/>
      <c r="F3339" s="28"/>
      <c r="J3339" s="0" t="str">
        <f aca="false">IF(A3339="","",YEAR(A3339))</f>
        <v/>
      </c>
      <c r="K3339" s="0" t="str">
        <f aca="false">IF(A3339="","",MONTH(A3339))</f>
        <v/>
      </c>
      <c r="L3339" s="0" t="str">
        <f aca="false">IF(B3339="","",VALUE(LEFT(B3339,2)))</f>
        <v/>
      </c>
      <c r="M3339" s="0" t="str">
        <f aca="false">IF(A3339="","",IF(COUNTIFS($C$2:$C$5001,C3339,$J$2:$J$5001,J3339,$A$2:$A$5001,"&lt;"&amp;A3339)=0,1,0))</f>
        <v/>
      </c>
    </row>
    <row r="3340" customFormat="false" ht="15" hidden="false" customHeight="false" outlineLevel="0" collapsed="false">
      <c r="A3340" s="27"/>
      <c r="F3340" s="28"/>
      <c r="J3340" s="0" t="str">
        <f aca="false">IF(A3340="","",YEAR(A3340))</f>
        <v/>
      </c>
      <c r="K3340" s="0" t="str">
        <f aca="false">IF(A3340="","",MONTH(A3340))</f>
        <v/>
      </c>
      <c r="L3340" s="0" t="str">
        <f aca="false">IF(B3340="","",VALUE(LEFT(B3340,2)))</f>
        <v/>
      </c>
      <c r="M3340" s="0" t="str">
        <f aca="false">IF(A3340="","",IF(COUNTIFS($C$2:$C$5001,C3340,$J$2:$J$5001,J3340,$A$2:$A$5001,"&lt;"&amp;A3340)=0,1,0))</f>
        <v/>
      </c>
    </row>
    <row r="3341" customFormat="false" ht="15" hidden="false" customHeight="false" outlineLevel="0" collapsed="false">
      <c r="A3341" s="27"/>
      <c r="F3341" s="28"/>
      <c r="J3341" s="0" t="str">
        <f aca="false">IF(A3341="","",YEAR(A3341))</f>
        <v/>
      </c>
      <c r="K3341" s="0" t="str">
        <f aca="false">IF(A3341="","",MONTH(A3341))</f>
        <v/>
      </c>
      <c r="L3341" s="0" t="str">
        <f aca="false">IF(B3341="","",VALUE(LEFT(B3341,2)))</f>
        <v/>
      </c>
      <c r="M3341" s="0" t="str">
        <f aca="false">IF(A3341="","",IF(COUNTIFS($C$2:$C$5001,C3341,$J$2:$J$5001,J3341,$A$2:$A$5001,"&lt;"&amp;A3341)=0,1,0))</f>
        <v/>
      </c>
    </row>
    <row r="3342" customFormat="false" ht="15" hidden="false" customHeight="false" outlineLevel="0" collapsed="false">
      <c r="A3342" s="27"/>
      <c r="F3342" s="28"/>
      <c r="J3342" s="0" t="str">
        <f aca="false">IF(A3342="","",YEAR(A3342))</f>
        <v/>
      </c>
      <c r="K3342" s="0" t="str">
        <f aca="false">IF(A3342="","",MONTH(A3342))</f>
        <v/>
      </c>
      <c r="L3342" s="0" t="str">
        <f aca="false">IF(B3342="","",VALUE(LEFT(B3342,2)))</f>
        <v/>
      </c>
      <c r="M3342" s="0" t="str">
        <f aca="false">IF(A3342="","",IF(COUNTIFS($C$2:$C$5001,C3342,$J$2:$J$5001,J3342,$A$2:$A$5001,"&lt;"&amp;A3342)=0,1,0))</f>
        <v/>
      </c>
    </row>
    <row r="3343" customFormat="false" ht="15" hidden="false" customHeight="false" outlineLevel="0" collapsed="false">
      <c r="A3343" s="27"/>
      <c r="F3343" s="28"/>
      <c r="J3343" s="0" t="str">
        <f aca="false">IF(A3343="","",YEAR(A3343))</f>
        <v/>
      </c>
      <c r="K3343" s="0" t="str">
        <f aca="false">IF(A3343="","",MONTH(A3343))</f>
        <v/>
      </c>
      <c r="L3343" s="0" t="str">
        <f aca="false">IF(B3343="","",VALUE(LEFT(B3343,2)))</f>
        <v/>
      </c>
      <c r="M3343" s="0" t="str">
        <f aca="false">IF(A3343="","",IF(COUNTIFS($C$2:$C$5001,C3343,$J$2:$J$5001,J3343,$A$2:$A$5001,"&lt;"&amp;A3343)=0,1,0))</f>
        <v/>
      </c>
    </row>
    <row r="3344" customFormat="false" ht="15" hidden="false" customHeight="false" outlineLevel="0" collapsed="false">
      <c r="A3344" s="27"/>
      <c r="F3344" s="28"/>
      <c r="J3344" s="0" t="str">
        <f aca="false">IF(A3344="","",YEAR(A3344))</f>
        <v/>
      </c>
      <c r="K3344" s="0" t="str">
        <f aca="false">IF(A3344="","",MONTH(A3344))</f>
        <v/>
      </c>
      <c r="L3344" s="0" t="str">
        <f aca="false">IF(B3344="","",VALUE(LEFT(B3344,2)))</f>
        <v/>
      </c>
      <c r="M3344" s="0" t="str">
        <f aca="false">IF(A3344="","",IF(COUNTIFS($C$2:$C$5001,C3344,$J$2:$J$5001,J3344,$A$2:$A$5001,"&lt;"&amp;A3344)=0,1,0))</f>
        <v/>
      </c>
    </row>
    <row r="3345" customFormat="false" ht="15" hidden="false" customHeight="false" outlineLevel="0" collapsed="false">
      <c r="A3345" s="27"/>
      <c r="F3345" s="28"/>
      <c r="J3345" s="0" t="str">
        <f aca="false">IF(A3345="","",YEAR(A3345))</f>
        <v/>
      </c>
      <c r="K3345" s="0" t="str">
        <f aca="false">IF(A3345="","",MONTH(A3345))</f>
        <v/>
      </c>
      <c r="L3345" s="0" t="str">
        <f aca="false">IF(B3345="","",VALUE(LEFT(B3345,2)))</f>
        <v/>
      </c>
      <c r="M3345" s="0" t="str">
        <f aca="false">IF(A3345="","",IF(COUNTIFS($C$2:$C$5001,C3345,$J$2:$J$5001,J3345,$A$2:$A$5001,"&lt;"&amp;A3345)=0,1,0))</f>
        <v/>
      </c>
    </row>
    <row r="3346" customFormat="false" ht="15" hidden="false" customHeight="false" outlineLevel="0" collapsed="false">
      <c r="A3346" s="27"/>
      <c r="F3346" s="28"/>
      <c r="J3346" s="0" t="str">
        <f aca="false">IF(A3346="","",YEAR(A3346))</f>
        <v/>
      </c>
      <c r="K3346" s="0" t="str">
        <f aca="false">IF(A3346="","",MONTH(A3346))</f>
        <v/>
      </c>
      <c r="L3346" s="0" t="str">
        <f aca="false">IF(B3346="","",VALUE(LEFT(B3346,2)))</f>
        <v/>
      </c>
      <c r="M3346" s="0" t="str">
        <f aca="false">IF(A3346="","",IF(COUNTIFS($C$2:$C$5001,C3346,$J$2:$J$5001,J3346,$A$2:$A$5001,"&lt;"&amp;A3346)=0,1,0))</f>
        <v/>
      </c>
    </row>
    <row r="3347" customFormat="false" ht="15" hidden="false" customHeight="false" outlineLevel="0" collapsed="false">
      <c r="A3347" s="27"/>
      <c r="F3347" s="28"/>
      <c r="J3347" s="0" t="str">
        <f aca="false">IF(A3347="","",YEAR(A3347))</f>
        <v/>
      </c>
      <c r="K3347" s="0" t="str">
        <f aca="false">IF(A3347="","",MONTH(A3347))</f>
        <v/>
      </c>
      <c r="L3347" s="0" t="str">
        <f aca="false">IF(B3347="","",VALUE(LEFT(B3347,2)))</f>
        <v/>
      </c>
      <c r="M3347" s="0" t="str">
        <f aca="false">IF(A3347="","",IF(COUNTIFS($C$2:$C$5001,C3347,$J$2:$J$5001,J3347,$A$2:$A$5001,"&lt;"&amp;A3347)=0,1,0))</f>
        <v/>
      </c>
    </row>
    <row r="3348" customFormat="false" ht="15" hidden="false" customHeight="false" outlineLevel="0" collapsed="false">
      <c r="A3348" s="27"/>
      <c r="F3348" s="28"/>
      <c r="J3348" s="0" t="str">
        <f aca="false">IF(A3348="","",YEAR(A3348))</f>
        <v/>
      </c>
      <c r="K3348" s="0" t="str">
        <f aca="false">IF(A3348="","",MONTH(A3348))</f>
        <v/>
      </c>
      <c r="L3348" s="0" t="str">
        <f aca="false">IF(B3348="","",VALUE(LEFT(B3348,2)))</f>
        <v/>
      </c>
      <c r="M3348" s="0" t="str">
        <f aca="false">IF(A3348="","",IF(COUNTIFS($C$2:$C$5001,C3348,$J$2:$J$5001,J3348,$A$2:$A$5001,"&lt;"&amp;A3348)=0,1,0))</f>
        <v/>
      </c>
    </row>
    <row r="3349" customFormat="false" ht="15" hidden="false" customHeight="false" outlineLevel="0" collapsed="false">
      <c r="A3349" s="27"/>
      <c r="F3349" s="28"/>
      <c r="J3349" s="0" t="str">
        <f aca="false">IF(A3349="","",YEAR(A3349))</f>
        <v/>
      </c>
      <c r="K3349" s="0" t="str">
        <f aca="false">IF(A3349="","",MONTH(A3349))</f>
        <v/>
      </c>
      <c r="L3349" s="0" t="str">
        <f aca="false">IF(B3349="","",VALUE(LEFT(B3349,2)))</f>
        <v/>
      </c>
      <c r="M3349" s="0" t="str">
        <f aca="false">IF(A3349="","",IF(COUNTIFS($C$2:$C$5001,C3349,$J$2:$J$5001,J3349,$A$2:$A$5001,"&lt;"&amp;A3349)=0,1,0))</f>
        <v/>
      </c>
    </row>
    <row r="3350" customFormat="false" ht="15" hidden="false" customHeight="false" outlineLevel="0" collapsed="false">
      <c r="A3350" s="27"/>
      <c r="F3350" s="28"/>
      <c r="J3350" s="0" t="str">
        <f aca="false">IF(A3350="","",YEAR(A3350))</f>
        <v/>
      </c>
      <c r="K3350" s="0" t="str">
        <f aca="false">IF(A3350="","",MONTH(A3350))</f>
        <v/>
      </c>
      <c r="L3350" s="0" t="str">
        <f aca="false">IF(B3350="","",VALUE(LEFT(B3350,2)))</f>
        <v/>
      </c>
      <c r="M3350" s="0" t="str">
        <f aca="false">IF(A3350="","",IF(COUNTIFS($C$2:$C$5001,C3350,$J$2:$J$5001,J3350,$A$2:$A$5001,"&lt;"&amp;A3350)=0,1,0))</f>
        <v/>
      </c>
    </row>
    <row r="3351" customFormat="false" ht="15" hidden="false" customHeight="false" outlineLevel="0" collapsed="false">
      <c r="A3351" s="27"/>
      <c r="F3351" s="28"/>
      <c r="J3351" s="0" t="str">
        <f aca="false">IF(A3351="","",YEAR(A3351))</f>
        <v/>
      </c>
      <c r="K3351" s="0" t="str">
        <f aca="false">IF(A3351="","",MONTH(A3351))</f>
        <v/>
      </c>
      <c r="L3351" s="0" t="str">
        <f aca="false">IF(B3351="","",VALUE(LEFT(B3351,2)))</f>
        <v/>
      </c>
      <c r="M3351" s="0" t="str">
        <f aca="false">IF(A3351="","",IF(COUNTIFS($C$2:$C$5001,C3351,$J$2:$J$5001,J3351,$A$2:$A$5001,"&lt;"&amp;A3351)=0,1,0))</f>
        <v/>
      </c>
    </row>
    <row r="3352" customFormat="false" ht="15" hidden="false" customHeight="false" outlineLevel="0" collapsed="false">
      <c r="A3352" s="27"/>
      <c r="F3352" s="28"/>
      <c r="J3352" s="0" t="str">
        <f aca="false">IF(A3352="","",YEAR(A3352))</f>
        <v/>
      </c>
      <c r="K3352" s="0" t="str">
        <f aca="false">IF(A3352="","",MONTH(A3352))</f>
        <v/>
      </c>
      <c r="L3352" s="0" t="str">
        <f aca="false">IF(B3352="","",VALUE(LEFT(B3352,2)))</f>
        <v/>
      </c>
      <c r="M3352" s="0" t="str">
        <f aca="false">IF(A3352="","",IF(COUNTIFS($C$2:$C$5001,C3352,$J$2:$J$5001,J3352,$A$2:$A$5001,"&lt;"&amp;A3352)=0,1,0))</f>
        <v/>
      </c>
    </row>
    <row r="3353" customFormat="false" ht="15" hidden="false" customHeight="false" outlineLevel="0" collapsed="false">
      <c r="A3353" s="27"/>
      <c r="F3353" s="28"/>
      <c r="J3353" s="0" t="str">
        <f aca="false">IF(A3353="","",YEAR(A3353))</f>
        <v/>
      </c>
      <c r="K3353" s="0" t="str">
        <f aca="false">IF(A3353="","",MONTH(A3353))</f>
        <v/>
      </c>
      <c r="L3353" s="0" t="str">
        <f aca="false">IF(B3353="","",VALUE(LEFT(B3353,2)))</f>
        <v/>
      </c>
      <c r="M3353" s="0" t="str">
        <f aca="false">IF(A3353="","",IF(COUNTIFS($C$2:$C$5001,C3353,$J$2:$J$5001,J3353,$A$2:$A$5001,"&lt;"&amp;A3353)=0,1,0))</f>
        <v/>
      </c>
    </row>
    <row r="3354" customFormat="false" ht="15" hidden="false" customHeight="false" outlineLevel="0" collapsed="false">
      <c r="A3354" s="27"/>
      <c r="F3354" s="28"/>
      <c r="J3354" s="0" t="str">
        <f aca="false">IF(A3354="","",YEAR(A3354))</f>
        <v/>
      </c>
      <c r="K3354" s="0" t="str">
        <f aca="false">IF(A3354="","",MONTH(A3354))</f>
        <v/>
      </c>
      <c r="L3354" s="0" t="str">
        <f aca="false">IF(B3354="","",VALUE(LEFT(B3354,2)))</f>
        <v/>
      </c>
      <c r="M3354" s="0" t="str">
        <f aca="false">IF(A3354="","",IF(COUNTIFS($C$2:$C$5001,C3354,$J$2:$J$5001,J3354,$A$2:$A$5001,"&lt;"&amp;A3354)=0,1,0))</f>
        <v/>
      </c>
    </row>
    <row r="3355" customFormat="false" ht="15" hidden="false" customHeight="false" outlineLevel="0" collapsed="false">
      <c r="A3355" s="27"/>
      <c r="F3355" s="28"/>
      <c r="J3355" s="0" t="str">
        <f aca="false">IF(A3355="","",YEAR(A3355))</f>
        <v/>
      </c>
      <c r="K3355" s="0" t="str">
        <f aca="false">IF(A3355="","",MONTH(A3355))</f>
        <v/>
      </c>
      <c r="L3355" s="0" t="str">
        <f aca="false">IF(B3355="","",VALUE(LEFT(B3355,2)))</f>
        <v/>
      </c>
      <c r="M3355" s="0" t="str">
        <f aca="false">IF(A3355="","",IF(COUNTIFS($C$2:$C$5001,C3355,$J$2:$J$5001,J3355,$A$2:$A$5001,"&lt;"&amp;A3355)=0,1,0))</f>
        <v/>
      </c>
    </row>
    <row r="3356" customFormat="false" ht="15" hidden="false" customHeight="false" outlineLevel="0" collapsed="false">
      <c r="A3356" s="27"/>
      <c r="F3356" s="28"/>
      <c r="J3356" s="0" t="str">
        <f aca="false">IF(A3356="","",YEAR(A3356))</f>
        <v/>
      </c>
      <c r="K3356" s="0" t="str">
        <f aca="false">IF(A3356="","",MONTH(A3356))</f>
        <v/>
      </c>
      <c r="L3356" s="0" t="str">
        <f aca="false">IF(B3356="","",VALUE(LEFT(B3356,2)))</f>
        <v/>
      </c>
      <c r="M3356" s="0" t="str">
        <f aca="false">IF(A3356="","",IF(COUNTIFS($C$2:$C$5001,C3356,$J$2:$J$5001,J3356,$A$2:$A$5001,"&lt;"&amp;A3356)=0,1,0))</f>
        <v/>
      </c>
    </row>
    <row r="3357" customFormat="false" ht="15" hidden="false" customHeight="false" outlineLevel="0" collapsed="false">
      <c r="A3357" s="27"/>
      <c r="F3357" s="28"/>
      <c r="J3357" s="0" t="str">
        <f aca="false">IF(A3357="","",YEAR(A3357))</f>
        <v/>
      </c>
      <c r="K3357" s="0" t="str">
        <f aca="false">IF(A3357="","",MONTH(A3357))</f>
        <v/>
      </c>
      <c r="L3357" s="0" t="str">
        <f aca="false">IF(B3357="","",VALUE(LEFT(B3357,2)))</f>
        <v/>
      </c>
      <c r="M3357" s="0" t="str">
        <f aca="false">IF(A3357="","",IF(COUNTIFS($C$2:$C$5001,C3357,$J$2:$J$5001,J3357,$A$2:$A$5001,"&lt;"&amp;A3357)=0,1,0))</f>
        <v/>
      </c>
    </row>
    <row r="3358" customFormat="false" ht="15" hidden="false" customHeight="false" outlineLevel="0" collapsed="false">
      <c r="A3358" s="27"/>
      <c r="F3358" s="28"/>
      <c r="J3358" s="0" t="str">
        <f aca="false">IF(A3358="","",YEAR(A3358))</f>
        <v/>
      </c>
      <c r="K3358" s="0" t="str">
        <f aca="false">IF(A3358="","",MONTH(A3358))</f>
        <v/>
      </c>
      <c r="L3358" s="0" t="str">
        <f aca="false">IF(B3358="","",VALUE(LEFT(B3358,2)))</f>
        <v/>
      </c>
      <c r="M3358" s="0" t="str">
        <f aca="false">IF(A3358="","",IF(COUNTIFS($C$2:$C$5001,C3358,$J$2:$J$5001,J3358,$A$2:$A$5001,"&lt;"&amp;A3358)=0,1,0))</f>
        <v/>
      </c>
    </row>
    <row r="3359" customFormat="false" ht="15" hidden="false" customHeight="false" outlineLevel="0" collapsed="false">
      <c r="A3359" s="27"/>
      <c r="F3359" s="28"/>
      <c r="J3359" s="0" t="str">
        <f aca="false">IF(A3359="","",YEAR(A3359))</f>
        <v/>
      </c>
      <c r="K3359" s="0" t="str">
        <f aca="false">IF(A3359="","",MONTH(A3359))</f>
        <v/>
      </c>
      <c r="L3359" s="0" t="str">
        <f aca="false">IF(B3359="","",VALUE(LEFT(B3359,2)))</f>
        <v/>
      </c>
      <c r="M3359" s="0" t="str">
        <f aca="false">IF(A3359="","",IF(COUNTIFS($C$2:$C$5001,C3359,$J$2:$J$5001,J3359,$A$2:$A$5001,"&lt;"&amp;A3359)=0,1,0))</f>
        <v/>
      </c>
    </row>
    <row r="3360" customFormat="false" ht="15" hidden="false" customHeight="false" outlineLevel="0" collapsed="false">
      <c r="A3360" s="27"/>
      <c r="F3360" s="28"/>
      <c r="J3360" s="0" t="str">
        <f aca="false">IF(A3360="","",YEAR(A3360))</f>
        <v/>
      </c>
      <c r="K3360" s="0" t="str">
        <f aca="false">IF(A3360="","",MONTH(A3360))</f>
        <v/>
      </c>
      <c r="L3360" s="0" t="str">
        <f aca="false">IF(B3360="","",VALUE(LEFT(B3360,2)))</f>
        <v/>
      </c>
      <c r="M3360" s="0" t="str">
        <f aca="false">IF(A3360="","",IF(COUNTIFS($C$2:$C$5001,C3360,$J$2:$J$5001,J3360,$A$2:$A$5001,"&lt;"&amp;A3360)=0,1,0))</f>
        <v/>
      </c>
    </row>
    <row r="3361" customFormat="false" ht="15" hidden="false" customHeight="false" outlineLevel="0" collapsed="false">
      <c r="A3361" s="27"/>
      <c r="F3361" s="28"/>
      <c r="J3361" s="0" t="str">
        <f aca="false">IF(A3361="","",YEAR(A3361))</f>
        <v/>
      </c>
      <c r="K3361" s="0" t="str">
        <f aca="false">IF(A3361="","",MONTH(A3361))</f>
        <v/>
      </c>
      <c r="L3361" s="0" t="str">
        <f aca="false">IF(B3361="","",VALUE(LEFT(B3361,2)))</f>
        <v/>
      </c>
      <c r="M3361" s="0" t="str">
        <f aca="false">IF(A3361="","",IF(COUNTIFS($C$2:$C$5001,C3361,$J$2:$J$5001,J3361,$A$2:$A$5001,"&lt;"&amp;A3361)=0,1,0))</f>
        <v/>
      </c>
    </row>
    <row r="3362" customFormat="false" ht="15" hidden="false" customHeight="false" outlineLevel="0" collapsed="false">
      <c r="A3362" s="27"/>
      <c r="F3362" s="28"/>
      <c r="J3362" s="0" t="str">
        <f aca="false">IF(A3362="","",YEAR(A3362))</f>
        <v/>
      </c>
      <c r="K3362" s="0" t="str">
        <f aca="false">IF(A3362="","",MONTH(A3362))</f>
        <v/>
      </c>
      <c r="L3362" s="0" t="str">
        <f aca="false">IF(B3362="","",VALUE(LEFT(B3362,2)))</f>
        <v/>
      </c>
      <c r="M3362" s="0" t="str">
        <f aca="false">IF(A3362="","",IF(COUNTIFS($C$2:$C$5001,C3362,$J$2:$J$5001,J3362,$A$2:$A$5001,"&lt;"&amp;A3362)=0,1,0))</f>
        <v/>
      </c>
    </row>
    <row r="3363" customFormat="false" ht="15" hidden="false" customHeight="false" outlineLevel="0" collapsed="false">
      <c r="A3363" s="27"/>
      <c r="F3363" s="28"/>
      <c r="J3363" s="0" t="str">
        <f aca="false">IF(A3363="","",YEAR(A3363))</f>
        <v/>
      </c>
      <c r="K3363" s="0" t="str">
        <f aca="false">IF(A3363="","",MONTH(A3363))</f>
        <v/>
      </c>
      <c r="L3363" s="0" t="str">
        <f aca="false">IF(B3363="","",VALUE(LEFT(B3363,2)))</f>
        <v/>
      </c>
      <c r="M3363" s="0" t="str">
        <f aca="false">IF(A3363="","",IF(COUNTIFS($C$2:$C$5001,C3363,$J$2:$J$5001,J3363,$A$2:$A$5001,"&lt;"&amp;A3363)=0,1,0))</f>
        <v/>
      </c>
    </row>
    <row r="3364" customFormat="false" ht="15" hidden="false" customHeight="false" outlineLevel="0" collapsed="false">
      <c r="A3364" s="27"/>
      <c r="F3364" s="28"/>
      <c r="J3364" s="0" t="str">
        <f aca="false">IF(A3364="","",YEAR(A3364))</f>
        <v/>
      </c>
      <c r="K3364" s="0" t="str">
        <f aca="false">IF(A3364="","",MONTH(A3364))</f>
        <v/>
      </c>
      <c r="L3364" s="0" t="str">
        <f aca="false">IF(B3364="","",VALUE(LEFT(B3364,2)))</f>
        <v/>
      </c>
      <c r="M3364" s="0" t="str">
        <f aca="false">IF(A3364="","",IF(COUNTIFS($C$2:$C$5001,C3364,$J$2:$J$5001,J3364,$A$2:$A$5001,"&lt;"&amp;A3364)=0,1,0))</f>
        <v/>
      </c>
    </row>
    <row r="3365" customFormat="false" ht="15" hidden="false" customHeight="false" outlineLevel="0" collapsed="false">
      <c r="A3365" s="27"/>
      <c r="F3365" s="28"/>
      <c r="J3365" s="0" t="str">
        <f aca="false">IF(A3365="","",YEAR(A3365))</f>
        <v/>
      </c>
      <c r="K3365" s="0" t="str">
        <f aca="false">IF(A3365="","",MONTH(A3365))</f>
        <v/>
      </c>
      <c r="L3365" s="0" t="str">
        <f aca="false">IF(B3365="","",VALUE(LEFT(B3365,2)))</f>
        <v/>
      </c>
      <c r="M3365" s="0" t="str">
        <f aca="false">IF(A3365="","",IF(COUNTIFS($C$2:$C$5001,C3365,$J$2:$J$5001,J3365,$A$2:$A$5001,"&lt;"&amp;A3365)=0,1,0))</f>
        <v/>
      </c>
    </row>
    <row r="3366" customFormat="false" ht="15" hidden="false" customHeight="false" outlineLevel="0" collapsed="false">
      <c r="A3366" s="27"/>
      <c r="F3366" s="28"/>
      <c r="J3366" s="0" t="str">
        <f aca="false">IF(A3366="","",YEAR(A3366))</f>
        <v/>
      </c>
      <c r="K3366" s="0" t="str">
        <f aca="false">IF(A3366="","",MONTH(A3366))</f>
        <v/>
      </c>
      <c r="L3366" s="0" t="str">
        <f aca="false">IF(B3366="","",VALUE(LEFT(B3366,2)))</f>
        <v/>
      </c>
      <c r="M3366" s="0" t="str">
        <f aca="false">IF(A3366="","",IF(COUNTIFS($C$2:$C$5001,C3366,$J$2:$J$5001,J3366,$A$2:$A$5001,"&lt;"&amp;A3366)=0,1,0))</f>
        <v/>
      </c>
    </row>
    <row r="3367" customFormat="false" ht="15" hidden="false" customHeight="false" outlineLevel="0" collapsed="false">
      <c r="A3367" s="27"/>
      <c r="F3367" s="28"/>
      <c r="J3367" s="0" t="str">
        <f aca="false">IF(A3367="","",YEAR(A3367))</f>
        <v/>
      </c>
      <c r="K3367" s="0" t="str">
        <f aca="false">IF(A3367="","",MONTH(A3367))</f>
        <v/>
      </c>
      <c r="L3367" s="0" t="str">
        <f aca="false">IF(B3367="","",VALUE(LEFT(B3367,2)))</f>
        <v/>
      </c>
      <c r="M3367" s="0" t="str">
        <f aca="false">IF(A3367="","",IF(COUNTIFS($C$2:$C$5001,C3367,$J$2:$J$5001,J3367,$A$2:$A$5001,"&lt;"&amp;A3367)=0,1,0))</f>
        <v/>
      </c>
    </row>
    <row r="3368" customFormat="false" ht="15" hidden="false" customHeight="false" outlineLevel="0" collapsed="false">
      <c r="A3368" s="27"/>
      <c r="F3368" s="28"/>
      <c r="J3368" s="0" t="str">
        <f aca="false">IF(A3368="","",YEAR(A3368))</f>
        <v/>
      </c>
      <c r="K3368" s="0" t="str">
        <f aca="false">IF(A3368="","",MONTH(A3368))</f>
        <v/>
      </c>
      <c r="L3368" s="0" t="str">
        <f aca="false">IF(B3368="","",VALUE(LEFT(B3368,2)))</f>
        <v/>
      </c>
      <c r="M3368" s="0" t="str">
        <f aca="false">IF(A3368="","",IF(COUNTIFS($C$2:$C$5001,C3368,$J$2:$J$5001,J3368,$A$2:$A$5001,"&lt;"&amp;A3368)=0,1,0))</f>
        <v/>
      </c>
    </row>
    <row r="3369" customFormat="false" ht="15" hidden="false" customHeight="false" outlineLevel="0" collapsed="false">
      <c r="A3369" s="27"/>
      <c r="F3369" s="28"/>
      <c r="J3369" s="0" t="str">
        <f aca="false">IF(A3369="","",YEAR(A3369))</f>
        <v/>
      </c>
      <c r="K3369" s="0" t="str">
        <f aca="false">IF(A3369="","",MONTH(A3369))</f>
        <v/>
      </c>
      <c r="L3369" s="0" t="str">
        <f aca="false">IF(B3369="","",VALUE(LEFT(B3369,2)))</f>
        <v/>
      </c>
      <c r="M3369" s="0" t="str">
        <f aca="false">IF(A3369="","",IF(COUNTIFS($C$2:$C$5001,C3369,$J$2:$J$5001,J3369,$A$2:$A$5001,"&lt;"&amp;A3369)=0,1,0))</f>
        <v/>
      </c>
    </row>
    <row r="3370" customFormat="false" ht="15" hidden="false" customHeight="false" outlineLevel="0" collapsed="false">
      <c r="A3370" s="27"/>
      <c r="F3370" s="28"/>
      <c r="J3370" s="0" t="str">
        <f aca="false">IF(A3370="","",YEAR(A3370))</f>
        <v/>
      </c>
      <c r="K3370" s="0" t="str">
        <f aca="false">IF(A3370="","",MONTH(A3370))</f>
        <v/>
      </c>
      <c r="L3370" s="0" t="str">
        <f aca="false">IF(B3370="","",VALUE(LEFT(B3370,2)))</f>
        <v/>
      </c>
      <c r="M3370" s="0" t="str">
        <f aca="false">IF(A3370="","",IF(COUNTIFS($C$2:$C$5001,C3370,$J$2:$J$5001,J3370,$A$2:$A$5001,"&lt;"&amp;A3370)=0,1,0))</f>
        <v/>
      </c>
    </row>
    <row r="3371" customFormat="false" ht="15" hidden="false" customHeight="false" outlineLevel="0" collapsed="false">
      <c r="A3371" s="27"/>
      <c r="F3371" s="28"/>
      <c r="J3371" s="0" t="str">
        <f aca="false">IF(A3371="","",YEAR(A3371))</f>
        <v/>
      </c>
      <c r="K3371" s="0" t="str">
        <f aca="false">IF(A3371="","",MONTH(A3371))</f>
        <v/>
      </c>
      <c r="L3371" s="0" t="str">
        <f aca="false">IF(B3371="","",VALUE(LEFT(B3371,2)))</f>
        <v/>
      </c>
      <c r="M3371" s="0" t="str">
        <f aca="false">IF(A3371="","",IF(COUNTIFS($C$2:$C$5001,C3371,$J$2:$J$5001,J3371,$A$2:$A$5001,"&lt;"&amp;A3371)=0,1,0))</f>
        <v/>
      </c>
    </row>
    <row r="3372" customFormat="false" ht="15" hidden="false" customHeight="false" outlineLevel="0" collapsed="false">
      <c r="A3372" s="27"/>
      <c r="F3372" s="28"/>
      <c r="J3372" s="0" t="str">
        <f aca="false">IF(A3372="","",YEAR(A3372))</f>
        <v/>
      </c>
      <c r="K3372" s="0" t="str">
        <f aca="false">IF(A3372="","",MONTH(A3372))</f>
        <v/>
      </c>
      <c r="L3372" s="0" t="str">
        <f aca="false">IF(B3372="","",VALUE(LEFT(B3372,2)))</f>
        <v/>
      </c>
      <c r="M3372" s="0" t="str">
        <f aca="false">IF(A3372="","",IF(COUNTIFS($C$2:$C$5001,C3372,$J$2:$J$5001,J3372,$A$2:$A$5001,"&lt;"&amp;A3372)=0,1,0))</f>
        <v/>
      </c>
    </row>
    <row r="3373" customFormat="false" ht="15" hidden="false" customHeight="false" outlineLevel="0" collapsed="false">
      <c r="A3373" s="27"/>
      <c r="F3373" s="28"/>
      <c r="J3373" s="0" t="str">
        <f aca="false">IF(A3373="","",YEAR(A3373))</f>
        <v/>
      </c>
      <c r="K3373" s="0" t="str">
        <f aca="false">IF(A3373="","",MONTH(A3373))</f>
        <v/>
      </c>
      <c r="L3373" s="0" t="str">
        <f aca="false">IF(B3373="","",VALUE(LEFT(B3373,2)))</f>
        <v/>
      </c>
      <c r="M3373" s="0" t="str">
        <f aca="false">IF(A3373="","",IF(COUNTIFS($C$2:$C$5001,C3373,$J$2:$J$5001,J3373,$A$2:$A$5001,"&lt;"&amp;A3373)=0,1,0))</f>
        <v/>
      </c>
    </row>
    <row r="3374" customFormat="false" ht="15" hidden="false" customHeight="false" outlineLevel="0" collapsed="false">
      <c r="A3374" s="27"/>
      <c r="F3374" s="28"/>
      <c r="J3374" s="0" t="str">
        <f aca="false">IF(A3374="","",YEAR(A3374))</f>
        <v/>
      </c>
      <c r="K3374" s="0" t="str">
        <f aca="false">IF(A3374="","",MONTH(A3374))</f>
        <v/>
      </c>
      <c r="L3374" s="0" t="str">
        <f aca="false">IF(B3374="","",VALUE(LEFT(B3374,2)))</f>
        <v/>
      </c>
      <c r="M3374" s="0" t="str">
        <f aca="false">IF(A3374="","",IF(COUNTIFS($C$2:$C$5001,C3374,$J$2:$J$5001,J3374,$A$2:$A$5001,"&lt;"&amp;A3374)=0,1,0))</f>
        <v/>
      </c>
    </row>
    <row r="3375" customFormat="false" ht="15" hidden="false" customHeight="false" outlineLevel="0" collapsed="false">
      <c r="A3375" s="27"/>
      <c r="F3375" s="28"/>
      <c r="J3375" s="0" t="str">
        <f aca="false">IF(A3375="","",YEAR(A3375))</f>
        <v/>
      </c>
      <c r="K3375" s="0" t="str">
        <f aca="false">IF(A3375="","",MONTH(A3375))</f>
        <v/>
      </c>
      <c r="L3375" s="0" t="str">
        <f aca="false">IF(B3375="","",VALUE(LEFT(B3375,2)))</f>
        <v/>
      </c>
      <c r="M3375" s="0" t="str">
        <f aca="false">IF(A3375="","",IF(COUNTIFS($C$2:$C$5001,C3375,$J$2:$J$5001,J3375,$A$2:$A$5001,"&lt;"&amp;A3375)=0,1,0))</f>
        <v/>
      </c>
    </row>
    <row r="3376" customFormat="false" ht="15" hidden="false" customHeight="false" outlineLevel="0" collapsed="false">
      <c r="A3376" s="27"/>
      <c r="F3376" s="28"/>
      <c r="J3376" s="0" t="str">
        <f aca="false">IF(A3376="","",YEAR(A3376))</f>
        <v/>
      </c>
      <c r="K3376" s="0" t="str">
        <f aca="false">IF(A3376="","",MONTH(A3376))</f>
        <v/>
      </c>
      <c r="L3376" s="0" t="str">
        <f aca="false">IF(B3376="","",VALUE(LEFT(B3376,2)))</f>
        <v/>
      </c>
      <c r="M3376" s="0" t="str">
        <f aca="false">IF(A3376="","",IF(COUNTIFS($C$2:$C$5001,C3376,$J$2:$J$5001,J3376,$A$2:$A$5001,"&lt;"&amp;A3376)=0,1,0))</f>
        <v/>
      </c>
    </row>
    <row r="3377" customFormat="false" ht="15" hidden="false" customHeight="false" outlineLevel="0" collapsed="false">
      <c r="A3377" s="27"/>
      <c r="F3377" s="28"/>
      <c r="J3377" s="0" t="str">
        <f aca="false">IF(A3377="","",YEAR(A3377))</f>
        <v/>
      </c>
      <c r="K3377" s="0" t="str">
        <f aca="false">IF(A3377="","",MONTH(A3377))</f>
        <v/>
      </c>
      <c r="L3377" s="0" t="str">
        <f aca="false">IF(B3377="","",VALUE(LEFT(B3377,2)))</f>
        <v/>
      </c>
      <c r="M3377" s="0" t="str">
        <f aca="false">IF(A3377="","",IF(COUNTIFS($C$2:$C$5001,C3377,$J$2:$J$5001,J3377,$A$2:$A$5001,"&lt;"&amp;A3377)=0,1,0))</f>
        <v/>
      </c>
    </row>
    <row r="3378" customFormat="false" ht="15" hidden="false" customHeight="false" outlineLevel="0" collapsed="false">
      <c r="A3378" s="27"/>
      <c r="F3378" s="28"/>
      <c r="J3378" s="0" t="str">
        <f aca="false">IF(A3378="","",YEAR(A3378))</f>
        <v/>
      </c>
      <c r="K3378" s="0" t="str">
        <f aca="false">IF(A3378="","",MONTH(A3378))</f>
        <v/>
      </c>
      <c r="L3378" s="0" t="str">
        <f aca="false">IF(B3378="","",VALUE(LEFT(B3378,2)))</f>
        <v/>
      </c>
      <c r="M3378" s="0" t="str">
        <f aca="false">IF(A3378="","",IF(COUNTIFS($C$2:$C$5001,C3378,$J$2:$J$5001,J3378,$A$2:$A$5001,"&lt;"&amp;A3378)=0,1,0))</f>
        <v/>
      </c>
    </row>
    <row r="3379" customFormat="false" ht="15" hidden="false" customHeight="false" outlineLevel="0" collapsed="false">
      <c r="A3379" s="27"/>
      <c r="F3379" s="28"/>
      <c r="J3379" s="0" t="str">
        <f aca="false">IF(A3379="","",YEAR(A3379))</f>
        <v/>
      </c>
      <c r="K3379" s="0" t="str">
        <f aca="false">IF(A3379="","",MONTH(A3379))</f>
        <v/>
      </c>
      <c r="L3379" s="0" t="str">
        <f aca="false">IF(B3379="","",VALUE(LEFT(B3379,2)))</f>
        <v/>
      </c>
      <c r="M3379" s="0" t="str">
        <f aca="false">IF(A3379="","",IF(COUNTIFS($C$2:$C$5001,C3379,$J$2:$J$5001,J3379,$A$2:$A$5001,"&lt;"&amp;A3379)=0,1,0))</f>
        <v/>
      </c>
    </row>
    <row r="3380" customFormat="false" ht="15" hidden="false" customHeight="false" outlineLevel="0" collapsed="false">
      <c r="A3380" s="27"/>
      <c r="F3380" s="28"/>
      <c r="J3380" s="0" t="str">
        <f aca="false">IF(A3380="","",YEAR(A3380))</f>
        <v/>
      </c>
      <c r="K3380" s="0" t="str">
        <f aca="false">IF(A3380="","",MONTH(A3380))</f>
        <v/>
      </c>
      <c r="L3380" s="0" t="str">
        <f aca="false">IF(B3380="","",VALUE(LEFT(B3380,2)))</f>
        <v/>
      </c>
      <c r="M3380" s="0" t="str">
        <f aca="false">IF(A3380="","",IF(COUNTIFS($C$2:$C$5001,C3380,$J$2:$J$5001,J3380,$A$2:$A$5001,"&lt;"&amp;A3380)=0,1,0))</f>
        <v/>
      </c>
    </row>
    <row r="3381" customFormat="false" ht="15" hidden="false" customHeight="false" outlineLevel="0" collapsed="false">
      <c r="A3381" s="27"/>
      <c r="F3381" s="28"/>
      <c r="J3381" s="0" t="str">
        <f aca="false">IF(A3381="","",YEAR(A3381))</f>
        <v/>
      </c>
      <c r="K3381" s="0" t="str">
        <f aca="false">IF(A3381="","",MONTH(A3381))</f>
        <v/>
      </c>
      <c r="L3381" s="0" t="str">
        <f aca="false">IF(B3381="","",VALUE(LEFT(B3381,2)))</f>
        <v/>
      </c>
      <c r="M3381" s="0" t="str">
        <f aca="false">IF(A3381="","",IF(COUNTIFS($C$2:$C$5001,C3381,$J$2:$J$5001,J3381,$A$2:$A$5001,"&lt;"&amp;A3381)=0,1,0))</f>
        <v/>
      </c>
    </row>
    <row r="3382" customFormat="false" ht="15" hidden="false" customHeight="false" outlineLevel="0" collapsed="false">
      <c r="A3382" s="27"/>
      <c r="F3382" s="28"/>
      <c r="J3382" s="0" t="str">
        <f aca="false">IF(A3382="","",YEAR(A3382))</f>
        <v/>
      </c>
      <c r="K3382" s="0" t="str">
        <f aca="false">IF(A3382="","",MONTH(A3382))</f>
        <v/>
      </c>
      <c r="L3382" s="0" t="str">
        <f aca="false">IF(B3382="","",VALUE(LEFT(B3382,2)))</f>
        <v/>
      </c>
      <c r="M3382" s="0" t="str">
        <f aca="false">IF(A3382="","",IF(COUNTIFS($C$2:$C$5001,C3382,$J$2:$J$5001,J3382,$A$2:$A$5001,"&lt;"&amp;A3382)=0,1,0))</f>
        <v/>
      </c>
    </row>
    <row r="3383" customFormat="false" ht="15" hidden="false" customHeight="false" outlineLevel="0" collapsed="false">
      <c r="A3383" s="27"/>
      <c r="F3383" s="28"/>
      <c r="J3383" s="0" t="str">
        <f aca="false">IF(A3383="","",YEAR(A3383))</f>
        <v/>
      </c>
      <c r="K3383" s="0" t="str">
        <f aca="false">IF(A3383="","",MONTH(A3383))</f>
        <v/>
      </c>
      <c r="L3383" s="0" t="str">
        <f aca="false">IF(B3383="","",VALUE(LEFT(B3383,2)))</f>
        <v/>
      </c>
      <c r="M3383" s="0" t="str">
        <f aca="false">IF(A3383="","",IF(COUNTIFS($C$2:$C$5001,C3383,$J$2:$J$5001,J3383,$A$2:$A$5001,"&lt;"&amp;A3383)=0,1,0))</f>
        <v/>
      </c>
    </row>
    <row r="3384" customFormat="false" ht="15" hidden="false" customHeight="false" outlineLevel="0" collapsed="false">
      <c r="A3384" s="27"/>
      <c r="F3384" s="28"/>
      <c r="J3384" s="0" t="str">
        <f aca="false">IF(A3384="","",YEAR(A3384))</f>
        <v/>
      </c>
      <c r="K3384" s="0" t="str">
        <f aca="false">IF(A3384="","",MONTH(A3384))</f>
        <v/>
      </c>
      <c r="L3384" s="0" t="str">
        <f aca="false">IF(B3384="","",VALUE(LEFT(B3384,2)))</f>
        <v/>
      </c>
      <c r="M3384" s="0" t="str">
        <f aca="false">IF(A3384="","",IF(COUNTIFS($C$2:$C$5001,C3384,$J$2:$J$5001,J3384,$A$2:$A$5001,"&lt;"&amp;A3384)=0,1,0))</f>
        <v/>
      </c>
    </row>
    <row r="3385" customFormat="false" ht="15" hidden="false" customHeight="false" outlineLevel="0" collapsed="false">
      <c r="A3385" s="27"/>
      <c r="F3385" s="28"/>
      <c r="J3385" s="0" t="str">
        <f aca="false">IF(A3385="","",YEAR(A3385))</f>
        <v/>
      </c>
      <c r="K3385" s="0" t="str">
        <f aca="false">IF(A3385="","",MONTH(A3385))</f>
        <v/>
      </c>
      <c r="L3385" s="0" t="str">
        <f aca="false">IF(B3385="","",VALUE(LEFT(B3385,2)))</f>
        <v/>
      </c>
      <c r="M3385" s="0" t="str">
        <f aca="false">IF(A3385="","",IF(COUNTIFS($C$2:$C$5001,C3385,$J$2:$J$5001,J3385,$A$2:$A$5001,"&lt;"&amp;A3385)=0,1,0))</f>
        <v/>
      </c>
    </row>
    <row r="3386" customFormat="false" ht="15" hidden="false" customHeight="false" outlineLevel="0" collapsed="false">
      <c r="A3386" s="27"/>
      <c r="F3386" s="28"/>
      <c r="J3386" s="0" t="str">
        <f aca="false">IF(A3386="","",YEAR(A3386))</f>
        <v/>
      </c>
      <c r="K3386" s="0" t="str">
        <f aca="false">IF(A3386="","",MONTH(A3386))</f>
        <v/>
      </c>
      <c r="L3386" s="0" t="str">
        <f aca="false">IF(B3386="","",VALUE(LEFT(B3386,2)))</f>
        <v/>
      </c>
      <c r="M3386" s="0" t="str">
        <f aca="false">IF(A3386="","",IF(COUNTIFS($C$2:$C$5001,C3386,$J$2:$J$5001,J3386,$A$2:$A$5001,"&lt;"&amp;A3386)=0,1,0))</f>
        <v/>
      </c>
    </row>
    <row r="3387" customFormat="false" ht="15" hidden="false" customHeight="false" outlineLevel="0" collapsed="false">
      <c r="A3387" s="27"/>
      <c r="F3387" s="28"/>
      <c r="J3387" s="0" t="str">
        <f aca="false">IF(A3387="","",YEAR(A3387))</f>
        <v/>
      </c>
      <c r="K3387" s="0" t="str">
        <f aca="false">IF(A3387="","",MONTH(A3387))</f>
        <v/>
      </c>
      <c r="L3387" s="0" t="str">
        <f aca="false">IF(B3387="","",VALUE(LEFT(B3387,2)))</f>
        <v/>
      </c>
      <c r="M3387" s="0" t="str">
        <f aca="false">IF(A3387="","",IF(COUNTIFS($C$2:$C$5001,C3387,$J$2:$J$5001,J3387,$A$2:$A$5001,"&lt;"&amp;A3387)=0,1,0))</f>
        <v/>
      </c>
    </row>
    <row r="3388" customFormat="false" ht="15" hidden="false" customHeight="false" outlineLevel="0" collapsed="false">
      <c r="A3388" s="27"/>
      <c r="F3388" s="28"/>
      <c r="J3388" s="0" t="str">
        <f aca="false">IF(A3388="","",YEAR(A3388))</f>
        <v/>
      </c>
      <c r="K3388" s="0" t="str">
        <f aca="false">IF(A3388="","",MONTH(A3388))</f>
        <v/>
      </c>
      <c r="L3388" s="0" t="str">
        <f aca="false">IF(B3388="","",VALUE(LEFT(B3388,2)))</f>
        <v/>
      </c>
      <c r="M3388" s="0" t="str">
        <f aca="false">IF(A3388="","",IF(COUNTIFS($C$2:$C$5001,C3388,$J$2:$J$5001,J3388,$A$2:$A$5001,"&lt;"&amp;A3388)=0,1,0))</f>
        <v/>
      </c>
    </row>
    <row r="3389" customFormat="false" ht="15" hidden="false" customHeight="false" outlineLevel="0" collapsed="false">
      <c r="A3389" s="27"/>
      <c r="F3389" s="28"/>
      <c r="J3389" s="0" t="str">
        <f aca="false">IF(A3389="","",YEAR(A3389))</f>
        <v/>
      </c>
      <c r="K3389" s="0" t="str">
        <f aca="false">IF(A3389="","",MONTH(A3389))</f>
        <v/>
      </c>
      <c r="L3389" s="0" t="str">
        <f aca="false">IF(B3389="","",VALUE(LEFT(B3389,2)))</f>
        <v/>
      </c>
      <c r="M3389" s="0" t="str">
        <f aca="false">IF(A3389="","",IF(COUNTIFS($C$2:$C$5001,C3389,$J$2:$J$5001,J3389,$A$2:$A$5001,"&lt;"&amp;A3389)=0,1,0))</f>
        <v/>
      </c>
    </row>
    <row r="3390" customFormat="false" ht="15" hidden="false" customHeight="false" outlineLevel="0" collapsed="false">
      <c r="A3390" s="27"/>
      <c r="F3390" s="28"/>
      <c r="J3390" s="0" t="str">
        <f aca="false">IF(A3390="","",YEAR(A3390))</f>
        <v/>
      </c>
      <c r="K3390" s="0" t="str">
        <f aca="false">IF(A3390="","",MONTH(A3390))</f>
        <v/>
      </c>
      <c r="L3390" s="0" t="str">
        <f aca="false">IF(B3390="","",VALUE(LEFT(B3390,2)))</f>
        <v/>
      </c>
      <c r="M3390" s="0" t="str">
        <f aca="false">IF(A3390="","",IF(COUNTIFS($C$2:$C$5001,C3390,$J$2:$J$5001,J3390,$A$2:$A$5001,"&lt;"&amp;A3390)=0,1,0))</f>
        <v/>
      </c>
    </row>
    <row r="3391" customFormat="false" ht="15" hidden="false" customHeight="false" outlineLevel="0" collapsed="false">
      <c r="A3391" s="27"/>
      <c r="F3391" s="28"/>
      <c r="J3391" s="0" t="str">
        <f aca="false">IF(A3391="","",YEAR(A3391))</f>
        <v/>
      </c>
      <c r="K3391" s="0" t="str">
        <f aca="false">IF(A3391="","",MONTH(A3391))</f>
        <v/>
      </c>
      <c r="L3391" s="0" t="str">
        <f aca="false">IF(B3391="","",VALUE(LEFT(B3391,2)))</f>
        <v/>
      </c>
      <c r="M3391" s="0" t="str">
        <f aca="false">IF(A3391="","",IF(COUNTIFS($C$2:$C$5001,C3391,$J$2:$J$5001,J3391,$A$2:$A$5001,"&lt;"&amp;A3391)=0,1,0))</f>
        <v/>
      </c>
    </row>
    <row r="3392" customFormat="false" ht="15" hidden="false" customHeight="false" outlineLevel="0" collapsed="false">
      <c r="A3392" s="27"/>
      <c r="F3392" s="28"/>
      <c r="J3392" s="0" t="str">
        <f aca="false">IF(A3392="","",YEAR(A3392))</f>
        <v/>
      </c>
      <c r="K3392" s="0" t="str">
        <f aca="false">IF(A3392="","",MONTH(A3392))</f>
        <v/>
      </c>
      <c r="L3392" s="0" t="str">
        <f aca="false">IF(B3392="","",VALUE(LEFT(B3392,2)))</f>
        <v/>
      </c>
      <c r="M3392" s="0" t="str">
        <f aca="false">IF(A3392="","",IF(COUNTIFS($C$2:$C$5001,C3392,$J$2:$J$5001,J3392,$A$2:$A$5001,"&lt;"&amp;A3392)=0,1,0))</f>
        <v/>
      </c>
    </row>
    <row r="3393" customFormat="false" ht="15" hidden="false" customHeight="false" outlineLevel="0" collapsed="false">
      <c r="A3393" s="27"/>
      <c r="F3393" s="28"/>
      <c r="J3393" s="0" t="str">
        <f aca="false">IF(A3393="","",YEAR(A3393))</f>
        <v/>
      </c>
      <c r="K3393" s="0" t="str">
        <f aca="false">IF(A3393="","",MONTH(A3393))</f>
        <v/>
      </c>
      <c r="L3393" s="0" t="str">
        <f aca="false">IF(B3393="","",VALUE(LEFT(B3393,2)))</f>
        <v/>
      </c>
      <c r="M3393" s="0" t="str">
        <f aca="false">IF(A3393="","",IF(COUNTIFS($C$2:$C$5001,C3393,$J$2:$J$5001,J3393,$A$2:$A$5001,"&lt;"&amp;A3393)=0,1,0))</f>
        <v/>
      </c>
    </row>
    <row r="3394" customFormat="false" ht="15" hidden="false" customHeight="false" outlineLevel="0" collapsed="false">
      <c r="A3394" s="27"/>
      <c r="F3394" s="28"/>
      <c r="J3394" s="0" t="str">
        <f aca="false">IF(A3394="","",YEAR(A3394))</f>
        <v/>
      </c>
      <c r="K3394" s="0" t="str">
        <f aca="false">IF(A3394="","",MONTH(A3394))</f>
        <v/>
      </c>
      <c r="L3394" s="0" t="str">
        <f aca="false">IF(B3394="","",VALUE(LEFT(B3394,2)))</f>
        <v/>
      </c>
      <c r="M3394" s="0" t="str">
        <f aca="false">IF(A3394="","",IF(COUNTIFS($C$2:$C$5001,C3394,$J$2:$J$5001,J3394,$A$2:$A$5001,"&lt;"&amp;A3394)=0,1,0))</f>
        <v/>
      </c>
    </row>
    <row r="3395" customFormat="false" ht="15" hidden="false" customHeight="false" outlineLevel="0" collapsed="false">
      <c r="A3395" s="27"/>
      <c r="F3395" s="28"/>
      <c r="J3395" s="0" t="str">
        <f aca="false">IF(A3395="","",YEAR(A3395))</f>
        <v/>
      </c>
      <c r="K3395" s="0" t="str">
        <f aca="false">IF(A3395="","",MONTH(A3395))</f>
        <v/>
      </c>
      <c r="L3395" s="0" t="str">
        <f aca="false">IF(B3395="","",VALUE(LEFT(B3395,2)))</f>
        <v/>
      </c>
      <c r="M3395" s="0" t="str">
        <f aca="false">IF(A3395="","",IF(COUNTIFS($C$2:$C$5001,C3395,$J$2:$J$5001,J3395,$A$2:$A$5001,"&lt;"&amp;A3395)=0,1,0))</f>
        <v/>
      </c>
    </row>
    <row r="3396" customFormat="false" ht="15" hidden="false" customHeight="false" outlineLevel="0" collapsed="false">
      <c r="A3396" s="27"/>
      <c r="F3396" s="28"/>
      <c r="J3396" s="0" t="str">
        <f aca="false">IF(A3396="","",YEAR(A3396))</f>
        <v/>
      </c>
      <c r="K3396" s="0" t="str">
        <f aca="false">IF(A3396="","",MONTH(A3396))</f>
        <v/>
      </c>
      <c r="L3396" s="0" t="str">
        <f aca="false">IF(B3396="","",VALUE(LEFT(B3396,2)))</f>
        <v/>
      </c>
      <c r="M3396" s="0" t="str">
        <f aca="false">IF(A3396="","",IF(COUNTIFS($C$2:$C$5001,C3396,$J$2:$J$5001,J3396,$A$2:$A$5001,"&lt;"&amp;A3396)=0,1,0))</f>
        <v/>
      </c>
    </row>
    <row r="3397" customFormat="false" ht="15" hidden="false" customHeight="false" outlineLevel="0" collapsed="false">
      <c r="A3397" s="27"/>
      <c r="F3397" s="28"/>
      <c r="J3397" s="0" t="str">
        <f aca="false">IF(A3397="","",YEAR(A3397))</f>
        <v/>
      </c>
      <c r="K3397" s="0" t="str">
        <f aca="false">IF(A3397="","",MONTH(A3397))</f>
        <v/>
      </c>
      <c r="L3397" s="0" t="str">
        <f aca="false">IF(B3397="","",VALUE(LEFT(B3397,2)))</f>
        <v/>
      </c>
      <c r="M3397" s="0" t="str">
        <f aca="false">IF(A3397="","",IF(COUNTIFS($C$2:$C$5001,C3397,$J$2:$J$5001,J3397,$A$2:$A$5001,"&lt;"&amp;A3397)=0,1,0))</f>
        <v/>
      </c>
    </row>
    <row r="3398" customFormat="false" ht="15" hidden="false" customHeight="false" outlineLevel="0" collapsed="false">
      <c r="A3398" s="27"/>
      <c r="F3398" s="28"/>
      <c r="J3398" s="0" t="str">
        <f aca="false">IF(A3398="","",YEAR(A3398))</f>
        <v/>
      </c>
      <c r="K3398" s="0" t="str">
        <f aca="false">IF(A3398="","",MONTH(A3398))</f>
        <v/>
      </c>
      <c r="L3398" s="0" t="str">
        <f aca="false">IF(B3398="","",VALUE(LEFT(B3398,2)))</f>
        <v/>
      </c>
      <c r="M3398" s="0" t="str">
        <f aca="false">IF(A3398="","",IF(COUNTIFS($C$2:$C$5001,C3398,$J$2:$J$5001,J3398,$A$2:$A$5001,"&lt;"&amp;A3398)=0,1,0))</f>
        <v/>
      </c>
    </row>
    <row r="3399" customFormat="false" ht="15" hidden="false" customHeight="false" outlineLevel="0" collapsed="false">
      <c r="A3399" s="27"/>
      <c r="F3399" s="28"/>
      <c r="J3399" s="0" t="str">
        <f aca="false">IF(A3399="","",YEAR(A3399))</f>
        <v/>
      </c>
      <c r="K3399" s="0" t="str">
        <f aca="false">IF(A3399="","",MONTH(A3399))</f>
        <v/>
      </c>
      <c r="L3399" s="0" t="str">
        <f aca="false">IF(B3399="","",VALUE(LEFT(B3399,2)))</f>
        <v/>
      </c>
      <c r="M3399" s="0" t="str">
        <f aca="false">IF(A3399="","",IF(COUNTIFS($C$2:$C$5001,C3399,$J$2:$J$5001,J3399,$A$2:$A$5001,"&lt;"&amp;A3399)=0,1,0))</f>
        <v/>
      </c>
    </row>
    <row r="3400" customFormat="false" ht="15" hidden="false" customHeight="false" outlineLevel="0" collapsed="false">
      <c r="A3400" s="27"/>
      <c r="F3400" s="28"/>
      <c r="J3400" s="0" t="str">
        <f aca="false">IF(A3400="","",YEAR(A3400))</f>
        <v/>
      </c>
      <c r="K3400" s="0" t="str">
        <f aca="false">IF(A3400="","",MONTH(A3400))</f>
        <v/>
      </c>
      <c r="L3400" s="0" t="str">
        <f aca="false">IF(B3400="","",VALUE(LEFT(B3400,2)))</f>
        <v/>
      </c>
      <c r="M3400" s="0" t="str">
        <f aca="false">IF(A3400="","",IF(COUNTIFS($C$2:$C$5001,C3400,$J$2:$J$5001,J3400,$A$2:$A$5001,"&lt;"&amp;A3400)=0,1,0))</f>
        <v/>
      </c>
    </row>
    <row r="3401" customFormat="false" ht="15" hidden="false" customHeight="false" outlineLevel="0" collapsed="false">
      <c r="A3401" s="27"/>
      <c r="F3401" s="28"/>
      <c r="J3401" s="0" t="str">
        <f aca="false">IF(A3401="","",YEAR(A3401))</f>
        <v/>
      </c>
      <c r="K3401" s="0" t="str">
        <f aca="false">IF(A3401="","",MONTH(A3401))</f>
        <v/>
      </c>
      <c r="L3401" s="0" t="str">
        <f aca="false">IF(B3401="","",VALUE(LEFT(B3401,2)))</f>
        <v/>
      </c>
      <c r="M3401" s="0" t="str">
        <f aca="false">IF(A3401="","",IF(COUNTIFS($C$2:$C$5001,C3401,$J$2:$J$5001,J3401,$A$2:$A$5001,"&lt;"&amp;A3401)=0,1,0))</f>
        <v/>
      </c>
    </row>
    <row r="3402" customFormat="false" ht="15" hidden="false" customHeight="false" outlineLevel="0" collapsed="false">
      <c r="A3402" s="27"/>
      <c r="F3402" s="28"/>
      <c r="J3402" s="0" t="str">
        <f aca="false">IF(A3402="","",YEAR(A3402))</f>
        <v/>
      </c>
      <c r="K3402" s="0" t="str">
        <f aca="false">IF(A3402="","",MONTH(A3402))</f>
        <v/>
      </c>
      <c r="L3402" s="0" t="str">
        <f aca="false">IF(B3402="","",VALUE(LEFT(B3402,2)))</f>
        <v/>
      </c>
      <c r="M3402" s="0" t="str">
        <f aca="false">IF(A3402="","",IF(COUNTIFS($C$2:$C$5001,C3402,$J$2:$J$5001,J3402,$A$2:$A$5001,"&lt;"&amp;A3402)=0,1,0))</f>
        <v/>
      </c>
    </row>
    <row r="3403" customFormat="false" ht="15" hidden="false" customHeight="false" outlineLevel="0" collapsed="false">
      <c r="A3403" s="27"/>
      <c r="F3403" s="28"/>
      <c r="J3403" s="0" t="str">
        <f aca="false">IF(A3403="","",YEAR(A3403))</f>
        <v/>
      </c>
      <c r="K3403" s="0" t="str">
        <f aca="false">IF(A3403="","",MONTH(A3403))</f>
        <v/>
      </c>
      <c r="L3403" s="0" t="str">
        <f aca="false">IF(B3403="","",VALUE(LEFT(B3403,2)))</f>
        <v/>
      </c>
      <c r="M3403" s="0" t="str">
        <f aca="false">IF(A3403="","",IF(COUNTIFS($C$2:$C$5001,C3403,$J$2:$J$5001,J3403,$A$2:$A$5001,"&lt;"&amp;A3403)=0,1,0))</f>
        <v/>
      </c>
    </row>
    <row r="3404" customFormat="false" ht="15" hidden="false" customHeight="false" outlineLevel="0" collapsed="false">
      <c r="A3404" s="27"/>
      <c r="F3404" s="28"/>
      <c r="J3404" s="0" t="str">
        <f aca="false">IF(A3404="","",YEAR(A3404))</f>
        <v/>
      </c>
      <c r="K3404" s="0" t="str">
        <f aca="false">IF(A3404="","",MONTH(A3404))</f>
        <v/>
      </c>
      <c r="L3404" s="0" t="str">
        <f aca="false">IF(B3404="","",VALUE(LEFT(B3404,2)))</f>
        <v/>
      </c>
      <c r="M3404" s="0" t="str">
        <f aca="false">IF(A3404="","",IF(COUNTIFS($C$2:$C$5001,C3404,$J$2:$J$5001,J3404,$A$2:$A$5001,"&lt;"&amp;A3404)=0,1,0))</f>
        <v/>
      </c>
    </row>
    <row r="3405" customFormat="false" ht="15" hidden="false" customHeight="false" outlineLevel="0" collapsed="false">
      <c r="A3405" s="27"/>
      <c r="F3405" s="28"/>
      <c r="J3405" s="0" t="str">
        <f aca="false">IF(A3405="","",YEAR(A3405))</f>
        <v/>
      </c>
      <c r="K3405" s="0" t="str">
        <f aca="false">IF(A3405="","",MONTH(A3405))</f>
        <v/>
      </c>
      <c r="L3405" s="0" t="str">
        <f aca="false">IF(B3405="","",VALUE(LEFT(B3405,2)))</f>
        <v/>
      </c>
      <c r="M3405" s="0" t="str">
        <f aca="false">IF(A3405="","",IF(COUNTIFS($C$2:$C$5001,C3405,$J$2:$J$5001,J3405,$A$2:$A$5001,"&lt;"&amp;A3405)=0,1,0))</f>
        <v/>
      </c>
    </row>
    <row r="3406" customFormat="false" ht="15" hidden="false" customHeight="false" outlineLevel="0" collapsed="false">
      <c r="A3406" s="27"/>
      <c r="F3406" s="28"/>
      <c r="J3406" s="0" t="str">
        <f aca="false">IF(A3406="","",YEAR(A3406))</f>
        <v/>
      </c>
      <c r="K3406" s="0" t="str">
        <f aca="false">IF(A3406="","",MONTH(A3406))</f>
        <v/>
      </c>
      <c r="L3406" s="0" t="str">
        <f aca="false">IF(B3406="","",VALUE(LEFT(B3406,2)))</f>
        <v/>
      </c>
      <c r="M3406" s="0" t="str">
        <f aca="false">IF(A3406="","",IF(COUNTIFS($C$2:$C$5001,C3406,$J$2:$J$5001,J3406,$A$2:$A$5001,"&lt;"&amp;A3406)=0,1,0))</f>
        <v/>
      </c>
    </row>
    <row r="3407" customFormat="false" ht="15" hidden="false" customHeight="false" outlineLevel="0" collapsed="false">
      <c r="A3407" s="27"/>
      <c r="F3407" s="28"/>
      <c r="J3407" s="0" t="str">
        <f aca="false">IF(A3407="","",YEAR(A3407))</f>
        <v/>
      </c>
      <c r="K3407" s="0" t="str">
        <f aca="false">IF(A3407="","",MONTH(A3407))</f>
        <v/>
      </c>
      <c r="L3407" s="0" t="str">
        <f aca="false">IF(B3407="","",VALUE(LEFT(B3407,2)))</f>
        <v/>
      </c>
      <c r="M3407" s="0" t="str">
        <f aca="false">IF(A3407="","",IF(COUNTIFS($C$2:$C$5001,C3407,$J$2:$J$5001,J3407,$A$2:$A$5001,"&lt;"&amp;A3407)=0,1,0))</f>
        <v/>
      </c>
    </row>
    <row r="3408" customFormat="false" ht="15" hidden="false" customHeight="false" outlineLevel="0" collapsed="false">
      <c r="A3408" s="27"/>
      <c r="F3408" s="28"/>
      <c r="J3408" s="0" t="str">
        <f aca="false">IF(A3408="","",YEAR(A3408))</f>
        <v/>
      </c>
      <c r="K3408" s="0" t="str">
        <f aca="false">IF(A3408="","",MONTH(A3408))</f>
        <v/>
      </c>
      <c r="L3408" s="0" t="str">
        <f aca="false">IF(B3408="","",VALUE(LEFT(B3408,2)))</f>
        <v/>
      </c>
      <c r="M3408" s="0" t="str">
        <f aca="false">IF(A3408="","",IF(COUNTIFS($C$2:$C$5001,C3408,$J$2:$J$5001,J3408,$A$2:$A$5001,"&lt;"&amp;A3408)=0,1,0))</f>
        <v/>
      </c>
    </row>
    <row r="3409" customFormat="false" ht="15" hidden="false" customHeight="false" outlineLevel="0" collapsed="false">
      <c r="A3409" s="27"/>
      <c r="F3409" s="28"/>
      <c r="J3409" s="0" t="str">
        <f aca="false">IF(A3409="","",YEAR(A3409))</f>
        <v/>
      </c>
      <c r="K3409" s="0" t="str">
        <f aca="false">IF(A3409="","",MONTH(A3409))</f>
        <v/>
      </c>
      <c r="L3409" s="0" t="str">
        <f aca="false">IF(B3409="","",VALUE(LEFT(B3409,2)))</f>
        <v/>
      </c>
      <c r="M3409" s="0" t="str">
        <f aca="false">IF(A3409="","",IF(COUNTIFS($C$2:$C$5001,C3409,$J$2:$J$5001,J3409,$A$2:$A$5001,"&lt;"&amp;A3409)=0,1,0))</f>
        <v/>
      </c>
    </row>
    <row r="3410" customFormat="false" ht="15" hidden="false" customHeight="false" outlineLevel="0" collapsed="false">
      <c r="A3410" s="27"/>
      <c r="F3410" s="28"/>
      <c r="J3410" s="0" t="str">
        <f aca="false">IF(A3410="","",YEAR(A3410))</f>
        <v/>
      </c>
      <c r="K3410" s="0" t="str">
        <f aca="false">IF(A3410="","",MONTH(A3410))</f>
        <v/>
      </c>
      <c r="L3410" s="0" t="str">
        <f aca="false">IF(B3410="","",VALUE(LEFT(B3410,2)))</f>
        <v/>
      </c>
      <c r="M3410" s="0" t="str">
        <f aca="false">IF(A3410="","",IF(COUNTIFS($C$2:$C$5001,C3410,$J$2:$J$5001,J3410,$A$2:$A$5001,"&lt;"&amp;A3410)=0,1,0))</f>
        <v/>
      </c>
    </row>
    <row r="3411" customFormat="false" ht="15" hidden="false" customHeight="false" outlineLevel="0" collapsed="false">
      <c r="A3411" s="27"/>
      <c r="F3411" s="28"/>
      <c r="J3411" s="0" t="str">
        <f aca="false">IF(A3411="","",YEAR(A3411))</f>
        <v/>
      </c>
      <c r="K3411" s="0" t="str">
        <f aca="false">IF(A3411="","",MONTH(A3411))</f>
        <v/>
      </c>
      <c r="L3411" s="0" t="str">
        <f aca="false">IF(B3411="","",VALUE(LEFT(B3411,2)))</f>
        <v/>
      </c>
      <c r="M3411" s="0" t="str">
        <f aca="false">IF(A3411="","",IF(COUNTIFS($C$2:$C$5001,C3411,$J$2:$J$5001,J3411,$A$2:$A$5001,"&lt;"&amp;A3411)=0,1,0))</f>
        <v/>
      </c>
    </row>
    <row r="3412" customFormat="false" ht="15" hidden="false" customHeight="false" outlineLevel="0" collapsed="false">
      <c r="A3412" s="27"/>
      <c r="F3412" s="28"/>
      <c r="J3412" s="0" t="str">
        <f aca="false">IF(A3412="","",YEAR(A3412))</f>
        <v/>
      </c>
      <c r="K3412" s="0" t="str">
        <f aca="false">IF(A3412="","",MONTH(A3412))</f>
        <v/>
      </c>
      <c r="L3412" s="0" t="str">
        <f aca="false">IF(B3412="","",VALUE(LEFT(B3412,2)))</f>
        <v/>
      </c>
      <c r="M3412" s="0" t="str">
        <f aca="false">IF(A3412="","",IF(COUNTIFS($C$2:$C$5001,C3412,$J$2:$J$5001,J3412,$A$2:$A$5001,"&lt;"&amp;A3412)=0,1,0))</f>
        <v/>
      </c>
    </row>
    <row r="3413" customFormat="false" ht="15" hidden="false" customHeight="false" outlineLevel="0" collapsed="false">
      <c r="A3413" s="27"/>
      <c r="F3413" s="28"/>
      <c r="J3413" s="0" t="str">
        <f aca="false">IF(A3413="","",YEAR(A3413))</f>
        <v/>
      </c>
      <c r="K3413" s="0" t="str">
        <f aca="false">IF(A3413="","",MONTH(A3413))</f>
        <v/>
      </c>
      <c r="L3413" s="0" t="str">
        <f aca="false">IF(B3413="","",VALUE(LEFT(B3413,2)))</f>
        <v/>
      </c>
      <c r="M3413" s="0" t="str">
        <f aca="false">IF(A3413="","",IF(COUNTIFS($C$2:$C$5001,C3413,$J$2:$J$5001,J3413,$A$2:$A$5001,"&lt;"&amp;A3413)=0,1,0))</f>
        <v/>
      </c>
    </row>
    <row r="3414" customFormat="false" ht="15" hidden="false" customHeight="false" outlineLevel="0" collapsed="false">
      <c r="A3414" s="27"/>
      <c r="F3414" s="28"/>
      <c r="J3414" s="0" t="str">
        <f aca="false">IF(A3414="","",YEAR(A3414))</f>
        <v/>
      </c>
      <c r="K3414" s="0" t="str">
        <f aca="false">IF(A3414="","",MONTH(A3414))</f>
        <v/>
      </c>
      <c r="L3414" s="0" t="str">
        <f aca="false">IF(B3414="","",VALUE(LEFT(B3414,2)))</f>
        <v/>
      </c>
      <c r="M3414" s="0" t="str">
        <f aca="false">IF(A3414="","",IF(COUNTIFS($C$2:$C$5001,C3414,$J$2:$J$5001,J3414,$A$2:$A$5001,"&lt;"&amp;A3414)=0,1,0))</f>
        <v/>
      </c>
    </row>
    <row r="3415" customFormat="false" ht="15" hidden="false" customHeight="false" outlineLevel="0" collapsed="false">
      <c r="A3415" s="27"/>
      <c r="F3415" s="28"/>
      <c r="J3415" s="0" t="str">
        <f aca="false">IF(A3415="","",YEAR(A3415))</f>
        <v/>
      </c>
      <c r="K3415" s="0" t="str">
        <f aca="false">IF(A3415="","",MONTH(A3415))</f>
        <v/>
      </c>
      <c r="L3415" s="0" t="str">
        <f aca="false">IF(B3415="","",VALUE(LEFT(B3415,2)))</f>
        <v/>
      </c>
      <c r="M3415" s="0" t="str">
        <f aca="false">IF(A3415="","",IF(COUNTIFS($C$2:$C$5001,C3415,$J$2:$J$5001,J3415,$A$2:$A$5001,"&lt;"&amp;A3415)=0,1,0))</f>
        <v/>
      </c>
    </row>
    <row r="3416" customFormat="false" ht="15" hidden="false" customHeight="false" outlineLevel="0" collapsed="false">
      <c r="A3416" s="27"/>
      <c r="F3416" s="28"/>
      <c r="J3416" s="0" t="str">
        <f aca="false">IF(A3416="","",YEAR(A3416))</f>
        <v/>
      </c>
      <c r="K3416" s="0" t="str">
        <f aca="false">IF(A3416="","",MONTH(A3416))</f>
        <v/>
      </c>
      <c r="L3416" s="0" t="str">
        <f aca="false">IF(B3416="","",VALUE(LEFT(B3416,2)))</f>
        <v/>
      </c>
      <c r="M3416" s="0" t="str">
        <f aca="false">IF(A3416="","",IF(COUNTIFS($C$2:$C$5001,C3416,$J$2:$J$5001,J3416,$A$2:$A$5001,"&lt;"&amp;A3416)=0,1,0))</f>
        <v/>
      </c>
    </row>
    <row r="3417" customFormat="false" ht="15" hidden="false" customHeight="false" outlineLevel="0" collapsed="false">
      <c r="A3417" s="27"/>
      <c r="F3417" s="28"/>
      <c r="J3417" s="0" t="str">
        <f aca="false">IF(A3417="","",YEAR(A3417))</f>
        <v/>
      </c>
      <c r="K3417" s="0" t="str">
        <f aca="false">IF(A3417="","",MONTH(A3417))</f>
        <v/>
      </c>
      <c r="L3417" s="0" t="str">
        <f aca="false">IF(B3417="","",VALUE(LEFT(B3417,2)))</f>
        <v/>
      </c>
      <c r="M3417" s="0" t="str">
        <f aca="false">IF(A3417="","",IF(COUNTIFS($C$2:$C$5001,C3417,$J$2:$J$5001,J3417,$A$2:$A$5001,"&lt;"&amp;A3417)=0,1,0))</f>
        <v/>
      </c>
    </row>
    <row r="3418" customFormat="false" ht="15" hidden="false" customHeight="false" outlineLevel="0" collapsed="false">
      <c r="A3418" s="27"/>
      <c r="F3418" s="28"/>
      <c r="J3418" s="0" t="str">
        <f aca="false">IF(A3418="","",YEAR(A3418))</f>
        <v/>
      </c>
      <c r="K3418" s="0" t="str">
        <f aca="false">IF(A3418="","",MONTH(A3418))</f>
        <v/>
      </c>
      <c r="L3418" s="0" t="str">
        <f aca="false">IF(B3418="","",VALUE(LEFT(B3418,2)))</f>
        <v/>
      </c>
      <c r="M3418" s="0" t="str">
        <f aca="false">IF(A3418="","",IF(COUNTIFS($C$2:$C$5001,C3418,$J$2:$J$5001,J3418,$A$2:$A$5001,"&lt;"&amp;A3418)=0,1,0))</f>
        <v/>
      </c>
    </row>
    <row r="3419" customFormat="false" ht="15" hidden="false" customHeight="false" outlineLevel="0" collapsed="false">
      <c r="A3419" s="27"/>
      <c r="F3419" s="28"/>
      <c r="J3419" s="0" t="str">
        <f aca="false">IF(A3419="","",YEAR(A3419))</f>
        <v/>
      </c>
      <c r="K3419" s="0" t="str">
        <f aca="false">IF(A3419="","",MONTH(A3419))</f>
        <v/>
      </c>
      <c r="L3419" s="0" t="str">
        <f aca="false">IF(B3419="","",VALUE(LEFT(B3419,2)))</f>
        <v/>
      </c>
      <c r="M3419" s="0" t="str">
        <f aca="false">IF(A3419="","",IF(COUNTIFS($C$2:$C$5001,C3419,$J$2:$J$5001,J3419,$A$2:$A$5001,"&lt;"&amp;A3419)=0,1,0))</f>
        <v/>
      </c>
    </row>
    <row r="3420" customFormat="false" ht="15" hidden="false" customHeight="false" outlineLevel="0" collapsed="false">
      <c r="A3420" s="27"/>
      <c r="F3420" s="28"/>
      <c r="J3420" s="0" t="str">
        <f aca="false">IF(A3420="","",YEAR(A3420))</f>
        <v/>
      </c>
      <c r="K3420" s="0" t="str">
        <f aca="false">IF(A3420="","",MONTH(A3420))</f>
        <v/>
      </c>
      <c r="L3420" s="0" t="str">
        <f aca="false">IF(B3420="","",VALUE(LEFT(B3420,2)))</f>
        <v/>
      </c>
      <c r="M3420" s="0" t="str">
        <f aca="false">IF(A3420="","",IF(COUNTIFS($C$2:$C$5001,C3420,$J$2:$J$5001,J3420,$A$2:$A$5001,"&lt;"&amp;A3420)=0,1,0))</f>
        <v/>
      </c>
    </row>
    <row r="3421" customFormat="false" ht="15" hidden="false" customHeight="false" outlineLevel="0" collapsed="false">
      <c r="A3421" s="27"/>
      <c r="F3421" s="28"/>
      <c r="J3421" s="0" t="str">
        <f aca="false">IF(A3421="","",YEAR(A3421))</f>
        <v/>
      </c>
      <c r="K3421" s="0" t="str">
        <f aca="false">IF(A3421="","",MONTH(A3421))</f>
        <v/>
      </c>
      <c r="L3421" s="0" t="str">
        <f aca="false">IF(B3421="","",VALUE(LEFT(B3421,2)))</f>
        <v/>
      </c>
      <c r="M3421" s="0" t="str">
        <f aca="false">IF(A3421="","",IF(COUNTIFS($C$2:$C$5001,C3421,$J$2:$J$5001,J3421,$A$2:$A$5001,"&lt;"&amp;A3421)=0,1,0))</f>
        <v/>
      </c>
    </row>
    <row r="3422" customFormat="false" ht="15" hidden="false" customHeight="false" outlineLevel="0" collapsed="false">
      <c r="A3422" s="27"/>
      <c r="F3422" s="28"/>
      <c r="J3422" s="0" t="str">
        <f aca="false">IF(A3422="","",YEAR(A3422))</f>
        <v/>
      </c>
      <c r="K3422" s="0" t="str">
        <f aca="false">IF(A3422="","",MONTH(A3422))</f>
        <v/>
      </c>
      <c r="L3422" s="0" t="str">
        <f aca="false">IF(B3422="","",VALUE(LEFT(B3422,2)))</f>
        <v/>
      </c>
      <c r="M3422" s="0" t="str">
        <f aca="false">IF(A3422="","",IF(COUNTIFS($C$2:$C$5001,C3422,$J$2:$J$5001,J3422,$A$2:$A$5001,"&lt;"&amp;A3422)=0,1,0))</f>
        <v/>
      </c>
    </row>
    <row r="3423" customFormat="false" ht="15" hidden="false" customHeight="false" outlineLevel="0" collapsed="false">
      <c r="A3423" s="27"/>
      <c r="F3423" s="28"/>
      <c r="J3423" s="0" t="str">
        <f aca="false">IF(A3423="","",YEAR(A3423))</f>
        <v/>
      </c>
      <c r="K3423" s="0" t="str">
        <f aca="false">IF(A3423="","",MONTH(A3423))</f>
        <v/>
      </c>
      <c r="L3423" s="0" t="str">
        <f aca="false">IF(B3423="","",VALUE(LEFT(B3423,2)))</f>
        <v/>
      </c>
      <c r="M3423" s="0" t="str">
        <f aca="false">IF(A3423="","",IF(COUNTIFS($C$2:$C$5001,C3423,$J$2:$J$5001,J3423,$A$2:$A$5001,"&lt;"&amp;A3423)=0,1,0))</f>
        <v/>
      </c>
    </row>
    <row r="3424" customFormat="false" ht="15" hidden="false" customHeight="false" outlineLevel="0" collapsed="false">
      <c r="A3424" s="27"/>
      <c r="F3424" s="28"/>
      <c r="J3424" s="0" t="str">
        <f aca="false">IF(A3424="","",YEAR(A3424))</f>
        <v/>
      </c>
      <c r="K3424" s="0" t="str">
        <f aca="false">IF(A3424="","",MONTH(A3424))</f>
        <v/>
      </c>
      <c r="L3424" s="0" t="str">
        <f aca="false">IF(B3424="","",VALUE(LEFT(B3424,2)))</f>
        <v/>
      </c>
      <c r="M3424" s="0" t="str">
        <f aca="false">IF(A3424="","",IF(COUNTIFS($C$2:$C$5001,C3424,$J$2:$J$5001,J3424,$A$2:$A$5001,"&lt;"&amp;A3424)=0,1,0))</f>
        <v/>
      </c>
    </row>
    <row r="3425" customFormat="false" ht="15" hidden="false" customHeight="false" outlineLevel="0" collapsed="false">
      <c r="A3425" s="27"/>
      <c r="F3425" s="28"/>
      <c r="J3425" s="0" t="str">
        <f aca="false">IF(A3425="","",YEAR(A3425))</f>
        <v/>
      </c>
      <c r="K3425" s="0" t="str">
        <f aca="false">IF(A3425="","",MONTH(A3425))</f>
        <v/>
      </c>
      <c r="L3425" s="0" t="str">
        <f aca="false">IF(B3425="","",VALUE(LEFT(B3425,2)))</f>
        <v/>
      </c>
      <c r="M3425" s="0" t="str">
        <f aca="false">IF(A3425="","",IF(COUNTIFS($C$2:$C$5001,C3425,$J$2:$J$5001,J3425,$A$2:$A$5001,"&lt;"&amp;A3425)=0,1,0))</f>
        <v/>
      </c>
    </row>
    <row r="3426" customFormat="false" ht="15" hidden="false" customHeight="false" outlineLevel="0" collapsed="false">
      <c r="A3426" s="27"/>
      <c r="F3426" s="28"/>
      <c r="J3426" s="0" t="str">
        <f aca="false">IF(A3426="","",YEAR(A3426))</f>
        <v/>
      </c>
      <c r="K3426" s="0" t="str">
        <f aca="false">IF(A3426="","",MONTH(A3426))</f>
        <v/>
      </c>
      <c r="L3426" s="0" t="str">
        <f aca="false">IF(B3426="","",VALUE(LEFT(B3426,2)))</f>
        <v/>
      </c>
      <c r="M3426" s="0" t="str">
        <f aca="false">IF(A3426="","",IF(COUNTIFS($C$2:$C$5001,C3426,$J$2:$J$5001,J3426,$A$2:$A$5001,"&lt;"&amp;A3426)=0,1,0))</f>
        <v/>
      </c>
    </row>
    <row r="3427" customFormat="false" ht="15" hidden="false" customHeight="false" outlineLevel="0" collapsed="false">
      <c r="A3427" s="27"/>
      <c r="F3427" s="28"/>
      <c r="J3427" s="0" t="str">
        <f aca="false">IF(A3427="","",YEAR(A3427))</f>
        <v/>
      </c>
      <c r="K3427" s="0" t="str">
        <f aca="false">IF(A3427="","",MONTH(A3427))</f>
        <v/>
      </c>
      <c r="L3427" s="0" t="str">
        <f aca="false">IF(B3427="","",VALUE(LEFT(B3427,2)))</f>
        <v/>
      </c>
      <c r="M3427" s="0" t="str">
        <f aca="false">IF(A3427="","",IF(COUNTIFS($C$2:$C$5001,C3427,$J$2:$J$5001,J3427,$A$2:$A$5001,"&lt;"&amp;A3427)=0,1,0))</f>
        <v/>
      </c>
    </row>
    <row r="3428" customFormat="false" ht="15" hidden="false" customHeight="false" outlineLevel="0" collapsed="false">
      <c r="A3428" s="27"/>
      <c r="F3428" s="28"/>
      <c r="J3428" s="0" t="str">
        <f aca="false">IF(A3428="","",YEAR(A3428))</f>
        <v/>
      </c>
      <c r="K3428" s="0" t="str">
        <f aca="false">IF(A3428="","",MONTH(A3428))</f>
        <v/>
      </c>
      <c r="L3428" s="0" t="str">
        <f aca="false">IF(B3428="","",VALUE(LEFT(B3428,2)))</f>
        <v/>
      </c>
      <c r="M3428" s="0" t="str">
        <f aca="false">IF(A3428="","",IF(COUNTIFS($C$2:$C$5001,C3428,$J$2:$J$5001,J3428,$A$2:$A$5001,"&lt;"&amp;A3428)=0,1,0))</f>
        <v/>
      </c>
    </row>
    <row r="3429" customFormat="false" ht="15" hidden="false" customHeight="false" outlineLevel="0" collapsed="false">
      <c r="A3429" s="27"/>
      <c r="F3429" s="28"/>
      <c r="J3429" s="0" t="str">
        <f aca="false">IF(A3429="","",YEAR(A3429))</f>
        <v/>
      </c>
      <c r="K3429" s="0" t="str">
        <f aca="false">IF(A3429="","",MONTH(A3429))</f>
        <v/>
      </c>
      <c r="L3429" s="0" t="str">
        <f aca="false">IF(B3429="","",VALUE(LEFT(B3429,2)))</f>
        <v/>
      </c>
      <c r="M3429" s="0" t="str">
        <f aca="false">IF(A3429="","",IF(COUNTIFS($C$2:$C$5001,C3429,$J$2:$J$5001,J3429,$A$2:$A$5001,"&lt;"&amp;A3429)=0,1,0))</f>
        <v/>
      </c>
    </row>
    <row r="3430" customFormat="false" ht="15" hidden="false" customHeight="false" outlineLevel="0" collapsed="false">
      <c r="A3430" s="27"/>
      <c r="F3430" s="28"/>
      <c r="J3430" s="0" t="str">
        <f aca="false">IF(A3430="","",YEAR(A3430))</f>
        <v/>
      </c>
      <c r="K3430" s="0" t="str">
        <f aca="false">IF(A3430="","",MONTH(A3430))</f>
        <v/>
      </c>
      <c r="L3430" s="0" t="str">
        <f aca="false">IF(B3430="","",VALUE(LEFT(B3430,2)))</f>
        <v/>
      </c>
      <c r="M3430" s="0" t="str">
        <f aca="false">IF(A3430="","",IF(COUNTIFS($C$2:$C$5001,C3430,$J$2:$J$5001,J3430,$A$2:$A$5001,"&lt;"&amp;A3430)=0,1,0))</f>
        <v/>
      </c>
    </row>
    <row r="3431" customFormat="false" ht="15" hidden="false" customHeight="false" outlineLevel="0" collapsed="false">
      <c r="A3431" s="27"/>
      <c r="F3431" s="28"/>
      <c r="J3431" s="0" t="str">
        <f aca="false">IF(A3431="","",YEAR(A3431))</f>
        <v/>
      </c>
      <c r="K3431" s="0" t="str">
        <f aca="false">IF(A3431="","",MONTH(A3431))</f>
        <v/>
      </c>
      <c r="L3431" s="0" t="str">
        <f aca="false">IF(B3431="","",VALUE(LEFT(B3431,2)))</f>
        <v/>
      </c>
      <c r="M3431" s="0" t="str">
        <f aca="false">IF(A3431="","",IF(COUNTIFS($C$2:$C$5001,C3431,$J$2:$J$5001,J3431,$A$2:$A$5001,"&lt;"&amp;A3431)=0,1,0))</f>
        <v/>
      </c>
    </row>
    <row r="3432" customFormat="false" ht="15" hidden="false" customHeight="false" outlineLevel="0" collapsed="false">
      <c r="A3432" s="27"/>
      <c r="F3432" s="28"/>
      <c r="J3432" s="0" t="str">
        <f aca="false">IF(A3432="","",YEAR(A3432))</f>
        <v/>
      </c>
      <c r="K3432" s="0" t="str">
        <f aca="false">IF(A3432="","",MONTH(A3432))</f>
        <v/>
      </c>
      <c r="L3432" s="0" t="str">
        <f aca="false">IF(B3432="","",VALUE(LEFT(B3432,2)))</f>
        <v/>
      </c>
      <c r="M3432" s="0" t="str">
        <f aca="false">IF(A3432="","",IF(COUNTIFS($C$2:$C$5001,C3432,$J$2:$J$5001,J3432,$A$2:$A$5001,"&lt;"&amp;A3432)=0,1,0))</f>
        <v/>
      </c>
    </row>
    <row r="3433" customFormat="false" ht="15" hidden="false" customHeight="false" outlineLevel="0" collapsed="false">
      <c r="A3433" s="27"/>
      <c r="F3433" s="28"/>
      <c r="J3433" s="0" t="str">
        <f aca="false">IF(A3433="","",YEAR(A3433))</f>
        <v/>
      </c>
      <c r="K3433" s="0" t="str">
        <f aca="false">IF(A3433="","",MONTH(A3433))</f>
        <v/>
      </c>
      <c r="L3433" s="0" t="str">
        <f aca="false">IF(B3433="","",VALUE(LEFT(B3433,2)))</f>
        <v/>
      </c>
      <c r="M3433" s="0" t="str">
        <f aca="false">IF(A3433="","",IF(COUNTIFS($C$2:$C$5001,C3433,$J$2:$J$5001,J3433,$A$2:$A$5001,"&lt;"&amp;A3433)=0,1,0))</f>
        <v/>
      </c>
    </row>
    <row r="3434" customFormat="false" ht="15" hidden="false" customHeight="false" outlineLevel="0" collapsed="false">
      <c r="A3434" s="27"/>
      <c r="F3434" s="28"/>
      <c r="J3434" s="0" t="str">
        <f aca="false">IF(A3434="","",YEAR(A3434))</f>
        <v/>
      </c>
      <c r="K3434" s="0" t="str">
        <f aca="false">IF(A3434="","",MONTH(A3434))</f>
        <v/>
      </c>
      <c r="L3434" s="0" t="str">
        <f aca="false">IF(B3434="","",VALUE(LEFT(B3434,2)))</f>
        <v/>
      </c>
      <c r="M3434" s="0" t="str">
        <f aca="false">IF(A3434="","",IF(COUNTIFS($C$2:$C$5001,C3434,$J$2:$J$5001,J3434,$A$2:$A$5001,"&lt;"&amp;A3434)=0,1,0))</f>
        <v/>
      </c>
    </row>
    <row r="3435" customFormat="false" ht="15" hidden="false" customHeight="false" outlineLevel="0" collapsed="false">
      <c r="A3435" s="27"/>
      <c r="F3435" s="28"/>
      <c r="J3435" s="0" t="str">
        <f aca="false">IF(A3435="","",YEAR(A3435))</f>
        <v/>
      </c>
      <c r="K3435" s="0" t="str">
        <f aca="false">IF(A3435="","",MONTH(A3435))</f>
        <v/>
      </c>
      <c r="L3435" s="0" t="str">
        <f aca="false">IF(B3435="","",VALUE(LEFT(B3435,2)))</f>
        <v/>
      </c>
      <c r="M3435" s="0" t="str">
        <f aca="false">IF(A3435="","",IF(COUNTIFS($C$2:$C$5001,C3435,$J$2:$J$5001,J3435,$A$2:$A$5001,"&lt;"&amp;A3435)=0,1,0))</f>
        <v/>
      </c>
    </row>
    <row r="3436" customFormat="false" ht="15" hidden="false" customHeight="false" outlineLevel="0" collapsed="false">
      <c r="A3436" s="27"/>
      <c r="F3436" s="28"/>
      <c r="J3436" s="0" t="str">
        <f aca="false">IF(A3436="","",YEAR(A3436))</f>
        <v/>
      </c>
      <c r="K3436" s="0" t="str">
        <f aca="false">IF(A3436="","",MONTH(A3436))</f>
        <v/>
      </c>
      <c r="L3436" s="0" t="str">
        <f aca="false">IF(B3436="","",VALUE(LEFT(B3436,2)))</f>
        <v/>
      </c>
      <c r="M3436" s="0" t="str">
        <f aca="false">IF(A3436="","",IF(COUNTIFS($C$2:$C$5001,C3436,$J$2:$J$5001,J3436,$A$2:$A$5001,"&lt;"&amp;A3436)=0,1,0))</f>
        <v/>
      </c>
    </row>
    <row r="3437" customFormat="false" ht="15" hidden="false" customHeight="false" outlineLevel="0" collapsed="false">
      <c r="A3437" s="27"/>
      <c r="F3437" s="28"/>
      <c r="J3437" s="0" t="str">
        <f aca="false">IF(A3437="","",YEAR(A3437))</f>
        <v/>
      </c>
      <c r="K3437" s="0" t="str">
        <f aca="false">IF(A3437="","",MONTH(A3437))</f>
        <v/>
      </c>
      <c r="L3437" s="0" t="str">
        <f aca="false">IF(B3437="","",VALUE(LEFT(B3437,2)))</f>
        <v/>
      </c>
      <c r="M3437" s="0" t="str">
        <f aca="false">IF(A3437="","",IF(COUNTIFS($C$2:$C$5001,C3437,$J$2:$J$5001,J3437,$A$2:$A$5001,"&lt;"&amp;A3437)=0,1,0))</f>
        <v/>
      </c>
    </row>
    <row r="3438" customFormat="false" ht="15" hidden="false" customHeight="false" outlineLevel="0" collapsed="false">
      <c r="A3438" s="27"/>
      <c r="F3438" s="28"/>
      <c r="J3438" s="0" t="str">
        <f aca="false">IF(A3438="","",YEAR(A3438))</f>
        <v/>
      </c>
      <c r="K3438" s="0" t="str">
        <f aca="false">IF(A3438="","",MONTH(A3438))</f>
        <v/>
      </c>
      <c r="L3438" s="0" t="str">
        <f aca="false">IF(B3438="","",VALUE(LEFT(B3438,2)))</f>
        <v/>
      </c>
      <c r="M3438" s="0" t="str">
        <f aca="false">IF(A3438="","",IF(COUNTIFS($C$2:$C$5001,C3438,$J$2:$J$5001,J3438,$A$2:$A$5001,"&lt;"&amp;A3438)=0,1,0))</f>
        <v/>
      </c>
    </row>
    <row r="3439" customFormat="false" ht="15" hidden="false" customHeight="false" outlineLevel="0" collapsed="false">
      <c r="A3439" s="27"/>
      <c r="F3439" s="28"/>
      <c r="J3439" s="0" t="str">
        <f aca="false">IF(A3439="","",YEAR(A3439))</f>
        <v/>
      </c>
      <c r="K3439" s="0" t="str">
        <f aca="false">IF(A3439="","",MONTH(A3439))</f>
        <v/>
      </c>
      <c r="L3439" s="0" t="str">
        <f aca="false">IF(B3439="","",VALUE(LEFT(B3439,2)))</f>
        <v/>
      </c>
      <c r="M3439" s="0" t="str">
        <f aca="false">IF(A3439="","",IF(COUNTIFS($C$2:$C$5001,C3439,$J$2:$J$5001,J3439,$A$2:$A$5001,"&lt;"&amp;A3439)=0,1,0))</f>
        <v/>
      </c>
    </row>
    <row r="3440" customFormat="false" ht="15" hidden="false" customHeight="false" outlineLevel="0" collapsed="false">
      <c r="A3440" s="27"/>
      <c r="F3440" s="28"/>
      <c r="J3440" s="0" t="str">
        <f aca="false">IF(A3440="","",YEAR(A3440))</f>
        <v/>
      </c>
      <c r="K3440" s="0" t="str">
        <f aca="false">IF(A3440="","",MONTH(A3440))</f>
        <v/>
      </c>
      <c r="L3440" s="0" t="str">
        <f aca="false">IF(B3440="","",VALUE(LEFT(B3440,2)))</f>
        <v/>
      </c>
      <c r="M3440" s="0" t="str">
        <f aca="false">IF(A3440="","",IF(COUNTIFS($C$2:$C$5001,C3440,$J$2:$J$5001,J3440,$A$2:$A$5001,"&lt;"&amp;A3440)=0,1,0))</f>
        <v/>
      </c>
    </row>
    <row r="3441" customFormat="false" ht="15" hidden="false" customHeight="false" outlineLevel="0" collapsed="false">
      <c r="A3441" s="27"/>
      <c r="F3441" s="28"/>
      <c r="J3441" s="0" t="str">
        <f aca="false">IF(A3441="","",YEAR(A3441))</f>
        <v/>
      </c>
      <c r="K3441" s="0" t="str">
        <f aca="false">IF(A3441="","",MONTH(A3441))</f>
        <v/>
      </c>
      <c r="L3441" s="0" t="str">
        <f aca="false">IF(B3441="","",VALUE(LEFT(B3441,2)))</f>
        <v/>
      </c>
      <c r="M3441" s="0" t="str">
        <f aca="false">IF(A3441="","",IF(COUNTIFS($C$2:$C$5001,C3441,$J$2:$J$5001,J3441,$A$2:$A$5001,"&lt;"&amp;A3441)=0,1,0))</f>
        <v/>
      </c>
    </row>
    <row r="3442" customFormat="false" ht="15" hidden="false" customHeight="false" outlineLevel="0" collapsed="false">
      <c r="A3442" s="27"/>
      <c r="F3442" s="28"/>
      <c r="J3442" s="0" t="str">
        <f aca="false">IF(A3442="","",YEAR(A3442))</f>
        <v/>
      </c>
      <c r="K3442" s="0" t="str">
        <f aca="false">IF(A3442="","",MONTH(A3442))</f>
        <v/>
      </c>
      <c r="L3442" s="0" t="str">
        <f aca="false">IF(B3442="","",VALUE(LEFT(B3442,2)))</f>
        <v/>
      </c>
      <c r="M3442" s="0" t="str">
        <f aca="false">IF(A3442="","",IF(COUNTIFS($C$2:$C$5001,C3442,$J$2:$J$5001,J3442,$A$2:$A$5001,"&lt;"&amp;A3442)=0,1,0))</f>
        <v/>
      </c>
    </row>
    <row r="3443" customFormat="false" ht="15" hidden="false" customHeight="false" outlineLevel="0" collapsed="false">
      <c r="A3443" s="27"/>
      <c r="F3443" s="28"/>
      <c r="J3443" s="0" t="str">
        <f aca="false">IF(A3443="","",YEAR(A3443))</f>
        <v/>
      </c>
      <c r="K3443" s="0" t="str">
        <f aca="false">IF(A3443="","",MONTH(A3443))</f>
        <v/>
      </c>
      <c r="L3443" s="0" t="str">
        <f aca="false">IF(B3443="","",VALUE(LEFT(B3443,2)))</f>
        <v/>
      </c>
      <c r="M3443" s="0" t="str">
        <f aca="false">IF(A3443="","",IF(COUNTIFS($C$2:$C$5001,C3443,$J$2:$J$5001,J3443,$A$2:$A$5001,"&lt;"&amp;A3443)=0,1,0))</f>
        <v/>
      </c>
    </row>
    <row r="3444" customFormat="false" ht="15" hidden="false" customHeight="false" outlineLevel="0" collapsed="false">
      <c r="A3444" s="27"/>
      <c r="F3444" s="28"/>
      <c r="J3444" s="0" t="str">
        <f aca="false">IF(A3444="","",YEAR(A3444))</f>
        <v/>
      </c>
      <c r="K3444" s="0" t="str">
        <f aca="false">IF(A3444="","",MONTH(A3444))</f>
        <v/>
      </c>
      <c r="L3444" s="0" t="str">
        <f aca="false">IF(B3444="","",VALUE(LEFT(B3444,2)))</f>
        <v/>
      </c>
      <c r="M3444" s="0" t="str">
        <f aca="false">IF(A3444="","",IF(COUNTIFS($C$2:$C$5001,C3444,$J$2:$J$5001,J3444,$A$2:$A$5001,"&lt;"&amp;A3444)=0,1,0))</f>
        <v/>
      </c>
    </row>
    <row r="3445" customFormat="false" ht="15" hidden="false" customHeight="false" outlineLevel="0" collapsed="false">
      <c r="A3445" s="27"/>
      <c r="F3445" s="28"/>
      <c r="J3445" s="0" t="str">
        <f aca="false">IF(A3445="","",YEAR(A3445))</f>
        <v/>
      </c>
      <c r="K3445" s="0" t="str">
        <f aca="false">IF(A3445="","",MONTH(A3445))</f>
        <v/>
      </c>
      <c r="L3445" s="0" t="str">
        <f aca="false">IF(B3445="","",VALUE(LEFT(B3445,2)))</f>
        <v/>
      </c>
      <c r="M3445" s="0" t="str">
        <f aca="false">IF(A3445="","",IF(COUNTIFS($C$2:$C$5001,C3445,$J$2:$J$5001,J3445,$A$2:$A$5001,"&lt;"&amp;A3445)=0,1,0))</f>
        <v/>
      </c>
    </row>
    <row r="3446" customFormat="false" ht="15" hidden="false" customHeight="false" outlineLevel="0" collapsed="false">
      <c r="A3446" s="27"/>
      <c r="F3446" s="28"/>
      <c r="J3446" s="0" t="str">
        <f aca="false">IF(A3446="","",YEAR(A3446))</f>
        <v/>
      </c>
      <c r="K3446" s="0" t="str">
        <f aca="false">IF(A3446="","",MONTH(A3446))</f>
        <v/>
      </c>
      <c r="L3446" s="0" t="str">
        <f aca="false">IF(B3446="","",VALUE(LEFT(B3446,2)))</f>
        <v/>
      </c>
      <c r="M3446" s="0" t="str">
        <f aca="false">IF(A3446="","",IF(COUNTIFS($C$2:$C$5001,C3446,$J$2:$J$5001,J3446,$A$2:$A$5001,"&lt;"&amp;A3446)=0,1,0))</f>
        <v/>
      </c>
    </row>
    <row r="3447" customFormat="false" ht="15" hidden="false" customHeight="false" outlineLevel="0" collapsed="false">
      <c r="A3447" s="27"/>
      <c r="F3447" s="28"/>
      <c r="J3447" s="0" t="str">
        <f aca="false">IF(A3447="","",YEAR(A3447))</f>
        <v/>
      </c>
      <c r="K3447" s="0" t="str">
        <f aca="false">IF(A3447="","",MONTH(A3447))</f>
        <v/>
      </c>
      <c r="L3447" s="0" t="str">
        <f aca="false">IF(B3447="","",VALUE(LEFT(B3447,2)))</f>
        <v/>
      </c>
      <c r="M3447" s="0" t="str">
        <f aca="false">IF(A3447="","",IF(COUNTIFS($C$2:$C$5001,C3447,$J$2:$J$5001,J3447,$A$2:$A$5001,"&lt;"&amp;A3447)=0,1,0))</f>
        <v/>
      </c>
    </row>
    <row r="3448" customFormat="false" ht="15" hidden="false" customHeight="false" outlineLevel="0" collapsed="false">
      <c r="A3448" s="27"/>
      <c r="F3448" s="28"/>
      <c r="J3448" s="0" t="str">
        <f aca="false">IF(A3448="","",YEAR(A3448))</f>
        <v/>
      </c>
      <c r="K3448" s="0" t="str">
        <f aca="false">IF(A3448="","",MONTH(A3448))</f>
        <v/>
      </c>
      <c r="L3448" s="0" t="str">
        <f aca="false">IF(B3448="","",VALUE(LEFT(B3448,2)))</f>
        <v/>
      </c>
      <c r="M3448" s="0" t="str">
        <f aca="false">IF(A3448="","",IF(COUNTIFS($C$2:$C$5001,C3448,$J$2:$J$5001,J3448,$A$2:$A$5001,"&lt;"&amp;A3448)=0,1,0))</f>
        <v/>
      </c>
    </row>
    <row r="3449" customFormat="false" ht="15" hidden="false" customHeight="false" outlineLevel="0" collapsed="false">
      <c r="A3449" s="27"/>
      <c r="F3449" s="28"/>
      <c r="J3449" s="0" t="str">
        <f aca="false">IF(A3449="","",YEAR(A3449))</f>
        <v/>
      </c>
      <c r="K3449" s="0" t="str">
        <f aca="false">IF(A3449="","",MONTH(A3449))</f>
        <v/>
      </c>
      <c r="L3449" s="0" t="str">
        <f aca="false">IF(B3449="","",VALUE(LEFT(B3449,2)))</f>
        <v/>
      </c>
      <c r="M3449" s="0" t="str">
        <f aca="false">IF(A3449="","",IF(COUNTIFS($C$2:$C$5001,C3449,$J$2:$J$5001,J3449,$A$2:$A$5001,"&lt;"&amp;A3449)=0,1,0))</f>
        <v/>
      </c>
    </row>
    <row r="3450" customFormat="false" ht="15" hidden="false" customHeight="false" outlineLevel="0" collapsed="false">
      <c r="A3450" s="27"/>
      <c r="F3450" s="28"/>
      <c r="J3450" s="0" t="str">
        <f aca="false">IF(A3450="","",YEAR(A3450))</f>
        <v/>
      </c>
      <c r="K3450" s="0" t="str">
        <f aca="false">IF(A3450="","",MONTH(A3450))</f>
        <v/>
      </c>
      <c r="L3450" s="0" t="str">
        <f aca="false">IF(B3450="","",VALUE(LEFT(B3450,2)))</f>
        <v/>
      </c>
      <c r="M3450" s="0" t="str">
        <f aca="false">IF(A3450="","",IF(COUNTIFS($C$2:$C$5001,C3450,$J$2:$J$5001,J3450,$A$2:$A$5001,"&lt;"&amp;A3450)=0,1,0))</f>
        <v/>
      </c>
    </row>
    <row r="3451" customFormat="false" ht="15" hidden="false" customHeight="false" outlineLevel="0" collapsed="false">
      <c r="A3451" s="27"/>
      <c r="F3451" s="28"/>
      <c r="J3451" s="0" t="str">
        <f aca="false">IF(A3451="","",YEAR(A3451))</f>
        <v/>
      </c>
      <c r="K3451" s="0" t="str">
        <f aca="false">IF(A3451="","",MONTH(A3451))</f>
        <v/>
      </c>
      <c r="L3451" s="0" t="str">
        <f aca="false">IF(B3451="","",VALUE(LEFT(B3451,2)))</f>
        <v/>
      </c>
      <c r="M3451" s="0" t="str">
        <f aca="false">IF(A3451="","",IF(COUNTIFS($C$2:$C$5001,C3451,$J$2:$J$5001,J3451,$A$2:$A$5001,"&lt;"&amp;A3451)=0,1,0))</f>
        <v/>
      </c>
    </row>
    <row r="3452" customFormat="false" ht="15" hidden="false" customHeight="false" outlineLevel="0" collapsed="false">
      <c r="A3452" s="27"/>
      <c r="F3452" s="28"/>
      <c r="J3452" s="0" t="str">
        <f aca="false">IF(A3452="","",YEAR(A3452))</f>
        <v/>
      </c>
      <c r="K3452" s="0" t="str">
        <f aca="false">IF(A3452="","",MONTH(A3452))</f>
        <v/>
      </c>
      <c r="L3452" s="0" t="str">
        <f aca="false">IF(B3452="","",VALUE(LEFT(B3452,2)))</f>
        <v/>
      </c>
      <c r="M3452" s="0" t="str">
        <f aca="false">IF(A3452="","",IF(COUNTIFS($C$2:$C$5001,C3452,$J$2:$J$5001,J3452,$A$2:$A$5001,"&lt;"&amp;A3452)=0,1,0))</f>
        <v/>
      </c>
    </row>
    <row r="3453" customFormat="false" ht="15" hidden="false" customHeight="false" outlineLevel="0" collapsed="false">
      <c r="A3453" s="27"/>
      <c r="F3453" s="28"/>
      <c r="J3453" s="0" t="str">
        <f aca="false">IF(A3453="","",YEAR(A3453))</f>
        <v/>
      </c>
      <c r="K3453" s="0" t="str">
        <f aca="false">IF(A3453="","",MONTH(A3453))</f>
        <v/>
      </c>
      <c r="L3453" s="0" t="str">
        <f aca="false">IF(B3453="","",VALUE(LEFT(B3453,2)))</f>
        <v/>
      </c>
      <c r="M3453" s="0" t="str">
        <f aca="false">IF(A3453="","",IF(COUNTIFS($C$2:$C$5001,C3453,$J$2:$J$5001,J3453,$A$2:$A$5001,"&lt;"&amp;A3453)=0,1,0))</f>
        <v/>
      </c>
    </row>
    <row r="3454" customFormat="false" ht="15" hidden="false" customHeight="false" outlineLevel="0" collapsed="false">
      <c r="A3454" s="27"/>
      <c r="F3454" s="28"/>
      <c r="J3454" s="0" t="str">
        <f aca="false">IF(A3454="","",YEAR(A3454))</f>
        <v/>
      </c>
      <c r="K3454" s="0" t="str">
        <f aca="false">IF(A3454="","",MONTH(A3454))</f>
        <v/>
      </c>
      <c r="L3454" s="0" t="str">
        <f aca="false">IF(B3454="","",VALUE(LEFT(B3454,2)))</f>
        <v/>
      </c>
      <c r="M3454" s="0" t="str">
        <f aca="false">IF(A3454="","",IF(COUNTIFS($C$2:$C$5001,C3454,$J$2:$J$5001,J3454,$A$2:$A$5001,"&lt;"&amp;A3454)=0,1,0))</f>
        <v/>
      </c>
    </row>
    <row r="3455" customFormat="false" ht="15" hidden="false" customHeight="false" outlineLevel="0" collapsed="false">
      <c r="A3455" s="27"/>
      <c r="F3455" s="28"/>
      <c r="J3455" s="0" t="str">
        <f aca="false">IF(A3455="","",YEAR(A3455))</f>
        <v/>
      </c>
      <c r="K3455" s="0" t="str">
        <f aca="false">IF(A3455="","",MONTH(A3455))</f>
        <v/>
      </c>
      <c r="L3455" s="0" t="str">
        <f aca="false">IF(B3455="","",VALUE(LEFT(B3455,2)))</f>
        <v/>
      </c>
      <c r="M3455" s="0" t="str">
        <f aca="false">IF(A3455="","",IF(COUNTIFS($C$2:$C$5001,C3455,$J$2:$J$5001,J3455,$A$2:$A$5001,"&lt;"&amp;A3455)=0,1,0))</f>
        <v/>
      </c>
    </row>
    <row r="3456" customFormat="false" ht="15" hidden="false" customHeight="false" outlineLevel="0" collapsed="false">
      <c r="A3456" s="27"/>
      <c r="F3456" s="28"/>
      <c r="J3456" s="0" t="str">
        <f aca="false">IF(A3456="","",YEAR(A3456))</f>
        <v/>
      </c>
      <c r="K3456" s="0" t="str">
        <f aca="false">IF(A3456="","",MONTH(A3456))</f>
        <v/>
      </c>
      <c r="L3456" s="0" t="str">
        <f aca="false">IF(B3456="","",VALUE(LEFT(B3456,2)))</f>
        <v/>
      </c>
      <c r="M3456" s="0" t="str">
        <f aca="false">IF(A3456="","",IF(COUNTIFS($C$2:$C$5001,C3456,$J$2:$J$5001,J3456,$A$2:$A$5001,"&lt;"&amp;A3456)=0,1,0))</f>
        <v/>
      </c>
    </row>
    <row r="3457" customFormat="false" ht="15" hidden="false" customHeight="false" outlineLevel="0" collapsed="false">
      <c r="A3457" s="27"/>
      <c r="F3457" s="28"/>
      <c r="J3457" s="0" t="str">
        <f aca="false">IF(A3457="","",YEAR(A3457))</f>
        <v/>
      </c>
      <c r="K3457" s="0" t="str">
        <f aca="false">IF(A3457="","",MONTH(A3457))</f>
        <v/>
      </c>
      <c r="L3457" s="0" t="str">
        <f aca="false">IF(B3457="","",VALUE(LEFT(B3457,2)))</f>
        <v/>
      </c>
      <c r="M3457" s="0" t="str">
        <f aca="false">IF(A3457="","",IF(COUNTIFS($C$2:$C$5001,C3457,$J$2:$J$5001,J3457,$A$2:$A$5001,"&lt;"&amp;A3457)=0,1,0))</f>
        <v/>
      </c>
    </row>
    <row r="3458" customFormat="false" ht="15" hidden="false" customHeight="false" outlineLevel="0" collapsed="false">
      <c r="A3458" s="27"/>
      <c r="F3458" s="28"/>
      <c r="J3458" s="0" t="str">
        <f aca="false">IF(A3458="","",YEAR(A3458))</f>
        <v/>
      </c>
      <c r="K3458" s="0" t="str">
        <f aca="false">IF(A3458="","",MONTH(A3458))</f>
        <v/>
      </c>
      <c r="L3458" s="0" t="str">
        <f aca="false">IF(B3458="","",VALUE(LEFT(B3458,2)))</f>
        <v/>
      </c>
      <c r="M3458" s="0" t="str">
        <f aca="false">IF(A3458="","",IF(COUNTIFS($C$2:$C$5001,C3458,$J$2:$J$5001,J3458,$A$2:$A$5001,"&lt;"&amp;A3458)=0,1,0))</f>
        <v/>
      </c>
    </row>
    <row r="3459" customFormat="false" ht="15" hidden="false" customHeight="false" outlineLevel="0" collapsed="false">
      <c r="A3459" s="27"/>
      <c r="F3459" s="28"/>
      <c r="J3459" s="0" t="str">
        <f aca="false">IF(A3459="","",YEAR(A3459))</f>
        <v/>
      </c>
      <c r="K3459" s="0" t="str">
        <f aca="false">IF(A3459="","",MONTH(A3459))</f>
        <v/>
      </c>
      <c r="L3459" s="0" t="str">
        <f aca="false">IF(B3459="","",VALUE(LEFT(B3459,2)))</f>
        <v/>
      </c>
      <c r="M3459" s="0" t="str">
        <f aca="false">IF(A3459="","",IF(COUNTIFS($C$2:$C$5001,C3459,$J$2:$J$5001,J3459,$A$2:$A$5001,"&lt;"&amp;A3459)=0,1,0))</f>
        <v/>
      </c>
    </row>
    <row r="3460" customFormat="false" ht="15" hidden="false" customHeight="false" outlineLevel="0" collapsed="false">
      <c r="A3460" s="27"/>
      <c r="F3460" s="28"/>
      <c r="J3460" s="0" t="str">
        <f aca="false">IF(A3460="","",YEAR(A3460))</f>
        <v/>
      </c>
      <c r="K3460" s="0" t="str">
        <f aca="false">IF(A3460="","",MONTH(A3460))</f>
        <v/>
      </c>
      <c r="L3460" s="0" t="str">
        <f aca="false">IF(B3460="","",VALUE(LEFT(B3460,2)))</f>
        <v/>
      </c>
      <c r="M3460" s="0" t="str">
        <f aca="false">IF(A3460="","",IF(COUNTIFS($C$2:$C$5001,C3460,$J$2:$J$5001,J3460,$A$2:$A$5001,"&lt;"&amp;A3460)=0,1,0))</f>
        <v/>
      </c>
    </row>
    <row r="3461" customFormat="false" ht="15" hidden="false" customHeight="false" outlineLevel="0" collapsed="false">
      <c r="A3461" s="27"/>
      <c r="F3461" s="28"/>
      <c r="J3461" s="0" t="str">
        <f aca="false">IF(A3461="","",YEAR(A3461))</f>
        <v/>
      </c>
      <c r="K3461" s="0" t="str">
        <f aca="false">IF(A3461="","",MONTH(A3461))</f>
        <v/>
      </c>
      <c r="L3461" s="0" t="str">
        <f aca="false">IF(B3461="","",VALUE(LEFT(B3461,2)))</f>
        <v/>
      </c>
      <c r="M3461" s="0" t="str">
        <f aca="false">IF(A3461="","",IF(COUNTIFS($C$2:$C$5001,C3461,$J$2:$J$5001,J3461,$A$2:$A$5001,"&lt;"&amp;A3461)=0,1,0))</f>
        <v/>
      </c>
    </row>
    <row r="3462" customFormat="false" ht="15" hidden="false" customHeight="false" outlineLevel="0" collapsed="false">
      <c r="A3462" s="27"/>
      <c r="F3462" s="28"/>
      <c r="J3462" s="0" t="str">
        <f aca="false">IF(A3462="","",YEAR(A3462))</f>
        <v/>
      </c>
      <c r="K3462" s="0" t="str">
        <f aca="false">IF(A3462="","",MONTH(A3462))</f>
        <v/>
      </c>
      <c r="L3462" s="0" t="str">
        <f aca="false">IF(B3462="","",VALUE(LEFT(B3462,2)))</f>
        <v/>
      </c>
      <c r="M3462" s="0" t="str">
        <f aca="false">IF(A3462="","",IF(COUNTIFS($C$2:$C$5001,C3462,$J$2:$J$5001,J3462,$A$2:$A$5001,"&lt;"&amp;A3462)=0,1,0))</f>
        <v/>
      </c>
    </row>
    <row r="3463" customFormat="false" ht="15" hidden="false" customHeight="false" outlineLevel="0" collapsed="false">
      <c r="A3463" s="27"/>
      <c r="F3463" s="28"/>
      <c r="J3463" s="0" t="str">
        <f aca="false">IF(A3463="","",YEAR(A3463))</f>
        <v/>
      </c>
      <c r="K3463" s="0" t="str">
        <f aca="false">IF(A3463="","",MONTH(A3463))</f>
        <v/>
      </c>
      <c r="L3463" s="0" t="str">
        <f aca="false">IF(B3463="","",VALUE(LEFT(B3463,2)))</f>
        <v/>
      </c>
      <c r="M3463" s="0" t="str">
        <f aca="false">IF(A3463="","",IF(COUNTIFS($C$2:$C$5001,C3463,$J$2:$J$5001,J3463,$A$2:$A$5001,"&lt;"&amp;A3463)=0,1,0))</f>
        <v/>
      </c>
    </row>
    <row r="3464" customFormat="false" ht="15" hidden="false" customHeight="false" outlineLevel="0" collapsed="false">
      <c r="A3464" s="27"/>
      <c r="F3464" s="28"/>
      <c r="J3464" s="0" t="str">
        <f aca="false">IF(A3464="","",YEAR(A3464))</f>
        <v/>
      </c>
      <c r="K3464" s="0" t="str">
        <f aca="false">IF(A3464="","",MONTH(A3464))</f>
        <v/>
      </c>
      <c r="L3464" s="0" t="str">
        <f aca="false">IF(B3464="","",VALUE(LEFT(B3464,2)))</f>
        <v/>
      </c>
      <c r="M3464" s="0" t="str">
        <f aca="false">IF(A3464="","",IF(COUNTIFS($C$2:$C$5001,C3464,$J$2:$J$5001,J3464,$A$2:$A$5001,"&lt;"&amp;A3464)=0,1,0))</f>
        <v/>
      </c>
    </row>
    <row r="3465" customFormat="false" ht="15" hidden="false" customHeight="false" outlineLevel="0" collapsed="false">
      <c r="A3465" s="27"/>
      <c r="F3465" s="28"/>
      <c r="J3465" s="0" t="str">
        <f aca="false">IF(A3465="","",YEAR(A3465))</f>
        <v/>
      </c>
      <c r="K3465" s="0" t="str">
        <f aca="false">IF(A3465="","",MONTH(A3465))</f>
        <v/>
      </c>
      <c r="L3465" s="0" t="str">
        <f aca="false">IF(B3465="","",VALUE(LEFT(B3465,2)))</f>
        <v/>
      </c>
      <c r="M3465" s="0" t="str">
        <f aca="false">IF(A3465="","",IF(COUNTIFS($C$2:$C$5001,C3465,$J$2:$J$5001,J3465,$A$2:$A$5001,"&lt;"&amp;A3465)=0,1,0))</f>
        <v/>
      </c>
    </row>
    <row r="3466" customFormat="false" ht="15" hidden="false" customHeight="false" outlineLevel="0" collapsed="false">
      <c r="A3466" s="27"/>
      <c r="F3466" s="28"/>
      <c r="J3466" s="0" t="str">
        <f aca="false">IF(A3466="","",YEAR(A3466))</f>
        <v/>
      </c>
      <c r="K3466" s="0" t="str">
        <f aca="false">IF(A3466="","",MONTH(A3466))</f>
        <v/>
      </c>
      <c r="L3466" s="0" t="str">
        <f aca="false">IF(B3466="","",VALUE(LEFT(B3466,2)))</f>
        <v/>
      </c>
      <c r="M3466" s="0" t="str">
        <f aca="false">IF(A3466="","",IF(COUNTIFS($C$2:$C$5001,C3466,$J$2:$J$5001,J3466,$A$2:$A$5001,"&lt;"&amp;A3466)=0,1,0))</f>
        <v/>
      </c>
    </row>
    <row r="3467" customFormat="false" ht="15" hidden="false" customHeight="false" outlineLevel="0" collapsed="false">
      <c r="A3467" s="27"/>
      <c r="F3467" s="28"/>
      <c r="J3467" s="0" t="str">
        <f aca="false">IF(A3467="","",YEAR(A3467))</f>
        <v/>
      </c>
      <c r="K3467" s="0" t="str">
        <f aca="false">IF(A3467="","",MONTH(A3467))</f>
        <v/>
      </c>
      <c r="L3467" s="0" t="str">
        <f aca="false">IF(B3467="","",VALUE(LEFT(B3467,2)))</f>
        <v/>
      </c>
      <c r="M3467" s="0" t="str">
        <f aca="false">IF(A3467="","",IF(COUNTIFS($C$2:$C$5001,C3467,$J$2:$J$5001,J3467,$A$2:$A$5001,"&lt;"&amp;A3467)=0,1,0))</f>
        <v/>
      </c>
    </row>
    <row r="3468" customFormat="false" ht="15" hidden="false" customHeight="false" outlineLevel="0" collapsed="false">
      <c r="A3468" s="27"/>
      <c r="F3468" s="28"/>
      <c r="J3468" s="0" t="str">
        <f aca="false">IF(A3468="","",YEAR(A3468))</f>
        <v/>
      </c>
      <c r="K3468" s="0" t="str">
        <f aca="false">IF(A3468="","",MONTH(A3468))</f>
        <v/>
      </c>
      <c r="L3468" s="0" t="str">
        <f aca="false">IF(B3468="","",VALUE(LEFT(B3468,2)))</f>
        <v/>
      </c>
      <c r="M3468" s="0" t="str">
        <f aca="false">IF(A3468="","",IF(COUNTIFS($C$2:$C$5001,C3468,$J$2:$J$5001,J3468,$A$2:$A$5001,"&lt;"&amp;A3468)=0,1,0))</f>
        <v/>
      </c>
    </row>
    <row r="3469" customFormat="false" ht="15" hidden="false" customHeight="false" outlineLevel="0" collapsed="false">
      <c r="A3469" s="27"/>
      <c r="F3469" s="28"/>
      <c r="J3469" s="0" t="str">
        <f aca="false">IF(A3469="","",YEAR(A3469))</f>
        <v/>
      </c>
      <c r="K3469" s="0" t="str">
        <f aca="false">IF(A3469="","",MONTH(A3469))</f>
        <v/>
      </c>
      <c r="L3469" s="0" t="str">
        <f aca="false">IF(B3469="","",VALUE(LEFT(B3469,2)))</f>
        <v/>
      </c>
      <c r="M3469" s="0" t="str">
        <f aca="false">IF(A3469="","",IF(COUNTIFS($C$2:$C$5001,C3469,$J$2:$J$5001,J3469,$A$2:$A$5001,"&lt;"&amp;A3469)=0,1,0))</f>
        <v/>
      </c>
    </row>
    <row r="3470" customFormat="false" ht="15" hidden="false" customHeight="false" outlineLevel="0" collapsed="false">
      <c r="A3470" s="27"/>
      <c r="F3470" s="28"/>
      <c r="J3470" s="0" t="str">
        <f aca="false">IF(A3470="","",YEAR(A3470))</f>
        <v/>
      </c>
      <c r="K3470" s="0" t="str">
        <f aca="false">IF(A3470="","",MONTH(A3470))</f>
        <v/>
      </c>
      <c r="L3470" s="0" t="str">
        <f aca="false">IF(B3470="","",VALUE(LEFT(B3470,2)))</f>
        <v/>
      </c>
      <c r="M3470" s="0" t="str">
        <f aca="false">IF(A3470="","",IF(COUNTIFS($C$2:$C$5001,C3470,$J$2:$J$5001,J3470,$A$2:$A$5001,"&lt;"&amp;A3470)=0,1,0))</f>
        <v/>
      </c>
    </row>
    <row r="3471" customFormat="false" ht="15" hidden="false" customHeight="false" outlineLevel="0" collapsed="false">
      <c r="A3471" s="27"/>
      <c r="F3471" s="28"/>
      <c r="J3471" s="0" t="str">
        <f aca="false">IF(A3471="","",YEAR(A3471))</f>
        <v/>
      </c>
      <c r="K3471" s="0" t="str">
        <f aca="false">IF(A3471="","",MONTH(A3471))</f>
        <v/>
      </c>
      <c r="L3471" s="0" t="str">
        <f aca="false">IF(B3471="","",VALUE(LEFT(B3471,2)))</f>
        <v/>
      </c>
      <c r="M3471" s="0" t="str">
        <f aca="false">IF(A3471="","",IF(COUNTIFS($C$2:$C$5001,C3471,$J$2:$J$5001,J3471,$A$2:$A$5001,"&lt;"&amp;A3471)=0,1,0))</f>
        <v/>
      </c>
    </row>
    <row r="3472" customFormat="false" ht="15" hidden="false" customHeight="false" outlineLevel="0" collapsed="false">
      <c r="A3472" s="27"/>
      <c r="F3472" s="28"/>
      <c r="J3472" s="0" t="str">
        <f aca="false">IF(A3472="","",YEAR(A3472))</f>
        <v/>
      </c>
      <c r="K3472" s="0" t="str">
        <f aca="false">IF(A3472="","",MONTH(A3472))</f>
        <v/>
      </c>
      <c r="L3472" s="0" t="str">
        <f aca="false">IF(B3472="","",VALUE(LEFT(B3472,2)))</f>
        <v/>
      </c>
      <c r="M3472" s="0" t="str">
        <f aca="false">IF(A3472="","",IF(COUNTIFS($C$2:$C$5001,C3472,$J$2:$J$5001,J3472,$A$2:$A$5001,"&lt;"&amp;A3472)=0,1,0))</f>
        <v/>
      </c>
    </row>
    <row r="3473" customFormat="false" ht="15" hidden="false" customHeight="false" outlineLevel="0" collapsed="false">
      <c r="A3473" s="27"/>
      <c r="F3473" s="28"/>
      <c r="J3473" s="0" t="str">
        <f aca="false">IF(A3473="","",YEAR(A3473))</f>
        <v/>
      </c>
      <c r="K3473" s="0" t="str">
        <f aca="false">IF(A3473="","",MONTH(A3473))</f>
        <v/>
      </c>
      <c r="L3473" s="0" t="str">
        <f aca="false">IF(B3473="","",VALUE(LEFT(B3473,2)))</f>
        <v/>
      </c>
      <c r="M3473" s="0" t="str">
        <f aca="false">IF(A3473="","",IF(COUNTIFS($C$2:$C$5001,C3473,$J$2:$J$5001,J3473,$A$2:$A$5001,"&lt;"&amp;A3473)=0,1,0))</f>
        <v/>
      </c>
    </row>
    <row r="3474" customFormat="false" ht="15" hidden="false" customHeight="false" outlineLevel="0" collapsed="false">
      <c r="A3474" s="27"/>
      <c r="F3474" s="28"/>
      <c r="J3474" s="0" t="str">
        <f aca="false">IF(A3474="","",YEAR(A3474))</f>
        <v/>
      </c>
      <c r="K3474" s="0" t="str">
        <f aca="false">IF(A3474="","",MONTH(A3474))</f>
        <v/>
      </c>
      <c r="L3474" s="0" t="str">
        <f aca="false">IF(B3474="","",VALUE(LEFT(B3474,2)))</f>
        <v/>
      </c>
      <c r="M3474" s="0" t="str">
        <f aca="false">IF(A3474="","",IF(COUNTIFS($C$2:$C$5001,C3474,$J$2:$J$5001,J3474,$A$2:$A$5001,"&lt;"&amp;A3474)=0,1,0))</f>
        <v/>
      </c>
    </row>
    <row r="3475" customFormat="false" ht="15" hidden="false" customHeight="false" outlineLevel="0" collapsed="false">
      <c r="A3475" s="27"/>
      <c r="F3475" s="28"/>
      <c r="J3475" s="0" t="str">
        <f aca="false">IF(A3475="","",YEAR(A3475))</f>
        <v/>
      </c>
      <c r="K3475" s="0" t="str">
        <f aca="false">IF(A3475="","",MONTH(A3475))</f>
        <v/>
      </c>
      <c r="L3475" s="0" t="str">
        <f aca="false">IF(B3475="","",VALUE(LEFT(B3475,2)))</f>
        <v/>
      </c>
      <c r="M3475" s="0" t="str">
        <f aca="false">IF(A3475="","",IF(COUNTIFS($C$2:$C$5001,C3475,$J$2:$J$5001,J3475,$A$2:$A$5001,"&lt;"&amp;A3475)=0,1,0))</f>
        <v/>
      </c>
    </row>
    <row r="3476" customFormat="false" ht="15" hidden="false" customHeight="false" outlineLevel="0" collapsed="false">
      <c r="A3476" s="27"/>
      <c r="F3476" s="28"/>
      <c r="J3476" s="0" t="str">
        <f aca="false">IF(A3476="","",YEAR(A3476))</f>
        <v/>
      </c>
      <c r="K3476" s="0" t="str">
        <f aca="false">IF(A3476="","",MONTH(A3476))</f>
        <v/>
      </c>
      <c r="L3476" s="0" t="str">
        <f aca="false">IF(B3476="","",VALUE(LEFT(B3476,2)))</f>
        <v/>
      </c>
      <c r="M3476" s="0" t="str">
        <f aca="false">IF(A3476="","",IF(COUNTIFS($C$2:$C$5001,C3476,$J$2:$J$5001,J3476,$A$2:$A$5001,"&lt;"&amp;A3476)=0,1,0))</f>
        <v/>
      </c>
    </row>
    <row r="3477" customFormat="false" ht="15" hidden="false" customHeight="false" outlineLevel="0" collapsed="false">
      <c r="A3477" s="27"/>
      <c r="F3477" s="28"/>
      <c r="J3477" s="0" t="str">
        <f aca="false">IF(A3477="","",YEAR(A3477))</f>
        <v/>
      </c>
      <c r="K3477" s="0" t="str">
        <f aca="false">IF(A3477="","",MONTH(A3477))</f>
        <v/>
      </c>
      <c r="L3477" s="0" t="str">
        <f aca="false">IF(B3477="","",VALUE(LEFT(B3477,2)))</f>
        <v/>
      </c>
      <c r="M3477" s="0" t="str">
        <f aca="false">IF(A3477="","",IF(COUNTIFS($C$2:$C$5001,C3477,$J$2:$J$5001,J3477,$A$2:$A$5001,"&lt;"&amp;A3477)=0,1,0))</f>
        <v/>
      </c>
    </row>
    <row r="3478" customFormat="false" ht="15" hidden="false" customHeight="false" outlineLevel="0" collapsed="false">
      <c r="A3478" s="27"/>
      <c r="F3478" s="28"/>
      <c r="J3478" s="0" t="str">
        <f aca="false">IF(A3478="","",YEAR(A3478))</f>
        <v/>
      </c>
      <c r="K3478" s="0" t="str">
        <f aca="false">IF(A3478="","",MONTH(A3478))</f>
        <v/>
      </c>
      <c r="L3478" s="0" t="str">
        <f aca="false">IF(B3478="","",VALUE(LEFT(B3478,2)))</f>
        <v/>
      </c>
      <c r="M3478" s="0" t="str">
        <f aca="false">IF(A3478="","",IF(COUNTIFS($C$2:$C$5001,C3478,$J$2:$J$5001,J3478,$A$2:$A$5001,"&lt;"&amp;A3478)=0,1,0))</f>
        <v/>
      </c>
    </row>
    <row r="3479" customFormat="false" ht="15" hidden="false" customHeight="false" outlineLevel="0" collapsed="false">
      <c r="A3479" s="27"/>
      <c r="F3479" s="28"/>
      <c r="J3479" s="0" t="str">
        <f aca="false">IF(A3479="","",YEAR(A3479))</f>
        <v/>
      </c>
      <c r="K3479" s="0" t="str">
        <f aca="false">IF(A3479="","",MONTH(A3479))</f>
        <v/>
      </c>
      <c r="L3479" s="0" t="str">
        <f aca="false">IF(B3479="","",VALUE(LEFT(B3479,2)))</f>
        <v/>
      </c>
      <c r="M3479" s="0" t="str">
        <f aca="false">IF(A3479="","",IF(COUNTIFS($C$2:$C$5001,C3479,$J$2:$J$5001,J3479,$A$2:$A$5001,"&lt;"&amp;A3479)=0,1,0))</f>
        <v/>
      </c>
    </row>
    <row r="3480" customFormat="false" ht="15" hidden="false" customHeight="false" outlineLevel="0" collapsed="false">
      <c r="A3480" s="27"/>
      <c r="F3480" s="28"/>
      <c r="J3480" s="0" t="str">
        <f aca="false">IF(A3480="","",YEAR(A3480))</f>
        <v/>
      </c>
      <c r="K3480" s="0" t="str">
        <f aca="false">IF(A3480="","",MONTH(A3480))</f>
        <v/>
      </c>
      <c r="L3480" s="0" t="str">
        <f aca="false">IF(B3480="","",VALUE(LEFT(B3480,2)))</f>
        <v/>
      </c>
      <c r="M3480" s="0" t="str">
        <f aca="false">IF(A3480="","",IF(COUNTIFS($C$2:$C$5001,C3480,$J$2:$J$5001,J3480,$A$2:$A$5001,"&lt;"&amp;A3480)=0,1,0))</f>
        <v/>
      </c>
    </row>
    <row r="3481" customFormat="false" ht="15" hidden="false" customHeight="false" outlineLevel="0" collapsed="false">
      <c r="A3481" s="27"/>
      <c r="F3481" s="28"/>
      <c r="J3481" s="0" t="str">
        <f aca="false">IF(A3481="","",YEAR(A3481))</f>
        <v/>
      </c>
      <c r="K3481" s="0" t="str">
        <f aca="false">IF(A3481="","",MONTH(A3481))</f>
        <v/>
      </c>
      <c r="L3481" s="0" t="str">
        <f aca="false">IF(B3481="","",VALUE(LEFT(B3481,2)))</f>
        <v/>
      </c>
      <c r="M3481" s="0" t="str">
        <f aca="false">IF(A3481="","",IF(COUNTIFS($C$2:$C$5001,C3481,$J$2:$J$5001,J3481,$A$2:$A$5001,"&lt;"&amp;A3481)=0,1,0))</f>
        <v/>
      </c>
    </row>
    <row r="3482" customFormat="false" ht="15" hidden="false" customHeight="false" outlineLevel="0" collapsed="false">
      <c r="A3482" s="27"/>
      <c r="F3482" s="28"/>
      <c r="J3482" s="0" t="str">
        <f aca="false">IF(A3482="","",YEAR(A3482))</f>
        <v/>
      </c>
      <c r="K3482" s="0" t="str">
        <f aca="false">IF(A3482="","",MONTH(A3482))</f>
        <v/>
      </c>
      <c r="L3482" s="0" t="str">
        <f aca="false">IF(B3482="","",VALUE(LEFT(B3482,2)))</f>
        <v/>
      </c>
      <c r="M3482" s="0" t="str">
        <f aca="false">IF(A3482="","",IF(COUNTIFS($C$2:$C$5001,C3482,$J$2:$J$5001,J3482,$A$2:$A$5001,"&lt;"&amp;A3482)=0,1,0))</f>
        <v/>
      </c>
    </row>
    <row r="3483" customFormat="false" ht="15" hidden="false" customHeight="false" outlineLevel="0" collapsed="false">
      <c r="A3483" s="27"/>
      <c r="F3483" s="28"/>
      <c r="J3483" s="0" t="str">
        <f aca="false">IF(A3483="","",YEAR(A3483))</f>
        <v/>
      </c>
      <c r="K3483" s="0" t="str">
        <f aca="false">IF(A3483="","",MONTH(A3483))</f>
        <v/>
      </c>
      <c r="L3483" s="0" t="str">
        <f aca="false">IF(B3483="","",VALUE(LEFT(B3483,2)))</f>
        <v/>
      </c>
      <c r="M3483" s="0" t="str">
        <f aca="false">IF(A3483="","",IF(COUNTIFS($C$2:$C$5001,C3483,$J$2:$J$5001,J3483,$A$2:$A$5001,"&lt;"&amp;A3483)=0,1,0))</f>
        <v/>
      </c>
    </row>
    <row r="3484" customFormat="false" ht="15" hidden="false" customHeight="false" outlineLevel="0" collapsed="false">
      <c r="A3484" s="27"/>
      <c r="F3484" s="28"/>
      <c r="J3484" s="0" t="str">
        <f aca="false">IF(A3484="","",YEAR(A3484))</f>
        <v/>
      </c>
      <c r="K3484" s="0" t="str">
        <f aca="false">IF(A3484="","",MONTH(A3484))</f>
        <v/>
      </c>
      <c r="L3484" s="0" t="str">
        <f aca="false">IF(B3484="","",VALUE(LEFT(B3484,2)))</f>
        <v/>
      </c>
      <c r="M3484" s="0" t="str">
        <f aca="false">IF(A3484="","",IF(COUNTIFS($C$2:$C$5001,C3484,$J$2:$J$5001,J3484,$A$2:$A$5001,"&lt;"&amp;A3484)=0,1,0))</f>
        <v/>
      </c>
    </row>
    <row r="3485" customFormat="false" ht="15" hidden="false" customHeight="false" outlineLevel="0" collapsed="false">
      <c r="A3485" s="27"/>
      <c r="F3485" s="28"/>
      <c r="J3485" s="0" t="str">
        <f aca="false">IF(A3485="","",YEAR(A3485))</f>
        <v/>
      </c>
      <c r="K3485" s="0" t="str">
        <f aca="false">IF(A3485="","",MONTH(A3485))</f>
        <v/>
      </c>
      <c r="L3485" s="0" t="str">
        <f aca="false">IF(B3485="","",VALUE(LEFT(B3485,2)))</f>
        <v/>
      </c>
      <c r="M3485" s="0" t="str">
        <f aca="false">IF(A3485="","",IF(COUNTIFS($C$2:$C$5001,C3485,$J$2:$J$5001,J3485,$A$2:$A$5001,"&lt;"&amp;A3485)=0,1,0))</f>
        <v/>
      </c>
    </row>
    <row r="3486" customFormat="false" ht="15" hidden="false" customHeight="false" outlineLevel="0" collapsed="false">
      <c r="A3486" s="27"/>
      <c r="F3486" s="28"/>
      <c r="J3486" s="0" t="str">
        <f aca="false">IF(A3486="","",YEAR(A3486))</f>
        <v/>
      </c>
      <c r="K3486" s="0" t="str">
        <f aca="false">IF(A3486="","",MONTH(A3486))</f>
        <v/>
      </c>
      <c r="L3486" s="0" t="str">
        <f aca="false">IF(B3486="","",VALUE(LEFT(B3486,2)))</f>
        <v/>
      </c>
      <c r="M3486" s="0" t="str">
        <f aca="false">IF(A3486="","",IF(COUNTIFS($C$2:$C$5001,C3486,$J$2:$J$5001,J3486,$A$2:$A$5001,"&lt;"&amp;A3486)=0,1,0))</f>
        <v/>
      </c>
    </row>
    <row r="3487" customFormat="false" ht="15" hidden="false" customHeight="false" outlineLevel="0" collapsed="false">
      <c r="A3487" s="27"/>
      <c r="F3487" s="28"/>
      <c r="J3487" s="0" t="str">
        <f aca="false">IF(A3487="","",YEAR(A3487))</f>
        <v/>
      </c>
      <c r="K3487" s="0" t="str">
        <f aca="false">IF(A3487="","",MONTH(A3487))</f>
        <v/>
      </c>
      <c r="L3487" s="0" t="str">
        <f aca="false">IF(B3487="","",VALUE(LEFT(B3487,2)))</f>
        <v/>
      </c>
      <c r="M3487" s="0" t="str">
        <f aca="false">IF(A3487="","",IF(COUNTIFS($C$2:$C$5001,C3487,$J$2:$J$5001,J3487,$A$2:$A$5001,"&lt;"&amp;A3487)=0,1,0))</f>
        <v/>
      </c>
    </row>
    <row r="3488" customFormat="false" ht="15" hidden="false" customHeight="false" outlineLevel="0" collapsed="false">
      <c r="A3488" s="27"/>
      <c r="F3488" s="28"/>
      <c r="J3488" s="0" t="str">
        <f aca="false">IF(A3488="","",YEAR(A3488))</f>
        <v/>
      </c>
      <c r="K3488" s="0" t="str">
        <f aca="false">IF(A3488="","",MONTH(A3488))</f>
        <v/>
      </c>
      <c r="L3488" s="0" t="str">
        <f aca="false">IF(B3488="","",VALUE(LEFT(B3488,2)))</f>
        <v/>
      </c>
      <c r="M3488" s="0" t="str">
        <f aca="false">IF(A3488="","",IF(COUNTIFS($C$2:$C$5001,C3488,$J$2:$J$5001,J3488,$A$2:$A$5001,"&lt;"&amp;A3488)=0,1,0))</f>
        <v/>
      </c>
    </row>
    <row r="3489" customFormat="false" ht="15" hidden="false" customHeight="false" outlineLevel="0" collapsed="false">
      <c r="A3489" s="27"/>
      <c r="F3489" s="28"/>
      <c r="J3489" s="0" t="str">
        <f aca="false">IF(A3489="","",YEAR(A3489))</f>
        <v/>
      </c>
      <c r="K3489" s="0" t="str">
        <f aca="false">IF(A3489="","",MONTH(A3489))</f>
        <v/>
      </c>
      <c r="L3489" s="0" t="str">
        <f aca="false">IF(B3489="","",VALUE(LEFT(B3489,2)))</f>
        <v/>
      </c>
      <c r="M3489" s="0" t="str">
        <f aca="false">IF(A3489="","",IF(COUNTIFS($C$2:$C$5001,C3489,$J$2:$J$5001,J3489,$A$2:$A$5001,"&lt;"&amp;A3489)=0,1,0))</f>
        <v/>
      </c>
    </row>
    <row r="3490" customFormat="false" ht="15" hidden="false" customHeight="false" outlineLevel="0" collapsed="false">
      <c r="A3490" s="27"/>
      <c r="F3490" s="28"/>
      <c r="J3490" s="0" t="str">
        <f aca="false">IF(A3490="","",YEAR(A3490))</f>
        <v/>
      </c>
      <c r="K3490" s="0" t="str">
        <f aca="false">IF(A3490="","",MONTH(A3490))</f>
        <v/>
      </c>
      <c r="L3490" s="0" t="str">
        <f aca="false">IF(B3490="","",VALUE(LEFT(B3490,2)))</f>
        <v/>
      </c>
      <c r="M3490" s="0" t="str">
        <f aca="false">IF(A3490="","",IF(COUNTIFS($C$2:$C$5001,C3490,$J$2:$J$5001,J3490,$A$2:$A$5001,"&lt;"&amp;A3490)=0,1,0))</f>
        <v/>
      </c>
    </row>
    <row r="3491" customFormat="false" ht="15" hidden="false" customHeight="false" outlineLevel="0" collapsed="false">
      <c r="A3491" s="27"/>
      <c r="F3491" s="28"/>
      <c r="J3491" s="0" t="str">
        <f aca="false">IF(A3491="","",YEAR(A3491))</f>
        <v/>
      </c>
      <c r="K3491" s="0" t="str">
        <f aca="false">IF(A3491="","",MONTH(A3491))</f>
        <v/>
      </c>
      <c r="L3491" s="0" t="str">
        <f aca="false">IF(B3491="","",VALUE(LEFT(B3491,2)))</f>
        <v/>
      </c>
      <c r="M3491" s="0" t="str">
        <f aca="false">IF(A3491="","",IF(COUNTIFS($C$2:$C$5001,C3491,$J$2:$J$5001,J3491,$A$2:$A$5001,"&lt;"&amp;A3491)=0,1,0))</f>
        <v/>
      </c>
    </row>
    <row r="3492" customFormat="false" ht="15" hidden="false" customHeight="false" outlineLevel="0" collapsed="false">
      <c r="A3492" s="27"/>
      <c r="F3492" s="28"/>
      <c r="J3492" s="0" t="str">
        <f aca="false">IF(A3492="","",YEAR(A3492))</f>
        <v/>
      </c>
      <c r="K3492" s="0" t="str">
        <f aca="false">IF(A3492="","",MONTH(A3492))</f>
        <v/>
      </c>
      <c r="L3492" s="0" t="str">
        <f aca="false">IF(B3492="","",VALUE(LEFT(B3492,2)))</f>
        <v/>
      </c>
      <c r="M3492" s="0" t="str">
        <f aca="false">IF(A3492="","",IF(COUNTIFS($C$2:$C$5001,C3492,$J$2:$J$5001,J3492,$A$2:$A$5001,"&lt;"&amp;A3492)=0,1,0))</f>
        <v/>
      </c>
    </row>
    <row r="3493" customFormat="false" ht="15" hidden="false" customHeight="false" outlineLevel="0" collapsed="false">
      <c r="A3493" s="27"/>
      <c r="F3493" s="28"/>
      <c r="J3493" s="0" t="str">
        <f aca="false">IF(A3493="","",YEAR(A3493))</f>
        <v/>
      </c>
      <c r="K3493" s="0" t="str">
        <f aca="false">IF(A3493="","",MONTH(A3493))</f>
        <v/>
      </c>
      <c r="L3493" s="0" t="str">
        <f aca="false">IF(B3493="","",VALUE(LEFT(B3493,2)))</f>
        <v/>
      </c>
      <c r="M3493" s="0" t="str">
        <f aca="false">IF(A3493="","",IF(COUNTIFS($C$2:$C$5001,C3493,$J$2:$J$5001,J3493,$A$2:$A$5001,"&lt;"&amp;A3493)=0,1,0))</f>
        <v/>
      </c>
    </row>
    <row r="3494" customFormat="false" ht="15" hidden="false" customHeight="false" outlineLevel="0" collapsed="false">
      <c r="A3494" s="27"/>
      <c r="F3494" s="28"/>
      <c r="J3494" s="0" t="str">
        <f aca="false">IF(A3494="","",YEAR(A3494))</f>
        <v/>
      </c>
      <c r="K3494" s="0" t="str">
        <f aca="false">IF(A3494="","",MONTH(A3494))</f>
        <v/>
      </c>
      <c r="L3494" s="0" t="str">
        <f aca="false">IF(B3494="","",VALUE(LEFT(B3494,2)))</f>
        <v/>
      </c>
      <c r="M3494" s="0" t="str">
        <f aca="false">IF(A3494="","",IF(COUNTIFS($C$2:$C$5001,C3494,$J$2:$J$5001,J3494,$A$2:$A$5001,"&lt;"&amp;A3494)=0,1,0))</f>
        <v/>
      </c>
    </row>
    <row r="3495" customFormat="false" ht="15" hidden="false" customHeight="false" outlineLevel="0" collapsed="false">
      <c r="A3495" s="27"/>
      <c r="F3495" s="28"/>
      <c r="J3495" s="0" t="str">
        <f aca="false">IF(A3495="","",YEAR(A3495))</f>
        <v/>
      </c>
      <c r="K3495" s="0" t="str">
        <f aca="false">IF(A3495="","",MONTH(A3495))</f>
        <v/>
      </c>
      <c r="L3495" s="0" t="str">
        <f aca="false">IF(B3495="","",VALUE(LEFT(B3495,2)))</f>
        <v/>
      </c>
      <c r="M3495" s="0" t="str">
        <f aca="false">IF(A3495="","",IF(COUNTIFS($C$2:$C$5001,C3495,$J$2:$J$5001,J3495,$A$2:$A$5001,"&lt;"&amp;A3495)=0,1,0))</f>
        <v/>
      </c>
    </row>
    <row r="3496" customFormat="false" ht="15" hidden="false" customHeight="false" outlineLevel="0" collapsed="false">
      <c r="A3496" s="27"/>
      <c r="F3496" s="28"/>
      <c r="J3496" s="0" t="str">
        <f aca="false">IF(A3496="","",YEAR(A3496))</f>
        <v/>
      </c>
      <c r="K3496" s="0" t="str">
        <f aca="false">IF(A3496="","",MONTH(A3496))</f>
        <v/>
      </c>
      <c r="L3496" s="0" t="str">
        <f aca="false">IF(B3496="","",VALUE(LEFT(B3496,2)))</f>
        <v/>
      </c>
      <c r="M3496" s="0" t="str">
        <f aca="false">IF(A3496="","",IF(COUNTIFS($C$2:$C$5001,C3496,$J$2:$J$5001,J3496,$A$2:$A$5001,"&lt;"&amp;A3496)=0,1,0))</f>
        <v/>
      </c>
    </row>
    <row r="3497" customFormat="false" ht="15" hidden="false" customHeight="false" outlineLevel="0" collapsed="false">
      <c r="A3497" s="27"/>
      <c r="F3497" s="28"/>
      <c r="J3497" s="0" t="str">
        <f aca="false">IF(A3497="","",YEAR(A3497))</f>
        <v/>
      </c>
      <c r="K3497" s="0" t="str">
        <f aca="false">IF(A3497="","",MONTH(A3497))</f>
        <v/>
      </c>
      <c r="L3497" s="0" t="str">
        <f aca="false">IF(B3497="","",VALUE(LEFT(B3497,2)))</f>
        <v/>
      </c>
      <c r="M3497" s="0" t="str">
        <f aca="false">IF(A3497="","",IF(COUNTIFS($C$2:$C$5001,C3497,$J$2:$J$5001,J3497,$A$2:$A$5001,"&lt;"&amp;A3497)=0,1,0))</f>
        <v/>
      </c>
    </row>
    <row r="3498" customFormat="false" ht="15" hidden="false" customHeight="false" outlineLevel="0" collapsed="false">
      <c r="A3498" s="27"/>
      <c r="F3498" s="28"/>
      <c r="J3498" s="0" t="str">
        <f aca="false">IF(A3498="","",YEAR(A3498))</f>
        <v/>
      </c>
      <c r="K3498" s="0" t="str">
        <f aca="false">IF(A3498="","",MONTH(A3498))</f>
        <v/>
      </c>
      <c r="L3498" s="0" t="str">
        <f aca="false">IF(B3498="","",VALUE(LEFT(B3498,2)))</f>
        <v/>
      </c>
      <c r="M3498" s="0" t="str">
        <f aca="false">IF(A3498="","",IF(COUNTIFS($C$2:$C$5001,C3498,$J$2:$J$5001,J3498,$A$2:$A$5001,"&lt;"&amp;A3498)=0,1,0))</f>
        <v/>
      </c>
    </row>
    <row r="3499" customFormat="false" ht="15" hidden="false" customHeight="false" outlineLevel="0" collapsed="false">
      <c r="A3499" s="27"/>
      <c r="F3499" s="28"/>
      <c r="J3499" s="0" t="str">
        <f aca="false">IF(A3499="","",YEAR(A3499))</f>
        <v/>
      </c>
      <c r="K3499" s="0" t="str">
        <f aca="false">IF(A3499="","",MONTH(A3499))</f>
        <v/>
      </c>
      <c r="L3499" s="0" t="str">
        <f aca="false">IF(B3499="","",VALUE(LEFT(B3499,2)))</f>
        <v/>
      </c>
      <c r="M3499" s="0" t="str">
        <f aca="false">IF(A3499="","",IF(COUNTIFS($C$2:$C$5001,C3499,$J$2:$J$5001,J3499,$A$2:$A$5001,"&lt;"&amp;A3499)=0,1,0))</f>
        <v/>
      </c>
    </row>
    <row r="3500" customFormat="false" ht="15" hidden="false" customHeight="false" outlineLevel="0" collapsed="false">
      <c r="A3500" s="27"/>
      <c r="F3500" s="28"/>
      <c r="J3500" s="0" t="str">
        <f aca="false">IF(A3500="","",YEAR(A3500))</f>
        <v/>
      </c>
      <c r="K3500" s="0" t="str">
        <f aca="false">IF(A3500="","",MONTH(A3500))</f>
        <v/>
      </c>
      <c r="L3500" s="0" t="str">
        <f aca="false">IF(B3500="","",VALUE(LEFT(B3500,2)))</f>
        <v/>
      </c>
      <c r="M3500" s="0" t="str">
        <f aca="false">IF(A3500="","",IF(COUNTIFS($C$2:$C$5001,C3500,$J$2:$J$5001,J3500,$A$2:$A$5001,"&lt;"&amp;A3500)=0,1,0))</f>
        <v/>
      </c>
    </row>
    <row r="3501" customFormat="false" ht="15" hidden="false" customHeight="false" outlineLevel="0" collapsed="false">
      <c r="A3501" s="27"/>
      <c r="F3501" s="28"/>
      <c r="J3501" s="0" t="str">
        <f aca="false">IF(A3501="","",YEAR(A3501))</f>
        <v/>
      </c>
      <c r="K3501" s="0" t="str">
        <f aca="false">IF(A3501="","",MONTH(A3501))</f>
        <v/>
      </c>
      <c r="L3501" s="0" t="str">
        <f aca="false">IF(B3501="","",VALUE(LEFT(B3501,2)))</f>
        <v/>
      </c>
      <c r="M3501" s="0" t="str">
        <f aca="false">IF(A3501="","",IF(COUNTIFS($C$2:$C$5001,C3501,$J$2:$J$5001,J3501,$A$2:$A$5001,"&lt;"&amp;A3501)=0,1,0))</f>
        <v/>
      </c>
    </row>
    <row r="3502" customFormat="false" ht="15" hidden="false" customHeight="false" outlineLevel="0" collapsed="false">
      <c r="A3502" s="27"/>
      <c r="F3502" s="28"/>
      <c r="J3502" s="0" t="str">
        <f aca="false">IF(A3502="","",YEAR(A3502))</f>
        <v/>
      </c>
      <c r="K3502" s="0" t="str">
        <f aca="false">IF(A3502="","",MONTH(A3502))</f>
        <v/>
      </c>
      <c r="L3502" s="0" t="str">
        <f aca="false">IF(B3502="","",VALUE(LEFT(B3502,2)))</f>
        <v/>
      </c>
      <c r="M3502" s="0" t="str">
        <f aca="false">IF(A3502="","",IF(COUNTIFS($C$2:$C$5001,C3502,$J$2:$J$5001,J3502,$A$2:$A$5001,"&lt;"&amp;A3502)=0,1,0))</f>
        <v/>
      </c>
    </row>
    <row r="3503" customFormat="false" ht="15" hidden="false" customHeight="false" outlineLevel="0" collapsed="false">
      <c r="A3503" s="27"/>
      <c r="F3503" s="28"/>
      <c r="J3503" s="0" t="str">
        <f aca="false">IF(A3503="","",YEAR(A3503))</f>
        <v/>
      </c>
      <c r="K3503" s="0" t="str">
        <f aca="false">IF(A3503="","",MONTH(A3503))</f>
        <v/>
      </c>
      <c r="L3503" s="0" t="str">
        <f aca="false">IF(B3503="","",VALUE(LEFT(B3503,2)))</f>
        <v/>
      </c>
      <c r="M3503" s="0" t="str">
        <f aca="false">IF(A3503="","",IF(COUNTIFS($C$2:$C$5001,C3503,$J$2:$J$5001,J3503,$A$2:$A$5001,"&lt;"&amp;A3503)=0,1,0))</f>
        <v/>
      </c>
    </row>
    <row r="3504" customFormat="false" ht="15" hidden="false" customHeight="false" outlineLevel="0" collapsed="false">
      <c r="A3504" s="27"/>
      <c r="F3504" s="28"/>
      <c r="J3504" s="0" t="str">
        <f aca="false">IF(A3504="","",YEAR(A3504))</f>
        <v/>
      </c>
      <c r="K3504" s="0" t="str">
        <f aca="false">IF(A3504="","",MONTH(A3504))</f>
        <v/>
      </c>
      <c r="L3504" s="0" t="str">
        <f aca="false">IF(B3504="","",VALUE(LEFT(B3504,2)))</f>
        <v/>
      </c>
      <c r="M3504" s="0" t="str">
        <f aca="false">IF(A3504="","",IF(COUNTIFS($C$2:$C$5001,C3504,$J$2:$J$5001,J3504,$A$2:$A$5001,"&lt;"&amp;A3504)=0,1,0))</f>
        <v/>
      </c>
    </row>
    <row r="3505" customFormat="false" ht="15" hidden="false" customHeight="false" outlineLevel="0" collapsed="false">
      <c r="A3505" s="27"/>
      <c r="F3505" s="28"/>
      <c r="J3505" s="0" t="str">
        <f aca="false">IF(A3505="","",YEAR(A3505))</f>
        <v/>
      </c>
      <c r="K3505" s="0" t="str">
        <f aca="false">IF(A3505="","",MONTH(A3505))</f>
        <v/>
      </c>
      <c r="L3505" s="0" t="str">
        <f aca="false">IF(B3505="","",VALUE(LEFT(B3505,2)))</f>
        <v/>
      </c>
      <c r="M3505" s="0" t="str">
        <f aca="false">IF(A3505="","",IF(COUNTIFS($C$2:$C$5001,C3505,$J$2:$J$5001,J3505,$A$2:$A$5001,"&lt;"&amp;A3505)=0,1,0))</f>
        <v/>
      </c>
    </row>
    <row r="3506" customFormat="false" ht="15" hidden="false" customHeight="false" outlineLevel="0" collapsed="false">
      <c r="A3506" s="27"/>
      <c r="F3506" s="28"/>
      <c r="J3506" s="0" t="str">
        <f aca="false">IF(A3506="","",YEAR(A3506))</f>
        <v/>
      </c>
      <c r="K3506" s="0" t="str">
        <f aca="false">IF(A3506="","",MONTH(A3506))</f>
        <v/>
      </c>
      <c r="L3506" s="0" t="str">
        <f aca="false">IF(B3506="","",VALUE(LEFT(B3506,2)))</f>
        <v/>
      </c>
      <c r="M3506" s="0" t="str">
        <f aca="false">IF(A3506="","",IF(COUNTIFS($C$2:$C$5001,C3506,$J$2:$J$5001,J3506,$A$2:$A$5001,"&lt;"&amp;A3506)=0,1,0))</f>
        <v/>
      </c>
    </row>
    <row r="3507" customFormat="false" ht="15" hidden="false" customHeight="false" outlineLevel="0" collapsed="false">
      <c r="A3507" s="27"/>
      <c r="F3507" s="28"/>
      <c r="J3507" s="0" t="str">
        <f aca="false">IF(A3507="","",YEAR(A3507))</f>
        <v/>
      </c>
      <c r="K3507" s="0" t="str">
        <f aca="false">IF(A3507="","",MONTH(A3507))</f>
        <v/>
      </c>
      <c r="L3507" s="0" t="str">
        <f aca="false">IF(B3507="","",VALUE(LEFT(B3507,2)))</f>
        <v/>
      </c>
      <c r="M3507" s="0" t="str">
        <f aca="false">IF(A3507="","",IF(COUNTIFS($C$2:$C$5001,C3507,$J$2:$J$5001,J3507,$A$2:$A$5001,"&lt;"&amp;A3507)=0,1,0))</f>
        <v/>
      </c>
    </row>
    <row r="3508" customFormat="false" ht="15" hidden="false" customHeight="false" outlineLevel="0" collapsed="false">
      <c r="A3508" s="27"/>
      <c r="F3508" s="28"/>
      <c r="J3508" s="0" t="str">
        <f aca="false">IF(A3508="","",YEAR(A3508))</f>
        <v/>
      </c>
      <c r="K3508" s="0" t="str">
        <f aca="false">IF(A3508="","",MONTH(A3508))</f>
        <v/>
      </c>
      <c r="L3508" s="0" t="str">
        <f aca="false">IF(B3508="","",VALUE(LEFT(B3508,2)))</f>
        <v/>
      </c>
      <c r="M3508" s="0" t="str">
        <f aca="false">IF(A3508="","",IF(COUNTIFS($C$2:$C$5001,C3508,$J$2:$J$5001,J3508,$A$2:$A$5001,"&lt;"&amp;A3508)=0,1,0))</f>
        <v/>
      </c>
    </row>
    <row r="3509" customFormat="false" ht="15" hidden="false" customHeight="false" outlineLevel="0" collapsed="false">
      <c r="A3509" s="27"/>
      <c r="F3509" s="28"/>
      <c r="J3509" s="0" t="str">
        <f aca="false">IF(A3509="","",YEAR(A3509))</f>
        <v/>
      </c>
      <c r="K3509" s="0" t="str">
        <f aca="false">IF(A3509="","",MONTH(A3509))</f>
        <v/>
      </c>
      <c r="L3509" s="0" t="str">
        <f aca="false">IF(B3509="","",VALUE(LEFT(B3509,2)))</f>
        <v/>
      </c>
      <c r="M3509" s="0" t="str">
        <f aca="false">IF(A3509="","",IF(COUNTIFS($C$2:$C$5001,C3509,$J$2:$J$5001,J3509,$A$2:$A$5001,"&lt;"&amp;A3509)=0,1,0))</f>
        <v/>
      </c>
    </row>
    <row r="3510" customFormat="false" ht="15" hidden="false" customHeight="false" outlineLevel="0" collapsed="false">
      <c r="A3510" s="27"/>
      <c r="F3510" s="28"/>
      <c r="J3510" s="0" t="str">
        <f aca="false">IF(A3510="","",YEAR(A3510))</f>
        <v/>
      </c>
      <c r="K3510" s="0" t="str">
        <f aca="false">IF(A3510="","",MONTH(A3510))</f>
        <v/>
      </c>
      <c r="L3510" s="0" t="str">
        <f aca="false">IF(B3510="","",VALUE(LEFT(B3510,2)))</f>
        <v/>
      </c>
      <c r="M3510" s="0" t="str">
        <f aca="false">IF(A3510="","",IF(COUNTIFS($C$2:$C$5001,C3510,$J$2:$J$5001,J3510,$A$2:$A$5001,"&lt;"&amp;A3510)=0,1,0))</f>
        <v/>
      </c>
    </row>
    <row r="3511" customFormat="false" ht="15" hidden="false" customHeight="false" outlineLevel="0" collapsed="false">
      <c r="A3511" s="27"/>
      <c r="F3511" s="28"/>
      <c r="J3511" s="0" t="str">
        <f aca="false">IF(A3511="","",YEAR(A3511))</f>
        <v/>
      </c>
      <c r="K3511" s="0" t="str">
        <f aca="false">IF(A3511="","",MONTH(A3511))</f>
        <v/>
      </c>
      <c r="L3511" s="0" t="str">
        <f aca="false">IF(B3511="","",VALUE(LEFT(B3511,2)))</f>
        <v/>
      </c>
      <c r="M3511" s="0" t="str">
        <f aca="false">IF(A3511="","",IF(COUNTIFS($C$2:$C$5001,C3511,$J$2:$J$5001,J3511,$A$2:$A$5001,"&lt;"&amp;A3511)=0,1,0))</f>
        <v/>
      </c>
    </row>
    <row r="3512" customFormat="false" ht="15" hidden="false" customHeight="false" outlineLevel="0" collapsed="false">
      <c r="A3512" s="27"/>
      <c r="F3512" s="28"/>
      <c r="J3512" s="0" t="str">
        <f aca="false">IF(A3512="","",YEAR(A3512))</f>
        <v/>
      </c>
      <c r="K3512" s="0" t="str">
        <f aca="false">IF(A3512="","",MONTH(A3512))</f>
        <v/>
      </c>
      <c r="L3512" s="0" t="str">
        <f aca="false">IF(B3512="","",VALUE(LEFT(B3512,2)))</f>
        <v/>
      </c>
      <c r="M3512" s="0" t="str">
        <f aca="false">IF(A3512="","",IF(COUNTIFS($C$2:$C$5001,C3512,$J$2:$J$5001,J3512,$A$2:$A$5001,"&lt;"&amp;A3512)=0,1,0))</f>
        <v/>
      </c>
    </row>
    <row r="3513" customFormat="false" ht="15" hidden="false" customHeight="false" outlineLevel="0" collapsed="false">
      <c r="A3513" s="27"/>
      <c r="F3513" s="28"/>
      <c r="J3513" s="0" t="str">
        <f aca="false">IF(A3513="","",YEAR(A3513))</f>
        <v/>
      </c>
      <c r="K3513" s="0" t="str">
        <f aca="false">IF(A3513="","",MONTH(A3513))</f>
        <v/>
      </c>
      <c r="L3513" s="0" t="str">
        <f aca="false">IF(B3513="","",VALUE(LEFT(B3513,2)))</f>
        <v/>
      </c>
      <c r="M3513" s="0" t="str">
        <f aca="false">IF(A3513="","",IF(COUNTIFS($C$2:$C$5001,C3513,$J$2:$J$5001,J3513,$A$2:$A$5001,"&lt;"&amp;A3513)=0,1,0))</f>
        <v/>
      </c>
    </row>
    <row r="3514" customFormat="false" ht="15" hidden="false" customHeight="false" outlineLevel="0" collapsed="false">
      <c r="A3514" s="27"/>
      <c r="F3514" s="28"/>
      <c r="J3514" s="0" t="str">
        <f aca="false">IF(A3514="","",YEAR(A3514))</f>
        <v/>
      </c>
      <c r="K3514" s="0" t="str">
        <f aca="false">IF(A3514="","",MONTH(A3514))</f>
        <v/>
      </c>
      <c r="L3514" s="0" t="str">
        <f aca="false">IF(B3514="","",VALUE(LEFT(B3514,2)))</f>
        <v/>
      </c>
      <c r="M3514" s="0" t="str">
        <f aca="false">IF(A3514="","",IF(COUNTIFS($C$2:$C$5001,C3514,$J$2:$J$5001,J3514,$A$2:$A$5001,"&lt;"&amp;A3514)=0,1,0))</f>
        <v/>
      </c>
    </row>
    <row r="3515" customFormat="false" ht="15" hidden="false" customHeight="false" outlineLevel="0" collapsed="false">
      <c r="A3515" s="27"/>
      <c r="F3515" s="28"/>
      <c r="J3515" s="0" t="str">
        <f aca="false">IF(A3515="","",YEAR(A3515))</f>
        <v/>
      </c>
      <c r="K3515" s="0" t="str">
        <f aca="false">IF(A3515="","",MONTH(A3515))</f>
        <v/>
      </c>
      <c r="L3515" s="0" t="str">
        <f aca="false">IF(B3515="","",VALUE(LEFT(B3515,2)))</f>
        <v/>
      </c>
      <c r="M3515" s="0" t="str">
        <f aca="false">IF(A3515="","",IF(COUNTIFS($C$2:$C$5001,C3515,$J$2:$J$5001,J3515,$A$2:$A$5001,"&lt;"&amp;A3515)=0,1,0))</f>
        <v/>
      </c>
    </row>
    <row r="3516" customFormat="false" ht="15" hidden="false" customHeight="false" outlineLevel="0" collapsed="false">
      <c r="A3516" s="27"/>
      <c r="F3516" s="28"/>
      <c r="J3516" s="0" t="str">
        <f aca="false">IF(A3516="","",YEAR(A3516))</f>
        <v/>
      </c>
      <c r="K3516" s="0" t="str">
        <f aca="false">IF(A3516="","",MONTH(A3516))</f>
        <v/>
      </c>
      <c r="L3516" s="0" t="str">
        <f aca="false">IF(B3516="","",VALUE(LEFT(B3516,2)))</f>
        <v/>
      </c>
      <c r="M3516" s="0" t="str">
        <f aca="false">IF(A3516="","",IF(COUNTIFS($C$2:$C$5001,C3516,$J$2:$J$5001,J3516,$A$2:$A$5001,"&lt;"&amp;A3516)=0,1,0))</f>
        <v/>
      </c>
    </row>
    <row r="3517" customFormat="false" ht="15" hidden="false" customHeight="false" outlineLevel="0" collapsed="false">
      <c r="A3517" s="27"/>
      <c r="F3517" s="28"/>
      <c r="J3517" s="0" t="str">
        <f aca="false">IF(A3517="","",YEAR(A3517))</f>
        <v/>
      </c>
      <c r="K3517" s="0" t="str">
        <f aca="false">IF(A3517="","",MONTH(A3517))</f>
        <v/>
      </c>
      <c r="L3517" s="0" t="str">
        <f aca="false">IF(B3517="","",VALUE(LEFT(B3517,2)))</f>
        <v/>
      </c>
      <c r="M3517" s="0" t="str">
        <f aca="false">IF(A3517="","",IF(COUNTIFS($C$2:$C$5001,C3517,$J$2:$J$5001,J3517,$A$2:$A$5001,"&lt;"&amp;A3517)=0,1,0))</f>
        <v/>
      </c>
    </row>
    <row r="3518" customFormat="false" ht="15" hidden="false" customHeight="false" outlineLevel="0" collapsed="false">
      <c r="A3518" s="27"/>
      <c r="F3518" s="28"/>
      <c r="J3518" s="0" t="str">
        <f aca="false">IF(A3518="","",YEAR(A3518))</f>
        <v/>
      </c>
      <c r="K3518" s="0" t="str">
        <f aca="false">IF(A3518="","",MONTH(A3518))</f>
        <v/>
      </c>
      <c r="L3518" s="0" t="str">
        <f aca="false">IF(B3518="","",VALUE(LEFT(B3518,2)))</f>
        <v/>
      </c>
      <c r="M3518" s="0" t="str">
        <f aca="false">IF(A3518="","",IF(COUNTIFS($C$2:$C$5001,C3518,$J$2:$J$5001,J3518,$A$2:$A$5001,"&lt;"&amp;A3518)=0,1,0))</f>
        <v/>
      </c>
    </row>
    <row r="3519" customFormat="false" ht="15" hidden="false" customHeight="false" outlineLevel="0" collapsed="false">
      <c r="A3519" s="27"/>
      <c r="F3519" s="28"/>
      <c r="J3519" s="0" t="str">
        <f aca="false">IF(A3519="","",YEAR(A3519))</f>
        <v/>
      </c>
      <c r="K3519" s="0" t="str">
        <f aca="false">IF(A3519="","",MONTH(A3519))</f>
        <v/>
      </c>
      <c r="L3519" s="0" t="str">
        <f aca="false">IF(B3519="","",VALUE(LEFT(B3519,2)))</f>
        <v/>
      </c>
      <c r="M3519" s="0" t="str">
        <f aca="false">IF(A3519="","",IF(COUNTIFS($C$2:$C$5001,C3519,$J$2:$J$5001,J3519,$A$2:$A$5001,"&lt;"&amp;A3519)=0,1,0))</f>
        <v/>
      </c>
    </row>
    <row r="3520" customFormat="false" ht="15" hidden="false" customHeight="false" outlineLevel="0" collapsed="false">
      <c r="A3520" s="27"/>
      <c r="F3520" s="28"/>
      <c r="J3520" s="0" t="str">
        <f aca="false">IF(A3520="","",YEAR(A3520))</f>
        <v/>
      </c>
      <c r="K3520" s="0" t="str">
        <f aca="false">IF(A3520="","",MONTH(A3520))</f>
        <v/>
      </c>
      <c r="L3520" s="0" t="str">
        <f aca="false">IF(B3520="","",VALUE(LEFT(B3520,2)))</f>
        <v/>
      </c>
      <c r="M3520" s="0" t="str">
        <f aca="false">IF(A3520="","",IF(COUNTIFS($C$2:$C$5001,C3520,$J$2:$J$5001,J3520,$A$2:$A$5001,"&lt;"&amp;A3520)=0,1,0))</f>
        <v/>
      </c>
    </row>
    <row r="3521" customFormat="false" ht="15" hidden="false" customHeight="false" outlineLevel="0" collapsed="false">
      <c r="A3521" s="27"/>
      <c r="F3521" s="28"/>
      <c r="J3521" s="0" t="str">
        <f aca="false">IF(A3521="","",YEAR(A3521))</f>
        <v/>
      </c>
      <c r="K3521" s="0" t="str">
        <f aca="false">IF(A3521="","",MONTH(A3521))</f>
        <v/>
      </c>
      <c r="L3521" s="0" t="str">
        <f aca="false">IF(B3521="","",VALUE(LEFT(B3521,2)))</f>
        <v/>
      </c>
      <c r="M3521" s="0" t="str">
        <f aca="false">IF(A3521="","",IF(COUNTIFS($C$2:$C$5001,C3521,$J$2:$J$5001,J3521,$A$2:$A$5001,"&lt;"&amp;A3521)=0,1,0))</f>
        <v/>
      </c>
    </row>
    <row r="3522" customFormat="false" ht="15" hidden="false" customHeight="false" outlineLevel="0" collapsed="false">
      <c r="A3522" s="27"/>
      <c r="F3522" s="28"/>
      <c r="J3522" s="0" t="str">
        <f aca="false">IF(A3522="","",YEAR(A3522))</f>
        <v/>
      </c>
      <c r="K3522" s="0" t="str">
        <f aca="false">IF(A3522="","",MONTH(A3522))</f>
        <v/>
      </c>
      <c r="L3522" s="0" t="str">
        <f aca="false">IF(B3522="","",VALUE(LEFT(B3522,2)))</f>
        <v/>
      </c>
      <c r="M3522" s="0" t="str">
        <f aca="false">IF(A3522="","",IF(COUNTIFS($C$2:$C$5001,C3522,$J$2:$J$5001,J3522,$A$2:$A$5001,"&lt;"&amp;A3522)=0,1,0))</f>
        <v/>
      </c>
    </row>
    <row r="3523" customFormat="false" ht="15" hidden="false" customHeight="false" outlineLevel="0" collapsed="false">
      <c r="A3523" s="27"/>
      <c r="F3523" s="28"/>
      <c r="J3523" s="0" t="str">
        <f aca="false">IF(A3523="","",YEAR(A3523))</f>
        <v/>
      </c>
      <c r="K3523" s="0" t="str">
        <f aca="false">IF(A3523="","",MONTH(A3523))</f>
        <v/>
      </c>
      <c r="L3523" s="0" t="str">
        <f aca="false">IF(B3523="","",VALUE(LEFT(B3523,2)))</f>
        <v/>
      </c>
      <c r="M3523" s="0" t="str">
        <f aca="false">IF(A3523="","",IF(COUNTIFS($C$2:$C$5001,C3523,$J$2:$J$5001,J3523,$A$2:$A$5001,"&lt;"&amp;A3523)=0,1,0))</f>
        <v/>
      </c>
    </row>
    <row r="3524" customFormat="false" ht="15" hidden="false" customHeight="false" outlineLevel="0" collapsed="false">
      <c r="A3524" s="27"/>
      <c r="F3524" s="28"/>
      <c r="J3524" s="0" t="str">
        <f aca="false">IF(A3524="","",YEAR(A3524))</f>
        <v/>
      </c>
      <c r="K3524" s="0" t="str">
        <f aca="false">IF(A3524="","",MONTH(A3524))</f>
        <v/>
      </c>
      <c r="L3524" s="0" t="str">
        <f aca="false">IF(B3524="","",VALUE(LEFT(B3524,2)))</f>
        <v/>
      </c>
      <c r="M3524" s="0" t="str">
        <f aca="false">IF(A3524="","",IF(COUNTIFS($C$2:$C$5001,C3524,$J$2:$J$5001,J3524,$A$2:$A$5001,"&lt;"&amp;A3524)=0,1,0))</f>
        <v/>
      </c>
    </row>
    <row r="3525" customFormat="false" ht="15" hidden="false" customHeight="false" outlineLevel="0" collapsed="false">
      <c r="A3525" s="27"/>
      <c r="F3525" s="28"/>
      <c r="J3525" s="0" t="str">
        <f aca="false">IF(A3525="","",YEAR(A3525))</f>
        <v/>
      </c>
      <c r="K3525" s="0" t="str">
        <f aca="false">IF(A3525="","",MONTH(A3525))</f>
        <v/>
      </c>
      <c r="L3525" s="0" t="str">
        <f aca="false">IF(B3525="","",VALUE(LEFT(B3525,2)))</f>
        <v/>
      </c>
      <c r="M3525" s="0" t="str">
        <f aca="false">IF(A3525="","",IF(COUNTIFS($C$2:$C$5001,C3525,$J$2:$J$5001,J3525,$A$2:$A$5001,"&lt;"&amp;A3525)=0,1,0))</f>
        <v/>
      </c>
    </row>
    <row r="3526" customFormat="false" ht="15" hidden="false" customHeight="false" outlineLevel="0" collapsed="false">
      <c r="A3526" s="27"/>
      <c r="F3526" s="28"/>
      <c r="J3526" s="0" t="str">
        <f aca="false">IF(A3526="","",YEAR(A3526))</f>
        <v/>
      </c>
      <c r="K3526" s="0" t="str">
        <f aca="false">IF(A3526="","",MONTH(A3526))</f>
        <v/>
      </c>
      <c r="L3526" s="0" t="str">
        <f aca="false">IF(B3526="","",VALUE(LEFT(B3526,2)))</f>
        <v/>
      </c>
      <c r="M3526" s="0" t="str">
        <f aca="false">IF(A3526="","",IF(COUNTIFS($C$2:$C$5001,C3526,$J$2:$J$5001,J3526,$A$2:$A$5001,"&lt;"&amp;A3526)=0,1,0))</f>
        <v/>
      </c>
    </row>
    <row r="3527" customFormat="false" ht="15" hidden="false" customHeight="false" outlineLevel="0" collapsed="false">
      <c r="A3527" s="27"/>
      <c r="F3527" s="28"/>
      <c r="J3527" s="0" t="str">
        <f aca="false">IF(A3527="","",YEAR(A3527))</f>
        <v/>
      </c>
      <c r="K3527" s="0" t="str">
        <f aca="false">IF(A3527="","",MONTH(A3527))</f>
        <v/>
      </c>
      <c r="L3527" s="0" t="str">
        <f aca="false">IF(B3527="","",VALUE(LEFT(B3527,2)))</f>
        <v/>
      </c>
      <c r="M3527" s="0" t="str">
        <f aca="false">IF(A3527="","",IF(COUNTIFS($C$2:$C$5001,C3527,$J$2:$J$5001,J3527,$A$2:$A$5001,"&lt;"&amp;A3527)=0,1,0))</f>
        <v/>
      </c>
    </row>
    <row r="3528" customFormat="false" ht="15" hidden="false" customHeight="false" outlineLevel="0" collapsed="false">
      <c r="A3528" s="27"/>
      <c r="F3528" s="28"/>
      <c r="J3528" s="0" t="str">
        <f aca="false">IF(A3528="","",YEAR(A3528))</f>
        <v/>
      </c>
      <c r="K3528" s="0" t="str">
        <f aca="false">IF(A3528="","",MONTH(A3528))</f>
        <v/>
      </c>
      <c r="L3528" s="0" t="str">
        <f aca="false">IF(B3528="","",VALUE(LEFT(B3528,2)))</f>
        <v/>
      </c>
      <c r="M3528" s="0" t="str">
        <f aca="false">IF(A3528="","",IF(COUNTIFS($C$2:$C$5001,C3528,$J$2:$J$5001,J3528,$A$2:$A$5001,"&lt;"&amp;A3528)=0,1,0))</f>
        <v/>
      </c>
    </row>
    <row r="3529" customFormat="false" ht="15" hidden="false" customHeight="false" outlineLevel="0" collapsed="false">
      <c r="A3529" s="27"/>
      <c r="F3529" s="28"/>
      <c r="J3529" s="0" t="str">
        <f aca="false">IF(A3529="","",YEAR(A3529))</f>
        <v/>
      </c>
      <c r="K3529" s="0" t="str">
        <f aca="false">IF(A3529="","",MONTH(A3529))</f>
        <v/>
      </c>
      <c r="L3529" s="0" t="str">
        <f aca="false">IF(B3529="","",VALUE(LEFT(B3529,2)))</f>
        <v/>
      </c>
      <c r="M3529" s="0" t="str">
        <f aca="false">IF(A3529="","",IF(COUNTIFS($C$2:$C$5001,C3529,$J$2:$J$5001,J3529,$A$2:$A$5001,"&lt;"&amp;A3529)=0,1,0))</f>
        <v/>
      </c>
    </row>
    <row r="3530" customFormat="false" ht="15" hidden="false" customHeight="false" outlineLevel="0" collapsed="false">
      <c r="A3530" s="27"/>
      <c r="F3530" s="28"/>
      <c r="J3530" s="0" t="str">
        <f aca="false">IF(A3530="","",YEAR(A3530))</f>
        <v/>
      </c>
      <c r="K3530" s="0" t="str">
        <f aca="false">IF(A3530="","",MONTH(A3530))</f>
        <v/>
      </c>
      <c r="L3530" s="0" t="str">
        <f aca="false">IF(B3530="","",VALUE(LEFT(B3530,2)))</f>
        <v/>
      </c>
      <c r="M3530" s="0" t="str">
        <f aca="false">IF(A3530="","",IF(COUNTIFS($C$2:$C$5001,C3530,$J$2:$J$5001,J3530,$A$2:$A$5001,"&lt;"&amp;A3530)=0,1,0))</f>
        <v/>
      </c>
    </row>
    <row r="3531" customFormat="false" ht="15" hidden="false" customHeight="false" outlineLevel="0" collapsed="false">
      <c r="A3531" s="27"/>
      <c r="F3531" s="28"/>
      <c r="J3531" s="0" t="str">
        <f aca="false">IF(A3531="","",YEAR(A3531))</f>
        <v/>
      </c>
      <c r="K3531" s="0" t="str">
        <f aca="false">IF(A3531="","",MONTH(A3531))</f>
        <v/>
      </c>
      <c r="L3531" s="0" t="str">
        <f aca="false">IF(B3531="","",VALUE(LEFT(B3531,2)))</f>
        <v/>
      </c>
      <c r="M3531" s="0" t="str">
        <f aca="false">IF(A3531="","",IF(COUNTIFS($C$2:$C$5001,C3531,$J$2:$J$5001,J3531,$A$2:$A$5001,"&lt;"&amp;A3531)=0,1,0))</f>
        <v/>
      </c>
    </row>
    <row r="3532" customFormat="false" ht="15" hidden="false" customHeight="false" outlineLevel="0" collapsed="false">
      <c r="A3532" s="27"/>
      <c r="F3532" s="28"/>
      <c r="J3532" s="0" t="str">
        <f aca="false">IF(A3532="","",YEAR(A3532))</f>
        <v/>
      </c>
      <c r="K3532" s="0" t="str">
        <f aca="false">IF(A3532="","",MONTH(A3532))</f>
        <v/>
      </c>
      <c r="L3532" s="0" t="str">
        <f aca="false">IF(B3532="","",VALUE(LEFT(B3532,2)))</f>
        <v/>
      </c>
      <c r="M3532" s="0" t="str">
        <f aca="false">IF(A3532="","",IF(COUNTIFS($C$2:$C$5001,C3532,$J$2:$J$5001,J3532,$A$2:$A$5001,"&lt;"&amp;A3532)=0,1,0))</f>
        <v/>
      </c>
    </row>
    <row r="3533" customFormat="false" ht="15" hidden="false" customHeight="false" outlineLevel="0" collapsed="false">
      <c r="A3533" s="27"/>
      <c r="F3533" s="28"/>
      <c r="J3533" s="0" t="str">
        <f aca="false">IF(A3533="","",YEAR(A3533))</f>
        <v/>
      </c>
      <c r="K3533" s="0" t="str">
        <f aca="false">IF(A3533="","",MONTH(A3533))</f>
        <v/>
      </c>
      <c r="L3533" s="0" t="str">
        <f aca="false">IF(B3533="","",VALUE(LEFT(B3533,2)))</f>
        <v/>
      </c>
      <c r="M3533" s="0" t="str">
        <f aca="false">IF(A3533="","",IF(COUNTIFS($C$2:$C$5001,C3533,$J$2:$J$5001,J3533,$A$2:$A$5001,"&lt;"&amp;A3533)=0,1,0))</f>
        <v/>
      </c>
    </row>
    <row r="3534" customFormat="false" ht="15" hidden="false" customHeight="false" outlineLevel="0" collapsed="false">
      <c r="A3534" s="27"/>
      <c r="F3534" s="28"/>
      <c r="J3534" s="0" t="str">
        <f aca="false">IF(A3534="","",YEAR(A3534))</f>
        <v/>
      </c>
      <c r="K3534" s="0" t="str">
        <f aca="false">IF(A3534="","",MONTH(A3534))</f>
        <v/>
      </c>
      <c r="L3534" s="0" t="str">
        <f aca="false">IF(B3534="","",VALUE(LEFT(B3534,2)))</f>
        <v/>
      </c>
      <c r="M3534" s="0" t="str">
        <f aca="false">IF(A3534="","",IF(COUNTIFS($C$2:$C$5001,C3534,$J$2:$J$5001,J3534,$A$2:$A$5001,"&lt;"&amp;A3534)=0,1,0))</f>
        <v/>
      </c>
    </row>
    <row r="3535" customFormat="false" ht="15" hidden="false" customHeight="false" outlineLevel="0" collapsed="false">
      <c r="A3535" s="27"/>
      <c r="F3535" s="28"/>
      <c r="J3535" s="0" t="str">
        <f aca="false">IF(A3535="","",YEAR(A3535))</f>
        <v/>
      </c>
      <c r="K3535" s="0" t="str">
        <f aca="false">IF(A3535="","",MONTH(A3535))</f>
        <v/>
      </c>
      <c r="L3535" s="0" t="str">
        <f aca="false">IF(B3535="","",VALUE(LEFT(B3535,2)))</f>
        <v/>
      </c>
      <c r="M3535" s="0" t="str">
        <f aca="false">IF(A3535="","",IF(COUNTIFS($C$2:$C$5001,C3535,$J$2:$J$5001,J3535,$A$2:$A$5001,"&lt;"&amp;A3535)=0,1,0))</f>
        <v/>
      </c>
    </row>
    <row r="3536" customFormat="false" ht="15" hidden="false" customHeight="false" outlineLevel="0" collapsed="false">
      <c r="A3536" s="27"/>
      <c r="F3536" s="28"/>
      <c r="J3536" s="0" t="str">
        <f aca="false">IF(A3536="","",YEAR(A3536))</f>
        <v/>
      </c>
      <c r="K3536" s="0" t="str">
        <f aca="false">IF(A3536="","",MONTH(A3536))</f>
        <v/>
      </c>
      <c r="L3536" s="0" t="str">
        <f aca="false">IF(B3536="","",VALUE(LEFT(B3536,2)))</f>
        <v/>
      </c>
      <c r="M3536" s="0" t="str">
        <f aca="false">IF(A3536="","",IF(COUNTIFS($C$2:$C$5001,C3536,$J$2:$J$5001,J3536,$A$2:$A$5001,"&lt;"&amp;A3536)=0,1,0))</f>
        <v/>
      </c>
    </row>
    <row r="3537" customFormat="false" ht="15" hidden="false" customHeight="false" outlineLevel="0" collapsed="false">
      <c r="A3537" s="27"/>
      <c r="F3537" s="28"/>
      <c r="J3537" s="0" t="str">
        <f aca="false">IF(A3537="","",YEAR(A3537))</f>
        <v/>
      </c>
      <c r="K3537" s="0" t="str">
        <f aca="false">IF(A3537="","",MONTH(A3537))</f>
        <v/>
      </c>
      <c r="L3537" s="0" t="str">
        <f aca="false">IF(B3537="","",VALUE(LEFT(B3537,2)))</f>
        <v/>
      </c>
      <c r="M3537" s="0" t="str">
        <f aca="false">IF(A3537="","",IF(COUNTIFS($C$2:$C$5001,C3537,$J$2:$J$5001,J3537,$A$2:$A$5001,"&lt;"&amp;A3537)=0,1,0))</f>
        <v/>
      </c>
    </row>
    <row r="3538" customFormat="false" ht="15" hidden="false" customHeight="false" outlineLevel="0" collapsed="false">
      <c r="A3538" s="27"/>
      <c r="F3538" s="28"/>
      <c r="J3538" s="0" t="str">
        <f aca="false">IF(A3538="","",YEAR(A3538))</f>
        <v/>
      </c>
      <c r="K3538" s="0" t="str">
        <f aca="false">IF(A3538="","",MONTH(A3538))</f>
        <v/>
      </c>
      <c r="L3538" s="0" t="str">
        <f aca="false">IF(B3538="","",VALUE(LEFT(B3538,2)))</f>
        <v/>
      </c>
      <c r="M3538" s="0" t="str">
        <f aca="false">IF(A3538="","",IF(COUNTIFS($C$2:$C$5001,C3538,$J$2:$J$5001,J3538,$A$2:$A$5001,"&lt;"&amp;A3538)=0,1,0))</f>
        <v/>
      </c>
    </row>
    <row r="3539" customFormat="false" ht="15" hidden="false" customHeight="false" outlineLevel="0" collapsed="false">
      <c r="A3539" s="27"/>
      <c r="F3539" s="28"/>
      <c r="J3539" s="0" t="str">
        <f aca="false">IF(A3539="","",YEAR(A3539))</f>
        <v/>
      </c>
      <c r="K3539" s="0" t="str">
        <f aca="false">IF(A3539="","",MONTH(A3539))</f>
        <v/>
      </c>
      <c r="L3539" s="0" t="str">
        <f aca="false">IF(B3539="","",VALUE(LEFT(B3539,2)))</f>
        <v/>
      </c>
      <c r="M3539" s="0" t="str">
        <f aca="false">IF(A3539="","",IF(COUNTIFS($C$2:$C$5001,C3539,$J$2:$J$5001,J3539,$A$2:$A$5001,"&lt;"&amp;A3539)=0,1,0))</f>
        <v/>
      </c>
    </row>
    <row r="3540" customFormat="false" ht="15" hidden="false" customHeight="false" outlineLevel="0" collapsed="false">
      <c r="A3540" s="27"/>
      <c r="F3540" s="28"/>
      <c r="J3540" s="0" t="str">
        <f aca="false">IF(A3540="","",YEAR(A3540))</f>
        <v/>
      </c>
      <c r="K3540" s="0" t="str">
        <f aca="false">IF(A3540="","",MONTH(A3540))</f>
        <v/>
      </c>
      <c r="L3540" s="0" t="str">
        <f aca="false">IF(B3540="","",VALUE(LEFT(B3540,2)))</f>
        <v/>
      </c>
      <c r="M3540" s="0" t="str">
        <f aca="false">IF(A3540="","",IF(COUNTIFS($C$2:$C$5001,C3540,$J$2:$J$5001,J3540,$A$2:$A$5001,"&lt;"&amp;A3540)=0,1,0))</f>
        <v/>
      </c>
    </row>
    <row r="3541" customFormat="false" ht="15" hidden="false" customHeight="false" outlineLevel="0" collapsed="false">
      <c r="A3541" s="27"/>
      <c r="F3541" s="28"/>
      <c r="J3541" s="0" t="str">
        <f aca="false">IF(A3541="","",YEAR(A3541))</f>
        <v/>
      </c>
      <c r="K3541" s="0" t="str">
        <f aca="false">IF(A3541="","",MONTH(A3541))</f>
        <v/>
      </c>
      <c r="L3541" s="0" t="str">
        <f aca="false">IF(B3541="","",VALUE(LEFT(B3541,2)))</f>
        <v/>
      </c>
      <c r="M3541" s="0" t="str">
        <f aca="false">IF(A3541="","",IF(COUNTIFS($C$2:$C$5001,C3541,$J$2:$J$5001,J3541,$A$2:$A$5001,"&lt;"&amp;A3541)=0,1,0))</f>
        <v/>
      </c>
    </row>
    <row r="3542" customFormat="false" ht="15" hidden="false" customHeight="false" outlineLevel="0" collapsed="false">
      <c r="A3542" s="27"/>
      <c r="F3542" s="28"/>
      <c r="J3542" s="0" t="str">
        <f aca="false">IF(A3542="","",YEAR(A3542))</f>
        <v/>
      </c>
      <c r="K3542" s="0" t="str">
        <f aca="false">IF(A3542="","",MONTH(A3542))</f>
        <v/>
      </c>
      <c r="L3542" s="0" t="str">
        <f aca="false">IF(B3542="","",VALUE(LEFT(B3542,2)))</f>
        <v/>
      </c>
      <c r="M3542" s="0" t="str">
        <f aca="false">IF(A3542="","",IF(COUNTIFS($C$2:$C$5001,C3542,$J$2:$J$5001,J3542,$A$2:$A$5001,"&lt;"&amp;A3542)=0,1,0))</f>
        <v/>
      </c>
    </row>
    <row r="3543" customFormat="false" ht="15" hidden="false" customHeight="false" outlineLevel="0" collapsed="false">
      <c r="A3543" s="27"/>
      <c r="F3543" s="28"/>
      <c r="J3543" s="0" t="str">
        <f aca="false">IF(A3543="","",YEAR(A3543))</f>
        <v/>
      </c>
      <c r="K3543" s="0" t="str">
        <f aca="false">IF(A3543="","",MONTH(A3543))</f>
        <v/>
      </c>
      <c r="L3543" s="0" t="str">
        <f aca="false">IF(B3543="","",VALUE(LEFT(B3543,2)))</f>
        <v/>
      </c>
      <c r="M3543" s="0" t="str">
        <f aca="false">IF(A3543="","",IF(COUNTIFS($C$2:$C$5001,C3543,$J$2:$J$5001,J3543,$A$2:$A$5001,"&lt;"&amp;A3543)=0,1,0))</f>
        <v/>
      </c>
    </row>
    <row r="3544" customFormat="false" ht="15" hidden="false" customHeight="false" outlineLevel="0" collapsed="false">
      <c r="A3544" s="27"/>
      <c r="F3544" s="28"/>
      <c r="J3544" s="0" t="str">
        <f aca="false">IF(A3544="","",YEAR(A3544))</f>
        <v/>
      </c>
      <c r="K3544" s="0" t="str">
        <f aca="false">IF(A3544="","",MONTH(A3544))</f>
        <v/>
      </c>
      <c r="L3544" s="0" t="str">
        <f aca="false">IF(B3544="","",VALUE(LEFT(B3544,2)))</f>
        <v/>
      </c>
      <c r="M3544" s="0" t="str">
        <f aca="false">IF(A3544="","",IF(COUNTIFS($C$2:$C$5001,C3544,$J$2:$J$5001,J3544,$A$2:$A$5001,"&lt;"&amp;A3544)=0,1,0))</f>
        <v/>
      </c>
    </row>
    <row r="3545" customFormat="false" ht="15" hidden="false" customHeight="false" outlineLevel="0" collapsed="false">
      <c r="A3545" s="27"/>
      <c r="F3545" s="28"/>
      <c r="J3545" s="0" t="str">
        <f aca="false">IF(A3545="","",YEAR(A3545))</f>
        <v/>
      </c>
      <c r="K3545" s="0" t="str">
        <f aca="false">IF(A3545="","",MONTH(A3545))</f>
        <v/>
      </c>
      <c r="L3545" s="0" t="str">
        <f aca="false">IF(B3545="","",VALUE(LEFT(B3545,2)))</f>
        <v/>
      </c>
      <c r="M3545" s="0" t="str">
        <f aca="false">IF(A3545="","",IF(COUNTIFS($C$2:$C$5001,C3545,$J$2:$J$5001,J3545,$A$2:$A$5001,"&lt;"&amp;A3545)=0,1,0))</f>
        <v/>
      </c>
    </row>
    <row r="3546" customFormat="false" ht="15" hidden="false" customHeight="false" outlineLevel="0" collapsed="false">
      <c r="A3546" s="27"/>
      <c r="F3546" s="28"/>
      <c r="J3546" s="0" t="str">
        <f aca="false">IF(A3546="","",YEAR(A3546))</f>
        <v/>
      </c>
      <c r="K3546" s="0" t="str">
        <f aca="false">IF(A3546="","",MONTH(A3546))</f>
        <v/>
      </c>
      <c r="L3546" s="0" t="str">
        <f aca="false">IF(B3546="","",VALUE(LEFT(B3546,2)))</f>
        <v/>
      </c>
      <c r="M3546" s="0" t="str">
        <f aca="false">IF(A3546="","",IF(COUNTIFS($C$2:$C$5001,C3546,$J$2:$J$5001,J3546,$A$2:$A$5001,"&lt;"&amp;A3546)=0,1,0))</f>
        <v/>
      </c>
    </row>
    <row r="3547" customFormat="false" ht="15" hidden="false" customHeight="false" outlineLevel="0" collapsed="false">
      <c r="A3547" s="27"/>
      <c r="F3547" s="28"/>
      <c r="J3547" s="0" t="str">
        <f aca="false">IF(A3547="","",YEAR(A3547))</f>
        <v/>
      </c>
      <c r="K3547" s="0" t="str">
        <f aca="false">IF(A3547="","",MONTH(A3547))</f>
        <v/>
      </c>
      <c r="L3547" s="0" t="str">
        <f aca="false">IF(B3547="","",VALUE(LEFT(B3547,2)))</f>
        <v/>
      </c>
      <c r="M3547" s="0" t="str">
        <f aca="false">IF(A3547="","",IF(COUNTIFS($C$2:$C$5001,C3547,$J$2:$J$5001,J3547,$A$2:$A$5001,"&lt;"&amp;A3547)=0,1,0))</f>
        <v/>
      </c>
    </row>
    <row r="3548" customFormat="false" ht="15" hidden="false" customHeight="false" outlineLevel="0" collapsed="false">
      <c r="A3548" s="27"/>
      <c r="F3548" s="28"/>
      <c r="J3548" s="0" t="str">
        <f aca="false">IF(A3548="","",YEAR(A3548))</f>
        <v/>
      </c>
      <c r="K3548" s="0" t="str">
        <f aca="false">IF(A3548="","",MONTH(A3548))</f>
        <v/>
      </c>
      <c r="L3548" s="0" t="str">
        <f aca="false">IF(B3548="","",VALUE(LEFT(B3548,2)))</f>
        <v/>
      </c>
      <c r="M3548" s="0" t="str">
        <f aca="false">IF(A3548="","",IF(COUNTIFS($C$2:$C$5001,C3548,$J$2:$J$5001,J3548,$A$2:$A$5001,"&lt;"&amp;A3548)=0,1,0))</f>
        <v/>
      </c>
    </row>
    <row r="3549" customFormat="false" ht="15" hidden="false" customHeight="false" outlineLevel="0" collapsed="false">
      <c r="A3549" s="27"/>
      <c r="F3549" s="28"/>
      <c r="J3549" s="0" t="str">
        <f aca="false">IF(A3549="","",YEAR(A3549))</f>
        <v/>
      </c>
      <c r="K3549" s="0" t="str">
        <f aca="false">IF(A3549="","",MONTH(A3549))</f>
        <v/>
      </c>
      <c r="L3549" s="0" t="str">
        <f aca="false">IF(B3549="","",VALUE(LEFT(B3549,2)))</f>
        <v/>
      </c>
      <c r="M3549" s="0" t="str">
        <f aca="false">IF(A3549="","",IF(COUNTIFS($C$2:$C$5001,C3549,$J$2:$J$5001,J3549,$A$2:$A$5001,"&lt;"&amp;A3549)=0,1,0))</f>
        <v/>
      </c>
    </row>
    <row r="3550" customFormat="false" ht="15" hidden="false" customHeight="false" outlineLevel="0" collapsed="false">
      <c r="A3550" s="27"/>
      <c r="F3550" s="28"/>
      <c r="J3550" s="0" t="str">
        <f aca="false">IF(A3550="","",YEAR(A3550))</f>
        <v/>
      </c>
      <c r="K3550" s="0" t="str">
        <f aca="false">IF(A3550="","",MONTH(A3550))</f>
        <v/>
      </c>
      <c r="L3550" s="0" t="str">
        <f aca="false">IF(B3550="","",VALUE(LEFT(B3550,2)))</f>
        <v/>
      </c>
      <c r="M3550" s="0" t="str">
        <f aca="false">IF(A3550="","",IF(COUNTIFS($C$2:$C$5001,C3550,$J$2:$J$5001,J3550,$A$2:$A$5001,"&lt;"&amp;A3550)=0,1,0))</f>
        <v/>
      </c>
    </row>
    <row r="3551" customFormat="false" ht="15" hidden="false" customHeight="false" outlineLevel="0" collapsed="false">
      <c r="A3551" s="27"/>
      <c r="F3551" s="28"/>
      <c r="J3551" s="0" t="str">
        <f aca="false">IF(A3551="","",YEAR(A3551))</f>
        <v/>
      </c>
      <c r="K3551" s="0" t="str">
        <f aca="false">IF(A3551="","",MONTH(A3551))</f>
        <v/>
      </c>
      <c r="L3551" s="0" t="str">
        <f aca="false">IF(B3551="","",VALUE(LEFT(B3551,2)))</f>
        <v/>
      </c>
      <c r="M3551" s="0" t="str">
        <f aca="false">IF(A3551="","",IF(COUNTIFS($C$2:$C$5001,C3551,$J$2:$J$5001,J3551,$A$2:$A$5001,"&lt;"&amp;A3551)=0,1,0))</f>
        <v/>
      </c>
    </row>
    <row r="3552" customFormat="false" ht="15" hidden="false" customHeight="false" outlineLevel="0" collapsed="false">
      <c r="A3552" s="27"/>
      <c r="F3552" s="28"/>
      <c r="J3552" s="0" t="str">
        <f aca="false">IF(A3552="","",YEAR(A3552))</f>
        <v/>
      </c>
      <c r="K3552" s="0" t="str">
        <f aca="false">IF(A3552="","",MONTH(A3552))</f>
        <v/>
      </c>
      <c r="L3552" s="0" t="str">
        <f aca="false">IF(B3552="","",VALUE(LEFT(B3552,2)))</f>
        <v/>
      </c>
      <c r="M3552" s="0" t="str">
        <f aca="false">IF(A3552="","",IF(COUNTIFS($C$2:$C$5001,C3552,$J$2:$J$5001,J3552,$A$2:$A$5001,"&lt;"&amp;A3552)=0,1,0))</f>
        <v/>
      </c>
    </row>
    <row r="3553" customFormat="false" ht="15" hidden="false" customHeight="false" outlineLevel="0" collapsed="false">
      <c r="A3553" s="27"/>
      <c r="F3553" s="28"/>
      <c r="J3553" s="0" t="str">
        <f aca="false">IF(A3553="","",YEAR(A3553))</f>
        <v/>
      </c>
      <c r="K3553" s="0" t="str">
        <f aca="false">IF(A3553="","",MONTH(A3553))</f>
        <v/>
      </c>
      <c r="L3553" s="0" t="str">
        <f aca="false">IF(B3553="","",VALUE(LEFT(B3553,2)))</f>
        <v/>
      </c>
      <c r="M3553" s="0" t="str">
        <f aca="false">IF(A3553="","",IF(COUNTIFS($C$2:$C$5001,C3553,$J$2:$J$5001,J3553,$A$2:$A$5001,"&lt;"&amp;A3553)=0,1,0))</f>
        <v/>
      </c>
    </row>
    <row r="3554" customFormat="false" ht="15" hidden="false" customHeight="false" outlineLevel="0" collapsed="false">
      <c r="A3554" s="27"/>
      <c r="F3554" s="28"/>
      <c r="J3554" s="0" t="str">
        <f aca="false">IF(A3554="","",YEAR(A3554))</f>
        <v/>
      </c>
      <c r="K3554" s="0" t="str">
        <f aca="false">IF(A3554="","",MONTH(A3554))</f>
        <v/>
      </c>
      <c r="L3554" s="0" t="str">
        <f aca="false">IF(B3554="","",VALUE(LEFT(B3554,2)))</f>
        <v/>
      </c>
      <c r="M3554" s="0" t="str">
        <f aca="false">IF(A3554="","",IF(COUNTIFS($C$2:$C$5001,C3554,$J$2:$J$5001,J3554,$A$2:$A$5001,"&lt;"&amp;A3554)=0,1,0))</f>
        <v/>
      </c>
    </row>
    <row r="3555" customFormat="false" ht="15" hidden="false" customHeight="false" outlineLevel="0" collapsed="false">
      <c r="A3555" s="27"/>
      <c r="F3555" s="28"/>
      <c r="J3555" s="0" t="str">
        <f aca="false">IF(A3555="","",YEAR(A3555))</f>
        <v/>
      </c>
      <c r="K3555" s="0" t="str">
        <f aca="false">IF(A3555="","",MONTH(A3555))</f>
        <v/>
      </c>
      <c r="L3555" s="0" t="str">
        <f aca="false">IF(B3555="","",VALUE(LEFT(B3555,2)))</f>
        <v/>
      </c>
      <c r="M3555" s="0" t="str">
        <f aca="false">IF(A3555="","",IF(COUNTIFS($C$2:$C$5001,C3555,$J$2:$J$5001,J3555,$A$2:$A$5001,"&lt;"&amp;A3555)=0,1,0))</f>
        <v/>
      </c>
    </row>
    <row r="3556" customFormat="false" ht="15" hidden="false" customHeight="false" outlineLevel="0" collapsed="false">
      <c r="A3556" s="27"/>
      <c r="F3556" s="28"/>
      <c r="J3556" s="0" t="str">
        <f aca="false">IF(A3556="","",YEAR(A3556))</f>
        <v/>
      </c>
      <c r="K3556" s="0" t="str">
        <f aca="false">IF(A3556="","",MONTH(A3556))</f>
        <v/>
      </c>
      <c r="L3556" s="0" t="str">
        <f aca="false">IF(B3556="","",VALUE(LEFT(B3556,2)))</f>
        <v/>
      </c>
      <c r="M3556" s="0" t="str">
        <f aca="false">IF(A3556="","",IF(COUNTIFS($C$2:$C$5001,C3556,$J$2:$J$5001,J3556,$A$2:$A$5001,"&lt;"&amp;A3556)=0,1,0))</f>
        <v/>
      </c>
    </row>
    <row r="3557" customFormat="false" ht="15" hidden="false" customHeight="false" outlineLevel="0" collapsed="false">
      <c r="A3557" s="27"/>
      <c r="F3557" s="28"/>
      <c r="J3557" s="0" t="str">
        <f aca="false">IF(A3557="","",YEAR(A3557))</f>
        <v/>
      </c>
      <c r="K3557" s="0" t="str">
        <f aca="false">IF(A3557="","",MONTH(A3557))</f>
        <v/>
      </c>
      <c r="L3557" s="0" t="str">
        <f aca="false">IF(B3557="","",VALUE(LEFT(B3557,2)))</f>
        <v/>
      </c>
      <c r="M3557" s="0" t="str">
        <f aca="false">IF(A3557="","",IF(COUNTIFS($C$2:$C$5001,C3557,$J$2:$J$5001,J3557,$A$2:$A$5001,"&lt;"&amp;A3557)=0,1,0))</f>
        <v/>
      </c>
    </row>
    <row r="3558" customFormat="false" ht="15" hidden="false" customHeight="false" outlineLevel="0" collapsed="false">
      <c r="A3558" s="27"/>
      <c r="F3558" s="28"/>
      <c r="J3558" s="0" t="str">
        <f aca="false">IF(A3558="","",YEAR(A3558))</f>
        <v/>
      </c>
      <c r="K3558" s="0" t="str">
        <f aca="false">IF(A3558="","",MONTH(A3558))</f>
        <v/>
      </c>
      <c r="L3558" s="0" t="str">
        <f aca="false">IF(B3558="","",VALUE(LEFT(B3558,2)))</f>
        <v/>
      </c>
      <c r="M3558" s="0" t="str">
        <f aca="false">IF(A3558="","",IF(COUNTIFS($C$2:$C$5001,C3558,$J$2:$J$5001,J3558,$A$2:$A$5001,"&lt;"&amp;A3558)=0,1,0))</f>
        <v/>
      </c>
    </row>
    <row r="3559" customFormat="false" ht="15" hidden="false" customHeight="false" outlineLevel="0" collapsed="false">
      <c r="A3559" s="27"/>
      <c r="F3559" s="28"/>
      <c r="J3559" s="0" t="str">
        <f aca="false">IF(A3559="","",YEAR(A3559))</f>
        <v/>
      </c>
      <c r="K3559" s="0" t="str">
        <f aca="false">IF(A3559="","",MONTH(A3559))</f>
        <v/>
      </c>
      <c r="L3559" s="0" t="str">
        <f aca="false">IF(B3559="","",VALUE(LEFT(B3559,2)))</f>
        <v/>
      </c>
      <c r="M3559" s="0" t="str">
        <f aca="false">IF(A3559="","",IF(COUNTIFS($C$2:$C$5001,C3559,$J$2:$J$5001,J3559,$A$2:$A$5001,"&lt;"&amp;A3559)=0,1,0))</f>
        <v/>
      </c>
    </row>
    <row r="3560" customFormat="false" ht="15" hidden="false" customHeight="false" outlineLevel="0" collapsed="false">
      <c r="A3560" s="27"/>
      <c r="F3560" s="28"/>
      <c r="J3560" s="0" t="str">
        <f aca="false">IF(A3560="","",YEAR(A3560))</f>
        <v/>
      </c>
      <c r="K3560" s="0" t="str">
        <f aca="false">IF(A3560="","",MONTH(A3560))</f>
        <v/>
      </c>
      <c r="L3560" s="0" t="str">
        <f aca="false">IF(B3560="","",VALUE(LEFT(B3560,2)))</f>
        <v/>
      </c>
      <c r="M3560" s="0" t="str">
        <f aca="false">IF(A3560="","",IF(COUNTIFS($C$2:$C$5001,C3560,$J$2:$J$5001,J3560,$A$2:$A$5001,"&lt;"&amp;A3560)=0,1,0))</f>
        <v/>
      </c>
    </row>
    <row r="3561" customFormat="false" ht="15" hidden="false" customHeight="false" outlineLevel="0" collapsed="false">
      <c r="A3561" s="27"/>
      <c r="F3561" s="28"/>
      <c r="J3561" s="0" t="str">
        <f aca="false">IF(A3561="","",YEAR(A3561))</f>
        <v/>
      </c>
      <c r="K3561" s="0" t="str">
        <f aca="false">IF(A3561="","",MONTH(A3561))</f>
        <v/>
      </c>
      <c r="L3561" s="0" t="str">
        <f aca="false">IF(B3561="","",VALUE(LEFT(B3561,2)))</f>
        <v/>
      </c>
      <c r="M3561" s="0" t="str">
        <f aca="false">IF(A3561="","",IF(COUNTIFS($C$2:$C$5001,C3561,$J$2:$J$5001,J3561,$A$2:$A$5001,"&lt;"&amp;A3561)=0,1,0))</f>
        <v/>
      </c>
    </row>
    <row r="3562" customFormat="false" ht="15" hidden="false" customHeight="false" outlineLevel="0" collapsed="false">
      <c r="A3562" s="27"/>
      <c r="F3562" s="28"/>
      <c r="J3562" s="0" t="str">
        <f aca="false">IF(A3562="","",YEAR(A3562))</f>
        <v/>
      </c>
      <c r="K3562" s="0" t="str">
        <f aca="false">IF(A3562="","",MONTH(A3562))</f>
        <v/>
      </c>
      <c r="L3562" s="0" t="str">
        <f aca="false">IF(B3562="","",VALUE(LEFT(B3562,2)))</f>
        <v/>
      </c>
      <c r="M3562" s="0" t="str">
        <f aca="false">IF(A3562="","",IF(COUNTIFS($C$2:$C$5001,C3562,$J$2:$J$5001,J3562,$A$2:$A$5001,"&lt;"&amp;A3562)=0,1,0))</f>
        <v/>
      </c>
    </row>
    <row r="3563" customFormat="false" ht="15" hidden="false" customHeight="false" outlineLevel="0" collapsed="false">
      <c r="A3563" s="27"/>
      <c r="F3563" s="28"/>
      <c r="J3563" s="0" t="str">
        <f aca="false">IF(A3563="","",YEAR(A3563))</f>
        <v/>
      </c>
      <c r="K3563" s="0" t="str">
        <f aca="false">IF(A3563="","",MONTH(A3563))</f>
        <v/>
      </c>
      <c r="L3563" s="0" t="str">
        <f aca="false">IF(B3563="","",VALUE(LEFT(B3563,2)))</f>
        <v/>
      </c>
      <c r="M3563" s="0" t="str">
        <f aca="false">IF(A3563="","",IF(COUNTIFS($C$2:$C$5001,C3563,$J$2:$J$5001,J3563,$A$2:$A$5001,"&lt;"&amp;A3563)=0,1,0))</f>
        <v/>
      </c>
    </row>
    <row r="3564" customFormat="false" ht="15" hidden="false" customHeight="false" outlineLevel="0" collapsed="false">
      <c r="A3564" s="27"/>
      <c r="F3564" s="28"/>
      <c r="J3564" s="0" t="str">
        <f aca="false">IF(A3564="","",YEAR(A3564))</f>
        <v/>
      </c>
      <c r="K3564" s="0" t="str">
        <f aca="false">IF(A3564="","",MONTH(A3564))</f>
        <v/>
      </c>
      <c r="L3564" s="0" t="str">
        <f aca="false">IF(B3564="","",VALUE(LEFT(B3564,2)))</f>
        <v/>
      </c>
      <c r="M3564" s="0" t="str">
        <f aca="false">IF(A3564="","",IF(COUNTIFS($C$2:$C$5001,C3564,$J$2:$J$5001,J3564,$A$2:$A$5001,"&lt;"&amp;A3564)=0,1,0))</f>
        <v/>
      </c>
    </row>
    <row r="3565" customFormat="false" ht="15" hidden="false" customHeight="false" outlineLevel="0" collapsed="false">
      <c r="A3565" s="27"/>
      <c r="F3565" s="28"/>
      <c r="J3565" s="0" t="str">
        <f aca="false">IF(A3565="","",YEAR(A3565))</f>
        <v/>
      </c>
      <c r="K3565" s="0" t="str">
        <f aca="false">IF(A3565="","",MONTH(A3565))</f>
        <v/>
      </c>
      <c r="L3565" s="0" t="str">
        <f aca="false">IF(B3565="","",VALUE(LEFT(B3565,2)))</f>
        <v/>
      </c>
      <c r="M3565" s="0" t="str">
        <f aca="false">IF(A3565="","",IF(COUNTIFS($C$2:$C$5001,C3565,$J$2:$J$5001,J3565,$A$2:$A$5001,"&lt;"&amp;A3565)=0,1,0))</f>
        <v/>
      </c>
    </row>
    <row r="3566" customFormat="false" ht="15" hidden="false" customHeight="false" outlineLevel="0" collapsed="false">
      <c r="A3566" s="27"/>
      <c r="F3566" s="28"/>
      <c r="J3566" s="0" t="str">
        <f aca="false">IF(A3566="","",YEAR(A3566))</f>
        <v/>
      </c>
      <c r="K3566" s="0" t="str">
        <f aca="false">IF(A3566="","",MONTH(A3566))</f>
        <v/>
      </c>
      <c r="L3566" s="0" t="str">
        <f aca="false">IF(B3566="","",VALUE(LEFT(B3566,2)))</f>
        <v/>
      </c>
      <c r="M3566" s="0" t="str">
        <f aca="false">IF(A3566="","",IF(COUNTIFS($C$2:$C$5001,C3566,$J$2:$J$5001,J3566,$A$2:$A$5001,"&lt;"&amp;A3566)=0,1,0))</f>
        <v/>
      </c>
    </row>
    <row r="3567" customFormat="false" ht="15" hidden="false" customHeight="false" outlineLevel="0" collapsed="false">
      <c r="A3567" s="27"/>
      <c r="F3567" s="28"/>
      <c r="J3567" s="0" t="str">
        <f aca="false">IF(A3567="","",YEAR(A3567))</f>
        <v/>
      </c>
      <c r="K3567" s="0" t="str">
        <f aca="false">IF(A3567="","",MONTH(A3567))</f>
        <v/>
      </c>
      <c r="L3567" s="0" t="str">
        <f aca="false">IF(B3567="","",VALUE(LEFT(B3567,2)))</f>
        <v/>
      </c>
      <c r="M3567" s="0" t="str">
        <f aca="false">IF(A3567="","",IF(COUNTIFS($C$2:$C$5001,C3567,$J$2:$J$5001,J3567,$A$2:$A$5001,"&lt;"&amp;A3567)=0,1,0))</f>
        <v/>
      </c>
    </row>
    <row r="3568" customFormat="false" ht="15" hidden="false" customHeight="false" outlineLevel="0" collapsed="false">
      <c r="A3568" s="27"/>
      <c r="F3568" s="28"/>
      <c r="J3568" s="0" t="str">
        <f aca="false">IF(A3568="","",YEAR(A3568))</f>
        <v/>
      </c>
      <c r="K3568" s="0" t="str">
        <f aca="false">IF(A3568="","",MONTH(A3568))</f>
        <v/>
      </c>
      <c r="L3568" s="0" t="str">
        <f aca="false">IF(B3568="","",VALUE(LEFT(B3568,2)))</f>
        <v/>
      </c>
      <c r="M3568" s="0" t="str">
        <f aca="false">IF(A3568="","",IF(COUNTIFS($C$2:$C$5001,C3568,$J$2:$J$5001,J3568,$A$2:$A$5001,"&lt;"&amp;A3568)=0,1,0))</f>
        <v/>
      </c>
    </row>
    <row r="3569" customFormat="false" ht="15" hidden="false" customHeight="false" outlineLevel="0" collapsed="false">
      <c r="A3569" s="27"/>
      <c r="F3569" s="28"/>
      <c r="J3569" s="0" t="str">
        <f aca="false">IF(A3569="","",YEAR(A3569))</f>
        <v/>
      </c>
      <c r="K3569" s="0" t="str">
        <f aca="false">IF(A3569="","",MONTH(A3569))</f>
        <v/>
      </c>
      <c r="L3569" s="0" t="str">
        <f aca="false">IF(B3569="","",VALUE(LEFT(B3569,2)))</f>
        <v/>
      </c>
      <c r="M3569" s="0" t="str">
        <f aca="false">IF(A3569="","",IF(COUNTIFS($C$2:$C$5001,C3569,$J$2:$J$5001,J3569,$A$2:$A$5001,"&lt;"&amp;A3569)=0,1,0))</f>
        <v/>
      </c>
    </row>
    <row r="3570" customFormat="false" ht="15" hidden="false" customHeight="false" outlineLevel="0" collapsed="false">
      <c r="A3570" s="27"/>
      <c r="F3570" s="28"/>
      <c r="J3570" s="0" t="str">
        <f aca="false">IF(A3570="","",YEAR(A3570))</f>
        <v/>
      </c>
      <c r="K3570" s="0" t="str">
        <f aca="false">IF(A3570="","",MONTH(A3570))</f>
        <v/>
      </c>
      <c r="L3570" s="0" t="str">
        <f aca="false">IF(B3570="","",VALUE(LEFT(B3570,2)))</f>
        <v/>
      </c>
      <c r="M3570" s="0" t="str">
        <f aca="false">IF(A3570="","",IF(COUNTIFS($C$2:$C$5001,C3570,$J$2:$J$5001,J3570,$A$2:$A$5001,"&lt;"&amp;A3570)=0,1,0))</f>
        <v/>
      </c>
    </row>
    <row r="3571" customFormat="false" ht="15" hidden="false" customHeight="false" outlineLevel="0" collapsed="false">
      <c r="A3571" s="27"/>
      <c r="F3571" s="28"/>
      <c r="J3571" s="0" t="str">
        <f aca="false">IF(A3571="","",YEAR(A3571))</f>
        <v/>
      </c>
      <c r="K3571" s="0" t="str">
        <f aca="false">IF(A3571="","",MONTH(A3571))</f>
        <v/>
      </c>
      <c r="L3571" s="0" t="str">
        <f aca="false">IF(B3571="","",VALUE(LEFT(B3571,2)))</f>
        <v/>
      </c>
      <c r="M3571" s="0" t="str">
        <f aca="false">IF(A3571="","",IF(COUNTIFS($C$2:$C$5001,C3571,$J$2:$J$5001,J3571,$A$2:$A$5001,"&lt;"&amp;A3571)=0,1,0))</f>
        <v/>
      </c>
    </row>
    <row r="3572" customFormat="false" ht="15" hidden="false" customHeight="false" outlineLevel="0" collapsed="false">
      <c r="A3572" s="27"/>
      <c r="F3572" s="28"/>
      <c r="J3572" s="0" t="str">
        <f aca="false">IF(A3572="","",YEAR(A3572))</f>
        <v/>
      </c>
      <c r="K3572" s="0" t="str">
        <f aca="false">IF(A3572="","",MONTH(A3572))</f>
        <v/>
      </c>
      <c r="L3572" s="0" t="str">
        <f aca="false">IF(B3572="","",VALUE(LEFT(B3572,2)))</f>
        <v/>
      </c>
      <c r="M3572" s="0" t="str">
        <f aca="false">IF(A3572="","",IF(COUNTIFS($C$2:$C$5001,C3572,$J$2:$J$5001,J3572,$A$2:$A$5001,"&lt;"&amp;A3572)=0,1,0))</f>
        <v/>
      </c>
    </row>
    <row r="3573" customFormat="false" ht="15" hidden="false" customHeight="false" outlineLevel="0" collapsed="false">
      <c r="A3573" s="27"/>
      <c r="F3573" s="28"/>
      <c r="J3573" s="0" t="str">
        <f aca="false">IF(A3573="","",YEAR(A3573))</f>
        <v/>
      </c>
      <c r="K3573" s="0" t="str">
        <f aca="false">IF(A3573="","",MONTH(A3573))</f>
        <v/>
      </c>
      <c r="L3573" s="0" t="str">
        <f aca="false">IF(B3573="","",VALUE(LEFT(B3573,2)))</f>
        <v/>
      </c>
      <c r="M3573" s="0" t="str">
        <f aca="false">IF(A3573="","",IF(COUNTIFS($C$2:$C$5001,C3573,$J$2:$J$5001,J3573,$A$2:$A$5001,"&lt;"&amp;A3573)=0,1,0))</f>
        <v/>
      </c>
    </row>
    <row r="3574" customFormat="false" ht="15" hidden="false" customHeight="false" outlineLevel="0" collapsed="false">
      <c r="A3574" s="27"/>
      <c r="F3574" s="28"/>
      <c r="J3574" s="0" t="str">
        <f aca="false">IF(A3574="","",YEAR(A3574))</f>
        <v/>
      </c>
      <c r="K3574" s="0" t="str">
        <f aca="false">IF(A3574="","",MONTH(A3574))</f>
        <v/>
      </c>
      <c r="L3574" s="0" t="str">
        <f aca="false">IF(B3574="","",VALUE(LEFT(B3574,2)))</f>
        <v/>
      </c>
      <c r="M3574" s="0" t="str">
        <f aca="false">IF(A3574="","",IF(COUNTIFS($C$2:$C$5001,C3574,$J$2:$J$5001,J3574,$A$2:$A$5001,"&lt;"&amp;A3574)=0,1,0))</f>
        <v/>
      </c>
    </row>
    <row r="3575" customFormat="false" ht="15" hidden="false" customHeight="false" outlineLevel="0" collapsed="false">
      <c r="A3575" s="27"/>
      <c r="F3575" s="28"/>
      <c r="J3575" s="0" t="str">
        <f aca="false">IF(A3575="","",YEAR(A3575))</f>
        <v/>
      </c>
      <c r="K3575" s="0" t="str">
        <f aca="false">IF(A3575="","",MONTH(A3575))</f>
        <v/>
      </c>
      <c r="L3575" s="0" t="str">
        <f aca="false">IF(B3575="","",VALUE(LEFT(B3575,2)))</f>
        <v/>
      </c>
      <c r="M3575" s="0" t="str">
        <f aca="false">IF(A3575="","",IF(COUNTIFS($C$2:$C$5001,C3575,$J$2:$J$5001,J3575,$A$2:$A$5001,"&lt;"&amp;A3575)=0,1,0))</f>
        <v/>
      </c>
    </row>
    <row r="3576" customFormat="false" ht="15" hidden="false" customHeight="false" outlineLevel="0" collapsed="false">
      <c r="A3576" s="27"/>
      <c r="F3576" s="28"/>
      <c r="J3576" s="0" t="str">
        <f aca="false">IF(A3576="","",YEAR(A3576))</f>
        <v/>
      </c>
      <c r="K3576" s="0" t="str">
        <f aca="false">IF(A3576="","",MONTH(A3576))</f>
        <v/>
      </c>
      <c r="L3576" s="0" t="str">
        <f aca="false">IF(B3576="","",VALUE(LEFT(B3576,2)))</f>
        <v/>
      </c>
      <c r="M3576" s="0" t="str">
        <f aca="false">IF(A3576="","",IF(COUNTIFS($C$2:$C$5001,C3576,$J$2:$J$5001,J3576,$A$2:$A$5001,"&lt;"&amp;A3576)=0,1,0))</f>
        <v/>
      </c>
    </row>
    <row r="3577" customFormat="false" ht="15" hidden="false" customHeight="false" outlineLevel="0" collapsed="false">
      <c r="A3577" s="27"/>
      <c r="F3577" s="28"/>
      <c r="J3577" s="0" t="str">
        <f aca="false">IF(A3577="","",YEAR(A3577))</f>
        <v/>
      </c>
      <c r="K3577" s="0" t="str">
        <f aca="false">IF(A3577="","",MONTH(A3577))</f>
        <v/>
      </c>
      <c r="L3577" s="0" t="str">
        <f aca="false">IF(B3577="","",VALUE(LEFT(B3577,2)))</f>
        <v/>
      </c>
      <c r="M3577" s="0" t="str">
        <f aca="false">IF(A3577="","",IF(COUNTIFS($C$2:$C$5001,C3577,$J$2:$J$5001,J3577,$A$2:$A$5001,"&lt;"&amp;A3577)=0,1,0))</f>
        <v/>
      </c>
    </row>
    <row r="3578" customFormat="false" ht="15" hidden="false" customHeight="false" outlineLevel="0" collapsed="false">
      <c r="A3578" s="27"/>
      <c r="F3578" s="28"/>
      <c r="J3578" s="0" t="str">
        <f aca="false">IF(A3578="","",YEAR(A3578))</f>
        <v/>
      </c>
      <c r="K3578" s="0" t="str">
        <f aca="false">IF(A3578="","",MONTH(A3578))</f>
        <v/>
      </c>
      <c r="L3578" s="0" t="str">
        <f aca="false">IF(B3578="","",VALUE(LEFT(B3578,2)))</f>
        <v/>
      </c>
      <c r="M3578" s="0" t="str">
        <f aca="false">IF(A3578="","",IF(COUNTIFS($C$2:$C$5001,C3578,$J$2:$J$5001,J3578,$A$2:$A$5001,"&lt;"&amp;A3578)=0,1,0))</f>
        <v/>
      </c>
    </row>
    <row r="3579" customFormat="false" ht="15" hidden="false" customHeight="false" outlineLevel="0" collapsed="false">
      <c r="A3579" s="27"/>
      <c r="F3579" s="28"/>
      <c r="J3579" s="0" t="str">
        <f aca="false">IF(A3579="","",YEAR(A3579))</f>
        <v/>
      </c>
      <c r="K3579" s="0" t="str">
        <f aca="false">IF(A3579="","",MONTH(A3579))</f>
        <v/>
      </c>
      <c r="L3579" s="0" t="str">
        <f aca="false">IF(B3579="","",VALUE(LEFT(B3579,2)))</f>
        <v/>
      </c>
      <c r="M3579" s="0" t="str">
        <f aca="false">IF(A3579="","",IF(COUNTIFS($C$2:$C$5001,C3579,$J$2:$J$5001,J3579,$A$2:$A$5001,"&lt;"&amp;A3579)=0,1,0))</f>
        <v/>
      </c>
    </row>
    <row r="3580" customFormat="false" ht="15" hidden="false" customHeight="false" outlineLevel="0" collapsed="false">
      <c r="A3580" s="27"/>
      <c r="F3580" s="28"/>
      <c r="J3580" s="0" t="str">
        <f aca="false">IF(A3580="","",YEAR(A3580))</f>
        <v/>
      </c>
      <c r="K3580" s="0" t="str">
        <f aca="false">IF(A3580="","",MONTH(A3580))</f>
        <v/>
      </c>
      <c r="L3580" s="0" t="str">
        <f aca="false">IF(B3580="","",VALUE(LEFT(B3580,2)))</f>
        <v/>
      </c>
      <c r="M3580" s="0" t="str">
        <f aca="false">IF(A3580="","",IF(COUNTIFS($C$2:$C$5001,C3580,$J$2:$J$5001,J3580,$A$2:$A$5001,"&lt;"&amp;A3580)=0,1,0))</f>
        <v/>
      </c>
    </row>
    <row r="3581" customFormat="false" ht="15" hidden="false" customHeight="false" outlineLevel="0" collapsed="false">
      <c r="A3581" s="27"/>
      <c r="F3581" s="28"/>
      <c r="J3581" s="0" t="str">
        <f aca="false">IF(A3581="","",YEAR(A3581))</f>
        <v/>
      </c>
      <c r="K3581" s="0" t="str">
        <f aca="false">IF(A3581="","",MONTH(A3581))</f>
        <v/>
      </c>
      <c r="L3581" s="0" t="str">
        <f aca="false">IF(B3581="","",VALUE(LEFT(B3581,2)))</f>
        <v/>
      </c>
      <c r="M3581" s="0" t="str">
        <f aca="false">IF(A3581="","",IF(COUNTIFS($C$2:$C$5001,C3581,$J$2:$J$5001,J3581,$A$2:$A$5001,"&lt;"&amp;A3581)=0,1,0))</f>
        <v/>
      </c>
    </row>
    <row r="3582" customFormat="false" ht="15" hidden="false" customHeight="false" outlineLevel="0" collapsed="false">
      <c r="A3582" s="27"/>
      <c r="F3582" s="28"/>
      <c r="J3582" s="0" t="str">
        <f aca="false">IF(A3582="","",YEAR(A3582))</f>
        <v/>
      </c>
      <c r="K3582" s="0" t="str">
        <f aca="false">IF(A3582="","",MONTH(A3582))</f>
        <v/>
      </c>
      <c r="L3582" s="0" t="str">
        <f aca="false">IF(B3582="","",VALUE(LEFT(B3582,2)))</f>
        <v/>
      </c>
      <c r="M3582" s="0" t="str">
        <f aca="false">IF(A3582="","",IF(COUNTIFS($C$2:$C$5001,C3582,$J$2:$J$5001,J3582,$A$2:$A$5001,"&lt;"&amp;A3582)=0,1,0))</f>
        <v/>
      </c>
    </row>
    <row r="3583" customFormat="false" ht="15" hidden="false" customHeight="false" outlineLevel="0" collapsed="false">
      <c r="A3583" s="27"/>
      <c r="F3583" s="28"/>
      <c r="J3583" s="0" t="str">
        <f aca="false">IF(A3583="","",YEAR(A3583))</f>
        <v/>
      </c>
      <c r="K3583" s="0" t="str">
        <f aca="false">IF(A3583="","",MONTH(A3583))</f>
        <v/>
      </c>
      <c r="L3583" s="0" t="str">
        <f aca="false">IF(B3583="","",VALUE(LEFT(B3583,2)))</f>
        <v/>
      </c>
      <c r="M3583" s="0" t="str">
        <f aca="false">IF(A3583="","",IF(COUNTIFS($C$2:$C$5001,C3583,$J$2:$J$5001,J3583,$A$2:$A$5001,"&lt;"&amp;A3583)=0,1,0))</f>
        <v/>
      </c>
    </row>
    <row r="3584" customFormat="false" ht="15" hidden="false" customHeight="false" outlineLevel="0" collapsed="false">
      <c r="A3584" s="27"/>
      <c r="F3584" s="28"/>
      <c r="J3584" s="0" t="str">
        <f aca="false">IF(A3584="","",YEAR(A3584))</f>
        <v/>
      </c>
      <c r="K3584" s="0" t="str">
        <f aca="false">IF(A3584="","",MONTH(A3584))</f>
        <v/>
      </c>
      <c r="L3584" s="0" t="str">
        <f aca="false">IF(B3584="","",VALUE(LEFT(B3584,2)))</f>
        <v/>
      </c>
      <c r="M3584" s="0" t="str">
        <f aca="false">IF(A3584="","",IF(COUNTIFS($C$2:$C$5001,C3584,$J$2:$J$5001,J3584,$A$2:$A$5001,"&lt;"&amp;A3584)=0,1,0))</f>
        <v/>
      </c>
    </row>
    <row r="3585" customFormat="false" ht="15" hidden="false" customHeight="false" outlineLevel="0" collapsed="false">
      <c r="A3585" s="27"/>
      <c r="F3585" s="28"/>
      <c r="J3585" s="0" t="str">
        <f aca="false">IF(A3585="","",YEAR(A3585))</f>
        <v/>
      </c>
      <c r="K3585" s="0" t="str">
        <f aca="false">IF(A3585="","",MONTH(A3585))</f>
        <v/>
      </c>
      <c r="L3585" s="0" t="str">
        <f aca="false">IF(B3585="","",VALUE(LEFT(B3585,2)))</f>
        <v/>
      </c>
      <c r="M3585" s="0" t="str">
        <f aca="false">IF(A3585="","",IF(COUNTIFS($C$2:$C$5001,C3585,$J$2:$J$5001,J3585,$A$2:$A$5001,"&lt;"&amp;A3585)=0,1,0))</f>
        <v/>
      </c>
    </row>
    <row r="3586" customFormat="false" ht="15" hidden="false" customHeight="false" outlineLevel="0" collapsed="false">
      <c r="A3586" s="27"/>
      <c r="F3586" s="28"/>
      <c r="J3586" s="0" t="str">
        <f aca="false">IF(A3586="","",YEAR(A3586))</f>
        <v/>
      </c>
      <c r="K3586" s="0" t="str">
        <f aca="false">IF(A3586="","",MONTH(A3586))</f>
        <v/>
      </c>
      <c r="L3586" s="0" t="str">
        <f aca="false">IF(B3586="","",VALUE(LEFT(B3586,2)))</f>
        <v/>
      </c>
      <c r="M3586" s="0" t="str">
        <f aca="false">IF(A3586="","",IF(COUNTIFS($C$2:$C$5001,C3586,$J$2:$J$5001,J3586,$A$2:$A$5001,"&lt;"&amp;A3586)=0,1,0))</f>
        <v/>
      </c>
    </row>
    <row r="3587" customFormat="false" ht="15" hidden="false" customHeight="false" outlineLevel="0" collapsed="false">
      <c r="A3587" s="27"/>
      <c r="F3587" s="28"/>
      <c r="J3587" s="0" t="str">
        <f aca="false">IF(A3587="","",YEAR(A3587))</f>
        <v/>
      </c>
      <c r="K3587" s="0" t="str">
        <f aca="false">IF(A3587="","",MONTH(A3587))</f>
        <v/>
      </c>
      <c r="L3587" s="0" t="str">
        <f aca="false">IF(B3587="","",VALUE(LEFT(B3587,2)))</f>
        <v/>
      </c>
      <c r="M3587" s="0" t="str">
        <f aca="false">IF(A3587="","",IF(COUNTIFS($C$2:$C$5001,C3587,$J$2:$J$5001,J3587,$A$2:$A$5001,"&lt;"&amp;A3587)=0,1,0))</f>
        <v/>
      </c>
    </row>
    <row r="3588" customFormat="false" ht="15" hidden="false" customHeight="false" outlineLevel="0" collapsed="false">
      <c r="A3588" s="27"/>
      <c r="F3588" s="28"/>
      <c r="J3588" s="0" t="str">
        <f aca="false">IF(A3588="","",YEAR(A3588))</f>
        <v/>
      </c>
      <c r="K3588" s="0" t="str">
        <f aca="false">IF(A3588="","",MONTH(A3588))</f>
        <v/>
      </c>
      <c r="L3588" s="0" t="str">
        <f aca="false">IF(B3588="","",VALUE(LEFT(B3588,2)))</f>
        <v/>
      </c>
      <c r="M3588" s="0" t="str">
        <f aca="false">IF(A3588="","",IF(COUNTIFS($C$2:$C$5001,C3588,$J$2:$J$5001,J3588,$A$2:$A$5001,"&lt;"&amp;A3588)=0,1,0))</f>
        <v/>
      </c>
    </row>
    <row r="3589" customFormat="false" ht="15" hidden="false" customHeight="false" outlineLevel="0" collapsed="false">
      <c r="A3589" s="27"/>
      <c r="F3589" s="28"/>
      <c r="J3589" s="0" t="str">
        <f aca="false">IF(A3589="","",YEAR(A3589))</f>
        <v/>
      </c>
      <c r="K3589" s="0" t="str">
        <f aca="false">IF(A3589="","",MONTH(A3589))</f>
        <v/>
      </c>
      <c r="L3589" s="0" t="str">
        <f aca="false">IF(B3589="","",VALUE(LEFT(B3589,2)))</f>
        <v/>
      </c>
      <c r="M3589" s="0" t="str">
        <f aca="false">IF(A3589="","",IF(COUNTIFS($C$2:$C$5001,C3589,$J$2:$J$5001,J3589,$A$2:$A$5001,"&lt;"&amp;A3589)=0,1,0))</f>
        <v/>
      </c>
    </row>
    <row r="3590" customFormat="false" ht="15" hidden="false" customHeight="false" outlineLevel="0" collapsed="false">
      <c r="A3590" s="27"/>
      <c r="F3590" s="28"/>
      <c r="J3590" s="0" t="str">
        <f aca="false">IF(A3590="","",YEAR(A3590))</f>
        <v/>
      </c>
      <c r="K3590" s="0" t="str">
        <f aca="false">IF(A3590="","",MONTH(A3590))</f>
        <v/>
      </c>
      <c r="L3590" s="0" t="str">
        <f aca="false">IF(B3590="","",VALUE(LEFT(B3590,2)))</f>
        <v/>
      </c>
      <c r="M3590" s="0" t="str">
        <f aca="false">IF(A3590="","",IF(COUNTIFS($C$2:$C$5001,C3590,$J$2:$J$5001,J3590,$A$2:$A$5001,"&lt;"&amp;A3590)=0,1,0))</f>
        <v/>
      </c>
    </row>
    <row r="3591" customFormat="false" ht="15" hidden="false" customHeight="false" outlineLevel="0" collapsed="false">
      <c r="A3591" s="27"/>
      <c r="F3591" s="28"/>
      <c r="J3591" s="0" t="str">
        <f aca="false">IF(A3591="","",YEAR(A3591))</f>
        <v/>
      </c>
      <c r="K3591" s="0" t="str">
        <f aca="false">IF(A3591="","",MONTH(A3591))</f>
        <v/>
      </c>
      <c r="L3591" s="0" t="str">
        <f aca="false">IF(B3591="","",VALUE(LEFT(B3591,2)))</f>
        <v/>
      </c>
      <c r="M3591" s="0" t="str">
        <f aca="false">IF(A3591="","",IF(COUNTIFS($C$2:$C$5001,C3591,$J$2:$J$5001,J3591,$A$2:$A$5001,"&lt;"&amp;A3591)=0,1,0))</f>
        <v/>
      </c>
    </row>
    <row r="3592" customFormat="false" ht="15" hidden="false" customHeight="false" outlineLevel="0" collapsed="false">
      <c r="A3592" s="27"/>
      <c r="F3592" s="28"/>
      <c r="J3592" s="0" t="str">
        <f aca="false">IF(A3592="","",YEAR(A3592))</f>
        <v/>
      </c>
      <c r="K3592" s="0" t="str">
        <f aca="false">IF(A3592="","",MONTH(A3592))</f>
        <v/>
      </c>
      <c r="L3592" s="0" t="str">
        <f aca="false">IF(B3592="","",VALUE(LEFT(B3592,2)))</f>
        <v/>
      </c>
      <c r="M3592" s="0" t="str">
        <f aca="false">IF(A3592="","",IF(COUNTIFS($C$2:$C$5001,C3592,$J$2:$J$5001,J3592,$A$2:$A$5001,"&lt;"&amp;A3592)=0,1,0))</f>
        <v/>
      </c>
    </row>
    <row r="3593" customFormat="false" ht="15" hidden="false" customHeight="false" outlineLevel="0" collapsed="false">
      <c r="A3593" s="27"/>
      <c r="F3593" s="28"/>
      <c r="J3593" s="0" t="str">
        <f aca="false">IF(A3593="","",YEAR(A3593))</f>
        <v/>
      </c>
      <c r="K3593" s="0" t="str">
        <f aca="false">IF(A3593="","",MONTH(A3593))</f>
        <v/>
      </c>
      <c r="L3593" s="0" t="str">
        <f aca="false">IF(B3593="","",VALUE(LEFT(B3593,2)))</f>
        <v/>
      </c>
      <c r="M3593" s="0" t="str">
        <f aca="false">IF(A3593="","",IF(COUNTIFS($C$2:$C$5001,C3593,$J$2:$J$5001,J3593,$A$2:$A$5001,"&lt;"&amp;A3593)=0,1,0))</f>
        <v/>
      </c>
    </row>
    <row r="3594" customFormat="false" ht="15" hidden="false" customHeight="false" outlineLevel="0" collapsed="false">
      <c r="A3594" s="27"/>
      <c r="F3594" s="28"/>
      <c r="J3594" s="0" t="str">
        <f aca="false">IF(A3594="","",YEAR(A3594))</f>
        <v/>
      </c>
      <c r="K3594" s="0" t="str">
        <f aca="false">IF(A3594="","",MONTH(A3594))</f>
        <v/>
      </c>
      <c r="L3594" s="0" t="str">
        <f aca="false">IF(B3594="","",VALUE(LEFT(B3594,2)))</f>
        <v/>
      </c>
      <c r="M3594" s="0" t="str">
        <f aca="false">IF(A3594="","",IF(COUNTIFS($C$2:$C$5001,C3594,$J$2:$J$5001,J3594,$A$2:$A$5001,"&lt;"&amp;A3594)=0,1,0))</f>
        <v/>
      </c>
    </row>
    <row r="3595" customFormat="false" ht="15" hidden="false" customHeight="false" outlineLevel="0" collapsed="false">
      <c r="A3595" s="27"/>
      <c r="F3595" s="28"/>
      <c r="J3595" s="0" t="str">
        <f aca="false">IF(A3595="","",YEAR(A3595))</f>
        <v/>
      </c>
      <c r="K3595" s="0" t="str">
        <f aca="false">IF(A3595="","",MONTH(A3595))</f>
        <v/>
      </c>
      <c r="L3595" s="0" t="str">
        <f aca="false">IF(B3595="","",VALUE(LEFT(B3595,2)))</f>
        <v/>
      </c>
      <c r="M3595" s="0" t="str">
        <f aca="false">IF(A3595="","",IF(COUNTIFS($C$2:$C$5001,C3595,$J$2:$J$5001,J3595,$A$2:$A$5001,"&lt;"&amp;A3595)=0,1,0))</f>
        <v/>
      </c>
    </row>
    <row r="3596" customFormat="false" ht="15" hidden="false" customHeight="false" outlineLevel="0" collapsed="false">
      <c r="A3596" s="27"/>
      <c r="F3596" s="28"/>
      <c r="J3596" s="0" t="str">
        <f aca="false">IF(A3596="","",YEAR(A3596))</f>
        <v/>
      </c>
      <c r="K3596" s="0" t="str">
        <f aca="false">IF(A3596="","",MONTH(A3596))</f>
        <v/>
      </c>
      <c r="L3596" s="0" t="str">
        <f aca="false">IF(B3596="","",VALUE(LEFT(B3596,2)))</f>
        <v/>
      </c>
      <c r="M3596" s="0" t="str">
        <f aca="false">IF(A3596="","",IF(COUNTIFS($C$2:$C$5001,C3596,$J$2:$J$5001,J3596,$A$2:$A$5001,"&lt;"&amp;A3596)=0,1,0))</f>
        <v/>
      </c>
    </row>
    <row r="3597" customFormat="false" ht="15" hidden="false" customHeight="false" outlineLevel="0" collapsed="false">
      <c r="A3597" s="27"/>
      <c r="F3597" s="28"/>
      <c r="J3597" s="0" t="str">
        <f aca="false">IF(A3597="","",YEAR(A3597))</f>
        <v/>
      </c>
      <c r="K3597" s="0" t="str">
        <f aca="false">IF(A3597="","",MONTH(A3597))</f>
        <v/>
      </c>
      <c r="L3597" s="0" t="str">
        <f aca="false">IF(B3597="","",VALUE(LEFT(B3597,2)))</f>
        <v/>
      </c>
      <c r="M3597" s="0" t="str">
        <f aca="false">IF(A3597="","",IF(COUNTIFS($C$2:$C$5001,C3597,$J$2:$J$5001,J3597,$A$2:$A$5001,"&lt;"&amp;A3597)=0,1,0))</f>
        <v/>
      </c>
    </row>
    <row r="3598" customFormat="false" ht="15" hidden="false" customHeight="false" outlineLevel="0" collapsed="false">
      <c r="A3598" s="27"/>
      <c r="F3598" s="28"/>
      <c r="J3598" s="0" t="str">
        <f aca="false">IF(A3598="","",YEAR(A3598))</f>
        <v/>
      </c>
      <c r="K3598" s="0" t="str">
        <f aca="false">IF(A3598="","",MONTH(A3598))</f>
        <v/>
      </c>
      <c r="L3598" s="0" t="str">
        <f aca="false">IF(B3598="","",VALUE(LEFT(B3598,2)))</f>
        <v/>
      </c>
      <c r="M3598" s="0" t="str">
        <f aca="false">IF(A3598="","",IF(COUNTIFS($C$2:$C$5001,C3598,$J$2:$J$5001,J3598,$A$2:$A$5001,"&lt;"&amp;A3598)=0,1,0))</f>
        <v/>
      </c>
    </row>
    <row r="3599" customFormat="false" ht="15" hidden="false" customHeight="false" outlineLevel="0" collapsed="false">
      <c r="A3599" s="27"/>
      <c r="F3599" s="28"/>
      <c r="J3599" s="0" t="str">
        <f aca="false">IF(A3599="","",YEAR(A3599))</f>
        <v/>
      </c>
      <c r="K3599" s="0" t="str">
        <f aca="false">IF(A3599="","",MONTH(A3599))</f>
        <v/>
      </c>
      <c r="L3599" s="0" t="str">
        <f aca="false">IF(B3599="","",VALUE(LEFT(B3599,2)))</f>
        <v/>
      </c>
      <c r="M3599" s="0" t="str">
        <f aca="false">IF(A3599="","",IF(COUNTIFS($C$2:$C$5001,C3599,$J$2:$J$5001,J3599,$A$2:$A$5001,"&lt;"&amp;A3599)=0,1,0))</f>
        <v/>
      </c>
    </row>
    <row r="3600" customFormat="false" ht="15" hidden="false" customHeight="false" outlineLevel="0" collapsed="false">
      <c r="A3600" s="27"/>
      <c r="F3600" s="28"/>
      <c r="J3600" s="0" t="str">
        <f aca="false">IF(A3600="","",YEAR(A3600))</f>
        <v/>
      </c>
      <c r="K3600" s="0" t="str">
        <f aca="false">IF(A3600="","",MONTH(A3600))</f>
        <v/>
      </c>
      <c r="L3600" s="0" t="str">
        <f aca="false">IF(B3600="","",VALUE(LEFT(B3600,2)))</f>
        <v/>
      </c>
      <c r="M3600" s="0" t="str">
        <f aca="false">IF(A3600="","",IF(COUNTIFS($C$2:$C$5001,C3600,$J$2:$J$5001,J3600,$A$2:$A$5001,"&lt;"&amp;A3600)=0,1,0))</f>
        <v/>
      </c>
    </row>
    <row r="3601" customFormat="false" ht="15" hidden="false" customHeight="false" outlineLevel="0" collapsed="false">
      <c r="A3601" s="27"/>
      <c r="F3601" s="28"/>
      <c r="J3601" s="0" t="str">
        <f aca="false">IF(A3601="","",YEAR(A3601))</f>
        <v/>
      </c>
      <c r="K3601" s="0" t="str">
        <f aca="false">IF(A3601="","",MONTH(A3601))</f>
        <v/>
      </c>
      <c r="L3601" s="0" t="str">
        <f aca="false">IF(B3601="","",VALUE(LEFT(B3601,2)))</f>
        <v/>
      </c>
      <c r="M3601" s="0" t="str">
        <f aca="false">IF(A3601="","",IF(COUNTIFS($C$2:$C$5001,C3601,$J$2:$J$5001,J3601,$A$2:$A$5001,"&lt;"&amp;A3601)=0,1,0))</f>
        <v/>
      </c>
    </row>
    <row r="3602" customFormat="false" ht="15" hidden="false" customHeight="false" outlineLevel="0" collapsed="false">
      <c r="A3602" s="27"/>
      <c r="F3602" s="28"/>
      <c r="J3602" s="0" t="str">
        <f aca="false">IF(A3602="","",YEAR(A3602))</f>
        <v/>
      </c>
      <c r="K3602" s="0" t="str">
        <f aca="false">IF(A3602="","",MONTH(A3602))</f>
        <v/>
      </c>
      <c r="L3602" s="0" t="str">
        <f aca="false">IF(B3602="","",VALUE(LEFT(B3602,2)))</f>
        <v/>
      </c>
      <c r="M3602" s="0" t="str">
        <f aca="false">IF(A3602="","",IF(COUNTIFS($C$2:$C$5001,C3602,$J$2:$J$5001,J3602,$A$2:$A$5001,"&lt;"&amp;A3602)=0,1,0))</f>
        <v/>
      </c>
    </row>
    <row r="3603" customFormat="false" ht="15" hidden="false" customHeight="false" outlineLevel="0" collapsed="false">
      <c r="A3603" s="27"/>
      <c r="F3603" s="28"/>
      <c r="J3603" s="0" t="str">
        <f aca="false">IF(A3603="","",YEAR(A3603))</f>
        <v/>
      </c>
      <c r="K3603" s="0" t="str">
        <f aca="false">IF(A3603="","",MONTH(A3603))</f>
        <v/>
      </c>
      <c r="L3603" s="0" t="str">
        <f aca="false">IF(B3603="","",VALUE(LEFT(B3603,2)))</f>
        <v/>
      </c>
      <c r="M3603" s="0" t="str">
        <f aca="false">IF(A3603="","",IF(COUNTIFS($C$2:$C$5001,C3603,$J$2:$J$5001,J3603,$A$2:$A$5001,"&lt;"&amp;A3603)=0,1,0))</f>
        <v/>
      </c>
    </row>
    <row r="3604" customFormat="false" ht="15" hidden="false" customHeight="false" outlineLevel="0" collapsed="false">
      <c r="A3604" s="27"/>
      <c r="F3604" s="28"/>
      <c r="J3604" s="0" t="str">
        <f aca="false">IF(A3604="","",YEAR(A3604))</f>
        <v/>
      </c>
      <c r="K3604" s="0" t="str">
        <f aca="false">IF(A3604="","",MONTH(A3604))</f>
        <v/>
      </c>
      <c r="L3604" s="0" t="str">
        <f aca="false">IF(B3604="","",VALUE(LEFT(B3604,2)))</f>
        <v/>
      </c>
      <c r="M3604" s="0" t="str">
        <f aca="false">IF(A3604="","",IF(COUNTIFS($C$2:$C$5001,C3604,$J$2:$J$5001,J3604,$A$2:$A$5001,"&lt;"&amp;A3604)=0,1,0))</f>
        <v/>
      </c>
    </row>
    <row r="3605" customFormat="false" ht="15" hidden="false" customHeight="false" outlineLevel="0" collapsed="false">
      <c r="A3605" s="27"/>
      <c r="F3605" s="28"/>
      <c r="J3605" s="0" t="str">
        <f aca="false">IF(A3605="","",YEAR(A3605))</f>
        <v/>
      </c>
      <c r="K3605" s="0" t="str">
        <f aca="false">IF(A3605="","",MONTH(A3605))</f>
        <v/>
      </c>
      <c r="L3605" s="0" t="str">
        <f aca="false">IF(B3605="","",VALUE(LEFT(B3605,2)))</f>
        <v/>
      </c>
      <c r="M3605" s="0" t="str">
        <f aca="false">IF(A3605="","",IF(COUNTIFS($C$2:$C$5001,C3605,$J$2:$J$5001,J3605,$A$2:$A$5001,"&lt;"&amp;A3605)=0,1,0))</f>
        <v/>
      </c>
    </row>
    <row r="3606" customFormat="false" ht="15" hidden="false" customHeight="false" outlineLevel="0" collapsed="false">
      <c r="A3606" s="27"/>
      <c r="F3606" s="28"/>
      <c r="J3606" s="0" t="str">
        <f aca="false">IF(A3606="","",YEAR(A3606))</f>
        <v/>
      </c>
      <c r="K3606" s="0" t="str">
        <f aca="false">IF(A3606="","",MONTH(A3606))</f>
        <v/>
      </c>
      <c r="L3606" s="0" t="str">
        <f aca="false">IF(B3606="","",VALUE(LEFT(B3606,2)))</f>
        <v/>
      </c>
      <c r="M3606" s="0" t="str">
        <f aca="false">IF(A3606="","",IF(COUNTIFS($C$2:$C$5001,C3606,$J$2:$J$5001,J3606,$A$2:$A$5001,"&lt;"&amp;A3606)=0,1,0))</f>
        <v/>
      </c>
    </row>
    <row r="3607" customFormat="false" ht="15" hidden="false" customHeight="false" outlineLevel="0" collapsed="false">
      <c r="A3607" s="27"/>
      <c r="F3607" s="28"/>
      <c r="J3607" s="0" t="str">
        <f aca="false">IF(A3607="","",YEAR(A3607))</f>
        <v/>
      </c>
      <c r="K3607" s="0" t="str">
        <f aca="false">IF(A3607="","",MONTH(A3607))</f>
        <v/>
      </c>
      <c r="L3607" s="0" t="str">
        <f aca="false">IF(B3607="","",VALUE(LEFT(B3607,2)))</f>
        <v/>
      </c>
      <c r="M3607" s="0" t="str">
        <f aca="false">IF(A3607="","",IF(COUNTIFS($C$2:$C$5001,C3607,$J$2:$J$5001,J3607,$A$2:$A$5001,"&lt;"&amp;A3607)=0,1,0))</f>
        <v/>
      </c>
    </row>
    <row r="3608" customFormat="false" ht="15" hidden="false" customHeight="false" outlineLevel="0" collapsed="false">
      <c r="A3608" s="27"/>
      <c r="F3608" s="28"/>
      <c r="J3608" s="0" t="str">
        <f aca="false">IF(A3608="","",YEAR(A3608))</f>
        <v/>
      </c>
      <c r="K3608" s="0" t="str">
        <f aca="false">IF(A3608="","",MONTH(A3608))</f>
        <v/>
      </c>
      <c r="L3608" s="0" t="str">
        <f aca="false">IF(B3608="","",VALUE(LEFT(B3608,2)))</f>
        <v/>
      </c>
      <c r="M3608" s="0" t="str">
        <f aca="false">IF(A3608="","",IF(COUNTIFS($C$2:$C$5001,C3608,$J$2:$J$5001,J3608,$A$2:$A$5001,"&lt;"&amp;A3608)=0,1,0))</f>
        <v/>
      </c>
    </row>
    <row r="3609" customFormat="false" ht="15" hidden="false" customHeight="false" outlineLevel="0" collapsed="false">
      <c r="A3609" s="27"/>
      <c r="F3609" s="28"/>
      <c r="J3609" s="0" t="str">
        <f aca="false">IF(A3609="","",YEAR(A3609))</f>
        <v/>
      </c>
      <c r="K3609" s="0" t="str">
        <f aca="false">IF(A3609="","",MONTH(A3609))</f>
        <v/>
      </c>
      <c r="L3609" s="0" t="str">
        <f aca="false">IF(B3609="","",VALUE(LEFT(B3609,2)))</f>
        <v/>
      </c>
      <c r="M3609" s="0" t="str">
        <f aca="false">IF(A3609="","",IF(COUNTIFS($C$2:$C$5001,C3609,$J$2:$J$5001,J3609,$A$2:$A$5001,"&lt;"&amp;A3609)=0,1,0))</f>
        <v/>
      </c>
    </row>
    <row r="3610" customFormat="false" ht="15" hidden="false" customHeight="false" outlineLevel="0" collapsed="false">
      <c r="A3610" s="27"/>
      <c r="F3610" s="28"/>
      <c r="J3610" s="0" t="str">
        <f aca="false">IF(A3610="","",YEAR(A3610))</f>
        <v/>
      </c>
      <c r="K3610" s="0" t="str">
        <f aca="false">IF(A3610="","",MONTH(A3610))</f>
        <v/>
      </c>
      <c r="L3610" s="0" t="str">
        <f aca="false">IF(B3610="","",VALUE(LEFT(B3610,2)))</f>
        <v/>
      </c>
      <c r="M3610" s="0" t="str">
        <f aca="false">IF(A3610="","",IF(COUNTIFS($C$2:$C$5001,C3610,$J$2:$J$5001,J3610,$A$2:$A$5001,"&lt;"&amp;A3610)=0,1,0))</f>
        <v/>
      </c>
    </row>
    <row r="3611" customFormat="false" ht="15" hidden="false" customHeight="false" outlineLevel="0" collapsed="false">
      <c r="A3611" s="27"/>
      <c r="F3611" s="28"/>
      <c r="J3611" s="0" t="str">
        <f aca="false">IF(A3611="","",YEAR(A3611))</f>
        <v/>
      </c>
      <c r="K3611" s="0" t="str">
        <f aca="false">IF(A3611="","",MONTH(A3611))</f>
        <v/>
      </c>
      <c r="L3611" s="0" t="str">
        <f aca="false">IF(B3611="","",VALUE(LEFT(B3611,2)))</f>
        <v/>
      </c>
      <c r="M3611" s="0" t="str">
        <f aca="false">IF(A3611="","",IF(COUNTIFS($C$2:$C$5001,C3611,$J$2:$J$5001,J3611,$A$2:$A$5001,"&lt;"&amp;A3611)=0,1,0))</f>
        <v/>
      </c>
    </row>
    <row r="3612" customFormat="false" ht="15" hidden="false" customHeight="false" outlineLevel="0" collapsed="false">
      <c r="A3612" s="27"/>
      <c r="F3612" s="28"/>
      <c r="J3612" s="0" t="str">
        <f aca="false">IF(A3612="","",YEAR(A3612))</f>
        <v/>
      </c>
      <c r="K3612" s="0" t="str">
        <f aca="false">IF(A3612="","",MONTH(A3612))</f>
        <v/>
      </c>
      <c r="L3612" s="0" t="str">
        <f aca="false">IF(B3612="","",VALUE(LEFT(B3612,2)))</f>
        <v/>
      </c>
      <c r="M3612" s="0" t="str">
        <f aca="false">IF(A3612="","",IF(COUNTIFS($C$2:$C$5001,C3612,$J$2:$J$5001,J3612,$A$2:$A$5001,"&lt;"&amp;A3612)=0,1,0))</f>
        <v/>
      </c>
    </row>
    <row r="3613" customFormat="false" ht="15" hidden="false" customHeight="false" outlineLevel="0" collapsed="false">
      <c r="A3613" s="27"/>
      <c r="F3613" s="28"/>
      <c r="J3613" s="0" t="str">
        <f aca="false">IF(A3613="","",YEAR(A3613))</f>
        <v/>
      </c>
      <c r="K3613" s="0" t="str">
        <f aca="false">IF(A3613="","",MONTH(A3613))</f>
        <v/>
      </c>
      <c r="L3613" s="0" t="str">
        <f aca="false">IF(B3613="","",VALUE(LEFT(B3613,2)))</f>
        <v/>
      </c>
      <c r="M3613" s="0" t="str">
        <f aca="false">IF(A3613="","",IF(COUNTIFS($C$2:$C$5001,C3613,$J$2:$J$5001,J3613,$A$2:$A$5001,"&lt;"&amp;A3613)=0,1,0))</f>
        <v/>
      </c>
    </row>
    <row r="3614" customFormat="false" ht="15" hidden="false" customHeight="false" outlineLevel="0" collapsed="false">
      <c r="A3614" s="27"/>
      <c r="F3614" s="28"/>
      <c r="J3614" s="0" t="str">
        <f aca="false">IF(A3614="","",YEAR(A3614))</f>
        <v/>
      </c>
      <c r="K3614" s="0" t="str">
        <f aca="false">IF(A3614="","",MONTH(A3614))</f>
        <v/>
      </c>
      <c r="L3614" s="0" t="str">
        <f aca="false">IF(B3614="","",VALUE(LEFT(B3614,2)))</f>
        <v/>
      </c>
      <c r="M3614" s="0" t="str">
        <f aca="false">IF(A3614="","",IF(COUNTIFS($C$2:$C$5001,C3614,$J$2:$J$5001,J3614,$A$2:$A$5001,"&lt;"&amp;A3614)=0,1,0))</f>
        <v/>
      </c>
    </row>
    <row r="3615" customFormat="false" ht="15" hidden="false" customHeight="false" outlineLevel="0" collapsed="false">
      <c r="A3615" s="27"/>
      <c r="F3615" s="28"/>
      <c r="J3615" s="0" t="str">
        <f aca="false">IF(A3615="","",YEAR(A3615))</f>
        <v/>
      </c>
      <c r="K3615" s="0" t="str">
        <f aca="false">IF(A3615="","",MONTH(A3615))</f>
        <v/>
      </c>
      <c r="L3615" s="0" t="str">
        <f aca="false">IF(B3615="","",VALUE(LEFT(B3615,2)))</f>
        <v/>
      </c>
      <c r="M3615" s="0" t="str">
        <f aca="false">IF(A3615="","",IF(COUNTIFS($C$2:$C$5001,C3615,$J$2:$J$5001,J3615,$A$2:$A$5001,"&lt;"&amp;A3615)=0,1,0))</f>
        <v/>
      </c>
    </row>
    <row r="3616" customFormat="false" ht="15" hidden="false" customHeight="false" outlineLevel="0" collapsed="false">
      <c r="A3616" s="27"/>
      <c r="F3616" s="28"/>
      <c r="J3616" s="0" t="str">
        <f aca="false">IF(A3616="","",YEAR(A3616))</f>
        <v/>
      </c>
      <c r="K3616" s="0" t="str">
        <f aca="false">IF(A3616="","",MONTH(A3616))</f>
        <v/>
      </c>
      <c r="L3616" s="0" t="str">
        <f aca="false">IF(B3616="","",VALUE(LEFT(B3616,2)))</f>
        <v/>
      </c>
      <c r="M3616" s="0" t="str">
        <f aca="false">IF(A3616="","",IF(COUNTIFS($C$2:$C$5001,C3616,$J$2:$J$5001,J3616,$A$2:$A$5001,"&lt;"&amp;A3616)=0,1,0))</f>
        <v/>
      </c>
    </row>
    <row r="3617" customFormat="false" ht="15" hidden="false" customHeight="false" outlineLevel="0" collapsed="false">
      <c r="A3617" s="27"/>
      <c r="F3617" s="28"/>
      <c r="J3617" s="0" t="str">
        <f aca="false">IF(A3617="","",YEAR(A3617))</f>
        <v/>
      </c>
      <c r="K3617" s="0" t="str">
        <f aca="false">IF(A3617="","",MONTH(A3617))</f>
        <v/>
      </c>
      <c r="L3617" s="0" t="str">
        <f aca="false">IF(B3617="","",VALUE(LEFT(B3617,2)))</f>
        <v/>
      </c>
      <c r="M3617" s="0" t="str">
        <f aca="false">IF(A3617="","",IF(COUNTIFS($C$2:$C$5001,C3617,$J$2:$J$5001,J3617,$A$2:$A$5001,"&lt;"&amp;A3617)=0,1,0))</f>
        <v/>
      </c>
    </row>
    <row r="3618" customFormat="false" ht="15" hidden="false" customHeight="false" outlineLevel="0" collapsed="false">
      <c r="A3618" s="27"/>
      <c r="F3618" s="28"/>
      <c r="J3618" s="0" t="str">
        <f aca="false">IF(A3618="","",YEAR(A3618))</f>
        <v/>
      </c>
      <c r="K3618" s="0" t="str">
        <f aca="false">IF(A3618="","",MONTH(A3618))</f>
        <v/>
      </c>
      <c r="L3618" s="0" t="str">
        <f aca="false">IF(B3618="","",VALUE(LEFT(B3618,2)))</f>
        <v/>
      </c>
      <c r="M3618" s="0" t="str">
        <f aca="false">IF(A3618="","",IF(COUNTIFS($C$2:$C$5001,C3618,$J$2:$J$5001,J3618,$A$2:$A$5001,"&lt;"&amp;A3618)=0,1,0))</f>
        <v/>
      </c>
    </row>
    <row r="3619" customFormat="false" ht="15" hidden="false" customHeight="false" outlineLevel="0" collapsed="false">
      <c r="A3619" s="27"/>
      <c r="F3619" s="28"/>
      <c r="J3619" s="0" t="str">
        <f aca="false">IF(A3619="","",YEAR(A3619))</f>
        <v/>
      </c>
      <c r="K3619" s="0" t="str">
        <f aca="false">IF(A3619="","",MONTH(A3619))</f>
        <v/>
      </c>
      <c r="L3619" s="0" t="str">
        <f aca="false">IF(B3619="","",VALUE(LEFT(B3619,2)))</f>
        <v/>
      </c>
      <c r="M3619" s="0" t="str">
        <f aca="false">IF(A3619="","",IF(COUNTIFS($C$2:$C$5001,C3619,$J$2:$J$5001,J3619,$A$2:$A$5001,"&lt;"&amp;A3619)=0,1,0))</f>
        <v/>
      </c>
    </row>
    <row r="3620" customFormat="false" ht="15" hidden="false" customHeight="false" outlineLevel="0" collapsed="false">
      <c r="A3620" s="27"/>
      <c r="F3620" s="28"/>
      <c r="J3620" s="0" t="str">
        <f aca="false">IF(A3620="","",YEAR(A3620))</f>
        <v/>
      </c>
      <c r="K3620" s="0" t="str">
        <f aca="false">IF(A3620="","",MONTH(A3620))</f>
        <v/>
      </c>
      <c r="L3620" s="0" t="str">
        <f aca="false">IF(B3620="","",VALUE(LEFT(B3620,2)))</f>
        <v/>
      </c>
      <c r="M3620" s="0" t="str">
        <f aca="false">IF(A3620="","",IF(COUNTIFS($C$2:$C$5001,C3620,$J$2:$J$5001,J3620,$A$2:$A$5001,"&lt;"&amp;A3620)=0,1,0))</f>
        <v/>
      </c>
    </row>
    <row r="3621" customFormat="false" ht="15" hidden="false" customHeight="false" outlineLevel="0" collapsed="false">
      <c r="A3621" s="27"/>
      <c r="F3621" s="28"/>
      <c r="J3621" s="0" t="str">
        <f aca="false">IF(A3621="","",YEAR(A3621))</f>
        <v/>
      </c>
      <c r="K3621" s="0" t="str">
        <f aca="false">IF(A3621="","",MONTH(A3621))</f>
        <v/>
      </c>
      <c r="L3621" s="0" t="str">
        <f aca="false">IF(B3621="","",VALUE(LEFT(B3621,2)))</f>
        <v/>
      </c>
      <c r="M3621" s="0" t="str">
        <f aca="false">IF(A3621="","",IF(COUNTIFS($C$2:$C$5001,C3621,$J$2:$J$5001,J3621,$A$2:$A$5001,"&lt;"&amp;A3621)=0,1,0))</f>
        <v/>
      </c>
    </row>
    <row r="3622" customFormat="false" ht="15" hidden="false" customHeight="false" outlineLevel="0" collapsed="false">
      <c r="A3622" s="27"/>
      <c r="F3622" s="28"/>
      <c r="J3622" s="0" t="str">
        <f aca="false">IF(A3622="","",YEAR(A3622))</f>
        <v/>
      </c>
      <c r="K3622" s="0" t="str">
        <f aca="false">IF(A3622="","",MONTH(A3622))</f>
        <v/>
      </c>
      <c r="L3622" s="0" t="str">
        <f aca="false">IF(B3622="","",VALUE(LEFT(B3622,2)))</f>
        <v/>
      </c>
      <c r="M3622" s="0" t="str">
        <f aca="false">IF(A3622="","",IF(COUNTIFS($C$2:$C$5001,C3622,$J$2:$J$5001,J3622,$A$2:$A$5001,"&lt;"&amp;A3622)=0,1,0))</f>
        <v/>
      </c>
    </row>
    <row r="3623" customFormat="false" ht="15" hidden="false" customHeight="false" outlineLevel="0" collapsed="false">
      <c r="A3623" s="27"/>
      <c r="F3623" s="28"/>
      <c r="J3623" s="0" t="str">
        <f aca="false">IF(A3623="","",YEAR(A3623))</f>
        <v/>
      </c>
      <c r="K3623" s="0" t="str">
        <f aca="false">IF(A3623="","",MONTH(A3623))</f>
        <v/>
      </c>
      <c r="L3623" s="0" t="str">
        <f aca="false">IF(B3623="","",VALUE(LEFT(B3623,2)))</f>
        <v/>
      </c>
      <c r="M3623" s="0" t="str">
        <f aca="false">IF(A3623="","",IF(COUNTIFS($C$2:$C$5001,C3623,$J$2:$J$5001,J3623,$A$2:$A$5001,"&lt;"&amp;A3623)=0,1,0))</f>
        <v/>
      </c>
    </row>
    <row r="3624" customFormat="false" ht="15" hidden="false" customHeight="false" outlineLevel="0" collapsed="false">
      <c r="A3624" s="27"/>
      <c r="F3624" s="28"/>
      <c r="J3624" s="0" t="str">
        <f aca="false">IF(A3624="","",YEAR(A3624))</f>
        <v/>
      </c>
      <c r="K3624" s="0" t="str">
        <f aca="false">IF(A3624="","",MONTH(A3624))</f>
        <v/>
      </c>
      <c r="L3624" s="0" t="str">
        <f aca="false">IF(B3624="","",VALUE(LEFT(B3624,2)))</f>
        <v/>
      </c>
      <c r="M3624" s="0" t="str">
        <f aca="false">IF(A3624="","",IF(COUNTIFS($C$2:$C$5001,C3624,$J$2:$J$5001,J3624,$A$2:$A$5001,"&lt;"&amp;A3624)=0,1,0))</f>
        <v/>
      </c>
    </row>
    <row r="3625" customFormat="false" ht="15" hidden="false" customHeight="false" outlineLevel="0" collapsed="false">
      <c r="A3625" s="27"/>
      <c r="F3625" s="28"/>
      <c r="J3625" s="0" t="str">
        <f aca="false">IF(A3625="","",YEAR(A3625))</f>
        <v/>
      </c>
      <c r="K3625" s="0" t="str">
        <f aca="false">IF(A3625="","",MONTH(A3625))</f>
        <v/>
      </c>
      <c r="L3625" s="0" t="str">
        <f aca="false">IF(B3625="","",VALUE(LEFT(B3625,2)))</f>
        <v/>
      </c>
      <c r="M3625" s="0" t="str">
        <f aca="false">IF(A3625="","",IF(COUNTIFS($C$2:$C$5001,C3625,$J$2:$J$5001,J3625,$A$2:$A$5001,"&lt;"&amp;A3625)=0,1,0))</f>
        <v/>
      </c>
    </row>
    <row r="3626" customFormat="false" ht="15" hidden="false" customHeight="false" outlineLevel="0" collapsed="false">
      <c r="A3626" s="27"/>
      <c r="F3626" s="28"/>
      <c r="J3626" s="0" t="str">
        <f aca="false">IF(A3626="","",YEAR(A3626))</f>
        <v/>
      </c>
      <c r="K3626" s="0" t="str">
        <f aca="false">IF(A3626="","",MONTH(A3626))</f>
        <v/>
      </c>
      <c r="L3626" s="0" t="str">
        <f aca="false">IF(B3626="","",VALUE(LEFT(B3626,2)))</f>
        <v/>
      </c>
      <c r="M3626" s="0" t="str">
        <f aca="false">IF(A3626="","",IF(COUNTIFS($C$2:$C$5001,C3626,$J$2:$J$5001,J3626,$A$2:$A$5001,"&lt;"&amp;A3626)=0,1,0))</f>
        <v/>
      </c>
    </row>
    <row r="3627" customFormat="false" ht="15" hidden="false" customHeight="false" outlineLevel="0" collapsed="false">
      <c r="A3627" s="27"/>
      <c r="F3627" s="28"/>
      <c r="J3627" s="0" t="str">
        <f aca="false">IF(A3627="","",YEAR(A3627))</f>
        <v/>
      </c>
      <c r="K3627" s="0" t="str">
        <f aca="false">IF(A3627="","",MONTH(A3627))</f>
        <v/>
      </c>
      <c r="L3627" s="0" t="str">
        <f aca="false">IF(B3627="","",VALUE(LEFT(B3627,2)))</f>
        <v/>
      </c>
      <c r="M3627" s="0" t="str">
        <f aca="false">IF(A3627="","",IF(COUNTIFS($C$2:$C$5001,C3627,$J$2:$J$5001,J3627,$A$2:$A$5001,"&lt;"&amp;A3627)=0,1,0))</f>
        <v/>
      </c>
    </row>
    <row r="3628" customFormat="false" ht="15" hidden="false" customHeight="false" outlineLevel="0" collapsed="false">
      <c r="A3628" s="27"/>
      <c r="F3628" s="28"/>
      <c r="J3628" s="0" t="str">
        <f aca="false">IF(A3628="","",YEAR(A3628))</f>
        <v/>
      </c>
      <c r="K3628" s="0" t="str">
        <f aca="false">IF(A3628="","",MONTH(A3628))</f>
        <v/>
      </c>
      <c r="L3628" s="0" t="str">
        <f aca="false">IF(B3628="","",VALUE(LEFT(B3628,2)))</f>
        <v/>
      </c>
      <c r="M3628" s="0" t="str">
        <f aca="false">IF(A3628="","",IF(COUNTIFS($C$2:$C$5001,C3628,$J$2:$J$5001,J3628,$A$2:$A$5001,"&lt;"&amp;A3628)=0,1,0))</f>
        <v/>
      </c>
    </row>
    <row r="3629" customFormat="false" ht="15" hidden="false" customHeight="false" outlineLevel="0" collapsed="false">
      <c r="A3629" s="27"/>
      <c r="F3629" s="28"/>
      <c r="J3629" s="0" t="str">
        <f aca="false">IF(A3629="","",YEAR(A3629))</f>
        <v/>
      </c>
      <c r="K3629" s="0" t="str">
        <f aca="false">IF(A3629="","",MONTH(A3629))</f>
        <v/>
      </c>
      <c r="L3629" s="0" t="str">
        <f aca="false">IF(B3629="","",VALUE(LEFT(B3629,2)))</f>
        <v/>
      </c>
      <c r="M3629" s="0" t="str">
        <f aca="false">IF(A3629="","",IF(COUNTIFS($C$2:$C$5001,C3629,$J$2:$J$5001,J3629,$A$2:$A$5001,"&lt;"&amp;A3629)=0,1,0))</f>
        <v/>
      </c>
    </row>
    <row r="3630" customFormat="false" ht="15" hidden="false" customHeight="false" outlineLevel="0" collapsed="false">
      <c r="A3630" s="27"/>
      <c r="F3630" s="28"/>
      <c r="J3630" s="0" t="str">
        <f aca="false">IF(A3630="","",YEAR(A3630))</f>
        <v/>
      </c>
      <c r="K3630" s="0" t="str">
        <f aca="false">IF(A3630="","",MONTH(A3630))</f>
        <v/>
      </c>
      <c r="L3630" s="0" t="str">
        <f aca="false">IF(B3630="","",VALUE(LEFT(B3630,2)))</f>
        <v/>
      </c>
      <c r="M3630" s="0" t="str">
        <f aca="false">IF(A3630="","",IF(COUNTIFS($C$2:$C$5001,C3630,$J$2:$J$5001,J3630,$A$2:$A$5001,"&lt;"&amp;A3630)=0,1,0))</f>
        <v/>
      </c>
    </row>
    <row r="3631" customFormat="false" ht="15" hidden="false" customHeight="false" outlineLevel="0" collapsed="false">
      <c r="A3631" s="27"/>
      <c r="F3631" s="28"/>
      <c r="J3631" s="0" t="str">
        <f aca="false">IF(A3631="","",YEAR(A3631))</f>
        <v/>
      </c>
      <c r="K3631" s="0" t="str">
        <f aca="false">IF(A3631="","",MONTH(A3631))</f>
        <v/>
      </c>
      <c r="L3631" s="0" t="str">
        <f aca="false">IF(B3631="","",VALUE(LEFT(B3631,2)))</f>
        <v/>
      </c>
      <c r="M3631" s="0" t="str">
        <f aca="false">IF(A3631="","",IF(COUNTIFS($C$2:$C$5001,C3631,$J$2:$J$5001,J3631,$A$2:$A$5001,"&lt;"&amp;A3631)=0,1,0))</f>
        <v/>
      </c>
    </row>
    <row r="3632" customFormat="false" ht="15" hidden="false" customHeight="false" outlineLevel="0" collapsed="false">
      <c r="A3632" s="27"/>
      <c r="F3632" s="28"/>
      <c r="J3632" s="0" t="str">
        <f aca="false">IF(A3632="","",YEAR(A3632))</f>
        <v/>
      </c>
      <c r="K3632" s="0" t="str">
        <f aca="false">IF(A3632="","",MONTH(A3632))</f>
        <v/>
      </c>
      <c r="L3632" s="0" t="str">
        <f aca="false">IF(B3632="","",VALUE(LEFT(B3632,2)))</f>
        <v/>
      </c>
      <c r="M3632" s="0" t="str">
        <f aca="false">IF(A3632="","",IF(COUNTIFS($C$2:$C$5001,C3632,$J$2:$J$5001,J3632,$A$2:$A$5001,"&lt;"&amp;A3632)=0,1,0))</f>
        <v/>
      </c>
    </row>
    <row r="3633" customFormat="false" ht="15" hidden="false" customHeight="false" outlineLevel="0" collapsed="false">
      <c r="A3633" s="27"/>
      <c r="F3633" s="28"/>
      <c r="J3633" s="0" t="str">
        <f aca="false">IF(A3633="","",YEAR(A3633))</f>
        <v/>
      </c>
      <c r="K3633" s="0" t="str">
        <f aca="false">IF(A3633="","",MONTH(A3633))</f>
        <v/>
      </c>
      <c r="L3633" s="0" t="str">
        <f aca="false">IF(B3633="","",VALUE(LEFT(B3633,2)))</f>
        <v/>
      </c>
      <c r="M3633" s="0" t="str">
        <f aca="false">IF(A3633="","",IF(COUNTIFS($C$2:$C$5001,C3633,$J$2:$J$5001,J3633,$A$2:$A$5001,"&lt;"&amp;A3633)=0,1,0))</f>
        <v/>
      </c>
    </row>
    <row r="3634" customFormat="false" ht="15" hidden="false" customHeight="false" outlineLevel="0" collapsed="false">
      <c r="A3634" s="27"/>
      <c r="F3634" s="28"/>
      <c r="J3634" s="0" t="str">
        <f aca="false">IF(A3634="","",YEAR(A3634))</f>
        <v/>
      </c>
      <c r="K3634" s="0" t="str">
        <f aca="false">IF(A3634="","",MONTH(A3634))</f>
        <v/>
      </c>
      <c r="L3634" s="0" t="str">
        <f aca="false">IF(B3634="","",VALUE(LEFT(B3634,2)))</f>
        <v/>
      </c>
      <c r="M3634" s="0" t="str">
        <f aca="false">IF(A3634="","",IF(COUNTIFS($C$2:$C$5001,C3634,$J$2:$J$5001,J3634,$A$2:$A$5001,"&lt;"&amp;A3634)=0,1,0))</f>
        <v/>
      </c>
    </row>
    <row r="3635" customFormat="false" ht="15" hidden="false" customHeight="false" outlineLevel="0" collapsed="false">
      <c r="A3635" s="27"/>
      <c r="F3635" s="28"/>
      <c r="J3635" s="0" t="str">
        <f aca="false">IF(A3635="","",YEAR(A3635))</f>
        <v/>
      </c>
      <c r="K3635" s="0" t="str">
        <f aca="false">IF(A3635="","",MONTH(A3635))</f>
        <v/>
      </c>
      <c r="L3635" s="0" t="str">
        <f aca="false">IF(B3635="","",VALUE(LEFT(B3635,2)))</f>
        <v/>
      </c>
      <c r="M3635" s="0" t="str">
        <f aca="false">IF(A3635="","",IF(COUNTIFS($C$2:$C$5001,C3635,$J$2:$J$5001,J3635,$A$2:$A$5001,"&lt;"&amp;A3635)=0,1,0))</f>
        <v/>
      </c>
    </row>
    <row r="3636" customFormat="false" ht="15" hidden="false" customHeight="false" outlineLevel="0" collapsed="false">
      <c r="A3636" s="27"/>
      <c r="F3636" s="28"/>
      <c r="J3636" s="0" t="str">
        <f aca="false">IF(A3636="","",YEAR(A3636))</f>
        <v/>
      </c>
      <c r="K3636" s="0" t="str">
        <f aca="false">IF(A3636="","",MONTH(A3636))</f>
        <v/>
      </c>
      <c r="L3636" s="0" t="str">
        <f aca="false">IF(B3636="","",VALUE(LEFT(B3636,2)))</f>
        <v/>
      </c>
      <c r="M3636" s="0" t="str">
        <f aca="false">IF(A3636="","",IF(COUNTIFS($C$2:$C$5001,C3636,$J$2:$J$5001,J3636,$A$2:$A$5001,"&lt;"&amp;A3636)=0,1,0))</f>
        <v/>
      </c>
    </row>
    <row r="3637" customFormat="false" ht="15" hidden="false" customHeight="false" outlineLevel="0" collapsed="false">
      <c r="A3637" s="27"/>
      <c r="F3637" s="28"/>
      <c r="J3637" s="0" t="str">
        <f aca="false">IF(A3637="","",YEAR(A3637))</f>
        <v/>
      </c>
      <c r="K3637" s="0" t="str">
        <f aca="false">IF(A3637="","",MONTH(A3637))</f>
        <v/>
      </c>
      <c r="L3637" s="0" t="str">
        <f aca="false">IF(B3637="","",VALUE(LEFT(B3637,2)))</f>
        <v/>
      </c>
      <c r="M3637" s="0" t="str">
        <f aca="false">IF(A3637="","",IF(COUNTIFS($C$2:$C$5001,C3637,$J$2:$J$5001,J3637,$A$2:$A$5001,"&lt;"&amp;A3637)=0,1,0))</f>
        <v/>
      </c>
    </row>
    <row r="3638" customFormat="false" ht="15" hidden="false" customHeight="false" outlineLevel="0" collapsed="false">
      <c r="A3638" s="27"/>
      <c r="F3638" s="28"/>
      <c r="J3638" s="0" t="str">
        <f aca="false">IF(A3638="","",YEAR(A3638))</f>
        <v/>
      </c>
      <c r="K3638" s="0" t="str">
        <f aca="false">IF(A3638="","",MONTH(A3638))</f>
        <v/>
      </c>
      <c r="L3638" s="0" t="str">
        <f aca="false">IF(B3638="","",VALUE(LEFT(B3638,2)))</f>
        <v/>
      </c>
      <c r="M3638" s="0" t="str">
        <f aca="false">IF(A3638="","",IF(COUNTIFS($C$2:$C$5001,C3638,$J$2:$J$5001,J3638,$A$2:$A$5001,"&lt;"&amp;A3638)=0,1,0))</f>
        <v/>
      </c>
    </row>
    <row r="3639" customFormat="false" ht="15" hidden="false" customHeight="false" outlineLevel="0" collapsed="false">
      <c r="A3639" s="27"/>
      <c r="F3639" s="28"/>
      <c r="J3639" s="0" t="str">
        <f aca="false">IF(A3639="","",YEAR(A3639))</f>
        <v/>
      </c>
      <c r="K3639" s="0" t="str">
        <f aca="false">IF(A3639="","",MONTH(A3639))</f>
        <v/>
      </c>
      <c r="L3639" s="0" t="str">
        <f aca="false">IF(B3639="","",VALUE(LEFT(B3639,2)))</f>
        <v/>
      </c>
      <c r="M3639" s="0" t="str">
        <f aca="false">IF(A3639="","",IF(COUNTIFS($C$2:$C$5001,C3639,$J$2:$J$5001,J3639,$A$2:$A$5001,"&lt;"&amp;A3639)=0,1,0))</f>
        <v/>
      </c>
    </row>
    <row r="3640" customFormat="false" ht="15" hidden="false" customHeight="false" outlineLevel="0" collapsed="false">
      <c r="A3640" s="27"/>
      <c r="F3640" s="28"/>
      <c r="J3640" s="0" t="str">
        <f aca="false">IF(A3640="","",YEAR(A3640))</f>
        <v/>
      </c>
      <c r="K3640" s="0" t="str">
        <f aca="false">IF(A3640="","",MONTH(A3640))</f>
        <v/>
      </c>
      <c r="L3640" s="0" t="str">
        <f aca="false">IF(B3640="","",VALUE(LEFT(B3640,2)))</f>
        <v/>
      </c>
      <c r="M3640" s="0" t="str">
        <f aca="false">IF(A3640="","",IF(COUNTIFS($C$2:$C$5001,C3640,$J$2:$J$5001,J3640,$A$2:$A$5001,"&lt;"&amp;A3640)=0,1,0))</f>
        <v/>
      </c>
    </row>
    <row r="3641" customFormat="false" ht="15" hidden="false" customHeight="false" outlineLevel="0" collapsed="false">
      <c r="A3641" s="27"/>
      <c r="F3641" s="28"/>
      <c r="J3641" s="0" t="str">
        <f aca="false">IF(A3641="","",YEAR(A3641))</f>
        <v/>
      </c>
      <c r="K3641" s="0" t="str">
        <f aca="false">IF(A3641="","",MONTH(A3641))</f>
        <v/>
      </c>
      <c r="L3641" s="0" t="str">
        <f aca="false">IF(B3641="","",VALUE(LEFT(B3641,2)))</f>
        <v/>
      </c>
      <c r="M3641" s="0" t="str">
        <f aca="false">IF(A3641="","",IF(COUNTIFS($C$2:$C$5001,C3641,$J$2:$J$5001,J3641,$A$2:$A$5001,"&lt;"&amp;A3641)=0,1,0))</f>
        <v/>
      </c>
    </row>
    <row r="3642" customFormat="false" ht="15" hidden="false" customHeight="false" outlineLevel="0" collapsed="false">
      <c r="A3642" s="27"/>
      <c r="F3642" s="28"/>
      <c r="J3642" s="0" t="str">
        <f aca="false">IF(A3642="","",YEAR(A3642))</f>
        <v/>
      </c>
      <c r="K3642" s="0" t="str">
        <f aca="false">IF(A3642="","",MONTH(A3642))</f>
        <v/>
      </c>
      <c r="L3642" s="0" t="str">
        <f aca="false">IF(B3642="","",VALUE(LEFT(B3642,2)))</f>
        <v/>
      </c>
      <c r="M3642" s="0" t="str">
        <f aca="false">IF(A3642="","",IF(COUNTIFS($C$2:$C$5001,C3642,$J$2:$J$5001,J3642,$A$2:$A$5001,"&lt;"&amp;A3642)=0,1,0))</f>
        <v/>
      </c>
    </row>
    <row r="3643" customFormat="false" ht="15" hidden="false" customHeight="false" outlineLevel="0" collapsed="false">
      <c r="A3643" s="27"/>
      <c r="F3643" s="28"/>
      <c r="J3643" s="0" t="str">
        <f aca="false">IF(A3643="","",YEAR(A3643))</f>
        <v/>
      </c>
      <c r="K3643" s="0" t="str">
        <f aca="false">IF(A3643="","",MONTH(A3643))</f>
        <v/>
      </c>
      <c r="L3643" s="0" t="str">
        <f aca="false">IF(B3643="","",VALUE(LEFT(B3643,2)))</f>
        <v/>
      </c>
      <c r="M3643" s="0" t="str">
        <f aca="false">IF(A3643="","",IF(COUNTIFS($C$2:$C$5001,C3643,$J$2:$J$5001,J3643,$A$2:$A$5001,"&lt;"&amp;A3643)=0,1,0))</f>
        <v/>
      </c>
    </row>
    <row r="3644" customFormat="false" ht="15" hidden="false" customHeight="false" outlineLevel="0" collapsed="false">
      <c r="A3644" s="27"/>
      <c r="F3644" s="28"/>
      <c r="J3644" s="0" t="str">
        <f aca="false">IF(A3644="","",YEAR(A3644))</f>
        <v/>
      </c>
      <c r="K3644" s="0" t="str">
        <f aca="false">IF(A3644="","",MONTH(A3644))</f>
        <v/>
      </c>
      <c r="L3644" s="0" t="str">
        <f aca="false">IF(B3644="","",VALUE(LEFT(B3644,2)))</f>
        <v/>
      </c>
      <c r="M3644" s="0" t="str">
        <f aca="false">IF(A3644="","",IF(COUNTIFS($C$2:$C$5001,C3644,$J$2:$J$5001,J3644,$A$2:$A$5001,"&lt;"&amp;A3644)=0,1,0))</f>
        <v/>
      </c>
    </row>
    <row r="3645" customFormat="false" ht="15" hidden="false" customHeight="false" outlineLevel="0" collapsed="false">
      <c r="A3645" s="27"/>
      <c r="F3645" s="28"/>
      <c r="J3645" s="0" t="str">
        <f aca="false">IF(A3645="","",YEAR(A3645))</f>
        <v/>
      </c>
      <c r="K3645" s="0" t="str">
        <f aca="false">IF(A3645="","",MONTH(A3645))</f>
        <v/>
      </c>
      <c r="L3645" s="0" t="str">
        <f aca="false">IF(B3645="","",VALUE(LEFT(B3645,2)))</f>
        <v/>
      </c>
      <c r="M3645" s="0" t="str">
        <f aca="false">IF(A3645="","",IF(COUNTIFS($C$2:$C$5001,C3645,$J$2:$J$5001,J3645,$A$2:$A$5001,"&lt;"&amp;A3645)=0,1,0))</f>
        <v/>
      </c>
    </row>
    <row r="3646" customFormat="false" ht="15" hidden="false" customHeight="false" outlineLevel="0" collapsed="false">
      <c r="A3646" s="27"/>
      <c r="F3646" s="28"/>
      <c r="J3646" s="0" t="str">
        <f aca="false">IF(A3646="","",YEAR(A3646))</f>
        <v/>
      </c>
      <c r="K3646" s="0" t="str">
        <f aca="false">IF(A3646="","",MONTH(A3646))</f>
        <v/>
      </c>
      <c r="L3646" s="0" t="str">
        <f aca="false">IF(B3646="","",VALUE(LEFT(B3646,2)))</f>
        <v/>
      </c>
      <c r="M3646" s="0" t="str">
        <f aca="false">IF(A3646="","",IF(COUNTIFS($C$2:$C$5001,C3646,$J$2:$J$5001,J3646,$A$2:$A$5001,"&lt;"&amp;A3646)=0,1,0))</f>
        <v/>
      </c>
    </row>
    <row r="3647" customFormat="false" ht="15" hidden="false" customHeight="false" outlineLevel="0" collapsed="false">
      <c r="A3647" s="27"/>
      <c r="F3647" s="28"/>
      <c r="J3647" s="0" t="str">
        <f aca="false">IF(A3647="","",YEAR(A3647))</f>
        <v/>
      </c>
      <c r="K3647" s="0" t="str">
        <f aca="false">IF(A3647="","",MONTH(A3647))</f>
        <v/>
      </c>
      <c r="L3647" s="0" t="str">
        <f aca="false">IF(B3647="","",VALUE(LEFT(B3647,2)))</f>
        <v/>
      </c>
      <c r="M3647" s="0" t="str">
        <f aca="false">IF(A3647="","",IF(COUNTIFS($C$2:$C$5001,C3647,$J$2:$J$5001,J3647,$A$2:$A$5001,"&lt;"&amp;A3647)=0,1,0))</f>
        <v/>
      </c>
    </row>
    <row r="3648" customFormat="false" ht="15" hidden="false" customHeight="false" outlineLevel="0" collapsed="false">
      <c r="A3648" s="27"/>
      <c r="F3648" s="28"/>
      <c r="J3648" s="0" t="str">
        <f aca="false">IF(A3648="","",YEAR(A3648))</f>
        <v/>
      </c>
      <c r="K3648" s="0" t="str">
        <f aca="false">IF(A3648="","",MONTH(A3648))</f>
        <v/>
      </c>
      <c r="L3648" s="0" t="str">
        <f aca="false">IF(B3648="","",VALUE(LEFT(B3648,2)))</f>
        <v/>
      </c>
      <c r="M3648" s="0" t="str">
        <f aca="false">IF(A3648="","",IF(COUNTIFS($C$2:$C$5001,C3648,$J$2:$J$5001,J3648,$A$2:$A$5001,"&lt;"&amp;A3648)=0,1,0))</f>
        <v/>
      </c>
    </row>
    <row r="3649" customFormat="false" ht="15" hidden="false" customHeight="false" outlineLevel="0" collapsed="false">
      <c r="A3649" s="27"/>
      <c r="F3649" s="28"/>
      <c r="J3649" s="0" t="str">
        <f aca="false">IF(A3649="","",YEAR(A3649))</f>
        <v/>
      </c>
      <c r="K3649" s="0" t="str">
        <f aca="false">IF(A3649="","",MONTH(A3649))</f>
        <v/>
      </c>
      <c r="L3649" s="0" t="str">
        <f aca="false">IF(B3649="","",VALUE(LEFT(B3649,2)))</f>
        <v/>
      </c>
      <c r="M3649" s="0" t="str">
        <f aca="false">IF(A3649="","",IF(COUNTIFS($C$2:$C$5001,C3649,$J$2:$J$5001,J3649,$A$2:$A$5001,"&lt;"&amp;A3649)=0,1,0))</f>
        <v/>
      </c>
    </row>
    <row r="3650" customFormat="false" ht="15" hidden="false" customHeight="false" outlineLevel="0" collapsed="false">
      <c r="A3650" s="27"/>
      <c r="F3650" s="28"/>
      <c r="J3650" s="0" t="str">
        <f aca="false">IF(A3650="","",YEAR(A3650))</f>
        <v/>
      </c>
      <c r="K3650" s="0" t="str">
        <f aca="false">IF(A3650="","",MONTH(A3650))</f>
        <v/>
      </c>
      <c r="L3650" s="0" t="str">
        <f aca="false">IF(B3650="","",VALUE(LEFT(B3650,2)))</f>
        <v/>
      </c>
      <c r="M3650" s="0" t="str">
        <f aca="false">IF(A3650="","",IF(COUNTIFS($C$2:$C$5001,C3650,$J$2:$J$5001,J3650,$A$2:$A$5001,"&lt;"&amp;A3650)=0,1,0))</f>
        <v/>
      </c>
    </row>
    <row r="3651" customFormat="false" ht="15" hidden="false" customHeight="false" outlineLevel="0" collapsed="false">
      <c r="A3651" s="27"/>
      <c r="F3651" s="28"/>
      <c r="J3651" s="0" t="str">
        <f aca="false">IF(A3651="","",YEAR(A3651))</f>
        <v/>
      </c>
      <c r="K3651" s="0" t="str">
        <f aca="false">IF(A3651="","",MONTH(A3651))</f>
        <v/>
      </c>
      <c r="L3651" s="0" t="str">
        <f aca="false">IF(B3651="","",VALUE(LEFT(B3651,2)))</f>
        <v/>
      </c>
      <c r="M3651" s="0" t="str">
        <f aca="false">IF(A3651="","",IF(COUNTIFS($C$2:$C$5001,C3651,$J$2:$J$5001,J3651,$A$2:$A$5001,"&lt;"&amp;A3651)=0,1,0))</f>
        <v/>
      </c>
    </row>
    <row r="3652" customFormat="false" ht="15" hidden="false" customHeight="false" outlineLevel="0" collapsed="false">
      <c r="A3652" s="27"/>
      <c r="F3652" s="28"/>
      <c r="J3652" s="0" t="str">
        <f aca="false">IF(A3652="","",YEAR(A3652))</f>
        <v/>
      </c>
      <c r="K3652" s="0" t="str">
        <f aca="false">IF(A3652="","",MONTH(A3652))</f>
        <v/>
      </c>
      <c r="L3652" s="0" t="str">
        <f aca="false">IF(B3652="","",VALUE(LEFT(B3652,2)))</f>
        <v/>
      </c>
      <c r="M3652" s="0" t="str">
        <f aca="false">IF(A3652="","",IF(COUNTIFS($C$2:$C$5001,C3652,$J$2:$J$5001,J3652,$A$2:$A$5001,"&lt;"&amp;A3652)=0,1,0))</f>
        <v/>
      </c>
    </row>
    <row r="3653" customFormat="false" ht="15" hidden="false" customHeight="false" outlineLevel="0" collapsed="false">
      <c r="A3653" s="27"/>
      <c r="F3653" s="28"/>
      <c r="J3653" s="0" t="str">
        <f aca="false">IF(A3653="","",YEAR(A3653))</f>
        <v/>
      </c>
      <c r="K3653" s="0" t="str">
        <f aca="false">IF(A3653="","",MONTH(A3653))</f>
        <v/>
      </c>
      <c r="L3653" s="0" t="str">
        <f aca="false">IF(B3653="","",VALUE(LEFT(B3653,2)))</f>
        <v/>
      </c>
      <c r="M3653" s="0" t="str">
        <f aca="false">IF(A3653="","",IF(COUNTIFS($C$2:$C$5001,C3653,$J$2:$J$5001,J3653,$A$2:$A$5001,"&lt;"&amp;A3653)=0,1,0))</f>
        <v/>
      </c>
    </row>
    <row r="3654" customFormat="false" ht="15" hidden="false" customHeight="false" outlineLevel="0" collapsed="false">
      <c r="A3654" s="27"/>
      <c r="F3654" s="28"/>
      <c r="J3654" s="0" t="str">
        <f aca="false">IF(A3654="","",YEAR(A3654))</f>
        <v/>
      </c>
      <c r="K3654" s="0" t="str">
        <f aca="false">IF(A3654="","",MONTH(A3654))</f>
        <v/>
      </c>
      <c r="L3654" s="0" t="str">
        <f aca="false">IF(B3654="","",VALUE(LEFT(B3654,2)))</f>
        <v/>
      </c>
      <c r="M3654" s="0" t="str">
        <f aca="false">IF(A3654="","",IF(COUNTIFS($C$2:$C$5001,C3654,$J$2:$J$5001,J3654,$A$2:$A$5001,"&lt;"&amp;A3654)=0,1,0))</f>
        <v/>
      </c>
    </row>
    <row r="3655" customFormat="false" ht="15" hidden="false" customHeight="false" outlineLevel="0" collapsed="false">
      <c r="A3655" s="27"/>
      <c r="F3655" s="28"/>
      <c r="J3655" s="0" t="str">
        <f aca="false">IF(A3655="","",YEAR(A3655))</f>
        <v/>
      </c>
      <c r="K3655" s="0" t="str">
        <f aca="false">IF(A3655="","",MONTH(A3655))</f>
        <v/>
      </c>
      <c r="L3655" s="0" t="str">
        <f aca="false">IF(B3655="","",VALUE(LEFT(B3655,2)))</f>
        <v/>
      </c>
      <c r="M3655" s="0" t="str">
        <f aca="false">IF(A3655="","",IF(COUNTIFS($C$2:$C$5001,C3655,$J$2:$J$5001,J3655,$A$2:$A$5001,"&lt;"&amp;A3655)=0,1,0))</f>
        <v/>
      </c>
    </row>
    <row r="3656" customFormat="false" ht="15" hidden="false" customHeight="false" outlineLevel="0" collapsed="false">
      <c r="A3656" s="27"/>
      <c r="F3656" s="28"/>
      <c r="J3656" s="0" t="str">
        <f aca="false">IF(A3656="","",YEAR(A3656))</f>
        <v/>
      </c>
      <c r="K3656" s="0" t="str">
        <f aca="false">IF(A3656="","",MONTH(A3656))</f>
        <v/>
      </c>
      <c r="L3656" s="0" t="str">
        <f aca="false">IF(B3656="","",VALUE(LEFT(B3656,2)))</f>
        <v/>
      </c>
      <c r="M3656" s="0" t="str">
        <f aca="false">IF(A3656="","",IF(COUNTIFS($C$2:$C$5001,C3656,$J$2:$J$5001,J3656,$A$2:$A$5001,"&lt;"&amp;A3656)=0,1,0))</f>
        <v/>
      </c>
    </row>
    <row r="3657" customFormat="false" ht="15" hidden="false" customHeight="false" outlineLevel="0" collapsed="false">
      <c r="A3657" s="27"/>
      <c r="F3657" s="28"/>
      <c r="J3657" s="0" t="str">
        <f aca="false">IF(A3657="","",YEAR(A3657))</f>
        <v/>
      </c>
      <c r="K3657" s="0" t="str">
        <f aca="false">IF(A3657="","",MONTH(A3657))</f>
        <v/>
      </c>
      <c r="L3657" s="0" t="str">
        <f aca="false">IF(B3657="","",VALUE(LEFT(B3657,2)))</f>
        <v/>
      </c>
      <c r="M3657" s="0" t="str">
        <f aca="false">IF(A3657="","",IF(COUNTIFS($C$2:$C$5001,C3657,$J$2:$J$5001,J3657,$A$2:$A$5001,"&lt;"&amp;A3657)=0,1,0))</f>
        <v/>
      </c>
    </row>
    <row r="3658" customFormat="false" ht="15" hidden="false" customHeight="false" outlineLevel="0" collapsed="false">
      <c r="A3658" s="27"/>
      <c r="F3658" s="28"/>
      <c r="J3658" s="0" t="str">
        <f aca="false">IF(A3658="","",YEAR(A3658))</f>
        <v/>
      </c>
      <c r="K3658" s="0" t="str">
        <f aca="false">IF(A3658="","",MONTH(A3658))</f>
        <v/>
      </c>
      <c r="L3658" s="0" t="str">
        <f aca="false">IF(B3658="","",VALUE(LEFT(B3658,2)))</f>
        <v/>
      </c>
      <c r="M3658" s="0" t="str">
        <f aca="false">IF(A3658="","",IF(COUNTIFS($C$2:$C$5001,C3658,$J$2:$J$5001,J3658,$A$2:$A$5001,"&lt;"&amp;A3658)=0,1,0))</f>
        <v/>
      </c>
    </row>
    <row r="3659" customFormat="false" ht="15" hidden="false" customHeight="false" outlineLevel="0" collapsed="false">
      <c r="A3659" s="27"/>
      <c r="F3659" s="28"/>
      <c r="J3659" s="0" t="str">
        <f aca="false">IF(A3659="","",YEAR(A3659))</f>
        <v/>
      </c>
      <c r="K3659" s="0" t="str">
        <f aca="false">IF(A3659="","",MONTH(A3659))</f>
        <v/>
      </c>
      <c r="L3659" s="0" t="str">
        <f aca="false">IF(B3659="","",VALUE(LEFT(B3659,2)))</f>
        <v/>
      </c>
      <c r="M3659" s="0" t="str">
        <f aca="false">IF(A3659="","",IF(COUNTIFS($C$2:$C$5001,C3659,$J$2:$J$5001,J3659,$A$2:$A$5001,"&lt;"&amp;A3659)=0,1,0))</f>
        <v/>
      </c>
    </row>
    <row r="3660" customFormat="false" ht="15" hidden="false" customHeight="false" outlineLevel="0" collapsed="false">
      <c r="A3660" s="27"/>
      <c r="F3660" s="28"/>
      <c r="J3660" s="0" t="str">
        <f aca="false">IF(A3660="","",YEAR(A3660))</f>
        <v/>
      </c>
      <c r="K3660" s="0" t="str">
        <f aca="false">IF(A3660="","",MONTH(A3660))</f>
        <v/>
      </c>
      <c r="L3660" s="0" t="str">
        <f aca="false">IF(B3660="","",VALUE(LEFT(B3660,2)))</f>
        <v/>
      </c>
      <c r="M3660" s="0" t="str">
        <f aca="false">IF(A3660="","",IF(COUNTIFS($C$2:$C$5001,C3660,$J$2:$J$5001,J3660,$A$2:$A$5001,"&lt;"&amp;A3660)=0,1,0))</f>
        <v/>
      </c>
    </row>
    <row r="3661" customFormat="false" ht="15" hidden="false" customHeight="false" outlineLevel="0" collapsed="false">
      <c r="A3661" s="27"/>
      <c r="F3661" s="28"/>
      <c r="J3661" s="0" t="str">
        <f aca="false">IF(A3661="","",YEAR(A3661))</f>
        <v/>
      </c>
      <c r="K3661" s="0" t="str">
        <f aca="false">IF(A3661="","",MONTH(A3661))</f>
        <v/>
      </c>
      <c r="L3661" s="0" t="str">
        <f aca="false">IF(B3661="","",VALUE(LEFT(B3661,2)))</f>
        <v/>
      </c>
      <c r="M3661" s="0" t="str">
        <f aca="false">IF(A3661="","",IF(COUNTIFS($C$2:$C$5001,C3661,$J$2:$J$5001,J3661,$A$2:$A$5001,"&lt;"&amp;A3661)=0,1,0))</f>
        <v/>
      </c>
    </row>
    <row r="3662" customFormat="false" ht="15" hidden="false" customHeight="false" outlineLevel="0" collapsed="false">
      <c r="A3662" s="27"/>
      <c r="F3662" s="28"/>
      <c r="J3662" s="0" t="str">
        <f aca="false">IF(A3662="","",YEAR(A3662))</f>
        <v/>
      </c>
      <c r="K3662" s="0" t="str">
        <f aca="false">IF(A3662="","",MONTH(A3662))</f>
        <v/>
      </c>
      <c r="L3662" s="0" t="str">
        <f aca="false">IF(B3662="","",VALUE(LEFT(B3662,2)))</f>
        <v/>
      </c>
      <c r="M3662" s="0" t="str">
        <f aca="false">IF(A3662="","",IF(COUNTIFS($C$2:$C$5001,C3662,$J$2:$J$5001,J3662,$A$2:$A$5001,"&lt;"&amp;A3662)=0,1,0))</f>
        <v/>
      </c>
    </row>
    <row r="3663" customFormat="false" ht="15" hidden="false" customHeight="false" outlineLevel="0" collapsed="false">
      <c r="A3663" s="27"/>
      <c r="F3663" s="28"/>
      <c r="J3663" s="0" t="str">
        <f aca="false">IF(A3663="","",YEAR(A3663))</f>
        <v/>
      </c>
      <c r="K3663" s="0" t="str">
        <f aca="false">IF(A3663="","",MONTH(A3663))</f>
        <v/>
      </c>
      <c r="L3663" s="0" t="str">
        <f aca="false">IF(B3663="","",VALUE(LEFT(B3663,2)))</f>
        <v/>
      </c>
      <c r="M3663" s="0" t="str">
        <f aca="false">IF(A3663="","",IF(COUNTIFS($C$2:$C$5001,C3663,$J$2:$J$5001,J3663,$A$2:$A$5001,"&lt;"&amp;A3663)=0,1,0))</f>
        <v/>
      </c>
    </row>
    <row r="3664" customFormat="false" ht="15" hidden="false" customHeight="false" outlineLevel="0" collapsed="false">
      <c r="A3664" s="27"/>
      <c r="F3664" s="28"/>
      <c r="J3664" s="0" t="str">
        <f aca="false">IF(A3664="","",YEAR(A3664))</f>
        <v/>
      </c>
      <c r="K3664" s="0" t="str">
        <f aca="false">IF(A3664="","",MONTH(A3664))</f>
        <v/>
      </c>
      <c r="L3664" s="0" t="str">
        <f aca="false">IF(B3664="","",VALUE(LEFT(B3664,2)))</f>
        <v/>
      </c>
      <c r="M3664" s="0" t="str">
        <f aca="false">IF(A3664="","",IF(COUNTIFS($C$2:$C$5001,C3664,$J$2:$J$5001,J3664,$A$2:$A$5001,"&lt;"&amp;A3664)=0,1,0))</f>
        <v/>
      </c>
    </row>
    <row r="3665" customFormat="false" ht="15" hidden="false" customHeight="false" outlineLevel="0" collapsed="false">
      <c r="A3665" s="27"/>
      <c r="F3665" s="28"/>
      <c r="J3665" s="0" t="str">
        <f aca="false">IF(A3665="","",YEAR(A3665))</f>
        <v/>
      </c>
      <c r="K3665" s="0" t="str">
        <f aca="false">IF(A3665="","",MONTH(A3665))</f>
        <v/>
      </c>
      <c r="L3665" s="0" t="str">
        <f aca="false">IF(B3665="","",VALUE(LEFT(B3665,2)))</f>
        <v/>
      </c>
      <c r="M3665" s="0" t="str">
        <f aca="false">IF(A3665="","",IF(COUNTIFS($C$2:$C$5001,C3665,$J$2:$J$5001,J3665,$A$2:$A$5001,"&lt;"&amp;A3665)=0,1,0))</f>
        <v/>
      </c>
    </row>
    <row r="3666" customFormat="false" ht="15" hidden="false" customHeight="false" outlineLevel="0" collapsed="false">
      <c r="A3666" s="27"/>
      <c r="F3666" s="28"/>
      <c r="J3666" s="0" t="str">
        <f aca="false">IF(A3666="","",YEAR(A3666))</f>
        <v/>
      </c>
      <c r="K3666" s="0" t="str">
        <f aca="false">IF(A3666="","",MONTH(A3666))</f>
        <v/>
      </c>
      <c r="L3666" s="0" t="str">
        <f aca="false">IF(B3666="","",VALUE(LEFT(B3666,2)))</f>
        <v/>
      </c>
      <c r="M3666" s="0" t="str">
        <f aca="false">IF(A3666="","",IF(COUNTIFS($C$2:$C$5001,C3666,$J$2:$J$5001,J3666,$A$2:$A$5001,"&lt;"&amp;A3666)=0,1,0))</f>
        <v/>
      </c>
    </row>
    <row r="3667" customFormat="false" ht="15" hidden="false" customHeight="false" outlineLevel="0" collapsed="false">
      <c r="A3667" s="27"/>
      <c r="F3667" s="28"/>
      <c r="J3667" s="0" t="str">
        <f aca="false">IF(A3667="","",YEAR(A3667))</f>
        <v/>
      </c>
      <c r="K3667" s="0" t="str">
        <f aca="false">IF(A3667="","",MONTH(A3667))</f>
        <v/>
      </c>
      <c r="L3667" s="0" t="str">
        <f aca="false">IF(B3667="","",VALUE(LEFT(B3667,2)))</f>
        <v/>
      </c>
      <c r="M3667" s="0" t="str">
        <f aca="false">IF(A3667="","",IF(COUNTIFS($C$2:$C$5001,C3667,$J$2:$J$5001,J3667,$A$2:$A$5001,"&lt;"&amp;A3667)=0,1,0))</f>
        <v/>
      </c>
    </row>
    <row r="3668" customFormat="false" ht="15" hidden="false" customHeight="false" outlineLevel="0" collapsed="false">
      <c r="A3668" s="27"/>
      <c r="F3668" s="28"/>
      <c r="J3668" s="0" t="str">
        <f aca="false">IF(A3668="","",YEAR(A3668))</f>
        <v/>
      </c>
      <c r="K3668" s="0" t="str">
        <f aca="false">IF(A3668="","",MONTH(A3668))</f>
        <v/>
      </c>
      <c r="L3668" s="0" t="str">
        <f aca="false">IF(B3668="","",VALUE(LEFT(B3668,2)))</f>
        <v/>
      </c>
      <c r="M3668" s="0" t="str">
        <f aca="false">IF(A3668="","",IF(COUNTIFS($C$2:$C$5001,C3668,$J$2:$J$5001,J3668,$A$2:$A$5001,"&lt;"&amp;A3668)=0,1,0))</f>
        <v/>
      </c>
    </row>
    <row r="3669" customFormat="false" ht="15" hidden="false" customHeight="false" outlineLevel="0" collapsed="false">
      <c r="A3669" s="27"/>
      <c r="F3669" s="28"/>
      <c r="J3669" s="0" t="str">
        <f aca="false">IF(A3669="","",YEAR(A3669))</f>
        <v/>
      </c>
      <c r="K3669" s="0" t="str">
        <f aca="false">IF(A3669="","",MONTH(A3669))</f>
        <v/>
      </c>
      <c r="L3669" s="0" t="str">
        <f aca="false">IF(B3669="","",VALUE(LEFT(B3669,2)))</f>
        <v/>
      </c>
      <c r="M3669" s="0" t="str">
        <f aca="false">IF(A3669="","",IF(COUNTIFS($C$2:$C$5001,C3669,$J$2:$J$5001,J3669,$A$2:$A$5001,"&lt;"&amp;A3669)=0,1,0))</f>
        <v/>
      </c>
    </row>
    <row r="3670" customFormat="false" ht="15" hidden="false" customHeight="false" outlineLevel="0" collapsed="false">
      <c r="A3670" s="27"/>
      <c r="F3670" s="28"/>
      <c r="J3670" s="0" t="str">
        <f aca="false">IF(A3670="","",YEAR(A3670))</f>
        <v/>
      </c>
      <c r="K3670" s="0" t="str">
        <f aca="false">IF(A3670="","",MONTH(A3670))</f>
        <v/>
      </c>
      <c r="L3670" s="0" t="str">
        <f aca="false">IF(B3670="","",VALUE(LEFT(B3670,2)))</f>
        <v/>
      </c>
      <c r="M3670" s="0" t="str">
        <f aca="false">IF(A3670="","",IF(COUNTIFS($C$2:$C$5001,C3670,$J$2:$J$5001,J3670,$A$2:$A$5001,"&lt;"&amp;A3670)=0,1,0))</f>
        <v/>
      </c>
    </row>
    <row r="3671" customFormat="false" ht="15" hidden="false" customHeight="false" outlineLevel="0" collapsed="false">
      <c r="A3671" s="27"/>
      <c r="F3671" s="28"/>
      <c r="J3671" s="0" t="str">
        <f aca="false">IF(A3671="","",YEAR(A3671))</f>
        <v/>
      </c>
      <c r="K3671" s="0" t="str">
        <f aca="false">IF(A3671="","",MONTH(A3671))</f>
        <v/>
      </c>
      <c r="L3671" s="0" t="str">
        <f aca="false">IF(B3671="","",VALUE(LEFT(B3671,2)))</f>
        <v/>
      </c>
      <c r="M3671" s="0" t="str">
        <f aca="false">IF(A3671="","",IF(COUNTIFS($C$2:$C$5001,C3671,$J$2:$J$5001,J3671,$A$2:$A$5001,"&lt;"&amp;A3671)=0,1,0))</f>
        <v/>
      </c>
    </row>
    <row r="3672" customFormat="false" ht="15" hidden="false" customHeight="false" outlineLevel="0" collapsed="false">
      <c r="A3672" s="27"/>
      <c r="F3672" s="28"/>
      <c r="J3672" s="0" t="str">
        <f aca="false">IF(A3672="","",YEAR(A3672))</f>
        <v/>
      </c>
      <c r="K3672" s="0" t="str">
        <f aca="false">IF(A3672="","",MONTH(A3672))</f>
        <v/>
      </c>
      <c r="L3672" s="0" t="str">
        <f aca="false">IF(B3672="","",VALUE(LEFT(B3672,2)))</f>
        <v/>
      </c>
      <c r="M3672" s="0" t="str">
        <f aca="false">IF(A3672="","",IF(COUNTIFS($C$2:$C$5001,C3672,$J$2:$J$5001,J3672,$A$2:$A$5001,"&lt;"&amp;A3672)=0,1,0))</f>
        <v/>
      </c>
    </row>
    <row r="3673" customFormat="false" ht="15" hidden="false" customHeight="false" outlineLevel="0" collapsed="false">
      <c r="A3673" s="27"/>
      <c r="F3673" s="28"/>
      <c r="J3673" s="0" t="str">
        <f aca="false">IF(A3673="","",YEAR(A3673))</f>
        <v/>
      </c>
      <c r="K3673" s="0" t="str">
        <f aca="false">IF(A3673="","",MONTH(A3673))</f>
        <v/>
      </c>
      <c r="L3673" s="0" t="str">
        <f aca="false">IF(B3673="","",VALUE(LEFT(B3673,2)))</f>
        <v/>
      </c>
      <c r="M3673" s="0" t="str">
        <f aca="false">IF(A3673="","",IF(COUNTIFS($C$2:$C$5001,C3673,$J$2:$J$5001,J3673,$A$2:$A$5001,"&lt;"&amp;A3673)=0,1,0))</f>
        <v/>
      </c>
    </row>
    <row r="3674" customFormat="false" ht="15" hidden="false" customHeight="false" outlineLevel="0" collapsed="false">
      <c r="A3674" s="27"/>
      <c r="F3674" s="28"/>
      <c r="J3674" s="0" t="str">
        <f aca="false">IF(A3674="","",YEAR(A3674))</f>
        <v/>
      </c>
      <c r="K3674" s="0" t="str">
        <f aca="false">IF(A3674="","",MONTH(A3674))</f>
        <v/>
      </c>
      <c r="L3674" s="0" t="str">
        <f aca="false">IF(B3674="","",VALUE(LEFT(B3674,2)))</f>
        <v/>
      </c>
      <c r="M3674" s="0" t="str">
        <f aca="false">IF(A3674="","",IF(COUNTIFS($C$2:$C$5001,C3674,$J$2:$J$5001,J3674,$A$2:$A$5001,"&lt;"&amp;A3674)=0,1,0))</f>
        <v/>
      </c>
    </row>
    <row r="3675" customFormat="false" ht="15" hidden="false" customHeight="false" outlineLevel="0" collapsed="false">
      <c r="A3675" s="27"/>
      <c r="F3675" s="28"/>
      <c r="J3675" s="0" t="str">
        <f aca="false">IF(A3675="","",YEAR(A3675))</f>
        <v/>
      </c>
      <c r="K3675" s="0" t="str">
        <f aca="false">IF(A3675="","",MONTH(A3675))</f>
        <v/>
      </c>
      <c r="L3675" s="0" t="str">
        <f aca="false">IF(B3675="","",VALUE(LEFT(B3675,2)))</f>
        <v/>
      </c>
      <c r="M3675" s="0" t="str">
        <f aca="false">IF(A3675="","",IF(COUNTIFS($C$2:$C$5001,C3675,$J$2:$J$5001,J3675,$A$2:$A$5001,"&lt;"&amp;A3675)=0,1,0))</f>
        <v/>
      </c>
    </row>
    <row r="3676" customFormat="false" ht="15" hidden="false" customHeight="false" outlineLevel="0" collapsed="false">
      <c r="A3676" s="27"/>
      <c r="F3676" s="28"/>
      <c r="J3676" s="0" t="str">
        <f aca="false">IF(A3676="","",YEAR(A3676))</f>
        <v/>
      </c>
      <c r="K3676" s="0" t="str">
        <f aca="false">IF(A3676="","",MONTH(A3676))</f>
        <v/>
      </c>
      <c r="L3676" s="0" t="str">
        <f aca="false">IF(B3676="","",VALUE(LEFT(B3676,2)))</f>
        <v/>
      </c>
      <c r="M3676" s="0" t="str">
        <f aca="false">IF(A3676="","",IF(COUNTIFS($C$2:$C$5001,C3676,$J$2:$J$5001,J3676,$A$2:$A$5001,"&lt;"&amp;A3676)=0,1,0))</f>
        <v/>
      </c>
    </row>
    <row r="3677" customFormat="false" ht="15" hidden="false" customHeight="false" outlineLevel="0" collapsed="false">
      <c r="A3677" s="27"/>
      <c r="F3677" s="28"/>
      <c r="J3677" s="0" t="str">
        <f aca="false">IF(A3677="","",YEAR(A3677))</f>
        <v/>
      </c>
      <c r="K3677" s="0" t="str">
        <f aca="false">IF(A3677="","",MONTH(A3677))</f>
        <v/>
      </c>
      <c r="L3677" s="0" t="str">
        <f aca="false">IF(B3677="","",VALUE(LEFT(B3677,2)))</f>
        <v/>
      </c>
      <c r="M3677" s="0" t="str">
        <f aca="false">IF(A3677="","",IF(COUNTIFS($C$2:$C$5001,C3677,$J$2:$J$5001,J3677,$A$2:$A$5001,"&lt;"&amp;A3677)=0,1,0))</f>
        <v/>
      </c>
    </row>
    <row r="3678" customFormat="false" ht="15" hidden="false" customHeight="false" outlineLevel="0" collapsed="false">
      <c r="A3678" s="27"/>
      <c r="F3678" s="28"/>
      <c r="J3678" s="0" t="str">
        <f aca="false">IF(A3678="","",YEAR(A3678))</f>
        <v/>
      </c>
      <c r="K3678" s="0" t="str">
        <f aca="false">IF(A3678="","",MONTH(A3678))</f>
        <v/>
      </c>
      <c r="L3678" s="0" t="str">
        <f aca="false">IF(B3678="","",VALUE(LEFT(B3678,2)))</f>
        <v/>
      </c>
      <c r="M3678" s="0" t="str">
        <f aca="false">IF(A3678="","",IF(COUNTIFS($C$2:$C$5001,C3678,$J$2:$J$5001,J3678,$A$2:$A$5001,"&lt;"&amp;A3678)=0,1,0))</f>
        <v/>
      </c>
    </row>
    <row r="3679" customFormat="false" ht="15" hidden="false" customHeight="false" outlineLevel="0" collapsed="false">
      <c r="A3679" s="27"/>
      <c r="F3679" s="28"/>
      <c r="J3679" s="0" t="str">
        <f aca="false">IF(A3679="","",YEAR(A3679))</f>
        <v/>
      </c>
      <c r="K3679" s="0" t="str">
        <f aca="false">IF(A3679="","",MONTH(A3679))</f>
        <v/>
      </c>
      <c r="L3679" s="0" t="str">
        <f aca="false">IF(B3679="","",VALUE(LEFT(B3679,2)))</f>
        <v/>
      </c>
      <c r="M3679" s="0" t="str">
        <f aca="false">IF(A3679="","",IF(COUNTIFS($C$2:$C$5001,C3679,$J$2:$J$5001,J3679,$A$2:$A$5001,"&lt;"&amp;A3679)=0,1,0))</f>
        <v/>
      </c>
    </row>
    <row r="3680" customFormat="false" ht="15" hidden="false" customHeight="false" outlineLevel="0" collapsed="false">
      <c r="A3680" s="27"/>
      <c r="F3680" s="28"/>
      <c r="J3680" s="0" t="str">
        <f aca="false">IF(A3680="","",YEAR(A3680))</f>
        <v/>
      </c>
      <c r="K3680" s="0" t="str">
        <f aca="false">IF(A3680="","",MONTH(A3680))</f>
        <v/>
      </c>
      <c r="L3680" s="0" t="str">
        <f aca="false">IF(B3680="","",VALUE(LEFT(B3680,2)))</f>
        <v/>
      </c>
      <c r="M3680" s="0" t="str">
        <f aca="false">IF(A3680="","",IF(COUNTIFS($C$2:$C$5001,C3680,$J$2:$J$5001,J3680,$A$2:$A$5001,"&lt;"&amp;A3680)=0,1,0))</f>
        <v/>
      </c>
    </row>
    <row r="3681" customFormat="false" ht="15" hidden="false" customHeight="false" outlineLevel="0" collapsed="false">
      <c r="A3681" s="27"/>
      <c r="F3681" s="28"/>
      <c r="J3681" s="0" t="str">
        <f aca="false">IF(A3681="","",YEAR(A3681))</f>
        <v/>
      </c>
      <c r="K3681" s="0" t="str">
        <f aca="false">IF(A3681="","",MONTH(A3681))</f>
        <v/>
      </c>
      <c r="L3681" s="0" t="str">
        <f aca="false">IF(B3681="","",VALUE(LEFT(B3681,2)))</f>
        <v/>
      </c>
      <c r="M3681" s="0" t="str">
        <f aca="false">IF(A3681="","",IF(COUNTIFS($C$2:$C$5001,C3681,$J$2:$J$5001,J3681,$A$2:$A$5001,"&lt;"&amp;A3681)=0,1,0))</f>
        <v/>
      </c>
    </row>
    <row r="3682" customFormat="false" ht="15" hidden="false" customHeight="false" outlineLevel="0" collapsed="false">
      <c r="A3682" s="27"/>
      <c r="F3682" s="28"/>
      <c r="J3682" s="0" t="str">
        <f aca="false">IF(A3682="","",YEAR(A3682))</f>
        <v/>
      </c>
      <c r="K3682" s="0" t="str">
        <f aca="false">IF(A3682="","",MONTH(A3682))</f>
        <v/>
      </c>
      <c r="L3682" s="0" t="str">
        <f aca="false">IF(B3682="","",VALUE(LEFT(B3682,2)))</f>
        <v/>
      </c>
      <c r="M3682" s="0" t="str">
        <f aca="false">IF(A3682="","",IF(COUNTIFS($C$2:$C$5001,C3682,$J$2:$J$5001,J3682,$A$2:$A$5001,"&lt;"&amp;A3682)=0,1,0))</f>
        <v/>
      </c>
    </row>
    <row r="3683" customFormat="false" ht="15" hidden="false" customHeight="false" outlineLevel="0" collapsed="false">
      <c r="A3683" s="27"/>
      <c r="F3683" s="28"/>
      <c r="J3683" s="0" t="str">
        <f aca="false">IF(A3683="","",YEAR(A3683))</f>
        <v/>
      </c>
      <c r="K3683" s="0" t="str">
        <f aca="false">IF(A3683="","",MONTH(A3683))</f>
        <v/>
      </c>
      <c r="L3683" s="0" t="str">
        <f aca="false">IF(B3683="","",VALUE(LEFT(B3683,2)))</f>
        <v/>
      </c>
      <c r="M3683" s="0" t="str">
        <f aca="false">IF(A3683="","",IF(COUNTIFS($C$2:$C$5001,C3683,$J$2:$J$5001,J3683,$A$2:$A$5001,"&lt;"&amp;A3683)=0,1,0))</f>
        <v/>
      </c>
    </row>
    <row r="3684" customFormat="false" ht="15" hidden="false" customHeight="false" outlineLevel="0" collapsed="false">
      <c r="A3684" s="27"/>
      <c r="F3684" s="28"/>
      <c r="J3684" s="0" t="str">
        <f aca="false">IF(A3684="","",YEAR(A3684))</f>
        <v/>
      </c>
      <c r="K3684" s="0" t="str">
        <f aca="false">IF(A3684="","",MONTH(A3684))</f>
        <v/>
      </c>
      <c r="L3684" s="0" t="str">
        <f aca="false">IF(B3684="","",VALUE(LEFT(B3684,2)))</f>
        <v/>
      </c>
      <c r="M3684" s="0" t="str">
        <f aca="false">IF(A3684="","",IF(COUNTIFS($C$2:$C$5001,C3684,$J$2:$J$5001,J3684,$A$2:$A$5001,"&lt;"&amp;A3684)=0,1,0))</f>
        <v/>
      </c>
    </row>
    <row r="3685" customFormat="false" ht="15" hidden="false" customHeight="false" outlineLevel="0" collapsed="false">
      <c r="A3685" s="27"/>
      <c r="F3685" s="28"/>
      <c r="J3685" s="0" t="str">
        <f aca="false">IF(A3685="","",YEAR(A3685))</f>
        <v/>
      </c>
      <c r="K3685" s="0" t="str">
        <f aca="false">IF(A3685="","",MONTH(A3685))</f>
        <v/>
      </c>
      <c r="L3685" s="0" t="str">
        <f aca="false">IF(B3685="","",VALUE(LEFT(B3685,2)))</f>
        <v/>
      </c>
      <c r="M3685" s="0" t="str">
        <f aca="false">IF(A3685="","",IF(COUNTIFS($C$2:$C$5001,C3685,$J$2:$J$5001,J3685,$A$2:$A$5001,"&lt;"&amp;A3685)=0,1,0))</f>
        <v/>
      </c>
    </row>
    <row r="3686" customFormat="false" ht="15" hidden="false" customHeight="false" outlineLevel="0" collapsed="false">
      <c r="A3686" s="27"/>
      <c r="F3686" s="28"/>
      <c r="J3686" s="0" t="str">
        <f aca="false">IF(A3686="","",YEAR(A3686))</f>
        <v/>
      </c>
      <c r="K3686" s="0" t="str">
        <f aca="false">IF(A3686="","",MONTH(A3686))</f>
        <v/>
      </c>
      <c r="L3686" s="0" t="str">
        <f aca="false">IF(B3686="","",VALUE(LEFT(B3686,2)))</f>
        <v/>
      </c>
      <c r="M3686" s="0" t="str">
        <f aca="false">IF(A3686="","",IF(COUNTIFS($C$2:$C$5001,C3686,$J$2:$J$5001,J3686,$A$2:$A$5001,"&lt;"&amp;A3686)=0,1,0))</f>
        <v/>
      </c>
    </row>
    <row r="3687" customFormat="false" ht="15" hidden="false" customHeight="false" outlineLevel="0" collapsed="false">
      <c r="A3687" s="27"/>
      <c r="F3687" s="28"/>
      <c r="J3687" s="0" t="str">
        <f aca="false">IF(A3687="","",YEAR(A3687))</f>
        <v/>
      </c>
      <c r="K3687" s="0" t="str">
        <f aca="false">IF(A3687="","",MONTH(A3687))</f>
        <v/>
      </c>
      <c r="L3687" s="0" t="str">
        <f aca="false">IF(B3687="","",VALUE(LEFT(B3687,2)))</f>
        <v/>
      </c>
      <c r="M3687" s="0" t="str">
        <f aca="false">IF(A3687="","",IF(COUNTIFS($C$2:$C$5001,C3687,$J$2:$J$5001,J3687,$A$2:$A$5001,"&lt;"&amp;A3687)=0,1,0))</f>
        <v/>
      </c>
    </row>
    <row r="3688" customFormat="false" ht="15" hidden="false" customHeight="false" outlineLevel="0" collapsed="false">
      <c r="A3688" s="27"/>
      <c r="F3688" s="28"/>
      <c r="J3688" s="0" t="str">
        <f aca="false">IF(A3688="","",YEAR(A3688))</f>
        <v/>
      </c>
      <c r="K3688" s="0" t="str">
        <f aca="false">IF(A3688="","",MONTH(A3688))</f>
        <v/>
      </c>
      <c r="L3688" s="0" t="str">
        <f aca="false">IF(B3688="","",VALUE(LEFT(B3688,2)))</f>
        <v/>
      </c>
      <c r="M3688" s="0" t="str">
        <f aca="false">IF(A3688="","",IF(COUNTIFS($C$2:$C$5001,C3688,$J$2:$J$5001,J3688,$A$2:$A$5001,"&lt;"&amp;A3688)=0,1,0))</f>
        <v/>
      </c>
    </row>
    <row r="3689" customFormat="false" ht="15" hidden="false" customHeight="false" outlineLevel="0" collapsed="false">
      <c r="A3689" s="27"/>
      <c r="F3689" s="28"/>
      <c r="J3689" s="0" t="str">
        <f aca="false">IF(A3689="","",YEAR(A3689))</f>
        <v/>
      </c>
      <c r="K3689" s="0" t="str">
        <f aca="false">IF(A3689="","",MONTH(A3689))</f>
        <v/>
      </c>
      <c r="L3689" s="0" t="str">
        <f aca="false">IF(B3689="","",VALUE(LEFT(B3689,2)))</f>
        <v/>
      </c>
      <c r="M3689" s="0" t="str">
        <f aca="false">IF(A3689="","",IF(COUNTIFS($C$2:$C$5001,C3689,$J$2:$J$5001,J3689,$A$2:$A$5001,"&lt;"&amp;A3689)=0,1,0))</f>
        <v/>
      </c>
    </row>
    <row r="3690" customFormat="false" ht="15" hidden="false" customHeight="false" outlineLevel="0" collapsed="false">
      <c r="A3690" s="27"/>
      <c r="F3690" s="28"/>
      <c r="J3690" s="0" t="str">
        <f aca="false">IF(A3690="","",YEAR(A3690))</f>
        <v/>
      </c>
      <c r="K3690" s="0" t="str">
        <f aca="false">IF(A3690="","",MONTH(A3690))</f>
        <v/>
      </c>
      <c r="L3690" s="0" t="str">
        <f aca="false">IF(B3690="","",VALUE(LEFT(B3690,2)))</f>
        <v/>
      </c>
      <c r="M3690" s="0" t="str">
        <f aca="false">IF(A3690="","",IF(COUNTIFS($C$2:$C$5001,C3690,$J$2:$J$5001,J3690,$A$2:$A$5001,"&lt;"&amp;A3690)=0,1,0))</f>
        <v/>
      </c>
    </row>
    <row r="3691" customFormat="false" ht="15" hidden="false" customHeight="false" outlineLevel="0" collapsed="false">
      <c r="A3691" s="27"/>
      <c r="F3691" s="28"/>
      <c r="J3691" s="0" t="str">
        <f aca="false">IF(A3691="","",YEAR(A3691))</f>
        <v/>
      </c>
      <c r="K3691" s="0" t="str">
        <f aca="false">IF(A3691="","",MONTH(A3691))</f>
        <v/>
      </c>
      <c r="L3691" s="0" t="str">
        <f aca="false">IF(B3691="","",VALUE(LEFT(B3691,2)))</f>
        <v/>
      </c>
      <c r="M3691" s="0" t="str">
        <f aca="false">IF(A3691="","",IF(COUNTIFS($C$2:$C$5001,C3691,$J$2:$J$5001,J3691,$A$2:$A$5001,"&lt;"&amp;A3691)=0,1,0))</f>
        <v/>
      </c>
    </row>
    <row r="3692" customFormat="false" ht="15" hidden="false" customHeight="false" outlineLevel="0" collapsed="false">
      <c r="A3692" s="27"/>
      <c r="F3692" s="28"/>
      <c r="J3692" s="0" t="str">
        <f aca="false">IF(A3692="","",YEAR(A3692))</f>
        <v/>
      </c>
      <c r="K3692" s="0" t="str">
        <f aca="false">IF(A3692="","",MONTH(A3692))</f>
        <v/>
      </c>
      <c r="L3692" s="0" t="str">
        <f aca="false">IF(B3692="","",VALUE(LEFT(B3692,2)))</f>
        <v/>
      </c>
      <c r="M3692" s="0" t="str">
        <f aca="false">IF(A3692="","",IF(COUNTIFS($C$2:$C$5001,C3692,$J$2:$J$5001,J3692,$A$2:$A$5001,"&lt;"&amp;A3692)=0,1,0))</f>
        <v/>
      </c>
    </row>
    <row r="3693" customFormat="false" ht="15" hidden="false" customHeight="false" outlineLevel="0" collapsed="false">
      <c r="A3693" s="27"/>
      <c r="F3693" s="28"/>
      <c r="J3693" s="0" t="str">
        <f aca="false">IF(A3693="","",YEAR(A3693))</f>
        <v/>
      </c>
      <c r="K3693" s="0" t="str">
        <f aca="false">IF(A3693="","",MONTH(A3693))</f>
        <v/>
      </c>
      <c r="L3693" s="0" t="str">
        <f aca="false">IF(B3693="","",VALUE(LEFT(B3693,2)))</f>
        <v/>
      </c>
      <c r="M3693" s="0" t="str">
        <f aca="false">IF(A3693="","",IF(COUNTIFS($C$2:$C$5001,C3693,$J$2:$J$5001,J3693,$A$2:$A$5001,"&lt;"&amp;A3693)=0,1,0))</f>
        <v/>
      </c>
    </row>
    <row r="3694" customFormat="false" ht="15" hidden="false" customHeight="false" outlineLevel="0" collapsed="false">
      <c r="A3694" s="27"/>
      <c r="F3694" s="28"/>
      <c r="J3694" s="0" t="str">
        <f aca="false">IF(A3694="","",YEAR(A3694))</f>
        <v/>
      </c>
      <c r="K3694" s="0" t="str">
        <f aca="false">IF(A3694="","",MONTH(A3694))</f>
        <v/>
      </c>
      <c r="L3694" s="0" t="str">
        <f aca="false">IF(B3694="","",VALUE(LEFT(B3694,2)))</f>
        <v/>
      </c>
      <c r="M3694" s="0" t="str">
        <f aca="false">IF(A3694="","",IF(COUNTIFS($C$2:$C$5001,C3694,$J$2:$J$5001,J3694,$A$2:$A$5001,"&lt;"&amp;A3694)=0,1,0))</f>
        <v/>
      </c>
    </row>
    <row r="3695" customFormat="false" ht="15" hidden="false" customHeight="false" outlineLevel="0" collapsed="false">
      <c r="A3695" s="27"/>
      <c r="F3695" s="28"/>
      <c r="J3695" s="0" t="str">
        <f aca="false">IF(A3695="","",YEAR(A3695))</f>
        <v/>
      </c>
      <c r="K3695" s="0" t="str">
        <f aca="false">IF(A3695="","",MONTH(A3695))</f>
        <v/>
      </c>
      <c r="L3695" s="0" t="str">
        <f aca="false">IF(B3695="","",VALUE(LEFT(B3695,2)))</f>
        <v/>
      </c>
      <c r="M3695" s="0" t="str">
        <f aca="false">IF(A3695="","",IF(COUNTIFS($C$2:$C$5001,C3695,$J$2:$J$5001,J3695,$A$2:$A$5001,"&lt;"&amp;A3695)=0,1,0))</f>
        <v/>
      </c>
    </row>
    <row r="3696" customFormat="false" ht="15" hidden="false" customHeight="false" outlineLevel="0" collapsed="false">
      <c r="A3696" s="27"/>
      <c r="F3696" s="28"/>
      <c r="J3696" s="0" t="str">
        <f aca="false">IF(A3696="","",YEAR(A3696))</f>
        <v/>
      </c>
      <c r="K3696" s="0" t="str">
        <f aca="false">IF(A3696="","",MONTH(A3696))</f>
        <v/>
      </c>
      <c r="L3696" s="0" t="str">
        <f aca="false">IF(B3696="","",VALUE(LEFT(B3696,2)))</f>
        <v/>
      </c>
      <c r="M3696" s="0" t="str">
        <f aca="false">IF(A3696="","",IF(COUNTIFS($C$2:$C$5001,C3696,$J$2:$J$5001,J3696,$A$2:$A$5001,"&lt;"&amp;A3696)=0,1,0))</f>
        <v/>
      </c>
    </row>
    <row r="3697" customFormat="false" ht="15" hidden="false" customHeight="false" outlineLevel="0" collapsed="false">
      <c r="A3697" s="27"/>
      <c r="F3697" s="28"/>
      <c r="J3697" s="0" t="str">
        <f aca="false">IF(A3697="","",YEAR(A3697))</f>
        <v/>
      </c>
      <c r="K3697" s="0" t="str">
        <f aca="false">IF(A3697="","",MONTH(A3697))</f>
        <v/>
      </c>
      <c r="L3697" s="0" t="str">
        <f aca="false">IF(B3697="","",VALUE(LEFT(B3697,2)))</f>
        <v/>
      </c>
      <c r="M3697" s="0" t="str">
        <f aca="false">IF(A3697="","",IF(COUNTIFS($C$2:$C$5001,C3697,$J$2:$J$5001,J3697,$A$2:$A$5001,"&lt;"&amp;A3697)=0,1,0))</f>
        <v/>
      </c>
    </row>
    <row r="3698" customFormat="false" ht="15" hidden="false" customHeight="false" outlineLevel="0" collapsed="false">
      <c r="A3698" s="27"/>
      <c r="F3698" s="28"/>
      <c r="J3698" s="0" t="str">
        <f aca="false">IF(A3698="","",YEAR(A3698))</f>
        <v/>
      </c>
      <c r="K3698" s="0" t="str">
        <f aca="false">IF(A3698="","",MONTH(A3698))</f>
        <v/>
      </c>
      <c r="L3698" s="0" t="str">
        <f aca="false">IF(B3698="","",VALUE(LEFT(B3698,2)))</f>
        <v/>
      </c>
      <c r="M3698" s="0" t="str">
        <f aca="false">IF(A3698="","",IF(COUNTIFS($C$2:$C$5001,C3698,$J$2:$J$5001,J3698,$A$2:$A$5001,"&lt;"&amp;A3698)=0,1,0))</f>
        <v/>
      </c>
    </row>
    <row r="3699" customFormat="false" ht="15" hidden="false" customHeight="false" outlineLevel="0" collapsed="false">
      <c r="A3699" s="27"/>
      <c r="F3699" s="28"/>
      <c r="J3699" s="0" t="str">
        <f aca="false">IF(A3699="","",YEAR(A3699))</f>
        <v/>
      </c>
      <c r="K3699" s="0" t="str">
        <f aca="false">IF(A3699="","",MONTH(A3699))</f>
        <v/>
      </c>
      <c r="L3699" s="0" t="str">
        <f aca="false">IF(B3699="","",VALUE(LEFT(B3699,2)))</f>
        <v/>
      </c>
      <c r="M3699" s="0" t="str">
        <f aca="false">IF(A3699="","",IF(COUNTIFS($C$2:$C$5001,C3699,$J$2:$J$5001,J3699,$A$2:$A$5001,"&lt;"&amp;A3699)=0,1,0))</f>
        <v/>
      </c>
    </row>
    <row r="3700" customFormat="false" ht="15" hidden="false" customHeight="false" outlineLevel="0" collapsed="false">
      <c r="A3700" s="27"/>
      <c r="F3700" s="28"/>
      <c r="J3700" s="0" t="str">
        <f aca="false">IF(A3700="","",YEAR(A3700))</f>
        <v/>
      </c>
      <c r="K3700" s="0" t="str">
        <f aca="false">IF(A3700="","",MONTH(A3700))</f>
        <v/>
      </c>
      <c r="L3700" s="0" t="str">
        <f aca="false">IF(B3700="","",VALUE(LEFT(B3700,2)))</f>
        <v/>
      </c>
      <c r="M3700" s="0" t="str">
        <f aca="false">IF(A3700="","",IF(COUNTIFS($C$2:$C$5001,C3700,$J$2:$J$5001,J3700,$A$2:$A$5001,"&lt;"&amp;A3700)=0,1,0))</f>
        <v/>
      </c>
    </row>
    <row r="3701" customFormat="false" ht="15" hidden="false" customHeight="false" outlineLevel="0" collapsed="false">
      <c r="A3701" s="27"/>
      <c r="F3701" s="28"/>
      <c r="J3701" s="0" t="str">
        <f aca="false">IF(A3701="","",YEAR(A3701))</f>
        <v/>
      </c>
      <c r="K3701" s="0" t="str">
        <f aca="false">IF(A3701="","",MONTH(A3701))</f>
        <v/>
      </c>
      <c r="L3701" s="0" t="str">
        <f aca="false">IF(B3701="","",VALUE(LEFT(B3701,2)))</f>
        <v/>
      </c>
      <c r="M3701" s="0" t="str">
        <f aca="false">IF(A3701="","",IF(COUNTIFS($C$2:$C$5001,C3701,$J$2:$J$5001,J3701,$A$2:$A$5001,"&lt;"&amp;A3701)=0,1,0))</f>
        <v/>
      </c>
    </row>
    <row r="3702" customFormat="false" ht="15" hidden="false" customHeight="false" outlineLevel="0" collapsed="false">
      <c r="A3702" s="27"/>
      <c r="F3702" s="28"/>
      <c r="J3702" s="0" t="str">
        <f aca="false">IF(A3702="","",YEAR(A3702))</f>
        <v/>
      </c>
      <c r="K3702" s="0" t="str">
        <f aca="false">IF(A3702="","",MONTH(A3702))</f>
        <v/>
      </c>
      <c r="L3702" s="0" t="str">
        <f aca="false">IF(B3702="","",VALUE(LEFT(B3702,2)))</f>
        <v/>
      </c>
      <c r="M3702" s="0" t="str">
        <f aca="false">IF(A3702="","",IF(COUNTIFS($C$2:$C$5001,C3702,$J$2:$J$5001,J3702,$A$2:$A$5001,"&lt;"&amp;A3702)=0,1,0))</f>
        <v/>
      </c>
    </row>
    <row r="3703" customFormat="false" ht="15" hidden="false" customHeight="false" outlineLevel="0" collapsed="false">
      <c r="A3703" s="27"/>
      <c r="F3703" s="28"/>
      <c r="J3703" s="0" t="str">
        <f aca="false">IF(A3703="","",YEAR(A3703))</f>
        <v/>
      </c>
      <c r="K3703" s="0" t="str">
        <f aca="false">IF(A3703="","",MONTH(A3703))</f>
        <v/>
      </c>
      <c r="L3703" s="0" t="str">
        <f aca="false">IF(B3703="","",VALUE(LEFT(B3703,2)))</f>
        <v/>
      </c>
      <c r="M3703" s="0" t="str">
        <f aca="false">IF(A3703="","",IF(COUNTIFS($C$2:$C$5001,C3703,$J$2:$J$5001,J3703,$A$2:$A$5001,"&lt;"&amp;A3703)=0,1,0))</f>
        <v/>
      </c>
    </row>
    <row r="3704" customFormat="false" ht="15" hidden="false" customHeight="false" outlineLevel="0" collapsed="false">
      <c r="A3704" s="27"/>
      <c r="F3704" s="28"/>
      <c r="J3704" s="0" t="str">
        <f aca="false">IF(A3704="","",YEAR(A3704))</f>
        <v/>
      </c>
      <c r="K3704" s="0" t="str">
        <f aca="false">IF(A3704="","",MONTH(A3704))</f>
        <v/>
      </c>
      <c r="L3704" s="0" t="str">
        <f aca="false">IF(B3704="","",VALUE(LEFT(B3704,2)))</f>
        <v/>
      </c>
      <c r="M3704" s="0" t="str">
        <f aca="false">IF(A3704="","",IF(COUNTIFS($C$2:$C$5001,C3704,$J$2:$J$5001,J3704,$A$2:$A$5001,"&lt;"&amp;A3704)=0,1,0))</f>
        <v/>
      </c>
    </row>
    <row r="3705" customFormat="false" ht="15" hidden="false" customHeight="false" outlineLevel="0" collapsed="false">
      <c r="A3705" s="27"/>
      <c r="F3705" s="28"/>
      <c r="J3705" s="0" t="str">
        <f aca="false">IF(A3705="","",YEAR(A3705))</f>
        <v/>
      </c>
      <c r="K3705" s="0" t="str">
        <f aca="false">IF(A3705="","",MONTH(A3705))</f>
        <v/>
      </c>
      <c r="L3705" s="0" t="str">
        <f aca="false">IF(B3705="","",VALUE(LEFT(B3705,2)))</f>
        <v/>
      </c>
      <c r="M3705" s="0" t="str">
        <f aca="false">IF(A3705="","",IF(COUNTIFS($C$2:$C$5001,C3705,$J$2:$J$5001,J3705,$A$2:$A$5001,"&lt;"&amp;A3705)=0,1,0))</f>
        <v/>
      </c>
    </row>
    <row r="3706" customFormat="false" ht="15" hidden="false" customHeight="false" outlineLevel="0" collapsed="false">
      <c r="A3706" s="27"/>
      <c r="F3706" s="28"/>
      <c r="J3706" s="0" t="str">
        <f aca="false">IF(A3706="","",YEAR(A3706))</f>
        <v/>
      </c>
      <c r="K3706" s="0" t="str">
        <f aca="false">IF(A3706="","",MONTH(A3706))</f>
        <v/>
      </c>
      <c r="L3706" s="0" t="str">
        <f aca="false">IF(B3706="","",VALUE(LEFT(B3706,2)))</f>
        <v/>
      </c>
      <c r="M3706" s="0" t="str">
        <f aca="false">IF(A3706="","",IF(COUNTIFS($C$2:$C$5001,C3706,$J$2:$J$5001,J3706,$A$2:$A$5001,"&lt;"&amp;A3706)=0,1,0))</f>
        <v/>
      </c>
    </row>
    <row r="3707" customFormat="false" ht="15" hidden="false" customHeight="false" outlineLevel="0" collapsed="false">
      <c r="A3707" s="27"/>
      <c r="F3707" s="28"/>
      <c r="J3707" s="0" t="str">
        <f aca="false">IF(A3707="","",YEAR(A3707))</f>
        <v/>
      </c>
      <c r="K3707" s="0" t="str">
        <f aca="false">IF(A3707="","",MONTH(A3707))</f>
        <v/>
      </c>
      <c r="L3707" s="0" t="str">
        <f aca="false">IF(B3707="","",VALUE(LEFT(B3707,2)))</f>
        <v/>
      </c>
      <c r="M3707" s="0" t="str">
        <f aca="false">IF(A3707="","",IF(COUNTIFS($C$2:$C$5001,C3707,$J$2:$J$5001,J3707,$A$2:$A$5001,"&lt;"&amp;A3707)=0,1,0))</f>
        <v/>
      </c>
    </row>
    <row r="3708" customFormat="false" ht="15" hidden="false" customHeight="false" outlineLevel="0" collapsed="false">
      <c r="A3708" s="27"/>
      <c r="F3708" s="28"/>
      <c r="J3708" s="0" t="str">
        <f aca="false">IF(A3708="","",YEAR(A3708))</f>
        <v/>
      </c>
      <c r="K3708" s="0" t="str">
        <f aca="false">IF(A3708="","",MONTH(A3708))</f>
        <v/>
      </c>
      <c r="L3708" s="0" t="str">
        <f aca="false">IF(B3708="","",VALUE(LEFT(B3708,2)))</f>
        <v/>
      </c>
      <c r="M3708" s="0" t="str">
        <f aca="false">IF(A3708="","",IF(COUNTIFS($C$2:$C$5001,C3708,$J$2:$J$5001,J3708,$A$2:$A$5001,"&lt;"&amp;A3708)=0,1,0))</f>
        <v/>
      </c>
    </row>
    <row r="3709" customFormat="false" ht="15" hidden="false" customHeight="false" outlineLevel="0" collapsed="false">
      <c r="A3709" s="27"/>
      <c r="F3709" s="28"/>
      <c r="J3709" s="0" t="str">
        <f aca="false">IF(A3709="","",YEAR(A3709))</f>
        <v/>
      </c>
      <c r="K3709" s="0" t="str">
        <f aca="false">IF(A3709="","",MONTH(A3709))</f>
        <v/>
      </c>
      <c r="L3709" s="0" t="str">
        <f aca="false">IF(B3709="","",VALUE(LEFT(B3709,2)))</f>
        <v/>
      </c>
      <c r="M3709" s="0" t="str">
        <f aca="false">IF(A3709="","",IF(COUNTIFS($C$2:$C$5001,C3709,$J$2:$J$5001,J3709,$A$2:$A$5001,"&lt;"&amp;A3709)=0,1,0))</f>
        <v/>
      </c>
    </row>
    <row r="3710" customFormat="false" ht="15" hidden="false" customHeight="false" outlineLevel="0" collapsed="false">
      <c r="A3710" s="27"/>
      <c r="F3710" s="28"/>
      <c r="J3710" s="0" t="str">
        <f aca="false">IF(A3710="","",YEAR(A3710))</f>
        <v/>
      </c>
      <c r="K3710" s="0" t="str">
        <f aca="false">IF(A3710="","",MONTH(A3710))</f>
        <v/>
      </c>
      <c r="L3710" s="0" t="str">
        <f aca="false">IF(B3710="","",VALUE(LEFT(B3710,2)))</f>
        <v/>
      </c>
      <c r="M3710" s="0" t="str">
        <f aca="false">IF(A3710="","",IF(COUNTIFS($C$2:$C$5001,C3710,$J$2:$J$5001,J3710,$A$2:$A$5001,"&lt;"&amp;A3710)=0,1,0))</f>
        <v/>
      </c>
    </row>
    <row r="3711" customFormat="false" ht="15" hidden="false" customHeight="false" outlineLevel="0" collapsed="false">
      <c r="A3711" s="27"/>
      <c r="F3711" s="28"/>
      <c r="J3711" s="0" t="str">
        <f aca="false">IF(A3711="","",YEAR(A3711))</f>
        <v/>
      </c>
      <c r="K3711" s="0" t="str">
        <f aca="false">IF(A3711="","",MONTH(A3711))</f>
        <v/>
      </c>
      <c r="L3711" s="0" t="str">
        <f aca="false">IF(B3711="","",VALUE(LEFT(B3711,2)))</f>
        <v/>
      </c>
      <c r="M3711" s="0" t="str">
        <f aca="false">IF(A3711="","",IF(COUNTIFS($C$2:$C$5001,C3711,$J$2:$J$5001,J3711,$A$2:$A$5001,"&lt;"&amp;A3711)=0,1,0))</f>
        <v/>
      </c>
    </row>
    <row r="3712" customFormat="false" ht="15" hidden="false" customHeight="false" outlineLevel="0" collapsed="false">
      <c r="A3712" s="27"/>
      <c r="F3712" s="28"/>
      <c r="J3712" s="0" t="str">
        <f aca="false">IF(A3712="","",YEAR(A3712))</f>
        <v/>
      </c>
      <c r="K3712" s="0" t="str">
        <f aca="false">IF(A3712="","",MONTH(A3712))</f>
        <v/>
      </c>
      <c r="L3712" s="0" t="str">
        <f aca="false">IF(B3712="","",VALUE(LEFT(B3712,2)))</f>
        <v/>
      </c>
      <c r="M3712" s="0" t="str">
        <f aca="false">IF(A3712="","",IF(COUNTIFS($C$2:$C$5001,C3712,$J$2:$J$5001,J3712,$A$2:$A$5001,"&lt;"&amp;A3712)=0,1,0))</f>
        <v/>
      </c>
    </row>
    <row r="3713" customFormat="false" ht="15" hidden="false" customHeight="false" outlineLevel="0" collapsed="false">
      <c r="A3713" s="27"/>
      <c r="F3713" s="28"/>
      <c r="J3713" s="0" t="str">
        <f aca="false">IF(A3713="","",YEAR(A3713))</f>
        <v/>
      </c>
      <c r="K3713" s="0" t="str">
        <f aca="false">IF(A3713="","",MONTH(A3713))</f>
        <v/>
      </c>
      <c r="L3713" s="0" t="str">
        <f aca="false">IF(B3713="","",VALUE(LEFT(B3713,2)))</f>
        <v/>
      </c>
      <c r="M3713" s="0" t="str">
        <f aca="false">IF(A3713="","",IF(COUNTIFS($C$2:$C$5001,C3713,$J$2:$J$5001,J3713,$A$2:$A$5001,"&lt;"&amp;A3713)=0,1,0))</f>
        <v/>
      </c>
    </row>
    <row r="3714" customFormat="false" ht="15" hidden="false" customHeight="false" outlineLevel="0" collapsed="false">
      <c r="A3714" s="27"/>
      <c r="F3714" s="28"/>
      <c r="J3714" s="0" t="str">
        <f aca="false">IF(A3714="","",YEAR(A3714))</f>
        <v/>
      </c>
      <c r="K3714" s="0" t="str">
        <f aca="false">IF(A3714="","",MONTH(A3714))</f>
        <v/>
      </c>
      <c r="L3714" s="0" t="str">
        <f aca="false">IF(B3714="","",VALUE(LEFT(B3714,2)))</f>
        <v/>
      </c>
      <c r="M3714" s="0" t="str">
        <f aca="false">IF(A3714="","",IF(COUNTIFS($C$2:$C$5001,C3714,$J$2:$J$5001,J3714,$A$2:$A$5001,"&lt;"&amp;A3714)=0,1,0))</f>
        <v/>
      </c>
    </row>
    <row r="3715" customFormat="false" ht="15" hidden="false" customHeight="false" outlineLevel="0" collapsed="false">
      <c r="A3715" s="27"/>
      <c r="F3715" s="28"/>
      <c r="J3715" s="0" t="str">
        <f aca="false">IF(A3715="","",YEAR(A3715))</f>
        <v/>
      </c>
      <c r="K3715" s="0" t="str">
        <f aca="false">IF(A3715="","",MONTH(A3715))</f>
        <v/>
      </c>
      <c r="L3715" s="0" t="str">
        <f aca="false">IF(B3715="","",VALUE(LEFT(B3715,2)))</f>
        <v/>
      </c>
      <c r="M3715" s="0" t="str">
        <f aca="false">IF(A3715="","",IF(COUNTIFS($C$2:$C$5001,C3715,$J$2:$J$5001,J3715,$A$2:$A$5001,"&lt;"&amp;A3715)=0,1,0))</f>
        <v/>
      </c>
    </row>
    <row r="3716" customFormat="false" ht="15" hidden="false" customHeight="false" outlineLevel="0" collapsed="false">
      <c r="A3716" s="27"/>
      <c r="F3716" s="28"/>
      <c r="J3716" s="0" t="str">
        <f aca="false">IF(A3716="","",YEAR(A3716))</f>
        <v/>
      </c>
      <c r="K3716" s="0" t="str">
        <f aca="false">IF(A3716="","",MONTH(A3716))</f>
        <v/>
      </c>
      <c r="L3716" s="0" t="str">
        <f aca="false">IF(B3716="","",VALUE(LEFT(B3716,2)))</f>
        <v/>
      </c>
      <c r="M3716" s="0" t="str">
        <f aca="false">IF(A3716="","",IF(COUNTIFS($C$2:$C$5001,C3716,$J$2:$J$5001,J3716,$A$2:$A$5001,"&lt;"&amp;A3716)=0,1,0))</f>
        <v/>
      </c>
    </row>
    <row r="3717" customFormat="false" ht="15" hidden="false" customHeight="false" outlineLevel="0" collapsed="false">
      <c r="A3717" s="27"/>
      <c r="F3717" s="28"/>
      <c r="J3717" s="0" t="str">
        <f aca="false">IF(A3717="","",YEAR(A3717))</f>
        <v/>
      </c>
      <c r="K3717" s="0" t="str">
        <f aca="false">IF(A3717="","",MONTH(A3717))</f>
        <v/>
      </c>
      <c r="L3717" s="0" t="str">
        <f aca="false">IF(B3717="","",VALUE(LEFT(B3717,2)))</f>
        <v/>
      </c>
      <c r="M3717" s="0" t="str">
        <f aca="false">IF(A3717="","",IF(COUNTIFS($C$2:$C$5001,C3717,$J$2:$J$5001,J3717,$A$2:$A$5001,"&lt;"&amp;A3717)=0,1,0))</f>
        <v/>
      </c>
    </row>
    <row r="3718" customFormat="false" ht="15" hidden="false" customHeight="false" outlineLevel="0" collapsed="false">
      <c r="A3718" s="27"/>
      <c r="F3718" s="28"/>
      <c r="J3718" s="0" t="str">
        <f aca="false">IF(A3718="","",YEAR(A3718))</f>
        <v/>
      </c>
      <c r="K3718" s="0" t="str">
        <f aca="false">IF(A3718="","",MONTH(A3718))</f>
        <v/>
      </c>
      <c r="L3718" s="0" t="str">
        <f aca="false">IF(B3718="","",VALUE(LEFT(B3718,2)))</f>
        <v/>
      </c>
      <c r="M3718" s="0" t="str">
        <f aca="false">IF(A3718="","",IF(COUNTIFS($C$2:$C$5001,C3718,$J$2:$J$5001,J3718,$A$2:$A$5001,"&lt;"&amp;A3718)=0,1,0))</f>
        <v/>
      </c>
    </row>
    <row r="3719" customFormat="false" ht="15" hidden="false" customHeight="false" outlineLevel="0" collapsed="false">
      <c r="A3719" s="27"/>
      <c r="F3719" s="28"/>
      <c r="J3719" s="0" t="str">
        <f aca="false">IF(A3719="","",YEAR(A3719))</f>
        <v/>
      </c>
      <c r="K3719" s="0" t="str">
        <f aca="false">IF(A3719="","",MONTH(A3719))</f>
        <v/>
      </c>
      <c r="L3719" s="0" t="str">
        <f aca="false">IF(B3719="","",VALUE(LEFT(B3719,2)))</f>
        <v/>
      </c>
      <c r="M3719" s="0" t="str">
        <f aca="false">IF(A3719="","",IF(COUNTIFS($C$2:$C$5001,C3719,$J$2:$J$5001,J3719,$A$2:$A$5001,"&lt;"&amp;A3719)=0,1,0))</f>
        <v/>
      </c>
    </row>
    <row r="3720" customFormat="false" ht="15" hidden="false" customHeight="false" outlineLevel="0" collapsed="false">
      <c r="A3720" s="27"/>
      <c r="F3720" s="28"/>
      <c r="J3720" s="0" t="str">
        <f aca="false">IF(A3720="","",YEAR(A3720))</f>
        <v/>
      </c>
      <c r="K3720" s="0" t="str">
        <f aca="false">IF(A3720="","",MONTH(A3720))</f>
        <v/>
      </c>
      <c r="L3720" s="0" t="str">
        <f aca="false">IF(B3720="","",VALUE(LEFT(B3720,2)))</f>
        <v/>
      </c>
      <c r="M3720" s="0" t="str">
        <f aca="false">IF(A3720="","",IF(COUNTIFS($C$2:$C$5001,C3720,$J$2:$J$5001,J3720,$A$2:$A$5001,"&lt;"&amp;A3720)=0,1,0))</f>
        <v/>
      </c>
    </row>
    <row r="3721" customFormat="false" ht="15" hidden="false" customHeight="false" outlineLevel="0" collapsed="false">
      <c r="A3721" s="27"/>
      <c r="F3721" s="28"/>
      <c r="J3721" s="0" t="str">
        <f aca="false">IF(A3721="","",YEAR(A3721))</f>
        <v/>
      </c>
      <c r="K3721" s="0" t="str">
        <f aca="false">IF(A3721="","",MONTH(A3721))</f>
        <v/>
      </c>
      <c r="L3721" s="0" t="str">
        <f aca="false">IF(B3721="","",VALUE(LEFT(B3721,2)))</f>
        <v/>
      </c>
      <c r="M3721" s="0" t="str">
        <f aca="false">IF(A3721="","",IF(COUNTIFS($C$2:$C$5001,C3721,$J$2:$J$5001,J3721,$A$2:$A$5001,"&lt;"&amp;A3721)=0,1,0))</f>
        <v/>
      </c>
    </row>
    <row r="3722" customFormat="false" ht="15" hidden="false" customHeight="false" outlineLevel="0" collapsed="false">
      <c r="A3722" s="27"/>
      <c r="F3722" s="28"/>
      <c r="J3722" s="0" t="str">
        <f aca="false">IF(A3722="","",YEAR(A3722))</f>
        <v/>
      </c>
      <c r="K3722" s="0" t="str">
        <f aca="false">IF(A3722="","",MONTH(A3722))</f>
        <v/>
      </c>
      <c r="L3722" s="0" t="str">
        <f aca="false">IF(B3722="","",VALUE(LEFT(B3722,2)))</f>
        <v/>
      </c>
      <c r="M3722" s="0" t="str">
        <f aca="false">IF(A3722="","",IF(COUNTIFS($C$2:$C$5001,C3722,$J$2:$J$5001,J3722,$A$2:$A$5001,"&lt;"&amp;A3722)=0,1,0))</f>
        <v/>
      </c>
    </row>
    <row r="3723" customFormat="false" ht="15" hidden="false" customHeight="false" outlineLevel="0" collapsed="false">
      <c r="A3723" s="27"/>
      <c r="F3723" s="28"/>
      <c r="J3723" s="0" t="str">
        <f aca="false">IF(A3723="","",YEAR(A3723))</f>
        <v/>
      </c>
      <c r="K3723" s="0" t="str">
        <f aca="false">IF(A3723="","",MONTH(A3723))</f>
        <v/>
      </c>
      <c r="L3723" s="0" t="str">
        <f aca="false">IF(B3723="","",VALUE(LEFT(B3723,2)))</f>
        <v/>
      </c>
      <c r="M3723" s="0" t="str">
        <f aca="false">IF(A3723="","",IF(COUNTIFS($C$2:$C$5001,C3723,$J$2:$J$5001,J3723,$A$2:$A$5001,"&lt;"&amp;A3723)=0,1,0))</f>
        <v/>
      </c>
    </row>
    <row r="3724" customFormat="false" ht="15" hidden="false" customHeight="false" outlineLevel="0" collapsed="false">
      <c r="A3724" s="27"/>
      <c r="F3724" s="28"/>
      <c r="J3724" s="0" t="str">
        <f aca="false">IF(A3724="","",YEAR(A3724))</f>
        <v/>
      </c>
      <c r="K3724" s="0" t="str">
        <f aca="false">IF(A3724="","",MONTH(A3724))</f>
        <v/>
      </c>
      <c r="L3724" s="0" t="str">
        <f aca="false">IF(B3724="","",VALUE(LEFT(B3724,2)))</f>
        <v/>
      </c>
      <c r="M3724" s="0" t="str">
        <f aca="false">IF(A3724="","",IF(COUNTIFS($C$2:$C$5001,C3724,$J$2:$J$5001,J3724,$A$2:$A$5001,"&lt;"&amp;A3724)=0,1,0))</f>
        <v/>
      </c>
    </row>
    <row r="3725" customFormat="false" ht="15" hidden="false" customHeight="false" outlineLevel="0" collapsed="false">
      <c r="A3725" s="27"/>
      <c r="F3725" s="28"/>
      <c r="J3725" s="0" t="str">
        <f aca="false">IF(A3725="","",YEAR(A3725))</f>
        <v/>
      </c>
      <c r="K3725" s="0" t="str">
        <f aca="false">IF(A3725="","",MONTH(A3725))</f>
        <v/>
      </c>
      <c r="L3725" s="0" t="str">
        <f aca="false">IF(B3725="","",VALUE(LEFT(B3725,2)))</f>
        <v/>
      </c>
      <c r="M3725" s="0" t="str">
        <f aca="false">IF(A3725="","",IF(COUNTIFS($C$2:$C$5001,C3725,$J$2:$J$5001,J3725,$A$2:$A$5001,"&lt;"&amp;A3725)=0,1,0))</f>
        <v/>
      </c>
    </row>
    <row r="3726" customFormat="false" ht="15" hidden="false" customHeight="false" outlineLevel="0" collapsed="false">
      <c r="A3726" s="27"/>
      <c r="F3726" s="28"/>
      <c r="J3726" s="0" t="str">
        <f aca="false">IF(A3726="","",YEAR(A3726))</f>
        <v/>
      </c>
      <c r="K3726" s="0" t="str">
        <f aca="false">IF(A3726="","",MONTH(A3726))</f>
        <v/>
      </c>
      <c r="L3726" s="0" t="str">
        <f aca="false">IF(B3726="","",VALUE(LEFT(B3726,2)))</f>
        <v/>
      </c>
      <c r="M3726" s="0" t="str">
        <f aca="false">IF(A3726="","",IF(COUNTIFS($C$2:$C$5001,C3726,$J$2:$J$5001,J3726,$A$2:$A$5001,"&lt;"&amp;A3726)=0,1,0))</f>
        <v/>
      </c>
    </row>
    <row r="3727" customFormat="false" ht="15" hidden="false" customHeight="false" outlineLevel="0" collapsed="false">
      <c r="A3727" s="27"/>
      <c r="F3727" s="28"/>
      <c r="J3727" s="0" t="str">
        <f aca="false">IF(A3727="","",YEAR(A3727))</f>
        <v/>
      </c>
      <c r="K3727" s="0" t="str">
        <f aca="false">IF(A3727="","",MONTH(A3727))</f>
        <v/>
      </c>
      <c r="L3727" s="0" t="str">
        <f aca="false">IF(B3727="","",VALUE(LEFT(B3727,2)))</f>
        <v/>
      </c>
      <c r="M3727" s="0" t="str">
        <f aca="false">IF(A3727="","",IF(COUNTIFS($C$2:$C$5001,C3727,$J$2:$J$5001,J3727,$A$2:$A$5001,"&lt;"&amp;A3727)=0,1,0))</f>
        <v/>
      </c>
    </row>
    <row r="3728" customFormat="false" ht="15" hidden="false" customHeight="false" outlineLevel="0" collapsed="false">
      <c r="A3728" s="27"/>
      <c r="F3728" s="28"/>
      <c r="J3728" s="0" t="str">
        <f aca="false">IF(A3728="","",YEAR(A3728))</f>
        <v/>
      </c>
      <c r="K3728" s="0" t="str">
        <f aca="false">IF(A3728="","",MONTH(A3728))</f>
        <v/>
      </c>
      <c r="L3728" s="0" t="str">
        <f aca="false">IF(B3728="","",VALUE(LEFT(B3728,2)))</f>
        <v/>
      </c>
      <c r="M3728" s="0" t="str">
        <f aca="false">IF(A3728="","",IF(COUNTIFS($C$2:$C$5001,C3728,$J$2:$J$5001,J3728,$A$2:$A$5001,"&lt;"&amp;A3728)=0,1,0))</f>
        <v/>
      </c>
    </row>
    <row r="3729" customFormat="false" ht="15" hidden="false" customHeight="false" outlineLevel="0" collapsed="false">
      <c r="A3729" s="27"/>
      <c r="F3729" s="28"/>
      <c r="J3729" s="0" t="str">
        <f aca="false">IF(A3729="","",YEAR(A3729))</f>
        <v/>
      </c>
      <c r="K3729" s="0" t="str">
        <f aca="false">IF(A3729="","",MONTH(A3729))</f>
        <v/>
      </c>
      <c r="L3729" s="0" t="str">
        <f aca="false">IF(B3729="","",VALUE(LEFT(B3729,2)))</f>
        <v/>
      </c>
      <c r="M3729" s="0" t="str">
        <f aca="false">IF(A3729="","",IF(COUNTIFS($C$2:$C$5001,C3729,$J$2:$J$5001,J3729,$A$2:$A$5001,"&lt;"&amp;A3729)=0,1,0))</f>
        <v/>
      </c>
    </row>
    <row r="3730" customFormat="false" ht="15" hidden="false" customHeight="false" outlineLevel="0" collapsed="false">
      <c r="A3730" s="27"/>
      <c r="F3730" s="28"/>
      <c r="J3730" s="0" t="str">
        <f aca="false">IF(A3730="","",YEAR(A3730))</f>
        <v/>
      </c>
      <c r="K3730" s="0" t="str">
        <f aca="false">IF(A3730="","",MONTH(A3730))</f>
        <v/>
      </c>
      <c r="L3730" s="0" t="str">
        <f aca="false">IF(B3730="","",VALUE(LEFT(B3730,2)))</f>
        <v/>
      </c>
      <c r="M3730" s="0" t="str">
        <f aca="false">IF(A3730="","",IF(COUNTIFS($C$2:$C$5001,C3730,$J$2:$J$5001,J3730,$A$2:$A$5001,"&lt;"&amp;A3730)=0,1,0))</f>
        <v/>
      </c>
    </row>
    <row r="3731" customFormat="false" ht="15" hidden="false" customHeight="false" outlineLevel="0" collapsed="false">
      <c r="A3731" s="27"/>
      <c r="F3731" s="28"/>
      <c r="J3731" s="0" t="str">
        <f aca="false">IF(A3731="","",YEAR(A3731))</f>
        <v/>
      </c>
      <c r="K3731" s="0" t="str">
        <f aca="false">IF(A3731="","",MONTH(A3731))</f>
        <v/>
      </c>
      <c r="L3731" s="0" t="str">
        <f aca="false">IF(B3731="","",VALUE(LEFT(B3731,2)))</f>
        <v/>
      </c>
      <c r="M3731" s="0" t="str">
        <f aca="false">IF(A3731="","",IF(COUNTIFS($C$2:$C$5001,C3731,$J$2:$J$5001,J3731,$A$2:$A$5001,"&lt;"&amp;A3731)=0,1,0))</f>
        <v/>
      </c>
    </row>
    <row r="3732" customFormat="false" ht="15" hidden="false" customHeight="false" outlineLevel="0" collapsed="false">
      <c r="A3732" s="27"/>
      <c r="F3732" s="28"/>
      <c r="J3732" s="0" t="str">
        <f aca="false">IF(A3732="","",YEAR(A3732))</f>
        <v/>
      </c>
      <c r="K3732" s="0" t="str">
        <f aca="false">IF(A3732="","",MONTH(A3732))</f>
        <v/>
      </c>
      <c r="L3732" s="0" t="str">
        <f aca="false">IF(B3732="","",VALUE(LEFT(B3732,2)))</f>
        <v/>
      </c>
      <c r="M3732" s="0" t="str">
        <f aca="false">IF(A3732="","",IF(COUNTIFS($C$2:$C$5001,C3732,$J$2:$J$5001,J3732,$A$2:$A$5001,"&lt;"&amp;A3732)=0,1,0))</f>
        <v/>
      </c>
    </row>
    <row r="3733" customFormat="false" ht="15" hidden="false" customHeight="false" outlineLevel="0" collapsed="false">
      <c r="A3733" s="27"/>
      <c r="F3733" s="28"/>
      <c r="J3733" s="0" t="str">
        <f aca="false">IF(A3733="","",YEAR(A3733))</f>
        <v/>
      </c>
      <c r="K3733" s="0" t="str">
        <f aca="false">IF(A3733="","",MONTH(A3733))</f>
        <v/>
      </c>
      <c r="L3733" s="0" t="str">
        <f aca="false">IF(B3733="","",VALUE(LEFT(B3733,2)))</f>
        <v/>
      </c>
      <c r="M3733" s="0" t="str">
        <f aca="false">IF(A3733="","",IF(COUNTIFS($C$2:$C$5001,C3733,$J$2:$J$5001,J3733,$A$2:$A$5001,"&lt;"&amp;A3733)=0,1,0))</f>
        <v/>
      </c>
    </row>
    <row r="3734" customFormat="false" ht="15" hidden="false" customHeight="false" outlineLevel="0" collapsed="false">
      <c r="A3734" s="27"/>
      <c r="F3734" s="28"/>
      <c r="J3734" s="0" t="str">
        <f aca="false">IF(A3734="","",YEAR(A3734))</f>
        <v/>
      </c>
      <c r="K3734" s="0" t="str">
        <f aca="false">IF(A3734="","",MONTH(A3734))</f>
        <v/>
      </c>
      <c r="L3734" s="0" t="str">
        <f aca="false">IF(B3734="","",VALUE(LEFT(B3734,2)))</f>
        <v/>
      </c>
      <c r="M3734" s="0" t="str">
        <f aca="false">IF(A3734="","",IF(COUNTIFS($C$2:$C$5001,C3734,$J$2:$J$5001,J3734,$A$2:$A$5001,"&lt;"&amp;A3734)=0,1,0))</f>
        <v/>
      </c>
    </row>
    <row r="3735" customFormat="false" ht="15" hidden="false" customHeight="false" outlineLevel="0" collapsed="false">
      <c r="A3735" s="27"/>
      <c r="F3735" s="28"/>
      <c r="J3735" s="0" t="str">
        <f aca="false">IF(A3735="","",YEAR(A3735))</f>
        <v/>
      </c>
      <c r="K3735" s="0" t="str">
        <f aca="false">IF(A3735="","",MONTH(A3735))</f>
        <v/>
      </c>
      <c r="L3735" s="0" t="str">
        <f aca="false">IF(B3735="","",VALUE(LEFT(B3735,2)))</f>
        <v/>
      </c>
      <c r="M3735" s="0" t="str">
        <f aca="false">IF(A3735="","",IF(COUNTIFS($C$2:$C$5001,C3735,$J$2:$J$5001,J3735,$A$2:$A$5001,"&lt;"&amp;A3735)=0,1,0))</f>
        <v/>
      </c>
    </row>
    <row r="3736" customFormat="false" ht="15" hidden="false" customHeight="false" outlineLevel="0" collapsed="false">
      <c r="A3736" s="27"/>
      <c r="F3736" s="28"/>
      <c r="J3736" s="0" t="str">
        <f aca="false">IF(A3736="","",YEAR(A3736))</f>
        <v/>
      </c>
      <c r="K3736" s="0" t="str">
        <f aca="false">IF(A3736="","",MONTH(A3736))</f>
        <v/>
      </c>
      <c r="L3736" s="0" t="str">
        <f aca="false">IF(B3736="","",VALUE(LEFT(B3736,2)))</f>
        <v/>
      </c>
      <c r="M3736" s="0" t="str">
        <f aca="false">IF(A3736="","",IF(COUNTIFS($C$2:$C$5001,C3736,$J$2:$J$5001,J3736,$A$2:$A$5001,"&lt;"&amp;A3736)=0,1,0))</f>
        <v/>
      </c>
    </row>
    <row r="3737" customFormat="false" ht="15" hidden="false" customHeight="false" outlineLevel="0" collapsed="false">
      <c r="A3737" s="27"/>
      <c r="F3737" s="28"/>
      <c r="J3737" s="0" t="str">
        <f aca="false">IF(A3737="","",YEAR(A3737))</f>
        <v/>
      </c>
      <c r="K3737" s="0" t="str">
        <f aca="false">IF(A3737="","",MONTH(A3737))</f>
        <v/>
      </c>
      <c r="L3737" s="0" t="str">
        <f aca="false">IF(B3737="","",VALUE(LEFT(B3737,2)))</f>
        <v/>
      </c>
      <c r="M3737" s="0" t="str">
        <f aca="false">IF(A3737="","",IF(COUNTIFS($C$2:$C$5001,C3737,$J$2:$J$5001,J3737,$A$2:$A$5001,"&lt;"&amp;A3737)=0,1,0))</f>
        <v/>
      </c>
    </row>
    <row r="3738" customFormat="false" ht="15" hidden="false" customHeight="false" outlineLevel="0" collapsed="false">
      <c r="A3738" s="27"/>
      <c r="F3738" s="28"/>
      <c r="J3738" s="0" t="str">
        <f aca="false">IF(A3738="","",YEAR(A3738))</f>
        <v/>
      </c>
      <c r="K3738" s="0" t="str">
        <f aca="false">IF(A3738="","",MONTH(A3738))</f>
        <v/>
      </c>
      <c r="L3738" s="0" t="str">
        <f aca="false">IF(B3738="","",VALUE(LEFT(B3738,2)))</f>
        <v/>
      </c>
      <c r="M3738" s="0" t="str">
        <f aca="false">IF(A3738="","",IF(COUNTIFS($C$2:$C$5001,C3738,$J$2:$J$5001,J3738,$A$2:$A$5001,"&lt;"&amp;A3738)=0,1,0))</f>
        <v/>
      </c>
    </row>
    <row r="3739" customFormat="false" ht="15" hidden="false" customHeight="false" outlineLevel="0" collapsed="false">
      <c r="A3739" s="27"/>
      <c r="F3739" s="28"/>
      <c r="J3739" s="0" t="str">
        <f aca="false">IF(A3739="","",YEAR(A3739))</f>
        <v/>
      </c>
      <c r="K3739" s="0" t="str">
        <f aca="false">IF(A3739="","",MONTH(A3739))</f>
        <v/>
      </c>
      <c r="L3739" s="0" t="str">
        <f aca="false">IF(B3739="","",VALUE(LEFT(B3739,2)))</f>
        <v/>
      </c>
      <c r="M3739" s="0" t="str">
        <f aca="false">IF(A3739="","",IF(COUNTIFS($C$2:$C$5001,C3739,$J$2:$J$5001,J3739,$A$2:$A$5001,"&lt;"&amp;A3739)=0,1,0))</f>
        <v/>
      </c>
    </row>
    <row r="3740" customFormat="false" ht="15" hidden="false" customHeight="false" outlineLevel="0" collapsed="false">
      <c r="A3740" s="27"/>
      <c r="F3740" s="28"/>
      <c r="J3740" s="0" t="str">
        <f aca="false">IF(A3740="","",YEAR(A3740))</f>
        <v/>
      </c>
      <c r="K3740" s="0" t="str">
        <f aca="false">IF(A3740="","",MONTH(A3740))</f>
        <v/>
      </c>
      <c r="L3740" s="0" t="str">
        <f aca="false">IF(B3740="","",VALUE(LEFT(B3740,2)))</f>
        <v/>
      </c>
      <c r="M3740" s="0" t="str">
        <f aca="false">IF(A3740="","",IF(COUNTIFS($C$2:$C$5001,C3740,$J$2:$J$5001,J3740,$A$2:$A$5001,"&lt;"&amp;A3740)=0,1,0))</f>
        <v/>
      </c>
    </row>
    <row r="3741" customFormat="false" ht="15" hidden="false" customHeight="false" outlineLevel="0" collapsed="false">
      <c r="A3741" s="27"/>
      <c r="F3741" s="28"/>
      <c r="J3741" s="0" t="str">
        <f aca="false">IF(A3741="","",YEAR(A3741))</f>
        <v/>
      </c>
      <c r="K3741" s="0" t="str">
        <f aca="false">IF(A3741="","",MONTH(A3741))</f>
        <v/>
      </c>
      <c r="L3741" s="0" t="str">
        <f aca="false">IF(B3741="","",VALUE(LEFT(B3741,2)))</f>
        <v/>
      </c>
      <c r="M3741" s="0" t="str">
        <f aca="false">IF(A3741="","",IF(COUNTIFS($C$2:$C$5001,C3741,$J$2:$J$5001,J3741,$A$2:$A$5001,"&lt;"&amp;A3741)=0,1,0))</f>
        <v/>
      </c>
    </row>
    <row r="3742" customFormat="false" ht="15" hidden="false" customHeight="false" outlineLevel="0" collapsed="false">
      <c r="A3742" s="27"/>
      <c r="F3742" s="28"/>
      <c r="J3742" s="0" t="str">
        <f aca="false">IF(A3742="","",YEAR(A3742))</f>
        <v/>
      </c>
      <c r="K3742" s="0" t="str">
        <f aca="false">IF(A3742="","",MONTH(A3742))</f>
        <v/>
      </c>
      <c r="L3742" s="0" t="str">
        <f aca="false">IF(B3742="","",VALUE(LEFT(B3742,2)))</f>
        <v/>
      </c>
      <c r="M3742" s="0" t="str">
        <f aca="false">IF(A3742="","",IF(COUNTIFS($C$2:$C$5001,C3742,$J$2:$J$5001,J3742,$A$2:$A$5001,"&lt;"&amp;A3742)=0,1,0))</f>
        <v/>
      </c>
    </row>
    <row r="3743" customFormat="false" ht="15" hidden="false" customHeight="false" outlineLevel="0" collapsed="false">
      <c r="A3743" s="27"/>
      <c r="F3743" s="28"/>
      <c r="J3743" s="0" t="str">
        <f aca="false">IF(A3743="","",YEAR(A3743))</f>
        <v/>
      </c>
      <c r="K3743" s="0" t="str">
        <f aca="false">IF(A3743="","",MONTH(A3743))</f>
        <v/>
      </c>
      <c r="L3743" s="0" t="str">
        <f aca="false">IF(B3743="","",VALUE(LEFT(B3743,2)))</f>
        <v/>
      </c>
      <c r="M3743" s="0" t="str">
        <f aca="false">IF(A3743="","",IF(COUNTIFS($C$2:$C$5001,C3743,$J$2:$J$5001,J3743,$A$2:$A$5001,"&lt;"&amp;A3743)=0,1,0))</f>
        <v/>
      </c>
    </row>
    <row r="3744" customFormat="false" ht="15" hidden="false" customHeight="false" outlineLevel="0" collapsed="false">
      <c r="A3744" s="27"/>
      <c r="F3744" s="28"/>
      <c r="J3744" s="0" t="str">
        <f aca="false">IF(A3744="","",YEAR(A3744))</f>
        <v/>
      </c>
      <c r="K3744" s="0" t="str">
        <f aca="false">IF(A3744="","",MONTH(A3744))</f>
        <v/>
      </c>
      <c r="L3744" s="0" t="str">
        <f aca="false">IF(B3744="","",VALUE(LEFT(B3744,2)))</f>
        <v/>
      </c>
      <c r="M3744" s="0" t="str">
        <f aca="false">IF(A3744="","",IF(COUNTIFS($C$2:$C$5001,C3744,$J$2:$J$5001,J3744,$A$2:$A$5001,"&lt;"&amp;A3744)=0,1,0))</f>
        <v/>
      </c>
    </row>
    <row r="3745" customFormat="false" ht="15" hidden="false" customHeight="false" outlineLevel="0" collapsed="false">
      <c r="A3745" s="27"/>
      <c r="F3745" s="28"/>
      <c r="J3745" s="0" t="str">
        <f aca="false">IF(A3745="","",YEAR(A3745))</f>
        <v/>
      </c>
      <c r="K3745" s="0" t="str">
        <f aca="false">IF(A3745="","",MONTH(A3745))</f>
        <v/>
      </c>
      <c r="L3745" s="0" t="str">
        <f aca="false">IF(B3745="","",VALUE(LEFT(B3745,2)))</f>
        <v/>
      </c>
      <c r="M3745" s="0" t="str">
        <f aca="false">IF(A3745="","",IF(COUNTIFS($C$2:$C$5001,C3745,$J$2:$J$5001,J3745,$A$2:$A$5001,"&lt;"&amp;A3745)=0,1,0))</f>
        <v/>
      </c>
    </row>
    <row r="3746" customFormat="false" ht="15" hidden="false" customHeight="false" outlineLevel="0" collapsed="false">
      <c r="A3746" s="27"/>
      <c r="F3746" s="28"/>
      <c r="J3746" s="0" t="str">
        <f aca="false">IF(A3746="","",YEAR(A3746))</f>
        <v/>
      </c>
      <c r="K3746" s="0" t="str">
        <f aca="false">IF(A3746="","",MONTH(A3746))</f>
        <v/>
      </c>
      <c r="L3746" s="0" t="str">
        <f aca="false">IF(B3746="","",VALUE(LEFT(B3746,2)))</f>
        <v/>
      </c>
      <c r="M3746" s="0" t="str">
        <f aca="false">IF(A3746="","",IF(COUNTIFS($C$2:$C$5001,C3746,$J$2:$J$5001,J3746,$A$2:$A$5001,"&lt;"&amp;A3746)=0,1,0))</f>
        <v/>
      </c>
    </row>
    <row r="3747" customFormat="false" ht="15" hidden="false" customHeight="false" outlineLevel="0" collapsed="false">
      <c r="A3747" s="27"/>
      <c r="F3747" s="28"/>
      <c r="J3747" s="0" t="str">
        <f aca="false">IF(A3747="","",YEAR(A3747))</f>
        <v/>
      </c>
      <c r="K3747" s="0" t="str">
        <f aca="false">IF(A3747="","",MONTH(A3747))</f>
        <v/>
      </c>
      <c r="L3747" s="0" t="str">
        <f aca="false">IF(B3747="","",VALUE(LEFT(B3747,2)))</f>
        <v/>
      </c>
      <c r="M3747" s="0" t="str">
        <f aca="false">IF(A3747="","",IF(COUNTIFS($C$2:$C$5001,C3747,$J$2:$J$5001,J3747,$A$2:$A$5001,"&lt;"&amp;A3747)=0,1,0))</f>
        <v/>
      </c>
    </row>
    <row r="3748" customFormat="false" ht="15" hidden="false" customHeight="false" outlineLevel="0" collapsed="false">
      <c r="A3748" s="27"/>
      <c r="F3748" s="28"/>
      <c r="J3748" s="0" t="str">
        <f aca="false">IF(A3748="","",YEAR(A3748))</f>
        <v/>
      </c>
      <c r="K3748" s="0" t="str">
        <f aca="false">IF(A3748="","",MONTH(A3748))</f>
        <v/>
      </c>
      <c r="L3748" s="0" t="str">
        <f aca="false">IF(B3748="","",VALUE(LEFT(B3748,2)))</f>
        <v/>
      </c>
      <c r="M3748" s="0" t="str">
        <f aca="false">IF(A3748="","",IF(COUNTIFS($C$2:$C$5001,C3748,$J$2:$J$5001,J3748,$A$2:$A$5001,"&lt;"&amp;A3748)=0,1,0))</f>
        <v/>
      </c>
    </row>
    <row r="3749" customFormat="false" ht="15" hidden="false" customHeight="false" outlineLevel="0" collapsed="false">
      <c r="A3749" s="27"/>
      <c r="F3749" s="28"/>
      <c r="J3749" s="0" t="str">
        <f aca="false">IF(A3749="","",YEAR(A3749))</f>
        <v/>
      </c>
      <c r="K3749" s="0" t="str">
        <f aca="false">IF(A3749="","",MONTH(A3749))</f>
        <v/>
      </c>
      <c r="L3749" s="0" t="str">
        <f aca="false">IF(B3749="","",VALUE(LEFT(B3749,2)))</f>
        <v/>
      </c>
      <c r="M3749" s="0" t="str">
        <f aca="false">IF(A3749="","",IF(COUNTIFS($C$2:$C$5001,C3749,$J$2:$J$5001,J3749,$A$2:$A$5001,"&lt;"&amp;A3749)=0,1,0))</f>
        <v/>
      </c>
    </row>
    <row r="3750" customFormat="false" ht="15" hidden="false" customHeight="false" outlineLevel="0" collapsed="false">
      <c r="A3750" s="27"/>
      <c r="F3750" s="28"/>
      <c r="J3750" s="0" t="str">
        <f aca="false">IF(A3750="","",YEAR(A3750))</f>
        <v/>
      </c>
      <c r="K3750" s="0" t="str">
        <f aca="false">IF(A3750="","",MONTH(A3750))</f>
        <v/>
      </c>
      <c r="L3750" s="0" t="str">
        <f aca="false">IF(B3750="","",VALUE(LEFT(B3750,2)))</f>
        <v/>
      </c>
      <c r="M3750" s="0" t="str">
        <f aca="false">IF(A3750="","",IF(COUNTIFS($C$2:$C$5001,C3750,$J$2:$J$5001,J3750,$A$2:$A$5001,"&lt;"&amp;A3750)=0,1,0))</f>
        <v/>
      </c>
    </row>
    <row r="3751" customFormat="false" ht="15" hidden="false" customHeight="false" outlineLevel="0" collapsed="false">
      <c r="A3751" s="27"/>
      <c r="F3751" s="28"/>
      <c r="J3751" s="0" t="str">
        <f aca="false">IF(A3751="","",YEAR(A3751))</f>
        <v/>
      </c>
      <c r="K3751" s="0" t="str">
        <f aca="false">IF(A3751="","",MONTH(A3751))</f>
        <v/>
      </c>
      <c r="L3751" s="0" t="str">
        <f aca="false">IF(B3751="","",VALUE(LEFT(B3751,2)))</f>
        <v/>
      </c>
      <c r="M3751" s="0" t="str">
        <f aca="false">IF(A3751="","",IF(COUNTIFS($C$2:$C$5001,C3751,$J$2:$J$5001,J3751,$A$2:$A$5001,"&lt;"&amp;A3751)=0,1,0))</f>
        <v/>
      </c>
    </row>
    <row r="3752" customFormat="false" ht="15" hidden="false" customHeight="false" outlineLevel="0" collapsed="false">
      <c r="A3752" s="27"/>
      <c r="F3752" s="28"/>
      <c r="J3752" s="0" t="str">
        <f aca="false">IF(A3752="","",YEAR(A3752))</f>
        <v/>
      </c>
      <c r="K3752" s="0" t="str">
        <f aca="false">IF(A3752="","",MONTH(A3752))</f>
        <v/>
      </c>
      <c r="L3752" s="0" t="str">
        <f aca="false">IF(B3752="","",VALUE(LEFT(B3752,2)))</f>
        <v/>
      </c>
      <c r="M3752" s="0" t="str">
        <f aca="false">IF(A3752="","",IF(COUNTIFS($C$2:$C$5001,C3752,$J$2:$J$5001,J3752,$A$2:$A$5001,"&lt;"&amp;A3752)=0,1,0))</f>
        <v/>
      </c>
    </row>
    <row r="3753" customFormat="false" ht="15" hidden="false" customHeight="false" outlineLevel="0" collapsed="false">
      <c r="A3753" s="27"/>
      <c r="F3753" s="28"/>
      <c r="J3753" s="0" t="str">
        <f aca="false">IF(A3753="","",YEAR(A3753))</f>
        <v/>
      </c>
      <c r="K3753" s="0" t="str">
        <f aca="false">IF(A3753="","",MONTH(A3753))</f>
        <v/>
      </c>
      <c r="L3753" s="0" t="str">
        <f aca="false">IF(B3753="","",VALUE(LEFT(B3753,2)))</f>
        <v/>
      </c>
      <c r="M3753" s="0" t="str">
        <f aca="false">IF(A3753="","",IF(COUNTIFS($C$2:$C$5001,C3753,$J$2:$J$5001,J3753,$A$2:$A$5001,"&lt;"&amp;A3753)=0,1,0))</f>
        <v/>
      </c>
    </row>
    <row r="3754" customFormat="false" ht="15" hidden="false" customHeight="false" outlineLevel="0" collapsed="false">
      <c r="A3754" s="27"/>
      <c r="F3754" s="28"/>
      <c r="J3754" s="0" t="str">
        <f aca="false">IF(A3754="","",YEAR(A3754))</f>
        <v/>
      </c>
      <c r="K3754" s="0" t="str">
        <f aca="false">IF(A3754="","",MONTH(A3754))</f>
        <v/>
      </c>
      <c r="L3754" s="0" t="str">
        <f aca="false">IF(B3754="","",VALUE(LEFT(B3754,2)))</f>
        <v/>
      </c>
      <c r="M3754" s="0" t="str">
        <f aca="false">IF(A3754="","",IF(COUNTIFS($C$2:$C$5001,C3754,$J$2:$J$5001,J3754,$A$2:$A$5001,"&lt;"&amp;A3754)=0,1,0))</f>
        <v/>
      </c>
    </row>
    <row r="3755" customFormat="false" ht="15" hidden="false" customHeight="false" outlineLevel="0" collapsed="false">
      <c r="A3755" s="27"/>
      <c r="F3755" s="28"/>
      <c r="J3755" s="0" t="str">
        <f aca="false">IF(A3755="","",YEAR(A3755))</f>
        <v/>
      </c>
      <c r="K3755" s="0" t="str">
        <f aca="false">IF(A3755="","",MONTH(A3755))</f>
        <v/>
      </c>
      <c r="L3755" s="0" t="str">
        <f aca="false">IF(B3755="","",VALUE(LEFT(B3755,2)))</f>
        <v/>
      </c>
      <c r="M3755" s="0" t="str">
        <f aca="false">IF(A3755="","",IF(COUNTIFS($C$2:$C$5001,C3755,$J$2:$J$5001,J3755,$A$2:$A$5001,"&lt;"&amp;A3755)=0,1,0))</f>
        <v/>
      </c>
    </row>
    <row r="3756" customFormat="false" ht="15" hidden="false" customHeight="false" outlineLevel="0" collapsed="false">
      <c r="A3756" s="27"/>
      <c r="F3756" s="28"/>
      <c r="J3756" s="0" t="str">
        <f aca="false">IF(A3756="","",YEAR(A3756))</f>
        <v/>
      </c>
      <c r="K3756" s="0" t="str">
        <f aca="false">IF(A3756="","",MONTH(A3756))</f>
        <v/>
      </c>
      <c r="L3756" s="0" t="str">
        <f aca="false">IF(B3756="","",VALUE(LEFT(B3756,2)))</f>
        <v/>
      </c>
      <c r="M3756" s="0" t="str">
        <f aca="false">IF(A3756="","",IF(COUNTIFS($C$2:$C$5001,C3756,$J$2:$J$5001,J3756,$A$2:$A$5001,"&lt;"&amp;A3756)=0,1,0))</f>
        <v/>
      </c>
    </row>
    <row r="3757" customFormat="false" ht="15" hidden="false" customHeight="false" outlineLevel="0" collapsed="false">
      <c r="A3757" s="27"/>
      <c r="F3757" s="28"/>
      <c r="J3757" s="0" t="str">
        <f aca="false">IF(A3757="","",YEAR(A3757))</f>
        <v/>
      </c>
      <c r="K3757" s="0" t="str">
        <f aca="false">IF(A3757="","",MONTH(A3757))</f>
        <v/>
      </c>
      <c r="L3757" s="0" t="str">
        <f aca="false">IF(B3757="","",VALUE(LEFT(B3757,2)))</f>
        <v/>
      </c>
      <c r="M3757" s="0" t="str">
        <f aca="false">IF(A3757="","",IF(COUNTIFS($C$2:$C$5001,C3757,$J$2:$J$5001,J3757,$A$2:$A$5001,"&lt;"&amp;A3757)=0,1,0))</f>
        <v/>
      </c>
    </row>
    <row r="3758" customFormat="false" ht="15" hidden="false" customHeight="false" outlineLevel="0" collapsed="false">
      <c r="A3758" s="27"/>
      <c r="F3758" s="28"/>
      <c r="J3758" s="0" t="str">
        <f aca="false">IF(A3758="","",YEAR(A3758))</f>
        <v/>
      </c>
      <c r="K3758" s="0" t="str">
        <f aca="false">IF(A3758="","",MONTH(A3758))</f>
        <v/>
      </c>
      <c r="L3758" s="0" t="str">
        <f aca="false">IF(B3758="","",VALUE(LEFT(B3758,2)))</f>
        <v/>
      </c>
      <c r="M3758" s="0" t="str">
        <f aca="false">IF(A3758="","",IF(COUNTIFS($C$2:$C$5001,C3758,$J$2:$J$5001,J3758,$A$2:$A$5001,"&lt;"&amp;A3758)=0,1,0))</f>
        <v/>
      </c>
    </row>
    <row r="3759" customFormat="false" ht="15" hidden="false" customHeight="false" outlineLevel="0" collapsed="false">
      <c r="A3759" s="27"/>
      <c r="F3759" s="28"/>
      <c r="J3759" s="0" t="str">
        <f aca="false">IF(A3759="","",YEAR(A3759))</f>
        <v/>
      </c>
      <c r="K3759" s="0" t="str">
        <f aca="false">IF(A3759="","",MONTH(A3759))</f>
        <v/>
      </c>
      <c r="L3759" s="0" t="str">
        <f aca="false">IF(B3759="","",VALUE(LEFT(B3759,2)))</f>
        <v/>
      </c>
      <c r="M3759" s="0" t="str">
        <f aca="false">IF(A3759="","",IF(COUNTIFS($C$2:$C$5001,C3759,$J$2:$J$5001,J3759,$A$2:$A$5001,"&lt;"&amp;A3759)=0,1,0))</f>
        <v/>
      </c>
    </row>
    <row r="3760" customFormat="false" ht="15" hidden="false" customHeight="false" outlineLevel="0" collapsed="false">
      <c r="A3760" s="27"/>
      <c r="F3760" s="28"/>
      <c r="J3760" s="0" t="str">
        <f aca="false">IF(A3760="","",YEAR(A3760))</f>
        <v/>
      </c>
      <c r="K3760" s="0" t="str">
        <f aca="false">IF(A3760="","",MONTH(A3760))</f>
        <v/>
      </c>
      <c r="L3760" s="0" t="str">
        <f aca="false">IF(B3760="","",VALUE(LEFT(B3760,2)))</f>
        <v/>
      </c>
      <c r="M3760" s="0" t="str">
        <f aca="false">IF(A3760="","",IF(COUNTIFS($C$2:$C$5001,C3760,$J$2:$J$5001,J3760,$A$2:$A$5001,"&lt;"&amp;A3760)=0,1,0))</f>
        <v/>
      </c>
    </row>
    <row r="3761" customFormat="false" ht="15" hidden="false" customHeight="false" outlineLevel="0" collapsed="false">
      <c r="A3761" s="27"/>
      <c r="F3761" s="28"/>
      <c r="J3761" s="0" t="str">
        <f aca="false">IF(A3761="","",YEAR(A3761))</f>
        <v/>
      </c>
      <c r="K3761" s="0" t="str">
        <f aca="false">IF(A3761="","",MONTH(A3761))</f>
        <v/>
      </c>
      <c r="L3761" s="0" t="str">
        <f aca="false">IF(B3761="","",VALUE(LEFT(B3761,2)))</f>
        <v/>
      </c>
      <c r="M3761" s="0" t="str">
        <f aca="false">IF(A3761="","",IF(COUNTIFS($C$2:$C$5001,C3761,$J$2:$J$5001,J3761,$A$2:$A$5001,"&lt;"&amp;A3761)=0,1,0))</f>
        <v/>
      </c>
    </row>
    <row r="3762" customFormat="false" ht="15" hidden="false" customHeight="false" outlineLevel="0" collapsed="false">
      <c r="A3762" s="27"/>
      <c r="F3762" s="28"/>
      <c r="J3762" s="0" t="str">
        <f aca="false">IF(A3762="","",YEAR(A3762))</f>
        <v/>
      </c>
      <c r="K3762" s="0" t="str">
        <f aca="false">IF(A3762="","",MONTH(A3762))</f>
        <v/>
      </c>
      <c r="L3762" s="0" t="str">
        <f aca="false">IF(B3762="","",VALUE(LEFT(B3762,2)))</f>
        <v/>
      </c>
      <c r="M3762" s="0" t="str">
        <f aca="false">IF(A3762="","",IF(COUNTIFS($C$2:$C$5001,C3762,$J$2:$J$5001,J3762,$A$2:$A$5001,"&lt;"&amp;A3762)=0,1,0))</f>
        <v/>
      </c>
    </row>
    <row r="3763" customFormat="false" ht="15" hidden="false" customHeight="false" outlineLevel="0" collapsed="false">
      <c r="A3763" s="27"/>
      <c r="F3763" s="28"/>
      <c r="J3763" s="0" t="str">
        <f aca="false">IF(A3763="","",YEAR(A3763))</f>
        <v/>
      </c>
      <c r="K3763" s="0" t="str">
        <f aca="false">IF(A3763="","",MONTH(A3763))</f>
        <v/>
      </c>
      <c r="L3763" s="0" t="str">
        <f aca="false">IF(B3763="","",VALUE(LEFT(B3763,2)))</f>
        <v/>
      </c>
      <c r="M3763" s="0" t="str">
        <f aca="false">IF(A3763="","",IF(COUNTIFS($C$2:$C$5001,C3763,$J$2:$J$5001,J3763,$A$2:$A$5001,"&lt;"&amp;A3763)=0,1,0))</f>
        <v/>
      </c>
    </row>
    <row r="3764" customFormat="false" ht="15" hidden="false" customHeight="false" outlineLevel="0" collapsed="false">
      <c r="A3764" s="27"/>
      <c r="F3764" s="28"/>
      <c r="J3764" s="0" t="str">
        <f aca="false">IF(A3764="","",YEAR(A3764))</f>
        <v/>
      </c>
      <c r="K3764" s="0" t="str">
        <f aca="false">IF(A3764="","",MONTH(A3764))</f>
        <v/>
      </c>
      <c r="L3764" s="0" t="str">
        <f aca="false">IF(B3764="","",VALUE(LEFT(B3764,2)))</f>
        <v/>
      </c>
      <c r="M3764" s="0" t="str">
        <f aca="false">IF(A3764="","",IF(COUNTIFS($C$2:$C$5001,C3764,$J$2:$J$5001,J3764,$A$2:$A$5001,"&lt;"&amp;A3764)=0,1,0))</f>
        <v/>
      </c>
    </row>
    <row r="3765" customFormat="false" ht="15" hidden="false" customHeight="false" outlineLevel="0" collapsed="false">
      <c r="A3765" s="27"/>
      <c r="F3765" s="28"/>
      <c r="J3765" s="0" t="str">
        <f aca="false">IF(A3765="","",YEAR(A3765))</f>
        <v/>
      </c>
      <c r="K3765" s="0" t="str">
        <f aca="false">IF(A3765="","",MONTH(A3765))</f>
        <v/>
      </c>
      <c r="L3765" s="0" t="str">
        <f aca="false">IF(B3765="","",VALUE(LEFT(B3765,2)))</f>
        <v/>
      </c>
      <c r="M3765" s="0" t="str">
        <f aca="false">IF(A3765="","",IF(COUNTIFS($C$2:$C$5001,C3765,$J$2:$J$5001,J3765,$A$2:$A$5001,"&lt;"&amp;A3765)=0,1,0))</f>
        <v/>
      </c>
    </row>
    <row r="3766" customFormat="false" ht="15" hidden="false" customHeight="false" outlineLevel="0" collapsed="false">
      <c r="A3766" s="27"/>
      <c r="F3766" s="28"/>
      <c r="J3766" s="0" t="str">
        <f aca="false">IF(A3766="","",YEAR(A3766))</f>
        <v/>
      </c>
      <c r="K3766" s="0" t="str">
        <f aca="false">IF(A3766="","",MONTH(A3766))</f>
        <v/>
      </c>
      <c r="L3766" s="0" t="str">
        <f aca="false">IF(B3766="","",VALUE(LEFT(B3766,2)))</f>
        <v/>
      </c>
      <c r="M3766" s="0" t="str">
        <f aca="false">IF(A3766="","",IF(COUNTIFS($C$2:$C$5001,C3766,$J$2:$J$5001,J3766,$A$2:$A$5001,"&lt;"&amp;A3766)=0,1,0))</f>
        <v/>
      </c>
    </row>
    <row r="3767" customFormat="false" ht="15" hidden="false" customHeight="false" outlineLevel="0" collapsed="false">
      <c r="A3767" s="27"/>
      <c r="F3767" s="28"/>
      <c r="J3767" s="0" t="str">
        <f aca="false">IF(A3767="","",YEAR(A3767))</f>
        <v/>
      </c>
      <c r="K3767" s="0" t="str">
        <f aca="false">IF(A3767="","",MONTH(A3767))</f>
        <v/>
      </c>
      <c r="L3767" s="0" t="str">
        <f aca="false">IF(B3767="","",VALUE(LEFT(B3767,2)))</f>
        <v/>
      </c>
      <c r="M3767" s="0" t="str">
        <f aca="false">IF(A3767="","",IF(COUNTIFS($C$2:$C$5001,C3767,$J$2:$J$5001,J3767,$A$2:$A$5001,"&lt;"&amp;A3767)=0,1,0))</f>
        <v/>
      </c>
    </row>
    <row r="3768" customFormat="false" ht="15" hidden="false" customHeight="false" outlineLevel="0" collapsed="false">
      <c r="A3768" s="27"/>
      <c r="F3768" s="28"/>
      <c r="J3768" s="0" t="str">
        <f aca="false">IF(A3768="","",YEAR(A3768))</f>
        <v/>
      </c>
      <c r="K3768" s="0" t="str">
        <f aca="false">IF(A3768="","",MONTH(A3768))</f>
        <v/>
      </c>
      <c r="L3768" s="0" t="str">
        <f aca="false">IF(B3768="","",VALUE(LEFT(B3768,2)))</f>
        <v/>
      </c>
      <c r="M3768" s="0" t="str">
        <f aca="false">IF(A3768="","",IF(COUNTIFS($C$2:$C$5001,C3768,$J$2:$J$5001,J3768,$A$2:$A$5001,"&lt;"&amp;A3768)=0,1,0))</f>
        <v/>
      </c>
    </row>
    <row r="3769" customFormat="false" ht="15" hidden="false" customHeight="false" outlineLevel="0" collapsed="false">
      <c r="A3769" s="27"/>
      <c r="F3769" s="28"/>
      <c r="J3769" s="0" t="str">
        <f aca="false">IF(A3769="","",YEAR(A3769))</f>
        <v/>
      </c>
      <c r="K3769" s="0" t="str">
        <f aca="false">IF(A3769="","",MONTH(A3769))</f>
        <v/>
      </c>
      <c r="L3769" s="0" t="str">
        <f aca="false">IF(B3769="","",VALUE(LEFT(B3769,2)))</f>
        <v/>
      </c>
      <c r="M3769" s="0" t="str">
        <f aca="false">IF(A3769="","",IF(COUNTIFS($C$2:$C$5001,C3769,$J$2:$J$5001,J3769,$A$2:$A$5001,"&lt;"&amp;A3769)=0,1,0))</f>
        <v/>
      </c>
    </row>
    <row r="3770" customFormat="false" ht="15" hidden="false" customHeight="false" outlineLevel="0" collapsed="false">
      <c r="A3770" s="27"/>
      <c r="F3770" s="28"/>
      <c r="J3770" s="0" t="str">
        <f aca="false">IF(A3770="","",YEAR(A3770))</f>
        <v/>
      </c>
      <c r="K3770" s="0" t="str">
        <f aca="false">IF(A3770="","",MONTH(A3770))</f>
        <v/>
      </c>
      <c r="L3770" s="0" t="str">
        <f aca="false">IF(B3770="","",VALUE(LEFT(B3770,2)))</f>
        <v/>
      </c>
      <c r="M3770" s="0" t="str">
        <f aca="false">IF(A3770="","",IF(COUNTIFS($C$2:$C$5001,C3770,$J$2:$J$5001,J3770,$A$2:$A$5001,"&lt;"&amp;A3770)=0,1,0))</f>
        <v/>
      </c>
    </row>
    <row r="3771" customFormat="false" ht="15" hidden="false" customHeight="false" outlineLevel="0" collapsed="false">
      <c r="A3771" s="27"/>
      <c r="F3771" s="28"/>
      <c r="J3771" s="0" t="str">
        <f aca="false">IF(A3771="","",YEAR(A3771))</f>
        <v/>
      </c>
      <c r="K3771" s="0" t="str">
        <f aca="false">IF(A3771="","",MONTH(A3771))</f>
        <v/>
      </c>
      <c r="L3771" s="0" t="str">
        <f aca="false">IF(B3771="","",VALUE(LEFT(B3771,2)))</f>
        <v/>
      </c>
      <c r="M3771" s="0" t="str">
        <f aca="false">IF(A3771="","",IF(COUNTIFS($C$2:$C$5001,C3771,$J$2:$J$5001,J3771,$A$2:$A$5001,"&lt;"&amp;A3771)=0,1,0))</f>
        <v/>
      </c>
    </row>
    <row r="3772" customFormat="false" ht="15" hidden="false" customHeight="false" outlineLevel="0" collapsed="false">
      <c r="A3772" s="27"/>
      <c r="F3772" s="28"/>
      <c r="J3772" s="0" t="str">
        <f aca="false">IF(A3772="","",YEAR(A3772))</f>
        <v/>
      </c>
      <c r="K3772" s="0" t="str">
        <f aca="false">IF(A3772="","",MONTH(A3772))</f>
        <v/>
      </c>
      <c r="L3772" s="0" t="str">
        <f aca="false">IF(B3772="","",VALUE(LEFT(B3772,2)))</f>
        <v/>
      </c>
      <c r="M3772" s="0" t="str">
        <f aca="false">IF(A3772="","",IF(COUNTIFS($C$2:$C$5001,C3772,$J$2:$J$5001,J3772,$A$2:$A$5001,"&lt;"&amp;A3772)=0,1,0))</f>
        <v/>
      </c>
    </row>
    <row r="3773" customFormat="false" ht="15" hidden="false" customHeight="false" outlineLevel="0" collapsed="false">
      <c r="A3773" s="27"/>
      <c r="F3773" s="28"/>
      <c r="J3773" s="0" t="str">
        <f aca="false">IF(A3773="","",YEAR(A3773))</f>
        <v/>
      </c>
      <c r="K3773" s="0" t="str">
        <f aca="false">IF(A3773="","",MONTH(A3773))</f>
        <v/>
      </c>
      <c r="L3773" s="0" t="str">
        <f aca="false">IF(B3773="","",VALUE(LEFT(B3773,2)))</f>
        <v/>
      </c>
      <c r="M3773" s="0" t="str">
        <f aca="false">IF(A3773="","",IF(COUNTIFS($C$2:$C$5001,C3773,$J$2:$J$5001,J3773,$A$2:$A$5001,"&lt;"&amp;A3773)=0,1,0))</f>
        <v/>
      </c>
    </row>
    <row r="3774" customFormat="false" ht="15" hidden="false" customHeight="false" outlineLevel="0" collapsed="false">
      <c r="A3774" s="27"/>
      <c r="F3774" s="28"/>
      <c r="J3774" s="0" t="str">
        <f aca="false">IF(A3774="","",YEAR(A3774))</f>
        <v/>
      </c>
      <c r="K3774" s="0" t="str">
        <f aca="false">IF(A3774="","",MONTH(A3774))</f>
        <v/>
      </c>
      <c r="L3774" s="0" t="str">
        <f aca="false">IF(B3774="","",VALUE(LEFT(B3774,2)))</f>
        <v/>
      </c>
      <c r="M3774" s="0" t="str">
        <f aca="false">IF(A3774="","",IF(COUNTIFS($C$2:$C$5001,C3774,$J$2:$J$5001,J3774,$A$2:$A$5001,"&lt;"&amp;A3774)=0,1,0))</f>
        <v/>
      </c>
    </row>
    <row r="3775" customFormat="false" ht="15" hidden="false" customHeight="false" outlineLevel="0" collapsed="false">
      <c r="A3775" s="27"/>
      <c r="F3775" s="28"/>
      <c r="J3775" s="0" t="str">
        <f aca="false">IF(A3775="","",YEAR(A3775))</f>
        <v/>
      </c>
      <c r="K3775" s="0" t="str">
        <f aca="false">IF(A3775="","",MONTH(A3775))</f>
        <v/>
      </c>
      <c r="L3775" s="0" t="str">
        <f aca="false">IF(B3775="","",VALUE(LEFT(B3775,2)))</f>
        <v/>
      </c>
      <c r="M3775" s="0" t="str">
        <f aca="false">IF(A3775="","",IF(COUNTIFS($C$2:$C$5001,C3775,$J$2:$J$5001,J3775,$A$2:$A$5001,"&lt;"&amp;A3775)=0,1,0))</f>
        <v/>
      </c>
    </row>
    <row r="3776" customFormat="false" ht="15" hidden="false" customHeight="false" outlineLevel="0" collapsed="false">
      <c r="A3776" s="27"/>
      <c r="F3776" s="28"/>
      <c r="J3776" s="0" t="str">
        <f aca="false">IF(A3776="","",YEAR(A3776))</f>
        <v/>
      </c>
      <c r="K3776" s="0" t="str">
        <f aca="false">IF(A3776="","",MONTH(A3776))</f>
        <v/>
      </c>
      <c r="L3776" s="0" t="str">
        <f aca="false">IF(B3776="","",VALUE(LEFT(B3776,2)))</f>
        <v/>
      </c>
      <c r="M3776" s="0" t="str">
        <f aca="false">IF(A3776="","",IF(COUNTIFS($C$2:$C$5001,C3776,$J$2:$J$5001,J3776,$A$2:$A$5001,"&lt;"&amp;A3776)=0,1,0))</f>
        <v/>
      </c>
    </row>
    <row r="3777" customFormat="false" ht="15" hidden="false" customHeight="false" outlineLevel="0" collapsed="false">
      <c r="A3777" s="27"/>
      <c r="F3777" s="28"/>
      <c r="J3777" s="0" t="str">
        <f aca="false">IF(A3777="","",YEAR(A3777))</f>
        <v/>
      </c>
      <c r="K3777" s="0" t="str">
        <f aca="false">IF(A3777="","",MONTH(A3777))</f>
        <v/>
      </c>
      <c r="L3777" s="0" t="str">
        <f aca="false">IF(B3777="","",VALUE(LEFT(B3777,2)))</f>
        <v/>
      </c>
      <c r="M3777" s="0" t="str">
        <f aca="false">IF(A3777="","",IF(COUNTIFS($C$2:$C$5001,C3777,$J$2:$J$5001,J3777,$A$2:$A$5001,"&lt;"&amp;A3777)=0,1,0))</f>
        <v/>
      </c>
    </row>
    <row r="3778" customFormat="false" ht="15" hidden="false" customHeight="false" outlineLevel="0" collapsed="false">
      <c r="A3778" s="27"/>
      <c r="F3778" s="28"/>
      <c r="J3778" s="0" t="str">
        <f aca="false">IF(A3778="","",YEAR(A3778))</f>
        <v/>
      </c>
      <c r="K3778" s="0" t="str">
        <f aca="false">IF(A3778="","",MONTH(A3778))</f>
        <v/>
      </c>
      <c r="L3778" s="0" t="str">
        <f aca="false">IF(B3778="","",VALUE(LEFT(B3778,2)))</f>
        <v/>
      </c>
      <c r="M3778" s="0" t="str">
        <f aca="false">IF(A3778="","",IF(COUNTIFS($C$2:$C$5001,C3778,$J$2:$J$5001,J3778,$A$2:$A$5001,"&lt;"&amp;A3778)=0,1,0))</f>
        <v/>
      </c>
    </row>
    <row r="3779" customFormat="false" ht="15" hidden="false" customHeight="false" outlineLevel="0" collapsed="false">
      <c r="A3779" s="27"/>
      <c r="F3779" s="28"/>
      <c r="J3779" s="0" t="str">
        <f aca="false">IF(A3779="","",YEAR(A3779))</f>
        <v/>
      </c>
      <c r="K3779" s="0" t="str">
        <f aca="false">IF(A3779="","",MONTH(A3779))</f>
        <v/>
      </c>
      <c r="L3779" s="0" t="str">
        <f aca="false">IF(B3779="","",VALUE(LEFT(B3779,2)))</f>
        <v/>
      </c>
      <c r="M3779" s="0" t="str">
        <f aca="false">IF(A3779="","",IF(COUNTIFS($C$2:$C$5001,C3779,$J$2:$J$5001,J3779,$A$2:$A$5001,"&lt;"&amp;A3779)=0,1,0))</f>
        <v/>
      </c>
    </row>
    <row r="3780" customFormat="false" ht="15" hidden="false" customHeight="false" outlineLevel="0" collapsed="false">
      <c r="A3780" s="27"/>
      <c r="F3780" s="28"/>
      <c r="J3780" s="0" t="str">
        <f aca="false">IF(A3780="","",YEAR(A3780))</f>
        <v/>
      </c>
      <c r="K3780" s="0" t="str">
        <f aca="false">IF(A3780="","",MONTH(A3780))</f>
        <v/>
      </c>
      <c r="L3780" s="0" t="str">
        <f aca="false">IF(B3780="","",VALUE(LEFT(B3780,2)))</f>
        <v/>
      </c>
      <c r="M3780" s="0" t="str">
        <f aca="false">IF(A3780="","",IF(COUNTIFS($C$2:$C$5001,C3780,$J$2:$J$5001,J3780,$A$2:$A$5001,"&lt;"&amp;A3780)=0,1,0))</f>
        <v/>
      </c>
    </row>
    <row r="3781" customFormat="false" ht="15" hidden="false" customHeight="false" outlineLevel="0" collapsed="false">
      <c r="A3781" s="27"/>
      <c r="F3781" s="28"/>
      <c r="J3781" s="0" t="str">
        <f aca="false">IF(A3781="","",YEAR(A3781))</f>
        <v/>
      </c>
      <c r="K3781" s="0" t="str">
        <f aca="false">IF(A3781="","",MONTH(A3781))</f>
        <v/>
      </c>
      <c r="L3781" s="0" t="str">
        <f aca="false">IF(B3781="","",VALUE(LEFT(B3781,2)))</f>
        <v/>
      </c>
      <c r="M3781" s="0" t="str">
        <f aca="false">IF(A3781="","",IF(COUNTIFS($C$2:$C$5001,C3781,$J$2:$J$5001,J3781,$A$2:$A$5001,"&lt;"&amp;A3781)=0,1,0))</f>
        <v/>
      </c>
    </row>
    <row r="3782" customFormat="false" ht="15" hidden="false" customHeight="false" outlineLevel="0" collapsed="false">
      <c r="A3782" s="27"/>
      <c r="F3782" s="28"/>
      <c r="J3782" s="0" t="str">
        <f aca="false">IF(A3782="","",YEAR(A3782))</f>
        <v/>
      </c>
      <c r="K3782" s="0" t="str">
        <f aca="false">IF(A3782="","",MONTH(A3782))</f>
        <v/>
      </c>
      <c r="L3782" s="0" t="str">
        <f aca="false">IF(B3782="","",VALUE(LEFT(B3782,2)))</f>
        <v/>
      </c>
      <c r="M3782" s="0" t="str">
        <f aca="false">IF(A3782="","",IF(COUNTIFS($C$2:$C$5001,C3782,$J$2:$J$5001,J3782,$A$2:$A$5001,"&lt;"&amp;A3782)=0,1,0))</f>
        <v/>
      </c>
    </row>
    <row r="3783" customFormat="false" ht="15" hidden="false" customHeight="false" outlineLevel="0" collapsed="false">
      <c r="A3783" s="27"/>
      <c r="F3783" s="28"/>
      <c r="J3783" s="0" t="str">
        <f aca="false">IF(A3783="","",YEAR(A3783))</f>
        <v/>
      </c>
      <c r="K3783" s="0" t="str">
        <f aca="false">IF(A3783="","",MONTH(A3783))</f>
        <v/>
      </c>
      <c r="L3783" s="0" t="str">
        <f aca="false">IF(B3783="","",VALUE(LEFT(B3783,2)))</f>
        <v/>
      </c>
      <c r="M3783" s="0" t="str">
        <f aca="false">IF(A3783="","",IF(COUNTIFS($C$2:$C$5001,C3783,$J$2:$J$5001,J3783,$A$2:$A$5001,"&lt;"&amp;A3783)=0,1,0))</f>
        <v/>
      </c>
    </row>
    <row r="3784" customFormat="false" ht="15" hidden="false" customHeight="false" outlineLevel="0" collapsed="false">
      <c r="A3784" s="27"/>
      <c r="F3784" s="28"/>
      <c r="J3784" s="0" t="str">
        <f aca="false">IF(A3784="","",YEAR(A3784))</f>
        <v/>
      </c>
      <c r="K3784" s="0" t="str">
        <f aca="false">IF(A3784="","",MONTH(A3784))</f>
        <v/>
      </c>
      <c r="L3784" s="0" t="str">
        <f aca="false">IF(B3784="","",VALUE(LEFT(B3784,2)))</f>
        <v/>
      </c>
      <c r="M3784" s="0" t="str">
        <f aca="false">IF(A3784="","",IF(COUNTIFS($C$2:$C$5001,C3784,$J$2:$J$5001,J3784,$A$2:$A$5001,"&lt;"&amp;A3784)=0,1,0))</f>
        <v/>
      </c>
    </row>
    <row r="3785" customFormat="false" ht="15" hidden="false" customHeight="false" outlineLevel="0" collapsed="false">
      <c r="A3785" s="27"/>
      <c r="F3785" s="28"/>
      <c r="J3785" s="0" t="str">
        <f aca="false">IF(A3785="","",YEAR(A3785))</f>
        <v/>
      </c>
      <c r="K3785" s="0" t="str">
        <f aca="false">IF(A3785="","",MONTH(A3785))</f>
        <v/>
      </c>
      <c r="L3785" s="0" t="str">
        <f aca="false">IF(B3785="","",VALUE(LEFT(B3785,2)))</f>
        <v/>
      </c>
      <c r="M3785" s="0" t="str">
        <f aca="false">IF(A3785="","",IF(COUNTIFS($C$2:$C$5001,C3785,$J$2:$J$5001,J3785,$A$2:$A$5001,"&lt;"&amp;A3785)=0,1,0))</f>
        <v/>
      </c>
    </row>
    <row r="3786" customFormat="false" ht="15" hidden="false" customHeight="false" outlineLevel="0" collapsed="false">
      <c r="A3786" s="27"/>
      <c r="F3786" s="28"/>
      <c r="J3786" s="0" t="str">
        <f aca="false">IF(A3786="","",YEAR(A3786))</f>
        <v/>
      </c>
      <c r="K3786" s="0" t="str">
        <f aca="false">IF(A3786="","",MONTH(A3786))</f>
        <v/>
      </c>
      <c r="L3786" s="0" t="str">
        <f aca="false">IF(B3786="","",VALUE(LEFT(B3786,2)))</f>
        <v/>
      </c>
      <c r="M3786" s="0" t="str">
        <f aca="false">IF(A3786="","",IF(COUNTIFS($C$2:$C$5001,C3786,$J$2:$J$5001,J3786,$A$2:$A$5001,"&lt;"&amp;A3786)=0,1,0))</f>
        <v/>
      </c>
    </row>
    <row r="3787" customFormat="false" ht="15" hidden="false" customHeight="false" outlineLevel="0" collapsed="false">
      <c r="A3787" s="27"/>
      <c r="F3787" s="28"/>
      <c r="J3787" s="0" t="str">
        <f aca="false">IF(A3787="","",YEAR(A3787))</f>
        <v/>
      </c>
      <c r="K3787" s="0" t="str">
        <f aca="false">IF(A3787="","",MONTH(A3787))</f>
        <v/>
      </c>
      <c r="L3787" s="0" t="str">
        <f aca="false">IF(B3787="","",VALUE(LEFT(B3787,2)))</f>
        <v/>
      </c>
      <c r="M3787" s="0" t="str">
        <f aca="false">IF(A3787="","",IF(COUNTIFS($C$2:$C$5001,C3787,$J$2:$J$5001,J3787,$A$2:$A$5001,"&lt;"&amp;A3787)=0,1,0))</f>
        <v/>
      </c>
    </row>
    <row r="3788" customFormat="false" ht="15" hidden="false" customHeight="false" outlineLevel="0" collapsed="false">
      <c r="A3788" s="27"/>
      <c r="F3788" s="28"/>
      <c r="J3788" s="0" t="str">
        <f aca="false">IF(A3788="","",YEAR(A3788))</f>
        <v/>
      </c>
      <c r="K3788" s="0" t="str">
        <f aca="false">IF(A3788="","",MONTH(A3788))</f>
        <v/>
      </c>
      <c r="L3788" s="0" t="str">
        <f aca="false">IF(B3788="","",VALUE(LEFT(B3788,2)))</f>
        <v/>
      </c>
      <c r="M3788" s="0" t="str">
        <f aca="false">IF(A3788="","",IF(COUNTIFS($C$2:$C$5001,C3788,$J$2:$J$5001,J3788,$A$2:$A$5001,"&lt;"&amp;A3788)=0,1,0))</f>
        <v/>
      </c>
    </row>
    <row r="3789" customFormat="false" ht="15" hidden="false" customHeight="false" outlineLevel="0" collapsed="false">
      <c r="A3789" s="27"/>
      <c r="F3789" s="28"/>
      <c r="J3789" s="0" t="str">
        <f aca="false">IF(A3789="","",YEAR(A3789))</f>
        <v/>
      </c>
      <c r="K3789" s="0" t="str">
        <f aca="false">IF(A3789="","",MONTH(A3789))</f>
        <v/>
      </c>
      <c r="L3789" s="0" t="str">
        <f aca="false">IF(B3789="","",VALUE(LEFT(B3789,2)))</f>
        <v/>
      </c>
      <c r="M3789" s="0" t="str">
        <f aca="false">IF(A3789="","",IF(COUNTIFS($C$2:$C$5001,C3789,$J$2:$J$5001,J3789,$A$2:$A$5001,"&lt;"&amp;A3789)=0,1,0))</f>
        <v/>
      </c>
    </row>
    <row r="3790" customFormat="false" ht="15" hidden="false" customHeight="false" outlineLevel="0" collapsed="false">
      <c r="A3790" s="27"/>
      <c r="F3790" s="28"/>
      <c r="J3790" s="0" t="str">
        <f aca="false">IF(A3790="","",YEAR(A3790))</f>
        <v/>
      </c>
      <c r="K3790" s="0" t="str">
        <f aca="false">IF(A3790="","",MONTH(A3790))</f>
        <v/>
      </c>
      <c r="L3790" s="0" t="str">
        <f aca="false">IF(B3790="","",VALUE(LEFT(B3790,2)))</f>
        <v/>
      </c>
      <c r="M3790" s="0" t="str">
        <f aca="false">IF(A3790="","",IF(COUNTIFS($C$2:$C$5001,C3790,$J$2:$J$5001,J3790,$A$2:$A$5001,"&lt;"&amp;A3790)=0,1,0))</f>
        <v/>
      </c>
    </row>
    <row r="3791" customFormat="false" ht="15" hidden="false" customHeight="false" outlineLevel="0" collapsed="false">
      <c r="A3791" s="27"/>
      <c r="F3791" s="28"/>
      <c r="J3791" s="0" t="str">
        <f aca="false">IF(A3791="","",YEAR(A3791))</f>
        <v/>
      </c>
      <c r="K3791" s="0" t="str">
        <f aca="false">IF(A3791="","",MONTH(A3791))</f>
        <v/>
      </c>
      <c r="L3791" s="0" t="str">
        <f aca="false">IF(B3791="","",VALUE(LEFT(B3791,2)))</f>
        <v/>
      </c>
      <c r="M3791" s="0" t="str">
        <f aca="false">IF(A3791="","",IF(COUNTIFS($C$2:$C$5001,C3791,$J$2:$J$5001,J3791,$A$2:$A$5001,"&lt;"&amp;A3791)=0,1,0))</f>
        <v/>
      </c>
    </row>
    <row r="3792" customFormat="false" ht="15" hidden="false" customHeight="false" outlineLevel="0" collapsed="false">
      <c r="A3792" s="27"/>
      <c r="F3792" s="28"/>
      <c r="J3792" s="0" t="str">
        <f aca="false">IF(A3792="","",YEAR(A3792))</f>
        <v/>
      </c>
      <c r="K3792" s="0" t="str">
        <f aca="false">IF(A3792="","",MONTH(A3792))</f>
        <v/>
      </c>
      <c r="L3792" s="0" t="str">
        <f aca="false">IF(B3792="","",VALUE(LEFT(B3792,2)))</f>
        <v/>
      </c>
      <c r="M3792" s="0" t="str">
        <f aca="false">IF(A3792="","",IF(COUNTIFS($C$2:$C$5001,C3792,$J$2:$J$5001,J3792,$A$2:$A$5001,"&lt;"&amp;A3792)=0,1,0))</f>
        <v/>
      </c>
    </row>
    <row r="3793" customFormat="false" ht="15" hidden="false" customHeight="false" outlineLevel="0" collapsed="false">
      <c r="A3793" s="27"/>
      <c r="F3793" s="28"/>
      <c r="J3793" s="0" t="str">
        <f aca="false">IF(A3793="","",YEAR(A3793))</f>
        <v/>
      </c>
      <c r="K3793" s="0" t="str">
        <f aca="false">IF(A3793="","",MONTH(A3793))</f>
        <v/>
      </c>
      <c r="L3793" s="0" t="str">
        <f aca="false">IF(B3793="","",VALUE(LEFT(B3793,2)))</f>
        <v/>
      </c>
      <c r="M3793" s="0" t="str">
        <f aca="false">IF(A3793="","",IF(COUNTIFS($C$2:$C$5001,C3793,$J$2:$J$5001,J3793,$A$2:$A$5001,"&lt;"&amp;A3793)=0,1,0))</f>
        <v/>
      </c>
    </row>
    <row r="3794" customFormat="false" ht="15" hidden="false" customHeight="false" outlineLevel="0" collapsed="false">
      <c r="A3794" s="27"/>
      <c r="F3794" s="28"/>
      <c r="J3794" s="0" t="str">
        <f aca="false">IF(A3794="","",YEAR(A3794))</f>
        <v/>
      </c>
      <c r="K3794" s="0" t="str">
        <f aca="false">IF(A3794="","",MONTH(A3794))</f>
        <v/>
      </c>
      <c r="L3794" s="0" t="str">
        <f aca="false">IF(B3794="","",VALUE(LEFT(B3794,2)))</f>
        <v/>
      </c>
      <c r="M3794" s="0" t="str">
        <f aca="false">IF(A3794="","",IF(COUNTIFS($C$2:$C$5001,C3794,$J$2:$J$5001,J3794,$A$2:$A$5001,"&lt;"&amp;A3794)=0,1,0))</f>
        <v/>
      </c>
    </row>
    <row r="3795" customFormat="false" ht="15" hidden="false" customHeight="false" outlineLevel="0" collapsed="false">
      <c r="A3795" s="27"/>
      <c r="F3795" s="28"/>
      <c r="J3795" s="0" t="str">
        <f aca="false">IF(A3795="","",YEAR(A3795))</f>
        <v/>
      </c>
      <c r="K3795" s="0" t="str">
        <f aca="false">IF(A3795="","",MONTH(A3795))</f>
        <v/>
      </c>
      <c r="L3795" s="0" t="str">
        <f aca="false">IF(B3795="","",VALUE(LEFT(B3795,2)))</f>
        <v/>
      </c>
      <c r="M3795" s="0" t="str">
        <f aca="false">IF(A3795="","",IF(COUNTIFS($C$2:$C$5001,C3795,$J$2:$J$5001,J3795,$A$2:$A$5001,"&lt;"&amp;A3795)=0,1,0))</f>
        <v/>
      </c>
    </row>
    <row r="3796" customFormat="false" ht="15" hidden="false" customHeight="false" outlineLevel="0" collapsed="false">
      <c r="A3796" s="27"/>
      <c r="F3796" s="28"/>
      <c r="J3796" s="0" t="str">
        <f aca="false">IF(A3796="","",YEAR(A3796))</f>
        <v/>
      </c>
      <c r="K3796" s="0" t="str">
        <f aca="false">IF(A3796="","",MONTH(A3796))</f>
        <v/>
      </c>
      <c r="L3796" s="0" t="str">
        <f aca="false">IF(B3796="","",VALUE(LEFT(B3796,2)))</f>
        <v/>
      </c>
      <c r="M3796" s="0" t="str">
        <f aca="false">IF(A3796="","",IF(COUNTIFS($C$2:$C$5001,C3796,$J$2:$J$5001,J3796,$A$2:$A$5001,"&lt;"&amp;A3796)=0,1,0))</f>
        <v/>
      </c>
    </row>
    <row r="3797" customFormat="false" ht="15" hidden="false" customHeight="false" outlineLevel="0" collapsed="false">
      <c r="A3797" s="27"/>
      <c r="F3797" s="28"/>
      <c r="J3797" s="0" t="str">
        <f aca="false">IF(A3797="","",YEAR(A3797))</f>
        <v/>
      </c>
      <c r="K3797" s="0" t="str">
        <f aca="false">IF(A3797="","",MONTH(A3797))</f>
        <v/>
      </c>
      <c r="L3797" s="0" t="str">
        <f aca="false">IF(B3797="","",VALUE(LEFT(B3797,2)))</f>
        <v/>
      </c>
      <c r="M3797" s="0" t="str">
        <f aca="false">IF(A3797="","",IF(COUNTIFS($C$2:$C$5001,C3797,$J$2:$J$5001,J3797,$A$2:$A$5001,"&lt;"&amp;A3797)=0,1,0))</f>
        <v/>
      </c>
    </row>
    <row r="3798" customFormat="false" ht="15" hidden="false" customHeight="false" outlineLevel="0" collapsed="false">
      <c r="A3798" s="27"/>
      <c r="F3798" s="28"/>
      <c r="J3798" s="0" t="str">
        <f aca="false">IF(A3798="","",YEAR(A3798))</f>
        <v/>
      </c>
      <c r="K3798" s="0" t="str">
        <f aca="false">IF(A3798="","",MONTH(A3798))</f>
        <v/>
      </c>
      <c r="L3798" s="0" t="str">
        <f aca="false">IF(B3798="","",VALUE(LEFT(B3798,2)))</f>
        <v/>
      </c>
      <c r="M3798" s="0" t="str">
        <f aca="false">IF(A3798="","",IF(COUNTIFS($C$2:$C$5001,C3798,$J$2:$J$5001,J3798,$A$2:$A$5001,"&lt;"&amp;A3798)=0,1,0))</f>
        <v/>
      </c>
    </row>
    <row r="3799" customFormat="false" ht="15" hidden="false" customHeight="false" outlineLevel="0" collapsed="false">
      <c r="A3799" s="27"/>
      <c r="F3799" s="28"/>
      <c r="J3799" s="0" t="str">
        <f aca="false">IF(A3799="","",YEAR(A3799))</f>
        <v/>
      </c>
      <c r="K3799" s="0" t="str">
        <f aca="false">IF(A3799="","",MONTH(A3799))</f>
        <v/>
      </c>
      <c r="L3799" s="0" t="str">
        <f aca="false">IF(B3799="","",VALUE(LEFT(B3799,2)))</f>
        <v/>
      </c>
      <c r="M3799" s="0" t="str">
        <f aca="false">IF(A3799="","",IF(COUNTIFS($C$2:$C$5001,C3799,$J$2:$J$5001,J3799,$A$2:$A$5001,"&lt;"&amp;A3799)=0,1,0))</f>
        <v/>
      </c>
    </row>
    <row r="3800" customFormat="false" ht="15" hidden="false" customHeight="false" outlineLevel="0" collapsed="false">
      <c r="A3800" s="27"/>
      <c r="F3800" s="28"/>
      <c r="J3800" s="0" t="str">
        <f aca="false">IF(A3800="","",YEAR(A3800))</f>
        <v/>
      </c>
      <c r="K3800" s="0" t="str">
        <f aca="false">IF(A3800="","",MONTH(A3800))</f>
        <v/>
      </c>
      <c r="L3800" s="0" t="str">
        <f aca="false">IF(B3800="","",VALUE(LEFT(B3800,2)))</f>
        <v/>
      </c>
      <c r="M3800" s="0" t="str">
        <f aca="false">IF(A3800="","",IF(COUNTIFS($C$2:$C$5001,C3800,$J$2:$J$5001,J3800,$A$2:$A$5001,"&lt;"&amp;A3800)=0,1,0))</f>
        <v/>
      </c>
    </row>
    <row r="3801" customFormat="false" ht="15" hidden="false" customHeight="false" outlineLevel="0" collapsed="false">
      <c r="A3801" s="27"/>
      <c r="F3801" s="28"/>
      <c r="J3801" s="0" t="str">
        <f aca="false">IF(A3801="","",YEAR(A3801))</f>
        <v/>
      </c>
      <c r="K3801" s="0" t="str">
        <f aca="false">IF(A3801="","",MONTH(A3801))</f>
        <v/>
      </c>
      <c r="L3801" s="0" t="str">
        <f aca="false">IF(B3801="","",VALUE(LEFT(B3801,2)))</f>
        <v/>
      </c>
      <c r="M3801" s="0" t="str">
        <f aca="false">IF(A3801="","",IF(COUNTIFS($C$2:$C$5001,C3801,$J$2:$J$5001,J3801,$A$2:$A$5001,"&lt;"&amp;A3801)=0,1,0))</f>
        <v/>
      </c>
    </row>
    <row r="3802" customFormat="false" ht="15" hidden="false" customHeight="false" outlineLevel="0" collapsed="false">
      <c r="A3802" s="27"/>
      <c r="F3802" s="28"/>
      <c r="J3802" s="0" t="str">
        <f aca="false">IF(A3802="","",YEAR(A3802))</f>
        <v/>
      </c>
      <c r="K3802" s="0" t="str">
        <f aca="false">IF(A3802="","",MONTH(A3802))</f>
        <v/>
      </c>
      <c r="L3802" s="0" t="str">
        <f aca="false">IF(B3802="","",VALUE(LEFT(B3802,2)))</f>
        <v/>
      </c>
      <c r="M3802" s="0" t="str">
        <f aca="false">IF(A3802="","",IF(COUNTIFS($C$2:$C$5001,C3802,$J$2:$J$5001,J3802,$A$2:$A$5001,"&lt;"&amp;A3802)=0,1,0))</f>
        <v/>
      </c>
    </row>
    <row r="3803" customFormat="false" ht="15" hidden="false" customHeight="false" outlineLevel="0" collapsed="false">
      <c r="A3803" s="27"/>
      <c r="F3803" s="28"/>
      <c r="J3803" s="0" t="str">
        <f aca="false">IF(A3803="","",YEAR(A3803))</f>
        <v/>
      </c>
      <c r="K3803" s="0" t="str">
        <f aca="false">IF(A3803="","",MONTH(A3803))</f>
        <v/>
      </c>
      <c r="L3803" s="0" t="str">
        <f aca="false">IF(B3803="","",VALUE(LEFT(B3803,2)))</f>
        <v/>
      </c>
      <c r="M3803" s="0" t="str">
        <f aca="false">IF(A3803="","",IF(COUNTIFS($C$2:$C$5001,C3803,$J$2:$J$5001,J3803,$A$2:$A$5001,"&lt;"&amp;A3803)=0,1,0))</f>
        <v/>
      </c>
    </row>
    <row r="3804" customFormat="false" ht="15" hidden="false" customHeight="false" outlineLevel="0" collapsed="false">
      <c r="A3804" s="27"/>
      <c r="F3804" s="28"/>
      <c r="J3804" s="0" t="str">
        <f aca="false">IF(A3804="","",YEAR(A3804))</f>
        <v/>
      </c>
      <c r="K3804" s="0" t="str">
        <f aca="false">IF(A3804="","",MONTH(A3804))</f>
        <v/>
      </c>
      <c r="L3804" s="0" t="str">
        <f aca="false">IF(B3804="","",VALUE(LEFT(B3804,2)))</f>
        <v/>
      </c>
      <c r="M3804" s="0" t="str">
        <f aca="false">IF(A3804="","",IF(COUNTIFS($C$2:$C$5001,C3804,$J$2:$J$5001,J3804,$A$2:$A$5001,"&lt;"&amp;A3804)=0,1,0))</f>
        <v/>
      </c>
    </row>
    <row r="3805" customFormat="false" ht="15" hidden="false" customHeight="false" outlineLevel="0" collapsed="false">
      <c r="A3805" s="27"/>
      <c r="F3805" s="28"/>
      <c r="J3805" s="0" t="str">
        <f aca="false">IF(A3805="","",YEAR(A3805))</f>
        <v/>
      </c>
      <c r="K3805" s="0" t="str">
        <f aca="false">IF(A3805="","",MONTH(A3805))</f>
        <v/>
      </c>
      <c r="L3805" s="0" t="str">
        <f aca="false">IF(B3805="","",VALUE(LEFT(B3805,2)))</f>
        <v/>
      </c>
      <c r="M3805" s="0" t="str">
        <f aca="false">IF(A3805="","",IF(COUNTIFS($C$2:$C$5001,C3805,$J$2:$J$5001,J3805,$A$2:$A$5001,"&lt;"&amp;A3805)=0,1,0))</f>
        <v/>
      </c>
    </row>
    <row r="3806" customFormat="false" ht="15" hidden="false" customHeight="false" outlineLevel="0" collapsed="false">
      <c r="A3806" s="27"/>
      <c r="F3806" s="28"/>
      <c r="J3806" s="0" t="str">
        <f aca="false">IF(A3806="","",YEAR(A3806))</f>
        <v/>
      </c>
      <c r="K3806" s="0" t="str">
        <f aca="false">IF(A3806="","",MONTH(A3806))</f>
        <v/>
      </c>
      <c r="L3806" s="0" t="str">
        <f aca="false">IF(B3806="","",VALUE(LEFT(B3806,2)))</f>
        <v/>
      </c>
      <c r="M3806" s="0" t="str">
        <f aca="false">IF(A3806="","",IF(COUNTIFS($C$2:$C$5001,C3806,$J$2:$J$5001,J3806,$A$2:$A$5001,"&lt;"&amp;A3806)=0,1,0))</f>
        <v/>
      </c>
    </row>
    <row r="3807" customFormat="false" ht="15" hidden="false" customHeight="false" outlineLevel="0" collapsed="false">
      <c r="A3807" s="27"/>
      <c r="F3807" s="28"/>
      <c r="J3807" s="0" t="str">
        <f aca="false">IF(A3807="","",YEAR(A3807))</f>
        <v/>
      </c>
      <c r="K3807" s="0" t="str">
        <f aca="false">IF(A3807="","",MONTH(A3807))</f>
        <v/>
      </c>
      <c r="L3807" s="0" t="str">
        <f aca="false">IF(B3807="","",VALUE(LEFT(B3807,2)))</f>
        <v/>
      </c>
      <c r="M3807" s="0" t="str">
        <f aca="false">IF(A3807="","",IF(COUNTIFS($C$2:$C$5001,C3807,$J$2:$J$5001,J3807,$A$2:$A$5001,"&lt;"&amp;A3807)=0,1,0))</f>
        <v/>
      </c>
    </row>
    <row r="3808" customFormat="false" ht="15" hidden="false" customHeight="false" outlineLevel="0" collapsed="false">
      <c r="A3808" s="27"/>
      <c r="F3808" s="28"/>
      <c r="J3808" s="0" t="str">
        <f aca="false">IF(A3808="","",YEAR(A3808))</f>
        <v/>
      </c>
      <c r="K3808" s="0" t="str">
        <f aca="false">IF(A3808="","",MONTH(A3808))</f>
        <v/>
      </c>
      <c r="L3808" s="0" t="str">
        <f aca="false">IF(B3808="","",VALUE(LEFT(B3808,2)))</f>
        <v/>
      </c>
      <c r="M3808" s="0" t="str">
        <f aca="false">IF(A3808="","",IF(COUNTIFS($C$2:$C$5001,C3808,$J$2:$J$5001,J3808,$A$2:$A$5001,"&lt;"&amp;A3808)=0,1,0))</f>
        <v/>
      </c>
    </row>
    <row r="3809" customFormat="false" ht="15" hidden="false" customHeight="false" outlineLevel="0" collapsed="false">
      <c r="A3809" s="27"/>
      <c r="F3809" s="28"/>
      <c r="J3809" s="0" t="str">
        <f aca="false">IF(A3809="","",YEAR(A3809))</f>
        <v/>
      </c>
      <c r="K3809" s="0" t="str">
        <f aca="false">IF(A3809="","",MONTH(A3809))</f>
        <v/>
      </c>
      <c r="L3809" s="0" t="str">
        <f aca="false">IF(B3809="","",VALUE(LEFT(B3809,2)))</f>
        <v/>
      </c>
      <c r="M3809" s="0" t="str">
        <f aca="false">IF(A3809="","",IF(COUNTIFS($C$2:$C$5001,C3809,$J$2:$J$5001,J3809,$A$2:$A$5001,"&lt;"&amp;A3809)=0,1,0))</f>
        <v/>
      </c>
    </row>
    <row r="3810" customFormat="false" ht="15" hidden="false" customHeight="false" outlineLevel="0" collapsed="false">
      <c r="A3810" s="27"/>
      <c r="F3810" s="28"/>
      <c r="J3810" s="0" t="str">
        <f aca="false">IF(A3810="","",YEAR(A3810))</f>
        <v/>
      </c>
      <c r="K3810" s="0" t="str">
        <f aca="false">IF(A3810="","",MONTH(A3810))</f>
        <v/>
      </c>
      <c r="L3810" s="0" t="str">
        <f aca="false">IF(B3810="","",VALUE(LEFT(B3810,2)))</f>
        <v/>
      </c>
      <c r="M3810" s="0" t="str">
        <f aca="false">IF(A3810="","",IF(COUNTIFS($C$2:$C$5001,C3810,$J$2:$J$5001,J3810,$A$2:$A$5001,"&lt;"&amp;A3810)=0,1,0))</f>
        <v/>
      </c>
    </row>
    <row r="3811" customFormat="false" ht="15" hidden="false" customHeight="false" outlineLevel="0" collapsed="false">
      <c r="A3811" s="27"/>
      <c r="F3811" s="28"/>
      <c r="J3811" s="0" t="str">
        <f aca="false">IF(A3811="","",YEAR(A3811))</f>
        <v/>
      </c>
      <c r="K3811" s="0" t="str">
        <f aca="false">IF(A3811="","",MONTH(A3811))</f>
        <v/>
      </c>
      <c r="L3811" s="0" t="str">
        <f aca="false">IF(B3811="","",VALUE(LEFT(B3811,2)))</f>
        <v/>
      </c>
      <c r="M3811" s="0" t="str">
        <f aca="false">IF(A3811="","",IF(COUNTIFS($C$2:$C$5001,C3811,$J$2:$J$5001,J3811,$A$2:$A$5001,"&lt;"&amp;A3811)=0,1,0))</f>
        <v/>
      </c>
    </row>
    <row r="3812" customFormat="false" ht="15" hidden="false" customHeight="false" outlineLevel="0" collapsed="false">
      <c r="A3812" s="27"/>
      <c r="F3812" s="28"/>
      <c r="J3812" s="0" t="str">
        <f aca="false">IF(A3812="","",YEAR(A3812))</f>
        <v/>
      </c>
      <c r="K3812" s="0" t="str">
        <f aca="false">IF(A3812="","",MONTH(A3812))</f>
        <v/>
      </c>
      <c r="L3812" s="0" t="str">
        <f aca="false">IF(B3812="","",VALUE(LEFT(B3812,2)))</f>
        <v/>
      </c>
      <c r="M3812" s="0" t="str">
        <f aca="false">IF(A3812="","",IF(COUNTIFS($C$2:$C$5001,C3812,$J$2:$J$5001,J3812,$A$2:$A$5001,"&lt;"&amp;A3812)=0,1,0))</f>
        <v/>
      </c>
    </row>
    <row r="3813" customFormat="false" ht="15" hidden="false" customHeight="false" outlineLevel="0" collapsed="false">
      <c r="A3813" s="27"/>
      <c r="F3813" s="28"/>
      <c r="J3813" s="0" t="str">
        <f aca="false">IF(A3813="","",YEAR(A3813))</f>
        <v/>
      </c>
      <c r="K3813" s="0" t="str">
        <f aca="false">IF(A3813="","",MONTH(A3813))</f>
        <v/>
      </c>
      <c r="L3813" s="0" t="str">
        <f aca="false">IF(B3813="","",VALUE(LEFT(B3813,2)))</f>
        <v/>
      </c>
      <c r="M3813" s="0" t="str">
        <f aca="false">IF(A3813="","",IF(COUNTIFS($C$2:$C$5001,C3813,$J$2:$J$5001,J3813,$A$2:$A$5001,"&lt;"&amp;A3813)=0,1,0))</f>
        <v/>
      </c>
    </row>
    <row r="3814" customFormat="false" ht="15" hidden="false" customHeight="false" outlineLevel="0" collapsed="false">
      <c r="A3814" s="27"/>
      <c r="F3814" s="28"/>
      <c r="J3814" s="0" t="str">
        <f aca="false">IF(A3814="","",YEAR(A3814))</f>
        <v/>
      </c>
      <c r="K3814" s="0" t="str">
        <f aca="false">IF(A3814="","",MONTH(A3814))</f>
        <v/>
      </c>
      <c r="L3814" s="0" t="str">
        <f aca="false">IF(B3814="","",VALUE(LEFT(B3814,2)))</f>
        <v/>
      </c>
      <c r="M3814" s="0" t="str">
        <f aca="false">IF(A3814="","",IF(COUNTIFS($C$2:$C$5001,C3814,$J$2:$J$5001,J3814,$A$2:$A$5001,"&lt;"&amp;A3814)=0,1,0))</f>
        <v/>
      </c>
    </row>
    <row r="3815" customFormat="false" ht="15" hidden="false" customHeight="false" outlineLevel="0" collapsed="false">
      <c r="A3815" s="27"/>
      <c r="F3815" s="28"/>
      <c r="J3815" s="0" t="str">
        <f aca="false">IF(A3815="","",YEAR(A3815))</f>
        <v/>
      </c>
      <c r="K3815" s="0" t="str">
        <f aca="false">IF(A3815="","",MONTH(A3815))</f>
        <v/>
      </c>
      <c r="L3815" s="0" t="str">
        <f aca="false">IF(B3815="","",VALUE(LEFT(B3815,2)))</f>
        <v/>
      </c>
      <c r="M3815" s="0" t="str">
        <f aca="false">IF(A3815="","",IF(COUNTIFS($C$2:$C$5001,C3815,$J$2:$J$5001,J3815,$A$2:$A$5001,"&lt;"&amp;A3815)=0,1,0))</f>
        <v/>
      </c>
    </row>
    <row r="3816" customFormat="false" ht="15" hidden="false" customHeight="false" outlineLevel="0" collapsed="false">
      <c r="A3816" s="27"/>
      <c r="F3816" s="28"/>
      <c r="J3816" s="0" t="str">
        <f aca="false">IF(A3816="","",YEAR(A3816))</f>
        <v/>
      </c>
      <c r="K3816" s="0" t="str">
        <f aca="false">IF(A3816="","",MONTH(A3816))</f>
        <v/>
      </c>
      <c r="L3816" s="0" t="str">
        <f aca="false">IF(B3816="","",VALUE(LEFT(B3816,2)))</f>
        <v/>
      </c>
      <c r="M3816" s="0" t="str">
        <f aca="false">IF(A3816="","",IF(COUNTIFS($C$2:$C$5001,C3816,$J$2:$J$5001,J3816,$A$2:$A$5001,"&lt;"&amp;A3816)=0,1,0))</f>
        <v/>
      </c>
    </row>
    <row r="3817" customFormat="false" ht="15" hidden="false" customHeight="false" outlineLevel="0" collapsed="false">
      <c r="A3817" s="27"/>
      <c r="F3817" s="28"/>
      <c r="J3817" s="0" t="str">
        <f aca="false">IF(A3817="","",YEAR(A3817))</f>
        <v/>
      </c>
      <c r="K3817" s="0" t="str">
        <f aca="false">IF(A3817="","",MONTH(A3817))</f>
        <v/>
      </c>
      <c r="L3817" s="0" t="str">
        <f aca="false">IF(B3817="","",VALUE(LEFT(B3817,2)))</f>
        <v/>
      </c>
      <c r="M3817" s="0" t="str">
        <f aca="false">IF(A3817="","",IF(COUNTIFS($C$2:$C$5001,C3817,$J$2:$J$5001,J3817,$A$2:$A$5001,"&lt;"&amp;A3817)=0,1,0))</f>
        <v/>
      </c>
    </row>
    <row r="3818" customFormat="false" ht="15" hidden="false" customHeight="false" outlineLevel="0" collapsed="false">
      <c r="A3818" s="27"/>
      <c r="F3818" s="28"/>
      <c r="J3818" s="0" t="str">
        <f aca="false">IF(A3818="","",YEAR(A3818))</f>
        <v/>
      </c>
      <c r="K3818" s="0" t="str">
        <f aca="false">IF(A3818="","",MONTH(A3818))</f>
        <v/>
      </c>
      <c r="L3818" s="0" t="str">
        <f aca="false">IF(B3818="","",VALUE(LEFT(B3818,2)))</f>
        <v/>
      </c>
      <c r="M3818" s="0" t="str">
        <f aca="false">IF(A3818="","",IF(COUNTIFS($C$2:$C$5001,C3818,$J$2:$J$5001,J3818,$A$2:$A$5001,"&lt;"&amp;A3818)=0,1,0))</f>
        <v/>
      </c>
    </row>
    <row r="3819" customFormat="false" ht="15" hidden="false" customHeight="false" outlineLevel="0" collapsed="false">
      <c r="A3819" s="27"/>
      <c r="F3819" s="28"/>
      <c r="J3819" s="0" t="str">
        <f aca="false">IF(A3819="","",YEAR(A3819))</f>
        <v/>
      </c>
      <c r="K3819" s="0" t="str">
        <f aca="false">IF(A3819="","",MONTH(A3819))</f>
        <v/>
      </c>
      <c r="L3819" s="0" t="str">
        <f aca="false">IF(B3819="","",VALUE(LEFT(B3819,2)))</f>
        <v/>
      </c>
      <c r="M3819" s="0" t="str">
        <f aca="false">IF(A3819="","",IF(COUNTIFS($C$2:$C$5001,C3819,$J$2:$J$5001,J3819,$A$2:$A$5001,"&lt;"&amp;A3819)=0,1,0))</f>
        <v/>
      </c>
    </row>
    <row r="3820" customFormat="false" ht="15" hidden="false" customHeight="false" outlineLevel="0" collapsed="false">
      <c r="A3820" s="27"/>
      <c r="F3820" s="28"/>
      <c r="J3820" s="0" t="str">
        <f aca="false">IF(A3820="","",YEAR(A3820))</f>
        <v/>
      </c>
      <c r="K3820" s="0" t="str">
        <f aca="false">IF(A3820="","",MONTH(A3820))</f>
        <v/>
      </c>
      <c r="L3820" s="0" t="str">
        <f aca="false">IF(B3820="","",VALUE(LEFT(B3820,2)))</f>
        <v/>
      </c>
      <c r="M3820" s="0" t="str">
        <f aca="false">IF(A3820="","",IF(COUNTIFS($C$2:$C$5001,C3820,$J$2:$J$5001,J3820,$A$2:$A$5001,"&lt;"&amp;A3820)=0,1,0))</f>
        <v/>
      </c>
    </row>
    <row r="3821" customFormat="false" ht="15" hidden="false" customHeight="false" outlineLevel="0" collapsed="false">
      <c r="A3821" s="27"/>
      <c r="F3821" s="28"/>
      <c r="J3821" s="0" t="str">
        <f aca="false">IF(A3821="","",YEAR(A3821))</f>
        <v/>
      </c>
      <c r="K3821" s="0" t="str">
        <f aca="false">IF(A3821="","",MONTH(A3821))</f>
        <v/>
      </c>
      <c r="L3821" s="0" t="str">
        <f aca="false">IF(B3821="","",VALUE(LEFT(B3821,2)))</f>
        <v/>
      </c>
      <c r="M3821" s="0" t="str">
        <f aca="false">IF(A3821="","",IF(COUNTIFS($C$2:$C$5001,C3821,$J$2:$J$5001,J3821,$A$2:$A$5001,"&lt;"&amp;A3821)=0,1,0))</f>
        <v/>
      </c>
    </row>
    <row r="3822" customFormat="false" ht="15" hidden="false" customHeight="false" outlineLevel="0" collapsed="false">
      <c r="A3822" s="27"/>
      <c r="F3822" s="28"/>
      <c r="J3822" s="0" t="str">
        <f aca="false">IF(A3822="","",YEAR(A3822))</f>
        <v/>
      </c>
      <c r="K3822" s="0" t="str">
        <f aca="false">IF(A3822="","",MONTH(A3822))</f>
        <v/>
      </c>
      <c r="L3822" s="0" t="str">
        <f aca="false">IF(B3822="","",VALUE(LEFT(B3822,2)))</f>
        <v/>
      </c>
      <c r="M3822" s="0" t="str">
        <f aca="false">IF(A3822="","",IF(COUNTIFS($C$2:$C$5001,C3822,$J$2:$J$5001,J3822,$A$2:$A$5001,"&lt;"&amp;A3822)=0,1,0))</f>
        <v/>
      </c>
    </row>
    <row r="3823" customFormat="false" ht="15" hidden="false" customHeight="false" outlineLevel="0" collapsed="false">
      <c r="A3823" s="27"/>
      <c r="F3823" s="28"/>
      <c r="J3823" s="0" t="str">
        <f aca="false">IF(A3823="","",YEAR(A3823))</f>
        <v/>
      </c>
      <c r="K3823" s="0" t="str">
        <f aca="false">IF(A3823="","",MONTH(A3823))</f>
        <v/>
      </c>
      <c r="L3823" s="0" t="str">
        <f aca="false">IF(B3823="","",VALUE(LEFT(B3823,2)))</f>
        <v/>
      </c>
      <c r="M3823" s="0" t="str">
        <f aca="false">IF(A3823="","",IF(COUNTIFS($C$2:$C$5001,C3823,$J$2:$J$5001,J3823,$A$2:$A$5001,"&lt;"&amp;A3823)=0,1,0))</f>
        <v/>
      </c>
    </row>
    <row r="3824" customFormat="false" ht="15" hidden="false" customHeight="false" outlineLevel="0" collapsed="false">
      <c r="A3824" s="27"/>
      <c r="F3824" s="28"/>
      <c r="J3824" s="0" t="str">
        <f aca="false">IF(A3824="","",YEAR(A3824))</f>
        <v/>
      </c>
      <c r="K3824" s="0" t="str">
        <f aca="false">IF(A3824="","",MONTH(A3824))</f>
        <v/>
      </c>
      <c r="L3824" s="0" t="str">
        <f aca="false">IF(B3824="","",VALUE(LEFT(B3824,2)))</f>
        <v/>
      </c>
      <c r="M3824" s="0" t="str">
        <f aca="false">IF(A3824="","",IF(COUNTIFS($C$2:$C$5001,C3824,$J$2:$J$5001,J3824,$A$2:$A$5001,"&lt;"&amp;A3824)=0,1,0))</f>
        <v/>
      </c>
    </row>
    <row r="3825" customFormat="false" ht="15" hidden="false" customHeight="false" outlineLevel="0" collapsed="false">
      <c r="A3825" s="27"/>
      <c r="F3825" s="28"/>
      <c r="J3825" s="0" t="str">
        <f aca="false">IF(A3825="","",YEAR(A3825))</f>
        <v/>
      </c>
      <c r="K3825" s="0" t="str">
        <f aca="false">IF(A3825="","",MONTH(A3825))</f>
        <v/>
      </c>
      <c r="L3825" s="0" t="str">
        <f aca="false">IF(B3825="","",VALUE(LEFT(B3825,2)))</f>
        <v/>
      </c>
      <c r="M3825" s="0" t="str">
        <f aca="false">IF(A3825="","",IF(COUNTIFS($C$2:$C$5001,C3825,$J$2:$J$5001,J3825,$A$2:$A$5001,"&lt;"&amp;A3825)=0,1,0))</f>
        <v/>
      </c>
    </row>
    <row r="3826" customFormat="false" ht="15" hidden="false" customHeight="false" outlineLevel="0" collapsed="false">
      <c r="A3826" s="27"/>
      <c r="F3826" s="28"/>
      <c r="J3826" s="0" t="str">
        <f aca="false">IF(A3826="","",YEAR(A3826))</f>
        <v/>
      </c>
      <c r="K3826" s="0" t="str">
        <f aca="false">IF(A3826="","",MONTH(A3826))</f>
        <v/>
      </c>
      <c r="L3826" s="0" t="str">
        <f aca="false">IF(B3826="","",VALUE(LEFT(B3826,2)))</f>
        <v/>
      </c>
      <c r="M3826" s="0" t="str">
        <f aca="false">IF(A3826="","",IF(COUNTIFS($C$2:$C$5001,C3826,$J$2:$J$5001,J3826,$A$2:$A$5001,"&lt;"&amp;A3826)=0,1,0))</f>
        <v/>
      </c>
    </row>
    <row r="3827" customFormat="false" ht="15" hidden="false" customHeight="false" outlineLevel="0" collapsed="false">
      <c r="A3827" s="27"/>
      <c r="F3827" s="28"/>
      <c r="J3827" s="0" t="str">
        <f aca="false">IF(A3827="","",YEAR(A3827))</f>
        <v/>
      </c>
      <c r="K3827" s="0" t="str">
        <f aca="false">IF(A3827="","",MONTH(A3827))</f>
        <v/>
      </c>
      <c r="L3827" s="0" t="str">
        <f aca="false">IF(B3827="","",VALUE(LEFT(B3827,2)))</f>
        <v/>
      </c>
      <c r="M3827" s="0" t="str">
        <f aca="false">IF(A3827="","",IF(COUNTIFS($C$2:$C$5001,C3827,$J$2:$J$5001,J3827,$A$2:$A$5001,"&lt;"&amp;A3827)=0,1,0))</f>
        <v/>
      </c>
    </row>
    <row r="3828" customFormat="false" ht="15" hidden="false" customHeight="false" outlineLevel="0" collapsed="false">
      <c r="A3828" s="27"/>
      <c r="F3828" s="28"/>
      <c r="J3828" s="0" t="str">
        <f aca="false">IF(A3828="","",YEAR(A3828))</f>
        <v/>
      </c>
      <c r="K3828" s="0" t="str">
        <f aca="false">IF(A3828="","",MONTH(A3828))</f>
        <v/>
      </c>
      <c r="L3828" s="0" t="str">
        <f aca="false">IF(B3828="","",VALUE(LEFT(B3828,2)))</f>
        <v/>
      </c>
      <c r="M3828" s="0" t="str">
        <f aca="false">IF(A3828="","",IF(COUNTIFS($C$2:$C$5001,C3828,$J$2:$J$5001,J3828,$A$2:$A$5001,"&lt;"&amp;A3828)=0,1,0))</f>
        <v/>
      </c>
    </row>
    <row r="3829" customFormat="false" ht="15" hidden="false" customHeight="false" outlineLevel="0" collapsed="false">
      <c r="A3829" s="27"/>
      <c r="F3829" s="28"/>
      <c r="J3829" s="0" t="str">
        <f aca="false">IF(A3829="","",YEAR(A3829))</f>
        <v/>
      </c>
      <c r="K3829" s="0" t="str">
        <f aca="false">IF(A3829="","",MONTH(A3829))</f>
        <v/>
      </c>
      <c r="L3829" s="0" t="str">
        <f aca="false">IF(B3829="","",VALUE(LEFT(B3829,2)))</f>
        <v/>
      </c>
      <c r="M3829" s="0" t="str">
        <f aca="false">IF(A3829="","",IF(COUNTIFS($C$2:$C$5001,C3829,$J$2:$J$5001,J3829,$A$2:$A$5001,"&lt;"&amp;A3829)=0,1,0))</f>
        <v/>
      </c>
    </row>
    <row r="3830" customFormat="false" ht="15" hidden="false" customHeight="false" outlineLevel="0" collapsed="false">
      <c r="A3830" s="27"/>
      <c r="F3830" s="28"/>
      <c r="J3830" s="0" t="str">
        <f aca="false">IF(A3830="","",YEAR(A3830))</f>
        <v/>
      </c>
      <c r="K3830" s="0" t="str">
        <f aca="false">IF(A3830="","",MONTH(A3830))</f>
        <v/>
      </c>
      <c r="L3830" s="0" t="str">
        <f aca="false">IF(B3830="","",VALUE(LEFT(B3830,2)))</f>
        <v/>
      </c>
      <c r="M3830" s="0" t="str">
        <f aca="false">IF(A3830="","",IF(COUNTIFS($C$2:$C$5001,C3830,$J$2:$J$5001,J3830,$A$2:$A$5001,"&lt;"&amp;A3830)=0,1,0))</f>
        <v/>
      </c>
    </row>
    <row r="3831" customFormat="false" ht="15" hidden="false" customHeight="false" outlineLevel="0" collapsed="false">
      <c r="A3831" s="27"/>
      <c r="F3831" s="28"/>
      <c r="J3831" s="0" t="str">
        <f aca="false">IF(A3831="","",YEAR(A3831))</f>
        <v/>
      </c>
      <c r="K3831" s="0" t="str">
        <f aca="false">IF(A3831="","",MONTH(A3831))</f>
        <v/>
      </c>
      <c r="L3831" s="0" t="str">
        <f aca="false">IF(B3831="","",VALUE(LEFT(B3831,2)))</f>
        <v/>
      </c>
      <c r="M3831" s="0" t="str">
        <f aca="false">IF(A3831="","",IF(COUNTIFS($C$2:$C$5001,C3831,$J$2:$J$5001,J3831,$A$2:$A$5001,"&lt;"&amp;A3831)=0,1,0))</f>
        <v/>
      </c>
    </row>
    <row r="3832" customFormat="false" ht="15" hidden="false" customHeight="false" outlineLevel="0" collapsed="false">
      <c r="A3832" s="27"/>
      <c r="F3832" s="28"/>
      <c r="J3832" s="0" t="str">
        <f aca="false">IF(A3832="","",YEAR(A3832))</f>
        <v/>
      </c>
      <c r="K3832" s="0" t="str">
        <f aca="false">IF(A3832="","",MONTH(A3832))</f>
        <v/>
      </c>
      <c r="L3832" s="0" t="str">
        <f aca="false">IF(B3832="","",VALUE(LEFT(B3832,2)))</f>
        <v/>
      </c>
      <c r="M3832" s="0" t="str">
        <f aca="false">IF(A3832="","",IF(COUNTIFS($C$2:$C$5001,C3832,$J$2:$J$5001,J3832,$A$2:$A$5001,"&lt;"&amp;A3832)=0,1,0))</f>
        <v/>
      </c>
    </row>
    <row r="3833" customFormat="false" ht="15" hidden="false" customHeight="false" outlineLevel="0" collapsed="false">
      <c r="A3833" s="27"/>
      <c r="F3833" s="28"/>
      <c r="J3833" s="0" t="str">
        <f aca="false">IF(A3833="","",YEAR(A3833))</f>
        <v/>
      </c>
      <c r="K3833" s="0" t="str">
        <f aca="false">IF(A3833="","",MONTH(A3833))</f>
        <v/>
      </c>
      <c r="L3833" s="0" t="str">
        <f aca="false">IF(B3833="","",VALUE(LEFT(B3833,2)))</f>
        <v/>
      </c>
      <c r="M3833" s="0" t="str">
        <f aca="false">IF(A3833="","",IF(COUNTIFS($C$2:$C$5001,C3833,$J$2:$J$5001,J3833,$A$2:$A$5001,"&lt;"&amp;A3833)=0,1,0))</f>
        <v/>
      </c>
    </row>
    <row r="3834" customFormat="false" ht="15" hidden="false" customHeight="false" outlineLevel="0" collapsed="false">
      <c r="A3834" s="27"/>
      <c r="F3834" s="28"/>
      <c r="J3834" s="0" t="str">
        <f aca="false">IF(A3834="","",YEAR(A3834))</f>
        <v/>
      </c>
      <c r="K3834" s="0" t="str">
        <f aca="false">IF(A3834="","",MONTH(A3834))</f>
        <v/>
      </c>
      <c r="L3834" s="0" t="str">
        <f aca="false">IF(B3834="","",VALUE(LEFT(B3834,2)))</f>
        <v/>
      </c>
      <c r="M3834" s="0" t="str">
        <f aca="false">IF(A3834="","",IF(COUNTIFS($C$2:$C$5001,C3834,$J$2:$J$5001,J3834,$A$2:$A$5001,"&lt;"&amp;A3834)=0,1,0))</f>
        <v/>
      </c>
    </row>
    <row r="3835" customFormat="false" ht="15" hidden="false" customHeight="false" outlineLevel="0" collapsed="false">
      <c r="A3835" s="27"/>
      <c r="F3835" s="28"/>
      <c r="J3835" s="0" t="str">
        <f aca="false">IF(A3835="","",YEAR(A3835))</f>
        <v/>
      </c>
      <c r="K3835" s="0" t="str">
        <f aca="false">IF(A3835="","",MONTH(A3835))</f>
        <v/>
      </c>
      <c r="L3835" s="0" t="str">
        <f aca="false">IF(B3835="","",VALUE(LEFT(B3835,2)))</f>
        <v/>
      </c>
      <c r="M3835" s="0" t="str">
        <f aca="false">IF(A3835="","",IF(COUNTIFS($C$2:$C$5001,C3835,$J$2:$J$5001,J3835,$A$2:$A$5001,"&lt;"&amp;A3835)=0,1,0))</f>
        <v/>
      </c>
    </row>
    <row r="3836" customFormat="false" ht="15" hidden="false" customHeight="false" outlineLevel="0" collapsed="false">
      <c r="A3836" s="27"/>
      <c r="F3836" s="28"/>
      <c r="J3836" s="0" t="str">
        <f aca="false">IF(A3836="","",YEAR(A3836))</f>
        <v/>
      </c>
      <c r="K3836" s="0" t="str">
        <f aca="false">IF(A3836="","",MONTH(A3836))</f>
        <v/>
      </c>
      <c r="L3836" s="0" t="str">
        <f aca="false">IF(B3836="","",VALUE(LEFT(B3836,2)))</f>
        <v/>
      </c>
      <c r="M3836" s="0" t="str">
        <f aca="false">IF(A3836="","",IF(COUNTIFS($C$2:$C$5001,C3836,$J$2:$J$5001,J3836,$A$2:$A$5001,"&lt;"&amp;A3836)=0,1,0))</f>
        <v/>
      </c>
    </row>
    <row r="3837" customFormat="false" ht="15" hidden="false" customHeight="false" outlineLevel="0" collapsed="false">
      <c r="A3837" s="27"/>
      <c r="F3837" s="28"/>
      <c r="J3837" s="0" t="str">
        <f aca="false">IF(A3837="","",YEAR(A3837))</f>
        <v/>
      </c>
      <c r="K3837" s="0" t="str">
        <f aca="false">IF(A3837="","",MONTH(A3837))</f>
        <v/>
      </c>
      <c r="L3837" s="0" t="str">
        <f aca="false">IF(B3837="","",VALUE(LEFT(B3837,2)))</f>
        <v/>
      </c>
      <c r="M3837" s="0" t="str">
        <f aca="false">IF(A3837="","",IF(COUNTIFS($C$2:$C$5001,C3837,$J$2:$J$5001,J3837,$A$2:$A$5001,"&lt;"&amp;A3837)=0,1,0))</f>
        <v/>
      </c>
    </row>
    <row r="3838" customFormat="false" ht="15" hidden="false" customHeight="false" outlineLevel="0" collapsed="false">
      <c r="A3838" s="27"/>
      <c r="F3838" s="28"/>
      <c r="J3838" s="0" t="str">
        <f aca="false">IF(A3838="","",YEAR(A3838))</f>
        <v/>
      </c>
      <c r="K3838" s="0" t="str">
        <f aca="false">IF(A3838="","",MONTH(A3838))</f>
        <v/>
      </c>
      <c r="L3838" s="0" t="str">
        <f aca="false">IF(B3838="","",VALUE(LEFT(B3838,2)))</f>
        <v/>
      </c>
      <c r="M3838" s="0" t="str">
        <f aca="false">IF(A3838="","",IF(COUNTIFS($C$2:$C$5001,C3838,$J$2:$J$5001,J3838,$A$2:$A$5001,"&lt;"&amp;A3838)=0,1,0))</f>
        <v/>
      </c>
    </row>
    <row r="3839" customFormat="false" ht="15" hidden="false" customHeight="false" outlineLevel="0" collapsed="false">
      <c r="A3839" s="27"/>
      <c r="F3839" s="28"/>
      <c r="J3839" s="0" t="str">
        <f aca="false">IF(A3839="","",YEAR(A3839))</f>
        <v/>
      </c>
      <c r="K3839" s="0" t="str">
        <f aca="false">IF(A3839="","",MONTH(A3839))</f>
        <v/>
      </c>
      <c r="L3839" s="0" t="str">
        <f aca="false">IF(B3839="","",VALUE(LEFT(B3839,2)))</f>
        <v/>
      </c>
      <c r="M3839" s="0" t="str">
        <f aca="false">IF(A3839="","",IF(COUNTIFS($C$2:$C$5001,C3839,$J$2:$J$5001,J3839,$A$2:$A$5001,"&lt;"&amp;A3839)=0,1,0))</f>
        <v/>
      </c>
    </row>
    <row r="3840" customFormat="false" ht="15" hidden="false" customHeight="false" outlineLevel="0" collapsed="false">
      <c r="A3840" s="27"/>
      <c r="F3840" s="28"/>
      <c r="J3840" s="0" t="str">
        <f aca="false">IF(A3840="","",YEAR(A3840))</f>
        <v/>
      </c>
      <c r="K3840" s="0" t="str">
        <f aca="false">IF(A3840="","",MONTH(A3840))</f>
        <v/>
      </c>
      <c r="L3840" s="0" t="str">
        <f aca="false">IF(B3840="","",VALUE(LEFT(B3840,2)))</f>
        <v/>
      </c>
      <c r="M3840" s="0" t="str">
        <f aca="false">IF(A3840="","",IF(COUNTIFS($C$2:$C$5001,C3840,$J$2:$J$5001,J3840,$A$2:$A$5001,"&lt;"&amp;A3840)=0,1,0))</f>
        <v/>
      </c>
    </row>
    <row r="3841" customFormat="false" ht="15" hidden="false" customHeight="false" outlineLevel="0" collapsed="false">
      <c r="A3841" s="27"/>
      <c r="F3841" s="28"/>
      <c r="J3841" s="0" t="str">
        <f aca="false">IF(A3841="","",YEAR(A3841))</f>
        <v/>
      </c>
      <c r="K3841" s="0" t="str">
        <f aca="false">IF(A3841="","",MONTH(A3841))</f>
        <v/>
      </c>
      <c r="L3841" s="0" t="str">
        <f aca="false">IF(B3841="","",VALUE(LEFT(B3841,2)))</f>
        <v/>
      </c>
      <c r="M3841" s="0" t="str">
        <f aca="false">IF(A3841="","",IF(COUNTIFS($C$2:$C$5001,C3841,$J$2:$J$5001,J3841,$A$2:$A$5001,"&lt;"&amp;A3841)=0,1,0))</f>
        <v/>
      </c>
    </row>
    <row r="3842" customFormat="false" ht="15" hidden="false" customHeight="false" outlineLevel="0" collapsed="false">
      <c r="A3842" s="27"/>
      <c r="F3842" s="28"/>
      <c r="J3842" s="0" t="str">
        <f aca="false">IF(A3842="","",YEAR(A3842))</f>
        <v/>
      </c>
      <c r="K3842" s="0" t="str">
        <f aca="false">IF(A3842="","",MONTH(A3842))</f>
        <v/>
      </c>
      <c r="L3842" s="0" t="str">
        <f aca="false">IF(B3842="","",VALUE(LEFT(B3842,2)))</f>
        <v/>
      </c>
      <c r="M3842" s="0" t="str">
        <f aca="false">IF(A3842="","",IF(COUNTIFS($C$2:$C$5001,C3842,$J$2:$J$5001,J3842,$A$2:$A$5001,"&lt;"&amp;A3842)=0,1,0))</f>
        <v/>
      </c>
    </row>
    <row r="3843" customFormat="false" ht="15" hidden="false" customHeight="false" outlineLevel="0" collapsed="false">
      <c r="A3843" s="27"/>
      <c r="F3843" s="28"/>
      <c r="J3843" s="0" t="str">
        <f aca="false">IF(A3843="","",YEAR(A3843))</f>
        <v/>
      </c>
      <c r="K3843" s="0" t="str">
        <f aca="false">IF(A3843="","",MONTH(A3843))</f>
        <v/>
      </c>
      <c r="L3843" s="0" t="str">
        <f aca="false">IF(B3843="","",VALUE(LEFT(B3843,2)))</f>
        <v/>
      </c>
      <c r="M3843" s="0" t="str">
        <f aca="false">IF(A3843="","",IF(COUNTIFS($C$2:$C$5001,C3843,$J$2:$J$5001,J3843,$A$2:$A$5001,"&lt;"&amp;A3843)=0,1,0))</f>
        <v/>
      </c>
    </row>
    <row r="3844" customFormat="false" ht="15" hidden="false" customHeight="false" outlineLevel="0" collapsed="false">
      <c r="A3844" s="27"/>
      <c r="F3844" s="28"/>
      <c r="J3844" s="0" t="str">
        <f aca="false">IF(A3844="","",YEAR(A3844))</f>
        <v/>
      </c>
      <c r="K3844" s="0" t="str">
        <f aca="false">IF(A3844="","",MONTH(A3844))</f>
        <v/>
      </c>
      <c r="L3844" s="0" t="str">
        <f aca="false">IF(B3844="","",VALUE(LEFT(B3844,2)))</f>
        <v/>
      </c>
      <c r="M3844" s="0" t="str">
        <f aca="false">IF(A3844="","",IF(COUNTIFS($C$2:$C$5001,C3844,$J$2:$J$5001,J3844,$A$2:$A$5001,"&lt;"&amp;A3844)=0,1,0))</f>
        <v/>
      </c>
    </row>
    <row r="3845" customFormat="false" ht="15" hidden="false" customHeight="false" outlineLevel="0" collapsed="false">
      <c r="A3845" s="27"/>
      <c r="F3845" s="28"/>
      <c r="J3845" s="0" t="str">
        <f aca="false">IF(A3845="","",YEAR(A3845))</f>
        <v/>
      </c>
      <c r="K3845" s="0" t="str">
        <f aca="false">IF(A3845="","",MONTH(A3845))</f>
        <v/>
      </c>
      <c r="L3845" s="0" t="str">
        <f aca="false">IF(B3845="","",VALUE(LEFT(B3845,2)))</f>
        <v/>
      </c>
      <c r="M3845" s="0" t="str">
        <f aca="false">IF(A3845="","",IF(COUNTIFS($C$2:$C$5001,C3845,$J$2:$J$5001,J3845,$A$2:$A$5001,"&lt;"&amp;A3845)=0,1,0))</f>
        <v/>
      </c>
    </row>
    <row r="3846" customFormat="false" ht="15" hidden="false" customHeight="false" outlineLevel="0" collapsed="false">
      <c r="A3846" s="27"/>
      <c r="F3846" s="28"/>
      <c r="J3846" s="0" t="str">
        <f aca="false">IF(A3846="","",YEAR(A3846))</f>
        <v/>
      </c>
      <c r="K3846" s="0" t="str">
        <f aca="false">IF(A3846="","",MONTH(A3846))</f>
        <v/>
      </c>
      <c r="L3846" s="0" t="str">
        <f aca="false">IF(B3846="","",VALUE(LEFT(B3846,2)))</f>
        <v/>
      </c>
      <c r="M3846" s="0" t="str">
        <f aca="false">IF(A3846="","",IF(COUNTIFS($C$2:$C$5001,C3846,$J$2:$J$5001,J3846,$A$2:$A$5001,"&lt;"&amp;A3846)=0,1,0))</f>
        <v/>
      </c>
    </row>
    <row r="3847" customFormat="false" ht="15" hidden="false" customHeight="false" outlineLevel="0" collapsed="false">
      <c r="A3847" s="27"/>
      <c r="F3847" s="28"/>
      <c r="J3847" s="0" t="str">
        <f aca="false">IF(A3847="","",YEAR(A3847))</f>
        <v/>
      </c>
      <c r="K3847" s="0" t="str">
        <f aca="false">IF(A3847="","",MONTH(A3847))</f>
        <v/>
      </c>
      <c r="L3847" s="0" t="str">
        <f aca="false">IF(B3847="","",VALUE(LEFT(B3847,2)))</f>
        <v/>
      </c>
      <c r="M3847" s="0" t="str">
        <f aca="false">IF(A3847="","",IF(COUNTIFS($C$2:$C$5001,C3847,$J$2:$J$5001,J3847,$A$2:$A$5001,"&lt;"&amp;A3847)=0,1,0))</f>
        <v/>
      </c>
    </row>
    <row r="3848" customFormat="false" ht="15" hidden="false" customHeight="false" outlineLevel="0" collapsed="false">
      <c r="A3848" s="27"/>
      <c r="F3848" s="28"/>
      <c r="J3848" s="0" t="str">
        <f aca="false">IF(A3848="","",YEAR(A3848))</f>
        <v/>
      </c>
      <c r="K3848" s="0" t="str">
        <f aca="false">IF(A3848="","",MONTH(A3848))</f>
        <v/>
      </c>
      <c r="L3848" s="0" t="str">
        <f aca="false">IF(B3848="","",VALUE(LEFT(B3848,2)))</f>
        <v/>
      </c>
      <c r="M3848" s="0" t="str">
        <f aca="false">IF(A3848="","",IF(COUNTIFS($C$2:$C$5001,C3848,$J$2:$J$5001,J3848,$A$2:$A$5001,"&lt;"&amp;A3848)=0,1,0))</f>
        <v/>
      </c>
    </row>
    <row r="3849" customFormat="false" ht="15" hidden="false" customHeight="false" outlineLevel="0" collapsed="false">
      <c r="A3849" s="27"/>
      <c r="F3849" s="28"/>
      <c r="J3849" s="0" t="str">
        <f aca="false">IF(A3849="","",YEAR(A3849))</f>
        <v/>
      </c>
      <c r="K3849" s="0" t="str">
        <f aca="false">IF(A3849="","",MONTH(A3849))</f>
        <v/>
      </c>
      <c r="L3849" s="0" t="str">
        <f aca="false">IF(B3849="","",VALUE(LEFT(B3849,2)))</f>
        <v/>
      </c>
      <c r="M3849" s="0" t="str">
        <f aca="false">IF(A3849="","",IF(COUNTIFS($C$2:$C$5001,C3849,$J$2:$J$5001,J3849,$A$2:$A$5001,"&lt;"&amp;A3849)=0,1,0))</f>
        <v/>
      </c>
    </row>
    <row r="3850" customFormat="false" ht="15" hidden="false" customHeight="false" outlineLevel="0" collapsed="false">
      <c r="A3850" s="27"/>
      <c r="F3850" s="28"/>
      <c r="J3850" s="0" t="str">
        <f aca="false">IF(A3850="","",YEAR(A3850))</f>
        <v/>
      </c>
      <c r="K3850" s="0" t="str">
        <f aca="false">IF(A3850="","",MONTH(A3850))</f>
        <v/>
      </c>
      <c r="L3850" s="0" t="str">
        <f aca="false">IF(B3850="","",VALUE(LEFT(B3850,2)))</f>
        <v/>
      </c>
      <c r="M3850" s="0" t="str">
        <f aca="false">IF(A3850="","",IF(COUNTIFS($C$2:$C$5001,C3850,$J$2:$J$5001,J3850,$A$2:$A$5001,"&lt;"&amp;A3850)=0,1,0))</f>
        <v/>
      </c>
    </row>
    <row r="3851" customFormat="false" ht="15" hidden="false" customHeight="false" outlineLevel="0" collapsed="false">
      <c r="A3851" s="27"/>
      <c r="F3851" s="28"/>
      <c r="J3851" s="0" t="str">
        <f aca="false">IF(A3851="","",YEAR(A3851))</f>
        <v/>
      </c>
      <c r="K3851" s="0" t="str">
        <f aca="false">IF(A3851="","",MONTH(A3851))</f>
        <v/>
      </c>
      <c r="L3851" s="0" t="str">
        <f aca="false">IF(B3851="","",VALUE(LEFT(B3851,2)))</f>
        <v/>
      </c>
      <c r="M3851" s="0" t="str">
        <f aca="false">IF(A3851="","",IF(COUNTIFS($C$2:$C$5001,C3851,$J$2:$J$5001,J3851,$A$2:$A$5001,"&lt;"&amp;A3851)=0,1,0))</f>
        <v/>
      </c>
    </row>
    <row r="3852" customFormat="false" ht="15" hidden="false" customHeight="false" outlineLevel="0" collapsed="false">
      <c r="A3852" s="27"/>
      <c r="F3852" s="28"/>
      <c r="J3852" s="0" t="str">
        <f aca="false">IF(A3852="","",YEAR(A3852))</f>
        <v/>
      </c>
      <c r="K3852" s="0" t="str">
        <f aca="false">IF(A3852="","",MONTH(A3852))</f>
        <v/>
      </c>
      <c r="L3852" s="0" t="str">
        <f aca="false">IF(B3852="","",VALUE(LEFT(B3852,2)))</f>
        <v/>
      </c>
      <c r="M3852" s="0" t="str">
        <f aca="false">IF(A3852="","",IF(COUNTIFS($C$2:$C$5001,C3852,$J$2:$J$5001,J3852,$A$2:$A$5001,"&lt;"&amp;A3852)=0,1,0))</f>
        <v/>
      </c>
    </row>
    <row r="3853" customFormat="false" ht="15" hidden="false" customHeight="false" outlineLevel="0" collapsed="false">
      <c r="A3853" s="27"/>
      <c r="F3853" s="28"/>
      <c r="J3853" s="0" t="str">
        <f aca="false">IF(A3853="","",YEAR(A3853))</f>
        <v/>
      </c>
      <c r="K3853" s="0" t="str">
        <f aca="false">IF(A3853="","",MONTH(A3853))</f>
        <v/>
      </c>
      <c r="L3853" s="0" t="str">
        <f aca="false">IF(B3853="","",VALUE(LEFT(B3853,2)))</f>
        <v/>
      </c>
      <c r="M3853" s="0" t="str">
        <f aca="false">IF(A3853="","",IF(COUNTIFS($C$2:$C$5001,C3853,$J$2:$J$5001,J3853,$A$2:$A$5001,"&lt;"&amp;A3853)=0,1,0))</f>
        <v/>
      </c>
    </row>
    <row r="3854" customFormat="false" ht="15" hidden="false" customHeight="false" outlineLevel="0" collapsed="false">
      <c r="A3854" s="27"/>
      <c r="F3854" s="28"/>
      <c r="J3854" s="0" t="str">
        <f aca="false">IF(A3854="","",YEAR(A3854))</f>
        <v/>
      </c>
      <c r="K3854" s="0" t="str">
        <f aca="false">IF(A3854="","",MONTH(A3854))</f>
        <v/>
      </c>
      <c r="L3854" s="0" t="str">
        <f aca="false">IF(B3854="","",VALUE(LEFT(B3854,2)))</f>
        <v/>
      </c>
      <c r="M3854" s="0" t="str">
        <f aca="false">IF(A3854="","",IF(COUNTIFS($C$2:$C$5001,C3854,$J$2:$J$5001,J3854,$A$2:$A$5001,"&lt;"&amp;A3854)=0,1,0))</f>
        <v/>
      </c>
    </row>
    <row r="3855" customFormat="false" ht="15" hidden="false" customHeight="false" outlineLevel="0" collapsed="false">
      <c r="A3855" s="27"/>
      <c r="F3855" s="28"/>
      <c r="J3855" s="0" t="str">
        <f aca="false">IF(A3855="","",YEAR(A3855))</f>
        <v/>
      </c>
      <c r="K3855" s="0" t="str">
        <f aca="false">IF(A3855="","",MONTH(A3855))</f>
        <v/>
      </c>
      <c r="L3855" s="0" t="str">
        <f aca="false">IF(B3855="","",VALUE(LEFT(B3855,2)))</f>
        <v/>
      </c>
      <c r="M3855" s="0" t="str">
        <f aca="false">IF(A3855="","",IF(COUNTIFS($C$2:$C$5001,C3855,$J$2:$J$5001,J3855,$A$2:$A$5001,"&lt;"&amp;A3855)=0,1,0))</f>
        <v/>
      </c>
    </row>
    <row r="3856" customFormat="false" ht="15" hidden="false" customHeight="false" outlineLevel="0" collapsed="false">
      <c r="A3856" s="27"/>
      <c r="F3856" s="28"/>
      <c r="J3856" s="0" t="str">
        <f aca="false">IF(A3856="","",YEAR(A3856))</f>
        <v/>
      </c>
      <c r="K3856" s="0" t="str">
        <f aca="false">IF(A3856="","",MONTH(A3856))</f>
        <v/>
      </c>
      <c r="L3856" s="0" t="str">
        <f aca="false">IF(B3856="","",VALUE(LEFT(B3856,2)))</f>
        <v/>
      </c>
      <c r="M3856" s="0" t="str">
        <f aca="false">IF(A3856="","",IF(COUNTIFS($C$2:$C$5001,C3856,$J$2:$J$5001,J3856,$A$2:$A$5001,"&lt;"&amp;A3856)=0,1,0))</f>
        <v/>
      </c>
    </row>
    <row r="3857" customFormat="false" ht="15" hidden="false" customHeight="false" outlineLevel="0" collapsed="false">
      <c r="A3857" s="27"/>
      <c r="F3857" s="28"/>
      <c r="J3857" s="0" t="str">
        <f aca="false">IF(A3857="","",YEAR(A3857))</f>
        <v/>
      </c>
      <c r="K3857" s="0" t="str">
        <f aca="false">IF(A3857="","",MONTH(A3857))</f>
        <v/>
      </c>
      <c r="L3857" s="0" t="str">
        <f aca="false">IF(B3857="","",VALUE(LEFT(B3857,2)))</f>
        <v/>
      </c>
      <c r="M3857" s="0" t="str">
        <f aca="false">IF(A3857="","",IF(COUNTIFS($C$2:$C$5001,C3857,$J$2:$J$5001,J3857,$A$2:$A$5001,"&lt;"&amp;A3857)=0,1,0))</f>
        <v/>
      </c>
    </row>
    <row r="3858" customFormat="false" ht="15" hidden="false" customHeight="false" outlineLevel="0" collapsed="false">
      <c r="A3858" s="27"/>
      <c r="F3858" s="28"/>
      <c r="J3858" s="0" t="str">
        <f aca="false">IF(A3858="","",YEAR(A3858))</f>
        <v/>
      </c>
      <c r="K3858" s="0" t="str">
        <f aca="false">IF(A3858="","",MONTH(A3858))</f>
        <v/>
      </c>
      <c r="L3858" s="0" t="str">
        <f aca="false">IF(B3858="","",VALUE(LEFT(B3858,2)))</f>
        <v/>
      </c>
      <c r="M3858" s="0" t="str">
        <f aca="false">IF(A3858="","",IF(COUNTIFS($C$2:$C$5001,C3858,$J$2:$J$5001,J3858,$A$2:$A$5001,"&lt;"&amp;A3858)=0,1,0))</f>
        <v/>
      </c>
    </row>
    <row r="3859" customFormat="false" ht="15" hidden="false" customHeight="false" outlineLevel="0" collapsed="false">
      <c r="A3859" s="27"/>
      <c r="F3859" s="28"/>
      <c r="J3859" s="0" t="str">
        <f aca="false">IF(A3859="","",YEAR(A3859))</f>
        <v/>
      </c>
      <c r="K3859" s="0" t="str">
        <f aca="false">IF(A3859="","",MONTH(A3859))</f>
        <v/>
      </c>
      <c r="L3859" s="0" t="str">
        <f aca="false">IF(B3859="","",VALUE(LEFT(B3859,2)))</f>
        <v/>
      </c>
      <c r="M3859" s="0" t="str">
        <f aca="false">IF(A3859="","",IF(COUNTIFS($C$2:$C$5001,C3859,$J$2:$J$5001,J3859,$A$2:$A$5001,"&lt;"&amp;A3859)=0,1,0))</f>
        <v/>
      </c>
    </row>
    <row r="3860" customFormat="false" ht="15" hidden="false" customHeight="false" outlineLevel="0" collapsed="false">
      <c r="A3860" s="27"/>
      <c r="F3860" s="28"/>
      <c r="J3860" s="0" t="str">
        <f aca="false">IF(A3860="","",YEAR(A3860))</f>
        <v/>
      </c>
      <c r="K3860" s="0" t="str">
        <f aca="false">IF(A3860="","",MONTH(A3860))</f>
        <v/>
      </c>
      <c r="L3860" s="0" t="str">
        <f aca="false">IF(B3860="","",VALUE(LEFT(B3860,2)))</f>
        <v/>
      </c>
      <c r="M3860" s="0" t="str">
        <f aca="false">IF(A3860="","",IF(COUNTIFS($C$2:$C$5001,C3860,$J$2:$J$5001,J3860,$A$2:$A$5001,"&lt;"&amp;A3860)=0,1,0))</f>
        <v/>
      </c>
    </row>
    <row r="3861" customFormat="false" ht="15" hidden="false" customHeight="false" outlineLevel="0" collapsed="false">
      <c r="A3861" s="27"/>
      <c r="F3861" s="28"/>
      <c r="J3861" s="0" t="str">
        <f aca="false">IF(A3861="","",YEAR(A3861))</f>
        <v/>
      </c>
      <c r="K3861" s="0" t="str">
        <f aca="false">IF(A3861="","",MONTH(A3861))</f>
        <v/>
      </c>
      <c r="L3861" s="0" t="str">
        <f aca="false">IF(B3861="","",VALUE(LEFT(B3861,2)))</f>
        <v/>
      </c>
      <c r="M3861" s="0" t="str">
        <f aca="false">IF(A3861="","",IF(COUNTIFS($C$2:$C$5001,C3861,$J$2:$J$5001,J3861,$A$2:$A$5001,"&lt;"&amp;A3861)=0,1,0))</f>
        <v/>
      </c>
    </row>
    <row r="3862" customFormat="false" ht="15" hidden="false" customHeight="false" outlineLevel="0" collapsed="false">
      <c r="A3862" s="27"/>
      <c r="F3862" s="28"/>
      <c r="J3862" s="0" t="str">
        <f aca="false">IF(A3862="","",YEAR(A3862))</f>
        <v/>
      </c>
      <c r="K3862" s="0" t="str">
        <f aca="false">IF(A3862="","",MONTH(A3862))</f>
        <v/>
      </c>
      <c r="L3862" s="0" t="str">
        <f aca="false">IF(B3862="","",VALUE(LEFT(B3862,2)))</f>
        <v/>
      </c>
      <c r="M3862" s="0" t="str">
        <f aca="false">IF(A3862="","",IF(COUNTIFS($C$2:$C$5001,C3862,$J$2:$J$5001,J3862,$A$2:$A$5001,"&lt;"&amp;A3862)=0,1,0))</f>
        <v/>
      </c>
    </row>
    <row r="3863" customFormat="false" ht="15" hidden="false" customHeight="false" outlineLevel="0" collapsed="false">
      <c r="A3863" s="27"/>
      <c r="F3863" s="28"/>
      <c r="J3863" s="0" t="str">
        <f aca="false">IF(A3863="","",YEAR(A3863))</f>
        <v/>
      </c>
      <c r="K3863" s="0" t="str">
        <f aca="false">IF(A3863="","",MONTH(A3863))</f>
        <v/>
      </c>
      <c r="L3863" s="0" t="str">
        <f aca="false">IF(B3863="","",VALUE(LEFT(B3863,2)))</f>
        <v/>
      </c>
      <c r="M3863" s="0" t="str">
        <f aca="false">IF(A3863="","",IF(COUNTIFS($C$2:$C$5001,C3863,$J$2:$J$5001,J3863,$A$2:$A$5001,"&lt;"&amp;A3863)=0,1,0))</f>
        <v/>
      </c>
    </row>
    <row r="3864" customFormat="false" ht="15" hidden="false" customHeight="false" outlineLevel="0" collapsed="false">
      <c r="A3864" s="27"/>
      <c r="F3864" s="28"/>
      <c r="J3864" s="0" t="str">
        <f aca="false">IF(A3864="","",YEAR(A3864))</f>
        <v/>
      </c>
      <c r="K3864" s="0" t="str">
        <f aca="false">IF(A3864="","",MONTH(A3864))</f>
        <v/>
      </c>
      <c r="L3864" s="0" t="str">
        <f aca="false">IF(B3864="","",VALUE(LEFT(B3864,2)))</f>
        <v/>
      </c>
      <c r="M3864" s="0" t="str">
        <f aca="false">IF(A3864="","",IF(COUNTIFS($C$2:$C$5001,C3864,$J$2:$J$5001,J3864,$A$2:$A$5001,"&lt;"&amp;A3864)=0,1,0))</f>
        <v/>
      </c>
    </row>
    <row r="3865" customFormat="false" ht="15" hidden="false" customHeight="false" outlineLevel="0" collapsed="false">
      <c r="A3865" s="27"/>
      <c r="F3865" s="28"/>
      <c r="J3865" s="0" t="str">
        <f aca="false">IF(A3865="","",YEAR(A3865))</f>
        <v/>
      </c>
      <c r="K3865" s="0" t="str">
        <f aca="false">IF(A3865="","",MONTH(A3865))</f>
        <v/>
      </c>
      <c r="L3865" s="0" t="str">
        <f aca="false">IF(B3865="","",VALUE(LEFT(B3865,2)))</f>
        <v/>
      </c>
      <c r="M3865" s="0" t="str">
        <f aca="false">IF(A3865="","",IF(COUNTIFS($C$2:$C$5001,C3865,$J$2:$J$5001,J3865,$A$2:$A$5001,"&lt;"&amp;A3865)=0,1,0))</f>
        <v/>
      </c>
    </row>
    <row r="3866" customFormat="false" ht="15" hidden="false" customHeight="false" outlineLevel="0" collapsed="false">
      <c r="A3866" s="27"/>
      <c r="F3866" s="28"/>
      <c r="J3866" s="0" t="str">
        <f aca="false">IF(A3866="","",YEAR(A3866))</f>
        <v/>
      </c>
      <c r="K3866" s="0" t="str">
        <f aca="false">IF(A3866="","",MONTH(A3866))</f>
        <v/>
      </c>
      <c r="L3866" s="0" t="str">
        <f aca="false">IF(B3866="","",VALUE(LEFT(B3866,2)))</f>
        <v/>
      </c>
      <c r="M3866" s="0" t="str">
        <f aca="false">IF(A3866="","",IF(COUNTIFS($C$2:$C$5001,C3866,$J$2:$J$5001,J3866,$A$2:$A$5001,"&lt;"&amp;A3866)=0,1,0))</f>
        <v/>
      </c>
    </row>
    <row r="3867" customFormat="false" ht="15" hidden="false" customHeight="false" outlineLevel="0" collapsed="false">
      <c r="A3867" s="27"/>
      <c r="F3867" s="28"/>
      <c r="J3867" s="0" t="str">
        <f aca="false">IF(A3867="","",YEAR(A3867))</f>
        <v/>
      </c>
      <c r="K3867" s="0" t="str">
        <f aca="false">IF(A3867="","",MONTH(A3867))</f>
        <v/>
      </c>
      <c r="L3867" s="0" t="str">
        <f aca="false">IF(B3867="","",VALUE(LEFT(B3867,2)))</f>
        <v/>
      </c>
      <c r="M3867" s="0" t="str">
        <f aca="false">IF(A3867="","",IF(COUNTIFS($C$2:$C$5001,C3867,$J$2:$J$5001,J3867,$A$2:$A$5001,"&lt;"&amp;A3867)=0,1,0))</f>
        <v/>
      </c>
    </row>
    <row r="3868" customFormat="false" ht="15" hidden="false" customHeight="false" outlineLevel="0" collapsed="false">
      <c r="A3868" s="27"/>
      <c r="F3868" s="28"/>
      <c r="J3868" s="0" t="str">
        <f aca="false">IF(A3868="","",YEAR(A3868))</f>
        <v/>
      </c>
      <c r="K3868" s="0" t="str">
        <f aca="false">IF(A3868="","",MONTH(A3868))</f>
        <v/>
      </c>
      <c r="L3868" s="0" t="str">
        <f aca="false">IF(B3868="","",VALUE(LEFT(B3868,2)))</f>
        <v/>
      </c>
      <c r="M3868" s="0" t="str">
        <f aca="false">IF(A3868="","",IF(COUNTIFS($C$2:$C$5001,C3868,$J$2:$J$5001,J3868,$A$2:$A$5001,"&lt;"&amp;A3868)=0,1,0))</f>
        <v/>
      </c>
    </row>
    <row r="3869" customFormat="false" ht="15" hidden="false" customHeight="false" outlineLevel="0" collapsed="false">
      <c r="A3869" s="27"/>
      <c r="F3869" s="28"/>
      <c r="J3869" s="0" t="str">
        <f aca="false">IF(A3869="","",YEAR(A3869))</f>
        <v/>
      </c>
      <c r="K3869" s="0" t="str">
        <f aca="false">IF(A3869="","",MONTH(A3869))</f>
        <v/>
      </c>
      <c r="L3869" s="0" t="str">
        <f aca="false">IF(B3869="","",VALUE(LEFT(B3869,2)))</f>
        <v/>
      </c>
      <c r="M3869" s="0" t="str">
        <f aca="false">IF(A3869="","",IF(COUNTIFS($C$2:$C$5001,C3869,$J$2:$J$5001,J3869,$A$2:$A$5001,"&lt;"&amp;A3869)=0,1,0))</f>
        <v/>
      </c>
    </row>
    <row r="3870" customFormat="false" ht="15" hidden="false" customHeight="false" outlineLevel="0" collapsed="false">
      <c r="A3870" s="27"/>
      <c r="F3870" s="28"/>
      <c r="J3870" s="0" t="str">
        <f aca="false">IF(A3870="","",YEAR(A3870))</f>
        <v/>
      </c>
      <c r="K3870" s="0" t="str">
        <f aca="false">IF(A3870="","",MONTH(A3870))</f>
        <v/>
      </c>
      <c r="L3870" s="0" t="str">
        <f aca="false">IF(B3870="","",VALUE(LEFT(B3870,2)))</f>
        <v/>
      </c>
      <c r="M3870" s="0" t="str">
        <f aca="false">IF(A3870="","",IF(COUNTIFS($C$2:$C$5001,C3870,$J$2:$J$5001,J3870,$A$2:$A$5001,"&lt;"&amp;A3870)=0,1,0))</f>
        <v/>
      </c>
    </row>
    <row r="3871" customFormat="false" ht="15" hidden="false" customHeight="false" outlineLevel="0" collapsed="false">
      <c r="A3871" s="27"/>
      <c r="F3871" s="28"/>
      <c r="J3871" s="0" t="str">
        <f aca="false">IF(A3871="","",YEAR(A3871))</f>
        <v/>
      </c>
      <c r="K3871" s="0" t="str">
        <f aca="false">IF(A3871="","",MONTH(A3871))</f>
        <v/>
      </c>
      <c r="L3871" s="0" t="str">
        <f aca="false">IF(B3871="","",VALUE(LEFT(B3871,2)))</f>
        <v/>
      </c>
      <c r="M3871" s="0" t="str">
        <f aca="false">IF(A3871="","",IF(COUNTIFS($C$2:$C$5001,C3871,$J$2:$J$5001,J3871,$A$2:$A$5001,"&lt;"&amp;A3871)=0,1,0))</f>
        <v/>
      </c>
    </row>
    <row r="3872" customFormat="false" ht="15" hidden="false" customHeight="false" outlineLevel="0" collapsed="false">
      <c r="A3872" s="27"/>
      <c r="F3872" s="28"/>
      <c r="J3872" s="0" t="str">
        <f aca="false">IF(A3872="","",YEAR(A3872))</f>
        <v/>
      </c>
      <c r="K3872" s="0" t="str">
        <f aca="false">IF(A3872="","",MONTH(A3872))</f>
        <v/>
      </c>
      <c r="L3872" s="0" t="str">
        <f aca="false">IF(B3872="","",VALUE(LEFT(B3872,2)))</f>
        <v/>
      </c>
      <c r="M3872" s="0" t="str">
        <f aca="false">IF(A3872="","",IF(COUNTIFS($C$2:$C$5001,C3872,$J$2:$J$5001,J3872,$A$2:$A$5001,"&lt;"&amp;A3872)=0,1,0))</f>
        <v/>
      </c>
    </row>
    <row r="3873" customFormat="false" ht="15" hidden="false" customHeight="false" outlineLevel="0" collapsed="false">
      <c r="A3873" s="27"/>
      <c r="F3873" s="28"/>
      <c r="J3873" s="0" t="str">
        <f aca="false">IF(A3873="","",YEAR(A3873))</f>
        <v/>
      </c>
      <c r="K3873" s="0" t="str">
        <f aca="false">IF(A3873="","",MONTH(A3873))</f>
        <v/>
      </c>
      <c r="L3873" s="0" t="str">
        <f aca="false">IF(B3873="","",VALUE(LEFT(B3873,2)))</f>
        <v/>
      </c>
      <c r="M3873" s="0" t="str">
        <f aca="false">IF(A3873="","",IF(COUNTIFS($C$2:$C$5001,C3873,$J$2:$J$5001,J3873,$A$2:$A$5001,"&lt;"&amp;A3873)=0,1,0))</f>
        <v/>
      </c>
    </row>
    <row r="3874" customFormat="false" ht="15" hidden="false" customHeight="false" outlineLevel="0" collapsed="false">
      <c r="A3874" s="27"/>
      <c r="F3874" s="28"/>
      <c r="J3874" s="0" t="str">
        <f aca="false">IF(A3874="","",YEAR(A3874))</f>
        <v/>
      </c>
      <c r="K3874" s="0" t="str">
        <f aca="false">IF(A3874="","",MONTH(A3874))</f>
        <v/>
      </c>
      <c r="L3874" s="0" t="str">
        <f aca="false">IF(B3874="","",VALUE(LEFT(B3874,2)))</f>
        <v/>
      </c>
      <c r="M3874" s="0" t="str">
        <f aca="false">IF(A3874="","",IF(COUNTIFS($C$2:$C$5001,C3874,$J$2:$J$5001,J3874,$A$2:$A$5001,"&lt;"&amp;A3874)=0,1,0))</f>
        <v/>
      </c>
    </row>
    <row r="3875" customFormat="false" ht="15" hidden="false" customHeight="false" outlineLevel="0" collapsed="false">
      <c r="A3875" s="27"/>
      <c r="F3875" s="28"/>
      <c r="J3875" s="0" t="str">
        <f aca="false">IF(A3875="","",YEAR(A3875))</f>
        <v/>
      </c>
      <c r="K3875" s="0" t="str">
        <f aca="false">IF(A3875="","",MONTH(A3875))</f>
        <v/>
      </c>
      <c r="L3875" s="0" t="str">
        <f aca="false">IF(B3875="","",VALUE(LEFT(B3875,2)))</f>
        <v/>
      </c>
      <c r="M3875" s="0" t="str">
        <f aca="false">IF(A3875="","",IF(COUNTIFS($C$2:$C$5001,C3875,$J$2:$J$5001,J3875,$A$2:$A$5001,"&lt;"&amp;A3875)=0,1,0))</f>
        <v/>
      </c>
    </row>
    <row r="3876" customFormat="false" ht="15" hidden="false" customHeight="false" outlineLevel="0" collapsed="false">
      <c r="A3876" s="27"/>
      <c r="F3876" s="28"/>
      <c r="J3876" s="0" t="str">
        <f aca="false">IF(A3876="","",YEAR(A3876))</f>
        <v/>
      </c>
      <c r="K3876" s="0" t="str">
        <f aca="false">IF(A3876="","",MONTH(A3876))</f>
        <v/>
      </c>
      <c r="L3876" s="0" t="str">
        <f aca="false">IF(B3876="","",VALUE(LEFT(B3876,2)))</f>
        <v/>
      </c>
      <c r="M3876" s="0" t="str">
        <f aca="false">IF(A3876="","",IF(COUNTIFS($C$2:$C$5001,C3876,$J$2:$J$5001,J3876,$A$2:$A$5001,"&lt;"&amp;A3876)=0,1,0))</f>
        <v/>
      </c>
    </row>
    <row r="3877" customFormat="false" ht="15" hidden="false" customHeight="false" outlineLevel="0" collapsed="false">
      <c r="A3877" s="27"/>
      <c r="F3877" s="28"/>
      <c r="J3877" s="0" t="str">
        <f aca="false">IF(A3877="","",YEAR(A3877))</f>
        <v/>
      </c>
      <c r="K3877" s="0" t="str">
        <f aca="false">IF(A3877="","",MONTH(A3877))</f>
        <v/>
      </c>
      <c r="L3877" s="0" t="str">
        <f aca="false">IF(B3877="","",VALUE(LEFT(B3877,2)))</f>
        <v/>
      </c>
      <c r="M3877" s="0" t="str">
        <f aca="false">IF(A3877="","",IF(COUNTIFS($C$2:$C$5001,C3877,$J$2:$J$5001,J3877,$A$2:$A$5001,"&lt;"&amp;A3877)=0,1,0))</f>
        <v/>
      </c>
    </row>
    <row r="3878" customFormat="false" ht="15" hidden="false" customHeight="false" outlineLevel="0" collapsed="false">
      <c r="A3878" s="27"/>
      <c r="F3878" s="28"/>
      <c r="J3878" s="0" t="str">
        <f aca="false">IF(A3878="","",YEAR(A3878))</f>
        <v/>
      </c>
      <c r="K3878" s="0" t="str">
        <f aca="false">IF(A3878="","",MONTH(A3878))</f>
        <v/>
      </c>
      <c r="L3878" s="0" t="str">
        <f aca="false">IF(B3878="","",VALUE(LEFT(B3878,2)))</f>
        <v/>
      </c>
      <c r="M3878" s="0" t="str">
        <f aca="false">IF(A3878="","",IF(COUNTIFS($C$2:$C$5001,C3878,$J$2:$J$5001,J3878,$A$2:$A$5001,"&lt;"&amp;A3878)=0,1,0))</f>
        <v/>
      </c>
    </row>
    <row r="3879" customFormat="false" ht="15" hidden="false" customHeight="false" outlineLevel="0" collapsed="false">
      <c r="A3879" s="27"/>
      <c r="F3879" s="28"/>
      <c r="J3879" s="0" t="str">
        <f aca="false">IF(A3879="","",YEAR(A3879))</f>
        <v/>
      </c>
      <c r="K3879" s="0" t="str">
        <f aca="false">IF(A3879="","",MONTH(A3879))</f>
        <v/>
      </c>
      <c r="L3879" s="0" t="str">
        <f aca="false">IF(B3879="","",VALUE(LEFT(B3879,2)))</f>
        <v/>
      </c>
      <c r="M3879" s="0" t="str">
        <f aca="false">IF(A3879="","",IF(COUNTIFS($C$2:$C$5001,C3879,$J$2:$J$5001,J3879,$A$2:$A$5001,"&lt;"&amp;A3879)=0,1,0))</f>
        <v/>
      </c>
    </row>
    <row r="3880" customFormat="false" ht="15" hidden="false" customHeight="false" outlineLevel="0" collapsed="false">
      <c r="A3880" s="27"/>
      <c r="F3880" s="28"/>
      <c r="J3880" s="0" t="str">
        <f aca="false">IF(A3880="","",YEAR(A3880))</f>
        <v/>
      </c>
      <c r="K3880" s="0" t="str">
        <f aca="false">IF(A3880="","",MONTH(A3880))</f>
        <v/>
      </c>
      <c r="L3880" s="0" t="str">
        <f aca="false">IF(B3880="","",VALUE(LEFT(B3880,2)))</f>
        <v/>
      </c>
      <c r="M3880" s="0" t="str">
        <f aca="false">IF(A3880="","",IF(COUNTIFS($C$2:$C$5001,C3880,$J$2:$J$5001,J3880,$A$2:$A$5001,"&lt;"&amp;A3880)=0,1,0))</f>
        <v/>
      </c>
    </row>
    <row r="3881" customFormat="false" ht="15" hidden="false" customHeight="false" outlineLevel="0" collapsed="false">
      <c r="A3881" s="27"/>
      <c r="F3881" s="28"/>
      <c r="J3881" s="0" t="str">
        <f aca="false">IF(A3881="","",YEAR(A3881))</f>
        <v/>
      </c>
      <c r="K3881" s="0" t="str">
        <f aca="false">IF(A3881="","",MONTH(A3881))</f>
        <v/>
      </c>
      <c r="L3881" s="0" t="str">
        <f aca="false">IF(B3881="","",VALUE(LEFT(B3881,2)))</f>
        <v/>
      </c>
      <c r="M3881" s="0" t="str">
        <f aca="false">IF(A3881="","",IF(COUNTIFS($C$2:$C$5001,C3881,$J$2:$J$5001,J3881,$A$2:$A$5001,"&lt;"&amp;A3881)=0,1,0))</f>
        <v/>
      </c>
    </row>
    <row r="3882" customFormat="false" ht="15" hidden="false" customHeight="false" outlineLevel="0" collapsed="false">
      <c r="A3882" s="27"/>
      <c r="F3882" s="28"/>
      <c r="J3882" s="0" t="str">
        <f aca="false">IF(A3882="","",YEAR(A3882))</f>
        <v/>
      </c>
      <c r="K3882" s="0" t="str">
        <f aca="false">IF(A3882="","",MONTH(A3882))</f>
        <v/>
      </c>
      <c r="L3882" s="0" t="str">
        <f aca="false">IF(B3882="","",VALUE(LEFT(B3882,2)))</f>
        <v/>
      </c>
      <c r="M3882" s="0" t="str">
        <f aca="false">IF(A3882="","",IF(COUNTIFS($C$2:$C$5001,C3882,$J$2:$J$5001,J3882,$A$2:$A$5001,"&lt;"&amp;A3882)=0,1,0))</f>
        <v/>
      </c>
    </row>
    <row r="3883" customFormat="false" ht="15" hidden="false" customHeight="false" outlineLevel="0" collapsed="false">
      <c r="A3883" s="27"/>
      <c r="F3883" s="28"/>
      <c r="J3883" s="0" t="str">
        <f aca="false">IF(A3883="","",YEAR(A3883))</f>
        <v/>
      </c>
      <c r="K3883" s="0" t="str">
        <f aca="false">IF(A3883="","",MONTH(A3883))</f>
        <v/>
      </c>
      <c r="L3883" s="0" t="str">
        <f aca="false">IF(B3883="","",VALUE(LEFT(B3883,2)))</f>
        <v/>
      </c>
      <c r="M3883" s="0" t="str">
        <f aca="false">IF(A3883="","",IF(COUNTIFS($C$2:$C$5001,C3883,$J$2:$J$5001,J3883,$A$2:$A$5001,"&lt;"&amp;A3883)=0,1,0))</f>
        <v/>
      </c>
    </row>
    <row r="3884" customFormat="false" ht="15" hidden="false" customHeight="false" outlineLevel="0" collapsed="false">
      <c r="A3884" s="27"/>
      <c r="F3884" s="28"/>
      <c r="J3884" s="0" t="str">
        <f aca="false">IF(A3884="","",YEAR(A3884))</f>
        <v/>
      </c>
      <c r="K3884" s="0" t="str">
        <f aca="false">IF(A3884="","",MONTH(A3884))</f>
        <v/>
      </c>
      <c r="L3884" s="0" t="str">
        <f aca="false">IF(B3884="","",VALUE(LEFT(B3884,2)))</f>
        <v/>
      </c>
      <c r="M3884" s="0" t="str">
        <f aca="false">IF(A3884="","",IF(COUNTIFS($C$2:$C$5001,C3884,$J$2:$J$5001,J3884,$A$2:$A$5001,"&lt;"&amp;A3884)=0,1,0))</f>
        <v/>
      </c>
    </row>
    <row r="3885" customFormat="false" ht="15" hidden="false" customHeight="false" outlineLevel="0" collapsed="false">
      <c r="A3885" s="27"/>
      <c r="F3885" s="28"/>
      <c r="J3885" s="0" t="str">
        <f aca="false">IF(A3885="","",YEAR(A3885))</f>
        <v/>
      </c>
      <c r="K3885" s="0" t="str">
        <f aca="false">IF(A3885="","",MONTH(A3885))</f>
        <v/>
      </c>
      <c r="L3885" s="0" t="str">
        <f aca="false">IF(B3885="","",VALUE(LEFT(B3885,2)))</f>
        <v/>
      </c>
      <c r="M3885" s="0" t="str">
        <f aca="false">IF(A3885="","",IF(COUNTIFS($C$2:$C$5001,C3885,$J$2:$J$5001,J3885,$A$2:$A$5001,"&lt;"&amp;A3885)=0,1,0))</f>
        <v/>
      </c>
    </row>
    <row r="3886" customFormat="false" ht="15" hidden="false" customHeight="false" outlineLevel="0" collapsed="false">
      <c r="A3886" s="27"/>
      <c r="F3886" s="28"/>
      <c r="J3886" s="0" t="str">
        <f aca="false">IF(A3886="","",YEAR(A3886))</f>
        <v/>
      </c>
      <c r="K3886" s="0" t="str">
        <f aca="false">IF(A3886="","",MONTH(A3886))</f>
        <v/>
      </c>
      <c r="L3886" s="0" t="str">
        <f aca="false">IF(B3886="","",VALUE(LEFT(B3886,2)))</f>
        <v/>
      </c>
      <c r="M3886" s="0" t="str">
        <f aca="false">IF(A3886="","",IF(COUNTIFS($C$2:$C$5001,C3886,$J$2:$J$5001,J3886,$A$2:$A$5001,"&lt;"&amp;A3886)=0,1,0))</f>
        <v/>
      </c>
    </row>
    <row r="3887" customFormat="false" ht="15" hidden="false" customHeight="false" outlineLevel="0" collapsed="false">
      <c r="A3887" s="27"/>
      <c r="F3887" s="28"/>
      <c r="J3887" s="0" t="str">
        <f aca="false">IF(A3887="","",YEAR(A3887))</f>
        <v/>
      </c>
      <c r="K3887" s="0" t="str">
        <f aca="false">IF(A3887="","",MONTH(A3887))</f>
        <v/>
      </c>
      <c r="L3887" s="0" t="str">
        <f aca="false">IF(B3887="","",VALUE(LEFT(B3887,2)))</f>
        <v/>
      </c>
      <c r="M3887" s="0" t="str">
        <f aca="false">IF(A3887="","",IF(COUNTIFS($C$2:$C$5001,C3887,$J$2:$J$5001,J3887,$A$2:$A$5001,"&lt;"&amp;A3887)=0,1,0))</f>
        <v/>
      </c>
    </row>
    <row r="3888" customFormat="false" ht="15" hidden="false" customHeight="false" outlineLevel="0" collapsed="false">
      <c r="A3888" s="27"/>
      <c r="F3888" s="28"/>
      <c r="J3888" s="0" t="str">
        <f aca="false">IF(A3888="","",YEAR(A3888))</f>
        <v/>
      </c>
      <c r="K3888" s="0" t="str">
        <f aca="false">IF(A3888="","",MONTH(A3888))</f>
        <v/>
      </c>
      <c r="L3888" s="0" t="str">
        <f aca="false">IF(B3888="","",VALUE(LEFT(B3888,2)))</f>
        <v/>
      </c>
      <c r="M3888" s="0" t="str">
        <f aca="false">IF(A3888="","",IF(COUNTIFS($C$2:$C$5001,C3888,$J$2:$J$5001,J3888,$A$2:$A$5001,"&lt;"&amp;A3888)=0,1,0))</f>
        <v/>
      </c>
    </row>
    <row r="3889" customFormat="false" ht="15" hidden="false" customHeight="false" outlineLevel="0" collapsed="false">
      <c r="A3889" s="27"/>
      <c r="F3889" s="28"/>
      <c r="J3889" s="0" t="str">
        <f aca="false">IF(A3889="","",YEAR(A3889))</f>
        <v/>
      </c>
      <c r="K3889" s="0" t="str">
        <f aca="false">IF(A3889="","",MONTH(A3889))</f>
        <v/>
      </c>
      <c r="L3889" s="0" t="str">
        <f aca="false">IF(B3889="","",VALUE(LEFT(B3889,2)))</f>
        <v/>
      </c>
      <c r="M3889" s="0" t="str">
        <f aca="false">IF(A3889="","",IF(COUNTIFS($C$2:$C$5001,C3889,$J$2:$J$5001,J3889,$A$2:$A$5001,"&lt;"&amp;A3889)=0,1,0))</f>
        <v/>
      </c>
    </row>
    <row r="3890" customFormat="false" ht="15" hidden="false" customHeight="false" outlineLevel="0" collapsed="false">
      <c r="A3890" s="27"/>
      <c r="F3890" s="28"/>
      <c r="J3890" s="0" t="str">
        <f aca="false">IF(A3890="","",YEAR(A3890))</f>
        <v/>
      </c>
      <c r="K3890" s="0" t="str">
        <f aca="false">IF(A3890="","",MONTH(A3890))</f>
        <v/>
      </c>
      <c r="L3890" s="0" t="str">
        <f aca="false">IF(B3890="","",VALUE(LEFT(B3890,2)))</f>
        <v/>
      </c>
      <c r="M3890" s="0" t="str">
        <f aca="false">IF(A3890="","",IF(COUNTIFS($C$2:$C$5001,C3890,$J$2:$J$5001,J3890,$A$2:$A$5001,"&lt;"&amp;A3890)=0,1,0))</f>
        <v/>
      </c>
    </row>
    <row r="3891" customFormat="false" ht="15" hidden="false" customHeight="false" outlineLevel="0" collapsed="false">
      <c r="A3891" s="27"/>
      <c r="F3891" s="28"/>
      <c r="J3891" s="0" t="str">
        <f aca="false">IF(A3891="","",YEAR(A3891))</f>
        <v/>
      </c>
      <c r="K3891" s="0" t="str">
        <f aca="false">IF(A3891="","",MONTH(A3891))</f>
        <v/>
      </c>
      <c r="L3891" s="0" t="str">
        <f aca="false">IF(B3891="","",VALUE(LEFT(B3891,2)))</f>
        <v/>
      </c>
      <c r="M3891" s="0" t="str">
        <f aca="false">IF(A3891="","",IF(COUNTIFS($C$2:$C$5001,C3891,$J$2:$J$5001,J3891,$A$2:$A$5001,"&lt;"&amp;A3891)=0,1,0))</f>
        <v/>
      </c>
    </row>
    <row r="3892" customFormat="false" ht="15" hidden="false" customHeight="false" outlineLevel="0" collapsed="false">
      <c r="A3892" s="27"/>
      <c r="F3892" s="28"/>
      <c r="J3892" s="0" t="str">
        <f aca="false">IF(A3892="","",YEAR(A3892))</f>
        <v/>
      </c>
      <c r="K3892" s="0" t="str">
        <f aca="false">IF(A3892="","",MONTH(A3892))</f>
        <v/>
      </c>
      <c r="L3892" s="0" t="str">
        <f aca="false">IF(B3892="","",VALUE(LEFT(B3892,2)))</f>
        <v/>
      </c>
      <c r="M3892" s="0" t="str">
        <f aca="false">IF(A3892="","",IF(COUNTIFS($C$2:$C$5001,C3892,$J$2:$J$5001,J3892,$A$2:$A$5001,"&lt;"&amp;A3892)=0,1,0))</f>
        <v/>
      </c>
    </row>
    <row r="3893" customFormat="false" ht="15" hidden="false" customHeight="false" outlineLevel="0" collapsed="false">
      <c r="A3893" s="27"/>
      <c r="F3893" s="28"/>
      <c r="J3893" s="0" t="str">
        <f aca="false">IF(A3893="","",YEAR(A3893))</f>
        <v/>
      </c>
      <c r="K3893" s="0" t="str">
        <f aca="false">IF(A3893="","",MONTH(A3893))</f>
        <v/>
      </c>
      <c r="L3893" s="0" t="str">
        <f aca="false">IF(B3893="","",VALUE(LEFT(B3893,2)))</f>
        <v/>
      </c>
      <c r="M3893" s="0" t="str">
        <f aca="false">IF(A3893="","",IF(COUNTIFS($C$2:$C$5001,C3893,$J$2:$J$5001,J3893,$A$2:$A$5001,"&lt;"&amp;A3893)=0,1,0))</f>
        <v/>
      </c>
    </row>
    <row r="3894" customFormat="false" ht="15" hidden="false" customHeight="false" outlineLevel="0" collapsed="false">
      <c r="A3894" s="27"/>
      <c r="F3894" s="28"/>
      <c r="J3894" s="0" t="str">
        <f aca="false">IF(A3894="","",YEAR(A3894))</f>
        <v/>
      </c>
      <c r="K3894" s="0" t="str">
        <f aca="false">IF(A3894="","",MONTH(A3894))</f>
        <v/>
      </c>
      <c r="L3894" s="0" t="str">
        <f aca="false">IF(B3894="","",VALUE(LEFT(B3894,2)))</f>
        <v/>
      </c>
      <c r="M3894" s="0" t="str">
        <f aca="false">IF(A3894="","",IF(COUNTIFS($C$2:$C$5001,C3894,$J$2:$J$5001,J3894,$A$2:$A$5001,"&lt;"&amp;A3894)=0,1,0))</f>
        <v/>
      </c>
    </row>
    <row r="3895" customFormat="false" ht="15" hidden="false" customHeight="false" outlineLevel="0" collapsed="false">
      <c r="A3895" s="27"/>
      <c r="F3895" s="28"/>
      <c r="J3895" s="0" t="str">
        <f aca="false">IF(A3895="","",YEAR(A3895))</f>
        <v/>
      </c>
      <c r="K3895" s="0" t="str">
        <f aca="false">IF(A3895="","",MONTH(A3895))</f>
        <v/>
      </c>
      <c r="L3895" s="0" t="str">
        <f aca="false">IF(B3895="","",VALUE(LEFT(B3895,2)))</f>
        <v/>
      </c>
      <c r="M3895" s="0" t="str">
        <f aca="false">IF(A3895="","",IF(COUNTIFS($C$2:$C$5001,C3895,$J$2:$J$5001,J3895,$A$2:$A$5001,"&lt;"&amp;A3895)=0,1,0))</f>
        <v/>
      </c>
    </row>
    <row r="3896" customFormat="false" ht="15" hidden="false" customHeight="false" outlineLevel="0" collapsed="false">
      <c r="A3896" s="27"/>
      <c r="F3896" s="28"/>
      <c r="J3896" s="0" t="str">
        <f aca="false">IF(A3896="","",YEAR(A3896))</f>
        <v/>
      </c>
      <c r="K3896" s="0" t="str">
        <f aca="false">IF(A3896="","",MONTH(A3896))</f>
        <v/>
      </c>
      <c r="L3896" s="0" t="str">
        <f aca="false">IF(B3896="","",VALUE(LEFT(B3896,2)))</f>
        <v/>
      </c>
      <c r="M3896" s="0" t="str">
        <f aca="false">IF(A3896="","",IF(COUNTIFS($C$2:$C$5001,C3896,$J$2:$J$5001,J3896,$A$2:$A$5001,"&lt;"&amp;A3896)=0,1,0))</f>
        <v/>
      </c>
    </row>
    <row r="3897" customFormat="false" ht="15" hidden="false" customHeight="false" outlineLevel="0" collapsed="false">
      <c r="A3897" s="27"/>
      <c r="F3897" s="28"/>
      <c r="J3897" s="0" t="str">
        <f aca="false">IF(A3897="","",YEAR(A3897))</f>
        <v/>
      </c>
      <c r="K3897" s="0" t="str">
        <f aca="false">IF(A3897="","",MONTH(A3897))</f>
        <v/>
      </c>
      <c r="L3897" s="0" t="str">
        <f aca="false">IF(B3897="","",VALUE(LEFT(B3897,2)))</f>
        <v/>
      </c>
      <c r="M3897" s="0" t="str">
        <f aca="false">IF(A3897="","",IF(COUNTIFS($C$2:$C$5001,C3897,$J$2:$J$5001,J3897,$A$2:$A$5001,"&lt;"&amp;A3897)=0,1,0))</f>
        <v/>
      </c>
    </row>
    <row r="3898" customFormat="false" ht="15" hidden="false" customHeight="false" outlineLevel="0" collapsed="false">
      <c r="A3898" s="27"/>
      <c r="F3898" s="28"/>
      <c r="J3898" s="0" t="str">
        <f aca="false">IF(A3898="","",YEAR(A3898))</f>
        <v/>
      </c>
      <c r="K3898" s="0" t="str">
        <f aca="false">IF(A3898="","",MONTH(A3898))</f>
        <v/>
      </c>
      <c r="L3898" s="0" t="str">
        <f aca="false">IF(B3898="","",VALUE(LEFT(B3898,2)))</f>
        <v/>
      </c>
      <c r="M3898" s="0" t="str">
        <f aca="false">IF(A3898="","",IF(COUNTIFS($C$2:$C$5001,C3898,$J$2:$J$5001,J3898,$A$2:$A$5001,"&lt;"&amp;A3898)=0,1,0))</f>
        <v/>
      </c>
    </row>
    <row r="3899" customFormat="false" ht="15" hidden="false" customHeight="false" outlineLevel="0" collapsed="false">
      <c r="A3899" s="27"/>
      <c r="F3899" s="28"/>
      <c r="J3899" s="0" t="str">
        <f aca="false">IF(A3899="","",YEAR(A3899))</f>
        <v/>
      </c>
      <c r="K3899" s="0" t="str">
        <f aca="false">IF(A3899="","",MONTH(A3899))</f>
        <v/>
      </c>
      <c r="L3899" s="0" t="str">
        <f aca="false">IF(B3899="","",VALUE(LEFT(B3899,2)))</f>
        <v/>
      </c>
      <c r="M3899" s="0" t="str">
        <f aca="false">IF(A3899="","",IF(COUNTIFS($C$2:$C$5001,C3899,$J$2:$J$5001,J3899,$A$2:$A$5001,"&lt;"&amp;A3899)=0,1,0))</f>
        <v/>
      </c>
    </row>
    <row r="3900" customFormat="false" ht="15" hidden="false" customHeight="false" outlineLevel="0" collapsed="false">
      <c r="A3900" s="27"/>
      <c r="F3900" s="28"/>
      <c r="J3900" s="0" t="str">
        <f aca="false">IF(A3900="","",YEAR(A3900))</f>
        <v/>
      </c>
      <c r="K3900" s="0" t="str">
        <f aca="false">IF(A3900="","",MONTH(A3900))</f>
        <v/>
      </c>
      <c r="L3900" s="0" t="str">
        <f aca="false">IF(B3900="","",VALUE(LEFT(B3900,2)))</f>
        <v/>
      </c>
      <c r="M3900" s="0" t="str">
        <f aca="false">IF(A3900="","",IF(COUNTIFS($C$2:$C$5001,C3900,$J$2:$J$5001,J3900,$A$2:$A$5001,"&lt;"&amp;A3900)=0,1,0))</f>
        <v/>
      </c>
    </row>
    <row r="3901" customFormat="false" ht="15" hidden="false" customHeight="false" outlineLevel="0" collapsed="false">
      <c r="A3901" s="27"/>
      <c r="F3901" s="28"/>
      <c r="J3901" s="0" t="str">
        <f aca="false">IF(A3901="","",YEAR(A3901))</f>
        <v/>
      </c>
      <c r="K3901" s="0" t="str">
        <f aca="false">IF(A3901="","",MONTH(A3901))</f>
        <v/>
      </c>
      <c r="L3901" s="0" t="str">
        <f aca="false">IF(B3901="","",VALUE(LEFT(B3901,2)))</f>
        <v/>
      </c>
      <c r="M3901" s="0" t="str">
        <f aca="false">IF(A3901="","",IF(COUNTIFS($C$2:$C$5001,C3901,$J$2:$J$5001,J3901,$A$2:$A$5001,"&lt;"&amp;A3901)=0,1,0))</f>
        <v/>
      </c>
    </row>
    <row r="3902" customFormat="false" ht="15" hidden="false" customHeight="false" outlineLevel="0" collapsed="false">
      <c r="A3902" s="27"/>
      <c r="F3902" s="28"/>
      <c r="J3902" s="0" t="str">
        <f aca="false">IF(A3902="","",YEAR(A3902))</f>
        <v/>
      </c>
      <c r="K3902" s="0" t="str">
        <f aca="false">IF(A3902="","",MONTH(A3902))</f>
        <v/>
      </c>
      <c r="L3902" s="0" t="str">
        <f aca="false">IF(B3902="","",VALUE(LEFT(B3902,2)))</f>
        <v/>
      </c>
      <c r="M3902" s="0" t="str">
        <f aca="false">IF(A3902="","",IF(COUNTIFS($C$2:$C$5001,C3902,$J$2:$J$5001,J3902,$A$2:$A$5001,"&lt;"&amp;A3902)=0,1,0))</f>
        <v/>
      </c>
    </row>
    <row r="3903" customFormat="false" ht="15" hidden="false" customHeight="false" outlineLevel="0" collapsed="false">
      <c r="A3903" s="27"/>
      <c r="F3903" s="28"/>
      <c r="J3903" s="0" t="str">
        <f aca="false">IF(A3903="","",YEAR(A3903))</f>
        <v/>
      </c>
      <c r="K3903" s="0" t="str">
        <f aca="false">IF(A3903="","",MONTH(A3903))</f>
        <v/>
      </c>
      <c r="L3903" s="0" t="str">
        <f aca="false">IF(B3903="","",VALUE(LEFT(B3903,2)))</f>
        <v/>
      </c>
      <c r="M3903" s="0" t="str">
        <f aca="false">IF(A3903="","",IF(COUNTIFS($C$2:$C$5001,C3903,$J$2:$J$5001,J3903,$A$2:$A$5001,"&lt;"&amp;A3903)=0,1,0))</f>
        <v/>
      </c>
    </row>
    <row r="3904" customFormat="false" ht="15" hidden="false" customHeight="false" outlineLevel="0" collapsed="false">
      <c r="A3904" s="27"/>
      <c r="F3904" s="28"/>
      <c r="J3904" s="0" t="str">
        <f aca="false">IF(A3904="","",YEAR(A3904))</f>
        <v/>
      </c>
      <c r="K3904" s="0" t="str">
        <f aca="false">IF(A3904="","",MONTH(A3904))</f>
        <v/>
      </c>
      <c r="L3904" s="0" t="str">
        <f aca="false">IF(B3904="","",VALUE(LEFT(B3904,2)))</f>
        <v/>
      </c>
      <c r="M3904" s="0" t="str">
        <f aca="false">IF(A3904="","",IF(COUNTIFS($C$2:$C$5001,C3904,$J$2:$J$5001,J3904,$A$2:$A$5001,"&lt;"&amp;A3904)=0,1,0))</f>
        <v/>
      </c>
    </row>
    <row r="3905" customFormat="false" ht="15" hidden="false" customHeight="false" outlineLevel="0" collapsed="false">
      <c r="A3905" s="27"/>
      <c r="F3905" s="28"/>
      <c r="J3905" s="0" t="str">
        <f aca="false">IF(A3905="","",YEAR(A3905))</f>
        <v/>
      </c>
      <c r="K3905" s="0" t="str">
        <f aca="false">IF(A3905="","",MONTH(A3905))</f>
        <v/>
      </c>
      <c r="L3905" s="0" t="str">
        <f aca="false">IF(B3905="","",VALUE(LEFT(B3905,2)))</f>
        <v/>
      </c>
      <c r="M3905" s="0" t="str">
        <f aca="false">IF(A3905="","",IF(COUNTIFS($C$2:$C$5001,C3905,$J$2:$J$5001,J3905,$A$2:$A$5001,"&lt;"&amp;A3905)=0,1,0))</f>
        <v/>
      </c>
    </row>
    <row r="3906" customFormat="false" ht="15" hidden="false" customHeight="false" outlineLevel="0" collapsed="false">
      <c r="A3906" s="27"/>
      <c r="F3906" s="28"/>
      <c r="J3906" s="0" t="str">
        <f aca="false">IF(A3906="","",YEAR(A3906))</f>
        <v/>
      </c>
      <c r="K3906" s="0" t="str">
        <f aca="false">IF(A3906="","",MONTH(A3906))</f>
        <v/>
      </c>
      <c r="L3906" s="0" t="str">
        <f aca="false">IF(B3906="","",VALUE(LEFT(B3906,2)))</f>
        <v/>
      </c>
      <c r="M3906" s="0" t="str">
        <f aca="false">IF(A3906="","",IF(COUNTIFS($C$2:$C$5001,C3906,$J$2:$J$5001,J3906,$A$2:$A$5001,"&lt;"&amp;A3906)=0,1,0))</f>
        <v/>
      </c>
    </row>
    <row r="3907" customFormat="false" ht="15" hidden="false" customHeight="false" outlineLevel="0" collapsed="false">
      <c r="A3907" s="27"/>
      <c r="F3907" s="28"/>
      <c r="J3907" s="0" t="str">
        <f aca="false">IF(A3907="","",YEAR(A3907))</f>
        <v/>
      </c>
      <c r="K3907" s="0" t="str">
        <f aca="false">IF(A3907="","",MONTH(A3907))</f>
        <v/>
      </c>
      <c r="L3907" s="0" t="str">
        <f aca="false">IF(B3907="","",VALUE(LEFT(B3907,2)))</f>
        <v/>
      </c>
      <c r="M3907" s="0" t="str">
        <f aca="false">IF(A3907="","",IF(COUNTIFS($C$2:$C$5001,C3907,$J$2:$J$5001,J3907,$A$2:$A$5001,"&lt;"&amp;A3907)=0,1,0))</f>
        <v/>
      </c>
    </row>
    <row r="3908" customFormat="false" ht="15" hidden="false" customHeight="false" outlineLevel="0" collapsed="false">
      <c r="A3908" s="27"/>
      <c r="F3908" s="28"/>
      <c r="J3908" s="0" t="str">
        <f aca="false">IF(A3908="","",YEAR(A3908))</f>
        <v/>
      </c>
      <c r="K3908" s="0" t="str">
        <f aca="false">IF(A3908="","",MONTH(A3908))</f>
        <v/>
      </c>
      <c r="L3908" s="0" t="str">
        <f aca="false">IF(B3908="","",VALUE(LEFT(B3908,2)))</f>
        <v/>
      </c>
      <c r="M3908" s="0" t="str">
        <f aca="false">IF(A3908="","",IF(COUNTIFS($C$2:$C$5001,C3908,$J$2:$J$5001,J3908,$A$2:$A$5001,"&lt;"&amp;A3908)=0,1,0))</f>
        <v/>
      </c>
    </row>
    <row r="3909" customFormat="false" ht="15" hidden="false" customHeight="false" outlineLevel="0" collapsed="false">
      <c r="A3909" s="27"/>
      <c r="F3909" s="28"/>
      <c r="J3909" s="0" t="str">
        <f aca="false">IF(A3909="","",YEAR(A3909))</f>
        <v/>
      </c>
      <c r="K3909" s="0" t="str">
        <f aca="false">IF(A3909="","",MONTH(A3909))</f>
        <v/>
      </c>
      <c r="L3909" s="0" t="str">
        <f aca="false">IF(B3909="","",VALUE(LEFT(B3909,2)))</f>
        <v/>
      </c>
      <c r="M3909" s="0" t="str">
        <f aca="false">IF(A3909="","",IF(COUNTIFS($C$2:$C$5001,C3909,$J$2:$J$5001,J3909,$A$2:$A$5001,"&lt;"&amp;A3909)=0,1,0))</f>
        <v/>
      </c>
    </row>
    <row r="3910" customFormat="false" ht="15" hidden="false" customHeight="false" outlineLevel="0" collapsed="false">
      <c r="A3910" s="27"/>
      <c r="F3910" s="28"/>
      <c r="J3910" s="0" t="str">
        <f aca="false">IF(A3910="","",YEAR(A3910))</f>
        <v/>
      </c>
      <c r="K3910" s="0" t="str">
        <f aca="false">IF(A3910="","",MONTH(A3910))</f>
        <v/>
      </c>
      <c r="L3910" s="0" t="str">
        <f aca="false">IF(B3910="","",VALUE(LEFT(B3910,2)))</f>
        <v/>
      </c>
      <c r="M3910" s="0" t="str">
        <f aca="false">IF(A3910="","",IF(COUNTIFS($C$2:$C$5001,C3910,$J$2:$J$5001,J3910,$A$2:$A$5001,"&lt;"&amp;A3910)=0,1,0))</f>
        <v/>
      </c>
    </row>
    <row r="3911" customFormat="false" ht="15" hidden="false" customHeight="false" outlineLevel="0" collapsed="false">
      <c r="A3911" s="27"/>
      <c r="F3911" s="28"/>
      <c r="J3911" s="0" t="str">
        <f aca="false">IF(A3911="","",YEAR(A3911))</f>
        <v/>
      </c>
      <c r="K3911" s="0" t="str">
        <f aca="false">IF(A3911="","",MONTH(A3911))</f>
        <v/>
      </c>
      <c r="L3911" s="0" t="str">
        <f aca="false">IF(B3911="","",VALUE(LEFT(B3911,2)))</f>
        <v/>
      </c>
      <c r="M3911" s="0" t="str">
        <f aca="false">IF(A3911="","",IF(COUNTIFS($C$2:$C$5001,C3911,$J$2:$J$5001,J3911,$A$2:$A$5001,"&lt;"&amp;A3911)=0,1,0))</f>
        <v/>
      </c>
    </row>
    <row r="3912" customFormat="false" ht="15" hidden="false" customHeight="false" outlineLevel="0" collapsed="false">
      <c r="A3912" s="27"/>
      <c r="F3912" s="28"/>
      <c r="J3912" s="0" t="str">
        <f aca="false">IF(A3912="","",YEAR(A3912))</f>
        <v/>
      </c>
      <c r="K3912" s="0" t="str">
        <f aca="false">IF(A3912="","",MONTH(A3912))</f>
        <v/>
      </c>
      <c r="L3912" s="0" t="str">
        <f aca="false">IF(B3912="","",VALUE(LEFT(B3912,2)))</f>
        <v/>
      </c>
      <c r="M3912" s="0" t="str">
        <f aca="false">IF(A3912="","",IF(COUNTIFS($C$2:$C$5001,C3912,$J$2:$J$5001,J3912,$A$2:$A$5001,"&lt;"&amp;A3912)=0,1,0))</f>
        <v/>
      </c>
    </row>
    <row r="3913" customFormat="false" ht="15" hidden="false" customHeight="false" outlineLevel="0" collapsed="false">
      <c r="A3913" s="27"/>
      <c r="F3913" s="28"/>
      <c r="J3913" s="0" t="str">
        <f aca="false">IF(A3913="","",YEAR(A3913))</f>
        <v/>
      </c>
      <c r="K3913" s="0" t="str">
        <f aca="false">IF(A3913="","",MONTH(A3913))</f>
        <v/>
      </c>
      <c r="L3913" s="0" t="str">
        <f aca="false">IF(B3913="","",VALUE(LEFT(B3913,2)))</f>
        <v/>
      </c>
      <c r="M3913" s="0" t="str">
        <f aca="false">IF(A3913="","",IF(COUNTIFS($C$2:$C$5001,C3913,$J$2:$J$5001,J3913,$A$2:$A$5001,"&lt;"&amp;A3913)=0,1,0))</f>
        <v/>
      </c>
    </row>
    <row r="3914" customFormat="false" ht="15" hidden="false" customHeight="false" outlineLevel="0" collapsed="false">
      <c r="A3914" s="27"/>
      <c r="F3914" s="28"/>
      <c r="J3914" s="0" t="str">
        <f aca="false">IF(A3914="","",YEAR(A3914))</f>
        <v/>
      </c>
      <c r="K3914" s="0" t="str">
        <f aca="false">IF(A3914="","",MONTH(A3914))</f>
        <v/>
      </c>
      <c r="L3914" s="0" t="str">
        <f aca="false">IF(B3914="","",VALUE(LEFT(B3914,2)))</f>
        <v/>
      </c>
      <c r="M3914" s="0" t="str">
        <f aca="false">IF(A3914="","",IF(COUNTIFS($C$2:$C$5001,C3914,$J$2:$J$5001,J3914,$A$2:$A$5001,"&lt;"&amp;A3914)=0,1,0))</f>
        <v/>
      </c>
    </row>
    <row r="3915" customFormat="false" ht="15" hidden="false" customHeight="false" outlineLevel="0" collapsed="false">
      <c r="A3915" s="27"/>
      <c r="F3915" s="28"/>
      <c r="J3915" s="0" t="str">
        <f aca="false">IF(A3915="","",YEAR(A3915))</f>
        <v/>
      </c>
      <c r="K3915" s="0" t="str">
        <f aca="false">IF(A3915="","",MONTH(A3915))</f>
        <v/>
      </c>
      <c r="L3915" s="0" t="str">
        <f aca="false">IF(B3915="","",VALUE(LEFT(B3915,2)))</f>
        <v/>
      </c>
      <c r="M3915" s="0" t="str">
        <f aca="false">IF(A3915="","",IF(COUNTIFS($C$2:$C$5001,C3915,$J$2:$J$5001,J3915,$A$2:$A$5001,"&lt;"&amp;A3915)=0,1,0))</f>
        <v/>
      </c>
    </row>
    <row r="3916" customFormat="false" ht="15" hidden="false" customHeight="false" outlineLevel="0" collapsed="false">
      <c r="A3916" s="27"/>
      <c r="F3916" s="28"/>
      <c r="J3916" s="0" t="str">
        <f aca="false">IF(A3916="","",YEAR(A3916))</f>
        <v/>
      </c>
      <c r="K3916" s="0" t="str">
        <f aca="false">IF(A3916="","",MONTH(A3916))</f>
        <v/>
      </c>
      <c r="L3916" s="0" t="str">
        <f aca="false">IF(B3916="","",VALUE(LEFT(B3916,2)))</f>
        <v/>
      </c>
      <c r="M3916" s="0" t="str">
        <f aca="false">IF(A3916="","",IF(COUNTIFS($C$2:$C$5001,C3916,$J$2:$J$5001,J3916,$A$2:$A$5001,"&lt;"&amp;A3916)=0,1,0))</f>
        <v/>
      </c>
    </row>
    <row r="3917" customFormat="false" ht="15" hidden="false" customHeight="false" outlineLevel="0" collapsed="false">
      <c r="A3917" s="27"/>
      <c r="F3917" s="28"/>
      <c r="J3917" s="0" t="str">
        <f aca="false">IF(A3917="","",YEAR(A3917))</f>
        <v/>
      </c>
      <c r="K3917" s="0" t="str">
        <f aca="false">IF(A3917="","",MONTH(A3917))</f>
        <v/>
      </c>
      <c r="L3917" s="0" t="str">
        <f aca="false">IF(B3917="","",VALUE(LEFT(B3917,2)))</f>
        <v/>
      </c>
      <c r="M3917" s="0" t="str">
        <f aca="false">IF(A3917="","",IF(COUNTIFS($C$2:$C$5001,C3917,$J$2:$J$5001,J3917,$A$2:$A$5001,"&lt;"&amp;A3917)=0,1,0))</f>
        <v/>
      </c>
    </row>
    <row r="3918" customFormat="false" ht="15" hidden="false" customHeight="false" outlineLevel="0" collapsed="false">
      <c r="A3918" s="27"/>
      <c r="F3918" s="28"/>
      <c r="J3918" s="0" t="str">
        <f aca="false">IF(A3918="","",YEAR(A3918))</f>
        <v/>
      </c>
      <c r="K3918" s="0" t="str">
        <f aca="false">IF(A3918="","",MONTH(A3918))</f>
        <v/>
      </c>
      <c r="L3918" s="0" t="str">
        <f aca="false">IF(B3918="","",VALUE(LEFT(B3918,2)))</f>
        <v/>
      </c>
      <c r="M3918" s="0" t="str">
        <f aca="false">IF(A3918="","",IF(COUNTIFS($C$2:$C$5001,C3918,$J$2:$J$5001,J3918,$A$2:$A$5001,"&lt;"&amp;A3918)=0,1,0))</f>
        <v/>
      </c>
    </row>
    <row r="3919" customFormat="false" ht="15" hidden="false" customHeight="false" outlineLevel="0" collapsed="false">
      <c r="A3919" s="27"/>
      <c r="F3919" s="28"/>
      <c r="J3919" s="0" t="str">
        <f aca="false">IF(A3919="","",YEAR(A3919))</f>
        <v/>
      </c>
      <c r="K3919" s="0" t="str">
        <f aca="false">IF(A3919="","",MONTH(A3919))</f>
        <v/>
      </c>
      <c r="L3919" s="0" t="str">
        <f aca="false">IF(B3919="","",VALUE(LEFT(B3919,2)))</f>
        <v/>
      </c>
      <c r="M3919" s="0" t="str">
        <f aca="false">IF(A3919="","",IF(COUNTIFS($C$2:$C$5001,C3919,$J$2:$J$5001,J3919,$A$2:$A$5001,"&lt;"&amp;A3919)=0,1,0))</f>
        <v/>
      </c>
    </row>
    <row r="3920" customFormat="false" ht="15" hidden="false" customHeight="false" outlineLevel="0" collapsed="false">
      <c r="A3920" s="27"/>
      <c r="F3920" s="28"/>
      <c r="J3920" s="0" t="str">
        <f aca="false">IF(A3920="","",YEAR(A3920))</f>
        <v/>
      </c>
      <c r="K3920" s="0" t="str">
        <f aca="false">IF(A3920="","",MONTH(A3920))</f>
        <v/>
      </c>
      <c r="L3920" s="0" t="str">
        <f aca="false">IF(B3920="","",VALUE(LEFT(B3920,2)))</f>
        <v/>
      </c>
      <c r="M3920" s="0" t="str">
        <f aca="false">IF(A3920="","",IF(COUNTIFS($C$2:$C$5001,C3920,$J$2:$J$5001,J3920,$A$2:$A$5001,"&lt;"&amp;A3920)=0,1,0))</f>
        <v/>
      </c>
    </row>
    <row r="3921" customFormat="false" ht="15" hidden="false" customHeight="false" outlineLevel="0" collapsed="false">
      <c r="A3921" s="27"/>
      <c r="F3921" s="28"/>
      <c r="J3921" s="0" t="str">
        <f aca="false">IF(A3921="","",YEAR(A3921))</f>
        <v/>
      </c>
      <c r="K3921" s="0" t="str">
        <f aca="false">IF(A3921="","",MONTH(A3921))</f>
        <v/>
      </c>
      <c r="L3921" s="0" t="str">
        <f aca="false">IF(B3921="","",VALUE(LEFT(B3921,2)))</f>
        <v/>
      </c>
      <c r="M3921" s="0" t="str">
        <f aca="false">IF(A3921="","",IF(COUNTIFS($C$2:$C$5001,C3921,$J$2:$J$5001,J3921,$A$2:$A$5001,"&lt;"&amp;A3921)=0,1,0))</f>
        <v/>
      </c>
    </row>
    <row r="3922" customFormat="false" ht="15" hidden="false" customHeight="false" outlineLevel="0" collapsed="false">
      <c r="A3922" s="27"/>
      <c r="F3922" s="28"/>
      <c r="J3922" s="0" t="str">
        <f aca="false">IF(A3922="","",YEAR(A3922))</f>
        <v/>
      </c>
      <c r="K3922" s="0" t="str">
        <f aca="false">IF(A3922="","",MONTH(A3922))</f>
        <v/>
      </c>
      <c r="L3922" s="0" t="str">
        <f aca="false">IF(B3922="","",VALUE(LEFT(B3922,2)))</f>
        <v/>
      </c>
      <c r="M3922" s="0" t="str">
        <f aca="false">IF(A3922="","",IF(COUNTIFS($C$2:$C$5001,C3922,$J$2:$J$5001,J3922,$A$2:$A$5001,"&lt;"&amp;A3922)=0,1,0))</f>
        <v/>
      </c>
    </row>
    <row r="3923" customFormat="false" ht="15" hidden="false" customHeight="false" outlineLevel="0" collapsed="false">
      <c r="A3923" s="27"/>
      <c r="F3923" s="28"/>
      <c r="J3923" s="0" t="str">
        <f aca="false">IF(A3923="","",YEAR(A3923))</f>
        <v/>
      </c>
      <c r="K3923" s="0" t="str">
        <f aca="false">IF(A3923="","",MONTH(A3923))</f>
        <v/>
      </c>
      <c r="L3923" s="0" t="str">
        <f aca="false">IF(B3923="","",VALUE(LEFT(B3923,2)))</f>
        <v/>
      </c>
      <c r="M3923" s="0" t="str">
        <f aca="false">IF(A3923="","",IF(COUNTIFS($C$2:$C$5001,C3923,$J$2:$J$5001,J3923,$A$2:$A$5001,"&lt;"&amp;A3923)=0,1,0))</f>
        <v/>
      </c>
    </row>
    <row r="3924" customFormat="false" ht="15" hidden="false" customHeight="false" outlineLevel="0" collapsed="false">
      <c r="A3924" s="27"/>
      <c r="F3924" s="28"/>
      <c r="J3924" s="0" t="str">
        <f aca="false">IF(A3924="","",YEAR(A3924))</f>
        <v/>
      </c>
      <c r="K3924" s="0" t="str">
        <f aca="false">IF(A3924="","",MONTH(A3924))</f>
        <v/>
      </c>
      <c r="L3924" s="0" t="str">
        <f aca="false">IF(B3924="","",VALUE(LEFT(B3924,2)))</f>
        <v/>
      </c>
      <c r="M3924" s="0" t="str">
        <f aca="false">IF(A3924="","",IF(COUNTIFS($C$2:$C$5001,C3924,$J$2:$J$5001,J3924,$A$2:$A$5001,"&lt;"&amp;A3924)=0,1,0))</f>
        <v/>
      </c>
    </row>
    <row r="3925" customFormat="false" ht="15" hidden="false" customHeight="false" outlineLevel="0" collapsed="false">
      <c r="A3925" s="27"/>
      <c r="F3925" s="28"/>
      <c r="J3925" s="0" t="str">
        <f aca="false">IF(A3925="","",YEAR(A3925))</f>
        <v/>
      </c>
      <c r="K3925" s="0" t="str">
        <f aca="false">IF(A3925="","",MONTH(A3925))</f>
        <v/>
      </c>
      <c r="L3925" s="0" t="str">
        <f aca="false">IF(B3925="","",VALUE(LEFT(B3925,2)))</f>
        <v/>
      </c>
      <c r="M3925" s="0" t="str">
        <f aca="false">IF(A3925="","",IF(COUNTIFS($C$2:$C$5001,C3925,$J$2:$J$5001,J3925,$A$2:$A$5001,"&lt;"&amp;A3925)=0,1,0))</f>
        <v/>
      </c>
    </row>
    <row r="3926" customFormat="false" ht="15" hidden="false" customHeight="false" outlineLevel="0" collapsed="false">
      <c r="A3926" s="27"/>
      <c r="F3926" s="28"/>
      <c r="J3926" s="0" t="str">
        <f aca="false">IF(A3926="","",YEAR(A3926))</f>
        <v/>
      </c>
      <c r="K3926" s="0" t="str">
        <f aca="false">IF(A3926="","",MONTH(A3926))</f>
        <v/>
      </c>
      <c r="L3926" s="0" t="str">
        <f aca="false">IF(B3926="","",VALUE(LEFT(B3926,2)))</f>
        <v/>
      </c>
      <c r="M3926" s="0" t="str">
        <f aca="false">IF(A3926="","",IF(COUNTIFS($C$2:$C$5001,C3926,$J$2:$J$5001,J3926,$A$2:$A$5001,"&lt;"&amp;A3926)=0,1,0))</f>
        <v/>
      </c>
    </row>
    <row r="3927" customFormat="false" ht="15" hidden="false" customHeight="false" outlineLevel="0" collapsed="false">
      <c r="A3927" s="27"/>
      <c r="F3927" s="28"/>
      <c r="J3927" s="0" t="str">
        <f aca="false">IF(A3927="","",YEAR(A3927))</f>
        <v/>
      </c>
      <c r="K3927" s="0" t="str">
        <f aca="false">IF(A3927="","",MONTH(A3927))</f>
        <v/>
      </c>
      <c r="L3927" s="0" t="str">
        <f aca="false">IF(B3927="","",VALUE(LEFT(B3927,2)))</f>
        <v/>
      </c>
      <c r="M3927" s="0" t="str">
        <f aca="false">IF(A3927="","",IF(COUNTIFS($C$2:$C$5001,C3927,$J$2:$J$5001,J3927,$A$2:$A$5001,"&lt;"&amp;A3927)=0,1,0))</f>
        <v/>
      </c>
    </row>
    <row r="3928" customFormat="false" ht="15" hidden="false" customHeight="false" outlineLevel="0" collapsed="false">
      <c r="A3928" s="27"/>
      <c r="F3928" s="28"/>
      <c r="J3928" s="0" t="str">
        <f aca="false">IF(A3928="","",YEAR(A3928))</f>
        <v/>
      </c>
      <c r="K3928" s="0" t="str">
        <f aca="false">IF(A3928="","",MONTH(A3928))</f>
        <v/>
      </c>
      <c r="L3928" s="0" t="str">
        <f aca="false">IF(B3928="","",VALUE(LEFT(B3928,2)))</f>
        <v/>
      </c>
      <c r="M3928" s="0" t="str">
        <f aca="false">IF(A3928="","",IF(COUNTIFS($C$2:$C$5001,C3928,$J$2:$J$5001,J3928,$A$2:$A$5001,"&lt;"&amp;A3928)=0,1,0))</f>
        <v/>
      </c>
    </row>
    <row r="3929" customFormat="false" ht="15" hidden="false" customHeight="false" outlineLevel="0" collapsed="false">
      <c r="A3929" s="27"/>
      <c r="F3929" s="28"/>
      <c r="J3929" s="0" t="str">
        <f aca="false">IF(A3929="","",YEAR(A3929))</f>
        <v/>
      </c>
      <c r="K3929" s="0" t="str">
        <f aca="false">IF(A3929="","",MONTH(A3929))</f>
        <v/>
      </c>
      <c r="L3929" s="0" t="str">
        <f aca="false">IF(B3929="","",VALUE(LEFT(B3929,2)))</f>
        <v/>
      </c>
      <c r="M3929" s="0" t="str">
        <f aca="false">IF(A3929="","",IF(COUNTIFS($C$2:$C$5001,C3929,$J$2:$J$5001,J3929,$A$2:$A$5001,"&lt;"&amp;A3929)=0,1,0))</f>
        <v/>
      </c>
    </row>
    <row r="3930" customFormat="false" ht="15" hidden="false" customHeight="false" outlineLevel="0" collapsed="false">
      <c r="A3930" s="27"/>
      <c r="F3930" s="28"/>
      <c r="J3930" s="0" t="str">
        <f aca="false">IF(A3930="","",YEAR(A3930))</f>
        <v/>
      </c>
      <c r="K3930" s="0" t="str">
        <f aca="false">IF(A3930="","",MONTH(A3930))</f>
        <v/>
      </c>
      <c r="L3930" s="0" t="str">
        <f aca="false">IF(B3930="","",VALUE(LEFT(B3930,2)))</f>
        <v/>
      </c>
      <c r="M3930" s="0" t="str">
        <f aca="false">IF(A3930="","",IF(COUNTIFS($C$2:$C$5001,C3930,$J$2:$J$5001,J3930,$A$2:$A$5001,"&lt;"&amp;A3930)=0,1,0))</f>
        <v/>
      </c>
    </row>
    <row r="3931" customFormat="false" ht="15" hidden="false" customHeight="false" outlineLevel="0" collapsed="false">
      <c r="A3931" s="27"/>
      <c r="F3931" s="28"/>
      <c r="J3931" s="0" t="str">
        <f aca="false">IF(A3931="","",YEAR(A3931))</f>
        <v/>
      </c>
      <c r="K3931" s="0" t="str">
        <f aca="false">IF(A3931="","",MONTH(A3931))</f>
        <v/>
      </c>
      <c r="L3931" s="0" t="str">
        <f aca="false">IF(B3931="","",VALUE(LEFT(B3931,2)))</f>
        <v/>
      </c>
      <c r="M3931" s="0" t="str">
        <f aca="false">IF(A3931="","",IF(COUNTIFS($C$2:$C$5001,C3931,$J$2:$J$5001,J3931,$A$2:$A$5001,"&lt;"&amp;A3931)=0,1,0))</f>
        <v/>
      </c>
    </row>
    <row r="3932" customFormat="false" ht="15" hidden="false" customHeight="false" outlineLevel="0" collapsed="false">
      <c r="A3932" s="27"/>
      <c r="F3932" s="28"/>
      <c r="J3932" s="0" t="str">
        <f aca="false">IF(A3932="","",YEAR(A3932))</f>
        <v/>
      </c>
      <c r="K3932" s="0" t="str">
        <f aca="false">IF(A3932="","",MONTH(A3932))</f>
        <v/>
      </c>
      <c r="L3932" s="0" t="str">
        <f aca="false">IF(B3932="","",VALUE(LEFT(B3932,2)))</f>
        <v/>
      </c>
      <c r="M3932" s="0" t="str">
        <f aca="false">IF(A3932="","",IF(COUNTIFS($C$2:$C$5001,C3932,$J$2:$J$5001,J3932,$A$2:$A$5001,"&lt;"&amp;A3932)=0,1,0))</f>
        <v/>
      </c>
    </row>
    <row r="3933" customFormat="false" ht="15" hidden="false" customHeight="false" outlineLevel="0" collapsed="false">
      <c r="A3933" s="27"/>
      <c r="F3933" s="28"/>
      <c r="J3933" s="0" t="str">
        <f aca="false">IF(A3933="","",YEAR(A3933))</f>
        <v/>
      </c>
      <c r="K3933" s="0" t="str">
        <f aca="false">IF(A3933="","",MONTH(A3933))</f>
        <v/>
      </c>
      <c r="L3933" s="0" t="str">
        <f aca="false">IF(B3933="","",VALUE(LEFT(B3933,2)))</f>
        <v/>
      </c>
      <c r="M3933" s="0" t="str">
        <f aca="false">IF(A3933="","",IF(COUNTIFS($C$2:$C$5001,C3933,$J$2:$J$5001,J3933,$A$2:$A$5001,"&lt;"&amp;A3933)=0,1,0))</f>
        <v/>
      </c>
    </row>
    <row r="3934" customFormat="false" ht="15" hidden="false" customHeight="false" outlineLevel="0" collapsed="false">
      <c r="A3934" s="27"/>
      <c r="F3934" s="28"/>
      <c r="J3934" s="0" t="str">
        <f aca="false">IF(A3934="","",YEAR(A3934))</f>
        <v/>
      </c>
      <c r="K3934" s="0" t="str">
        <f aca="false">IF(A3934="","",MONTH(A3934))</f>
        <v/>
      </c>
      <c r="L3934" s="0" t="str">
        <f aca="false">IF(B3934="","",VALUE(LEFT(B3934,2)))</f>
        <v/>
      </c>
      <c r="M3934" s="0" t="str">
        <f aca="false">IF(A3934="","",IF(COUNTIFS($C$2:$C$5001,C3934,$J$2:$J$5001,J3934,$A$2:$A$5001,"&lt;"&amp;A3934)=0,1,0))</f>
        <v/>
      </c>
    </row>
    <row r="3935" customFormat="false" ht="15" hidden="false" customHeight="false" outlineLevel="0" collapsed="false">
      <c r="A3935" s="27"/>
      <c r="F3935" s="28"/>
      <c r="J3935" s="0" t="str">
        <f aca="false">IF(A3935="","",YEAR(A3935))</f>
        <v/>
      </c>
      <c r="K3935" s="0" t="str">
        <f aca="false">IF(A3935="","",MONTH(A3935))</f>
        <v/>
      </c>
      <c r="L3935" s="0" t="str">
        <f aca="false">IF(B3935="","",VALUE(LEFT(B3935,2)))</f>
        <v/>
      </c>
      <c r="M3935" s="0" t="str">
        <f aca="false">IF(A3935="","",IF(COUNTIFS($C$2:$C$5001,C3935,$J$2:$J$5001,J3935,$A$2:$A$5001,"&lt;"&amp;A3935)=0,1,0))</f>
        <v/>
      </c>
    </row>
    <row r="3936" customFormat="false" ht="15" hidden="false" customHeight="false" outlineLevel="0" collapsed="false">
      <c r="A3936" s="27"/>
      <c r="F3936" s="28"/>
      <c r="J3936" s="0" t="str">
        <f aca="false">IF(A3936="","",YEAR(A3936))</f>
        <v/>
      </c>
      <c r="K3936" s="0" t="str">
        <f aca="false">IF(A3936="","",MONTH(A3936))</f>
        <v/>
      </c>
      <c r="L3936" s="0" t="str">
        <f aca="false">IF(B3936="","",VALUE(LEFT(B3936,2)))</f>
        <v/>
      </c>
      <c r="M3936" s="0" t="str">
        <f aca="false">IF(A3936="","",IF(COUNTIFS($C$2:$C$5001,C3936,$J$2:$J$5001,J3936,$A$2:$A$5001,"&lt;"&amp;A3936)=0,1,0))</f>
        <v/>
      </c>
    </row>
    <row r="3937" customFormat="false" ht="15" hidden="false" customHeight="false" outlineLevel="0" collapsed="false">
      <c r="A3937" s="27"/>
      <c r="F3937" s="28"/>
      <c r="J3937" s="0" t="str">
        <f aca="false">IF(A3937="","",YEAR(A3937))</f>
        <v/>
      </c>
      <c r="K3937" s="0" t="str">
        <f aca="false">IF(A3937="","",MONTH(A3937))</f>
        <v/>
      </c>
      <c r="L3937" s="0" t="str">
        <f aca="false">IF(B3937="","",VALUE(LEFT(B3937,2)))</f>
        <v/>
      </c>
      <c r="M3937" s="0" t="str">
        <f aca="false">IF(A3937="","",IF(COUNTIFS($C$2:$C$5001,C3937,$J$2:$J$5001,J3937,$A$2:$A$5001,"&lt;"&amp;A3937)=0,1,0))</f>
        <v/>
      </c>
    </row>
    <row r="3938" customFormat="false" ht="15" hidden="false" customHeight="false" outlineLevel="0" collapsed="false">
      <c r="A3938" s="27"/>
      <c r="F3938" s="28"/>
      <c r="J3938" s="0" t="str">
        <f aca="false">IF(A3938="","",YEAR(A3938))</f>
        <v/>
      </c>
      <c r="K3938" s="0" t="str">
        <f aca="false">IF(A3938="","",MONTH(A3938))</f>
        <v/>
      </c>
      <c r="L3938" s="0" t="str">
        <f aca="false">IF(B3938="","",VALUE(LEFT(B3938,2)))</f>
        <v/>
      </c>
      <c r="M3938" s="0" t="str">
        <f aca="false">IF(A3938="","",IF(COUNTIFS($C$2:$C$5001,C3938,$J$2:$J$5001,J3938,$A$2:$A$5001,"&lt;"&amp;A3938)=0,1,0))</f>
        <v/>
      </c>
    </row>
    <row r="3939" customFormat="false" ht="15" hidden="false" customHeight="false" outlineLevel="0" collapsed="false">
      <c r="A3939" s="27"/>
      <c r="F3939" s="28"/>
      <c r="J3939" s="0" t="str">
        <f aca="false">IF(A3939="","",YEAR(A3939))</f>
        <v/>
      </c>
      <c r="K3939" s="0" t="str">
        <f aca="false">IF(A3939="","",MONTH(A3939))</f>
        <v/>
      </c>
      <c r="L3939" s="0" t="str">
        <f aca="false">IF(B3939="","",VALUE(LEFT(B3939,2)))</f>
        <v/>
      </c>
      <c r="M3939" s="0" t="str">
        <f aca="false">IF(A3939="","",IF(COUNTIFS($C$2:$C$5001,C3939,$J$2:$J$5001,J3939,$A$2:$A$5001,"&lt;"&amp;A3939)=0,1,0))</f>
        <v/>
      </c>
    </row>
    <row r="3940" customFormat="false" ht="15" hidden="false" customHeight="false" outlineLevel="0" collapsed="false">
      <c r="A3940" s="27"/>
      <c r="F3940" s="28"/>
      <c r="J3940" s="0" t="str">
        <f aca="false">IF(A3940="","",YEAR(A3940))</f>
        <v/>
      </c>
      <c r="K3940" s="0" t="str">
        <f aca="false">IF(A3940="","",MONTH(A3940))</f>
        <v/>
      </c>
      <c r="L3940" s="0" t="str">
        <f aca="false">IF(B3940="","",VALUE(LEFT(B3940,2)))</f>
        <v/>
      </c>
      <c r="M3940" s="0" t="str">
        <f aca="false">IF(A3940="","",IF(COUNTIFS($C$2:$C$5001,C3940,$J$2:$J$5001,J3940,$A$2:$A$5001,"&lt;"&amp;A3940)=0,1,0))</f>
        <v/>
      </c>
    </row>
    <row r="3941" customFormat="false" ht="15" hidden="false" customHeight="false" outlineLevel="0" collapsed="false">
      <c r="A3941" s="27"/>
      <c r="F3941" s="28"/>
      <c r="J3941" s="0" t="str">
        <f aca="false">IF(A3941="","",YEAR(A3941))</f>
        <v/>
      </c>
      <c r="K3941" s="0" t="str">
        <f aca="false">IF(A3941="","",MONTH(A3941))</f>
        <v/>
      </c>
      <c r="L3941" s="0" t="str">
        <f aca="false">IF(B3941="","",VALUE(LEFT(B3941,2)))</f>
        <v/>
      </c>
      <c r="M3941" s="0" t="str">
        <f aca="false">IF(A3941="","",IF(COUNTIFS($C$2:$C$5001,C3941,$J$2:$J$5001,J3941,$A$2:$A$5001,"&lt;"&amp;A3941)=0,1,0))</f>
        <v/>
      </c>
    </row>
    <row r="3942" customFormat="false" ht="15" hidden="false" customHeight="false" outlineLevel="0" collapsed="false">
      <c r="A3942" s="27"/>
      <c r="F3942" s="28"/>
      <c r="J3942" s="0" t="str">
        <f aca="false">IF(A3942="","",YEAR(A3942))</f>
        <v/>
      </c>
      <c r="K3942" s="0" t="str">
        <f aca="false">IF(A3942="","",MONTH(A3942))</f>
        <v/>
      </c>
      <c r="L3942" s="0" t="str">
        <f aca="false">IF(B3942="","",VALUE(LEFT(B3942,2)))</f>
        <v/>
      </c>
      <c r="M3942" s="0" t="str">
        <f aca="false">IF(A3942="","",IF(COUNTIFS($C$2:$C$5001,C3942,$J$2:$J$5001,J3942,$A$2:$A$5001,"&lt;"&amp;A3942)=0,1,0))</f>
        <v/>
      </c>
    </row>
    <row r="3943" customFormat="false" ht="15" hidden="false" customHeight="false" outlineLevel="0" collapsed="false">
      <c r="A3943" s="27"/>
      <c r="F3943" s="28"/>
      <c r="J3943" s="0" t="str">
        <f aca="false">IF(A3943="","",YEAR(A3943))</f>
        <v/>
      </c>
      <c r="K3943" s="0" t="str">
        <f aca="false">IF(A3943="","",MONTH(A3943))</f>
        <v/>
      </c>
      <c r="L3943" s="0" t="str">
        <f aca="false">IF(B3943="","",VALUE(LEFT(B3943,2)))</f>
        <v/>
      </c>
      <c r="M3943" s="0" t="str">
        <f aca="false">IF(A3943="","",IF(COUNTIFS($C$2:$C$5001,C3943,$J$2:$J$5001,J3943,$A$2:$A$5001,"&lt;"&amp;A3943)=0,1,0))</f>
        <v/>
      </c>
    </row>
    <row r="3944" customFormat="false" ht="15" hidden="false" customHeight="false" outlineLevel="0" collapsed="false">
      <c r="A3944" s="27"/>
      <c r="F3944" s="28"/>
      <c r="J3944" s="0" t="str">
        <f aca="false">IF(A3944="","",YEAR(A3944))</f>
        <v/>
      </c>
      <c r="K3944" s="0" t="str">
        <f aca="false">IF(A3944="","",MONTH(A3944))</f>
        <v/>
      </c>
      <c r="L3944" s="0" t="str">
        <f aca="false">IF(B3944="","",VALUE(LEFT(B3944,2)))</f>
        <v/>
      </c>
      <c r="M3944" s="0" t="str">
        <f aca="false">IF(A3944="","",IF(COUNTIFS($C$2:$C$5001,C3944,$J$2:$J$5001,J3944,$A$2:$A$5001,"&lt;"&amp;A3944)=0,1,0))</f>
        <v/>
      </c>
    </row>
    <row r="3945" customFormat="false" ht="15" hidden="false" customHeight="false" outlineLevel="0" collapsed="false">
      <c r="A3945" s="27"/>
      <c r="F3945" s="28"/>
      <c r="J3945" s="0" t="str">
        <f aca="false">IF(A3945="","",YEAR(A3945))</f>
        <v/>
      </c>
      <c r="K3945" s="0" t="str">
        <f aca="false">IF(A3945="","",MONTH(A3945))</f>
        <v/>
      </c>
      <c r="L3945" s="0" t="str">
        <f aca="false">IF(B3945="","",VALUE(LEFT(B3945,2)))</f>
        <v/>
      </c>
      <c r="M3945" s="0" t="str">
        <f aca="false">IF(A3945="","",IF(COUNTIFS($C$2:$C$5001,C3945,$J$2:$J$5001,J3945,$A$2:$A$5001,"&lt;"&amp;A3945)=0,1,0))</f>
        <v/>
      </c>
    </row>
    <row r="3946" customFormat="false" ht="15" hidden="false" customHeight="false" outlineLevel="0" collapsed="false">
      <c r="A3946" s="27"/>
      <c r="F3946" s="28"/>
      <c r="J3946" s="0" t="str">
        <f aca="false">IF(A3946="","",YEAR(A3946))</f>
        <v/>
      </c>
      <c r="K3946" s="0" t="str">
        <f aca="false">IF(A3946="","",MONTH(A3946))</f>
        <v/>
      </c>
      <c r="L3946" s="0" t="str">
        <f aca="false">IF(B3946="","",VALUE(LEFT(B3946,2)))</f>
        <v/>
      </c>
      <c r="M3946" s="0" t="str">
        <f aca="false">IF(A3946="","",IF(COUNTIFS($C$2:$C$5001,C3946,$J$2:$J$5001,J3946,$A$2:$A$5001,"&lt;"&amp;A3946)=0,1,0))</f>
        <v/>
      </c>
    </row>
    <row r="3947" customFormat="false" ht="15" hidden="false" customHeight="false" outlineLevel="0" collapsed="false">
      <c r="A3947" s="27"/>
      <c r="F3947" s="28"/>
      <c r="J3947" s="0" t="str">
        <f aca="false">IF(A3947="","",YEAR(A3947))</f>
        <v/>
      </c>
      <c r="K3947" s="0" t="str">
        <f aca="false">IF(A3947="","",MONTH(A3947))</f>
        <v/>
      </c>
      <c r="L3947" s="0" t="str">
        <f aca="false">IF(B3947="","",VALUE(LEFT(B3947,2)))</f>
        <v/>
      </c>
      <c r="M3947" s="0" t="str">
        <f aca="false">IF(A3947="","",IF(COUNTIFS($C$2:$C$5001,C3947,$J$2:$J$5001,J3947,$A$2:$A$5001,"&lt;"&amp;A3947)=0,1,0))</f>
        <v/>
      </c>
    </row>
    <row r="3948" customFormat="false" ht="15" hidden="false" customHeight="false" outlineLevel="0" collapsed="false">
      <c r="A3948" s="27"/>
      <c r="F3948" s="28"/>
      <c r="J3948" s="0" t="str">
        <f aca="false">IF(A3948="","",YEAR(A3948))</f>
        <v/>
      </c>
      <c r="K3948" s="0" t="str">
        <f aca="false">IF(A3948="","",MONTH(A3948))</f>
        <v/>
      </c>
      <c r="L3948" s="0" t="str">
        <f aca="false">IF(B3948="","",VALUE(LEFT(B3948,2)))</f>
        <v/>
      </c>
      <c r="M3948" s="0" t="str">
        <f aca="false">IF(A3948="","",IF(COUNTIFS($C$2:$C$5001,C3948,$J$2:$J$5001,J3948,$A$2:$A$5001,"&lt;"&amp;A3948)=0,1,0))</f>
        <v/>
      </c>
    </row>
    <row r="3949" customFormat="false" ht="15" hidden="false" customHeight="false" outlineLevel="0" collapsed="false">
      <c r="A3949" s="27"/>
      <c r="F3949" s="28"/>
      <c r="J3949" s="0" t="str">
        <f aca="false">IF(A3949="","",YEAR(A3949))</f>
        <v/>
      </c>
      <c r="K3949" s="0" t="str">
        <f aca="false">IF(A3949="","",MONTH(A3949))</f>
        <v/>
      </c>
      <c r="L3949" s="0" t="str">
        <f aca="false">IF(B3949="","",VALUE(LEFT(B3949,2)))</f>
        <v/>
      </c>
      <c r="M3949" s="0" t="str">
        <f aca="false">IF(A3949="","",IF(COUNTIFS($C$2:$C$5001,C3949,$J$2:$J$5001,J3949,$A$2:$A$5001,"&lt;"&amp;A3949)=0,1,0))</f>
        <v/>
      </c>
    </row>
    <row r="3950" customFormat="false" ht="15" hidden="false" customHeight="false" outlineLevel="0" collapsed="false">
      <c r="A3950" s="27"/>
      <c r="F3950" s="28"/>
      <c r="J3950" s="0" t="str">
        <f aca="false">IF(A3950="","",YEAR(A3950))</f>
        <v/>
      </c>
      <c r="K3950" s="0" t="str">
        <f aca="false">IF(A3950="","",MONTH(A3950))</f>
        <v/>
      </c>
      <c r="L3950" s="0" t="str">
        <f aca="false">IF(B3950="","",VALUE(LEFT(B3950,2)))</f>
        <v/>
      </c>
      <c r="M3950" s="0" t="str">
        <f aca="false">IF(A3950="","",IF(COUNTIFS($C$2:$C$5001,C3950,$J$2:$J$5001,J3950,$A$2:$A$5001,"&lt;"&amp;A3950)=0,1,0))</f>
        <v/>
      </c>
    </row>
    <row r="3951" customFormat="false" ht="15" hidden="false" customHeight="false" outlineLevel="0" collapsed="false">
      <c r="A3951" s="27"/>
      <c r="F3951" s="28"/>
      <c r="J3951" s="0" t="str">
        <f aca="false">IF(A3951="","",YEAR(A3951))</f>
        <v/>
      </c>
      <c r="K3951" s="0" t="str">
        <f aca="false">IF(A3951="","",MONTH(A3951))</f>
        <v/>
      </c>
      <c r="L3951" s="0" t="str">
        <f aca="false">IF(B3951="","",VALUE(LEFT(B3951,2)))</f>
        <v/>
      </c>
      <c r="M3951" s="0" t="str">
        <f aca="false">IF(A3951="","",IF(COUNTIFS($C$2:$C$5001,C3951,$J$2:$J$5001,J3951,$A$2:$A$5001,"&lt;"&amp;A3951)=0,1,0))</f>
        <v/>
      </c>
    </row>
    <row r="3952" customFormat="false" ht="15" hidden="false" customHeight="false" outlineLevel="0" collapsed="false">
      <c r="A3952" s="27"/>
      <c r="F3952" s="28"/>
      <c r="J3952" s="0" t="str">
        <f aca="false">IF(A3952="","",YEAR(A3952))</f>
        <v/>
      </c>
      <c r="K3952" s="0" t="str">
        <f aca="false">IF(A3952="","",MONTH(A3952))</f>
        <v/>
      </c>
      <c r="L3952" s="0" t="str">
        <f aca="false">IF(B3952="","",VALUE(LEFT(B3952,2)))</f>
        <v/>
      </c>
      <c r="M3952" s="0" t="str">
        <f aca="false">IF(A3952="","",IF(COUNTIFS($C$2:$C$5001,C3952,$J$2:$J$5001,J3952,$A$2:$A$5001,"&lt;"&amp;A3952)=0,1,0))</f>
        <v/>
      </c>
    </row>
    <row r="3953" customFormat="false" ht="15" hidden="false" customHeight="false" outlineLevel="0" collapsed="false">
      <c r="A3953" s="27"/>
      <c r="F3953" s="28"/>
      <c r="J3953" s="0" t="str">
        <f aca="false">IF(A3953="","",YEAR(A3953))</f>
        <v/>
      </c>
      <c r="K3953" s="0" t="str">
        <f aca="false">IF(A3953="","",MONTH(A3953))</f>
        <v/>
      </c>
      <c r="L3953" s="0" t="str">
        <f aca="false">IF(B3953="","",VALUE(LEFT(B3953,2)))</f>
        <v/>
      </c>
      <c r="M3953" s="0" t="str">
        <f aca="false">IF(A3953="","",IF(COUNTIFS($C$2:$C$5001,C3953,$J$2:$J$5001,J3953,$A$2:$A$5001,"&lt;"&amp;A3953)=0,1,0))</f>
        <v/>
      </c>
    </row>
    <row r="3954" customFormat="false" ht="15" hidden="false" customHeight="false" outlineLevel="0" collapsed="false">
      <c r="A3954" s="27"/>
      <c r="F3954" s="28"/>
      <c r="J3954" s="0" t="str">
        <f aca="false">IF(A3954="","",YEAR(A3954))</f>
        <v/>
      </c>
      <c r="K3954" s="0" t="str">
        <f aca="false">IF(A3954="","",MONTH(A3954))</f>
        <v/>
      </c>
      <c r="L3954" s="0" t="str">
        <f aca="false">IF(B3954="","",VALUE(LEFT(B3954,2)))</f>
        <v/>
      </c>
      <c r="M3954" s="0" t="str">
        <f aca="false">IF(A3954="","",IF(COUNTIFS($C$2:$C$5001,C3954,$J$2:$J$5001,J3954,$A$2:$A$5001,"&lt;"&amp;A3954)=0,1,0))</f>
        <v/>
      </c>
    </row>
    <row r="3955" customFormat="false" ht="15" hidden="false" customHeight="false" outlineLevel="0" collapsed="false">
      <c r="A3955" s="27"/>
      <c r="F3955" s="28"/>
      <c r="J3955" s="0" t="str">
        <f aca="false">IF(A3955="","",YEAR(A3955))</f>
        <v/>
      </c>
      <c r="K3955" s="0" t="str">
        <f aca="false">IF(A3955="","",MONTH(A3955))</f>
        <v/>
      </c>
      <c r="L3955" s="0" t="str">
        <f aca="false">IF(B3955="","",VALUE(LEFT(B3955,2)))</f>
        <v/>
      </c>
      <c r="M3955" s="0" t="str">
        <f aca="false">IF(A3955="","",IF(COUNTIFS($C$2:$C$5001,C3955,$J$2:$J$5001,J3955,$A$2:$A$5001,"&lt;"&amp;A3955)=0,1,0))</f>
        <v/>
      </c>
    </row>
    <row r="3956" customFormat="false" ht="15" hidden="false" customHeight="false" outlineLevel="0" collapsed="false">
      <c r="A3956" s="27"/>
      <c r="F3956" s="28"/>
      <c r="J3956" s="0" t="str">
        <f aca="false">IF(A3956="","",YEAR(A3956))</f>
        <v/>
      </c>
      <c r="K3956" s="0" t="str">
        <f aca="false">IF(A3956="","",MONTH(A3956))</f>
        <v/>
      </c>
      <c r="L3956" s="0" t="str">
        <f aca="false">IF(B3956="","",VALUE(LEFT(B3956,2)))</f>
        <v/>
      </c>
      <c r="M3956" s="0" t="str">
        <f aca="false">IF(A3956="","",IF(COUNTIFS($C$2:$C$5001,C3956,$J$2:$J$5001,J3956,$A$2:$A$5001,"&lt;"&amp;A3956)=0,1,0))</f>
        <v/>
      </c>
    </row>
    <row r="3957" customFormat="false" ht="15" hidden="false" customHeight="false" outlineLevel="0" collapsed="false">
      <c r="A3957" s="27"/>
      <c r="F3957" s="28"/>
      <c r="J3957" s="0" t="str">
        <f aca="false">IF(A3957="","",YEAR(A3957))</f>
        <v/>
      </c>
      <c r="K3957" s="0" t="str">
        <f aca="false">IF(A3957="","",MONTH(A3957))</f>
        <v/>
      </c>
      <c r="L3957" s="0" t="str">
        <f aca="false">IF(B3957="","",VALUE(LEFT(B3957,2)))</f>
        <v/>
      </c>
      <c r="M3957" s="0" t="str">
        <f aca="false">IF(A3957="","",IF(COUNTIFS($C$2:$C$5001,C3957,$J$2:$J$5001,J3957,$A$2:$A$5001,"&lt;"&amp;A3957)=0,1,0))</f>
        <v/>
      </c>
    </row>
    <row r="3958" customFormat="false" ht="15" hidden="false" customHeight="false" outlineLevel="0" collapsed="false">
      <c r="A3958" s="27"/>
      <c r="F3958" s="28"/>
      <c r="J3958" s="0" t="str">
        <f aca="false">IF(A3958="","",YEAR(A3958))</f>
        <v/>
      </c>
      <c r="K3958" s="0" t="str">
        <f aca="false">IF(A3958="","",MONTH(A3958))</f>
        <v/>
      </c>
      <c r="L3958" s="0" t="str">
        <f aca="false">IF(B3958="","",VALUE(LEFT(B3958,2)))</f>
        <v/>
      </c>
      <c r="M3958" s="0" t="str">
        <f aca="false">IF(A3958="","",IF(COUNTIFS($C$2:$C$5001,C3958,$J$2:$J$5001,J3958,$A$2:$A$5001,"&lt;"&amp;A3958)=0,1,0))</f>
        <v/>
      </c>
    </row>
    <row r="3959" customFormat="false" ht="15" hidden="false" customHeight="false" outlineLevel="0" collapsed="false">
      <c r="A3959" s="27"/>
      <c r="F3959" s="28"/>
      <c r="J3959" s="0" t="str">
        <f aca="false">IF(A3959="","",YEAR(A3959))</f>
        <v/>
      </c>
      <c r="K3959" s="0" t="str">
        <f aca="false">IF(A3959="","",MONTH(A3959))</f>
        <v/>
      </c>
      <c r="L3959" s="0" t="str">
        <f aca="false">IF(B3959="","",VALUE(LEFT(B3959,2)))</f>
        <v/>
      </c>
      <c r="M3959" s="0" t="str">
        <f aca="false">IF(A3959="","",IF(COUNTIFS($C$2:$C$5001,C3959,$J$2:$J$5001,J3959,$A$2:$A$5001,"&lt;"&amp;A3959)=0,1,0))</f>
        <v/>
      </c>
    </row>
    <row r="3960" customFormat="false" ht="15" hidden="false" customHeight="false" outlineLevel="0" collapsed="false">
      <c r="A3960" s="27"/>
      <c r="F3960" s="28"/>
      <c r="J3960" s="0" t="str">
        <f aca="false">IF(A3960="","",YEAR(A3960))</f>
        <v/>
      </c>
      <c r="K3960" s="0" t="str">
        <f aca="false">IF(A3960="","",MONTH(A3960))</f>
        <v/>
      </c>
      <c r="L3960" s="0" t="str">
        <f aca="false">IF(B3960="","",VALUE(LEFT(B3960,2)))</f>
        <v/>
      </c>
      <c r="M3960" s="0" t="str">
        <f aca="false">IF(A3960="","",IF(COUNTIFS($C$2:$C$5001,C3960,$J$2:$J$5001,J3960,$A$2:$A$5001,"&lt;"&amp;A3960)=0,1,0))</f>
        <v/>
      </c>
    </row>
    <row r="3961" customFormat="false" ht="15" hidden="false" customHeight="false" outlineLevel="0" collapsed="false">
      <c r="A3961" s="27"/>
      <c r="F3961" s="28"/>
      <c r="J3961" s="0" t="str">
        <f aca="false">IF(A3961="","",YEAR(A3961))</f>
        <v/>
      </c>
      <c r="K3961" s="0" t="str">
        <f aca="false">IF(A3961="","",MONTH(A3961))</f>
        <v/>
      </c>
      <c r="L3961" s="0" t="str">
        <f aca="false">IF(B3961="","",VALUE(LEFT(B3961,2)))</f>
        <v/>
      </c>
      <c r="M3961" s="0" t="str">
        <f aca="false">IF(A3961="","",IF(COUNTIFS($C$2:$C$5001,C3961,$J$2:$J$5001,J3961,$A$2:$A$5001,"&lt;"&amp;A3961)=0,1,0))</f>
        <v/>
      </c>
    </row>
    <row r="3962" customFormat="false" ht="15" hidden="false" customHeight="false" outlineLevel="0" collapsed="false">
      <c r="A3962" s="27"/>
      <c r="F3962" s="28"/>
      <c r="J3962" s="0" t="str">
        <f aca="false">IF(A3962="","",YEAR(A3962))</f>
        <v/>
      </c>
      <c r="K3962" s="0" t="str">
        <f aca="false">IF(A3962="","",MONTH(A3962))</f>
        <v/>
      </c>
      <c r="L3962" s="0" t="str">
        <f aca="false">IF(B3962="","",VALUE(LEFT(B3962,2)))</f>
        <v/>
      </c>
      <c r="M3962" s="0" t="str">
        <f aca="false">IF(A3962="","",IF(COUNTIFS($C$2:$C$5001,C3962,$J$2:$J$5001,J3962,$A$2:$A$5001,"&lt;"&amp;A3962)=0,1,0))</f>
        <v/>
      </c>
    </row>
    <row r="3963" customFormat="false" ht="15" hidden="false" customHeight="false" outlineLevel="0" collapsed="false">
      <c r="A3963" s="27"/>
      <c r="F3963" s="28"/>
      <c r="J3963" s="0" t="str">
        <f aca="false">IF(A3963="","",YEAR(A3963))</f>
        <v/>
      </c>
      <c r="K3963" s="0" t="str">
        <f aca="false">IF(A3963="","",MONTH(A3963))</f>
        <v/>
      </c>
      <c r="L3963" s="0" t="str">
        <f aca="false">IF(B3963="","",VALUE(LEFT(B3963,2)))</f>
        <v/>
      </c>
      <c r="M3963" s="0" t="str">
        <f aca="false">IF(A3963="","",IF(COUNTIFS($C$2:$C$5001,C3963,$J$2:$J$5001,J3963,$A$2:$A$5001,"&lt;"&amp;A3963)=0,1,0))</f>
        <v/>
      </c>
    </row>
    <row r="3964" customFormat="false" ht="15" hidden="false" customHeight="false" outlineLevel="0" collapsed="false">
      <c r="A3964" s="27"/>
      <c r="F3964" s="28"/>
      <c r="J3964" s="0" t="str">
        <f aca="false">IF(A3964="","",YEAR(A3964))</f>
        <v/>
      </c>
      <c r="K3964" s="0" t="str">
        <f aca="false">IF(A3964="","",MONTH(A3964))</f>
        <v/>
      </c>
      <c r="L3964" s="0" t="str">
        <f aca="false">IF(B3964="","",VALUE(LEFT(B3964,2)))</f>
        <v/>
      </c>
      <c r="M3964" s="0" t="str">
        <f aca="false">IF(A3964="","",IF(COUNTIFS($C$2:$C$5001,C3964,$J$2:$J$5001,J3964,$A$2:$A$5001,"&lt;"&amp;A3964)=0,1,0))</f>
        <v/>
      </c>
    </row>
    <row r="3965" customFormat="false" ht="15" hidden="false" customHeight="false" outlineLevel="0" collapsed="false">
      <c r="A3965" s="27"/>
      <c r="F3965" s="28"/>
      <c r="J3965" s="0" t="str">
        <f aca="false">IF(A3965="","",YEAR(A3965))</f>
        <v/>
      </c>
      <c r="K3965" s="0" t="str">
        <f aca="false">IF(A3965="","",MONTH(A3965))</f>
        <v/>
      </c>
      <c r="L3965" s="0" t="str">
        <f aca="false">IF(B3965="","",VALUE(LEFT(B3965,2)))</f>
        <v/>
      </c>
      <c r="M3965" s="0" t="str">
        <f aca="false">IF(A3965="","",IF(COUNTIFS($C$2:$C$5001,C3965,$J$2:$J$5001,J3965,$A$2:$A$5001,"&lt;"&amp;A3965)=0,1,0))</f>
        <v/>
      </c>
    </row>
    <row r="3966" customFormat="false" ht="15" hidden="false" customHeight="false" outlineLevel="0" collapsed="false">
      <c r="A3966" s="27"/>
      <c r="F3966" s="28"/>
      <c r="J3966" s="0" t="str">
        <f aca="false">IF(A3966="","",YEAR(A3966))</f>
        <v/>
      </c>
      <c r="K3966" s="0" t="str">
        <f aca="false">IF(A3966="","",MONTH(A3966))</f>
        <v/>
      </c>
      <c r="L3966" s="0" t="str">
        <f aca="false">IF(B3966="","",VALUE(LEFT(B3966,2)))</f>
        <v/>
      </c>
      <c r="M3966" s="0" t="str">
        <f aca="false">IF(A3966="","",IF(COUNTIFS($C$2:$C$5001,C3966,$J$2:$J$5001,J3966,$A$2:$A$5001,"&lt;"&amp;A3966)=0,1,0))</f>
        <v/>
      </c>
    </row>
    <row r="3967" customFormat="false" ht="15" hidden="false" customHeight="false" outlineLevel="0" collapsed="false">
      <c r="A3967" s="27"/>
      <c r="F3967" s="28"/>
      <c r="J3967" s="0" t="str">
        <f aca="false">IF(A3967="","",YEAR(A3967))</f>
        <v/>
      </c>
      <c r="K3967" s="0" t="str">
        <f aca="false">IF(A3967="","",MONTH(A3967))</f>
        <v/>
      </c>
      <c r="L3967" s="0" t="str">
        <f aca="false">IF(B3967="","",VALUE(LEFT(B3967,2)))</f>
        <v/>
      </c>
      <c r="M3967" s="0" t="str">
        <f aca="false">IF(A3967="","",IF(COUNTIFS($C$2:$C$5001,C3967,$J$2:$J$5001,J3967,$A$2:$A$5001,"&lt;"&amp;A3967)=0,1,0))</f>
        <v/>
      </c>
    </row>
    <row r="3968" customFormat="false" ht="15" hidden="false" customHeight="false" outlineLevel="0" collapsed="false">
      <c r="A3968" s="27"/>
      <c r="F3968" s="28"/>
      <c r="J3968" s="0" t="str">
        <f aca="false">IF(A3968="","",YEAR(A3968))</f>
        <v/>
      </c>
      <c r="K3968" s="0" t="str">
        <f aca="false">IF(A3968="","",MONTH(A3968))</f>
        <v/>
      </c>
      <c r="L3968" s="0" t="str">
        <f aca="false">IF(B3968="","",VALUE(LEFT(B3968,2)))</f>
        <v/>
      </c>
      <c r="M3968" s="0" t="str">
        <f aca="false">IF(A3968="","",IF(COUNTIFS($C$2:$C$5001,C3968,$J$2:$J$5001,J3968,$A$2:$A$5001,"&lt;"&amp;A3968)=0,1,0))</f>
        <v/>
      </c>
    </row>
    <row r="3969" customFormat="false" ht="15" hidden="false" customHeight="false" outlineLevel="0" collapsed="false">
      <c r="A3969" s="27"/>
      <c r="F3969" s="28"/>
      <c r="J3969" s="0" t="str">
        <f aca="false">IF(A3969="","",YEAR(A3969))</f>
        <v/>
      </c>
      <c r="K3969" s="0" t="str">
        <f aca="false">IF(A3969="","",MONTH(A3969))</f>
        <v/>
      </c>
      <c r="L3969" s="0" t="str">
        <f aca="false">IF(B3969="","",VALUE(LEFT(B3969,2)))</f>
        <v/>
      </c>
      <c r="M3969" s="0" t="str">
        <f aca="false">IF(A3969="","",IF(COUNTIFS($C$2:$C$5001,C3969,$J$2:$J$5001,J3969,$A$2:$A$5001,"&lt;"&amp;A3969)=0,1,0))</f>
        <v/>
      </c>
    </row>
    <row r="3970" customFormat="false" ht="15" hidden="false" customHeight="false" outlineLevel="0" collapsed="false">
      <c r="A3970" s="27"/>
      <c r="F3970" s="28"/>
      <c r="J3970" s="0" t="str">
        <f aca="false">IF(A3970="","",YEAR(A3970))</f>
        <v/>
      </c>
      <c r="K3970" s="0" t="str">
        <f aca="false">IF(A3970="","",MONTH(A3970))</f>
        <v/>
      </c>
      <c r="L3970" s="0" t="str">
        <f aca="false">IF(B3970="","",VALUE(LEFT(B3970,2)))</f>
        <v/>
      </c>
      <c r="M3970" s="0" t="str">
        <f aca="false">IF(A3970="","",IF(COUNTIFS($C$2:$C$5001,C3970,$J$2:$J$5001,J3970,$A$2:$A$5001,"&lt;"&amp;A3970)=0,1,0))</f>
        <v/>
      </c>
    </row>
    <row r="3971" customFormat="false" ht="15" hidden="false" customHeight="false" outlineLevel="0" collapsed="false">
      <c r="A3971" s="27"/>
      <c r="F3971" s="28"/>
      <c r="J3971" s="0" t="str">
        <f aca="false">IF(A3971="","",YEAR(A3971))</f>
        <v/>
      </c>
      <c r="K3971" s="0" t="str">
        <f aca="false">IF(A3971="","",MONTH(A3971))</f>
        <v/>
      </c>
      <c r="L3971" s="0" t="str">
        <f aca="false">IF(B3971="","",VALUE(LEFT(B3971,2)))</f>
        <v/>
      </c>
      <c r="M3971" s="0" t="str">
        <f aca="false">IF(A3971="","",IF(COUNTIFS($C$2:$C$5001,C3971,$J$2:$J$5001,J3971,$A$2:$A$5001,"&lt;"&amp;A3971)=0,1,0))</f>
        <v/>
      </c>
    </row>
    <row r="3972" customFormat="false" ht="15" hidden="false" customHeight="false" outlineLevel="0" collapsed="false">
      <c r="A3972" s="27"/>
      <c r="F3972" s="28"/>
      <c r="J3972" s="0" t="str">
        <f aca="false">IF(A3972="","",YEAR(A3972))</f>
        <v/>
      </c>
      <c r="K3972" s="0" t="str">
        <f aca="false">IF(A3972="","",MONTH(A3972))</f>
        <v/>
      </c>
      <c r="L3972" s="0" t="str">
        <f aca="false">IF(B3972="","",VALUE(LEFT(B3972,2)))</f>
        <v/>
      </c>
      <c r="M3972" s="0" t="str">
        <f aca="false">IF(A3972="","",IF(COUNTIFS($C$2:$C$5001,C3972,$J$2:$J$5001,J3972,$A$2:$A$5001,"&lt;"&amp;A3972)=0,1,0))</f>
        <v/>
      </c>
    </row>
    <row r="3973" customFormat="false" ht="15" hidden="false" customHeight="false" outlineLevel="0" collapsed="false">
      <c r="A3973" s="27"/>
      <c r="F3973" s="28"/>
      <c r="J3973" s="0" t="str">
        <f aca="false">IF(A3973="","",YEAR(A3973))</f>
        <v/>
      </c>
      <c r="K3973" s="0" t="str">
        <f aca="false">IF(A3973="","",MONTH(A3973))</f>
        <v/>
      </c>
      <c r="L3973" s="0" t="str">
        <f aca="false">IF(B3973="","",VALUE(LEFT(B3973,2)))</f>
        <v/>
      </c>
      <c r="M3973" s="0" t="str">
        <f aca="false">IF(A3973="","",IF(COUNTIFS($C$2:$C$5001,C3973,$J$2:$J$5001,J3973,$A$2:$A$5001,"&lt;"&amp;A3973)=0,1,0))</f>
        <v/>
      </c>
    </row>
    <row r="3974" customFormat="false" ht="15" hidden="false" customHeight="false" outlineLevel="0" collapsed="false">
      <c r="A3974" s="27"/>
      <c r="F3974" s="28"/>
      <c r="J3974" s="0" t="str">
        <f aca="false">IF(A3974="","",YEAR(A3974))</f>
        <v/>
      </c>
      <c r="K3974" s="0" t="str">
        <f aca="false">IF(A3974="","",MONTH(A3974))</f>
        <v/>
      </c>
      <c r="L3974" s="0" t="str">
        <f aca="false">IF(B3974="","",VALUE(LEFT(B3974,2)))</f>
        <v/>
      </c>
      <c r="M3974" s="0" t="str">
        <f aca="false">IF(A3974="","",IF(COUNTIFS($C$2:$C$5001,C3974,$J$2:$J$5001,J3974,$A$2:$A$5001,"&lt;"&amp;A3974)=0,1,0))</f>
        <v/>
      </c>
    </row>
    <row r="3975" customFormat="false" ht="15" hidden="false" customHeight="false" outlineLevel="0" collapsed="false">
      <c r="A3975" s="27"/>
      <c r="F3975" s="28"/>
      <c r="J3975" s="0" t="str">
        <f aca="false">IF(A3975="","",YEAR(A3975))</f>
        <v/>
      </c>
      <c r="K3975" s="0" t="str">
        <f aca="false">IF(A3975="","",MONTH(A3975))</f>
        <v/>
      </c>
      <c r="L3975" s="0" t="str">
        <f aca="false">IF(B3975="","",VALUE(LEFT(B3975,2)))</f>
        <v/>
      </c>
      <c r="M3975" s="0" t="str">
        <f aca="false">IF(A3975="","",IF(COUNTIFS($C$2:$C$5001,C3975,$J$2:$J$5001,J3975,$A$2:$A$5001,"&lt;"&amp;A3975)=0,1,0))</f>
        <v/>
      </c>
    </row>
    <row r="3976" customFormat="false" ht="15" hidden="false" customHeight="false" outlineLevel="0" collapsed="false">
      <c r="A3976" s="27"/>
      <c r="F3976" s="28"/>
      <c r="J3976" s="0" t="str">
        <f aca="false">IF(A3976="","",YEAR(A3976))</f>
        <v/>
      </c>
      <c r="K3976" s="0" t="str">
        <f aca="false">IF(A3976="","",MONTH(A3976))</f>
        <v/>
      </c>
      <c r="L3976" s="0" t="str">
        <f aca="false">IF(B3976="","",VALUE(LEFT(B3976,2)))</f>
        <v/>
      </c>
      <c r="M3976" s="0" t="str">
        <f aca="false">IF(A3976="","",IF(COUNTIFS($C$2:$C$5001,C3976,$J$2:$J$5001,J3976,$A$2:$A$5001,"&lt;"&amp;A3976)=0,1,0))</f>
        <v/>
      </c>
    </row>
    <row r="3977" customFormat="false" ht="15" hidden="false" customHeight="false" outlineLevel="0" collapsed="false">
      <c r="A3977" s="27"/>
      <c r="F3977" s="28"/>
      <c r="J3977" s="0" t="str">
        <f aca="false">IF(A3977="","",YEAR(A3977))</f>
        <v/>
      </c>
      <c r="K3977" s="0" t="str">
        <f aca="false">IF(A3977="","",MONTH(A3977))</f>
        <v/>
      </c>
      <c r="L3977" s="0" t="str">
        <f aca="false">IF(B3977="","",VALUE(LEFT(B3977,2)))</f>
        <v/>
      </c>
      <c r="M3977" s="0" t="str">
        <f aca="false">IF(A3977="","",IF(COUNTIFS($C$2:$C$5001,C3977,$J$2:$J$5001,J3977,$A$2:$A$5001,"&lt;"&amp;A3977)=0,1,0))</f>
        <v/>
      </c>
    </row>
    <row r="3978" customFormat="false" ht="15" hidden="false" customHeight="false" outlineLevel="0" collapsed="false">
      <c r="A3978" s="27"/>
      <c r="F3978" s="28"/>
      <c r="J3978" s="0" t="str">
        <f aca="false">IF(A3978="","",YEAR(A3978))</f>
        <v/>
      </c>
      <c r="K3978" s="0" t="str">
        <f aca="false">IF(A3978="","",MONTH(A3978))</f>
        <v/>
      </c>
      <c r="L3978" s="0" t="str">
        <f aca="false">IF(B3978="","",VALUE(LEFT(B3978,2)))</f>
        <v/>
      </c>
      <c r="M3978" s="0" t="str">
        <f aca="false">IF(A3978="","",IF(COUNTIFS($C$2:$C$5001,C3978,$J$2:$J$5001,J3978,$A$2:$A$5001,"&lt;"&amp;A3978)=0,1,0))</f>
        <v/>
      </c>
    </row>
    <row r="3979" customFormat="false" ht="15" hidden="false" customHeight="false" outlineLevel="0" collapsed="false">
      <c r="A3979" s="27"/>
      <c r="F3979" s="28"/>
      <c r="J3979" s="0" t="str">
        <f aca="false">IF(A3979="","",YEAR(A3979))</f>
        <v/>
      </c>
      <c r="K3979" s="0" t="str">
        <f aca="false">IF(A3979="","",MONTH(A3979))</f>
        <v/>
      </c>
      <c r="L3979" s="0" t="str">
        <f aca="false">IF(B3979="","",VALUE(LEFT(B3979,2)))</f>
        <v/>
      </c>
      <c r="M3979" s="0" t="str">
        <f aca="false">IF(A3979="","",IF(COUNTIFS($C$2:$C$5001,C3979,$J$2:$J$5001,J3979,$A$2:$A$5001,"&lt;"&amp;A3979)=0,1,0))</f>
        <v/>
      </c>
    </row>
    <row r="3980" customFormat="false" ht="15" hidden="false" customHeight="false" outlineLevel="0" collapsed="false">
      <c r="A3980" s="27"/>
      <c r="F3980" s="28"/>
      <c r="J3980" s="0" t="str">
        <f aca="false">IF(A3980="","",YEAR(A3980))</f>
        <v/>
      </c>
      <c r="K3980" s="0" t="str">
        <f aca="false">IF(A3980="","",MONTH(A3980))</f>
        <v/>
      </c>
      <c r="L3980" s="0" t="str">
        <f aca="false">IF(B3980="","",VALUE(LEFT(B3980,2)))</f>
        <v/>
      </c>
      <c r="M3980" s="0" t="str">
        <f aca="false">IF(A3980="","",IF(COUNTIFS($C$2:$C$5001,C3980,$J$2:$J$5001,J3980,$A$2:$A$5001,"&lt;"&amp;A3980)=0,1,0))</f>
        <v/>
      </c>
    </row>
    <row r="3981" customFormat="false" ht="15" hidden="false" customHeight="false" outlineLevel="0" collapsed="false">
      <c r="A3981" s="27"/>
      <c r="F3981" s="28"/>
      <c r="J3981" s="0" t="str">
        <f aca="false">IF(A3981="","",YEAR(A3981))</f>
        <v/>
      </c>
      <c r="K3981" s="0" t="str">
        <f aca="false">IF(A3981="","",MONTH(A3981))</f>
        <v/>
      </c>
      <c r="L3981" s="0" t="str">
        <f aca="false">IF(B3981="","",VALUE(LEFT(B3981,2)))</f>
        <v/>
      </c>
      <c r="M3981" s="0" t="str">
        <f aca="false">IF(A3981="","",IF(COUNTIFS($C$2:$C$5001,C3981,$J$2:$J$5001,J3981,$A$2:$A$5001,"&lt;"&amp;A3981)=0,1,0))</f>
        <v/>
      </c>
    </row>
    <row r="3982" customFormat="false" ht="15" hidden="false" customHeight="false" outlineLevel="0" collapsed="false">
      <c r="A3982" s="27"/>
      <c r="F3982" s="28"/>
      <c r="J3982" s="0" t="str">
        <f aca="false">IF(A3982="","",YEAR(A3982))</f>
        <v/>
      </c>
      <c r="K3982" s="0" t="str">
        <f aca="false">IF(A3982="","",MONTH(A3982))</f>
        <v/>
      </c>
      <c r="L3982" s="0" t="str">
        <f aca="false">IF(B3982="","",VALUE(LEFT(B3982,2)))</f>
        <v/>
      </c>
      <c r="M3982" s="0" t="str">
        <f aca="false">IF(A3982="","",IF(COUNTIFS($C$2:$C$5001,C3982,$J$2:$J$5001,J3982,$A$2:$A$5001,"&lt;"&amp;A3982)=0,1,0))</f>
        <v/>
      </c>
    </row>
    <row r="3983" customFormat="false" ht="15" hidden="false" customHeight="false" outlineLevel="0" collapsed="false">
      <c r="A3983" s="27"/>
      <c r="F3983" s="28"/>
      <c r="J3983" s="0" t="str">
        <f aca="false">IF(A3983="","",YEAR(A3983))</f>
        <v/>
      </c>
      <c r="K3983" s="0" t="str">
        <f aca="false">IF(A3983="","",MONTH(A3983))</f>
        <v/>
      </c>
      <c r="L3983" s="0" t="str">
        <f aca="false">IF(B3983="","",VALUE(LEFT(B3983,2)))</f>
        <v/>
      </c>
      <c r="M3983" s="0" t="str">
        <f aca="false">IF(A3983="","",IF(COUNTIFS($C$2:$C$5001,C3983,$J$2:$J$5001,J3983,$A$2:$A$5001,"&lt;"&amp;A3983)=0,1,0))</f>
        <v/>
      </c>
    </row>
    <row r="3984" customFormat="false" ht="15" hidden="false" customHeight="false" outlineLevel="0" collapsed="false">
      <c r="A3984" s="27"/>
      <c r="F3984" s="28"/>
      <c r="J3984" s="0" t="str">
        <f aca="false">IF(A3984="","",YEAR(A3984))</f>
        <v/>
      </c>
      <c r="K3984" s="0" t="str">
        <f aca="false">IF(A3984="","",MONTH(A3984))</f>
        <v/>
      </c>
      <c r="L3984" s="0" t="str">
        <f aca="false">IF(B3984="","",VALUE(LEFT(B3984,2)))</f>
        <v/>
      </c>
      <c r="M3984" s="0" t="str">
        <f aca="false">IF(A3984="","",IF(COUNTIFS($C$2:$C$5001,C3984,$J$2:$J$5001,J3984,$A$2:$A$5001,"&lt;"&amp;A3984)=0,1,0))</f>
        <v/>
      </c>
    </row>
    <row r="3985" customFormat="false" ht="15" hidden="false" customHeight="false" outlineLevel="0" collapsed="false">
      <c r="A3985" s="27"/>
      <c r="F3985" s="28"/>
      <c r="J3985" s="0" t="str">
        <f aca="false">IF(A3985="","",YEAR(A3985))</f>
        <v/>
      </c>
      <c r="K3985" s="0" t="str">
        <f aca="false">IF(A3985="","",MONTH(A3985))</f>
        <v/>
      </c>
      <c r="L3985" s="0" t="str">
        <f aca="false">IF(B3985="","",VALUE(LEFT(B3985,2)))</f>
        <v/>
      </c>
      <c r="M3985" s="0" t="str">
        <f aca="false">IF(A3985="","",IF(COUNTIFS($C$2:$C$5001,C3985,$J$2:$J$5001,J3985,$A$2:$A$5001,"&lt;"&amp;A3985)=0,1,0))</f>
        <v/>
      </c>
    </row>
    <row r="3986" customFormat="false" ht="15" hidden="false" customHeight="false" outlineLevel="0" collapsed="false">
      <c r="A3986" s="27"/>
      <c r="F3986" s="28"/>
      <c r="J3986" s="0" t="str">
        <f aca="false">IF(A3986="","",YEAR(A3986))</f>
        <v/>
      </c>
      <c r="K3986" s="0" t="str">
        <f aca="false">IF(A3986="","",MONTH(A3986))</f>
        <v/>
      </c>
      <c r="L3986" s="0" t="str">
        <f aca="false">IF(B3986="","",VALUE(LEFT(B3986,2)))</f>
        <v/>
      </c>
      <c r="M3986" s="0" t="str">
        <f aca="false">IF(A3986="","",IF(COUNTIFS($C$2:$C$5001,C3986,$J$2:$J$5001,J3986,$A$2:$A$5001,"&lt;"&amp;A3986)=0,1,0))</f>
        <v/>
      </c>
    </row>
    <row r="3987" customFormat="false" ht="15" hidden="false" customHeight="false" outlineLevel="0" collapsed="false">
      <c r="A3987" s="27"/>
      <c r="F3987" s="28"/>
      <c r="J3987" s="0" t="str">
        <f aca="false">IF(A3987="","",YEAR(A3987))</f>
        <v/>
      </c>
      <c r="K3987" s="0" t="str">
        <f aca="false">IF(A3987="","",MONTH(A3987))</f>
        <v/>
      </c>
      <c r="L3987" s="0" t="str">
        <f aca="false">IF(B3987="","",VALUE(LEFT(B3987,2)))</f>
        <v/>
      </c>
      <c r="M3987" s="0" t="str">
        <f aca="false">IF(A3987="","",IF(COUNTIFS($C$2:$C$5001,C3987,$J$2:$J$5001,J3987,$A$2:$A$5001,"&lt;"&amp;A3987)=0,1,0))</f>
        <v/>
      </c>
    </row>
    <row r="3988" customFormat="false" ht="15" hidden="false" customHeight="false" outlineLevel="0" collapsed="false">
      <c r="A3988" s="27"/>
      <c r="F3988" s="28"/>
      <c r="J3988" s="0" t="str">
        <f aca="false">IF(A3988="","",YEAR(A3988))</f>
        <v/>
      </c>
      <c r="K3988" s="0" t="str">
        <f aca="false">IF(A3988="","",MONTH(A3988))</f>
        <v/>
      </c>
      <c r="L3988" s="0" t="str">
        <f aca="false">IF(B3988="","",VALUE(LEFT(B3988,2)))</f>
        <v/>
      </c>
      <c r="M3988" s="0" t="str">
        <f aca="false">IF(A3988="","",IF(COUNTIFS($C$2:$C$5001,C3988,$J$2:$J$5001,J3988,$A$2:$A$5001,"&lt;"&amp;A3988)=0,1,0))</f>
        <v/>
      </c>
    </row>
    <row r="3989" customFormat="false" ht="15" hidden="false" customHeight="false" outlineLevel="0" collapsed="false">
      <c r="A3989" s="27"/>
      <c r="F3989" s="28"/>
      <c r="J3989" s="0" t="str">
        <f aca="false">IF(A3989="","",YEAR(A3989))</f>
        <v/>
      </c>
      <c r="K3989" s="0" t="str">
        <f aca="false">IF(A3989="","",MONTH(A3989))</f>
        <v/>
      </c>
      <c r="L3989" s="0" t="str">
        <f aca="false">IF(B3989="","",VALUE(LEFT(B3989,2)))</f>
        <v/>
      </c>
      <c r="M3989" s="0" t="str">
        <f aca="false">IF(A3989="","",IF(COUNTIFS($C$2:$C$5001,C3989,$J$2:$J$5001,J3989,$A$2:$A$5001,"&lt;"&amp;A3989)=0,1,0))</f>
        <v/>
      </c>
    </row>
    <row r="3990" customFormat="false" ht="15" hidden="false" customHeight="false" outlineLevel="0" collapsed="false">
      <c r="A3990" s="27"/>
      <c r="F3990" s="28"/>
      <c r="J3990" s="0" t="str">
        <f aca="false">IF(A3990="","",YEAR(A3990))</f>
        <v/>
      </c>
      <c r="K3990" s="0" t="str">
        <f aca="false">IF(A3990="","",MONTH(A3990))</f>
        <v/>
      </c>
      <c r="L3990" s="0" t="str">
        <f aca="false">IF(B3990="","",VALUE(LEFT(B3990,2)))</f>
        <v/>
      </c>
      <c r="M3990" s="0" t="str">
        <f aca="false">IF(A3990="","",IF(COUNTIFS($C$2:$C$5001,C3990,$J$2:$J$5001,J3990,$A$2:$A$5001,"&lt;"&amp;A3990)=0,1,0))</f>
        <v/>
      </c>
    </row>
    <row r="3991" customFormat="false" ht="15" hidden="false" customHeight="false" outlineLevel="0" collapsed="false">
      <c r="A3991" s="27"/>
      <c r="F3991" s="28"/>
      <c r="J3991" s="0" t="str">
        <f aca="false">IF(A3991="","",YEAR(A3991))</f>
        <v/>
      </c>
      <c r="K3991" s="0" t="str">
        <f aca="false">IF(A3991="","",MONTH(A3991))</f>
        <v/>
      </c>
      <c r="L3991" s="0" t="str">
        <f aca="false">IF(B3991="","",VALUE(LEFT(B3991,2)))</f>
        <v/>
      </c>
      <c r="M3991" s="0" t="str">
        <f aca="false">IF(A3991="","",IF(COUNTIFS($C$2:$C$5001,C3991,$J$2:$J$5001,J3991,$A$2:$A$5001,"&lt;"&amp;A3991)=0,1,0))</f>
        <v/>
      </c>
    </row>
    <row r="3992" customFormat="false" ht="15" hidden="false" customHeight="false" outlineLevel="0" collapsed="false">
      <c r="A3992" s="27"/>
      <c r="F3992" s="28"/>
      <c r="J3992" s="0" t="str">
        <f aca="false">IF(A3992="","",YEAR(A3992))</f>
        <v/>
      </c>
      <c r="K3992" s="0" t="str">
        <f aca="false">IF(A3992="","",MONTH(A3992))</f>
        <v/>
      </c>
      <c r="L3992" s="0" t="str">
        <f aca="false">IF(B3992="","",VALUE(LEFT(B3992,2)))</f>
        <v/>
      </c>
      <c r="M3992" s="0" t="str">
        <f aca="false">IF(A3992="","",IF(COUNTIFS($C$2:$C$5001,C3992,$J$2:$J$5001,J3992,$A$2:$A$5001,"&lt;"&amp;A3992)=0,1,0))</f>
        <v/>
      </c>
    </row>
    <row r="3993" customFormat="false" ht="15" hidden="false" customHeight="false" outlineLevel="0" collapsed="false">
      <c r="A3993" s="27"/>
      <c r="F3993" s="28"/>
      <c r="J3993" s="0" t="str">
        <f aca="false">IF(A3993="","",YEAR(A3993))</f>
        <v/>
      </c>
      <c r="K3993" s="0" t="str">
        <f aca="false">IF(A3993="","",MONTH(A3993))</f>
        <v/>
      </c>
      <c r="L3993" s="0" t="str">
        <f aca="false">IF(B3993="","",VALUE(LEFT(B3993,2)))</f>
        <v/>
      </c>
      <c r="M3993" s="0" t="str">
        <f aca="false">IF(A3993="","",IF(COUNTIFS($C$2:$C$5001,C3993,$J$2:$J$5001,J3993,$A$2:$A$5001,"&lt;"&amp;A3993)=0,1,0))</f>
        <v/>
      </c>
    </row>
    <row r="3994" customFormat="false" ht="15" hidden="false" customHeight="false" outlineLevel="0" collapsed="false">
      <c r="A3994" s="27"/>
      <c r="F3994" s="28"/>
      <c r="J3994" s="0" t="str">
        <f aca="false">IF(A3994="","",YEAR(A3994))</f>
        <v/>
      </c>
      <c r="K3994" s="0" t="str">
        <f aca="false">IF(A3994="","",MONTH(A3994))</f>
        <v/>
      </c>
      <c r="L3994" s="0" t="str">
        <f aca="false">IF(B3994="","",VALUE(LEFT(B3994,2)))</f>
        <v/>
      </c>
      <c r="M3994" s="0" t="str">
        <f aca="false">IF(A3994="","",IF(COUNTIFS($C$2:$C$5001,C3994,$J$2:$J$5001,J3994,$A$2:$A$5001,"&lt;"&amp;A3994)=0,1,0))</f>
        <v/>
      </c>
    </row>
    <row r="3995" customFormat="false" ht="15" hidden="false" customHeight="false" outlineLevel="0" collapsed="false">
      <c r="A3995" s="27"/>
      <c r="F3995" s="28"/>
      <c r="J3995" s="0" t="str">
        <f aca="false">IF(A3995="","",YEAR(A3995))</f>
        <v/>
      </c>
      <c r="K3995" s="0" t="str">
        <f aca="false">IF(A3995="","",MONTH(A3995))</f>
        <v/>
      </c>
      <c r="L3995" s="0" t="str">
        <f aca="false">IF(B3995="","",VALUE(LEFT(B3995,2)))</f>
        <v/>
      </c>
      <c r="M3995" s="0" t="str">
        <f aca="false">IF(A3995="","",IF(COUNTIFS($C$2:$C$5001,C3995,$J$2:$J$5001,J3995,$A$2:$A$5001,"&lt;"&amp;A3995)=0,1,0))</f>
        <v/>
      </c>
    </row>
    <row r="3996" customFormat="false" ht="15" hidden="false" customHeight="false" outlineLevel="0" collapsed="false">
      <c r="A3996" s="27"/>
      <c r="F3996" s="28"/>
      <c r="J3996" s="0" t="str">
        <f aca="false">IF(A3996="","",YEAR(A3996))</f>
        <v/>
      </c>
      <c r="K3996" s="0" t="str">
        <f aca="false">IF(A3996="","",MONTH(A3996))</f>
        <v/>
      </c>
      <c r="L3996" s="0" t="str">
        <f aca="false">IF(B3996="","",VALUE(LEFT(B3996,2)))</f>
        <v/>
      </c>
      <c r="M3996" s="0" t="str">
        <f aca="false">IF(A3996="","",IF(COUNTIFS($C$2:$C$5001,C3996,$J$2:$J$5001,J3996,$A$2:$A$5001,"&lt;"&amp;A3996)=0,1,0))</f>
        <v/>
      </c>
    </row>
    <row r="3997" customFormat="false" ht="15" hidden="false" customHeight="false" outlineLevel="0" collapsed="false">
      <c r="A3997" s="27"/>
      <c r="F3997" s="28"/>
      <c r="J3997" s="0" t="str">
        <f aca="false">IF(A3997="","",YEAR(A3997))</f>
        <v/>
      </c>
      <c r="K3997" s="0" t="str">
        <f aca="false">IF(A3997="","",MONTH(A3997))</f>
        <v/>
      </c>
      <c r="L3997" s="0" t="str">
        <f aca="false">IF(B3997="","",VALUE(LEFT(B3997,2)))</f>
        <v/>
      </c>
      <c r="M3997" s="0" t="str">
        <f aca="false">IF(A3997="","",IF(COUNTIFS($C$2:$C$5001,C3997,$J$2:$J$5001,J3997,$A$2:$A$5001,"&lt;"&amp;A3997)=0,1,0))</f>
        <v/>
      </c>
    </row>
    <row r="3998" customFormat="false" ht="15" hidden="false" customHeight="false" outlineLevel="0" collapsed="false">
      <c r="A3998" s="27"/>
      <c r="F3998" s="28"/>
      <c r="J3998" s="0" t="str">
        <f aca="false">IF(A3998="","",YEAR(A3998))</f>
        <v/>
      </c>
      <c r="K3998" s="0" t="str">
        <f aca="false">IF(A3998="","",MONTH(A3998))</f>
        <v/>
      </c>
      <c r="L3998" s="0" t="str">
        <f aca="false">IF(B3998="","",VALUE(LEFT(B3998,2)))</f>
        <v/>
      </c>
      <c r="M3998" s="0" t="str">
        <f aca="false">IF(A3998="","",IF(COUNTIFS($C$2:$C$5001,C3998,$J$2:$J$5001,J3998,$A$2:$A$5001,"&lt;"&amp;A3998)=0,1,0))</f>
        <v/>
      </c>
    </row>
    <row r="3999" customFormat="false" ht="15" hidden="false" customHeight="false" outlineLevel="0" collapsed="false">
      <c r="A3999" s="27"/>
      <c r="F3999" s="28"/>
      <c r="J3999" s="0" t="str">
        <f aca="false">IF(A3999="","",YEAR(A3999))</f>
        <v/>
      </c>
      <c r="K3999" s="0" t="str">
        <f aca="false">IF(A3999="","",MONTH(A3999))</f>
        <v/>
      </c>
      <c r="L3999" s="0" t="str">
        <f aca="false">IF(B3999="","",VALUE(LEFT(B3999,2)))</f>
        <v/>
      </c>
      <c r="M3999" s="0" t="str">
        <f aca="false">IF(A3999="","",IF(COUNTIFS($C$2:$C$5001,C3999,$J$2:$J$5001,J3999,$A$2:$A$5001,"&lt;"&amp;A3999)=0,1,0))</f>
        <v/>
      </c>
    </row>
    <row r="4000" customFormat="false" ht="15" hidden="false" customHeight="false" outlineLevel="0" collapsed="false">
      <c r="A4000" s="27"/>
      <c r="F4000" s="28"/>
      <c r="J4000" s="0" t="str">
        <f aca="false">IF(A4000="","",YEAR(A4000))</f>
        <v/>
      </c>
      <c r="K4000" s="0" t="str">
        <f aca="false">IF(A4000="","",MONTH(A4000))</f>
        <v/>
      </c>
      <c r="L4000" s="0" t="str">
        <f aca="false">IF(B4000="","",VALUE(LEFT(B4000,2)))</f>
        <v/>
      </c>
      <c r="M4000" s="0" t="str">
        <f aca="false">IF(A4000="","",IF(COUNTIFS($C$2:$C$5001,C4000,$J$2:$J$5001,J4000,$A$2:$A$5001,"&lt;"&amp;A4000)=0,1,0))</f>
        <v/>
      </c>
    </row>
    <row r="4001" customFormat="false" ht="15" hidden="false" customHeight="false" outlineLevel="0" collapsed="false">
      <c r="A4001" s="27"/>
      <c r="F4001" s="28"/>
      <c r="J4001" s="0" t="str">
        <f aca="false">IF(A4001="","",YEAR(A4001))</f>
        <v/>
      </c>
      <c r="K4001" s="0" t="str">
        <f aca="false">IF(A4001="","",MONTH(A4001))</f>
        <v/>
      </c>
      <c r="L4001" s="0" t="str">
        <f aca="false">IF(B4001="","",VALUE(LEFT(B4001,2)))</f>
        <v/>
      </c>
      <c r="M4001" s="0" t="str">
        <f aca="false">IF(A4001="","",IF(COUNTIFS($C$2:$C$5001,C4001,$J$2:$J$5001,J4001,$A$2:$A$5001,"&lt;"&amp;A4001)=0,1,0))</f>
        <v/>
      </c>
    </row>
    <row r="4002" customFormat="false" ht="15" hidden="false" customHeight="false" outlineLevel="0" collapsed="false">
      <c r="A4002" s="27"/>
      <c r="F4002" s="28"/>
      <c r="J4002" s="0" t="str">
        <f aca="false">IF(A4002="","",YEAR(A4002))</f>
        <v/>
      </c>
      <c r="K4002" s="0" t="str">
        <f aca="false">IF(A4002="","",MONTH(A4002))</f>
        <v/>
      </c>
      <c r="L4002" s="0" t="str">
        <f aca="false">IF(B4002="","",VALUE(LEFT(B4002,2)))</f>
        <v/>
      </c>
      <c r="M4002" s="0" t="str">
        <f aca="false">IF(A4002="","",IF(COUNTIFS($C$2:$C$5001,C4002,$J$2:$J$5001,J4002,$A$2:$A$5001,"&lt;"&amp;A4002)=0,1,0))</f>
        <v/>
      </c>
    </row>
    <row r="4003" customFormat="false" ht="15" hidden="false" customHeight="false" outlineLevel="0" collapsed="false">
      <c r="A4003" s="27"/>
      <c r="F4003" s="28"/>
      <c r="J4003" s="0" t="str">
        <f aca="false">IF(A4003="","",YEAR(A4003))</f>
        <v/>
      </c>
      <c r="K4003" s="0" t="str">
        <f aca="false">IF(A4003="","",MONTH(A4003))</f>
        <v/>
      </c>
      <c r="L4003" s="0" t="str">
        <f aca="false">IF(B4003="","",VALUE(LEFT(B4003,2)))</f>
        <v/>
      </c>
      <c r="M4003" s="0" t="str">
        <f aca="false">IF(A4003="","",IF(COUNTIFS($C$2:$C$5001,C4003,$J$2:$J$5001,J4003,$A$2:$A$5001,"&lt;"&amp;A4003)=0,1,0))</f>
        <v/>
      </c>
    </row>
    <row r="4004" customFormat="false" ht="15" hidden="false" customHeight="false" outlineLevel="0" collapsed="false">
      <c r="A4004" s="27"/>
      <c r="F4004" s="28"/>
      <c r="J4004" s="0" t="str">
        <f aca="false">IF(A4004="","",YEAR(A4004))</f>
        <v/>
      </c>
      <c r="K4004" s="0" t="str">
        <f aca="false">IF(A4004="","",MONTH(A4004))</f>
        <v/>
      </c>
      <c r="L4004" s="0" t="str">
        <f aca="false">IF(B4004="","",VALUE(LEFT(B4004,2)))</f>
        <v/>
      </c>
      <c r="M4004" s="0" t="str">
        <f aca="false">IF(A4004="","",IF(COUNTIFS($C$2:$C$5001,C4004,$J$2:$J$5001,J4004,$A$2:$A$5001,"&lt;"&amp;A4004)=0,1,0))</f>
        <v/>
      </c>
    </row>
    <row r="4005" customFormat="false" ht="15" hidden="false" customHeight="false" outlineLevel="0" collapsed="false">
      <c r="A4005" s="27"/>
      <c r="F4005" s="28"/>
      <c r="J4005" s="0" t="str">
        <f aca="false">IF(A4005="","",YEAR(A4005))</f>
        <v/>
      </c>
      <c r="K4005" s="0" t="str">
        <f aca="false">IF(A4005="","",MONTH(A4005))</f>
        <v/>
      </c>
      <c r="L4005" s="0" t="str">
        <f aca="false">IF(B4005="","",VALUE(LEFT(B4005,2)))</f>
        <v/>
      </c>
      <c r="M4005" s="0" t="str">
        <f aca="false">IF(A4005="","",IF(COUNTIFS($C$2:$C$5001,C4005,$J$2:$J$5001,J4005,$A$2:$A$5001,"&lt;"&amp;A4005)=0,1,0))</f>
        <v/>
      </c>
    </row>
    <row r="4006" customFormat="false" ht="15" hidden="false" customHeight="false" outlineLevel="0" collapsed="false">
      <c r="A4006" s="27"/>
      <c r="F4006" s="28"/>
      <c r="J4006" s="0" t="str">
        <f aca="false">IF(A4006="","",YEAR(A4006))</f>
        <v/>
      </c>
      <c r="K4006" s="0" t="str">
        <f aca="false">IF(A4006="","",MONTH(A4006))</f>
        <v/>
      </c>
      <c r="L4006" s="0" t="str">
        <f aca="false">IF(B4006="","",VALUE(LEFT(B4006,2)))</f>
        <v/>
      </c>
      <c r="M4006" s="0" t="str">
        <f aca="false">IF(A4006="","",IF(COUNTIFS($C$2:$C$5001,C4006,$J$2:$J$5001,J4006,$A$2:$A$5001,"&lt;"&amp;A4006)=0,1,0))</f>
        <v/>
      </c>
    </row>
    <row r="4007" customFormat="false" ht="15" hidden="false" customHeight="false" outlineLevel="0" collapsed="false">
      <c r="A4007" s="27"/>
      <c r="F4007" s="28"/>
      <c r="J4007" s="0" t="str">
        <f aca="false">IF(A4007="","",YEAR(A4007))</f>
        <v/>
      </c>
      <c r="K4007" s="0" t="str">
        <f aca="false">IF(A4007="","",MONTH(A4007))</f>
        <v/>
      </c>
      <c r="L4007" s="0" t="str">
        <f aca="false">IF(B4007="","",VALUE(LEFT(B4007,2)))</f>
        <v/>
      </c>
      <c r="M4007" s="0" t="str">
        <f aca="false">IF(A4007="","",IF(COUNTIFS($C$2:$C$5001,C4007,$J$2:$J$5001,J4007,$A$2:$A$5001,"&lt;"&amp;A4007)=0,1,0))</f>
        <v/>
      </c>
    </row>
    <row r="4008" customFormat="false" ht="15" hidden="false" customHeight="false" outlineLevel="0" collapsed="false">
      <c r="A4008" s="27"/>
      <c r="F4008" s="28"/>
      <c r="J4008" s="0" t="str">
        <f aca="false">IF(A4008="","",YEAR(A4008))</f>
        <v/>
      </c>
      <c r="K4008" s="0" t="str">
        <f aca="false">IF(A4008="","",MONTH(A4008))</f>
        <v/>
      </c>
      <c r="L4008" s="0" t="str">
        <f aca="false">IF(B4008="","",VALUE(LEFT(B4008,2)))</f>
        <v/>
      </c>
      <c r="M4008" s="0" t="str">
        <f aca="false">IF(A4008="","",IF(COUNTIFS($C$2:$C$5001,C4008,$J$2:$J$5001,J4008,$A$2:$A$5001,"&lt;"&amp;A4008)=0,1,0))</f>
        <v/>
      </c>
    </row>
    <row r="4009" customFormat="false" ht="15" hidden="false" customHeight="false" outlineLevel="0" collapsed="false">
      <c r="A4009" s="27"/>
      <c r="F4009" s="28"/>
      <c r="J4009" s="0" t="str">
        <f aca="false">IF(A4009="","",YEAR(A4009))</f>
        <v/>
      </c>
      <c r="K4009" s="0" t="str">
        <f aca="false">IF(A4009="","",MONTH(A4009))</f>
        <v/>
      </c>
      <c r="L4009" s="0" t="str">
        <f aca="false">IF(B4009="","",VALUE(LEFT(B4009,2)))</f>
        <v/>
      </c>
      <c r="M4009" s="0" t="str">
        <f aca="false">IF(A4009="","",IF(COUNTIFS($C$2:$C$5001,C4009,$J$2:$J$5001,J4009,$A$2:$A$5001,"&lt;"&amp;A4009)=0,1,0))</f>
        <v/>
      </c>
    </row>
    <row r="4010" customFormat="false" ht="15" hidden="false" customHeight="false" outlineLevel="0" collapsed="false">
      <c r="A4010" s="27"/>
      <c r="F4010" s="28"/>
      <c r="J4010" s="0" t="str">
        <f aca="false">IF(A4010="","",YEAR(A4010))</f>
        <v/>
      </c>
      <c r="K4010" s="0" t="str">
        <f aca="false">IF(A4010="","",MONTH(A4010))</f>
        <v/>
      </c>
      <c r="L4010" s="0" t="str">
        <f aca="false">IF(B4010="","",VALUE(LEFT(B4010,2)))</f>
        <v/>
      </c>
      <c r="M4010" s="0" t="str">
        <f aca="false">IF(A4010="","",IF(COUNTIFS($C$2:$C$5001,C4010,$J$2:$J$5001,J4010,$A$2:$A$5001,"&lt;"&amp;A4010)=0,1,0))</f>
        <v/>
      </c>
    </row>
    <row r="4011" customFormat="false" ht="15" hidden="false" customHeight="false" outlineLevel="0" collapsed="false">
      <c r="A4011" s="27"/>
      <c r="F4011" s="28"/>
      <c r="J4011" s="0" t="str">
        <f aca="false">IF(A4011="","",YEAR(A4011))</f>
        <v/>
      </c>
      <c r="K4011" s="0" t="str">
        <f aca="false">IF(A4011="","",MONTH(A4011))</f>
        <v/>
      </c>
      <c r="L4011" s="0" t="str">
        <f aca="false">IF(B4011="","",VALUE(LEFT(B4011,2)))</f>
        <v/>
      </c>
      <c r="M4011" s="0" t="str">
        <f aca="false">IF(A4011="","",IF(COUNTIFS($C$2:$C$5001,C4011,$J$2:$J$5001,J4011,$A$2:$A$5001,"&lt;"&amp;A4011)=0,1,0))</f>
        <v/>
      </c>
    </row>
    <row r="4012" customFormat="false" ht="15" hidden="false" customHeight="false" outlineLevel="0" collapsed="false">
      <c r="A4012" s="27"/>
      <c r="F4012" s="28"/>
      <c r="J4012" s="0" t="str">
        <f aca="false">IF(A4012="","",YEAR(A4012))</f>
        <v/>
      </c>
      <c r="K4012" s="0" t="str">
        <f aca="false">IF(A4012="","",MONTH(A4012))</f>
        <v/>
      </c>
      <c r="L4012" s="0" t="str">
        <f aca="false">IF(B4012="","",VALUE(LEFT(B4012,2)))</f>
        <v/>
      </c>
      <c r="M4012" s="0" t="str">
        <f aca="false">IF(A4012="","",IF(COUNTIFS($C$2:$C$5001,C4012,$J$2:$J$5001,J4012,$A$2:$A$5001,"&lt;"&amp;A4012)=0,1,0))</f>
        <v/>
      </c>
    </row>
    <row r="4013" customFormat="false" ht="15" hidden="false" customHeight="false" outlineLevel="0" collapsed="false">
      <c r="A4013" s="27"/>
      <c r="F4013" s="28"/>
      <c r="J4013" s="0" t="str">
        <f aca="false">IF(A4013="","",YEAR(A4013))</f>
        <v/>
      </c>
      <c r="K4013" s="0" t="str">
        <f aca="false">IF(A4013="","",MONTH(A4013))</f>
        <v/>
      </c>
      <c r="L4013" s="0" t="str">
        <f aca="false">IF(B4013="","",VALUE(LEFT(B4013,2)))</f>
        <v/>
      </c>
      <c r="M4013" s="0" t="str">
        <f aca="false">IF(A4013="","",IF(COUNTIFS($C$2:$C$5001,C4013,$J$2:$J$5001,J4013,$A$2:$A$5001,"&lt;"&amp;A4013)=0,1,0))</f>
        <v/>
      </c>
    </row>
    <row r="4014" customFormat="false" ht="15" hidden="false" customHeight="false" outlineLevel="0" collapsed="false">
      <c r="A4014" s="27"/>
      <c r="F4014" s="28"/>
      <c r="J4014" s="0" t="str">
        <f aca="false">IF(A4014="","",YEAR(A4014))</f>
        <v/>
      </c>
      <c r="K4014" s="0" t="str">
        <f aca="false">IF(A4014="","",MONTH(A4014))</f>
        <v/>
      </c>
      <c r="L4014" s="0" t="str">
        <f aca="false">IF(B4014="","",VALUE(LEFT(B4014,2)))</f>
        <v/>
      </c>
      <c r="M4014" s="0" t="str">
        <f aca="false">IF(A4014="","",IF(COUNTIFS($C$2:$C$5001,C4014,$J$2:$J$5001,J4014,$A$2:$A$5001,"&lt;"&amp;A4014)=0,1,0))</f>
        <v/>
      </c>
    </row>
    <row r="4015" customFormat="false" ht="15" hidden="false" customHeight="false" outlineLevel="0" collapsed="false">
      <c r="A4015" s="27"/>
      <c r="F4015" s="28"/>
      <c r="J4015" s="0" t="str">
        <f aca="false">IF(A4015="","",YEAR(A4015))</f>
        <v/>
      </c>
      <c r="K4015" s="0" t="str">
        <f aca="false">IF(A4015="","",MONTH(A4015))</f>
        <v/>
      </c>
      <c r="L4015" s="0" t="str">
        <f aca="false">IF(B4015="","",VALUE(LEFT(B4015,2)))</f>
        <v/>
      </c>
      <c r="M4015" s="0" t="str">
        <f aca="false">IF(A4015="","",IF(COUNTIFS($C$2:$C$5001,C4015,$J$2:$J$5001,J4015,$A$2:$A$5001,"&lt;"&amp;A4015)=0,1,0))</f>
        <v/>
      </c>
    </row>
    <row r="4016" customFormat="false" ht="15" hidden="false" customHeight="false" outlineLevel="0" collapsed="false">
      <c r="A4016" s="27"/>
      <c r="F4016" s="28"/>
      <c r="J4016" s="0" t="str">
        <f aca="false">IF(A4016="","",YEAR(A4016))</f>
        <v/>
      </c>
      <c r="K4016" s="0" t="str">
        <f aca="false">IF(A4016="","",MONTH(A4016))</f>
        <v/>
      </c>
      <c r="L4016" s="0" t="str">
        <f aca="false">IF(B4016="","",VALUE(LEFT(B4016,2)))</f>
        <v/>
      </c>
      <c r="M4016" s="0" t="str">
        <f aca="false">IF(A4016="","",IF(COUNTIFS($C$2:$C$5001,C4016,$J$2:$J$5001,J4016,$A$2:$A$5001,"&lt;"&amp;A4016)=0,1,0))</f>
        <v/>
      </c>
    </row>
    <row r="4017" customFormat="false" ht="15" hidden="false" customHeight="false" outlineLevel="0" collapsed="false">
      <c r="A4017" s="27"/>
      <c r="F4017" s="28"/>
      <c r="J4017" s="0" t="str">
        <f aca="false">IF(A4017="","",YEAR(A4017))</f>
        <v/>
      </c>
      <c r="K4017" s="0" t="str">
        <f aca="false">IF(A4017="","",MONTH(A4017))</f>
        <v/>
      </c>
      <c r="L4017" s="0" t="str">
        <f aca="false">IF(B4017="","",VALUE(LEFT(B4017,2)))</f>
        <v/>
      </c>
      <c r="M4017" s="0" t="str">
        <f aca="false">IF(A4017="","",IF(COUNTIFS($C$2:$C$5001,C4017,$J$2:$J$5001,J4017,$A$2:$A$5001,"&lt;"&amp;A4017)=0,1,0))</f>
        <v/>
      </c>
    </row>
    <row r="4018" customFormat="false" ht="15" hidden="false" customHeight="false" outlineLevel="0" collapsed="false">
      <c r="A4018" s="27"/>
      <c r="F4018" s="28"/>
      <c r="J4018" s="0" t="str">
        <f aca="false">IF(A4018="","",YEAR(A4018))</f>
        <v/>
      </c>
      <c r="K4018" s="0" t="str">
        <f aca="false">IF(A4018="","",MONTH(A4018))</f>
        <v/>
      </c>
      <c r="L4018" s="0" t="str">
        <f aca="false">IF(B4018="","",VALUE(LEFT(B4018,2)))</f>
        <v/>
      </c>
      <c r="M4018" s="0" t="str">
        <f aca="false">IF(A4018="","",IF(COUNTIFS($C$2:$C$5001,C4018,$J$2:$J$5001,J4018,$A$2:$A$5001,"&lt;"&amp;A4018)=0,1,0))</f>
        <v/>
      </c>
    </row>
    <row r="4019" customFormat="false" ht="15" hidden="false" customHeight="false" outlineLevel="0" collapsed="false">
      <c r="A4019" s="27"/>
      <c r="F4019" s="28"/>
      <c r="J4019" s="0" t="str">
        <f aca="false">IF(A4019="","",YEAR(A4019))</f>
        <v/>
      </c>
      <c r="K4019" s="0" t="str">
        <f aca="false">IF(A4019="","",MONTH(A4019))</f>
        <v/>
      </c>
      <c r="L4019" s="0" t="str">
        <f aca="false">IF(B4019="","",VALUE(LEFT(B4019,2)))</f>
        <v/>
      </c>
      <c r="M4019" s="0" t="str">
        <f aca="false">IF(A4019="","",IF(COUNTIFS($C$2:$C$5001,C4019,$J$2:$J$5001,J4019,$A$2:$A$5001,"&lt;"&amp;A4019)=0,1,0))</f>
        <v/>
      </c>
    </row>
    <row r="4020" customFormat="false" ht="15" hidden="false" customHeight="false" outlineLevel="0" collapsed="false">
      <c r="A4020" s="27"/>
      <c r="F4020" s="28"/>
      <c r="J4020" s="0" t="str">
        <f aca="false">IF(A4020="","",YEAR(A4020))</f>
        <v/>
      </c>
      <c r="K4020" s="0" t="str">
        <f aca="false">IF(A4020="","",MONTH(A4020))</f>
        <v/>
      </c>
      <c r="L4020" s="0" t="str">
        <f aca="false">IF(B4020="","",VALUE(LEFT(B4020,2)))</f>
        <v/>
      </c>
      <c r="M4020" s="0" t="str">
        <f aca="false">IF(A4020="","",IF(COUNTIFS($C$2:$C$5001,C4020,$J$2:$J$5001,J4020,$A$2:$A$5001,"&lt;"&amp;A4020)=0,1,0))</f>
        <v/>
      </c>
    </row>
    <row r="4021" customFormat="false" ht="15" hidden="false" customHeight="false" outlineLevel="0" collapsed="false">
      <c r="A4021" s="27"/>
      <c r="F4021" s="28"/>
      <c r="J4021" s="0" t="str">
        <f aca="false">IF(A4021="","",YEAR(A4021))</f>
        <v/>
      </c>
      <c r="K4021" s="0" t="str">
        <f aca="false">IF(A4021="","",MONTH(A4021))</f>
        <v/>
      </c>
      <c r="L4021" s="0" t="str">
        <f aca="false">IF(B4021="","",VALUE(LEFT(B4021,2)))</f>
        <v/>
      </c>
      <c r="M4021" s="0" t="str">
        <f aca="false">IF(A4021="","",IF(COUNTIFS($C$2:$C$5001,C4021,$J$2:$J$5001,J4021,$A$2:$A$5001,"&lt;"&amp;A4021)=0,1,0))</f>
        <v/>
      </c>
    </row>
    <row r="4022" customFormat="false" ht="15" hidden="false" customHeight="false" outlineLevel="0" collapsed="false">
      <c r="A4022" s="27"/>
      <c r="F4022" s="28"/>
      <c r="J4022" s="0" t="str">
        <f aca="false">IF(A4022="","",YEAR(A4022))</f>
        <v/>
      </c>
      <c r="K4022" s="0" t="str">
        <f aca="false">IF(A4022="","",MONTH(A4022))</f>
        <v/>
      </c>
      <c r="L4022" s="0" t="str">
        <f aca="false">IF(B4022="","",VALUE(LEFT(B4022,2)))</f>
        <v/>
      </c>
      <c r="M4022" s="0" t="str">
        <f aca="false">IF(A4022="","",IF(COUNTIFS($C$2:$C$5001,C4022,$J$2:$J$5001,J4022,$A$2:$A$5001,"&lt;"&amp;A4022)=0,1,0))</f>
        <v/>
      </c>
    </row>
    <row r="4023" customFormat="false" ht="15" hidden="false" customHeight="false" outlineLevel="0" collapsed="false">
      <c r="A4023" s="27"/>
      <c r="F4023" s="28"/>
      <c r="J4023" s="0" t="str">
        <f aca="false">IF(A4023="","",YEAR(A4023))</f>
        <v/>
      </c>
      <c r="K4023" s="0" t="str">
        <f aca="false">IF(A4023="","",MONTH(A4023))</f>
        <v/>
      </c>
      <c r="L4023" s="0" t="str">
        <f aca="false">IF(B4023="","",VALUE(LEFT(B4023,2)))</f>
        <v/>
      </c>
      <c r="M4023" s="0" t="str">
        <f aca="false">IF(A4023="","",IF(COUNTIFS($C$2:$C$5001,C4023,$J$2:$J$5001,J4023,$A$2:$A$5001,"&lt;"&amp;A4023)=0,1,0))</f>
        <v/>
      </c>
    </row>
    <row r="4024" customFormat="false" ht="15" hidden="false" customHeight="false" outlineLevel="0" collapsed="false">
      <c r="A4024" s="27"/>
      <c r="F4024" s="28"/>
      <c r="J4024" s="0" t="str">
        <f aca="false">IF(A4024="","",YEAR(A4024))</f>
        <v/>
      </c>
      <c r="K4024" s="0" t="str">
        <f aca="false">IF(A4024="","",MONTH(A4024))</f>
        <v/>
      </c>
      <c r="L4024" s="0" t="str">
        <f aca="false">IF(B4024="","",VALUE(LEFT(B4024,2)))</f>
        <v/>
      </c>
      <c r="M4024" s="0" t="str">
        <f aca="false">IF(A4024="","",IF(COUNTIFS($C$2:$C$5001,C4024,$J$2:$J$5001,J4024,$A$2:$A$5001,"&lt;"&amp;A4024)=0,1,0))</f>
        <v/>
      </c>
    </row>
    <row r="4025" customFormat="false" ht="15" hidden="false" customHeight="false" outlineLevel="0" collapsed="false">
      <c r="A4025" s="27"/>
      <c r="F4025" s="28"/>
      <c r="J4025" s="0" t="str">
        <f aca="false">IF(A4025="","",YEAR(A4025))</f>
        <v/>
      </c>
      <c r="K4025" s="0" t="str">
        <f aca="false">IF(A4025="","",MONTH(A4025))</f>
        <v/>
      </c>
      <c r="L4025" s="0" t="str">
        <f aca="false">IF(B4025="","",VALUE(LEFT(B4025,2)))</f>
        <v/>
      </c>
      <c r="M4025" s="0" t="str">
        <f aca="false">IF(A4025="","",IF(COUNTIFS($C$2:$C$5001,C4025,$J$2:$J$5001,J4025,$A$2:$A$5001,"&lt;"&amp;A4025)=0,1,0))</f>
        <v/>
      </c>
    </row>
    <row r="4026" customFormat="false" ht="15" hidden="false" customHeight="false" outlineLevel="0" collapsed="false">
      <c r="A4026" s="27"/>
      <c r="F4026" s="28"/>
      <c r="J4026" s="0" t="str">
        <f aca="false">IF(A4026="","",YEAR(A4026))</f>
        <v/>
      </c>
      <c r="K4026" s="0" t="str">
        <f aca="false">IF(A4026="","",MONTH(A4026))</f>
        <v/>
      </c>
      <c r="L4026" s="0" t="str">
        <f aca="false">IF(B4026="","",VALUE(LEFT(B4026,2)))</f>
        <v/>
      </c>
      <c r="M4026" s="0" t="str">
        <f aca="false">IF(A4026="","",IF(COUNTIFS($C$2:$C$5001,C4026,$J$2:$J$5001,J4026,$A$2:$A$5001,"&lt;"&amp;A4026)=0,1,0))</f>
        <v/>
      </c>
    </row>
    <row r="4027" customFormat="false" ht="15" hidden="false" customHeight="false" outlineLevel="0" collapsed="false">
      <c r="A4027" s="27"/>
      <c r="F4027" s="28"/>
      <c r="J4027" s="0" t="str">
        <f aca="false">IF(A4027="","",YEAR(A4027))</f>
        <v/>
      </c>
      <c r="K4027" s="0" t="str">
        <f aca="false">IF(A4027="","",MONTH(A4027))</f>
        <v/>
      </c>
      <c r="L4027" s="0" t="str">
        <f aca="false">IF(B4027="","",VALUE(LEFT(B4027,2)))</f>
        <v/>
      </c>
      <c r="M4027" s="0" t="str">
        <f aca="false">IF(A4027="","",IF(COUNTIFS($C$2:$C$5001,C4027,$J$2:$J$5001,J4027,$A$2:$A$5001,"&lt;"&amp;A4027)=0,1,0))</f>
        <v/>
      </c>
    </row>
    <row r="4028" customFormat="false" ht="15" hidden="false" customHeight="false" outlineLevel="0" collapsed="false">
      <c r="A4028" s="27"/>
      <c r="F4028" s="28"/>
      <c r="J4028" s="0" t="str">
        <f aca="false">IF(A4028="","",YEAR(A4028))</f>
        <v/>
      </c>
      <c r="K4028" s="0" t="str">
        <f aca="false">IF(A4028="","",MONTH(A4028))</f>
        <v/>
      </c>
      <c r="L4028" s="0" t="str">
        <f aca="false">IF(B4028="","",VALUE(LEFT(B4028,2)))</f>
        <v/>
      </c>
      <c r="M4028" s="0" t="str">
        <f aca="false">IF(A4028="","",IF(COUNTIFS($C$2:$C$5001,C4028,$J$2:$J$5001,J4028,$A$2:$A$5001,"&lt;"&amp;A4028)=0,1,0))</f>
        <v/>
      </c>
    </row>
    <row r="4029" customFormat="false" ht="15" hidden="false" customHeight="false" outlineLevel="0" collapsed="false">
      <c r="A4029" s="27"/>
      <c r="F4029" s="28"/>
      <c r="J4029" s="0" t="str">
        <f aca="false">IF(A4029="","",YEAR(A4029))</f>
        <v/>
      </c>
      <c r="K4029" s="0" t="str">
        <f aca="false">IF(A4029="","",MONTH(A4029))</f>
        <v/>
      </c>
      <c r="L4029" s="0" t="str">
        <f aca="false">IF(B4029="","",VALUE(LEFT(B4029,2)))</f>
        <v/>
      </c>
      <c r="M4029" s="0" t="str">
        <f aca="false">IF(A4029="","",IF(COUNTIFS($C$2:$C$5001,C4029,$J$2:$J$5001,J4029,$A$2:$A$5001,"&lt;"&amp;A4029)=0,1,0))</f>
        <v/>
      </c>
    </row>
    <row r="4030" customFormat="false" ht="15" hidden="false" customHeight="false" outlineLevel="0" collapsed="false">
      <c r="A4030" s="27"/>
      <c r="F4030" s="28"/>
      <c r="J4030" s="0" t="str">
        <f aca="false">IF(A4030="","",YEAR(A4030))</f>
        <v/>
      </c>
      <c r="K4030" s="0" t="str">
        <f aca="false">IF(A4030="","",MONTH(A4030))</f>
        <v/>
      </c>
      <c r="L4030" s="0" t="str">
        <f aca="false">IF(B4030="","",VALUE(LEFT(B4030,2)))</f>
        <v/>
      </c>
      <c r="M4030" s="0" t="str">
        <f aca="false">IF(A4030="","",IF(COUNTIFS($C$2:$C$5001,C4030,$J$2:$J$5001,J4030,$A$2:$A$5001,"&lt;"&amp;A4030)=0,1,0))</f>
        <v/>
      </c>
    </row>
    <row r="4031" customFormat="false" ht="15" hidden="false" customHeight="false" outlineLevel="0" collapsed="false">
      <c r="A4031" s="27"/>
      <c r="F4031" s="28"/>
      <c r="J4031" s="0" t="str">
        <f aca="false">IF(A4031="","",YEAR(A4031))</f>
        <v/>
      </c>
      <c r="K4031" s="0" t="str">
        <f aca="false">IF(A4031="","",MONTH(A4031))</f>
        <v/>
      </c>
      <c r="L4031" s="0" t="str">
        <f aca="false">IF(B4031="","",VALUE(LEFT(B4031,2)))</f>
        <v/>
      </c>
      <c r="M4031" s="0" t="str">
        <f aca="false">IF(A4031="","",IF(COUNTIFS($C$2:$C$5001,C4031,$J$2:$J$5001,J4031,$A$2:$A$5001,"&lt;"&amp;A4031)=0,1,0))</f>
        <v/>
      </c>
    </row>
    <row r="4032" customFormat="false" ht="15" hidden="false" customHeight="false" outlineLevel="0" collapsed="false">
      <c r="A4032" s="27"/>
      <c r="F4032" s="28"/>
      <c r="J4032" s="0" t="str">
        <f aca="false">IF(A4032="","",YEAR(A4032))</f>
        <v/>
      </c>
      <c r="K4032" s="0" t="str">
        <f aca="false">IF(A4032="","",MONTH(A4032))</f>
        <v/>
      </c>
      <c r="L4032" s="0" t="str">
        <f aca="false">IF(B4032="","",VALUE(LEFT(B4032,2)))</f>
        <v/>
      </c>
      <c r="M4032" s="0" t="str">
        <f aca="false">IF(A4032="","",IF(COUNTIFS($C$2:$C$5001,C4032,$J$2:$J$5001,J4032,$A$2:$A$5001,"&lt;"&amp;A4032)=0,1,0))</f>
        <v/>
      </c>
    </row>
    <row r="4033" customFormat="false" ht="15" hidden="false" customHeight="false" outlineLevel="0" collapsed="false">
      <c r="A4033" s="27"/>
      <c r="F4033" s="28"/>
      <c r="J4033" s="0" t="str">
        <f aca="false">IF(A4033="","",YEAR(A4033))</f>
        <v/>
      </c>
      <c r="K4033" s="0" t="str">
        <f aca="false">IF(A4033="","",MONTH(A4033))</f>
        <v/>
      </c>
      <c r="L4033" s="0" t="str">
        <f aca="false">IF(B4033="","",VALUE(LEFT(B4033,2)))</f>
        <v/>
      </c>
      <c r="M4033" s="0" t="str">
        <f aca="false">IF(A4033="","",IF(COUNTIFS($C$2:$C$5001,C4033,$J$2:$J$5001,J4033,$A$2:$A$5001,"&lt;"&amp;A4033)=0,1,0))</f>
        <v/>
      </c>
    </row>
    <row r="4034" customFormat="false" ht="15" hidden="false" customHeight="false" outlineLevel="0" collapsed="false">
      <c r="A4034" s="27"/>
      <c r="F4034" s="28"/>
      <c r="J4034" s="0" t="str">
        <f aca="false">IF(A4034="","",YEAR(A4034))</f>
        <v/>
      </c>
      <c r="K4034" s="0" t="str">
        <f aca="false">IF(A4034="","",MONTH(A4034))</f>
        <v/>
      </c>
      <c r="L4034" s="0" t="str">
        <f aca="false">IF(B4034="","",VALUE(LEFT(B4034,2)))</f>
        <v/>
      </c>
      <c r="M4034" s="0" t="str">
        <f aca="false">IF(A4034="","",IF(COUNTIFS($C$2:$C$5001,C4034,$J$2:$J$5001,J4034,$A$2:$A$5001,"&lt;"&amp;A4034)=0,1,0))</f>
        <v/>
      </c>
    </row>
    <row r="4035" customFormat="false" ht="15" hidden="false" customHeight="false" outlineLevel="0" collapsed="false">
      <c r="A4035" s="27"/>
      <c r="F4035" s="28"/>
      <c r="J4035" s="0" t="str">
        <f aca="false">IF(A4035="","",YEAR(A4035))</f>
        <v/>
      </c>
      <c r="K4035" s="0" t="str">
        <f aca="false">IF(A4035="","",MONTH(A4035))</f>
        <v/>
      </c>
      <c r="L4035" s="0" t="str">
        <f aca="false">IF(B4035="","",VALUE(LEFT(B4035,2)))</f>
        <v/>
      </c>
      <c r="M4035" s="0" t="str">
        <f aca="false">IF(A4035="","",IF(COUNTIFS($C$2:$C$5001,C4035,$J$2:$J$5001,J4035,$A$2:$A$5001,"&lt;"&amp;A4035)=0,1,0))</f>
        <v/>
      </c>
    </row>
    <row r="4036" customFormat="false" ht="15" hidden="false" customHeight="false" outlineLevel="0" collapsed="false">
      <c r="A4036" s="27"/>
      <c r="F4036" s="28"/>
      <c r="J4036" s="0" t="str">
        <f aca="false">IF(A4036="","",YEAR(A4036))</f>
        <v/>
      </c>
      <c r="K4036" s="0" t="str">
        <f aca="false">IF(A4036="","",MONTH(A4036))</f>
        <v/>
      </c>
      <c r="L4036" s="0" t="str">
        <f aca="false">IF(B4036="","",VALUE(LEFT(B4036,2)))</f>
        <v/>
      </c>
      <c r="M4036" s="0" t="str">
        <f aca="false">IF(A4036="","",IF(COUNTIFS($C$2:$C$5001,C4036,$J$2:$J$5001,J4036,$A$2:$A$5001,"&lt;"&amp;A4036)=0,1,0))</f>
        <v/>
      </c>
    </row>
    <row r="4037" customFormat="false" ht="15" hidden="false" customHeight="false" outlineLevel="0" collapsed="false">
      <c r="A4037" s="27"/>
      <c r="F4037" s="28"/>
      <c r="J4037" s="0" t="str">
        <f aca="false">IF(A4037="","",YEAR(A4037))</f>
        <v/>
      </c>
      <c r="K4037" s="0" t="str">
        <f aca="false">IF(A4037="","",MONTH(A4037))</f>
        <v/>
      </c>
      <c r="L4037" s="0" t="str">
        <f aca="false">IF(B4037="","",VALUE(LEFT(B4037,2)))</f>
        <v/>
      </c>
      <c r="M4037" s="0" t="str">
        <f aca="false">IF(A4037="","",IF(COUNTIFS($C$2:$C$5001,C4037,$J$2:$J$5001,J4037,$A$2:$A$5001,"&lt;"&amp;A4037)=0,1,0))</f>
        <v/>
      </c>
    </row>
    <row r="4038" customFormat="false" ht="15" hidden="false" customHeight="false" outlineLevel="0" collapsed="false">
      <c r="A4038" s="27"/>
      <c r="F4038" s="28"/>
      <c r="J4038" s="0" t="str">
        <f aca="false">IF(A4038="","",YEAR(A4038))</f>
        <v/>
      </c>
      <c r="K4038" s="0" t="str">
        <f aca="false">IF(A4038="","",MONTH(A4038))</f>
        <v/>
      </c>
      <c r="L4038" s="0" t="str">
        <f aca="false">IF(B4038="","",VALUE(LEFT(B4038,2)))</f>
        <v/>
      </c>
      <c r="M4038" s="0" t="str">
        <f aca="false">IF(A4038="","",IF(COUNTIFS($C$2:$C$5001,C4038,$J$2:$J$5001,J4038,$A$2:$A$5001,"&lt;"&amp;A4038)=0,1,0))</f>
        <v/>
      </c>
    </row>
    <row r="4039" customFormat="false" ht="15" hidden="false" customHeight="false" outlineLevel="0" collapsed="false">
      <c r="A4039" s="27"/>
      <c r="F4039" s="28"/>
      <c r="J4039" s="0" t="str">
        <f aca="false">IF(A4039="","",YEAR(A4039))</f>
        <v/>
      </c>
      <c r="K4039" s="0" t="str">
        <f aca="false">IF(A4039="","",MONTH(A4039))</f>
        <v/>
      </c>
      <c r="L4039" s="0" t="str">
        <f aca="false">IF(B4039="","",VALUE(LEFT(B4039,2)))</f>
        <v/>
      </c>
      <c r="M4039" s="0" t="str">
        <f aca="false">IF(A4039="","",IF(COUNTIFS($C$2:$C$5001,C4039,$J$2:$J$5001,J4039,$A$2:$A$5001,"&lt;"&amp;A4039)=0,1,0))</f>
        <v/>
      </c>
    </row>
    <row r="4040" customFormat="false" ht="15" hidden="false" customHeight="false" outlineLevel="0" collapsed="false">
      <c r="A4040" s="27"/>
      <c r="F4040" s="28"/>
      <c r="J4040" s="0" t="str">
        <f aca="false">IF(A4040="","",YEAR(A4040))</f>
        <v/>
      </c>
      <c r="K4040" s="0" t="str">
        <f aca="false">IF(A4040="","",MONTH(A4040))</f>
        <v/>
      </c>
      <c r="L4040" s="0" t="str">
        <f aca="false">IF(B4040="","",VALUE(LEFT(B4040,2)))</f>
        <v/>
      </c>
      <c r="M4040" s="0" t="str">
        <f aca="false">IF(A4040="","",IF(COUNTIFS($C$2:$C$5001,C4040,$J$2:$J$5001,J4040,$A$2:$A$5001,"&lt;"&amp;A4040)=0,1,0))</f>
        <v/>
      </c>
    </row>
    <row r="4041" customFormat="false" ht="15" hidden="false" customHeight="false" outlineLevel="0" collapsed="false">
      <c r="A4041" s="27"/>
      <c r="F4041" s="28"/>
      <c r="J4041" s="0" t="str">
        <f aca="false">IF(A4041="","",YEAR(A4041))</f>
        <v/>
      </c>
      <c r="K4041" s="0" t="str">
        <f aca="false">IF(A4041="","",MONTH(A4041))</f>
        <v/>
      </c>
      <c r="L4041" s="0" t="str">
        <f aca="false">IF(B4041="","",VALUE(LEFT(B4041,2)))</f>
        <v/>
      </c>
      <c r="M4041" s="0" t="str">
        <f aca="false">IF(A4041="","",IF(COUNTIFS($C$2:$C$5001,C4041,$J$2:$J$5001,J4041,$A$2:$A$5001,"&lt;"&amp;A4041)=0,1,0))</f>
        <v/>
      </c>
    </row>
    <row r="4042" customFormat="false" ht="15" hidden="false" customHeight="false" outlineLevel="0" collapsed="false">
      <c r="A4042" s="27"/>
      <c r="F4042" s="28"/>
      <c r="J4042" s="0" t="str">
        <f aca="false">IF(A4042="","",YEAR(A4042))</f>
        <v/>
      </c>
      <c r="K4042" s="0" t="str">
        <f aca="false">IF(A4042="","",MONTH(A4042))</f>
        <v/>
      </c>
      <c r="L4042" s="0" t="str">
        <f aca="false">IF(B4042="","",VALUE(LEFT(B4042,2)))</f>
        <v/>
      </c>
      <c r="M4042" s="0" t="str">
        <f aca="false">IF(A4042="","",IF(COUNTIFS($C$2:$C$5001,C4042,$J$2:$J$5001,J4042,$A$2:$A$5001,"&lt;"&amp;A4042)=0,1,0))</f>
        <v/>
      </c>
    </row>
    <row r="4043" customFormat="false" ht="15" hidden="false" customHeight="false" outlineLevel="0" collapsed="false">
      <c r="A4043" s="27"/>
      <c r="F4043" s="28"/>
      <c r="J4043" s="0" t="str">
        <f aca="false">IF(A4043="","",YEAR(A4043))</f>
        <v/>
      </c>
      <c r="K4043" s="0" t="str">
        <f aca="false">IF(A4043="","",MONTH(A4043))</f>
        <v/>
      </c>
      <c r="L4043" s="0" t="str">
        <f aca="false">IF(B4043="","",VALUE(LEFT(B4043,2)))</f>
        <v/>
      </c>
      <c r="M4043" s="0" t="str">
        <f aca="false">IF(A4043="","",IF(COUNTIFS($C$2:$C$5001,C4043,$J$2:$J$5001,J4043,$A$2:$A$5001,"&lt;"&amp;A4043)=0,1,0))</f>
        <v/>
      </c>
    </row>
    <row r="4044" customFormat="false" ht="15" hidden="false" customHeight="false" outlineLevel="0" collapsed="false">
      <c r="A4044" s="27"/>
      <c r="F4044" s="28"/>
      <c r="J4044" s="0" t="str">
        <f aca="false">IF(A4044="","",YEAR(A4044))</f>
        <v/>
      </c>
      <c r="K4044" s="0" t="str">
        <f aca="false">IF(A4044="","",MONTH(A4044))</f>
        <v/>
      </c>
      <c r="L4044" s="0" t="str">
        <f aca="false">IF(B4044="","",VALUE(LEFT(B4044,2)))</f>
        <v/>
      </c>
      <c r="M4044" s="0" t="str">
        <f aca="false">IF(A4044="","",IF(COUNTIFS($C$2:$C$5001,C4044,$J$2:$J$5001,J4044,$A$2:$A$5001,"&lt;"&amp;A4044)=0,1,0))</f>
        <v/>
      </c>
    </row>
    <row r="4045" customFormat="false" ht="15" hidden="false" customHeight="false" outlineLevel="0" collapsed="false">
      <c r="A4045" s="27"/>
      <c r="F4045" s="28"/>
      <c r="J4045" s="0" t="str">
        <f aca="false">IF(A4045="","",YEAR(A4045))</f>
        <v/>
      </c>
      <c r="K4045" s="0" t="str">
        <f aca="false">IF(A4045="","",MONTH(A4045))</f>
        <v/>
      </c>
      <c r="L4045" s="0" t="str">
        <f aca="false">IF(B4045="","",VALUE(LEFT(B4045,2)))</f>
        <v/>
      </c>
      <c r="M4045" s="0" t="str">
        <f aca="false">IF(A4045="","",IF(COUNTIFS($C$2:$C$5001,C4045,$J$2:$J$5001,J4045,$A$2:$A$5001,"&lt;"&amp;A4045)=0,1,0))</f>
        <v/>
      </c>
    </row>
    <row r="4046" customFormat="false" ht="15" hidden="false" customHeight="false" outlineLevel="0" collapsed="false">
      <c r="A4046" s="27"/>
      <c r="F4046" s="28"/>
      <c r="J4046" s="0" t="str">
        <f aca="false">IF(A4046="","",YEAR(A4046))</f>
        <v/>
      </c>
      <c r="K4046" s="0" t="str">
        <f aca="false">IF(A4046="","",MONTH(A4046))</f>
        <v/>
      </c>
      <c r="L4046" s="0" t="str">
        <f aca="false">IF(B4046="","",VALUE(LEFT(B4046,2)))</f>
        <v/>
      </c>
      <c r="M4046" s="0" t="str">
        <f aca="false">IF(A4046="","",IF(COUNTIFS($C$2:$C$5001,C4046,$J$2:$J$5001,J4046,$A$2:$A$5001,"&lt;"&amp;A4046)=0,1,0))</f>
        <v/>
      </c>
    </row>
    <row r="4047" customFormat="false" ht="15" hidden="false" customHeight="false" outlineLevel="0" collapsed="false">
      <c r="A4047" s="27"/>
      <c r="F4047" s="28"/>
      <c r="J4047" s="0" t="str">
        <f aca="false">IF(A4047="","",YEAR(A4047))</f>
        <v/>
      </c>
      <c r="K4047" s="0" t="str">
        <f aca="false">IF(A4047="","",MONTH(A4047))</f>
        <v/>
      </c>
      <c r="L4047" s="0" t="str">
        <f aca="false">IF(B4047="","",VALUE(LEFT(B4047,2)))</f>
        <v/>
      </c>
      <c r="M4047" s="0" t="str">
        <f aca="false">IF(A4047="","",IF(COUNTIFS($C$2:$C$5001,C4047,$J$2:$J$5001,J4047,$A$2:$A$5001,"&lt;"&amp;A4047)=0,1,0))</f>
        <v/>
      </c>
    </row>
    <row r="4048" customFormat="false" ht="15" hidden="false" customHeight="false" outlineLevel="0" collapsed="false">
      <c r="A4048" s="27"/>
      <c r="F4048" s="28"/>
      <c r="J4048" s="0" t="str">
        <f aca="false">IF(A4048="","",YEAR(A4048))</f>
        <v/>
      </c>
      <c r="K4048" s="0" t="str">
        <f aca="false">IF(A4048="","",MONTH(A4048))</f>
        <v/>
      </c>
      <c r="L4048" s="0" t="str">
        <f aca="false">IF(B4048="","",VALUE(LEFT(B4048,2)))</f>
        <v/>
      </c>
      <c r="M4048" s="0" t="str">
        <f aca="false">IF(A4048="","",IF(COUNTIFS($C$2:$C$5001,C4048,$J$2:$J$5001,J4048,$A$2:$A$5001,"&lt;"&amp;A4048)=0,1,0))</f>
        <v/>
      </c>
    </row>
    <row r="4049" customFormat="false" ht="15" hidden="false" customHeight="false" outlineLevel="0" collapsed="false">
      <c r="A4049" s="27"/>
      <c r="F4049" s="28"/>
      <c r="J4049" s="0" t="str">
        <f aca="false">IF(A4049="","",YEAR(A4049))</f>
        <v/>
      </c>
      <c r="K4049" s="0" t="str">
        <f aca="false">IF(A4049="","",MONTH(A4049))</f>
        <v/>
      </c>
      <c r="L4049" s="0" t="str">
        <f aca="false">IF(B4049="","",VALUE(LEFT(B4049,2)))</f>
        <v/>
      </c>
      <c r="M4049" s="0" t="str">
        <f aca="false">IF(A4049="","",IF(COUNTIFS($C$2:$C$5001,C4049,$J$2:$J$5001,J4049,$A$2:$A$5001,"&lt;"&amp;A4049)=0,1,0))</f>
        <v/>
      </c>
    </row>
    <row r="4050" customFormat="false" ht="15" hidden="false" customHeight="false" outlineLevel="0" collapsed="false">
      <c r="A4050" s="27"/>
      <c r="F4050" s="28"/>
      <c r="J4050" s="0" t="str">
        <f aca="false">IF(A4050="","",YEAR(A4050))</f>
        <v/>
      </c>
      <c r="K4050" s="0" t="str">
        <f aca="false">IF(A4050="","",MONTH(A4050))</f>
        <v/>
      </c>
      <c r="L4050" s="0" t="str">
        <f aca="false">IF(B4050="","",VALUE(LEFT(B4050,2)))</f>
        <v/>
      </c>
      <c r="M4050" s="0" t="str">
        <f aca="false">IF(A4050="","",IF(COUNTIFS($C$2:$C$5001,C4050,$J$2:$J$5001,J4050,$A$2:$A$5001,"&lt;"&amp;A4050)=0,1,0))</f>
        <v/>
      </c>
    </row>
    <row r="4051" customFormat="false" ht="15" hidden="false" customHeight="false" outlineLevel="0" collapsed="false">
      <c r="A4051" s="27"/>
      <c r="F4051" s="28"/>
      <c r="J4051" s="0" t="str">
        <f aca="false">IF(A4051="","",YEAR(A4051))</f>
        <v/>
      </c>
      <c r="K4051" s="0" t="str">
        <f aca="false">IF(A4051="","",MONTH(A4051))</f>
        <v/>
      </c>
      <c r="L4051" s="0" t="str">
        <f aca="false">IF(B4051="","",VALUE(LEFT(B4051,2)))</f>
        <v/>
      </c>
      <c r="M4051" s="0" t="str">
        <f aca="false">IF(A4051="","",IF(COUNTIFS($C$2:$C$5001,C4051,$J$2:$J$5001,J4051,$A$2:$A$5001,"&lt;"&amp;A4051)=0,1,0))</f>
        <v/>
      </c>
    </row>
    <row r="4052" customFormat="false" ht="15" hidden="false" customHeight="false" outlineLevel="0" collapsed="false">
      <c r="A4052" s="27"/>
      <c r="F4052" s="28"/>
      <c r="J4052" s="0" t="str">
        <f aca="false">IF(A4052="","",YEAR(A4052))</f>
        <v/>
      </c>
      <c r="K4052" s="0" t="str">
        <f aca="false">IF(A4052="","",MONTH(A4052))</f>
        <v/>
      </c>
      <c r="L4052" s="0" t="str">
        <f aca="false">IF(B4052="","",VALUE(LEFT(B4052,2)))</f>
        <v/>
      </c>
      <c r="M4052" s="0" t="str">
        <f aca="false">IF(A4052="","",IF(COUNTIFS($C$2:$C$5001,C4052,$J$2:$J$5001,J4052,$A$2:$A$5001,"&lt;"&amp;A4052)=0,1,0))</f>
        <v/>
      </c>
    </row>
    <row r="4053" customFormat="false" ht="15" hidden="false" customHeight="false" outlineLevel="0" collapsed="false">
      <c r="A4053" s="27"/>
      <c r="F4053" s="28"/>
      <c r="J4053" s="0" t="str">
        <f aca="false">IF(A4053="","",YEAR(A4053))</f>
        <v/>
      </c>
      <c r="K4053" s="0" t="str">
        <f aca="false">IF(A4053="","",MONTH(A4053))</f>
        <v/>
      </c>
      <c r="L4053" s="0" t="str">
        <f aca="false">IF(B4053="","",VALUE(LEFT(B4053,2)))</f>
        <v/>
      </c>
      <c r="M4053" s="0" t="str">
        <f aca="false">IF(A4053="","",IF(COUNTIFS($C$2:$C$5001,C4053,$J$2:$J$5001,J4053,$A$2:$A$5001,"&lt;"&amp;A4053)=0,1,0))</f>
        <v/>
      </c>
    </row>
    <row r="4054" customFormat="false" ht="15" hidden="false" customHeight="false" outlineLevel="0" collapsed="false">
      <c r="A4054" s="27"/>
      <c r="F4054" s="28"/>
      <c r="J4054" s="0" t="str">
        <f aca="false">IF(A4054="","",YEAR(A4054))</f>
        <v/>
      </c>
      <c r="K4054" s="0" t="str">
        <f aca="false">IF(A4054="","",MONTH(A4054))</f>
        <v/>
      </c>
      <c r="L4054" s="0" t="str">
        <f aca="false">IF(B4054="","",VALUE(LEFT(B4054,2)))</f>
        <v/>
      </c>
      <c r="M4054" s="0" t="str">
        <f aca="false">IF(A4054="","",IF(COUNTIFS($C$2:$C$5001,C4054,$J$2:$J$5001,J4054,$A$2:$A$5001,"&lt;"&amp;A4054)=0,1,0))</f>
        <v/>
      </c>
    </row>
    <row r="4055" customFormat="false" ht="15" hidden="false" customHeight="false" outlineLevel="0" collapsed="false">
      <c r="A4055" s="27"/>
      <c r="F4055" s="28"/>
      <c r="J4055" s="0" t="str">
        <f aca="false">IF(A4055="","",YEAR(A4055))</f>
        <v/>
      </c>
      <c r="K4055" s="0" t="str">
        <f aca="false">IF(A4055="","",MONTH(A4055))</f>
        <v/>
      </c>
      <c r="L4055" s="0" t="str">
        <f aca="false">IF(B4055="","",VALUE(LEFT(B4055,2)))</f>
        <v/>
      </c>
      <c r="M4055" s="0" t="str">
        <f aca="false">IF(A4055="","",IF(COUNTIFS($C$2:$C$5001,C4055,$J$2:$J$5001,J4055,$A$2:$A$5001,"&lt;"&amp;A4055)=0,1,0))</f>
        <v/>
      </c>
    </row>
    <row r="4056" customFormat="false" ht="15" hidden="false" customHeight="false" outlineLevel="0" collapsed="false">
      <c r="A4056" s="27"/>
      <c r="F4056" s="28"/>
      <c r="J4056" s="0" t="str">
        <f aca="false">IF(A4056="","",YEAR(A4056))</f>
        <v/>
      </c>
      <c r="K4056" s="0" t="str">
        <f aca="false">IF(A4056="","",MONTH(A4056))</f>
        <v/>
      </c>
      <c r="L4056" s="0" t="str">
        <f aca="false">IF(B4056="","",VALUE(LEFT(B4056,2)))</f>
        <v/>
      </c>
      <c r="M4056" s="0" t="str">
        <f aca="false">IF(A4056="","",IF(COUNTIFS($C$2:$C$5001,C4056,$J$2:$J$5001,J4056,$A$2:$A$5001,"&lt;"&amp;A4056)=0,1,0))</f>
        <v/>
      </c>
    </row>
    <row r="4057" customFormat="false" ht="15" hidden="false" customHeight="false" outlineLevel="0" collapsed="false">
      <c r="A4057" s="27"/>
      <c r="F4057" s="28"/>
      <c r="J4057" s="0" t="str">
        <f aca="false">IF(A4057="","",YEAR(A4057))</f>
        <v/>
      </c>
      <c r="K4057" s="0" t="str">
        <f aca="false">IF(A4057="","",MONTH(A4057))</f>
        <v/>
      </c>
      <c r="L4057" s="0" t="str">
        <f aca="false">IF(B4057="","",VALUE(LEFT(B4057,2)))</f>
        <v/>
      </c>
      <c r="M4057" s="0" t="str">
        <f aca="false">IF(A4057="","",IF(COUNTIFS($C$2:$C$5001,C4057,$J$2:$J$5001,J4057,$A$2:$A$5001,"&lt;"&amp;A4057)=0,1,0))</f>
        <v/>
      </c>
    </row>
    <row r="4058" customFormat="false" ht="15" hidden="false" customHeight="false" outlineLevel="0" collapsed="false">
      <c r="A4058" s="27"/>
      <c r="F4058" s="28"/>
      <c r="J4058" s="0" t="str">
        <f aca="false">IF(A4058="","",YEAR(A4058))</f>
        <v/>
      </c>
      <c r="K4058" s="0" t="str">
        <f aca="false">IF(A4058="","",MONTH(A4058))</f>
        <v/>
      </c>
      <c r="L4058" s="0" t="str">
        <f aca="false">IF(B4058="","",VALUE(LEFT(B4058,2)))</f>
        <v/>
      </c>
      <c r="M4058" s="0" t="str">
        <f aca="false">IF(A4058="","",IF(COUNTIFS($C$2:$C$5001,C4058,$J$2:$J$5001,J4058,$A$2:$A$5001,"&lt;"&amp;A4058)=0,1,0))</f>
        <v/>
      </c>
    </row>
    <row r="4059" customFormat="false" ht="15" hidden="false" customHeight="false" outlineLevel="0" collapsed="false">
      <c r="A4059" s="27"/>
      <c r="F4059" s="28"/>
      <c r="J4059" s="0" t="str">
        <f aca="false">IF(A4059="","",YEAR(A4059))</f>
        <v/>
      </c>
      <c r="K4059" s="0" t="str">
        <f aca="false">IF(A4059="","",MONTH(A4059))</f>
        <v/>
      </c>
      <c r="L4059" s="0" t="str">
        <f aca="false">IF(B4059="","",VALUE(LEFT(B4059,2)))</f>
        <v/>
      </c>
      <c r="M4059" s="0" t="str">
        <f aca="false">IF(A4059="","",IF(COUNTIFS($C$2:$C$5001,C4059,$J$2:$J$5001,J4059,$A$2:$A$5001,"&lt;"&amp;A4059)=0,1,0))</f>
        <v/>
      </c>
    </row>
    <row r="4060" customFormat="false" ht="15" hidden="false" customHeight="false" outlineLevel="0" collapsed="false">
      <c r="A4060" s="27"/>
      <c r="F4060" s="28"/>
      <c r="J4060" s="0" t="str">
        <f aca="false">IF(A4060="","",YEAR(A4060))</f>
        <v/>
      </c>
      <c r="K4060" s="0" t="str">
        <f aca="false">IF(A4060="","",MONTH(A4060))</f>
        <v/>
      </c>
      <c r="L4060" s="0" t="str">
        <f aca="false">IF(B4060="","",VALUE(LEFT(B4060,2)))</f>
        <v/>
      </c>
      <c r="M4060" s="0" t="str">
        <f aca="false">IF(A4060="","",IF(COUNTIFS($C$2:$C$5001,C4060,$J$2:$J$5001,J4060,$A$2:$A$5001,"&lt;"&amp;A4060)=0,1,0))</f>
        <v/>
      </c>
    </row>
    <row r="4061" customFormat="false" ht="15" hidden="false" customHeight="false" outlineLevel="0" collapsed="false">
      <c r="A4061" s="27"/>
      <c r="F4061" s="28"/>
      <c r="J4061" s="0" t="str">
        <f aca="false">IF(A4061="","",YEAR(A4061))</f>
        <v/>
      </c>
      <c r="K4061" s="0" t="str">
        <f aca="false">IF(A4061="","",MONTH(A4061))</f>
        <v/>
      </c>
      <c r="L4061" s="0" t="str">
        <f aca="false">IF(B4061="","",VALUE(LEFT(B4061,2)))</f>
        <v/>
      </c>
      <c r="M4061" s="0" t="str">
        <f aca="false">IF(A4061="","",IF(COUNTIFS($C$2:$C$5001,C4061,$J$2:$J$5001,J4061,$A$2:$A$5001,"&lt;"&amp;A4061)=0,1,0))</f>
        <v/>
      </c>
    </row>
    <row r="4062" customFormat="false" ht="15" hidden="false" customHeight="false" outlineLevel="0" collapsed="false">
      <c r="A4062" s="27"/>
      <c r="F4062" s="28"/>
      <c r="J4062" s="0" t="str">
        <f aca="false">IF(A4062="","",YEAR(A4062))</f>
        <v/>
      </c>
      <c r="K4062" s="0" t="str">
        <f aca="false">IF(A4062="","",MONTH(A4062))</f>
        <v/>
      </c>
      <c r="L4062" s="0" t="str">
        <f aca="false">IF(B4062="","",VALUE(LEFT(B4062,2)))</f>
        <v/>
      </c>
      <c r="M4062" s="0" t="str">
        <f aca="false">IF(A4062="","",IF(COUNTIFS($C$2:$C$5001,C4062,$J$2:$J$5001,J4062,$A$2:$A$5001,"&lt;"&amp;A4062)=0,1,0))</f>
        <v/>
      </c>
    </row>
    <row r="4063" customFormat="false" ht="15" hidden="false" customHeight="false" outlineLevel="0" collapsed="false">
      <c r="A4063" s="27"/>
      <c r="F4063" s="28"/>
      <c r="J4063" s="0" t="str">
        <f aca="false">IF(A4063="","",YEAR(A4063))</f>
        <v/>
      </c>
      <c r="K4063" s="0" t="str">
        <f aca="false">IF(A4063="","",MONTH(A4063))</f>
        <v/>
      </c>
      <c r="L4063" s="0" t="str">
        <f aca="false">IF(B4063="","",VALUE(LEFT(B4063,2)))</f>
        <v/>
      </c>
      <c r="M4063" s="0" t="str">
        <f aca="false">IF(A4063="","",IF(COUNTIFS($C$2:$C$5001,C4063,$J$2:$J$5001,J4063,$A$2:$A$5001,"&lt;"&amp;A4063)=0,1,0))</f>
        <v/>
      </c>
    </row>
    <row r="4064" customFormat="false" ht="15" hidden="false" customHeight="false" outlineLevel="0" collapsed="false">
      <c r="A4064" s="27"/>
      <c r="F4064" s="28"/>
      <c r="J4064" s="0" t="str">
        <f aca="false">IF(A4064="","",YEAR(A4064))</f>
        <v/>
      </c>
      <c r="K4064" s="0" t="str">
        <f aca="false">IF(A4064="","",MONTH(A4064))</f>
        <v/>
      </c>
      <c r="L4064" s="0" t="str">
        <f aca="false">IF(B4064="","",VALUE(LEFT(B4064,2)))</f>
        <v/>
      </c>
      <c r="M4064" s="0" t="str">
        <f aca="false">IF(A4064="","",IF(COUNTIFS($C$2:$C$5001,C4064,$J$2:$J$5001,J4064,$A$2:$A$5001,"&lt;"&amp;A4064)=0,1,0))</f>
        <v/>
      </c>
    </row>
    <row r="4065" customFormat="false" ht="15" hidden="false" customHeight="false" outlineLevel="0" collapsed="false">
      <c r="A4065" s="27"/>
      <c r="F4065" s="28"/>
      <c r="J4065" s="0" t="str">
        <f aca="false">IF(A4065="","",YEAR(A4065))</f>
        <v/>
      </c>
      <c r="K4065" s="0" t="str">
        <f aca="false">IF(A4065="","",MONTH(A4065))</f>
        <v/>
      </c>
      <c r="L4065" s="0" t="str">
        <f aca="false">IF(B4065="","",VALUE(LEFT(B4065,2)))</f>
        <v/>
      </c>
      <c r="M4065" s="0" t="str">
        <f aca="false">IF(A4065="","",IF(COUNTIFS($C$2:$C$5001,C4065,$J$2:$J$5001,J4065,$A$2:$A$5001,"&lt;"&amp;A4065)=0,1,0))</f>
        <v/>
      </c>
    </row>
    <row r="4066" customFormat="false" ht="15" hidden="false" customHeight="false" outlineLevel="0" collapsed="false">
      <c r="A4066" s="27"/>
      <c r="F4066" s="28"/>
      <c r="J4066" s="0" t="str">
        <f aca="false">IF(A4066="","",YEAR(A4066))</f>
        <v/>
      </c>
      <c r="K4066" s="0" t="str">
        <f aca="false">IF(A4066="","",MONTH(A4066))</f>
        <v/>
      </c>
      <c r="L4066" s="0" t="str">
        <f aca="false">IF(B4066="","",VALUE(LEFT(B4066,2)))</f>
        <v/>
      </c>
      <c r="M4066" s="0" t="str">
        <f aca="false">IF(A4066="","",IF(COUNTIFS($C$2:$C$5001,C4066,$J$2:$J$5001,J4066,$A$2:$A$5001,"&lt;"&amp;A4066)=0,1,0))</f>
        <v/>
      </c>
    </row>
    <row r="4067" customFormat="false" ht="15" hidden="false" customHeight="false" outlineLevel="0" collapsed="false">
      <c r="A4067" s="27"/>
      <c r="F4067" s="28"/>
      <c r="J4067" s="0" t="str">
        <f aca="false">IF(A4067="","",YEAR(A4067))</f>
        <v/>
      </c>
      <c r="K4067" s="0" t="str">
        <f aca="false">IF(A4067="","",MONTH(A4067))</f>
        <v/>
      </c>
      <c r="L4067" s="0" t="str">
        <f aca="false">IF(B4067="","",VALUE(LEFT(B4067,2)))</f>
        <v/>
      </c>
      <c r="M4067" s="0" t="str">
        <f aca="false">IF(A4067="","",IF(COUNTIFS($C$2:$C$5001,C4067,$J$2:$J$5001,J4067,$A$2:$A$5001,"&lt;"&amp;A4067)=0,1,0))</f>
        <v/>
      </c>
    </row>
    <row r="4068" customFormat="false" ht="15" hidden="false" customHeight="false" outlineLevel="0" collapsed="false">
      <c r="A4068" s="27"/>
      <c r="F4068" s="28"/>
      <c r="J4068" s="0" t="str">
        <f aca="false">IF(A4068="","",YEAR(A4068))</f>
        <v/>
      </c>
      <c r="K4068" s="0" t="str">
        <f aca="false">IF(A4068="","",MONTH(A4068))</f>
        <v/>
      </c>
      <c r="L4068" s="0" t="str">
        <f aca="false">IF(B4068="","",VALUE(LEFT(B4068,2)))</f>
        <v/>
      </c>
      <c r="M4068" s="0" t="str">
        <f aca="false">IF(A4068="","",IF(COUNTIFS($C$2:$C$5001,C4068,$J$2:$J$5001,J4068,$A$2:$A$5001,"&lt;"&amp;A4068)=0,1,0))</f>
        <v/>
      </c>
    </row>
    <row r="4069" customFormat="false" ht="15" hidden="false" customHeight="false" outlineLevel="0" collapsed="false">
      <c r="A4069" s="27"/>
      <c r="F4069" s="28"/>
      <c r="J4069" s="0" t="str">
        <f aca="false">IF(A4069="","",YEAR(A4069))</f>
        <v/>
      </c>
      <c r="K4069" s="0" t="str">
        <f aca="false">IF(A4069="","",MONTH(A4069))</f>
        <v/>
      </c>
      <c r="L4069" s="0" t="str">
        <f aca="false">IF(B4069="","",VALUE(LEFT(B4069,2)))</f>
        <v/>
      </c>
      <c r="M4069" s="0" t="str">
        <f aca="false">IF(A4069="","",IF(COUNTIFS($C$2:$C$5001,C4069,$J$2:$J$5001,J4069,$A$2:$A$5001,"&lt;"&amp;A4069)=0,1,0))</f>
        <v/>
      </c>
    </row>
    <row r="4070" customFormat="false" ht="15" hidden="false" customHeight="false" outlineLevel="0" collapsed="false">
      <c r="A4070" s="27"/>
      <c r="F4070" s="28"/>
      <c r="J4070" s="0" t="str">
        <f aca="false">IF(A4070="","",YEAR(A4070))</f>
        <v/>
      </c>
      <c r="K4070" s="0" t="str">
        <f aca="false">IF(A4070="","",MONTH(A4070))</f>
        <v/>
      </c>
      <c r="L4070" s="0" t="str">
        <f aca="false">IF(B4070="","",VALUE(LEFT(B4070,2)))</f>
        <v/>
      </c>
      <c r="M4070" s="0" t="str">
        <f aca="false">IF(A4070="","",IF(COUNTIFS($C$2:$C$5001,C4070,$J$2:$J$5001,J4070,$A$2:$A$5001,"&lt;"&amp;A4070)=0,1,0))</f>
        <v/>
      </c>
    </row>
    <row r="4071" customFormat="false" ht="15" hidden="false" customHeight="false" outlineLevel="0" collapsed="false">
      <c r="A4071" s="27"/>
      <c r="F4071" s="28"/>
      <c r="J4071" s="0" t="str">
        <f aca="false">IF(A4071="","",YEAR(A4071))</f>
        <v/>
      </c>
      <c r="K4071" s="0" t="str">
        <f aca="false">IF(A4071="","",MONTH(A4071))</f>
        <v/>
      </c>
      <c r="L4071" s="0" t="str">
        <f aca="false">IF(B4071="","",VALUE(LEFT(B4071,2)))</f>
        <v/>
      </c>
      <c r="M4071" s="0" t="str">
        <f aca="false">IF(A4071="","",IF(COUNTIFS($C$2:$C$5001,C4071,$J$2:$J$5001,J4071,$A$2:$A$5001,"&lt;"&amp;A4071)=0,1,0))</f>
        <v/>
      </c>
    </row>
    <row r="4072" customFormat="false" ht="15" hidden="false" customHeight="false" outlineLevel="0" collapsed="false">
      <c r="A4072" s="27"/>
      <c r="F4072" s="28"/>
      <c r="J4072" s="0" t="str">
        <f aca="false">IF(A4072="","",YEAR(A4072))</f>
        <v/>
      </c>
      <c r="K4072" s="0" t="str">
        <f aca="false">IF(A4072="","",MONTH(A4072))</f>
        <v/>
      </c>
      <c r="L4072" s="0" t="str">
        <f aca="false">IF(B4072="","",VALUE(LEFT(B4072,2)))</f>
        <v/>
      </c>
      <c r="M4072" s="0" t="str">
        <f aca="false">IF(A4072="","",IF(COUNTIFS($C$2:$C$5001,C4072,$J$2:$J$5001,J4072,$A$2:$A$5001,"&lt;"&amp;A4072)=0,1,0))</f>
        <v/>
      </c>
    </row>
    <row r="4073" customFormat="false" ht="15" hidden="false" customHeight="false" outlineLevel="0" collapsed="false">
      <c r="A4073" s="27"/>
      <c r="F4073" s="28"/>
      <c r="J4073" s="0" t="str">
        <f aca="false">IF(A4073="","",YEAR(A4073))</f>
        <v/>
      </c>
      <c r="K4073" s="0" t="str">
        <f aca="false">IF(A4073="","",MONTH(A4073))</f>
        <v/>
      </c>
      <c r="L4073" s="0" t="str">
        <f aca="false">IF(B4073="","",VALUE(LEFT(B4073,2)))</f>
        <v/>
      </c>
      <c r="M4073" s="0" t="str">
        <f aca="false">IF(A4073="","",IF(COUNTIFS($C$2:$C$5001,C4073,$J$2:$J$5001,J4073,$A$2:$A$5001,"&lt;"&amp;A4073)=0,1,0))</f>
        <v/>
      </c>
    </row>
    <row r="4074" customFormat="false" ht="15" hidden="false" customHeight="false" outlineLevel="0" collapsed="false">
      <c r="A4074" s="27"/>
      <c r="F4074" s="28"/>
      <c r="J4074" s="0" t="str">
        <f aca="false">IF(A4074="","",YEAR(A4074))</f>
        <v/>
      </c>
      <c r="K4074" s="0" t="str">
        <f aca="false">IF(A4074="","",MONTH(A4074))</f>
        <v/>
      </c>
      <c r="L4074" s="0" t="str">
        <f aca="false">IF(B4074="","",VALUE(LEFT(B4074,2)))</f>
        <v/>
      </c>
      <c r="M4074" s="0" t="str">
        <f aca="false">IF(A4074="","",IF(COUNTIFS($C$2:$C$5001,C4074,$J$2:$J$5001,J4074,$A$2:$A$5001,"&lt;"&amp;A4074)=0,1,0))</f>
        <v/>
      </c>
    </row>
    <row r="4075" customFormat="false" ht="15" hidden="false" customHeight="false" outlineLevel="0" collapsed="false">
      <c r="A4075" s="27"/>
      <c r="F4075" s="28"/>
      <c r="J4075" s="0" t="str">
        <f aca="false">IF(A4075="","",YEAR(A4075))</f>
        <v/>
      </c>
      <c r="K4075" s="0" t="str">
        <f aca="false">IF(A4075="","",MONTH(A4075))</f>
        <v/>
      </c>
      <c r="L4075" s="0" t="str">
        <f aca="false">IF(B4075="","",VALUE(LEFT(B4075,2)))</f>
        <v/>
      </c>
      <c r="M4075" s="0" t="str">
        <f aca="false">IF(A4075="","",IF(COUNTIFS($C$2:$C$5001,C4075,$J$2:$J$5001,J4075,$A$2:$A$5001,"&lt;"&amp;A4075)=0,1,0))</f>
        <v/>
      </c>
    </row>
    <row r="4076" customFormat="false" ht="15" hidden="false" customHeight="false" outlineLevel="0" collapsed="false">
      <c r="A4076" s="27"/>
      <c r="F4076" s="28"/>
      <c r="J4076" s="0" t="str">
        <f aca="false">IF(A4076="","",YEAR(A4076))</f>
        <v/>
      </c>
      <c r="K4076" s="0" t="str">
        <f aca="false">IF(A4076="","",MONTH(A4076))</f>
        <v/>
      </c>
      <c r="L4076" s="0" t="str">
        <f aca="false">IF(B4076="","",VALUE(LEFT(B4076,2)))</f>
        <v/>
      </c>
      <c r="M4076" s="0" t="str">
        <f aca="false">IF(A4076="","",IF(COUNTIFS($C$2:$C$5001,C4076,$J$2:$J$5001,J4076,$A$2:$A$5001,"&lt;"&amp;A4076)=0,1,0))</f>
        <v/>
      </c>
    </row>
    <row r="4077" customFormat="false" ht="15" hidden="false" customHeight="false" outlineLevel="0" collapsed="false">
      <c r="A4077" s="27"/>
      <c r="F4077" s="28"/>
      <c r="J4077" s="0" t="str">
        <f aca="false">IF(A4077="","",YEAR(A4077))</f>
        <v/>
      </c>
      <c r="K4077" s="0" t="str">
        <f aca="false">IF(A4077="","",MONTH(A4077))</f>
        <v/>
      </c>
      <c r="L4077" s="0" t="str">
        <f aca="false">IF(B4077="","",VALUE(LEFT(B4077,2)))</f>
        <v/>
      </c>
      <c r="M4077" s="0" t="str">
        <f aca="false">IF(A4077="","",IF(COUNTIFS($C$2:$C$5001,C4077,$J$2:$J$5001,J4077,$A$2:$A$5001,"&lt;"&amp;A4077)=0,1,0))</f>
        <v/>
      </c>
    </row>
    <row r="4078" customFormat="false" ht="15" hidden="false" customHeight="false" outlineLevel="0" collapsed="false">
      <c r="A4078" s="27"/>
      <c r="F4078" s="28"/>
      <c r="J4078" s="0" t="str">
        <f aca="false">IF(A4078="","",YEAR(A4078))</f>
        <v/>
      </c>
      <c r="K4078" s="0" t="str">
        <f aca="false">IF(A4078="","",MONTH(A4078))</f>
        <v/>
      </c>
      <c r="L4078" s="0" t="str">
        <f aca="false">IF(B4078="","",VALUE(LEFT(B4078,2)))</f>
        <v/>
      </c>
      <c r="M4078" s="0" t="str">
        <f aca="false">IF(A4078="","",IF(COUNTIFS($C$2:$C$5001,C4078,$J$2:$J$5001,J4078,$A$2:$A$5001,"&lt;"&amp;A4078)=0,1,0))</f>
        <v/>
      </c>
    </row>
    <row r="4079" customFormat="false" ht="15" hidden="false" customHeight="false" outlineLevel="0" collapsed="false">
      <c r="A4079" s="27"/>
      <c r="F4079" s="28"/>
      <c r="J4079" s="0" t="str">
        <f aca="false">IF(A4079="","",YEAR(A4079))</f>
        <v/>
      </c>
      <c r="K4079" s="0" t="str">
        <f aca="false">IF(A4079="","",MONTH(A4079))</f>
        <v/>
      </c>
      <c r="L4079" s="0" t="str">
        <f aca="false">IF(B4079="","",VALUE(LEFT(B4079,2)))</f>
        <v/>
      </c>
      <c r="M4079" s="0" t="str">
        <f aca="false">IF(A4079="","",IF(COUNTIFS($C$2:$C$5001,C4079,$J$2:$J$5001,J4079,$A$2:$A$5001,"&lt;"&amp;A4079)=0,1,0))</f>
        <v/>
      </c>
    </row>
    <row r="4080" customFormat="false" ht="15" hidden="false" customHeight="false" outlineLevel="0" collapsed="false">
      <c r="A4080" s="27"/>
      <c r="F4080" s="28"/>
      <c r="J4080" s="0" t="str">
        <f aca="false">IF(A4080="","",YEAR(A4080))</f>
        <v/>
      </c>
      <c r="K4080" s="0" t="str">
        <f aca="false">IF(A4080="","",MONTH(A4080))</f>
        <v/>
      </c>
      <c r="L4080" s="0" t="str">
        <f aca="false">IF(B4080="","",VALUE(LEFT(B4080,2)))</f>
        <v/>
      </c>
      <c r="M4080" s="0" t="str">
        <f aca="false">IF(A4080="","",IF(COUNTIFS($C$2:$C$5001,C4080,$J$2:$J$5001,J4080,$A$2:$A$5001,"&lt;"&amp;A4080)=0,1,0))</f>
        <v/>
      </c>
    </row>
    <row r="4081" customFormat="false" ht="15" hidden="false" customHeight="false" outlineLevel="0" collapsed="false">
      <c r="A4081" s="27"/>
      <c r="F4081" s="28"/>
      <c r="J4081" s="0" t="str">
        <f aca="false">IF(A4081="","",YEAR(A4081))</f>
        <v/>
      </c>
      <c r="K4081" s="0" t="str">
        <f aca="false">IF(A4081="","",MONTH(A4081))</f>
        <v/>
      </c>
      <c r="L4081" s="0" t="str">
        <f aca="false">IF(B4081="","",VALUE(LEFT(B4081,2)))</f>
        <v/>
      </c>
      <c r="M4081" s="0" t="str">
        <f aca="false">IF(A4081="","",IF(COUNTIFS($C$2:$C$5001,C4081,$J$2:$J$5001,J4081,$A$2:$A$5001,"&lt;"&amp;A4081)=0,1,0))</f>
        <v/>
      </c>
    </row>
    <row r="4082" customFormat="false" ht="15" hidden="false" customHeight="false" outlineLevel="0" collapsed="false">
      <c r="A4082" s="27"/>
      <c r="F4082" s="28"/>
      <c r="J4082" s="0" t="str">
        <f aca="false">IF(A4082="","",YEAR(A4082))</f>
        <v/>
      </c>
      <c r="K4082" s="0" t="str">
        <f aca="false">IF(A4082="","",MONTH(A4082))</f>
        <v/>
      </c>
      <c r="L4082" s="0" t="str">
        <f aca="false">IF(B4082="","",VALUE(LEFT(B4082,2)))</f>
        <v/>
      </c>
      <c r="M4082" s="0" t="str">
        <f aca="false">IF(A4082="","",IF(COUNTIFS($C$2:$C$5001,C4082,$J$2:$J$5001,J4082,$A$2:$A$5001,"&lt;"&amp;A4082)=0,1,0))</f>
        <v/>
      </c>
    </row>
    <row r="4083" customFormat="false" ht="15" hidden="false" customHeight="false" outlineLevel="0" collapsed="false">
      <c r="A4083" s="27"/>
      <c r="F4083" s="28"/>
      <c r="J4083" s="0" t="str">
        <f aca="false">IF(A4083="","",YEAR(A4083))</f>
        <v/>
      </c>
      <c r="K4083" s="0" t="str">
        <f aca="false">IF(A4083="","",MONTH(A4083))</f>
        <v/>
      </c>
      <c r="L4083" s="0" t="str">
        <f aca="false">IF(B4083="","",VALUE(LEFT(B4083,2)))</f>
        <v/>
      </c>
      <c r="M4083" s="0" t="str">
        <f aca="false">IF(A4083="","",IF(COUNTIFS($C$2:$C$5001,C4083,$J$2:$J$5001,J4083,$A$2:$A$5001,"&lt;"&amp;A4083)=0,1,0))</f>
        <v/>
      </c>
    </row>
    <row r="4084" customFormat="false" ht="15" hidden="false" customHeight="false" outlineLevel="0" collapsed="false">
      <c r="A4084" s="27"/>
      <c r="F4084" s="28"/>
      <c r="J4084" s="0" t="str">
        <f aca="false">IF(A4084="","",YEAR(A4084))</f>
        <v/>
      </c>
      <c r="K4084" s="0" t="str">
        <f aca="false">IF(A4084="","",MONTH(A4084))</f>
        <v/>
      </c>
      <c r="L4084" s="0" t="str">
        <f aca="false">IF(B4084="","",VALUE(LEFT(B4084,2)))</f>
        <v/>
      </c>
      <c r="M4084" s="0" t="str">
        <f aca="false">IF(A4084="","",IF(COUNTIFS($C$2:$C$5001,C4084,$J$2:$J$5001,J4084,$A$2:$A$5001,"&lt;"&amp;A4084)=0,1,0))</f>
        <v/>
      </c>
    </row>
    <row r="4085" customFormat="false" ht="15" hidden="false" customHeight="false" outlineLevel="0" collapsed="false">
      <c r="A4085" s="27"/>
      <c r="F4085" s="28"/>
      <c r="J4085" s="0" t="str">
        <f aca="false">IF(A4085="","",YEAR(A4085))</f>
        <v/>
      </c>
      <c r="K4085" s="0" t="str">
        <f aca="false">IF(A4085="","",MONTH(A4085))</f>
        <v/>
      </c>
      <c r="L4085" s="0" t="str">
        <f aca="false">IF(B4085="","",VALUE(LEFT(B4085,2)))</f>
        <v/>
      </c>
      <c r="M4085" s="0" t="str">
        <f aca="false">IF(A4085="","",IF(COUNTIFS($C$2:$C$5001,C4085,$J$2:$J$5001,J4085,$A$2:$A$5001,"&lt;"&amp;A4085)=0,1,0))</f>
        <v/>
      </c>
    </row>
    <row r="4086" customFormat="false" ht="15" hidden="false" customHeight="false" outlineLevel="0" collapsed="false">
      <c r="A4086" s="27"/>
      <c r="F4086" s="28"/>
      <c r="J4086" s="0" t="str">
        <f aca="false">IF(A4086="","",YEAR(A4086))</f>
        <v/>
      </c>
      <c r="K4086" s="0" t="str">
        <f aca="false">IF(A4086="","",MONTH(A4086))</f>
        <v/>
      </c>
      <c r="L4086" s="0" t="str">
        <f aca="false">IF(B4086="","",VALUE(LEFT(B4086,2)))</f>
        <v/>
      </c>
      <c r="M4086" s="0" t="str">
        <f aca="false">IF(A4086="","",IF(COUNTIFS($C$2:$C$5001,C4086,$J$2:$J$5001,J4086,$A$2:$A$5001,"&lt;"&amp;A4086)=0,1,0))</f>
        <v/>
      </c>
    </row>
    <row r="4087" customFormat="false" ht="15" hidden="false" customHeight="false" outlineLevel="0" collapsed="false">
      <c r="A4087" s="27"/>
      <c r="F4087" s="28"/>
      <c r="J4087" s="0" t="str">
        <f aca="false">IF(A4087="","",YEAR(A4087))</f>
        <v/>
      </c>
      <c r="K4087" s="0" t="str">
        <f aca="false">IF(A4087="","",MONTH(A4087))</f>
        <v/>
      </c>
      <c r="L4087" s="0" t="str">
        <f aca="false">IF(B4087="","",VALUE(LEFT(B4087,2)))</f>
        <v/>
      </c>
      <c r="M4087" s="0" t="str">
        <f aca="false">IF(A4087="","",IF(COUNTIFS($C$2:$C$5001,C4087,$J$2:$J$5001,J4087,$A$2:$A$5001,"&lt;"&amp;A4087)=0,1,0))</f>
        <v/>
      </c>
    </row>
    <row r="4088" customFormat="false" ht="15" hidden="false" customHeight="false" outlineLevel="0" collapsed="false">
      <c r="A4088" s="27"/>
      <c r="F4088" s="28"/>
      <c r="J4088" s="0" t="str">
        <f aca="false">IF(A4088="","",YEAR(A4088))</f>
        <v/>
      </c>
      <c r="K4088" s="0" t="str">
        <f aca="false">IF(A4088="","",MONTH(A4088))</f>
        <v/>
      </c>
      <c r="L4088" s="0" t="str">
        <f aca="false">IF(B4088="","",VALUE(LEFT(B4088,2)))</f>
        <v/>
      </c>
      <c r="M4088" s="0" t="str">
        <f aca="false">IF(A4088="","",IF(COUNTIFS($C$2:$C$5001,C4088,$J$2:$J$5001,J4088,$A$2:$A$5001,"&lt;"&amp;A4088)=0,1,0))</f>
        <v/>
      </c>
    </row>
    <row r="4089" customFormat="false" ht="15" hidden="false" customHeight="false" outlineLevel="0" collapsed="false">
      <c r="A4089" s="27"/>
      <c r="F4089" s="28"/>
      <c r="J4089" s="0" t="str">
        <f aca="false">IF(A4089="","",YEAR(A4089))</f>
        <v/>
      </c>
      <c r="K4089" s="0" t="str">
        <f aca="false">IF(A4089="","",MONTH(A4089))</f>
        <v/>
      </c>
      <c r="L4089" s="0" t="str">
        <f aca="false">IF(B4089="","",VALUE(LEFT(B4089,2)))</f>
        <v/>
      </c>
      <c r="M4089" s="0" t="str">
        <f aca="false">IF(A4089="","",IF(COUNTIFS($C$2:$C$5001,C4089,$J$2:$J$5001,J4089,$A$2:$A$5001,"&lt;"&amp;A4089)=0,1,0))</f>
        <v/>
      </c>
    </row>
    <row r="4090" customFormat="false" ht="15" hidden="false" customHeight="false" outlineLevel="0" collapsed="false">
      <c r="A4090" s="27"/>
      <c r="F4090" s="28"/>
      <c r="J4090" s="0" t="str">
        <f aca="false">IF(A4090="","",YEAR(A4090))</f>
        <v/>
      </c>
      <c r="K4090" s="0" t="str">
        <f aca="false">IF(A4090="","",MONTH(A4090))</f>
        <v/>
      </c>
      <c r="L4090" s="0" t="str">
        <f aca="false">IF(B4090="","",VALUE(LEFT(B4090,2)))</f>
        <v/>
      </c>
      <c r="M4090" s="0" t="str">
        <f aca="false">IF(A4090="","",IF(COUNTIFS($C$2:$C$5001,C4090,$J$2:$J$5001,J4090,$A$2:$A$5001,"&lt;"&amp;A4090)=0,1,0))</f>
        <v/>
      </c>
    </row>
    <row r="4091" customFormat="false" ht="15" hidden="false" customHeight="false" outlineLevel="0" collapsed="false">
      <c r="A4091" s="27"/>
      <c r="F4091" s="28"/>
      <c r="J4091" s="0" t="str">
        <f aca="false">IF(A4091="","",YEAR(A4091))</f>
        <v/>
      </c>
      <c r="K4091" s="0" t="str">
        <f aca="false">IF(A4091="","",MONTH(A4091))</f>
        <v/>
      </c>
      <c r="L4091" s="0" t="str">
        <f aca="false">IF(B4091="","",VALUE(LEFT(B4091,2)))</f>
        <v/>
      </c>
      <c r="M4091" s="0" t="str">
        <f aca="false">IF(A4091="","",IF(COUNTIFS($C$2:$C$5001,C4091,$J$2:$J$5001,J4091,$A$2:$A$5001,"&lt;"&amp;A4091)=0,1,0))</f>
        <v/>
      </c>
    </row>
    <row r="4092" customFormat="false" ht="15" hidden="false" customHeight="false" outlineLevel="0" collapsed="false">
      <c r="A4092" s="27"/>
      <c r="F4092" s="28"/>
      <c r="J4092" s="0" t="str">
        <f aca="false">IF(A4092="","",YEAR(A4092))</f>
        <v/>
      </c>
      <c r="K4092" s="0" t="str">
        <f aca="false">IF(A4092="","",MONTH(A4092))</f>
        <v/>
      </c>
      <c r="L4092" s="0" t="str">
        <f aca="false">IF(B4092="","",VALUE(LEFT(B4092,2)))</f>
        <v/>
      </c>
      <c r="M4092" s="0" t="str">
        <f aca="false">IF(A4092="","",IF(COUNTIFS($C$2:$C$5001,C4092,$J$2:$J$5001,J4092,$A$2:$A$5001,"&lt;"&amp;A4092)=0,1,0))</f>
        <v/>
      </c>
    </row>
    <row r="4093" customFormat="false" ht="15" hidden="false" customHeight="false" outlineLevel="0" collapsed="false">
      <c r="A4093" s="27"/>
      <c r="F4093" s="28"/>
      <c r="J4093" s="0" t="str">
        <f aca="false">IF(A4093="","",YEAR(A4093))</f>
        <v/>
      </c>
      <c r="K4093" s="0" t="str">
        <f aca="false">IF(A4093="","",MONTH(A4093))</f>
        <v/>
      </c>
      <c r="L4093" s="0" t="str">
        <f aca="false">IF(B4093="","",VALUE(LEFT(B4093,2)))</f>
        <v/>
      </c>
      <c r="M4093" s="0" t="str">
        <f aca="false">IF(A4093="","",IF(COUNTIFS($C$2:$C$5001,C4093,$J$2:$J$5001,J4093,$A$2:$A$5001,"&lt;"&amp;A4093)=0,1,0))</f>
        <v/>
      </c>
    </row>
    <row r="4094" customFormat="false" ht="15" hidden="false" customHeight="false" outlineLevel="0" collapsed="false">
      <c r="A4094" s="27"/>
      <c r="F4094" s="28"/>
      <c r="J4094" s="0" t="str">
        <f aca="false">IF(A4094="","",YEAR(A4094))</f>
        <v/>
      </c>
      <c r="K4094" s="0" t="str">
        <f aca="false">IF(A4094="","",MONTH(A4094))</f>
        <v/>
      </c>
      <c r="L4094" s="0" t="str">
        <f aca="false">IF(B4094="","",VALUE(LEFT(B4094,2)))</f>
        <v/>
      </c>
      <c r="M4094" s="0" t="str">
        <f aca="false">IF(A4094="","",IF(COUNTIFS($C$2:$C$5001,C4094,$J$2:$J$5001,J4094,$A$2:$A$5001,"&lt;"&amp;A4094)=0,1,0))</f>
        <v/>
      </c>
    </row>
    <row r="4095" customFormat="false" ht="15" hidden="false" customHeight="false" outlineLevel="0" collapsed="false">
      <c r="A4095" s="27"/>
      <c r="F4095" s="28"/>
      <c r="J4095" s="0" t="str">
        <f aca="false">IF(A4095="","",YEAR(A4095))</f>
        <v/>
      </c>
      <c r="K4095" s="0" t="str">
        <f aca="false">IF(A4095="","",MONTH(A4095))</f>
        <v/>
      </c>
      <c r="L4095" s="0" t="str">
        <f aca="false">IF(B4095="","",VALUE(LEFT(B4095,2)))</f>
        <v/>
      </c>
      <c r="M4095" s="0" t="str">
        <f aca="false">IF(A4095="","",IF(COUNTIFS($C$2:$C$5001,C4095,$J$2:$J$5001,J4095,$A$2:$A$5001,"&lt;"&amp;A4095)=0,1,0))</f>
        <v/>
      </c>
    </row>
    <row r="4096" customFormat="false" ht="15" hidden="false" customHeight="false" outlineLevel="0" collapsed="false">
      <c r="A4096" s="27"/>
      <c r="F4096" s="28"/>
      <c r="J4096" s="0" t="str">
        <f aca="false">IF(A4096="","",YEAR(A4096))</f>
        <v/>
      </c>
      <c r="K4096" s="0" t="str">
        <f aca="false">IF(A4096="","",MONTH(A4096))</f>
        <v/>
      </c>
      <c r="L4096" s="0" t="str">
        <f aca="false">IF(B4096="","",VALUE(LEFT(B4096,2)))</f>
        <v/>
      </c>
      <c r="M4096" s="0" t="str">
        <f aca="false">IF(A4096="","",IF(COUNTIFS($C$2:$C$5001,C4096,$J$2:$J$5001,J4096,$A$2:$A$5001,"&lt;"&amp;A4096)=0,1,0))</f>
        <v/>
      </c>
    </row>
    <row r="4097" customFormat="false" ht="15" hidden="false" customHeight="false" outlineLevel="0" collapsed="false">
      <c r="A4097" s="27"/>
      <c r="F4097" s="28"/>
      <c r="J4097" s="0" t="str">
        <f aca="false">IF(A4097="","",YEAR(A4097))</f>
        <v/>
      </c>
      <c r="K4097" s="0" t="str">
        <f aca="false">IF(A4097="","",MONTH(A4097))</f>
        <v/>
      </c>
      <c r="L4097" s="0" t="str">
        <f aca="false">IF(B4097="","",VALUE(LEFT(B4097,2)))</f>
        <v/>
      </c>
      <c r="M4097" s="0" t="str">
        <f aca="false">IF(A4097="","",IF(COUNTIFS($C$2:$C$5001,C4097,$J$2:$J$5001,J4097,$A$2:$A$5001,"&lt;"&amp;A4097)=0,1,0))</f>
        <v/>
      </c>
    </row>
    <row r="4098" customFormat="false" ht="15" hidden="false" customHeight="false" outlineLevel="0" collapsed="false">
      <c r="A4098" s="27"/>
      <c r="F4098" s="28"/>
      <c r="J4098" s="0" t="str">
        <f aca="false">IF(A4098="","",YEAR(A4098))</f>
        <v/>
      </c>
      <c r="K4098" s="0" t="str">
        <f aca="false">IF(A4098="","",MONTH(A4098))</f>
        <v/>
      </c>
      <c r="L4098" s="0" t="str">
        <f aca="false">IF(B4098="","",VALUE(LEFT(B4098,2)))</f>
        <v/>
      </c>
      <c r="M4098" s="0" t="str">
        <f aca="false">IF(A4098="","",IF(COUNTIFS($C$2:$C$5001,C4098,$J$2:$J$5001,J4098,$A$2:$A$5001,"&lt;"&amp;A4098)=0,1,0))</f>
        <v/>
      </c>
    </row>
    <row r="4099" customFormat="false" ht="15" hidden="false" customHeight="false" outlineLevel="0" collapsed="false">
      <c r="A4099" s="27"/>
      <c r="F4099" s="28"/>
      <c r="J4099" s="0" t="str">
        <f aca="false">IF(A4099="","",YEAR(A4099))</f>
        <v/>
      </c>
      <c r="K4099" s="0" t="str">
        <f aca="false">IF(A4099="","",MONTH(A4099))</f>
        <v/>
      </c>
      <c r="L4099" s="0" t="str">
        <f aca="false">IF(B4099="","",VALUE(LEFT(B4099,2)))</f>
        <v/>
      </c>
      <c r="M4099" s="0" t="str">
        <f aca="false">IF(A4099="","",IF(COUNTIFS($C$2:$C$5001,C4099,$J$2:$J$5001,J4099,$A$2:$A$5001,"&lt;"&amp;A4099)=0,1,0))</f>
        <v/>
      </c>
    </row>
    <row r="4100" customFormat="false" ht="15" hidden="false" customHeight="false" outlineLevel="0" collapsed="false">
      <c r="A4100" s="27"/>
      <c r="F4100" s="28"/>
      <c r="J4100" s="0" t="str">
        <f aca="false">IF(A4100="","",YEAR(A4100))</f>
        <v/>
      </c>
      <c r="K4100" s="0" t="str">
        <f aca="false">IF(A4100="","",MONTH(A4100))</f>
        <v/>
      </c>
      <c r="L4100" s="0" t="str">
        <f aca="false">IF(B4100="","",VALUE(LEFT(B4100,2)))</f>
        <v/>
      </c>
      <c r="M4100" s="0" t="str">
        <f aca="false">IF(A4100="","",IF(COUNTIFS($C$2:$C$5001,C4100,$J$2:$J$5001,J4100,$A$2:$A$5001,"&lt;"&amp;A4100)=0,1,0))</f>
        <v/>
      </c>
    </row>
    <row r="4101" customFormat="false" ht="15" hidden="false" customHeight="false" outlineLevel="0" collapsed="false">
      <c r="A4101" s="27"/>
      <c r="F4101" s="28"/>
      <c r="J4101" s="0" t="str">
        <f aca="false">IF(A4101="","",YEAR(A4101))</f>
        <v/>
      </c>
      <c r="K4101" s="0" t="str">
        <f aca="false">IF(A4101="","",MONTH(A4101))</f>
        <v/>
      </c>
      <c r="L4101" s="0" t="str">
        <f aca="false">IF(B4101="","",VALUE(LEFT(B4101,2)))</f>
        <v/>
      </c>
      <c r="M4101" s="0" t="str">
        <f aca="false">IF(A4101="","",IF(COUNTIFS($C$2:$C$5001,C4101,$J$2:$J$5001,J4101,$A$2:$A$5001,"&lt;"&amp;A4101)=0,1,0))</f>
        <v/>
      </c>
    </row>
    <row r="4102" customFormat="false" ht="15" hidden="false" customHeight="false" outlineLevel="0" collapsed="false">
      <c r="A4102" s="27"/>
      <c r="F4102" s="28"/>
      <c r="J4102" s="0" t="str">
        <f aca="false">IF(A4102="","",YEAR(A4102))</f>
        <v/>
      </c>
      <c r="K4102" s="0" t="str">
        <f aca="false">IF(A4102="","",MONTH(A4102))</f>
        <v/>
      </c>
      <c r="L4102" s="0" t="str">
        <f aca="false">IF(B4102="","",VALUE(LEFT(B4102,2)))</f>
        <v/>
      </c>
      <c r="M4102" s="0" t="str">
        <f aca="false">IF(A4102="","",IF(COUNTIFS($C$2:$C$5001,C4102,$J$2:$J$5001,J4102,$A$2:$A$5001,"&lt;"&amp;A4102)=0,1,0))</f>
        <v/>
      </c>
    </row>
    <row r="4103" customFormat="false" ht="15" hidden="false" customHeight="false" outlineLevel="0" collapsed="false">
      <c r="A4103" s="27"/>
      <c r="F4103" s="28"/>
      <c r="J4103" s="0" t="str">
        <f aca="false">IF(A4103="","",YEAR(A4103))</f>
        <v/>
      </c>
      <c r="K4103" s="0" t="str">
        <f aca="false">IF(A4103="","",MONTH(A4103))</f>
        <v/>
      </c>
      <c r="L4103" s="0" t="str">
        <f aca="false">IF(B4103="","",VALUE(LEFT(B4103,2)))</f>
        <v/>
      </c>
      <c r="M4103" s="0" t="str">
        <f aca="false">IF(A4103="","",IF(COUNTIFS($C$2:$C$5001,C4103,$J$2:$J$5001,J4103,$A$2:$A$5001,"&lt;"&amp;A4103)=0,1,0))</f>
        <v/>
      </c>
    </row>
    <row r="4104" customFormat="false" ht="15" hidden="false" customHeight="false" outlineLevel="0" collapsed="false">
      <c r="A4104" s="27"/>
      <c r="F4104" s="28"/>
      <c r="J4104" s="0" t="str">
        <f aca="false">IF(A4104="","",YEAR(A4104))</f>
        <v/>
      </c>
      <c r="K4104" s="0" t="str">
        <f aca="false">IF(A4104="","",MONTH(A4104))</f>
        <v/>
      </c>
      <c r="L4104" s="0" t="str">
        <f aca="false">IF(B4104="","",VALUE(LEFT(B4104,2)))</f>
        <v/>
      </c>
      <c r="M4104" s="0" t="str">
        <f aca="false">IF(A4104="","",IF(COUNTIFS($C$2:$C$5001,C4104,$J$2:$J$5001,J4104,$A$2:$A$5001,"&lt;"&amp;A4104)=0,1,0))</f>
        <v/>
      </c>
    </row>
    <row r="4105" customFormat="false" ht="15" hidden="false" customHeight="false" outlineLevel="0" collapsed="false">
      <c r="A4105" s="27"/>
      <c r="F4105" s="28"/>
      <c r="J4105" s="0" t="str">
        <f aca="false">IF(A4105="","",YEAR(A4105))</f>
        <v/>
      </c>
      <c r="K4105" s="0" t="str">
        <f aca="false">IF(A4105="","",MONTH(A4105))</f>
        <v/>
      </c>
      <c r="L4105" s="0" t="str">
        <f aca="false">IF(B4105="","",VALUE(LEFT(B4105,2)))</f>
        <v/>
      </c>
      <c r="M4105" s="0" t="str">
        <f aca="false">IF(A4105="","",IF(COUNTIFS($C$2:$C$5001,C4105,$J$2:$J$5001,J4105,$A$2:$A$5001,"&lt;"&amp;A4105)=0,1,0))</f>
        <v/>
      </c>
    </row>
    <row r="4106" customFormat="false" ht="15" hidden="false" customHeight="false" outlineLevel="0" collapsed="false">
      <c r="A4106" s="27"/>
      <c r="F4106" s="28"/>
      <c r="J4106" s="0" t="str">
        <f aca="false">IF(A4106="","",YEAR(A4106))</f>
        <v/>
      </c>
      <c r="K4106" s="0" t="str">
        <f aca="false">IF(A4106="","",MONTH(A4106))</f>
        <v/>
      </c>
      <c r="L4106" s="0" t="str">
        <f aca="false">IF(B4106="","",VALUE(LEFT(B4106,2)))</f>
        <v/>
      </c>
      <c r="M4106" s="0" t="str">
        <f aca="false">IF(A4106="","",IF(COUNTIFS($C$2:$C$5001,C4106,$J$2:$J$5001,J4106,$A$2:$A$5001,"&lt;"&amp;A4106)=0,1,0))</f>
        <v/>
      </c>
    </row>
    <row r="4107" customFormat="false" ht="15" hidden="false" customHeight="false" outlineLevel="0" collapsed="false">
      <c r="A4107" s="27"/>
      <c r="F4107" s="28"/>
      <c r="J4107" s="0" t="str">
        <f aca="false">IF(A4107="","",YEAR(A4107))</f>
        <v/>
      </c>
      <c r="K4107" s="0" t="str">
        <f aca="false">IF(A4107="","",MONTH(A4107))</f>
        <v/>
      </c>
      <c r="L4107" s="0" t="str">
        <f aca="false">IF(B4107="","",VALUE(LEFT(B4107,2)))</f>
        <v/>
      </c>
      <c r="M4107" s="0" t="str">
        <f aca="false">IF(A4107="","",IF(COUNTIFS($C$2:$C$5001,C4107,$J$2:$J$5001,J4107,$A$2:$A$5001,"&lt;"&amp;A4107)=0,1,0))</f>
        <v/>
      </c>
    </row>
    <row r="4108" customFormat="false" ht="15" hidden="false" customHeight="false" outlineLevel="0" collapsed="false">
      <c r="A4108" s="27"/>
      <c r="F4108" s="28"/>
      <c r="J4108" s="0" t="str">
        <f aca="false">IF(A4108="","",YEAR(A4108))</f>
        <v/>
      </c>
      <c r="K4108" s="0" t="str">
        <f aca="false">IF(A4108="","",MONTH(A4108))</f>
        <v/>
      </c>
      <c r="L4108" s="0" t="str">
        <f aca="false">IF(B4108="","",VALUE(LEFT(B4108,2)))</f>
        <v/>
      </c>
      <c r="M4108" s="0" t="str">
        <f aca="false">IF(A4108="","",IF(COUNTIFS($C$2:$C$5001,C4108,$J$2:$J$5001,J4108,$A$2:$A$5001,"&lt;"&amp;A4108)=0,1,0))</f>
        <v/>
      </c>
    </row>
    <row r="4109" customFormat="false" ht="15" hidden="false" customHeight="false" outlineLevel="0" collapsed="false">
      <c r="A4109" s="27"/>
      <c r="F4109" s="28"/>
      <c r="J4109" s="0" t="str">
        <f aca="false">IF(A4109="","",YEAR(A4109))</f>
        <v/>
      </c>
      <c r="K4109" s="0" t="str">
        <f aca="false">IF(A4109="","",MONTH(A4109))</f>
        <v/>
      </c>
      <c r="L4109" s="0" t="str">
        <f aca="false">IF(B4109="","",VALUE(LEFT(B4109,2)))</f>
        <v/>
      </c>
      <c r="M4109" s="0" t="str">
        <f aca="false">IF(A4109="","",IF(COUNTIFS($C$2:$C$5001,C4109,$J$2:$J$5001,J4109,$A$2:$A$5001,"&lt;"&amp;A4109)=0,1,0))</f>
        <v/>
      </c>
    </row>
    <row r="4110" customFormat="false" ht="15" hidden="false" customHeight="false" outlineLevel="0" collapsed="false">
      <c r="A4110" s="27"/>
      <c r="F4110" s="28"/>
      <c r="J4110" s="0" t="str">
        <f aca="false">IF(A4110="","",YEAR(A4110))</f>
        <v/>
      </c>
      <c r="K4110" s="0" t="str">
        <f aca="false">IF(A4110="","",MONTH(A4110))</f>
        <v/>
      </c>
      <c r="L4110" s="0" t="str">
        <f aca="false">IF(B4110="","",VALUE(LEFT(B4110,2)))</f>
        <v/>
      </c>
      <c r="M4110" s="0" t="str">
        <f aca="false">IF(A4110="","",IF(COUNTIFS($C$2:$C$5001,C4110,$J$2:$J$5001,J4110,$A$2:$A$5001,"&lt;"&amp;A4110)=0,1,0))</f>
        <v/>
      </c>
    </row>
    <row r="4111" customFormat="false" ht="15" hidden="false" customHeight="false" outlineLevel="0" collapsed="false">
      <c r="A4111" s="27"/>
      <c r="F4111" s="28"/>
      <c r="J4111" s="0" t="str">
        <f aca="false">IF(A4111="","",YEAR(A4111))</f>
        <v/>
      </c>
      <c r="K4111" s="0" t="str">
        <f aca="false">IF(A4111="","",MONTH(A4111))</f>
        <v/>
      </c>
      <c r="L4111" s="0" t="str">
        <f aca="false">IF(B4111="","",VALUE(LEFT(B4111,2)))</f>
        <v/>
      </c>
      <c r="M4111" s="0" t="str">
        <f aca="false">IF(A4111="","",IF(COUNTIFS($C$2:$C$5001,C4111,$J$2:$J$5001,J4111,$A$2:$A$5001,"&lt;"&amp;A4111)=0,1,0))</f>
        <v/>
      </c>
    </row>
    <row r="4112" customFormat="false" ht="15" hidden="false" customHeight="false" outlineLevel="0" collapsed="false">
      <c r="A4112" s="27"/>
      <c r="F4112" s="28"/>
      <c r="J4112" s="0" t="str">
        <f aca="false">IF(A4112="","",YEAR(A4112))</f>
        <v/>
      </c>
      <c r="K4112" s="0" t="str">
        <f aca="false">IF(A4112="","",MONTH(A4112))</f>
        <v/>
      </c>
      <c r="L4112" s="0" t="str">
        <f aca="false">IF(B4112="","",VALUE(LEFT(B4112,2)))</f>
        <v/>
      </c>
      <c r="M4112" s="0" t="str">
        <f aca="false">IF(A4112="","",IF(COUNTIFS($C$2:$C$5001,C4112,$J$2:$J$5001,J4112,$A$2:$A$5001,"&lt;"&amp;A4112)=0,1,0))</f>
        <v/>
      </c>
    </row>
    <row r="4113" customFormat="false" ht="15" hidden="false" customHeight="false" outlineLevel="0" collapsed="false">
      <c r="A4113" s="27"/>
      <c r="F4113" s="28"/>
      <c r="J4113" s="0" t="str">
        <f aca="false">IF(A4113="","",YEAR(A4113))</f>
        <v/>
      </c>
      <c r="K4113" s="0" t="str">
        <f aca="false">IF(A4113="","",MONTH(A4113))</f>
        <v/>
      </c>
      <c r="L4113" s="0" t="str">
        <f aca="false">IF(B4113="","",VALUE(LEFT(B4113,2)))</f>
        <v/>
      </c>
      <c r="M4113" s="0" t="str">
        <f aca="false">IF(A4113="","",IF(COUNTIFS($C$2:$C$5001,C4113,$J$2:$J$5001,J4113,$A$2:$A$5001,"&lt;"&amp;A4113)=0,1,0))</f>
        <v/>
      </c>
    </row>
    <row r="4114" customFormat="false" ht="15" hidden="false" customHeight="false" outlineLevel="0" collapsed="false">
      <c r="A4114" s="27"/>
      <c r="F4114" s="28"/>
      <c r="J4114" s="0" t="str">
        <f aca="false">IF(A4114="","",YEAR(A4114))</f>
        <v/>
      </c>
      <c r="K4114" s="0" t="str">
        <f aca="false">IF(A4114="","",MONTH(A4114))</f>
        <v/>
      </c>
      <c r="L4114" s="0" t="str">
        <f aca="false">IF(B4114="","",VALUE(LEFT(B4114,2)))</f>
        <v/>
      </c>
      <c r="M4114" s="0" t="str">
        <f aca="false">IF(A4114="","",IF(COUNTIFS($C$2:$C$5001,C4114,$J$2:$J$5001,J4114,$A$2:$A$5001,"&lt;"&amp;A4114)=0,1,0))</f>
        <v/>
      </c>
    </row>
    <row r="4115" customFormat="false" ht="15" hidden="false" customHeight="false" outlineLevel="0" collapsed="false">
      <c r="A4115" s="27"/>
      <c r="F4115" s="28"/>
      <c r="J4115" s="0" t="str">
        <f aca="false">IF(A4115="","",YEAR(A4115))</f>
        <v/>
      </c>
      <c r="K4115" s="0" t="str">
        <f aca="false">IF(A4115="","",MONTH(A4115))</f>
        <v/>
      </c>
      <c r="L4115" s="0" t="str">
        <f aca="false">IF(B4115="","",VALUE(LEFT(B4115,2)))</f>
        <v/>
      </c>
      <c r="M4115" s="0" t="str">
        <f aca="false">IF(A4115="","",IF(COUNTIFS($C$2:$C$5001,C4115,$J$2:$J$5001,J4115,$A$2:$A$5001,"&lt;"&amp;A4115)=0,1,0))</f>
        <v/>
      </c>
    </row>
    <row r="4116" customFormat="false" ht="15" hidden="false" customHeight="false" outlineLevel="0" collapsed="false">
      <c r="A4116" s="27"/>
      <c r="F4116" s="28"/>
      <c r="J4116" s="0" t="str">
        <f aca="false">IF(A4116="","",YEAR(A4116))</f>
        <v/>
      </c>
      <c r="K4116" s="0" t="str">
        <f aca="false">IF(A4116="","",MONTH(A4116))</f>
        <v/>
      </c>
      <c r="L4116" s="0" t="str">
        <f aca="false">IF(B4116="","",VALUE(LEFT(B4116,2)))</f>
        <v/>
      </c>
      <c r="M4116" s="0" t="str">
        <f aca="false">IF(A4116="","",IF(COUNTIFS($C$2:$C$5001,C4116,$J$2:$J$5001,J4116,$A$2:$A$5001,"&lt;"&amp;A4116)=0,1,0))</f>
        <v/>
      </c>
    </row>
    <row r="4117" customFormat="false" ht="15" hidden="false" customHeight="false" outlineLevel="0" collapsed="false">
      <c r="A4117" s="27"/>
      <c r="F4117" s="28"/>
      <c r="J4117" s="0" t="str">
        <f aca="false">IF(A4117="","",YEAR(A4117))</f>
        <v/>
      </c>
      <c r="K4117" s="0" t="str">
        <f aca="false">IF(A4117="","",MONTH(A4117))</f>
        <v/>
      </c>
      <c r="L4117" s="0" t="str">
        <f aca="false">IF(B4117="","",VALUE(LEFT(B4117,2)))</f>
        <v/>
      </c>
      <c r="M4117" s="0" t="str">
        <f aca="false">IF(A4117="","",IF(COUNTIFS($C$2:$C$5001,C4117,$J$2:$J$5001,J4117,$A$2:$A$5001,"&lt;"&amp;A4117)=0,1,0))</f>
        <v/>
      </c>
    </row>
    <row r="4118" customFormat="false" ht="15" hidden="false" customHeight="false" outlineLevel="0" collapsed="false">
      <c r="A4118" s="27"/>
      <c r="F4118" s="28"/>
      <c r="J4118" s="0" t="str">
        <f aca="false">IF(A4118="","",YEAR(A4118))</f>
        <v/>
      </c>
      <c r="K4118" s="0" t="str">
        <f aca="false">IF(A4118="","",MONTH(A4118))</f>
        <v/>
      </c>
      <c r="L4118" s="0" t="str">
        <f aca="false">IF(B4118="","",VALUE(LEFT(B4118,2)))</f>
        <v/>
      </c>
      <c r="M4118" s="0" t="str">
        <f aca="false">IF(A4118="","",IF(COUNTIFS($C$2:$C$5001,C4118,$J$2:$J$5001,J4118,$A$2:$A$5001,"&lt;"&amp;A4118)=0,1,0))</f>
        <v/>
      </c>
    </row>
    <row r="4119" customFormat="false" ht="15" hidden="false" customHeight="false" outlineLevel="0" collapsed="false">
      <c r="A4119" s="27"/>
      <c r="F4119" s="28"/>
      <c r="J4119" s="0" t="str">
        <f aca="false">IF(A4119="","",YEAR(A4119))</f>
        <v/>
      </c>
      <c r="K4119" s="0" t="str">
        <f aca="false">IF(A4119="","",MONTH(A4119))</f>
        <v/>
      </c>
      <c r="L4119" s="0" t="str">
        <f aca="false">IF(B4119="","",VALUE(LEFT(B4119,2)))</f>
        <v/>
      </c>
      <c r="M4119" s="0" t="str">
        <f aca="false">IF(A4119="","",IF(COUNTIFS($C$2:$C$5001,C4119,$J$2:$J$5001,J4119,$A$2:$A$5001,"&lt;"&amp;A4119)=0,1,0))</f>
        <v/>
      </c>
    </row>
    <row r="4120" customFormat="false" ht="15" hidden="false" customHeight="false" outlineLevel="0" collapsed="false">
      <c r="A4120" s="27"/>
      <c r="F4120" s="28"/>
      <c r="J4120" s="0" t="str">
        <f aca="false">IF(A4120="","",YEAR(A4120))</f>
        <v/>
      </c>
      <c r="K4120" s="0" t="str">
        <f aca="false">IF(A4120="","",MONTH(A4120))</f>
        <v/>
      </c>
      <c r="L4120" s="0" t="str">
        <f aca="false">IF(B4120="","",VALUE(LEFT(B4120,2)))</f>
        <v/>
      </c>
      <c r="M4120" s="0" t="str">
        <f aca="false">IF(A4120="","",IF(COUNTIFS($C$2:$C$5001,C4120,$J$2:$J$5001,J4120,$A$2:$A$5001,"&lt;"&amp;A4120)=0,1,0))</f>
        <v/>
      </c>
    </row>
    <row r="4121" customFormat="false" ht="15" hidden="false" customHeight="false" outlineLevel="0" collapsed="false">
      <c r="A4121" s="27"/>
      <c r="F4121" s="28"/>
      <c r="J4121" s="0" t="str">
        <f aca="false">IF(A4121="","",YEAR(A4121))</f>
        <v/>
      </c>
      <c r="K4121" s="0" t="str">
        <f aca="false">IF(A4121="","",MONTH(A4121))</f>
        <v/>
      </c>
      <c r="L4121" s="0" t="str">
        <f aca="false">IF(B4121="","",VALUE(LEFT(B4121,2)))</f>
        <v/>
      </c>
      <c r="M4121" s="0" t="str">
        <f aca="false">IF(A4121="","",IF(COUNTIFS($C$2:$C$5001,C4121,$J$2:$J$5001,J4121,$A$2:$A$5001,"&lt;"&amp;A4121)=0,1,0))</f>
        <v/>
      </c>
    </row>
    <row r="4122" customFormat="false" ht="15" hidden="false" customHeight="false" outlineLevel="0" collapsed="false">
      <c r="A4122" s="27"/>
      <c r="F4122" s="28"/>
      <c r="J4122" s="0" t="str">
        <f aca="false">IF(A4122="","",YEAR(A4122))</f>
        <v/>
      </c>
      <c r="K4122" s="0" t="str">
        <f aca="false">IF(A4122="","",MONTH(A4122))</f>
        <v/>
      </c>
      <c r="L4122" s="0" t="str">
        <f aca="false">IF(B4122="","",VALUE(LEFT(B4122,2)))</f>
        <v/>
      </c>
      <c r="M4122" s="0" t="str">
        <f aca="false">IF(A4122="","",IF(COUNTIFS($C$2:$C$5001,C4122,$J$2:$J$5001,J4122,$A$2:$A$5001,"&lt;"&amp;A4122)=0,1,0))</f>
        <v/>
      </c>
    </row>
    <row r="4123" customFormat="false" ht="15" hidden="false" customHeight="false" outlineLevel="0" collapsed="false">
      <c r="A4123" s="27"/>
      <c r="F4123" s="28"/>
      <c r="J4123" s="0" t="str">
        <f aca="false">IF(A4123="","",YEAR(A4123))</f>
        <v/>
      </c>
      <c r="K4123" s="0" t="str">
        <f aca="false">IF(A4123="","",MONTH(A4123))</f>
        <v/>
      </c>
      <c r="L4123" s="0" t="str">
        <f aca="false">IF(B4123="","",VALUE(LEFT(B4123,2)))</f>
        <v/>
      </c>
      <c r="M4123" s="0" t="str">
        <f aca="false">IF(A4123="","",IF(COUNTIFS($C$2:$C$5001,C4123,$J$2:$J$5001,J4123,$A$2:$A$5001,"&lt;"&amp;A4123)=0,1,0))</f>
        <v/>
      </c>
    </row>
    <row r="4124" customFormat="false" ht="15" hidden="false" customHeight="false" outlineLevel="0" collapsed="false">
      <c r="A4124" s="27"/>
      <c r="F4124" s="28"/>
      <c r="J4124" s="0" t="str">
        <f aca="false">IF(A4124="","",YEAR(A4124))</f>
        <v/>
      </c>
      <c r="K4124" s="0" t="str">
        <f aca="false">IF(A4124="","",MONTH(A4124))</f>
        <v/>
      </c>
      <c r="L4124" s="0" t="str">
        <f aca="false">IF(B4124="","",VALUE(LEFT(B4124,2)))</f>
        <v/>
      </c>
      <c r="M4124" s="0" t="str">
        <f aca="false">IF(A4124="","",IF(COUNTIFS($C$2:$C$5001,C4124,$J$2:$J$5001,J4124,$A$2:$A$5001,"&lt;"&amp;A4124)=0,1,0))</f>
        <v/>
      </c>
    </row>
    <row r="4125" customFormat="false" ht="15" hidden="false" customHeight="false" outlineLevel="0" collapsed="false">
      <c r="A4125" s="27"/>
      <c r="F4125" s="28"/>
      <c r="J4125" s="0" t="str">
        <f aca="false">IF(A4125="","",YEAR(A4125))</f>
        <v/>
      </c>
      <c r="K4125" s="0" t="str">
        <f aca="false">IF(A4125="","",MONTH(A4125))</f>
        <v/>
      </c>
      <c r="L4125" s="0" t="str">
        <f aca="false">IF(B4125="","",VALUE(LEFT(B4125,2)))</f>
        <v/>
      </c>
      <c r="M4125" s="0" t="str">
        <f aca="false">IF(A4125="","",IF(COUNTIFS($C$2:$C$5001,C4125,$J$2:$J$5001,J4125,$A$2:$A$5001,"&lt;"&amp;A4125)=0,1,0))</f>
        <v/>
      </c>
    </row>
    <row r="4126" customFormat="false" ht="15" hidden="false" customHeight="false" outlineLevel="0" collapsed="false">
      <c r="A4126" s="27"/>
      <c r="F4126" s="28"/>
      <c r="J4126" s="0" t="str">
        <f aca="false">IF(A4126="","",YEAR(A4126))</f>
        <v/>
      </c>
      <c r="K4126" s="0" t="str">
        <f aca="false">IF(A4126="","",MONTH(A4126))</f>
        <v/>
      </c>
      <c r="L4126" s="0" t="str">
        <f aca="false">IF(B4126="","",VALUE(LEFT(B4126,2)))</f>
        <v/>
      </c>
      <c r="M4126" s="0" t="str">
        <f aca="false">IF(A4126="","",IF(COUNTIFS($C$2:$C$5001,C4126,$J$2:$J$5001,J4126,$A$2:$A$5001,"&lt;"&amp;A4126)=0,1,0))</f>
        <v/>
      </c>
    </row>
    <row r="4127" customFormat="false" ht="15" hidden="false" customHeight="false" outlineLevel="0" collapsed="false">
      <c r="A4127" s="27"/>
      <c r="F4127" s="28"/>
      <c r="J4127" s="0" t="str">
        <f aca="false">IF(A4127="","",YEAR(A4127))</f>
        <v/>
      </c>
      <c r="K4127" s="0" t="str">
        <f aca="false">IF(A4127="","",MONTH(A4127))</f>
        <v/>
      </c>
      <c r="L4127" s="0" t="str">
        <f aca="false">IF(B4127="","",VALUE(LEFT(B4127,2)))</f>
        <v/>
      </c>
      <c r="M4127" s="0" t="str">
        <f aca="false">IF(A4127="","",IF(COUNTIFS($C$2:$C$5001,C4127,$J$2:$J$5001,J4127,$A$2:$A$5001,"&lt;"&amp;A4127)=0,1,0))</f>
        <v/>
      </c>
    </row>
    <row r="4128" customFormat="false" ht="15" hidden="false" customHeight="false" outlineLevel="0" collapsed="false">
      <c r="A4128" s="27"/>
      <c r="F4128" s="28"/>
      <c r="J4128" s="0" t="str">
        <f aca="false">IF(A4128="","",YEAR(A4128))</f>
        <v/>
      </c>
      <c r="K4128" s="0" t="str">
        <f aca="false">IF(A4128="","",MONTH(A4128))</f>
        <v/>
      </c>
      <c r="L4128" s="0" t="str">
        <f aca="false">IF(B4128="","",VALUE(LEFT(B4128,2)))</f>
        <v/>
      </c>
      <c r="M4128" s="0" t="str">
        <f aca="false">IF(A4128="","",IF(COUNTIFS($C$2:$C$5001,C4128,$J$2:$J$5001,J4128,$A$2:$A$5001,"&lt;"&amp;A4128)=0,1,0))</f>
        <v/>
      </c>
    </row>
    <row r="4129" customFormat="false" ht="15" hidden="false" customHeight="false" outlineLevel="0" collapsed="false">
      <c r="A4129" s="27"/>
      <c r="F4129" s="28"/>
      <c r="J4129" s="0" t="str">
        <f aca="false">IF(A4129="","",YEAR(A4129))</f>
        <v/>
      </c>
      <c r="K4129" s="0" t="str">
        <f aca="false">IF(A4129="","",MONTH(A4129))</f>
        <v/>
      </c>
      <c r="L4129" s="0" t="str">
        <f aca="false">IF(B4129="","",VALUE(LEFT(B4129,2)))</f>
        <v/>
      </c>
      <c r="M4129" s="0" t="str">
        <f aca="false">IF(A4129="","",IF(COUNTIFS($C$2:$C$5001,C4129,$J$2:$J$5001,J4129,$A$2:$A$5001,"&lt;"&amp;A4129)=0,1,0))</f>
        <v/>
      </c>
    </row>
    <row r="4130" customFormat="false" ht="15" hidden="false" customHeight="false" outlineLevel="0" collapsed="false">
      <c r="A4130" s="27"/>
      <c r="F4130" s="28"/>
      <c r="J4130" s="0" t="str">
        <f aca="false">IF(A4130="","",YEAR(A4130))</f>
        <v/>
      </c>
      <c r="K4130" s="0" t="str">
        <f aca="false">IF(A4130="","",MONTH(A4130))</f>
        <v/>
      </c>
      <c r="L4130" s="0" t="str">
        <f aca="false">IF(B4130="","",VALUE(LEFT(B4130,2)))</f>
        <v/>
      </c>
      <c r="M4130" s="0" t="str">
        <f aca="false">IF(A4130="","",IF(COUNTIFS($C$2:$C$5001,C4130,$J$2:$J$5001,J4130,$A$2:$A$5001,"&lt;"&amp;A4130)=0,1,0))</f>
        <v/>
      </c>
    </row>
    <row r="4131" customFormat="false" ht="15" hidden="false" customHeight="false" outlineLevel="0" collapsed="false">
      <c r="A4131" s="27"/>
      <c r="F4131" s="28"/>
      <c r="J4131" s="0" t="str">
        <f aca="false">IF(A4131="","",YEAR(A4131))</f>
        <v/>
      </c>
      <c r="K4131" s="0" t="str">
        <f aca="false">IF(A4131="","",MONTH(A4131))</f>
        <v/>
      </c>
      <c r="L4131" s="0" t="str">
        <f aca="false">IF(B4131="","",VALUE(LEFT(B4131,2)))</f>
        <v/>
      </c>
      <c r="M4131" s="0" t="str">
        <f aca="false">IF(A4131="","",IF(COUNTIFS($C$2:$C$5001,C4131,$J$2:$J$5001,J4131,$A$2:$A$5001,"&lt;"&amp;A4131)=0,1,0))</f>
        <v/>
      </c>
    </row>
    <row r="4132" customFormat="false" ht="15" hidden="false" customHeight="false" outlineLevel="0" collapsed="false">
      <c r="A4132" s="27"/>
      <c r="F4132" s="28"/>
      <c r="J4132" s="0" t="str">
        <f aca="false">IF(A4132="","",YEAR(A4132))</f>
        <v/>
      </c>
      <c r="K4132" s="0" t="str">
        <f aca="false">IF(A4132="","",MONTH(A4132))</f>
        <v/>
      </c>
      <c r="L4132" s="0" t="str">
        <f aca="false">IF(B4132="","",VALUE(LEFT(B4132,2)))</f>
        <v/>
      </c>
      <c r="M4132" s="0" t="str">
        <f aca="false">IF(A4132="","",IF(COUNTIFS($C$2:$C$5001,C4132,$J$2:$J$5001,J4132,$A$2:$A$5001,"&lt;"&amp;A4132)=0,1,0))</f>
        <v/>
      </c>
    </row>
    <row r="4133" customFormat="false" ht="15" hidden="false" customHeight="false" outlineLevel="0" collapsed="false">
      <c r="A4133" s="27"/>
      <c r="F4133" s="28"/>
      <c r="J4133" s="0" t="str">
        <f aca="false">IF(A4133="","",YEAR(A4133))</f>
        <v/>
      </c>
      <c r="K4133" s="0" t="str">
        <f aca="false">IF(A4133="","",MONTH(A4133))</f>
        <v/>
      </c>
      <c r="L4133" s="0" t="str">
        <f aca="false">IF(B4133="","",VALUE(LEFT(B4133,2)))</f>
        <v/>
      </c>
      <c r="M4133" s="0" t="str">
        <f aca="false">IF(A4133="","",IF(COUNTIFS($C$2:$C$5001,C4133,$J$2:$J$5001,J4133,$A$2:$A$5001,"&lt;"&amp;A4133)=0,1,0))</f>
        <v/>
      </c>
    </row>
    <row r="4134" customFormat="false" ht="15" hidden="false" customHeight="false" outlineLevel="0" collapsed="false">
      <c r="A4134" s="27"/>
      <c r="F4134" s="28"/>
      <c r="J4134" s="0" t="str">
        <f aca="false">IF(A4134="","",YEAR(A4134))</f>
        <v/>
      </c>
      <c r="K4134" s="0" t="str">
        <f aca="false">IF(A4134="","",MONTH(A4134))</f>
        <v/>
      </c>
      <c r="L4134" s="0" t="str">
        <f aca="false">IF(B4134="","",VALUE(LEFT(B4134,2)))</f>
        <v/>
      </c>
      <c r="M4134" s="0" t="str">
        <f aca="false">IF(A4134="","",IF(COUNTIFS($C$2:$C$5001,C4134,$J$2:$J$5001,J4134,$A$2:$A$5001,"&lt;"&amp;A4134)=0,1,0))</f>
        <v/>
      </c>
    </row>
    <row r="4135" customFormat="false" ht="15" hidden="false" customHeight="false" outlineLevel="0" collapsed="false">
      <c r="A4135" s="27"/>
      <c r="F4135" s="28"/>
      <c r="J4135" s="0" t="str">
        <f aca="false">IF(A4135="","",YEAR(A4135))</f>
        <v/>
      </c>
      <c r="K4135" s="0" t="str">
        <f aca="false">IF(A4135="","",MONTH(A4135))</f>
        <v/>
      </c>
      <c r="L4135" s="0" t="str">
        <f aca="false">IF(B4135="","",VALUE(LEFT(B4135,2)))</f>
        <v/>
      </c>
      <c r="M4135" s="0" t="str">
        <f aca="false">IF(A4135="","",IF(COUNTIFS($C$2:$C$5001,C4135,$J$2:$J$5001,J4135,$A$2:$A$5001,"&lt;"&amp;A4135)=0,1,0))</f>
        <v/>
      </c>
    </row>
    <row r="4136" customFormat="false" ht="15" hidden="false" customHeight="false" outlineLevel="0" collapsed="false">
      <c r="A4136" s="27"/>
      <c r="F4136" s="28"/>
      <c r="J4136" s="0" t="str">
        <f aca="false">IF(A4136="","",YEAR(A4136))</f>
        <v/>
      </c>
      <c r="K4136" s="0" t="str">
        <f aca="false">IF(A4136="","",MONTH(A4136))</f>
        <v/>
      </c>
      <c r="L4136" s="0" t="str">
        <f aca="false">IF(B4136="","",VALUE(LEFT(B4136,2)))</f>
        <v/>
      </c>
      <c r="M4136" s="0" t="str">
        <f aca="false">IF(A4136="","",IF(COUNTIFS($C$2:$C$5001,C4136,$J$2:$J$5001,J4136,$A$2:$A$5001,"&lt;"&amp;A4136)=0,1,0))</f>
        <v/>
      </c>
    </row>
    <row r="4137" customFormat="false" ht="15" hidden="false" customHeight="false" outlineLevel="0" collapsed="false">
      <c r="A4137" s="27"/>
      <c r="F4137" s="28"/>
      <c r="J4137" s="0" t="str">
        <f aca="false">IF(A4137="","",YEAR(A4137))</f>
        <v/>
      </c>
      <c r="K4137" s="0" t="str">
        <f aca="false">IF(A4137="","",MONTH(A4137))</f>
        <v/>
      </c>
      <c r="L4137" s="0" t="str">
        <f aca="false">IF(B4137="","",VALUE(LEFT(B4137,2)))</f>
        <v/>
      </c>
      <c r="M4137" s="0" t="str">
        <f aca="false">IF(A4137="","",IF(COUNTIFS($C$2:$C$5001,C4137,$J$2:$J$5001,J4137,$A$2:$A$5001,"&lt;"&amp;A4137)=0,1,0))</f>
        <v/>
      </c>
    </row>
    <row r="4138" customFormat="false" ht="15" hidden="false" customHeight="false" outlineLevel="0" collapsed="false">
      <c r="A4138" s="27"/>
      <c r="F4138" s="28"/>
      <c r="J4138" s="0" t="str">
        <f aca="false">IF(A4138="","",YEAR(A4138))</f>
        <v/>
      </c>
      <c r="K4138" s="0" t="str">
        <f aca="false">IF(A4138="","",MONTH(A4138))</f>
        <v/>
      </c>
      <c r="L4138" s="0" t="str">
        <f aca="false">IF(B4138="","",VALUE(LEFT(B4138,2)))</f>
        <v/>
      </c>
      <c r="M4138" s="0" t="str">
        <f aca="false">IF(A4138="","",IF(COUNTIFS($C$2:$C$5001,C4138,$J$2:$J$5001,J4138,$A$2:$A$5001,"&lt;"&amp;A4138)=0,1,0))</f>
        <v/>
      </c>
    </row>
    <row r="4139" customFormat="false" ht="15" hidden="false" customHeight="false" outlineLevel="0" collapsed="false">
      <c r="A4139" s="27"/>
      <c r="F4139" s="28"/>
      <c r="J4139" s="0" t="str">
        <f aca="false">IF(A4139="","",YEAR(A4139))</f>
        <v/>
      </c>
      <c r="K4139" s="0" t="str">
        <f aca="false">IF(A4139="","",MONTH(A4139))</f>
        <v/>
      </c>
      <c r="L4139" s="0" t="str">
        <f aca="false">IF(B4139="","",VALUE(LEFT(B4139,2)))</f>
        <v/>
      </c>
      <c r="M4139" s="0" t="str">
        <f aca="false">IF(A4139="","",IF(COUNTIFS($C$2:$C$5001,C4139,$J$2:$J$5001,J4139,$A$2:$A$5001,"&lt;"&amp;A4139)=0,1,0))</f>
        <v/>
      </c>
    </row>
    <row r="4140" customFormat="false" ht="15" hidden="false" customHeight="false" outlineLevel="0" collapsed="false">
      <c r="A4140" s="27"/>
      <c r="F4140" s="28"/>
      <c r="J4140" s="0" t="str">
        <f aca="false">IF(A4140="","",YEAR(A4140))</f>
        <v/>
      </c>
      <c r="K4140" s="0" t="str">
        <f aca="false">IF(A4140="","",MONTH(A4140))</f>
        <v/>
      </c>
      <c r="L4140" s="0" t="str">
        <f aca="false">IF(B4140="","",VALUE(LEFT(B4140,2)))</f>
        <v/>
      </c>
      <c r="M4140" s="0" t="str">
        <f aca="false">IF(A4140="","",IF(COUNTIFS($C$2:$C$5001,C4140,$J$2:$J$5001,J4140,$A$2:$A$5001,"&lt;"&amp;A4140)=0,1,0))</f>
        <v/>
      </c>
    </row>
    <row r="4141" customFormat="false" ht="15" hidden="false" customHeight="false" outlineLevel="0" collapsed="false">
      <c r="A4141" s="27"/>
      <c r="F4141" s="28"/>
      <c r="J4141" s="0" t="str">
        <f aca="false">IF(A4141="","",YEAR(A4141))</f>
        <v/>
      </c>
      <c r="K4141" s="0" t="str">
        <f aca="false">IF(A4141="","",MONTH(A4141))</f>
        <v/>
      </c>
      <c r="L4141" s="0" t="str">
        <f aca="false">IF(B4141="","",VALUE(LEFT(B4141,2)))</f>
        <v/>
      </c>
      <c r="M4141" s="0" t="str">
        <f aca="false">IF(A4141="","",IF(COUNTIFS($C$2:$C$5001,C4141,$J$2:$J$5001,J4141,$A$2:$A$5001,"&lt;"&amp;A4141)=0,1,0))</f>
        <v/>
      </c>
    </row>
    <row r="4142" customFormat="false" ht="15" hidden="false" customHeight="false" outlineLevel="0" collapsed="false">
      <c r="A4142" s="27"/>
      <c r="F4142" s="28"/>
      <c r="J4142" s="0" t="str">
        <f aca="false">IF(A4142="","",YEAR(A4142))</f>
        <v/>
      </c>
      <c r="K4142" s="0" t="str">
        <f aca="false">IF(A4142="","",MONTH(A4142))</f>
        <v/>
      </c>
      <c r="L4142" s="0" t="str">
        <f aca="false">IF(B4142="","",VALUE(LEFT(B4142,2)))</f>
        <v/>
      </c>
      <c r="M4142" s="0" t="str">
        <f aca="false">IF(A4142="","",IF(COUNTIFS($C$2:$C$5001,C4142,$J$2:$J$5001,J4142,$A$2:$A$5001,"&lt;"&amp;A4142)=0,1,0))</f>
        <v/>
      </c>
    </row>
    <row r="4143" customFormat="false" ht="15" hidden="false" customHeight="false" outlineLevel="0" collapsed="false">
      <c r="A4143" s="27"/>
      <c r="F4143" s="28"/>
      <c r="J4143" s="0" t="str">
        <f aca="false">IF(A4143="","",YEAR(A4143))</f>
        <v/>
      </c>
      <c r="K4143" s="0" t="str">
        <f aca="false">IF(A4143="","",MONTH(A4143))</f>
        <v/>
      </c>
      <c r="L4143" s="0" t="str">
        <f aca="false">IF(B4143="","",VALUE(LEFT(B4143,2)))</f>
        <v/>
      </c>
      <c r="M4143" s="0" t="str">
        <f aca="false">IF(A4143="","",IF(COUNTIFS($C$2:$C$5001,C4143,$J$2:$J$5001,J4143,$A$2:$A$5001,"&lt;"&amp;A4143)=0,1,0))</f>
        <v/>
      </c>
    </row>
    <row r="4144" customFormat="false" ht="15" hidden="false" customHeight="false" outlineLevel="0" collapsed="false">
      <c r="A4144" s="27"/>
      <c r="F4144" s="28"/>
      <c r="J4144" s="0" t="str">
        <f aca="false">IF(A4144="","",YEAR(A4144))</f>
        <v/>
      </c>
      <c r="K4144" s="0" t="str">
        <f aca="false">IF(A4144="","",MONTH(A4144))</f>
        <v/>
      </c>
      <c r="L4144" s="0" t="str">
        <f aca="false">IF(B4144="","",VALUE(LEFT(B4144,2)))</f>
        <v/>
      </c>
      <c r="M4144" s="0" t="str">
        <f aca="false">IF(A4144="","",IF(COUNTIFS($C$2:$C$5001,C4144,$J$2:$J$5001,J4144,$A$2:$A$5001,"&lt;"&amp;A4144)=0,1,0))</f>
        <v/>
      </c>
    </row>
    <row r="4145" customFormat="false" ht="15" hidden="false" customHeight="false" outlineLevel="0" collapsed="false">
      <c r="A4145" s="27"/>
      <c r="F4145" s="28"/>
      <c r="J4145" s="0" t="str">
        <f aca="false">IF(A4145="","",YEAR(A4145))</f>
        <v/>
      </c>
      <c r="K4145" s="0" t="str">
        <f aca="false">IF(A4145="","",MONTH(A4145))</f>
        <v/>
      </c>
      <c r="L4145" s="0" t="str">
        <f aca="false">IF(B4145="","",VALUE(LEFT(B4145,2)))</f>
        <v/>
      </c>
      <c r="M4145" s="0" t="str">
        <f aca="false">IF(A4145="","",IF(COUNTIFS($C$2:$C$5001,C4145,$J$2:$J$5001,J4145,$A$2:$A$5001,"&lt;"&amp;A4145)=0,1,0))</f>
        <v/>
      </c>
    </row>
    <row r="4146" customFormat="false" ht="15" hidden="false" customHeight="false" outlineLevel="0" collapsed="false">
      <c r="A4146" s="27"/>
      <c r="F4146" s="28"/>
      <c r="J4146" s="0" t="str">
        <f aca="false">IF(A4146="","",YEAR(A4146))</f>
        <v/>
      </c>
      <c r="K4146" s="0" t="str">
        <f aca="false">IF(A4146="","",MONTH(A4146))</f>
        <v/>
      </c>
      <c r="L4146" s="0" t="str">
        <f aca="false">IF(B4146="","",VALUE(LEFT(B4146,2)))</f>
        <v/>
      </c>
      <c r="M4146" s="0" t="str">
        <f aca="false">IF(A4146="","",IF(COUNTIFS($C$2:$C$5001,C4146,$J$2:$J$5001,J4146,$A$2:$A$5001,"&lt;"&amp;A4146)=0,1,0))</f>
        <v/>
      </c>
    </row>
    <row r="4147" customFormat="false" ht="15" hidden="false" customHeight="false" outlineLevel="0" collapsed="false">
      <c r="A4147" s="27"/>
      <c r="F4147" s="28"/>
      <c r="J4147" s="0" t="str">
        <f aca="false">IF(A4147="","",YEAR(A4147))</f>
        <v/>
      </c>
      <c r="K4147" s="0" t="str">
        <f aca="false">IF(A4147="","",MONTH(A4147))</f>
        <v/>
      </c>
      <c r="L4147" s="0" t="str">
        <f aca="false">IF(B4147="","",VALUE(LEFT(B4147,2)))</f>
        <v/>
      </c>
      <c r="M4147" s="0" t="str">
        <f aca="false">IF(A4147="","",IF(COUNTIFS($C$2:$C$5001,C4147,$J$2:$J$5001,J4147,$A$2:$A$5001,"&lt;"&amp;A4147)=0,1,0))</f>
        <v/>
      </c>
    </row>
    <row r="4148" customFormat="false" ht="15" hidden="false" customHeight="false" outlineLevel="0" collapsed="false">
      <c r="A4148" s="27"/>
      <c r="F4148" s="28"/>
      <c r="J4148" s="0" t="str">
        <f aca="false">IF(A4148="","",YEAR(A4148))</f>
        <v/>
      </c>
      <c r="K4148" s="0" t="str">
        <f aca="false">IF(A4148="","",MONTH(A4148))</f>
        <v/>
      </c>
      <c r="L4148" s="0" t="str">
        <f aca="false">IF(B4148="","",VALUE(LEFT(B4148,2)))</f>
        <v/>
      </c>
      <c r="M4148" s="0" t="str">
        <f aca="false">IF(A4148="","",IF(COUNTIFS($C$2:$C$5001,C4148,$J$2:$J$5001,J4148,$A$2:$A$5001,"&lt;"&amp;A4148)=0,1,0))</f>
        <v/>
      </c>
    </row>
    <row r="4149" customFormat="false" ht="15" hidden="false" customHeight="false" outlineLevel="0" collapsed="false">
      <c r="A4149" s="27"/>
      <c r="F4149" s="28"/>
      <c r="J4149" s="0" t="str">
        <f aca="false">IF(A4149="","",YEAR(A4149))</f>
        <v/>
      </c>
      <c r="K4149" s="0" t="str">
        <f aca="false">IF(A4149="","",MONTH(A4149))</f>
        <v/>
      </c>
      <c r="L4149" s="0" t="str">
        <f aca="false">IF(B4149="","",VALUE(LEFT(B4149,2)))</f>
        <v/>
      </c>
      <c r="M4149" s="0" t="str">
        <f aca="false">IF(A4149="","",IF(COUNTIFS($C$2:$C$5001,C4149,$J$2:$J$5001,J4149,$A$2:$A$5001,"&lt;"&amp;A4149)=0,1,0))</f>
        <v/>
      </c>
    </row>
    <row r="4150" customFormat="false" ht="15" hidden="false" customHeight="false" outlineLevel="0" collapsed="false">
      <c r="A4150" s="27"/>
      <c r="F4150" s="28"/>
      <c r="J4150" s="0" t="str">
        <f aca="false">IF(A4150="","",YEAR(A4150))</f>
        <v/>
      </c>
      <c r="K4150" s="0" t="str">
        <f aca="false">IF(A4150="","",MONTH(A4150))</f>
        <v/>
      </c>
      <c r="L4150" s="0" t="str">
        <f aca="false">IF(B4150="","",VALUE(LEFT(B4150,2)))</f>
        <v/>
      </c>
      <c r="M4150" s="0" t="str">
        <f aca="false">IF(A4150="","",IF(COUNTIFS($C$2:$C$5001,C4150,$J$2:$J$5001,J4150,$A$2:$A$5001,"&lt;"&amp;A4150)=0,1,0))</f>
        <v/>
      </c>
    </row>
    <row r="4151" customFormat="false" ht="15" hidden="false" customHeight="false" outlineLevel="0" collapsed="false">
      <c r="A4151" s="27"/>
      <c r="F4151" s="28"/>
      <c r="J4151" s="0" t="str">
        <f aca="false">IF(A4151="","",YEAR(A4151))</f>
        <v/>
      </c>
      <c r="K4151" s="0" t="str">
        <f aca="false">IF(A4151="","",MONTH(A4151))</f>
        <v/>
      </c>
      <c r="L4151" s="0" t="str">
        <f aca="false">IF(B4151="","",VALUE(LEFT(B4151,2)))</f>
        <v/>
      </c>
      <c r="M4151" s="0" t="str">
        <f aca="false">IF(A4151="","",IF(COUNTIFS($C$2:$C$5001,C4151,$J$2:$J$5001,J4151,$A$2:$A$5001,"&lt;"&amp;A4151)=0,1,0))</f>
        <v/>
      </c>
    </row>
    <row r="4152" customFormat="false" ht="15" hidden="false" customHeight="false" outlineLevel="0" collapsed="false">
      <c r="A4152" s="27"/>
      <c r="F4152" s="28"/>
      <c r="J4152" s="0" t="str">
        <f aca="false">IF(A4152="","",YEAR(A4152))</f>
        <v/>
      </c>
      <c r="K4152" s="0" t="str">
        <f aca="false">IF(A4152="","",MONTH(A4152))</f>
        <v/>
      </c>
      <c r="L4152" s="0" t="str">
        <f aca="false">IF(B4152="","",VALUE(LEFT(B4152,2)))</f>
        <v/>
      </c>
      <c r="M4152" s="0" t="str">
        <f aca="false">IF(A4152="","",IF(COUNTIFS($C$2:$C$5001,C4152,$J$2:$J$5001,J4152,$A$2:$A$5001,"&lt;"&amp;A4152)=0,1,0))</f>
        <v/>
      </c>
    </row>
    <row r="4153" customFormat="false" ht="15" hidden="false" customHeight="false" outlineLevel="0" collapsed="false">
      <c r="A4153" s="27"/>
      <c r="F4153" s="28"/>
      <c r="J4153" s="0" t="str">
        <f aca="false">IF(A4153="","",YEAR(A4153))</f>
        <v/>
      </c>
      <c r="K4153" s="0" t="str">
        <f aca="false">IF(A4153="","",MONTH(A4153))</f>
        <v/>
      </c>
      <c r="L4153" s="0" t="str">
        <f aca="false">IF(B4153="","",VALUE(LEFT(B4153,2)))</f>
        <v/>
      </c>
      <c r="M4153" s="0" t="str">
        <f aca="false">IF(A4153="","",IF(COUNTIFS($C$2:$C$5001,C4153,$J$2:$J$5001,J4153,$A$2:$A$5001,"&lt;"&amp;A4153)=0,1,0))</f>
        <v/>
      </c>
    </row>
    <row r="4154" customFormat="false" ht="15" hidden="false" customHeight="false" outlineLevel="0" collapsed="false">
      <c r="A4154" s="27"/>
      <c r="F4154" s="28"/>
      <c r="J4154" s="0" t="str">
        <f aca="false">IF(A4154="","",YEAR(A4154))</f>
        <v/>
      </c>
      <c r="K4154" s="0" t="str">
        <f aca="false">IF(A4154="","",MONTH(A4154))</f>
        <v/>
      </c>
      <c r="L4154" s="0" t="str">
        <f aca="false">IF(B4154="","",VALUE(LEFT(B4154,2)))</f>
        <v/>
      </c>
      <c r="M4154" s="0" t="str">
        <f aca="false">IF(A4154="","",IF(COUNTIFS($C$2:$C$5001,C4154,$J$2:$J$5001,J4154,$A$2:$A$5001,"&lt;"&amp;A4154)=0,1,0))</f>
        <v/>
      </c>
    </row>
    <row r="4155" customFormat="false" ht="15" hidden="false" customHeight="false" outlineLevel="0" collapsed="false">
      <c r="A4155" s="27"/>
      <c r="F4155" s="28"/>
      <c r="J4155" s="0" t="str">
        <f aca="false">IF(A4155="","",YEAR(A4155))</f>
        <v/>
      </c>
      <c r="K4155" s="0" t="str">
        <f aca="false">IF(A4155="","",MONTH(A4155))</f>
        <v/>
      </c>
      <c r="L4155" s="0" t="str">
        <f aca="false">IF(B4155="","",VALUE(LEFT(B4155,2)))</f>
        <v/>
      </c>
      <c r="M4155" s="0" t="str">
        <f aca="false">IF(A4155="","",IF(COUNTIFS($C$2:$C$5001,C4155,$J$2:$J$5001,J4155,$A$2:$A$5001,"&lt;"&amp;A4155)=0,1,0))</f>
        <v/>
      </c>
    </row>
    <row r="4156" customFormat="false" ht="15" hidden="false" customHeight="false" outlineLevel="0" collapsed="false">
      <c r="A4156" s="27"/>
      <c r="F4156" s="28"/>
      <c r="J4156" s="0" t="str">
        <f aca="false">IF(A4156="","",YEAR(A4156))</f>
        <v/>
      </c>
      <c r="K4156" s="0" t="str">
        <f aca="false">IF(A4156="","",MONTH(A4156))</f>
        <v/>
      </c>
      <c r="L4156" s="0" t="str">
        <f aca="false">IF(B4156="","",VALUE(LEFT(B4156,2)))</f>
        <v/>
      </c>
      <c r="M4156" s="0" t="str">
        <f aca="false">IF(A4156="","",IF(COUNTIFS($C$2:$C$5001,C4156,$J$2:$J$5001,J4156,$A$2:$A$5001,"&lt;"&amp;A4156)=0,1,0))</f>
        <v/>
      </c>
    </row>
    <row r="4157" customFormat="false" ht="15" hidden="false" customHeight="false" outlineLevel="0" collapsed="false">
      <c r="A4157" s="27"/>
      <c r="F4157" s="28"/>
      <c r="J4157" s="0" t="str">
        <f aca="false">IF(A4157="","",YEAR(A4157))</f>
        <v/>
      </c>
      <c r="K4157" s="0" t="str">
        <f aca="false">IF(A4157="","",MONTH(A4157))</f>
        <v/>
      </c>
      <c r="L4157" s="0" t="str">
        <f aca="false">IF(B4157="","",VALUE(LEFT(B4157,2)))</f>
        <v/>
      </c>
      <c r="M4157" s="0" t="str">
        <f aca="false">IF(A4157="","",IF(COUNTIFS($C$2:$C$5001,C4157,$J$2:$J$5001,J4157,$A$2:$A$5001,"&lt;"&amp;A4157)=0,1,0))</f>
        <v/>
      </c>
    </row>
    <row r="4158" customFormat="false" ht="15" hidden="false" customHeight="false" outlineLevel="0" collapsed="false">
      <c r="A4158" s="27"/>
      <c r="F4158" s="28"/>
      <c r="J4158" s="0" t="str">
        <f aca="false">IF(A4158="","",YEAR(A4158))</f>
        <v/>
      </c>
      <c r="K4158" s="0" t="str">
        <f aca="false">IF(A4158="","",MONTH(A4158))</f>
        <v/>
      </c>
      <c r="L4158" s="0" t="str">
        <f aca="false">IF(B4158="","",VALUE(LEFT(B4158,2)))</f>
        <v/>
      </c>
      <c r="M4158" s="0" t="str">
        <f aca="false">IF(A4158="","",IF(COUNTIFS($C$2:$C$5001,C4158,$J$2:$J$5001,J4158,$A$2:$A$5001,"&lt;"&amp;A4158)=0,1,0))</f>
        <v/>
      </c>
    </row>
    <row r="4159" customFormat="false" ht="15" hidden="false" customHeight="false" outlineLevel="0" collapsed="false">
      <c r="A4159" s="27"/>
      <c r="F4159" s="28"/>
      <c r="J4159" s="0" t="str">
        <f aca="false">IF(A4159="","",YEAR(A4159))</f>
        <v/>
      </c>
      <c r="K4159" s="0" t="str">
        <f aca="false">IF(A4159="","",MONTH(A4159))</f>
        <v/>
      </c>
      <c r="L4159" s="0" t="str">
        <f aca="false">IF(B4159="","",VALUE(LEFT(B4159,2)))</f>
        <v/>
      </c>
      <c r="M4159" s="0" t="str">
        <f aca="false">IF(A4159="","",IF(COUNTIFS($C$2:$C$5001,C4159,$J$2:$J$5001,J4159,$A$2:$A$5001,"&lt;"&amp;A4159)=0,1,0))</f>
        <v/>
      </c>
    </row>
    <row r="4160" customFormat="false" ht="15" hidden="false" customHeight="false" outlineLevel="0" collapsed="false">
      <c r="A4160" s="27"/>
      <c r="F4160" s="28"/>
      <c r="J4160" s="0" t="str">
        <f aca="false">IF(A4160="","",YEAR(A4160))</f>
        <v/>
      </c>
      <c r="K4160" s="0" t="str">
        <f aca="false">IF(A4160="","",MONTH(A4160))</f>
        <v/>
      </c>
      <c r="L4160" s="0" t="str">
        <f aca="false">IF(B4160="","",VALUE(LEFT(B4160,2)))</f>
        <v/>
      </c>
      <c r="M4160" s="0" t="str">
        <f aca="false">IF(A4160="","",IF(COUNTIFS($C$2:$C$5001,C4160,$J$2:$J$5001,J4160,$A$2:$A$5001,"&lt;"&amp;A4160)=0,1,0))</f>
        <v/>
      </c>
    </row>
    <row r="4161" customFormat="false" ht="15" hidden="false" customHeight="false" outlineLevel="0" collapsed="false">
      <c r="A4161" s="27"/>
      <c r="F4161" s="28"/>
      <c r="J4161" s="0" t="str">
        <f aca="false">IF(A4161="","",YEAR(A4161))</f>
        <v/>
      </c>
      <c r="K4161" s="0" t="str">
        <f aca="false">IF(A4161="","",MONTH(A4161))</f>
        <v/>
      </c>
      <c r="L4161" s="0" t="str">
        <f aca="false">IF(B4161="","",VALUE(LEFT(B4161,2)))</f>
        <v/>
      </c>
      <c r="M4161" s="0" t="str">
        <f aca="false">IF(A4161="","",IF(COUNTIFS($C$2:$C$5001,C4161,$J$2:$J$5001,J4161,$A$2:$A$5001,"&lt;"&amp;A4161)=0,1,0))</f>
        <v/>
      </c>
    </row>
    <row r="4162" customFormat="false" ht="15" hidden="false" customHeight="false" outlineLevel="0" collapsed="false">
      <c r="A4162" s="27"/>
      <c r="F4162" s="28"/>
      <c r="J4162" s="0" t="str">
        <f aca="false">IF(A4162="","",YEAR(A4162))</f>
        <v/>
      </c>
      <c r="K4162" s="0" t="str">
        <f aca="false">IF(A4162="","",MONTH(A4162))</f>
        <v/>
      </c>
      <c r="L4162" s="0" t="str">
        <f aca="false">IF(B4162="","",VALUE(LEFT(B4162,2)))</f>
        <v/>
      </c>
      <c r="M4162" s="0" t="str">
        <f aca="false">IF(A4162="","",IF(COUNTIFS($C$2:$C$5001,C4162,$J$2:$J$5001,J4162,$A$2:$A$5001,"&lt;"&amp;A4162)=0,1,0))</f>
        <v/>
      </c>
    </row>
    <row r="4163" customFormat="false" ht="15" hidden="false" customHeight="false" outlineLevel="0" collapsed="false">
      <c r="A4163" s="27"/>
      <c r="F4163" s="28"/>
      <c r="J4163" s="0" t="str">
        <f aca="false">IF(A4163="","",YEAR(A4163))</f>
        <v/>
      </c>
      <c r="K4163" s="0" t="str">
        <f aca="false">IF(A4163="","",MONTH(A4163))</f>
        <v/>
      </c>
      <c r="L4163" s="0" t="str">
        <f aca="false">IF(B4163="","",VALUE(LEFT(B4163,2)))</f>
        <v/>
      </c>
      <c r="M4163" s="0" t="str">
        <f aca="false">IF(A4163="","",IF(COUNTIFS($C$2:$C$5001,C4163,$J$2:$J$5001,J4163,$A$2:$A$5001,"&lt;"&amp;A4163)=0,1,0))</f>
        <v/>
      </c>
    </row>
    <row r="4164" customFormat="false" ht="15" hidden="false" customHeight="false" outlineLevel="0" collapsed="false">
      <c r="A4164" s="27"/>
      <c r="F4164" s="28"/>
      <c r="J4164" s="0" t="str">
        <f aca="false">IF(A4164="","",YEAR(A4164))</f>
        <v/>
      </c>
      <c r="K4164" s="0" t="str">
        <f aca="false">IF(A4164="","",MONTH(A4164))</f>
        <v/>
      </c>
      <c r="L4164" s="0" t="str">
        <f aca="false">IF(B4164="","",VALUE(LEFT(B4164,2)))</f>
        <v/>
      </c>
      <c r="M4164" s="0" t="str">
        <f aca="false">IF(A4164="","",IF(COUNTIFS($C$2:$C$5001,C4164,$J$2:$J$5001,J4164,$A$2:$A$5001,"&lt;"&amp;A4164)=0,1,0))</f>
        <v/>
      </c>
    </row>
    <row r="4165" customFormat="false" ht="15" hidden="false" customHeight="false" outlineLevel="0" collapsed="false">
      <c r="A4165" s="27"/>
      <c r="F4165" s="28"/>
      <c r="J4165" s="0" t="str">
        <f aca="false">IF(A4165="","",YEAR(A4165))</f>
        <v/>
      </c>
      <c r="K4165" s="0" t="str">
        <f aca="false">IF(A4165="","",MONTH(A4165))</f>
        <v/>
      </c>
      <c r="L4165" s="0" t="str">
        <f aca="false">IF(B4165="","",VALUE(LEFT(B4165,2)))</f>
        <v/>
      </c>
      <c r="M4165" s="0" t="str">
        <f aca="false">IF(A4165="","",IF(COUNTIFS($C$2:$C$5001,C4165,$J$2:$J$5001,J4165,$A$2:$A$5001,"&lt;"&amp;A4165)=0,1,0))</f>
        <v/>
      </c>
    </row>
    <row r="4166" customFormat="false" ht="15" hidden="false" customHeight="false" outlineLevel="0" collapsed="false">
      <c r="A4166" s="27"/>
      <c r="F4166" s="28"/>
      <c r="J4166" s="0" t="str">
        <f aca="false">IF(A4166="","",YEAR(A4166))</f>
        <v/>
      </c>
      <c r="K4166" s="0" t="str">
        <f aca="false">IF(A4166="","",MONTH(A4166))</f>
        <v/>
      </c>
      <c r="L4166" s="0" t="str">
        <f aca="false">IF(B4166="","",VALUE(LEFT(B4166,2)))</f>
        <v/>
      </c>
      <c r="M4166" s="0" t="str">
        <f aca="false">IF(A4166="","",IF(COUNTIFS($C$2:$C$5001,C4166,$J$2:$J$5001,J4166,$A$2:$A$5001,"&lt;"&amp;A4166)=0,1,0))</f>
        <v/>
      </c>
    </row>
    <row r="4167" customFormat="false" ht="15" hidden="false" customHeight="false" outlineLevel="0" collapsed="false">
      <c r="A4167" s="27"/>
      <c r="F4167" s="28"/>
      <c r="J4167" s="0" t="str">
        <f aca="false">IF(A4167="","",YEAR(A4167))</f>
        <v/>
      </c>
      <c r="K4167" s="0" t="str">
        <f aca="false">IF(A4167="","",MONTH(A4167))</f>
        <v/>
      </c>
      <c r="L4167" s="0" t="str">
        <f aca="false">IF(B4167="","",VALUE(LEFT(B4167,2)))</f>
        <v/>
      </c>
      <c r="M4167" s="0" t="str">
        <f aca="false">IF(A4167="","",IF(COUNTIFS($C$2:$C$5001,C4167,$J$2:$J$5001,J4167,$A$2:$A$5001,"&lt;"&amp;A4167)=0,1,0))</f>
        <v/>
      </c>
    </row>
    <row r="4168" customFormat="false" ht="15" hidden="false" customHeight="false" outlineLevel="0" collapsed="false">
      <c r="A4168" s="27"/>
      <c r="F4168" s="28"/>
      <c r="J4168" s="0" t="str">
        <f aca="false">IF(A4168="","",YEAR(A4168))</f>
        <v/>
      </c>
      <c r="K4168" s="0" t="str">
        <f aca="false">IF(A4168="","",MONTH(A4168))</f>
        <v/>
      </c>
      <c r="L4168" s="0" t="str">
        <f aca="false">IF(B4168="","",VALUE(LEFT(B4168,2)))</f>
        <v/>
      </c>
      <c r="M4168" s="0" t="str">
        <f aca="false">IF(A4168="","",IF(COUNTIFS($C$2:$C$5001,C4168,$J$2:$J$5001,J4168,$A$2:$A$5001,"&lt;"&amp;A4168)=0,1,0))</f>
        <v/>
      </c>
    </row>
    <row r="4169" customFormat="false" ht="15" hidden="false" customHeight="false" outlineLevel="0" collapsed="false">
      <c r="A4169" s="27"/>
      <c r="F4169" s="28"/>
      <c r="J4169" s="0" t="str">
        <f aca="false">IF(A4169="","",YEAR(A4169))</f>
        <v/>
      </c>
      <c r="K4169" s="0" t="str">
        <f aca="false">IF(A4169="","",MONTH(A4169))</f>
        <v/>
      </c>
      <c r="L4169" s="0" t="str">
        <f aca="false">IF(B4169="","",VALUE(LEFT(B4169,2)))</f>
        <v/>
      </c>
      <c r="M4169" s="0" t="str">
        <f aca="false">IF(A4169="","",IF(COUNTIFS($C$2:$C$5001,C4169,$J$2:$J$5001,J4169,$A$2:$A$5001,"&lt;"&amp;A4169)=0,1,0))</f>
        <v/>
      </c>
    </row>
    <row r="4170" customFormat="false" ht="15" hidden="false" customHeight="false" outlineLevel="0" collapsed="false">
      <c r="A4170" s="27"/>
      <c r="F4170" s="28"/>
      <c r="J4170" s="0" t="str">
        <f aca="false">IF(A4170="","",YEAR(A4170))</f>
        <v/>
      </c>
      <c r="K4170" s="0" t="str">
        <f aca="false">IF(A4170="","",MONTH(A4170))</f>
        <v/>
      </c>
      <c r="L4170" s="0" t="str">
        <f aca="false">IF(B4170="","",VALUE(LEFT(B4170,2)))</f>
        <v/>
      </c>
      <c r="M4170" s="0" t="str">
        <f aca="false">IF(A4170="","",IF(COUNTIFS($C$2:$C$5001,C4170,$J$2:$J$5001,J4170,$A$2:$A$5001,"&lt;"&amp;A4170)=0,1,0))</f>
        <v/>
      </c>
    </row>
    <row r="4171" customFormat="false" ht="15" hidden="false" customHeight="false" outlineLevel="0" collapsed="false">
      <c r="A4171" s="27"/>
      <c r="F4171" s="28"/>
      <c r="J4171" s="0" t="str">
        <f aca="false">IF(A4171="","",YEAR(A4171))</f>
        <v/>
      </c>
      <c r="K4171" s="0" t="str">
        <f aca="false">IF(A4171="","",MONTH(A4171))</f>
        <v/>
      </c>
      <c r="L4171" s="0" t="str">
        <f aca="false">IF(B4171="","",VALUE(LEFT(B4171,2)))</f>
        <v/>
      </c>
      <c r="M4171" s="0" t="str">
        <f aca="false">IF(A4171="","",IF(COUNTIFS($C$2:$C$5001,C4171,$J$2:$J$5001,J4171,$A$2:$A$5001,"&lt;"&amp;A4171)=0,1,0))</f>
        <v/>
      </c>
    </row>
    <row r="4172" customFormat="false" ht="15" hidden="false" customHeight="false" outlineLevel="0" collapsed="false">
      <c r="A4172" s="27"/>
      <c r="F4172" s="28"/>
      <c r="J4172" s="0" t="str">
        <f aca="false">IF(A4172="","",YEAR(A4172))</f>
        <v/>
      </c>
      <c r="K4172" s="0" t="str">
        <f aca="false">IF(A4172="","",MONTH(A4172))</f>
        <v/>
      </c>
      <c r="L4172" s="0" t="str">
        <f aca="false">IF(B4172="","",VALUE(LEFT(B4172,2)))</f>
        <v/>
      </c>
      <c r="M4172" s="0" t="str">
        <f aca="false">IF(A4172="","",IF(COUNTIFS($C$2:$C$5001,C4172,$J$2:$J$5001,J4172,$A$2:$A$5001,"&lt;"&amp;A4172)=0,1,0))</f>
        <v/>
      </c>
    </row>
    <row r="4173" customFormat="false" ht="15" hidden="false" customHeight="false" outlineLevel="0" collapsed="false">
      <c r="A4173" s="27"/>
      <c r="F4173" s="28"/>
      <c r="J4173" s="0" t="str">
        <f aca="false">IF(A4173="","",YEAR(A4173))</f>
        <v/>
      </c>
      <c r="K4173" s="0" t="str">
        <f aca="false">IF(A4173="","",MONTH(A4173))</f>
        <v/>
      </c>
      <c r="L4173" s="0" t="str">
        <f aca="false">IF(B4173="","",VALUE(LEFT(B4173,2)))</f>
        <v/>
      </c>
      <c r="M4173" s="0" t="str">
        <f aca="false">IF(A4173="","",IF(COUNTIFS($C$2:$C$5001,C4173,$J$2:$J$5001,J4173,$A$2:$A$5001,"&lt;"&amp;A4173)=0,1,0))</f>
        <v/>
      </c>
    </row>
    <row r="4174" customFormat="false" ht="15" hidden="false" customHeight="false" outlineLevel="0" collapsed="false">
      <c r="A4174" s="27"/>
      <c r="F4174" s="28"/>
      <c r="J4174" s="0" t="str">
        <f aca="false">IF(A4174="","",YEAR(A4174))</f>
        <v/>
      </c>
      <c r="K4174" s="0" t="str">
        <f aca="false">IF(A4174="","",MONTH(A4174))</f>
        <v/>
      </c>
      <c r="L4174" s="0" t="str">
        <f aca="false">IF(B4174="","",VALUE(LEFT(B4174,2)))</f>
        <v/>
      </c>
      <c r="M4174" s="0" t="str">
        <f aca="false">IF(A4174="","",IF(COUNTIFS($C$2:$C$5001,C4174,$J$2:$J$5001,J4174,$A$2:$A$5001,"&lt;"&amp;A4174)=0,1,0))</f>
        <v/>
      </c>
    </row>
    <row r="4175" customFormat="false" ht="15" hidden="false" customHeight="false" outlineLevel="0" collapsed="false">
      <c r="A4175" s="27"/>
      <c r="F4175" s="28"/>
      <c r="J4175" s="0" t="str">
        <f aca="false">IF(A4175="","",YEAR(A4175))</f>
        <v/>
      </c>
      <c r="K4175" s="0" t="str">
        <f aca="false">IF(A4175="","",MONTH(A4175))</f>
        <v/>
      </c>
      <c r="L4175" s="0" t="str">
        <f aca="false">IF(B4175="","",VALUE(LEFT(B4175,2)))</f>
        <v/>
      </c>
      <c r="M4175" s="0" t="str">
        <f aca="false">IF(A4175="","",IF(COUNTIFS($C$2:$C$5001,C4175,$J$2:$J$5001,J4175,$A$2:$A$5001,"&lt;"&amp;A4175)=0,1,0))</f>
        <v/>
      </c>
    </row>
    <row r="4176" customFormat="false" ht="15" hidden="false" customHeight="false" outlineLevel="0" collapsed="false">
      <c r="A4176" s="27"/>
      <c r="F4176" s="28"/>
      <c r="J4176" s="0" t="str">
        <f aca="false">IF(A4176="","",YEAR(A4176))</f>
        <v/>
      </c>
      <c r="K4176" s="0" t="str">
        <f aca="false">IF(A4176="","",MONTH(A4176))</f>
        <v/>
      </c>
      <c r="L4176" s="0" t="str">
        <f aca="false">IF(B4176="","",VALUE(LEFT(B4176,2)))</f>
        <v/>
      </c>
      <c r="M4176" s="0" t="str">
        <f aca="false">IF(A4176="","",IF(COUNTIFS($C$2:$C$5001,C4176,$J$2:$J$5001,J4176,$A$2:$A$5001,"&lt;"&amp;A4176)=0,1,0))</f>
        <v/>
      </c>
    </row>
    <row r="4177" customFormat="false" ht="15" hidden="false" customHeight="false" outlineLevel="0" collapsed="false">
      <c r="A4177" s="27"/>
      <c r="F4177" s="28"/>
      <c r="J4177" s="0" t="str">
        <f aca="false">IF(A4177="","",YEAR(A4177))</f>
        <v/>
      </c>
      <c r="K4177" s="0" t="str">
        <f aca="false">IF(A4177="","",MONTH(A4177))</f>
        <v/>
      </c>
      <c r="L4177" s="0" t="str">
        <f aca="false">IF(B4177="","",VALUE(LEFT(B4177,2)))</f>
        <v/>
      </c>
      <c r="M4177" s="0" t="str">
        <f aca="false">IF(A4177="","",IF(COUNTIFS($C$2:$C$5001,C4177,$J$2:$J$5001,J4177,$A$2:$A$5001,"&lt;"&amp;A4177)=0,1,0))</f>
        <v/>
      </c>
    </row>
    <row r="4178" customFormat="false" ht="15" hidden="false" customHeight="false" outlineLevel="0" collapsed="false">
      <c r="A4178" s="27"/>
      <c r="F4178" s="28"/>
      <c r="J4178" s="0" t="str">
        <f aca="false">IF(A4178="","",YEAR(A4178))</f>
        <v/>
      </c>
      <c r="K4178" s="0" t="str">
        <f aca="false">IF(A4178="","",MONTH(A4178))</f>
        <v/>
      </c>
      <c r="L4178" s="0" t="str">
        <f aca="false">IF(B4178="","",VALUE(LEFT(B4178,2)))</f>
        <v/>
      </c>
      <c r="M4178" s="0" t="str">
        <f aca="false">IF(A4178="","",IF(COUNTIFS($C$2:$C$5001,C4178,$J$2:$J$5001,J4178,$A$2:$A$5001,"&lt;"&amp;A4178)=0,1,0))</f>
        <v/>
      </c>
    </row>
    <row r="4179" customFormat="false" ht="15" hidden="false" customHeight="false" outlineLevel="0" collapsed="false">
      <c r="A4179" s="27"/>
      <c r="F4179" s="28"/>
      <c r="J4179" s="0" t="str">
        <f aca="false">IF(A4179="","",YEAR(A4179))</f>
        <v/>
      </c>
      <c r="K4179" s="0" t="str">
        <f aca="false">IF(A4179="","",MONTH(A4179))</f>
        <v/>
      </c>
      <c r="L4179" s="0" t="str">
        <f aca="false">IF(B4179="","",VALUE(LEFT(B4179,2)))</f>
        <v/>
      </c>
      <c r="M4179" s="0" t="str">
        <f aca="false">IF(A4179="","",IF(COUNTIFS($C$2:$C$5001,C4179,$J$2:$J$5001,J4179,$A$2:$A$5001,"&lt;"&amp;A4179)=0,1,0))</f>
        <v/>
      </c>
    </row>
    <row r="4180" customFormat="false" ht="15" hidden="false" customHeight="false" outlineLevel="0" collapsed="false">
      <c r="A4180" s="27"/>
      <c r="F4180" s="28"/>
      <c r="J4180" s="0" t="str">
        <f aca="false">IF(A4180="","",YEAR(A4180))</f>
        <v/>
      </c>
      <c r="K4180" s="0" t="str">
        <f aca="false">IF(A4180="","",MONTH(A4180))</f>
        <v/>
      </c>
      <c r="L4180" s="0" t="str">
        <f aca="false">IF(B4180="","",VALUE(LEFT(B4180,2)))</f>
        <v/>
      </c>
      <c r="M4180" s="0" t="str">
        <f aca="false">IF(A4180="","",IF(COUNTIFS($C$2:$C$5001,C4180,$J$2:$J$5001,J4180,$A$2:$A$5001,"&lt;"&amp;A4180)=0,1,0))</f>
        <v/>
      </c>
    </row>
    <row r="4181" customFormat="false" ht="15" hidden="false" customHeight="false" outlineLevel="0" collapsed="false">
      <c r="A4181" s="27"/>
      <c r="F4181" s="28"/>
      <c r="J4181" s="0" t="str">
        <f aca="false">IF(A4181="","",YEAR(A4181))</f>
        <v/>
      </c>
      <c r="K4181" s="0" t="str">
        <f aca="false">IF(A4181="","",MONTH(A4181))</f>
        <v/>
      </c>
      <c r="L4181" s="0" t="str">
        <f aca="false">IF(B4181="","",VALUE(LEFT(B4181,2)))</f>
        <v/>
      </c>
      <c r="M4181" s="0" t="str">
        <f aca="false">IF(A4181="","",IF(COUNTIFS($C$2:$C$5001,C4181,$J$2:$J$5001,J4181,$A$2:$A$5001,"&lt;"&amp;A4181)=0,1,0))</f>
        <v/>
      </c>
    </row>
    <row r="4182" customFormat="false" ht="15" hidden="false" customHeight="false" outlineLevel="0" collapsed="false">
      <c r="A4182" s="27"/>
      <c r="F4182" s="28"/>
      <c r="J4182" s="0" t="str">
        <f aca="false">IF(A4182="","",YEAR(A4182))</f>
        <v/>
      </c>
      <c r="K4182" s="0" t="str">
        <f aca="false">IF(A4182="","",MONTH(A4182))</f>
        <v/>
      </c>
      <c r="L4182" s="0" t="str">
        <f aca="false">IF(B4182="","",VALUE(LEFT(B4182,2)))</f>
        <v/>
      </c>
      <c r="M4182" s="0" t="str">
        <f aca="false">IF(A4182="","",IF(COUNTIFS($C$2:$C$5001,C4182,$J$2:$J$5001,J4182,$A$2:$A$5001,"&lt;"&amp;A4182)=0,1,0))</f>
        <v/>
      </c>
    </row>
    <row r="4183" customFormat="false" ht="15" hidden="false" customHeight="false" outlineLevel="0" collapsed="false">
      <c r="A4183" s="27"/>
      <c r="F4183" s="28"/>
      <c r="J4183" s="0" t="str">
        <f aca="false">IF(A4183="","",YEAR(A4183))</f>
        <v/>
      </c>
      <c r="K4183" s="0" t="str">
        <f aca="false">IF(A4183="","",MONTH(A4183))</f>
        <v/>
      </c>
      <c r="L4183" s="0" t="str">
        <f aca="false">IF(B4183="","",VALUE(LEFT(B4183,2)))</f>
        <v/>
      </c>
      <c r="M4183" s="0" t="str">
        <f aca="false">IF(A4183="","",IF(COUNTIFS($C$2:$C$5001,C4183,$J$2:$J$5001,J4183,$A$2:$A$5001,"&lt;"&amp;A4183)=0,1,0))</f>
        <v/>
      </c>
    </row>
    <row r="4184" customFormat="false" ht="15" hidden="false" customHeight="false" outlineLevel="0" collapsed="false">
      <c r="A4184" s="27"/>
      <c r="F4184" s="28"/>
      <c r="J4184" s="0" t="str">
        <f aca="false">IF(A4184="","",YEAR(A4184))</f>
        <v/>
      </c>
      <c r="K4184" s="0" t="str">
        <f aca="false">IF(A4184="","",MONTH(A4184))</f>
        <v/>
      </c>
      <c r="L4184" s="0" t="str">
        <f aca="false">IF(B4184="","",VALUE(LEFT(B4184,2)))</f>
        <v/>
      </c>
      <c r="M4184" s="0" t="str">
        <f aca="false">IF(A4184="","",IF(COUNTIFS($C$2:$C$5001,C4184,$J$2:$J$5001,J4184,$A$2:$A$5001,"&lt;"&amp;A4184)=0,1,0))</f>
        <v/>
      </c>
    </row>
    <row r="4185" customFormat="false" ht="15" hidden="false" customHeight="false" outlineLevel="0" collapsed="false">
      <c r="A4185" s="27"/>
      <c r="F4185" s="28"/>
      <c r="J4185" s="0" t="str">
        <f aca="false">IF(A4185="","",YEAR(A4185))</f>
        <v/>
      </c>
      <c r="K4185" s="0" t="str">
        <f aca="false">IF(A4185="","",MONTH(A4185))</f>
        <v/>
      </c>
      <c r="L4185" s="0" t="str">
        <f aca="false">IF(B4185="","",VALUE(LEFT(B4185,2)))</f>
        <v/>
      </c>
      <c r="M4185" s="0" t="str">
        <f aca="false">IF(A4185="","",IF(COUNTIFS($C$2:$C$5001,C4185,$J$2:$J$5001,J4185,$A$2:$A$5001,"&lt;"&amp;A4185)=0,1,0))</f>
        <v/>
      </c>
    </row>
    <row r="4186" customFormat="false" ht="15" hidden="false" customHeight="false" outlineLevel="0" collapsed="false">
      <c r="A4186" s="27"/>
      <c r="F4186" s="28"/>
      <c r="J4186" s="0" t="str">
        <f aca="false">IF(A4186="","",YEAR(A4186))</f>
        <v/>
      </c>
      <c r="K4186" s="0" t="str">
        <f aca="false">IF(A4186="","",MONTH(A4186))</f>
        <v/>
      </c>
      <c r="L4186" s="0" t="str">
        <f aca="false">IF(B4186="","",VALUE(LEFT(B4186,2)))</f>
        <v/>
      </c>
      <c r="M4186" s="0" t="str">
        <f aca="false">IF(A4186="","",IF(COUNTIFS($C$2:$C$5001,C4186,$J$2:$J$5001,J4186,$A$2:$A$5001,"&lt;"&amp;A4186)=0,1,0))</f>
        <v/>
      </c>
    </row>
    <row r="4187" customFormat="false" ht="15" hidden="false" customHeight="false" outlineLevel="0" collapsed="false">
      <c r="A4187" s="27"/>
      <c r="F4187" s="28"/>
      <c r="J4187" s="0" t="str">
        <f aca="false">IF(A4187="","",YEAR(A4187))</f>
        <v/>
      </c>
      <c r="K4187" s="0" t="str">
        <f aca="false">IF(A4187="","",MONTH(A4187))</f>
        <v/>
      </c>
      <c r="L4187" s="0" t="str">
        <f aca="false">IF(B4187="","",VALUE(LEFT(B4187,2)))</f>
        <v/>
      </c>
      <c r="M4187" s="0" t="str">
        <f aca="false">IF(A4187="","",IF(COUNTIFS($C$2:$C$5001,C4187,$J$2:$J$5001,J4187,$A$2:$A$5001,"&lt;"&amp;A4187)=0,1,0))</f>
        <v/>
      </c>
    </row>
    <row r="4188" customFormat="false" ht="15" hidden="false" customHeight="false" outlineLevel="0" collapsed="false">
      <c r="A4188" s="27"/>
      <c r="F4188" s="28"/>
      <c r="J4188" s="0" t="str">
        <f aca="false">IF(A4188="","",YEAR(A4188))</f>
        <v/>
      </c>
      <c r="K4188" s="0" t="str">
        <f aca="false">IF(A4188="","",MONTH(A4188))</f>
        <v/>
      </c>
      <c r="L4188" s="0" t="str">
        <f aca="false">IF(B4188="","",VALUE(LEFT(B4188,2)))</f>
        <v/>
      </c>
      <c r="M4188" s="0" t="str">
        <f aca="false">IF(A4188="","",IF(COUNTIFS($C$2:$C$5001,C4188,$J$2:$J$5001,J4188,$A$2:$A$5001,"&lt;"&amp;A4188)=0,1,0))</f>
        <v/>
      </c>
    </row>
    <row r="4189" customFormat="false" ht="15" hidden="false" customHeight="false" outlineLevel="0" collapsed="false">
      <c r="A4189" s="27"/>
      <c r="F4189" s="28"/>
      <c r="J4189" s="0" t="str">
        <f aca="false">IF(A4189="","",YEAR(A4189))</f>
        <v/>
      </c>
      <c r="K4189" s="0" t="str">
        <f aca="false">IF(A4189="","",MONTH(A4189))</f>
        <v/>
      </c>
      <c r="L4189" s="0" t="str">
        <f aca="false">IF(B4189="","",VALUE(LEFT(B4189,2)))</f>
        <v/>
      </c>
      <c r="M4189" s="0" t="str">
        <f aca="false">IF(A4189="","",IF(COUNTIFS($C$2:$C$5001,C4189,$J$2:$J$5001,J4189,$A$2:$A$5001,"&lt;"&amp;A4189)=0,1,0))</f>
        <v/>
      </c>
    </row>
    <row r="4190" customFormat="false" ht="15" hidden="false" customHeight="false" outlineLevel="0" collapsed="false">
      <c r="A4190" s="27"/>
      <c r="F4190" s="28"/>
      <c r="J4190" s="0" t="str">
        <f aca="false">IF(A4190="","",YEAR(A4190))</f>
        <v/>
      </c>
      <c r="K4190" s="0" t="str">
        <f aca="false">IF(A4190="","",MONTH(A4190))</f>
        <v/>
      </c>
      <c r="L4190" s="0" t="str">
        <f aca="false">IF(B4190="","",VALUE(LEFT(B4190,2)))</f>
        <v/>
      </c>
      <c r="M4190" s="0" t="str">
        <f aca="false">IF(A4190="","",IF(COUNTIFS($C$2:$C$5001,C4190,$J$2:$J$5001,J4190,$A$2:$A$5001,"&lt;"&amp;A4190)=0,1,0))</f>
        <v/>
      </c>
    </row>
    <row r="4191" customFormat="false" ht="15" hidden="false" customHeight="false" outlineLevel="0" collapsed="false">
      <c r="A4191" s="27"/>
      <c r="F4191" s="28"/>
      <c r="J4191" s="0" t="str">
        <f aca="false">IF(A4191="","",YEAR(A4191))</f>
        <v/>
      </c>
      <c r="K4191" s="0" t="str">
        <f aca="false">IF(A4191="","",MONTH(A4191))</f>
        <v/>
      </c>
      <c r="L4191" s="0" t="str">
        <f aca="false">IF(B4191="","",VALUE(LEFT(B4191,2)))</f>
        <v/>
      </c>
      <c r="M4191" s="0" t="str">
        <f aca="false">IF(A4191="","",IF(COUNTIFS($C$2:$C$5001,C4191,$J$2:$J$5001,J4191,$A$2:$A$5001,"&lt;"&amp;A4191)=0,1,0))</f>
        <v/>
      </c>
    </row>
    <row r="4192" customFormat="false" ht="15" hidden="false" customHeight="false" outlineLevel="0" collapsed="false">
      <c r="A4192" s="27"/>
      <c r="F4192" s="28"/>
      <c r="J4192" s="0" t="str">
        <f aca="false">IF(A4192="","",YEAR(A4192))</f>
        <v/>
      </c>
      <c r="K4192" s="0" t="str">
        <f aca="false">IF(A4192="","",MONTH(A4192))</f>
        <v/>
      </c>
      <c r="L4192" s="0" t="str">
        <f aca="false">IF(B4192="","",VALUE(LEFT(B4192,2)))</f>
        <v/>
      </c>
      <c r="M4192" s="0" t="str">
        <f aca="false">IF(A4192="","",IF(COUNTIFS($C$2:$C$5001,C4192,$J$2:$J$5001,J4192,$A$2:$A$5001,"&lt;"&amp;A4192)=0,1,0))</f>
        <v/>
      </c>
    </row>
    <row r="4193" customFormat="false" ht="15" hidden="false" customHeight="false" outlineLevel="0" collapsed="false">
      <c r="A4193" s="27"/>
      <c r="F4193" s="28"/>
      <c r="J4193" s="0" t="str">
        <f aca="false">IF(A4193="","",YEAR(A4193))</f>
        <v/>
      </c>
      <c r="K4193" s="0" t="str">
        <f aca="false">IF(A4193="","",MONTH(A4193))</f>
        <v/>
      </c>
      <c r="L4193" s="0" t="str">
        <f aca="false">IF(B4193="","",VALUE(LEFT(B4193,2)))</f>
        <v/>
      </c>
      <c r="M4193" s="0" t="str">
        <f aca="false">IF(A4193="","",IF(COUNTIFS($C$2:$C$5001,C4193,$J$2:$J$5001,J4193,$A$2:$A$5001,"&lt;"&amp;A4193)=0,1,0))</f>
        <v/>
      </c>
    </row>
    <row r="4194" customFormat="false" ht="15" hidden="false" customHeight="false" outlineLevel="0" collapsed="false">
      <c r="A4194" s="27"/>
      <c r="F4194" s="28"/>
      <c r="J4194" s="0" t="str">
        <f aca="false">IF(A4194="","",YEAR(A4194))</f>
        <v/>
      </c>
      <c r="K4194" s="0" t="str">
        <f aca="false">IF(A4194="","",MONTH(A4194))</f>
        <v/>
      </c>
      <c r="L4194" s="0" t="str">
        <f aca="false">IF(B4194="","",VALUE(LEFT(B4194,2)))</f>
        <v/>
      </c>
      <c r="M4194" s="0" t="str">
        <f aca="false">IF(A4194="","",IF(COUNTIFS($C$2:$C$5001,C4194,$J$2:$J$5001,J4194,$A$2:$A$5001,"&lt;"&amp;A4194)=0,1,0))</f>
        <v/>
      </c>
    </row>
    <row r="4195" customFormat="false" ht="15" hidden="false" customHeight="false" outlineLevel="0" collapsed="false">
      <c r="A4195" s="27"/>
      <c r="F4195" s="28"/>
      <c r="J4195" s="0" t="str">
        <f aca="false">IF(A4195="","",YEAR(A4195))</f>
        <v/>
      </c>
      <c r="K4195" s="0" t="str">
        <f aca="false">IF(A4195="","",MONTH(A4195))</f>
        <v/>
      </c>
      <c r="L4195" s="0" t="str">
        <f aca="false">IF(B4195="","",VALUE(LEFT(B4195,2)))</f>
        <v/>
      </c>
      <c r="M4195" s="0" t="str">
        <f aca="false">IF(A4195="","",IF(COUNTIFS($C$2:$C$5001,C4195,$J$2:$J$5001,J4195,$A$2:$A$5001,"&lt;"&amp;A4195)=0,1,0))</f>
        <v/>
      </c>
    </row>
    <row r="4196" customFormat="false" ht="15" hidden="false" customHeight="false" outlineLevel="0" collapsed="false">
      <c r="A4196" s="27"/>
      <c r="F4196" s="28"/>
      <c r="J4196" s="0" t="str">
        <f aca="false">IF(A4196="","",YEAR(A4196))</f>
        <v/>
      </c>
      <c r="K4196" s="0" t="str">
        <f aca="false">IF(A4196="","",MONTH(A4196))</f>
        <v/>
      </c>
      <c r="L4196" s="0" t="str">
        <f aca="false">IF(B4196="","",VALUE(LEFT(B4196,2)))</f>
        <v/>
      </c>
      <c r="M4196" s="0" t="str">
        <f aca="false">IF(A4196="","",IF(COUNTIFS($C$2:$C$5001,C4196,$J$2:$J$5001,J4196,$A$2:$A$5001,"&lt;"&amp;A4196)=0,1,0))</f>
        <v/>
      </c>
    </row>
    <row r="4197" customFormat="false" ht="15" hidden="false" customHeight="false" outlineLevel="0" collapsed="false">
      <c r="A4197" s="27"/>
      <c r="F4197" s="28"/>
      <c r="J4197" s="0" t="str">
        <f aca="false">IF(A4197="","",YEAR(A4197))</f>
        <v/>
      </c>
      <c r="K4197" s="0" t="str">
        <f aca="false">IF(A4197="","",MONTH(A4197))</f>
        <v/>
      </c>
      <c r="L4197" s="0" t="str">
        <f aca="false">IF(B4197="","",VALUE(LEFT(B4197,2)))</f>
        <v/>
      </c>
      <c r="M4197" s="0" t="str">
        <f aca="false">IF(A4197="","",IF(COUNTIFS($C$2:$C$5001,C4197,$J$2:$J$5001,J4197,$A$2:$A$5001,"&lt;"&amp;A4197)=0,1,0))</f>
        <v/>
      </c>
    </row>
    <row r="4198" customFormat="false" ht="15" hidden="false" customHeight="false" outlineLevel="0" collapsed="false">
      <c r="A4198" s="27"/>
      <c r="F4198" s="28"/>
      <c r="J4198" s="0" t="str">
        <f aca="false">IF(A4198="","",YEAR(A4198))</f>
        <v/>
      </c>
      <c r="K4198" s="0" t="str">
        <f aca="false">IF(A4198="","",MONTH(A4198))</f>
        <v/>
      </c>
      <c r="L4198" s="0" t="str">
        <f aca="false">IF(B4198="","",VALUE(LEFT(B4198,2)))</f>
        <v/>
      </c>
      <c r="M4198" s="0" t="str">
        <f aca="false">IF(A4198="","",IF(COUNTIFS($C$2:$C$5001,C4198,$J$2:$J$5001,J4198,$A$2:$A$5001,"&lt;"&amp;A4198)=0,1,0))</f>
        <v/>
      </c>
    </row>
    <row r="4199" customFormat="false" ht="15" hidden="false" customHeight="false" outlineLevel="0" collapsed="false">
      <c r="A4199" s="27"/>
      <c r="F4199" s="28"/>
      <c r="J4199" s="0" t="str">
        <f aca="false">IF(A4199="","",YEAR(A4199))</f>
        <v/>
      </c>
      <c r="K4199" s="0" t="str">
        <f aca="false">IF(A4199="","",MONTH(A4199))</f>
        <v/>
      </c>
      <c r="L4199" s="0" t="str">
        <f aca="false">IF(B4199="","",VALUE(LEFT(B4199,2)))</f>
        <v/>
      </c>
      <c r="M4199" s="0" t="str">
        <f aca="false">IF(A4199="","",IF(COUNTIFS($C$2:$C$5001,C4199,$J$2:$J$5001,J4199,$A$2:$A$5001,"&lt;"&amp;A4199)=0,1,0))</f>
        <v/>
      </c>
    </row>
    <row r="4200" customFormat="false" ht="15" hidden="false" customHeight="false" outlineLevel="0" collapsed="false">
      <c r="A4200" s="27"/>
      <c r="F4200" s="28"/>
      <c r="J4200" s="0" t="str">
        <f aca="false">IF(A4200="","",YEAR(A4200))</f>
        <v/>
      </c>
      <c r="K4200" s="0" t="str">
        <f aca="false">IF(A4200="","",MONTH(A4200))</f>
        <v/>
      </c>
      <c r="L4200" s="0" t="str">
        <f aca="false">IF(B4200="","",VALUE(LEFT(B4200,2)))</f>
        <v/>
      </c>
      <c r="M4200" s="0" t="str">
        <f aca="false">IF(A4200="","",IF(COUNTIFS($C$2:$C$5001,C4200,$J$2:$J$5001,J4200,$A$2:$A$5001,"&lt;"&amp;A4200)=0,1,0))</f>
        <v/>
      </c>
    </row>
    <row r="4201" customFormat="false" ht="15" hidden="false" customHeight="false" outlineLevel="0" collapsed="false">
      <c r="A4201" s="27"/>
      <c r="F4201" s="28"/>
      <c r="J4201" s="0" t="str">
        <f aca="false">IF(A4201="","",YEAR(A4201))</f>
        <v/>
      </c>
      <c r="K4201" s="0" t="str">
        <f aca="false">IF(A4201="","",MONTH(A4201))</f>
        <v/>
      </c>
      <c r="L4201" s="0" t="str">
        <f aca="false">IF(B4201="","",VALUE(LEFT(B4201,2)))</f>
        <v/>
      </c>
      <c r="M4201" s="0" t="str">
        <f aca="false">IF(A4201="","",IF(COUNTIFS($C$2:$C$5001,C4201,$J$2:$J$5001,J4201,$A$2:$A$5001,"&lt;"&amp;A4201)=0,1,0))</f>
        <v/>
      </c>
    </row>
    <row r="4202" customFormat="false" ht="15" hidden="false" customHeight="false" outlineLevel="0" collapsed="false">
      <c r="A4202" s="27"/>
      <c r="F4202" s="28"/>
      <c r="J4202" s="0" t="str">
        <f aca="false">IF(A4202="","",YEAR(A4202))</f>
        <v/>
      </c>
      <c r="K4202" s="0" t="str">
        <f aca="false">IF(A4202="","",MONTH(A4202))</f>
        <v/>
      </c>
      <c r="L4202" s="0" t="str">
        <f aca="false">IF(B4202="","",VALUE(LEFT(B4202,2)))</f>
        <v/>
      </c>
      <c r="M4202" s="0" t="str">
        <f aca="false">IF(A4202="","",IF(COUNTIFS($C$2:$C$5001,C4202,$J$2:$J$5001,J4202,$A$2:$A$5001,"&lt;"&amp;A4202)=0,1,0))</f>
        <v/>
      </c>
    </row>
    <row r="4203" customFormat="false" ht="15" hidden="false" customHeight="false" outlineLevel="0" collapsed="false">
      <c r="A4203" s="27"/>
      <c r="F4203" s="28"/>
      <c r="J4203" s="0" t="str">
        <f aca="false">IF(A4203="","",YEAR(A4203))</f>
        <v/>
      </c>
      <c r="K4203" s="0" t="str">
        <f aca="false">IF(A4203="","",MONTH(A4203))</f>
        <v/>
      </c>
      <c r="L4203" s="0" t="str">
        <f aca="false">IF(B4203="","",VALUE(LEFT(B4203,2)))</f>
        <v/>
      </c>
      <c r="M4203" s="0" t="str">
        <f aca="false">IF(A4203="","",IF(COUNTIFS($C$2:$C$5001,C4203,$J$2:$J$5001,J4203,$A$2:$A$5001,"&lt;"&amp;A4203)=0,1,0))</f>
        <v/>
      </c>
    </row>
    <row r="4204" customFormat="false" ht="15" hidden="false" customHeight="false" outlineLevel="0" collapsed="false">
      <c r="A4204" s="27"/>
      <c r="F4204" s="28"/>
      <c r="J4204" s="0" t="str">
        <f aca="false">IF(A4204="","",YEAR(A4204))</f>
        <v/>
      </c>
      <c r="K4204" s="0" t="str">
        <f aca="false">IF(A4204="","",MONTH(A4204))</f>
        <v/>
      </c>
      <c r="L4204" s="0" t="str">
        <f aca="false">IF(B4204="","",VALUE(LEFT(B4204,2)))</f>
        <v/>
      </c>
      <c r="M4204" s="0" t="str">
        <f aca="false">IF(A4204="","",IF(COUNTIFS($C$2:$C$5001,C4204,$J$2:$J$5001,J4204,$A$2:$A$5001,"&lt;"&amp;A4204)=0,1,0))</f>
        <v/>
      </c>
    </row>
    <row r="4205" customFormat="false" ht="15" hidden="false" customHeight="false" outlineLevel="0" collapsed="false">
      <c r="A4205" s="27"/>
      <c r="F4205" s="28"/>
      <c r="J4205" s="0" t="str">
        <f aca="false">IF(A4205="","",YEAR(A4205))</f>
        <v/>
      </c>
      <c r="K4205" s="0" t="str">
        <f aca="false">IF(A4205="","",MONTH(A4205))</f>
        <v/>
      </c>
      <c r="L4205" s="0" t="str">
        <f aca="false">IF(B4205="","",VALUE(LEFT(B4205,2)))</f>
        <v/>
      </c>
      <c r="M4205" s="0" t="str">
        <f aca="false">IF(A4205="","",IF(COUNTIFS($C$2:$C$5001,C4205,$J$2:$J$5001,J4205,$A$2:$A$5001,"&lt;"&amp;A4205)=0,1,0))</f>
        <v/>
      </c>
    </row>
    <row r="4206" customFormat="false" ht="15" hidden="false" customHeight="false" outlineLevel="0" collapsed="false">
      <c r="A4206" s="27"/>
      <c r="F4206" s="28"/>
      <c r="J4206" s="0" t="str">
        <f aca="false">IF(A4206="","",YEAR(A4206))</f>
        <v/>
      </c>
      <c r="K4206" s="0" t="str">
        <f aca="false">IF(A4206="","",MONTH(A4206))</f>
        <v/>
      </c>
      <c r="L4206" s="0" t="str">
        <f aca="false">IF(B4206="","",VALUE(LEFT(B4206,2)))</f>
        <v/>
      </c>
      <c r="M4206" s="0" t="str">
        <f aca="false">IF(A4206="","",IF(COUNTIFS($C$2:$C$5001,C4206,$J$2:$J$5001,J4206,$A$2:$A$5001,"&lt;"&amp;A4206)=0,1,0))</f>
        <v/>
      </c>
    </row>
    <row r="4207" customFormat="false" ht="15" hidden="false" customHeight="false" outlineLevel="0" collapsed="false">
      <c r="A4207" s="27"/>
      <c r="F4207" s="28"/>
      <c r="J4207" s="0" t="str">
        <f aca="false">IF(A4207="","",YEAR(A4207))</f>
        <v/>
      </c>
      <c r="K4207" s="0" t="str">
        <f aca="false">IF(A4207="","",MONTH(A4207))</f>
        <v/>
      </c>
      <c r="L4207" s="0" t="str">
        <f aca="false">IF(B4207="","",VALUE(LEFT(B4207,2)))</f>
        <v/>
      </c>
      <c r="M4207" s="0" t="str">
        <f aca="false">IF(A4207="","",IF(COUNTIFS($C$2:$C$5001,C4207,$J$2:$J$5001,J4207,$A$2:$A$5001,"&lt;"&amp;A4207)=0,1,0))</f>
        <v/>
      </c>
    </row>
    <row r="4208" customFormat="false" ht="15" hidden="false" customHeight="false" outlineLevel="0" collapsed="false">
      <c r="A4208" s="27"/>
      <c r="F4208" s="28"/>
      <c r="J4208" s="0" t="str">
        <f aca="false">IF(A4208="","",YEAR(A4208))</f>
        <v/>
      </c>
      <c r="K4208" s="0" t="str">
        <f aca="false">IF(A4208="","",MONTH(A4208))</f>
        <v/>
      </c>
      <c r="L4208" s="0" t="str">
        <f aca="false">IF(B4208="","",VALUE(LEFT(B4208,2)))</f>
        <v/>
      </c>
      <c r="M4208" s="0" t="str">
        <f aca="false">IF(A4208="","",IF(COUNTIFS($C$2:$C$5001,C4208,$J$2:$J$5001,J4208,$A$2:$A$5001,"&lt;"&amp;A4208)=0,1,0))</f>
        <v/>
      </c>
    </row>
    <row r="4209" customFormat="false" ht="15" hidden="false" customHeight="false" outlineLevel="0" collapsed="false">
      <c r="A4209" s="27"/>
      <c r="F4209" s="28"/>
      <c r="J4209" s="0" t="str">
        <f aca="false">IF(A4209="","",YEAR(A4209))</f>
        <v/>
      </c>
      <c r="K4209" s="0" t="str">
        <f aca="false">IF(A4209="","",MONTH(A4209))</f>
        <v/>
      </c>
      <c r="L4209" s="0" t="str">
        <f aca="false">IF(B4209="","",VALUE(LEFT(B4209,2)))</f>
        <v/>
      </c>
      <c r="M4209" s="0" t="str">
        <f aca="false">IF(A4209="","",IF(COUNTIFS($C$2:$C$5001,C4209,$J$2:$J$5001,J4209,$A$2:$A$5001,"&lt;"&amp;A4209)=0,1,0))</f>
        <v/>
      </c>
    </row>
    <row r="4210" customFormat="false" ht="15" hidden="false" customHeight="false" outlineLevel="0" collapsed="false">
      <c r="A4210" s="27"/>
      <c r="F4210" s="28"/>
      <c r="J4210" s="0" t="str">
        <f aca="false">IF(A4210="","",YEAR(A4210))</f>
        <v/>
      </c>
      <c r="K4210" s="0" t="str">
        <f aca="false">IF(A4210="","",MONTH(A4210))</f>
        <v/>
      </c>
      <c r="L4210" s="0" t="str">
        <f aca="false">IF(B4210="","",VALUE(LEFT(B4210,2)))</f>
        <v/>
      </c>
      <c r="M4210" s="0" t="str">
        <f aca="false">IF(A4210="","",IF(COUNTIFS($C$2:$C$5001,C4210,$J$2:$J$5001,J4210,$A$2:$A$5001,"&lt;"&amp;A4210)=0,1,0))</f>
        <v/>
      </c>
    </row>
    <row r="4211" customFormat="false" ht="15" hidden="false" customHeight="false" outlineLevel="0" collapsed="false">
      <c r="A4211" s="27"/>
      <c r="F4211" s="28"/>
      <c r="J4211" s="0" t="str">
        <f aca="false">IF(A4211="","",YEAR(A4211))</f>
        <v/>
      </c>
      <c r="K4211" s="0" t="str">
        <f aca="false">IF(A4211="","",MONTH(A4211))</f>
        <v/>
      </c>
      <c r="L4211" s="0" t="str">
        <f aca="false">IF(B4211="","",VALUE(LEFT(B4211,2)))</f>
        <v/>
      </c>
      <c r="M4211" s="0" t="str">
        <f aca="false">IF(A4211="","",IF(COUNTIFS($C$2:$C$5001,C4211,$J$2:$J$5001,J4211,$A$2:$A$5001,"&lt;"&amp;A4211)=0,1,0))</f>
        <v/>
      </c>
    </row>
    <row r="4212" customFormat="false" ht="15" hidden="false" customHeight="false" outlineLevel="0" collapsed="false">
      <c r="A4212" s="27"/>
      <c r="F4212" s="28"/>
      <c r="J4212" s="0" t="str">
        <f aca="false">IF(A4212="","",YEAR(A4212))</f>
        <v/>
      </c>
      <c r="K4212" s="0" t="str">
        <f aca="false">IF(A4212="","",MONTH(A4212))</f>
        <v/>
      </c>
      <c r="L4212" s="0" t="str">
        <f aca="false">IF(B4212="","",VALUE(LEFT(B4212,2)))</f>
        <v/>
      </c>
      <c r="M4212" s="0" t="str">
        <f aca="false">IF(A4212="","",IF(COUNTIFS($C$2:$C$5001,C4212,$J$2:$J$5001,J4212,$A$2:$A$5001,"&lt;"&amp;A4212)=0,1,0))</f>
        <v/>
      </c>
    </row>
    <row r="4213" customFormat="false" ht="15" hidden="false" customHeight="false" outlineLevel="0" collapsed="false">
      <c r="A4213" s="27"/>
      <c r="F4213" s="28"/>
      <c r="J4213" s="0" t="str">
        <f aca="false">IF(A4213="","",YEAR(A4213))</f>
        <v/>
      </c>
      <c r="K4213" s="0" t="str">
        <f aca="false">IF(A4213="","",MONTH(A4213))</f>
        <v/>
      </c>
      <c r="L4213" s="0" t="str">
        <f aca="false">IF(B4213="","",VALUE(LEFT(B4213,2)))</f>
        <v/>
      </c>
      <c r="M4213" s="0" t="str">
        <f aca="false">IF(A4213="","",IF(COUNTIFS($C$2:$C$5001,C4213,$J$2:$J$5001,J4213,$A$2:$A$5001,"&lt;"&amp;A4213)=0,1,0))</f>
        <v/>
      </c>
    </row>
    <row r="4214" customFormat="false" ht="15" hidden="false" customHeight="false" outlineLevel="0" collapsed="false">
      <c r="A4214" s="27"/>
      <c r="F4214" s="28"/>
      <c r="J4214" s="0" t="str">
        <f aca="false">IF(A4214="","",YEAR(A4214))</f>
        <v/>
      </c>
      <c r="K4214" s="0" t="str">
        <f aca="false">IF(A4214="","",MONTH(A4214))</f>
        <v/>
      </c>
      <c r="L4214" s="0" t="str">
        <f aca="false">IF(B4214="","",VALUE(LEFT(B4214,2)))</f>
        <v/>
      </c>
      <c r="M4214" s="0" t="str">
        <f aca="false">IF(A4214="","",IF(COUNTIFS($C$2:$C$5001,C4214,$J$2:$J$5001,J4214,$A$2:$A$5001,"&lt;"&amp;A4214)=0,1,0))</f>
        <v/>
      </c>
    </row>
    <row r="4215" customFormat="false" ht="15" hidden="false" customHeight="false" outlineLevel="0" collapsed="false">
      <c r="A4215" s="27"/>
      <c r="F4215" s="28"/>
      <c r="J4215" s="0" t="str">
        <f aca="false">IF(A4215="","",YEAR(A4215))</f>
        <v/>
      </c>
      <c r="K4215" s="0" t="str">
        <f aca="false">IF(A4215="","",MONTH(A4215))</f>
        <v/>
      </c>
      <c r="L4215" s="0" t="str">
        <f aca="false">IF(B4215="","",VALUE(LEFT(B4215,2)))</f>
        <v/>
      </c>
      <c r="M4215" s="0" t="str">
        <f aca="false">IF(A4215="","",IF(COUNTIFS($C$2:$C$5001,C4215,$J$2:$J$5001,J4215,$A$2:$A$5001,"&lt;"&amp;A4215)=0,1,0))</f>
        <v/>
      </c>
    </row>
    <row r="4216" customFormat="false" ht="15" hidden="false" customHeight="false" outlineLevel="0" collapsed="false">
      <c r="A4216" s="27"/>
      <c r="F4216" s="28"/>
      <c r="J4216" s="0" t="str">
        <f aca="false">IF(A4216="","",YEAR(A4216))</f>
        <v/>
      </c>
      <c r="K4216" s="0" t="str">
        <f aca="false">IF(A4216="","",MONTH(A4216))</f>
        <v/>
      </c>
      <c r="L4216" s="0" t="str">
        <f aca="false">IF(B4216="","",VALUE(LEFT(B4216,2)))</f>
        <v/>
      </c>
      <c r="M4216" s="0" t="str">
        <f aca="false">IF(A4216="","",IF(COUNTIFS($C$2:$C$5001,C4216,$J$2:$J$5001,J4216,$A$2:$A$5001,"&lt;"&amp;A4216)=0,1,0))</f>
        <v/>
      </c>
    </row>
    <row r="4217" customFormat="false" ht="15" hidden="false" customHeight="false" outlineLevel="0" collapsed="false">
      <c r="A4217" s="27"/>
      <c r="F4217" s="28"/>
      <c r="J4217" s="0" t="str">
        <f aca="false">IF(A4217="","",YEAR(A4217))</f>
        <v/>
      </c>
      <c r="K4217" s="0" t="str">
        <f aca="false">IF(A4217="","",MONTH(A4217))</f>
        <v/>
      </c>
      <c r="L4217" s="0" t="str">
        <f aca="false">IF(B4217="","",VALUE(LEFT(B4217,2)))</f>
        <v/>
      </c>
      <c r="M4217" s="0" t="str">
        <f aca="false">IF(A4217="","",IF(COUNTIFS($C$2:$C$5001,C4217,$J$2:$J$5001,J4217,$A$2:$A$5001,"&lt;"&amp;A4217)=0,1,0))</f>
        <v/>
      </c>
    </row>
    <row r="4218" customFormat="false" ht="15" hidden="false" customHeight="false" outlineLevel="0" collapsed="false">
      <c r="A4218" s="27"/>
      <c r="F4218" s="28"/>
      <c r="J4218" s="0" t="str">
        <f aca="false">IF(A4218="","",YEAR(A4218))</f>
        <v/>
      </c>
      <c r="K4218" s="0" t="str">
        <f aca="false">IF(A4218="","",MONTH(A4218))</f>
        <v/>
      </c>
      <c r="L4218" s="0" t="str">
        <f aca="false">IF(B4218="","",VALUE(LEFT(B4218,2)))</f>
        <v/>
      </c>
      <c r="M4218" s="0" t="str">
        <f aca="false">IF(A4218="","",IF(COUNTIFS($C$2:$C$5001,C4218,$J$2:$J$5001,J4218,$A$2:$A$5001,"&lt;"&amp;A4218)=0,1,0))</f>
        <v/>
      </c>
    </row>
    <row r="4219" customFormat="false" ht="15" hidden="false" customHeight="false" outlineLevel="0" collapsed="false">
      <c r="A4219" s="27"/>
      <c r="F4219" s="28"/>
      <c r="J4219" s="0" t="str">
        <f aca="false">IF(A4219="","",YEAR(A4219))</f>
        <v/>
      </c>
      <c r="K4219" s="0" t="str">
        <f aca="false">IF(A4219="","",MONTH(A4219))</f>
        <v/>
      </c>
      <c r="L4219" s="0" t="str">
        <f aca="false">IF(B4219="","",VALUE(LEFT(B4219,2)))</f>
        <v/>
      </c>
      <c r="M4219" s="0" t="str">
        <f aca="false">IF(A4219="","",IF(COUNTIFS($C$2:$C$5001,C4219,$J$2:$J$5001,J4219,$A$2:$A$5001,"&lt;"&amp;A4219)=0,1,0))</f>
        <v/>
      </c>
    </row>
    <row r="4220" customFormat="false" ht="15" hidden="false" customHeight="false" outlineLevel="0" collapsed="false">
      <c r="A4220" s="27"/>
      <c r="F4220" s="28"/>
      <c r="J4220" s="0" t="str">
        <f aca="false">IF(A4220="","",YEAR(A4220))</f>
        <v/>
      </c>
      <c r="K4220" s="0" t="str">
        <f aca="false">IF(A4220="","",MONTH(A4220))</f>
        <v/>
      </c>
      <c r="L4220" s="0" t="str">
        <f aca="false">IF(B4220="","",VALUE(LEFT(B4220,2)))</f>
        <v/>
      </c>
      <c r="M4220" s="0" t="str">
        <f aca="false">IF(A4220="","",IF(COUNTIFS($C$2:$C$5001,C4220,$J$2:$J$5001,J4220,$A$2:$A$5001,"&lt;"&amp;A4220)=0,1,0))</f>
        <v/>
      </c>
    </row>
    <row r="4221" customFormat="false" ht="15" hidden="false" customHeight="false" outlineLevel="0" collapsed="false">
      <c r="A4221" s="27"/>
      <c r="F4221" s="28"/>
      <c r="J4221" s="0" t="str">
        <f aca="false">IF(A4221="","",YEAR(A4221))</f>
        <v/>
      </c>
      <c r="K4221" s="0" t="str">
        <f aca="false">IF(A4221="","",MONTH(A4221))</f>
        <v/>
      </c>
      <c r="L4221" s="0" t="str">
        <f aca="false">IF(B4221="","",VALUE(LEFT(B4221,2)))</f>
        <v/>
      </c>
      <c r="M4221" s="0" t="str">
        <f aca="false">IF(A4221="","",IF(COUNTIFS($C$2:$C$5001,C4221,$J$2:$J$5001,J4221,$A$2:$A$5001,"&lt;"&amp;A4221)=0,1,0))</f>
        <v/>
      </c>
    </row>
    <row r="4222" customFormat="false" ht="15" hidden="false" customHeight="false" outlineLevel="0" collapsed="false">
      <c r="A4222" s="27"/>
      <c r="F4222" s="28"/>
      <c r="J4222" s="0" t="str">
        <f aca="false">IF(A4222="","",YEAR(A4222))</f>
        <v/>
      </c>
      <c r="K4222" s="0" t="str">
        <f aca="false">IF(A4222="","",MONTH(A4222))</f>
        <v/>
      </c>
      <c r="L4222" s="0" t="str">
        <f aca="false">IF(B4222="","",VALUE(LEFT(B4222,2)))</f>
        <v/>
      </c>
      <c r="M4222" s="0" t="str">
        <f aca="false">IF(A4222="","",IF(COUNTIFS($C$2:$C$5001,C4222,$J$2:$J$5001,J4222,$A$2:$A$5001,"&lt;"&amp;A4222)=0,1,0))</f>
        <v/>
      </c>
    </row>
    <row r="4223" customFormat="false" ht="15" hidden="false" customHeight="false" outlineLevel="0" collapsed="false">
      <c r="A4223" s="27"/>
      <c r="F4223" s="28"/>
      <c r="J4223" s="0" t="str">
        <f aca="false">IF(A4223="","",YEAR(A4223))</f>
        <v/>
      </c>
      <c r="K4223" s="0" t="str">
        <f aca="false">IF(A4223="","",MONTH(A4223))</f>
        <v/>
      </c>
      <c r="L4223" s="0" t="str">
        <f aca="false">IF(B4223="","",VALUE(LEFT(B4223,2)))</f>
        <v/>
      </c>
      <c r="M4223" s="0" t="str">
        <f aca="false">IF(A4223="","",IF(COUNTIFS($C$2:$C$5001,C4223,$J$2:$J$5001,J4223,$A$2:$A$5001,"&lt;"&amp;A4223)=0,1,0))</f>
        <v/>
      </c>
    </row>
    <row r="4224" customFormat="false" ht="15" hidden="false" customHeight="false" outlineLevel="0" collapsed="false">
      <c r="A4224" s="27"/>
      <c r="F4224" s="28"/>
      <c r="J4224" s="0" t="str">
        <f aca="false">IF(A4224="","",YEAR(A4224))</f>
        <v/>
      </c>
      <c r="K4224" s="0" t="str">
        <f aca="false">IF(A4224="","",MONTH(A4224))</f>
        <v/>
      </c>
      <c r="L4224" s="0" t="str">
        <f aca="false">IF(B4224="","",VALUE(LEFT(B4224,2)))</f>
        <v/>
      </c>
      <c r="M4224" s="0" t="str">
        <f aca="false">IF(A4224="","",IF(COUNTIFS($C$2:$C$5001,C4224,$J$2:$J$5001,J4224,$A$2:$A$5001,"&lt;"&amp;A4224)=0,1,0))</f>
        <v/>
      </c>
    </row>
    <row r="4225" customFormat="false" ht="15" hidden="false" customHeight="false" outlineLevel="0" collapsed="false">
      <c r="A4225" s="27"/>
      <c r="F4225" s="28"/>
      <c r="J4225" s="0" t="str">
        <f aca="false">IF(A4225="","",YEAR(A4225))</f>
        <v/>
      </c>
      <c r="K4225" s="0" t="str">
        <f aca="false">IF(A4225="","",MONTH(A4225))</f>
        <v/>
      </c>
      <c r="L4225" s="0" t="str">
        <f aca="false">IF(B4225="","",VALUE(LEFT(B4225,2)))</f>
        <v/>
      </c>
      <c r="M4225" s="0" t="str">
        <f aca="false">IF(A4225="","",IF(COUNTIFS($C$2:$C$5001,C4225,$J$2:$J$5001,J4225,$A$2:$A$5001,"&lt;"&amp;A4225)=0,1,0))</f>
        <v/>
      </c>
    </row>
    <row r="4226" customFormat="false" ht="15" hidden="false" customHeight="false" outlineLevel="0" collapsed="false">
      <c r="A4226" s="27"/>
      <c r="F4226" s="28"/>
      <c r="J4226" s="0" t="str">
        <f aca="false">IF(A4226="","",YEAR(A4226))</f>
        <v/>
      </c>
      <c r="K4226" s="0" t="str">
        <f aca="false">IF(A4226="","",MONTH(A4226))</f>
        <v/>
      </c>
      <c r="L4226" s="0" t="str">
        <f aca="false">IF(B4226="","",VALUE(LEFT(B4226,2)))</f>
        <v/>
      </c>
      <c r="M4226" s="0" t="str">
        <f aca="false">IF(A4226="","",IF(COUNTIFS($C$2:$C$5001,C4226,$J$2:$J$5001,J4226,$A$2:$A$5001,"&lt;"&amp;A4226)=0,1,0))</f>
        <v/>
      </c>
    </row>
    <row r="4227" customFormat="false" ht="15" hidden="false" customHeight="false" outlineLevel="0" collapsed="false">
      <c r="A4227" s="27"/>
      <c r="F4227" s="28"/>
      <c r="J4227" s="0" t="str">
        <f aca="false">IF(A4227="","",YEAR(A4227))</f>
        <v/>
      </c>
      <c r="K4227" s="0" t="str">
        <f aca="false">IF(A4227="","",MONTH(A4227))</f>
        <v/>
      </c>
      <c r="L4227" s="0" t="str">
        <f aca="false">IF(B4227="","",VALUE(LEFT(B4227,2)))</f>
        <v/>
      </c>
      <c r="M4227" s="0" t="str">
        <f aca="false">IF(A4227="","",IF(COUNTIFS($C$2:$C$5001,C4227,$J$2:$J$5001,J4227,$A$2:$A$5001,"&lt;"&amp;A4227)=0,1,0))</f>
        <v/>
      </c>
    </row>
    <row r="4228" customFormat="false" ht="15" hidden="false" customHeight="false" outlineLevel="0" collapsed="false">
      <c r="A4228" s="27"/>
      <c r="F4228" s="28"/>
      <c r="J4228" s="0" t="str">
        <f aca="false">IF(A4228="","",YEAR(A4228))</f>
        <v/>
      </c>
      <c r="K4228" s="0" t="str">
        <f aca="false">IF(A4228="","",MONTH(A4228))</f>
        <v/>
      </c>
      <c r="L4228" s="0" t="str">
        <f aca="false">IF(B4228="","",VALUE(LEFT(B4228,2)))</f>
        <v/>
      </c>
      <c r="M4228" s="0" t="str">
        <f aca="false">IF(A4228="","",IF(COUNTIFS($C$2:$C$5001,C4228,$J$2:$J$5001,J4228,$A$2:$A$5001,"&lt;"&amp;A4228)=0,1,0))</f>
        <v/>
      </c>
    </row>
    <row r="4229" customFormat="false" ht="15" hidden="false" customHeight="false" outlineLevel="0" collapsed="false">
      <c r="A4229" s="27"/>
      <c r="F4229" s="28"/>
      <c r="J4229" s="0" t="str">
        <f aca="false">IF(A4229="","",YEAR(A4229))</f>
        <v/>
      </c>
      <c r="K4229" s="0" t="str">
        <f aca="false">IF(A4229="","",MONTH(A4229))</f>
        <v/>
      </c>
      <c r="L4229" s="0" t="str">
        <f aca="false">IF(B4229="","",VALUE(LEFT(B4229,2)))</f>
        <v/>
      </c>
      <c r="M4229" s="0" t="str">
        <f aca="false">IF(A4229="","",IF(COUNTIFS($C$2:$C$5001,C4229,$J$2:$J$5001,J4229,$A$2:$A$5001,"&lt;"&amp;A4229)=0,1,0))</f>
        <v/>
      </c>
    </row>
    <row r="4230" customFormat="false" ht="15" hidden="false" customHeight="false" outlineLevel="0" collapsed="false">
      <c r="A4230" s="27"/>
      <c r="F4230" s="28"/>
      <c r="J4230" s="0" t="str">
        <f aca="false">IF(A4230="","",YEAR(A4230))</f>
        <v/>
      </c>
      <c r="K4230" s="0" t="str">
        <f aca="false">IF(A4230="","",MONTH(A4230))</f>
        <v/>
      </c>
      <c r="L4230" s="0" t="str">
        <f aca="false">IF(B4230="","",VALUE(LEFT(B4230,2)))</f>
        <v/>
      </c>
      <c r="M4230" s="0" t="str">
        <f aca="false">IF(A4230="","",IF(COUNTIFS($C$2:$C$5001,C4230,$J$2:$J$5001,J4230,$A$2:$A$5001,"&lt;"&amp;A4230)=0,1,0))</f>
        <v/>
      </c>
    </row>
    <row r="4231" customFormat="false" ht="15" hidden="false" customHeight="false" outlineLevel="0" collapsed="false">
      <c r="A4231" s="27"/>
      <c r="F4231" s="28"/>
      <c r="J4231" s="0" t="str">
        <f aca="false">IF(A4231="","",YEAR(A4231))</f>
        <v/>
      </c>
      <c r="K4231" s="0" t="str">
        <f aca="false">IF(A4231="","",MONTH(A4231))</f>
        <v/>
      </c>
      <c r="L4231" s="0" t="str">
        <f aca="false">IF(B4231="","",VALUE(LEFT(B4231,2)))</f>
        <v/>
      </c>
      <c r="M4231" s="0" t="str">
        <f aca="false">IF(A4231="","",IF(COUNTIFS($C$2:$C$5001,C4231,$J$2:$J$5001,J4231,$A$2:$A$5001,"&lt;"&amp;A4231)=0,1,0))</f>
        <v/>
      </c>
    </row>
    <row r="4232" customFormat="false" ht="15" hidden="false" customHeight="false" outlineLevel="0" collapsed="false">
      <c r="A4232" s="27"/>
      <c r="F4232" s="28"/>
      <c r="J4232" s="0" t="str">
        <f aca="false">IF(A4232="","",YEAR(A4232))</f>
        <v/>
      </c>
      <c r="K4232" s="0" t="str">
        <f aca="false">IF(A4232="","",MONTH(A4232))</f>
        <v/>
      </c>
      <c r="L4232" s="0" t="str">
        <f aca="false">IF(B4232="","",VALUE(LEFT(B4232,2)))</f>
        <v/>
      </c>
      <c r="M4232" s="0" t="str">
        <f aca="false">IF(A4232="","",IF(COUNTIFS($C$2:$C$5001,C4232,$J$2:$J$5001,J4232,$A$2:$A$5001,"&lt;"&amp;A4232)=0,1,0))</f>
        <v/>
      </c>
    </row>
    <row r="4233" customFormat="false" ht="15" hidden="false" customHeight="false" outlineLevel="0" collapsed="false">
      <c r="A4233" s="27"/>
      <c r="F4233" s="28"/>
      <c r="J4233" s="0" t="str">
        <f aca="false">IF(A4233="","",YEAR(A4233))</f>
        <v/>
      </c>
      <c r="K4233" s="0" t="str">
        <f aca="false">IF(A4233="","",MONTH(A4233))</f>
        <v/>
      </c>
      <c r="L4233" s="0" t="str">
        <f aca="false">IF(B4233="","",VALUE(LEFT(B4233,2)))</f>
        <v/>
      </c>
      <c r="M4233" s="0" t="str">
        <f aca="false">IF(A4233="","",IF(COUNTIFS($C$2:$C$5001,C4233,$J$2:$J$5001,J4233,$A$2:$A$5001,"&lt;"&amp;A4233)=0,1,0))</f>
        <v/>
      </c>
    </row>
    <row r="4234" customFormat="false" ht="15" hidden="false" customHeight="false" outlineLevel="0" collapsed="false">
      <c r="A4234" s="27"/>
      <c r="F4234" s="28"/>
      <c r="J4234" s="0" t="str">
        <f aca="false">IF(A4234="","",YEAR(A4234))</f>
        <v/>
      </c>
      <c r="K4234" s="0" t="str">
        <f aca="false">IF(A4234="","",MONTH(A4234))</f>
        <v/>
      </c>
      <c r="L4234" s="0" t="str">
        <f aca="false">IF(B4234="","",VALUE(LEFT(B4234,2)))</f>
        <v/>
      </c>
      <c r="M4234" s="0" t="str">
        <f aca="false">IF(A4234="","",IF(COUNTIFS($C$2:$C$5001,C4234,$J$2:$J$5001,J4234,$A$2:$A$5001,"&lt;"&amp;A4234)=0,1,0))</f>
        <v/>
      </c>
    </row>
    <row r="4235" customFormat="false" ht="15" hidden="false" customHeight="false" outlineLevel="0" collapsed="false">
      <c r="A4235" s="27"/>
      <c r="F4235" s="28"/>
      <c r="J4235" s="0" t="str">
        <f aca="false">IF(A4235="","",YEAR(A4235))</f>
        <v/>
      </c>
      <c r="K4235" s="0" t="str">
        <f aca="false">IF(A4235="","",MONTH(A4235))</f>
        <v/>
      </c>
      <c r="L4235" s="0" t="str">
        <f aca="false">IF(B4235="","",VALUE(LEFT(B4235,2)))</f>
        <v/>
      </c>
      <c r="M4235" s="0" t="str">
        <f aca="false">IF(A4235="","",IF(COUNTIFS($C$2:$C$5001,C4235,$J$2:$J$5001,J4235,$A$2:$A$5001,"&lt;"&amp;A4235)=0,1,0))</f>
        <v/>
      </c>
    </row>
    <row r="4236" customFormat="false" ht="15" hidden="false" customHeight="false" outlineLevel="0" collapsed="false">
      <c r="A4236" s="27"/>
      <c r="F4236" s="28"/>
      <c r="J4236" s="0" t="str">
        <f aca="false">IF(A4236="","",YEAR(A4236))</f>
        <v/>
      </c>
      <c r="K4236" s="0" t="str">
        <f aca="false">IF(A4236="","",MONTH(A4236))</f>
        <v/>
      </c>
      <c r="L4236" s="0" t="str">
        <f aca="false">IF(B4236="","",VALUE(LEFT(B4236,2)))</f>
        <v/>
      </c>
      <c r="M4236" s="0" t="str">
        <f aca="false">IF(A4236="","",IF(COUNTIFS($C$2:$C$5001,C4236,$J$2:$J$5001,J4236,$A$2:$A$5001,"&lt;"&amp;A4236)=0,1,0))</f>
        <v/>
      </c>
    </row>
    <row r="4237" customFormat="false" ht="15" hidden="false" customHeight="false" outlineLevel="0" collapsed="false">
      <c r="A4237" s="27"/>
      <c r="F4237" s="28"/>
      <c r="J4237" s="0" t="str">
        <f aca="false">IF(A4237="","",YEAR(A4237))</f>
        <v/>
      </c>
      <c r="K4237" s="0" t="str">
        <f aca="false">IF(A4237="","",MONTH(A4237))</f>
        <v/>
      </c>
      <c r="L4237" s="0" t="str">
        <f aca="false">IF(B4237="","",VALUE(LEFT(B4237,2)))</f>
        <v/>
      </c>
      <c r="M4237" s="0" t="str">
        <f aca="false">IF(A4237="","",IF(COUNTIFS($C$2:$C$5001,C4237,$J$2:$J$5001,J4237,$A$2:$A$5001,"&lt;"&amp;A4237)=0,1,0))</f>
        <v/>
      </c>
    </row>
    <row r="4238" customFormat="false" ht="15" hidden="false" customHeight="false" outlineLevel="0" collapsed="false">
      <c r="A4238" s="27"/>
      <c r="F4238" s="28"/>
      <c r="J4238" s="0" t="str">
        <f aca="false">IF(A4238="","",YEAR(A4238))</f>
        <v/>
      </c>
      <c r="K4238" s="0" t="str">
        <f aca="false">IF(A4238="","",MONTH(A4238))</f>
        <v/>
      </c>
      <c r="L4238" s="0" t="str">
        <f aca="false">IF(B4238="","",VALUE(LEFT(B4238,2)))</f>
        <v/>
      </c>
      <c r="M4238" s="0" t="str">
        <f aca="false">IF(A4238="","",IF(COUNTIFS($C$2:$C$5001,C4238,$J$2:$J$5001,J4238,$A$2:$A$5001,"&lt;"&amp;A4238)=0,1,0))</f>
        <v/>
      </c>
    </row>
    <row r="4239" customFormat="false" ht="15" hidden="false" customHeight="false" outlineLevel="0" collapsed="false">
      <c r="A4239" s="27"/>
      <c r="F4239" s="28"/>
      <c r="J4239" s="0" t="str">
        <f aca="false">IF(A4239="","",YEAR(A4239))</f>
        <v/>
      </c>
      <c r="K4239" s="0" t="str">
        <f aca="false">IF(A4239="","",MONTH(A4239))</f>
        <v/>
      </c>
      <c r="L4239" s="0" t="str">
        <f aca="false">IF(B4239="","",VALUE(LEFT(B4239,2)))</f>
        <v/>
      </c>
      <c r="M4239" s="0" t="str">
        <f aca="false">IF(A4239="","",IF(COUNTIFS($C$2:$C$5001,C4239,$J$2:$J$5001,J4239,$A$2:$A$5001,"&lt;"&amp;A4239)=0,1,0))</f>
        <v/>
      </c>
    </row>
    <row r="4240" customFormat="false" ht="15" hidden="false" customHeight="false" outlineLevel="0" collapsed="false">
      <c r="A4240" s="27"/>
      <c r="F4240" s="28"/>
      <c r="J4240" s="0" t="str">
        <f aca="false">IF(A4240="","",YEAR(A4240))</f>
        <v/>
      </c>
      <c r="K4240" s="0" t="str">
        <f aca="false">IF(A4240="","",MONTH(A4240))</f>
        <v/>
      </c>
      <c r="L4240" s="0" t="str">
        <f aca="false">IF(B4240="","",VALUE(LEFT(B4240,2)))</f>
        <v/>
      </c>
      <c r="M4240" s="0" t="str">
        <f aca="false">IF(A4240="","",IF(COUNTIFS($C$2:$C$5001,C4240,$J$2:$J$5001,J4240,$A$2:$A$5001,"&lt;"&amp;A4240)=0,1,0))</f>
        <v/>
      </c>
    </row>
    <row r="4241" customFormat="false" ht="15" hidden="false" customHeight="false" outlineLevel="0" collapsed="false">
      <c r="A4241" s="27"/>
      <c r="F4241" s="28"/>
      <c r="J4241" s="0" t="str">
        <f aca="false">IF(A4241="","",YEAR(A4241))</f>
        <v/>
      </c>
      <c r="K4241" s="0" t="str">
        <f aca="false">IF(A4241="","",MONTH(A4241))</f>
        <v/>
      </c>
      <c r="L4241" s="0" t="str">
        <f aca="false">IF(B4241="","",VALUE(LEFT(B4241,2)))</f>
        <v/>
      </c>
      <c r="M4241" s="0" t="str">
        <f aca="false">IF(A4241="","",IF(COUNTIFS($C$2:$C$5001,C4241,$J$2:$J$5001,J4241,$A$2:$A$5001,"&lt;"&amp;A4241)=0,1,0))</f>
        <v/>
      </c>
    </row>
    <row r="4242" customFormat="false" ht="15" hidden="false" customHeight="false" outlineLevel="0" collapsed="false">
      <c r="A4242" s="27"/>
      <c r="F4242" s="28"/>
      <c r="J4242" s="0" t="str">
        <f aca="false">IF(A4242="","",YEAR(A4242))</f>
        <v/>
      </c>
      <c r="K4242" s="0" t="str">
        <f aca="false">IF(A4242="","",MONTH(A4242))</f>
        <v/>
      </c>
      <c r="L4242" s="0" t="str">
        <f aca="false">IF(B4242="","",VALUE(LEFT(B4242,2)))</f>
        <v/>
      </c>
      <c r="M4242" s="0" t="str">
        <f aca="false">IF(A4242="","",IF(COUNTIFS($C$2:$C$5001,C4242,$J$2:$J$5001,J4242,$A$2:$A$5001,"&lt;"&amp;A4242)=0,1,0))</f>
        <v/>
      </c>
    </row>
    <row r="4243" customFormat="false" ht="15" hidden="false" customHeight="false" outlineLevel="0" collapsed="false">
      <c r="A4243" s="27"/>
      <c r="F4243" s="28"/>
      <c r="J4243" s="0" t="str">
        <f aca="false">IF(A4243="","",YEAR(A4243))</f>
        <v/>
      </c>
      <c r="K4243" s="0" t="str">
        <f aca="false">IF(A4243="","",MONTH(A4243))</f>
        <v/>
      </c>
      <c r="L4243" s="0" t="str">
        <f aca="false">IF(B4243="","",VALUE(LEFT(B4243,2)))</f>
        <v/>
      </c>
      <c r="M4243" s="0" t="str">
        <f aca="false">IF(A4243="","",IF(COUNTIFS($C$2:$C$5001,C4243,$J$2:$J$5001,J4243,$A$2:$A$5001,"&lt;"&amp;A4243)=0,1,0))</f>
        <v/>
      </c>
    </row>
    <row r="4244" customFormat="false" ht="15" hidden="false" customHeight="false" outlineLevel="0" collapsed="false">
      <c r="A4244" s="27"/>
      <c r="F4244" s="28"/>
      <c r="J4244" s="0" t="str">
        <f aca="false">IF(A4244="","",YEAR(A4244))</f>
        <v/>
      </c>
      <c r="K4244" s="0" t="str">
        <f aca="false">IF(A4244="","",MONTH(A4244))</f>
        <v/>
      </c>
      <c r="L4244" s="0" t="str">
        <f aca="false">IF(B4244="","",VALUE(LEFT(B4244,2)))</f>
        <v/>
      </c>
      <c r="M4244" s="0" t="str">
        <f aca="false">IF(A4244="","",IF(COUNTIFS($C$2:$C$5001,C4244,$J$2:$J$5001,J4244,$A$2:$A$5001,"&lt;"&amp;A4244)=0,1,0))</f>
        <v/>
      </c>
    </row>
    <row r="4245" customFormat="false" ht="15" hidden="false" customHeight="false" outlineLevel="0" collapsed="false">
      <c r="A4245" s="27"/>
      <c r="F4245" s="28"/>
      <c r="J4245" s="0" t="str">
        <f aca="false">IF(A4245="","",YEAR(A4245))</f>
        <v/>
      </c>
      <c r="K4245" s="0" t="str">
        <f aca="false">IF(A4245="","",MONTH(A4245))</f>
        <v/>
      </c>
      <c r="L4245" s="0" t="str">
        <f aca="false">IF(B4245="","",VALUE(LEFT(B4245,2)))</f>
        <v/>
      </c>
      <c r="M4245" s="0" t="str">
        <f aca="false">IF(A4245="","",IF(COUNTIFS($C$2:$C$5001,C4245,$J$2:$J$5001,J4245,$A$2:$A$5001,"&lt;"&amp;A4245)=0,1,0))</f>
        <v/>
      </c>
    </row>
    <row r="4246" customFormat="false" ht="15" hidden="false" customHeight="false" outlineLevel="0" collapsed="false">
      <c r="A4246" s="27"/>
      <c r="F4246" s="28"/>
      <c r="J4246" s="0" t="str">
        <f aca="false">IF(A4246="","",YEAR(A4246))</f>
        <v/>
      </c>
      <c r="K4246" s="0" t="str">
        <f aca="false">IF(A4246="","",MONTH(A4246))</f>
        <v/>
      </c>
      <c r="L4246" s="0" t="str">
        <f aca="false">IF(B4246="","",VALUE(LEFT(B4246,2)))</f>
        <v/>
      </c>
      <c r="M4246" s="0" t="str">
        <f aca="false">IF(A4246="","",IF(COUNTIFS($C$2:$C$5001,C4246,$J$2:$J$5001,J4246,$A$2:$A$5001,"&lt;"&amp;A4246)=0,1,0))</f>
        <v/>
      </c>
    </row>
    <row r="4247" customFormat="false" ht="15" hidden="false" customHeight="false" outlineLevel="0" collapsed="false">
      <c r="A4247" s="27"/>
      <c r="F4247" s="28"/>
      <c r="J4247" s="0" t="str">
        <f aca="false">IF(A4247="","",YEAR(A4247))</f>
        <v/>
      </c>
      <c r="K4247" s="0" t="str">
        <f aca="false">IF(A4247="","",MONTH(A4247))</f>
        <v/>
      </c>
      <c r="L4247" s="0" t="str">
        <f aca="false">IF(B4247="","",VALUE(LEFT(B4247,2)))</f>
        <v/>
      </c>
      <c r="M4247" s="0" t="str">
        <f aca="false">IF(A4247="","",IF(COUNTIFS($C$2:$C$5001,C4247,$J$2:$J$5001,J4247,$A$2:$A$5001,"&lt;"&amp;A4247)=0,1,0))</f>
        <v/>
      </c>
    </row>
    <row r="4248" customFormat="false" ht="15" hidden="false" customHeight="false" outlineLevel="0" collapsed="false">
      <c r="A4248" s="27"/>
      <c r="F4248" s="28"/>
      <c r="J4248" s="0" t="str">
        <f aca="false">IF(A4248="","",YEAR(A4248))</f>
        <v/>
      </c>
      <c r="K4248" s="0" t="str">
        <f aca="false">IF(A4248="","",MONTH(A4248))</f>
        <v/>
      </c>
      <c r="L4248" s="0" t="str">
        <f aca="false">IF(B4248="","",VALUE(LEFT(B4248,2)))</f>
        <v/>
      </c>
      <c r="M4248" s="0" t="str">
        <f aca="false">IF(A4248="","",IF(COUNTIFS($C$2:$C$5001,C4248,$J$2:$J$5001,J4248,$A$2:$A$5001,"&lt;"&amp;A4248)=0,1,0))</f>
        <v/>
      </c>
    </row>
    <row r="4249" customFormat="false" ht="15" hidden="false" customHeight="false" outlineLevel="0" collapsed="false">
      <c r="A4249" s="27"/>
      <c r="F4249" s="28"/>
      <c r="J4249" s="0" t="str">
        <f aca="false">IF(A4249="","",YEAR(A4249))</f>
        <v/>
      </c>
      <c r="K4249" s="0" t="str">
        <f aca="false">IF(A4249="","",MONTH(A4249))</f>
        <v/>
      </c>
      <c r="L4249" s="0" t="str">
        <f aca="false">IF(B4249="","",VALUE(LEFT(B4249,2)))</f>
        <v/>
      </c>
      <c r="M4249" s="0" t="str">
        <f aca="false">IF(A4249="","",IF(COUNTIFS($C$2:$C$5001,C4249,$J$2:$J$5001,J4249,$A$2:$A$5001,"&lt;"&amp;A4249)=0,1,0))</f>
        <v/>
      </c>
    </row>
    <row r="4250" customFormat="false" ht="15" hidden="false" customHeight="false" outlineLevel="0" collapsed="false">
      <c r="A4250" s="27"/>
      <c r="F4250" s="28"/>
      <c r="J4250" s="0" t="str">
        <f aca="false">IF(A4250="","",YEAR(A4250))</f>
        <v/>
      </c>
      <c r="K4250" s="0" t="str">
        <f aca="false">IF(A4250="","",MONTH(A4250))</f>
        <v/>
      </c>
      <c r="L4250" s="0" t="str">
        <f aca="false">IF(B4250="","",VALUE(LEFT(B4250,2)))</f>
        <v/>
      </c>
      <c r="M4250" s="0" t="str">
        <f aca="false">IF(A4250="","",IF(COUNTIFS($C$2:$C$5001,C4250,$J$2:$J$5001,J4250,$A$2:$A$5001,"&lt;"&amp;A4250)=0,1,0))</f>
        <v/>
      </c>
    </row>
    <row r="4251" customFormat="false" ht="15" hidden="false" customHeight="false" outlineLevel="0" collapsed="false">
      <c r="A4251" s="27"/>
      <c r="F4251" s="28"/>
      <c r="J4251" s="0" t="str">
        <f aca="false">IF(A4251="","",YEAR(A4251))</f>
        <v/>
      </c>
      <c r="K4251" s="0" t="str">
        <f aca="false">IF(A4251="","",MONTH(A4251))</f>
        <v/>
      </c>
      <c r="L4251" s="0" t="str">
        <f aca="false">IF(B4251="","",VALUE(LEFT(B4251,2)))</f>
        <v/>
      </c>
      <c r="M4251" s="0" t="str">
        <f aca="false">IF(A4251="","",IF(COUNTIFS($C$2:$C$5001,C4251,$J$2:$J$5001,J4251,$A$2:$A$5001,"&lt;"&amp;A4251)=0,1,0))</f>
        <v/>
      </c>
    </row>
    <row r="4252" customFormat="false" ht="15" hidden="false" customHeight="false" outlineLevel="0" collapsed="false">
      <c r="A4252" s="27"/>
      <c r="F4252" s="28"/>
      <c r="J4252" s="0" t="str">
        <f aca="false">IF(A4252="","",YEAR(A4252))</f>
        <v/>
      </c>
      <c r="K4252" s="0" t="str">
        <f aca="false">IF(A4252="","",MONTH(A4252))</f>
        <v/>
      </c>
      <c r="L4252" s="0" t="str">
        <f aca="false">IF(B4252="","",VALUE(LEFT(B4252,2)))</f>
        <v/>
      </c>
      <c r="M4252" s="0" t="str">
        <f aca="false">IF(A4252="","",IF(COUNTIFS($C$2:$C$5001,C4252,$J$2:$J$5001,J4252,$A$2:$A$5001,"&lt;"&amp;A4252)=0,1,0))</f>
        <v/>
      </c>
    </row>
    <row r="4253" customFormat="false" ht="15" hidden="false" customHeight="false" outlineLevel="0" collapsed="false">
      <c r="A4253" s="27"/>
      <c r="F4253" s="28"/>
      <c r="J4253" s="0" t="str">
        <f aca="false">IF(A4253="","",YEAR(A4253))</f>
        <v/>
      </c>
      <c r="K4253" s="0" t="str">
        <f aca="false">IF(A4253="","",MONTH(A4253))</f>
        <v/>
      </c>
      <c r="L4253" s="0" t="str">
        <f aca="false">IF(B4253="","",VALUE(LEFT(B4253,2)))</f>
        <v/>
      </c>
      <c r="M4253" s="0" t="str">
        <f aca="false">IF(A4253="","",IF(COUNTIFS($C$2:$C$5001,C4253,$J$2:$J$5001,J4253,$A$2:$A$5001,"&lt;"&amp;A4253)=0,1,0))</f>
        <v/>
      </c>
    </row>
    <row r="4254" customFormat="false" ht="15" hidden="false" customHeight="false" outlineLevel="0" collapsed="false">
      <c r="A4254" s="27"/>
      <c r="F4254" s="28"/>
      <c r="J4254" s="0" t="str">
        <f aca="false">IF(A4254="","",YEAR(A4254))</f>
        <v/>
      </c>
      <c r="K4254" s="0" t="str">
        <f aca="false">IF(A4254="","",MONTH(A4254))</f>
        <v/>
      </c>
      <c r="L4254" s="0" t="str">
        <f aca="false">IF(B4254="","",VALUE(LEFT(B4254,2)))</f>
        <v/>
      </c>
      <c r="M4254" s="0" t="str">
        <f aca="false">IF(A4254="","",IF(COUNTIFS($C$2:$C$5001,C4254,$J$2:$J$5001,J4254,$A$2:$A$5001,"&lt;"&amp;A4254)=0,1,0))</f>
        <v/>
      </c>
    </row>
    <row r="4255" customFormat="false" ht="15" hidden="false" customHeight="false" outlineLevel="0" collapsed="false">
      <c r="A4255" s="27"/>
      <c r="F4255" s="28"/>
      <c r="J4255" s="0" t="str">
        <f aca="false">IF(A4255="","",YEAR(A4255))</f>
        <v/>
      </c>
      <c r="K4255" s="0" t="str">
        <f aca="false">IF(A4255="","",MONTH(A4255))</f>
        <v/>
      </c>
      <c r="L4255" s="0" t="str">
        <f aca="false">IF(B4255="","",VALUE(LEFT(B4255,2)))</f>
        <v/>
      </c>
      <c r="M4255" s="0" t="str">
        <f aca="false">IF(A4255="","",IF(COUNTIFS($C$2:$C$5001,C4255,$J$2:$J$5001,J4255,$A$2:$A$5001,"&lt;"&amp;A4255)=0,1,0))</f>
        <v/>
      </c>
    </row>
    <row r="4256" customFormat="false" ht="15" hidden="false" customHeight="false" outlineLevel="0" collapsed="false">
      <c r="A4256" s="27"/>
      <c r="F4256" s="28"/>
      <c r="J4256" s="0" t="str">
        <f aca="false">IF(A4256="","",YEAR(A4256))</f>
        <v/>
      </c>
      <c r="K4256" s="0" t="str">
        <f aca="false">IF(A4256="","",MONTH(A4256))</f>
        <v/>
      </c>
      <c r="L4256" s="0" t="str">
        <f aca="false">IF(B4256="","",VALUE(LEFT(B4256,2)))</f>
        <v/>
      </c>
      <c r="M4256" s="0" t="str">
        <f aca="false">IF(A4256="","",IF(COUNTIFS($C$2:$C$5001,C4256,$J$2:$J$5001,J4256,$A$2:$A$5001,"&lt;"&amp;A4256)=0,1,0))</f>
        <v/>
      </c>
    </row>
    <row r="4257" customFormat="false" ht="15" hidden="false" customHeight="false" outlineLevel="0" collapsed="false">
      <c r="A4257" s="27"/>
      <c r="F4257" s="28"/>
      <c r="J4257" s="0" t="str">
        <f aca="false">IF(A4257="","",YEAR(A4257))</f>
        <v/>
      </c>
      <c r="K4257" s="0" t="str">
        <f aca="false">IF(A4257="","",MONTH(A4257))</f>
        <v/>
      </c>
      <c r="L4257" s="0" t="str">
        <f aca="false">IF(B4257="","",VALUE(LEFT(B4257,2)))</f>
        <v/>
      </c>
      <c r="M4257" s="0" t="str">
        <f aca="false">IF(A4257="","",IF(COUNTIFS($C$2:$C$5001,C4257,$J$2:$J$5001,J4257,$A$2:$A$5001,"&lt;"&amp;A4257)=0,1,0))</f>
        <v/>
      </c>
    </row>
    <row r="4258" customFormat="false" ht="15" hidden="false" customHeight="false" outlineLevel="0" collapsed="false">
      <c r="A4258" s="27"/>
      <c r="F4258" s="28"/>
      <c r="J4258" s="0" t="str">
        <f aca="false">IF(A4258="","",YEAR(A4258))</f>
        <v/>
      </c>
      <c r="K4258" s="0" t="str">
        <f aca="false">IF(A4258="","",MONTH(A4258))</f>
        <v/>
      </c>
      <c r="L4258" s="0" t="str">
        <f aca="false">IF(B4258="","",VALUE(LEFT(B4258,2)))</f>
        <v/>
      </c>
      <c r="M4258" s="0" t="str">
        <f aca="false">IF(A4258="","",IF(COUNTIFS($C$2:$C$5001,C4258,$J$2:$J$5001,J4258,$A$2:$A$5001,"&lt;"&amp;A4258)=0,1,0))</f>
        <v/>
      </c>
    </row>
    <row r="4259" customFormat="false" ht="15" hidden="false" customHeight="false" outlineLevel="0" collapsed="false">
      <c r="A4259" s="27"/>
      <c r="F4259" s="28"/>
      <c r="J4259" s="0" t="str">
        <f aca="false">IF(A4259="","",YEAR(A4259))</f>
        <v/>
      </c>
      <c r="K4259" s="0" t="str">
        <f aca="false">IF(A4259="","",MONTH(A4259))</f>
        <v/>
      </c>
      <c r="L4259" s="0" t="str">
        <f aca="false">IF(B4259="","",VALUE(LEFT(B4259,2)))</f>
        <v/>
      </c>
      <c r="M4259" s="0" t="str">
        <f aca="false">IF(A4259="","",IF(COUNTIFS($C$2:$C$5001,C4259,$J$2:$J$5001,J4259,$A$2:$A$5001,"&lt;"&amp;A4259)=0,1,0))</f>
        <v/>
      </c>
    </row>
    <row r="4260" customFormat="false" ht="15" hidden="false" customHeight="false" outlineLevel="0" collapsed="false">
      <c r="A4260" s="27"/>
      <c r="F4260" s="28"/>
      <c r="J4260" s="0" t="str">
        <f aca="false">IF(A4260="","",YEAR(A4260))</f>
        <v/>
      </c>
      <c r="K4260" s="0" t="str">
        <f aca="false">IF(A4260="","",MONTH(A4260))</f>
        <v/>
      </c>
      <c r="L4260" s="0" t="str">
        <f aca="false">IF(B4260="","",VALUE(LEFT(B4260,2)))</f>
        <v/>
      </c>
      <c r="M4260" s="0" t="str">
        <f aca="false">IF(A4260="","",IF(COUNTIFS($C$2:$C$5001,C4260,$J$2:$J$5001,J4260,$A$2:$A$5001,"&lt;"&amp;A4260)=0,1,0))</f>
        <v/>
      </c>
    </row>
    <row r="4261" customFormat="false" ht="15" hidden="false" customHeight="false" outlineLevel="0" collapsed="false">
      <c r="A4261" s="27"/>
      <c r="F4261" s="28"/>
      <c r="J4261" s="0" t="str">
        <f aca="false">IF(A4261="","",YEAR(A4261))</f>
        <v/>
      </c>
      <c r="K4261" s="0" t="str">
        <f aca="false">IF(A4261="","",MONTH(A4261))</f>
        <v/>
      </c>
      <c r="L4261" s="0" t="str">
        <f aca="false">IF(B4261="","",VALUE(LEFT(B4261,2)))</f>
        <v/>
      </c>
      <c r="M4261" s="0" t="str">
        <f aca="false">IF(A4261="","",IF(COUNTIFS($C$2:$C$5001,C4261,$J$2:$J$5001,J4261,$A$2:$A$5001,"&lt;"&amp;A4261)=0,1,0))</f>
        <v/>
      </c>
    </row>
    <row r="4262" customFormat="false" ht="15" hidden="false" customHeight="false" outlineLevel="0" collapsed="false">
      <c r="A4262" s="27"/>
      <c r="F4262" s="28"/>
      <c r="J4262" s="0" t="str">
        <f aca="false">IF(A4262="","",YEAR(A4262))</f>
        <v/>
      </c>
      <c r="K4262" s="0" t="str">
        <f aca="false">IF(A4262="","",MONTH(A4262))</f>
        <v/>
      </c>
      <c r="L4262" s="0" t="str">
        <f aca="false">IF(B4262="","",VALUE(LEFT(B4262,2)))</f>
        <v/>
      </c>
      <c r="M4262" s="0" t="str">
        <f aca="false">IF(A4262="","",IF(COUNTIFS($C$2:$C$5001,C4262,$J$2:$J$5001,J4262,$A$2:$A$5001,"&lt;"&amp;A4262)=0,1,0))</f>
        <v/>
      </c>
    </row>
    <row r="4263" customFormat="false" ht="15" hidden="false" customHeight="false" outlineLevel="0" collapsed="false">
      <c r="A4263" s="27"/>
      <c r="F4263" s="28"/>
      <c r="J4263" s="0" t="str">
        <f aca="false">IF(A4263="","",YEAR(A4263))</f>
        <v/>
      </c>
      <c r="K4263" s="0" t="str">
        <f aca="false">IF(A4263="","",MONTH(A4263))</f>
        <v/>
      </c>
      <c r="L4263" s="0" t="str">
        <f aca="false">IF(B4263="","",VALUE(LEFT(B4263,2)))</f>
        <v/>
      </c>
      <c r="M4263" s="0" t="str">
        <f aca="false">IF(A4263="","",IF(COUNTIFS($C$2:$C$5001,C4263,$J$2:$J$5001,J4263,$A$2:$A$5001,"&lt;"&amp;A4263)=0,1,0))</f>
        <v/>
      </c>
    </row>
    <row r="4264" customFormat="false" ht="15" hidden="false" customHeight="false" outlineLevel="0" collapsed="false">
      <c r="A4264" s="27"/>
      <c r="F4264" s="28"/>
      <c r="J4264" s="0" t="str">
        <f aca="false">IF(A4264="","",YEAR(A4264))</f>
        <v/>
      </c>
      <c r="K4264" s="0" t="str">
        <f aca="false">IF(A4264="","",MONTH(A4264))</f>
        <v/>
      </c>
      <c r="L4264" s="0" t="str">
        <f aca="false">IF(B4264="","",VALUE(LEFT(B4264,2)))</f>
        <v/>
      </c>
      <c r="M4264" s="0" t="str">
        <f aca="false">IF(A4264="","",IF(COUNTIFS($C$2:$C$5001,C4264,$J$2:$J$5001,J4264,$A$2:$A$5001,"&lt;"&amp;A4264)=0,1,0))</f>
        <v/>
      </c>
    </row>
    <row r="4265" customFormat="false" ht="15" hidden="false" customHeight="false" outlineLevel="0" collapsed="false">
      <c r="A4265" s="27"/>
      <c r="F4265" s="28"/>
      <c r="J4265" s="0" t="str">
        <f aca="false">IF(A4265="","",YEAR(A4265))</f>
        <v/>
      </c>
      <c r="K4265" s="0" t="str">
        <f aca="false">IF(A4265="","",MONTH(A4265))</f>
        <v/>
      </c>
      <c r="L4265" s="0" t="str">
        <f aca="false">IF(B4265="","",VALUE(LEFT(B4265,2)))</f>
        <v/>
      </c>
      <c r="M4265" s="0" t="str">
        <f aca="false">IF(A4265="","",IF(COUNTIFS($C$2:$C$5001,C4265,$J$2:$J$5001,J4265,$A$2:$A$5001,"&lt;"&amp;A4265)=0,1,0))</f>
        <v/>
      </c>
    </row>
    <row r="4266" customFormat="false" ht="15" hidden="false" customHeight="false" outlineLevel="0" collapsed="false">
      <c r="A4266" s="27"/>
      <c r="F4266" s="28"/>
      <c r="J4266" s="0" t="str">
        <f aca="false">IF(A4266="","",YEAR(A4266))</f>
        <v/>
      </c>
      <c r="K4266" s="0" t="str">
        <f aca="false">IF(A4266="","",MONTH(A4266))</f>
        <v/>
      </c>
      <c r="L4266" s="0" t="str">
        <f aca="false">IF(B4266="","",VALUE(LEFT(B4266,2)))</f>
        <v/>
      </c>
      <c r="M4266" s="0" t="str">
        <f aca="false">IF(A4266="","",IF(COUNTIFS($C$2:$C$5001,C4266,$J$2:$J$5001,J4266,$A$2:$A$5001,"&lt;"&amp;A4266)=0,1,0))</f>
        <v/>
      </c>
    </row>
    <row r="4267" customFormat="false" ht="15" hidden="false" customHeight="false" outlineLevel="0" collapsed="false">
      <c r="A4267" s="27"/>
      <c r="F4267" s="28"/>
      <c r="J4267" s="0" t="str">
        <f aca="false">IF(A4267="","",YEAR(A4267))</f>
        <v/>
      </c>
      <c r="K4267" s="0" t="str">
        <f aca="false">IF(A4267="","",MONTH(A4267))</f>
        <v/>
      </c>
      <c r="L4267" s="0" t="str">
        <f aca="false">IF(B4267="","",VALUE(LEFT(B4267,2)))</f>
        <v/>
      </c>
      <c r="M4267" s="0" t="str">
        <f aca="false">IF(A4267="","",IF(COUNTIFS($C$2:$C$5001,C4267,$J$2:$J$5001,J4267,$A$2:$A$5001,"&lt;"&amp;A4267)=0,1,0))</f>
        <v/>
      </c>
    </row>
    <row r="4268" customFormat="false" ht="15" hidden="false" customHeight="false" outlineLevel="0" collapsed="false">
      <c r="A4268" s="27"/>
      <c r="F4268" s="28"/>
      <c r="J4268" s="0" t="str">
        <f aca="false">IF(A4268="","",YEAR(A4268))</f>
        <v/>
      </c>
      <c r="K4268" s="0" t="str">
        <f aca="false">IF(A4268="","",MONTH(A4268))</f>
        <v/>
      </c>
      <c r="L4268" s="0" t="str">
        <f aca="false">IF(B4268="","",VALUE(LEFT(B4268,2)))</f>
        <v/>
      </c>
      <c r="M4268" s="0" t="str">
        <f aca="false">IF(A4268="","",IF(COUNTIFS($C$2:$C$5001,C4268,$J$2:$J$5001,J4268,$A$2:$A$5001,"&lt;"&amp;A4268)=0,1,0))</f>
        <v/>
      </c>
    </row>
    <row r="4269" customFormat="false" ht="15" hidden="false" customHeight="false" outlineLevel="0" collapsed="false">
      <c r="A4269" s="27"/>
      <c r="F4269" s="28"/>
      <c r="J4269" s="0" t="str">
        <f aca="false">IF(A4269="","",YEAR(A4269))</f>
        <v/>
      </c>
      <c r="K4269" s="0" t="str">
        <f aca="false">IF(A4269="","",MONTH(A4269))</f>
        <v/>
      </c>
      <c r="L4269" s="0" t="str">
        <f aca="false">IF(B4269="","",VALUE(LEFT(B4269,2)))</f>
        <v/>
      </c>
      <c r="M4269" s="0" t="str">
        <f aca="false">IF(A4269="","",IF(COUNTIFS($C$2:$C$5001,C4269,$J$2:$J$5001,J4269,$A$2:$A$5001,"&lt;"&amp;A4269)=0,1,0))</f>
        <v/>
      </c>
    </row>
    <row r="4270" customFormat="false" ht="15" hidden="false" customHeight="false" outlineLevel="0" collapsed="false">
      <c r="A4270" s="27"/>
      <c r="F4270" s="28"/>
      <c r="J4270" s="0" t="str">
        <f aca="false">IF(A4270="","",YEAR(A4270))</f>
        <v/>
      </c>
      <c r="K4270" s="0" t="str">
        <f aca="false">IF(A4270="","",MONTH(A4270))</f>
        <v/>
      </c>
      <c r="L4270" s="0" t="str">
        <f aca="false">IF(B4270="","",VALUE(LEFT(B4270,2)))</f>
        <v/>
      </c>
      <c r="M4270" s="0" t="str">
        <f aca="false">IF(A4270="","",IF(COUNTIFS($C$2:$C$5001,C4270,$J$2:$J$5001,J4270,$A$2:$A$5001,"&lt;"&amp;A4270)=0,1,0))</f>
        <v/>
      </c>
    </row>
    <row r="4271" customFormat="false" ht="15" hidden="false" customHeight="false" outlineLevel="0" collapsed="false">
      <c r="A4271" s="27"/>
      <c r="F4271" s="28"/>
      <c r="J4271" s="0" t="str">
        <f aca="false">IF(A4271="","",YEAR(A4271))</f>
        <v/>
      </c>
      <c r="K4271" s="0" t="str">
        <f aca="false">IF(A4271="","",MONTH(A4271))</f>
        <v/>
      </c>
      <c r="L4271" s="0" t="str">
        <f aca="false">IF(B4271="","",VALUE(LEFT(B4271,2)))</f>
        <v/>
      </c>
      <c r="M4271" s="0" t="str">
        <f aca="false">IF(A4271="","",IF(COUNTIFS($C$2:$C$5001,C4271,$J$2:$J$5001,J4271,$A$2:$A$5001,"&lt;"&amp;A4271)=0,1,0))</f>
        <v/>
      </c>
    </row>
    <row r="4272" customFormat="false" ht="15" hidden="false" customHeight="false" outlineLevel="0" collapsed="false">
      <c r="A4272" s="27"/>
      <c r="F4272" s="28"/>
      <c r="J4272" s="0" t="str">
        <f aca="false">IF(A4272="","",YEAR(A4272))</f>
        <v/>
      </c>
      <c r="K4272" s="0" t="str">
        <f aca="false">IF(A4272="","",MONTH(A4272))</f>
        <v/>
      </c>
      <c r="L4272" s="0" t="str">
        <f aca="false">IF(B4272="","",VALUE(LEFT(B4272,2)))</f>
        <v/>
      </c>
      <c r="M4272" s="0" t="str">
        <f aca="false">IF(A4272="","",IF(COUNTIFS($C$2:$C$5001,C4272,$J$2:$J$5001,J4272,$A$2:$A$5001,"&lt;"&amp;A4272)=0,1,0))</f>
        <v/>
      </c>
    </row>
    <row r="4273" customFormat="false" ht="15" hidden="false" customHeight="false" outlineLevel="0" collapsed="false">
      <c r="A4273" s="27"/>
      <c r="F4273" s="28"/>
      <c r="J4273" s="0" t="str">
        <f aca="false">IF(A4273="","",YEAR(A4273))</f>
        <v/>
      </c>
      <c r="K4273" s="0" t="str">
        <f aca="false">IF(A4273="","",MONTH(A4273))</f>
        <v/>
      </c>
      <c r="L4273" s="0" t="str">
        <f aca="false">IF(B4273="","",VALUE(LEFT(B4273,2)))</f>
        <v/>
      </c>
      <c r="M4273" s="0" t="str">
        <f aca="false">IF(A4273="","",IF(COUNTIFS($C$2:$C$5001,C4273,$J$2:$J$5001,J4273,$A$2:$A$5001,"&lt;"&amp;A4273)=0,1,0))</f>
        <v/>
      </c>
    </row>
    <row r="4274" customFormat="false" ht="15" hidden="false" customHeight="false" outlineLevel="0" collapsed="false">
      <c r="A4274" s="27"/>
      <c r="F4274" s="28"/>
      <c r="J4274" s="0" t="str">
        <f aca="false">IF(A4274="","",YEAR(A4274))</f>
        <v/>
      </c>
      <c r="K4274" s="0" t="str">
        <f aca="false">IF(A4274="","",MONTH(A4274))</f>
        <v/>
      </c>
      <c r="L4274" s="0" t="str">
        <f aca="false">IF(B4274="","",VALUE(LEFT(B4274,2)))</f>
        <v/>
      </c>
      <c r="M4274" s="0" t="str">
        <f aca="false">IF(A4274="","",IF(COUNTIFS($C$2:$C$5001,C4274,$J$2:$J$5001,J4274,$A$2:$A$5001,"&lt;"&amp;A4274)=0,1,0))</f>
        <v/>
      </c>
    </row>
    <row r="4275" customFormat="false" ht="15" hidden="false" customHeight="false" outlineLevel="0" collapsed="false">
      <c r="A4275" s="27"/>
      <c r="F4275" s="28"/>
      <c r="J4275" s="0" t="str">
        <f aca="false">IF(A4275="","",YEAR(A4275))</f>
        <v/>
      </c>
      <c r="K4275" s="0" t="str">
        <f aca="false">IF(A4275="","",MONTH(A4275))</f>
        <v/>
      </c>
      <c r="L4275" s="0" t="str">
        <f aca="false">IF(B4275="","",VALUE(LEFT(B4275,2)))</f>
        <v/>
      </c>
      <c r="M4275" s="0" t="str">
        <f aca="false">IF(A4275="","",IF(COUNTIFS($C$2:$C$5001,C4275,$J$2:$J$5001,J4275,$A$2:$A$5001,"&lt;"&amp;A4275)=0,1,0))</f>
        <v/>
      </c>
    </row>
    <row r="4276" customFormat="false" ht="15" hidden="false" customHeight="false" outlineLevel="0" collapsed="false">
      <c r="A4276" s="27"/>
      <c r="F4276" s="28"/>
      <c r="J4276" s="0" t="str">
        <f aca="false">IF(A4276="","",YEAR(A4276))</f>
        <v/>
      </c>
      <c r="K4276" s="0" t="str">
        <f aca="false">IF(A4276="","",MONTH(A4276))</f>
        <v/>
      </c>
      <c r="L4276" s="0" t="str">
        <f aca="false">IF(B4276="","",VALUE(LEFT(B4276,2)))</f>
        <v/>
      </c>
      <c r="M4276" s="0" t="str">
        <f aca="false">IF(A4276="","",IF(COUNTIFS($C$2:$C$5001,C4276,$J$2:$J$5001,J4276,$A$2:$A$5001,"&lt;"&amp;A4276)=0,1,0))</f>
        <v/>
      </c>
    </row>
    <row r="4277" customFormat="false" ht="15" hidden="false" customHeight="false" outlineLevel="0" collapsed="false">
      <c r="A4277" s="27"/>
      <c r="F4277" s="28"/>
      <c r="J4277" s="0" t="str">
        <f aca="false">IF(A4277="","",YEAR(A4277))</f>
        <v/>
      </c>
      <c r="K4277" s="0" t="str">
        <f aca="false">IF(A4277="","",MONTH(A4277))</f>
        <v/>
      </c>
      <c r="L4277" s="0" t="str">
        <f aca="false">IF(B4277="","",VALUE(LEFT(B4277,2)))</f>
        <v/>
      </c>
      <c r="M4277" s="0" t="str">
        <f aca="false">IF(A4277="","",IF(COUNTIFS($C$2:$C$5001,C4277,$J$2:$J$5001,J4277,$A$2:$A$5001,"&lt;"&amp;A4277)=0,1,0))</f>
        <v/>
      </c>
    </row>
    <row r="4278" customFormat="false" ht="15" hidden="false" customHeight="false" outlineLevel="0" collapsed="false">
      <c r="A4278" s="27"/>
      <c r="F4278" s="28"/>
      <c r="J4278" s="0" t="str">
        <f aca="false">IF(A4278="","",YEAR(A4278))</f>
        <v/>
      </c>
      <c r="K4278" s="0" t="str">
        <f aca="false">IF(A4278="","",MONTH(A4278))</f>
        <v/>
      </c>
      <c r="L4278" s="0" t="str">
        <f aca="false">IF(B4278="","",VALUE(LEFT(B4278,2)))</f>
        <v/>
      </c>
      <c r="M4278" s="0" t="str">
        <f aca="false">IF(A4278="","",IF(COUNTIFS($C$2:$C$5001,C4278,$J$2:$J$5001,J4278,$A$2:$A$5001,"&lt;"&amp;A4278)=0,1,0))</f>
        <v/>
      </c>
    </row>
    <row r="4279" customFormat="false" ht="15" hidden="false" customHeight="false" outlineLevel="0" collapsed="false">
      <c r="A4279" s="27"/>
      <c r="F4279" s="28"/>
      <c r="J4279" s="0" t="str">
        <f aca="false">IF(A4279="","",YEAR(A4279))</f>
        <v/>
      </c>
      <c r="K4279" s="0" t="str">
        <f aca="false">IF(A4279="","",MONTH(A4279))</f>
        <v/>
      </c>
      <c r="L4279" s="0" t="str">
        <f aca="false">IF(B4279="","",VALUE(LEFT(B4279,2)))</f>
        <v/>
      </c>
      <c r="M4279" s="0" t="str">
        <f aca="false">IF(A4279="","",IF(COUNTIFS($C$2:$C$5001,C4279,$J$2:$J$5001,J4279,$A$2:$A$5001,"&lt;"&amp;A4279)=0,1,0))</f>
        <v/>
      </c>
    </row>
    <row r="4280" customFormat="false" ht="15" hidden="false" customHeight="false" outlineLevel="0" collapsed="false">
      <c r="A4280" s="27"/>
      <c r="F4280" s="28"/>
      <c r="J4280" s="0" t="str">
        <f aca="false">IF(A4280="","",YEAR(A4280))</f>
        <v/>
      </c>
      <c r="K4280" s="0" t="str">
        <f aca="false">IF(A4280="","",MONTH(A4280))</f>
        <v/>
      </c>
      <c r="L4280" s="0" t="str">
        <f aca="false">IF(B4280="","",VALUE(LEFT(B4280,2)))</f>
        <v/>
      </c>
      <c r="M4280" s="0" t="str">
        <f aca="false">IF(A4280="","",IF(COUNTIFS($C$2:$C$5001,C4280,$J$2:$J$5001,J4280,$A$2:$A$5001,"&lt;"&amp;A4280)=0,1,0))</f>
        <v/>
      </c>
    </row>
    <row r="4281" customFormat="false" ht="15" hidden="false" customHeight="false" outlineLevel="0" collapsed="false">
      <c r="A4281" s="27"/>
      <c r="F4281" s="28"/>
      <c r="J4281" s="0" t="str">
        <f aca="false">IF(A4281="","",YEAR(A4281))</f>
        <v/>
      </c>
      <c r="K4281" s="0" t="str">
        <f aca="false">IF(A4281="","",MONTH(A4281))</f>
        <v/>
      </c>
      <c r="L4281" s="0" t="str">
        <f aca="false">IF(B4281="","",VALUE(LEFT(B4281,2)))</f>
        <v/>
      </c>
      <c r="M4281" s="0" t="str">
        <f aca="false">IF(A4281="","",IF(COUNTIFS($C$2:$C$5001,C4281,$J$2:$J$5001,J4281,$A$2:$A$5001,"&lt;"&amp;A4281)=0,1,0))</f>
        <v/>
      </c>
    </row>
    <row r="4282" customFormat="false" ht="15" hidden="false" customHeight="false" outlineLevel="0" collapsed="false">
      <c r="A4282" s="27"/>
      <c r="F4282" s="28"/>
      <c r="J4282" s="0" t="str">
        <f aca="false">IF(A4282="","",YEAR(A4282))</f>
        <v/>
      </c>
      <c r="K4282" s="0" t="str">
        <f aca="false">IF(A4282="","",MONTH(A4282))</f>
        <v/>
      </c>
      <c r="L4282" s="0" t="str">
        <f aca="false">IF(B4282="","",VALUE(LEFT(B4282,2)))</f>
        <v/>
      </c>
      <c r="M4282" s="0" t="str">
        <f aca="false">IF(A4282="","",IF(COUNTIFS($C$2:$C$5001,C4282,$J$2:$J$5001,J4282,$A$2:$A$5001,"&lt;"&amp;A4282)=0,1,0))</f>
        <v/>
      </c>
    </row>
    <row r="4283" customFormat="false" ht="15" hidden="false" customHeight="false" outlineLevel="0" collapsed="false">
      <c r="A4283" s="27"/>
      <c r="F4283" s="28"/>
      <c r="J4283" s="0" t="str">
        <f aca="false">IF(A4283="","",YEAR(A4283))</f>
        <v/>
      </c>
      <c r="K4283" s="0" t="str">
        <f aca="false">IF(A4283="","",MONTH(A4283))</f>
        <v/>
      </c>
      <c r="L4283" s="0" t="str">
        <f aca="false">IF(B4283="","",VALUE(LEFT(B4283,2)))</f>
        <v/>
      </c>
      <c r="M4283" s="0" t="str">
        <f aca="false">IF(A4283="","",IF(COUNTIFS($C$2:$C$5001,C4283,$J$2:$J$5001,J4283,$A$2:$A$5001,"&lt;"&amp;A4283)=0,1,0))</f>
        <v/>
      </c>
    </row>
    <row r="4284" customFormat="false" ht="15" hidden="false" customHeight="false" outlineLevel="0" collapsed="false">
      <c r="A4284" s="27"/>
      <c r="F4284" s="28"/>
      <c r="J4284" s="0" t="str">
        <f aca="false">IF(A4284="","",YEAR(A4284))</f>
        <v/>
      </c>
      <c r="K4284" s="0" t="str">
        <f aca="false">IF(A4284="","",MONTH(A4284))</f>
        <v/>
      </c>
      <c r="L4284" s="0" t="str">
        <f aca="false">IF(B4284="","",VALUE(LEFT(B4284,2)))</f>
        <v/>
      </c>
      <c r="M4284" s="0" t="str">
        <f aca="false">IF(A4284="","",IF(COUNTIFS($C$2:$C$5001,C4284,$J$2:$J$5001,J4284,$A$2:$A$5001,"&lt;"&amp;A4284)=0,1,0))</f>
        <v/>
      </c>
    </row>
    <row r="4285" customFormat="false" ht="15" hidden="false" customHeight="false" outlineLevel="0" collapsed="false">
      <c r="A4285" s="27"/>
      <c r="F4285" s="28"/>
      <c r="J4285" s="0" t="str">
        <f aca="false">IF(A4285="","",YEAR(A4285))</f>
        <v/>
      </c>
      <c r="K4285" s="0" t="str">
        <f aca="false">IF(A4285="","",MONTH(A4285))</f>
        <v/>
      </c>
      <c r="L4285" s="0" t="str">
        <f aca="false">IF(B4285="","",VALUE(LEFT(B4285,2)))</f>
        <v/>
      </c>
      <c r="M4285" s="0" t="str">
        <f aca="false">IF(A4285="","",IF(COUNTIFS($C$2:$C$5001,C4285,$J$2:$J$5001,J4285,$A$2:$A$5001,"&lt;"&amp;A4285)=0,1,0))</f>
        <v/>
      </c>
    </row>
    <row r="4286" customFormat="false" ht="15" hidden="false" customHeight="false" outlineLevel="0" collapsed="false">
      <c r="A4286" s="27"/>
      <c r="F4286" s="28"/>
      <c r="J4286" s="0" t="str">
        <f aca="false">IF(A4286="","",YEAR(A4286))</f>
        <v/>
      </c>
      <c r="K4286" s="0" t="str">
        <f aca="false">IF(A4286="","",MONTH(A4286))</f>
        <v/>
      </c>
      <c r="L4286" s="0" t="str">
        <f aca="false">IF(B4286="","",VALUE(LEFT(B4286,2)))</f>
        <v/>
      </c>
      <c r="M4286" s="0" t="str">
        <f aca="false">IF(A4286="","",IF(COUNTIFS($C$2:$C$5001,C4286,$J$2:$J$5001,J4286,$A$2:$A$5001,"&lt;"&amp;A4286)=0,1,0))</f>
        <v/>
      </c>
    </row>
    <row r="4287" customFormat="false" ht="15" hidden="false" customHeight="false" outlineLevel="0" collapsed="false">
      <c r="A4287" s="27"/>
      <c r="F4287" s="28"/>
      <c r="J4287" s="0" t="str">
        <f aca="false">IF(A4287="","",YEAR(A4287))</f>
        <v/>
      </c>
      <c r="K4287" s="0" t="str">
        <f aca="false">IF(A4287="","",MONTH(A4287))</f>
        <v/>
      </c>
      <c r="L4287" s="0" t="str">
        <f aca="false">IF(B4287="","",VALUE(LEFT(B4287,2)))</f>
        <v/>
      </c>
      <c r="M4287" s="0" t="str">
        <f aca="false">IF(A4287="","",IF(COUNTIFS($C$2:$C$5001,C4287,$J$2:$J$5001,J4287,$A$2:$A$5001,"&lt;"&amp;A4287)=0,1,0))</f>
        <v/>
      </c>
    </row>
    <row r="4288" customFormat="false" ht="15" hidden="false" customHeight="false" outlineLevel="0" collapsed="false">
      <c r="A4288" s="27"/>
      <c r="F4288" s="28"/>
      <c r="J4288" s="0" t="str">
        <f aca="false">IF(A4288="","",YEAR(A4288))</f>
        <v/>
      </c>
      <c r="K4288" s="0" t="str">
        <f aca="false">IF(A4288="","",MONTH(A4288))</f>
        <v/>
      </c>
      <c r="L4288" s="0" t="str">
        <f aca="false">IF(B4288="","",VALUE(LEFT(B4288,2)))</f>
        <v/>
      </c>
      <c r="M4288" s="0" t="str">
        <f aca="false">IF(A4288="","",IF(COUNTIFS($C$2:$C$5001,C4288,$J$2:$J$5001,J4288,$A$2:$A$5001,"&lt;"&amp;A4288)=0,1,0))</f>
        <v/>
      </c>
    </row>
    <row r="4289" customFormat="false" ht="15" hidden="false" customHeight="false" outlineLevel="0" collapsed="false">
      <c r="A4289" s="27"/>
      <c r="F4289" s="28"/>
      <c r="J4289" s="0" t="str">
        <f aca="false">IF(A4289="","",YEAR(A4289))</f>
        <v/>
      </c>
      <c r="K4289" s="0" t="str">
        <f aca="false">IF(A4289="","",MONTH(A4289))</f>
        <v/>
      </c>
      <c r="L4289" s="0" t="str">
        <f aca="false">IF(B4289="","",VALUE(LEFT(B4289,2)))</f>
        <v/>
      </c>
      <c r="M4289" s="0" t="str">
        <f aca="false">IF(A4289="","",IF(COUNTIFS($C$2:$C$5001,C4289,$J$2:$J$5001,J4289,$A$2:$A$5001,"&lt;"&amp;A4289)=0,1,0))</f>
        <v/>
      </c>
    </row>
    <row r="4290" customFormat="false" ht="15" hidden="false" customHeight="false" outlineLevel="0" collapsed="false">
      <c r="A4290" s="27"/>
      <c r="F4290" s="28"/>
      <c r="J4290" s="0" t="str">
        <f aca="false">IF(A4290="","",YEAR(A4290))</f>
        <v/>
      </c>
      <c r="K4290" s="0" t="str">
        <f aca="false">IF(A4290="","",MONTH(A4290))</f>
        <v/>
      </c>
      <c r="L4290" s="0" t="str">
        <f aca="false">IF(B4290="","",VALUE(LEFT(B4290,2)))</f>
        <v/>
      </c>
      <c r="M4290" s="0" t="str">
        <f aca="false">IF(A4290="","",IF(COUNTIFS($C$2:$C$5001,C4290,$J$2:$J$5001,J4290,$A$2:$A$5001,"&lt;"&amp;A4290)=0,1,0))</f>
        <v/>
      </c>
    </row>
    <row r="4291" customFormat="false" ht="15" hidden="false" customHeight="false" outlineLevel="0" collapsed="false">
      <c r="A4291" s="27"/>
      <c r="F4291" s="28"/>
      <c r="J4291" s="0" t="str">
        <f aca="false">IF(A4291="","",YEAR(A4291))</f>
        <v/>
      </c>
      <c r="K4291" s="0" t="str">
        <f aca="false">IF(A4291="","",MONTH(A4291))</f>
        <v/>
      </c>
      <c r="L4291" s="0" t="str">
        <f aca="false">IF(B4291="","",VALUE(LEFT(B4291,2)))</f>
        <v/>
      </c>
      <c r="M4291" s="0" t="str">
        <f aca="false">IF(A4291="","",IF(COUNTIFS($C$2:$C$5001,C4291,$J$2:$J$5001,J4291,$A$2:$A$5001,"&lt;"&amp;A4291)=0,1,0))</f>
        <v/>
      </c>
    </row>
    <row r="4292" customFormat="false" ht="15" hidden="false" customHeight="false" outlineLevel="0" collapsed="false">
      <c r="A4292" s="27"/>
      <c r="F4292" s="28"/>
      <c r="J4292" s="0" t="str">
        <f aca="false">IF(A4292="","",YEAR(A4292))</f>
        <v/>
      </c>
      <c r="K4292" s="0" t="str">
        <f aca="false">IF(A4292="","",MONTH(A4292))</f>
        <v/>
      </c>
      <c r="L4292" s="0" t="str">
        <f aca="false">IF(B4292="","",VALUE(LEFT(B4292,2)))</f>
        <v/>
      </c>
      <c r="M4292" s="0" t="str">
        <f aca="false">IF(A4292="","",IF(COUNTIFS($C$2:$C$5001,C4292,$J$2:$J$5001,J4292,$A$2:$A$5001,"&lt;"&amp;A4292)=0,1,0))</f>
        <v/>
      </c>
    </row>
    <row r="4293" customFormat="false" ht="15" hidden="false" customHeight="false" outlineLevel="0" collapsed="false">
      <c r="A4293" s="27"/>
      <c r="F4293" s="28"/>
      <c r="J4293" s="0" t="str">
        <f aca="false">IF(A4293="","",YEAR(A4293))</f>
        <v/>
      </c>
      <c r="K4293" s="0" t="str">
        <f aca="false">IF(A4293="","",MONTH(A4293))</f>
        <v/>
      </c>
      <c r="L4293" s="0" t="str">
        <f aca="false">IF(B4293="","",VALUE(LEFT(B4293,2)))</f>
        <v/>
      </c>
      <c r="M4293" s="0" t="str">
        <f aca="false">IF(A4293="","",IF(COUNTIFS($C$2:$C$5001,C4293,$J$2:$J$5001,J4293,$A$2:$A$5001,"&lt;"&amp;A4293)=0,1,0))</f>
        <v/>
      </c>
    </row>
    <row r="4294" customFormat="false" ht="15" hidden="false" customHeight="false" outlineLevel="0" collapsed="false">
      <c r="A4294" s="27"/>
      <c r="F4294" s="28"/>
      <c r="J4294" s="0" t="str">
        <f aca="false">IF(A4294="","",YEAR(A4294))</f>
        <v/>
      </c>
      <c r="K4294" s="0" t="str">
        <f aca="false">IF(A4294="","",MONTH(A4294))</f>
        <v/>
      </c>
      <c r="L4294" s="0" t="str">
        <f aca="false">IF(B4294="","",VALUE(LEFT(B4294,2)))</f>
        <v/>
      </c>
      <c r="M4294" s="0" t="str">
        <f aca="false">IF(A4294="","",IF(COUNTIFS($C$2:$C$5001,C4294,$J$2:$J$5001,J4294,$A$2:$A$5001,"&lt;"&amp;A4294)=0,1,0))</f>
        <v/>
      </c>
    </row>
    <row r="4295" customFormat="false" ht="15" hidden="false" customHeight="false" outlineLevel="0" collapsed="false">
      <c r="A4295" s="27"/>
      <c r="F4295" s="28"/>
      <c r="J4295" s="0" t="str">
        <f aca="false">IF(A4295="","",YEAR(A4295))</f>
        <v/>
      </c>
      <c r="K4295" s="0" t="str">
        <f aca="false">IF(A4295="","",MONTH(A4295))</f>
        <v/>
      </c>
      <c r="L4295" s="0" t="str">
        <f aca="false">IF(B4295="","",VALUE(LEFT(B4295,2)))</f>
        <v/>
      </c>
      <c r="M4295" s="0" t="str">
        <f aca="false">IF(A4295="","",IF(COUNTIFS($C$2:$C$5001,C4295,$J$2:$J$5001,J4295,$A$2:$A$5001,"&lt;"&amp;A4295)=0,1,0))</f>
        <v/>
      </c>
    </row>
    <row r="4296" customFormat="false" ht="15" hidden="false" customHeight="false" outlineLevel="0" collapsed="false">
      <c r="A4296" s="27"/>
      <c r="F4296" s="28"/>
      <c r="J4296" s="0" t="str">
        <f aca="false">IF(A4296="","",YEAR(A4296))</f>
        <v/>
      </c>
      <c r="K4296" s="0" t="str">
        <f aca="false">IF(A4296="","",MONTH(A4296))</f>
        <v/>
      </c>
      <c r="L4296" s="0" t="str">
        <f aca="false">IF(B4296="","",VALUE(LEFT(B4296,2)))</f>
        <v/>
      </c>
      <c r="M4296" s="0" t="str">
        <f aca="false">IF(A4296="","",IF(COUNTIFS($C$2:$C$5001,C4296,$J$2:$J$5001,J4296,$A$2:$A$5001,"&lt;"&amp;A4296)=0,1,0))</f>
        <v/>
      </c>
    </row>
    <row r="4297" customFormat="false" ht="15" hidden="false" customHeight="false" outlineLevel="0" collapsed="false">
      <c r="A4297" s="27"/>
      <c r="F4297" s="28"/>
      <c r="J4297" s="0" t="str">
        <f aca="false">IF(A4297="","",YEAR(A4297))</f>
        <v/>
      </c>
      <c r="K4297" s="0" t="str">
        <f aca="false">IF(A4297="","",MONTH(A4297))</f>
        <v/>
      </c>
      <c r="L4297" s="0" t="str">
        <f aca="false">IF(B4297="","",VALUE(LEFT(B4297,2)))</f>
        <v/>
      </c>
      <c r="M4297" s="0" t="str">
        <f aca="false">IF(A4297="","",IF(COUNTIFS($C$2:$C$5001,C4297,$J$2:$J$5001,J4297,$A$2:$A$5001,"&lt;"&amp;A4297)=0,1,0))</f>
        <v/>
      </c>
    </row>
    <row r="4298" customFormat="false" ht="15" hidden="false" customHeight="false" outlineLevel="0" collapsed="false">
      <c r="A4298" s="27"/>
      <c r="F4298" s="28"/>
      <c r="J4298" s="0" t="str">
        <f aca="false">IF(A4298="","",YEAR(A4298))</f>
        <v/>
      </c>
      <c r="K4298" s="0" t="str">
        <f aca="false">IF(A4298="","",MONTH(A4298))</f>
        <v/>
      </c>
      <c r="L4298" s="0" t="str">
        <f aca="false">IF(B4298="","",VALUE(LEFT(B4298,2)))</f>
        <v/>
      </c>
      <c r="M4298" s="0" t="str">
        <f aca="false">IF(A4298="","",IF(COUNTIFS($C$2:$C$5001,C4298,$J$2:$J$5001,J4298,$A$2:$A$5001,"&lt;"&amp;A4298)=0,1,0))</f>
        <v/>
      </c>
    </row>
    <row r="4299" customFormat="false" ht="15" hidden="false" customHeight="false" outlineLevel="0" collapsed="false">
      <c r="A4299" s="27"/>
      <c r="F4299" s="28"/>
      <c r="J4299" s="0" t="str">
        <f aca="false">IF(A4299="","",YEAR(A4299))</f>
        <v/>
      </c>
      <c r="K4299" s="0" t="str">
        <f aca="false">IF(A4299="","",MONTH(A4299))</f>
        <v/>
      </c>
      <c r="L4299" s="0" t="str">
        <f aca="false">IF(B4299="","",VALUE(LEFT(B4299,2)))</f>
        <v/>
      </c>
      <c r="M4299" s="0" t="str">
        <f aca="false">IF(A4299="","",IF(COUNTIFS($C$2:$C$5001,C4299,$J$2:$J$5001,J4299,$A$2:$A$5001,"&lt;"&amp;A4299)=0,1,0))</f>
        <v/>
      </c>
    </row>
    <row r="4300" customFormat="false" ht="15" hidden="false" customHeight="false" outlineLevel="0" collapsed="false">
      <c r="A4300" s="27"/>
      <c r="F4300" s="28"/>
      <c r="J4300" s="0" t="str">
        <f aca="false">IF(A4300="","",YEAR(A4300))</f>
        <v/>
      </c>
      <c r="K4300" s="0" t="str">
        <f aca="false">IF(A4300="","",MONTH(A4300))</f>
        <v/>
      </c>
      <c r="L4300" s="0" t="str">
        <f aca="false">IF(B4300="","",VALUE(LEFT(B4300,2)))</f>
        <v/>
      </c>
      <c r="M4300" s="0" t="str">
        <f aca="false">IF(A4300="","",IF(COUNTIFS($C$2:$C$5001,C4300,$J$2:$J$5001,J4300,$A$2:$A$5001,"&lt;"&amp;A4300)=0,1,0))</f>
        <v/>
      </c>
    </row>
    <row r="4301" customFormat="false" ht="15" hidden="false" customHeight="false" outlineLevel="0" collapsed="false">
      <c r="A4301" s="27"/>
      <c r="F4301" s="28"/>
      <c r="J4301" s="0" t="str">
        <f aca="false">IF(A4301="","",YEAR(A4301))</f>
        <v/>
      </c>
      <c r="K4301" s="0" t="str">
        <f aca="false">IF(A4301="","",MONTH(A4301))</f>
        <v/>
      </c>
      <c r="L4301" s="0" t="str">
        <f aca="false">IF(B4301="","",VALUE(LEFT(B4301,2)))</f>
        <v/>
      </c>
      <c r="M4301" s="0" t="str">
        <f aca="false">IF(A4301="","",IF(COUNTIFS($C$2:$C$5001,C4301,$J$2:$J$5001,J4301,$A$2:$A$5001,"&lt;"&amp;A4301)=0,1,0))</f>
        <v/>
      </c>
    </row>
    <row r="4302" customFormat="false" ht="15" hidden="false" customHeight="false" outlineLevel="0" collapsed="false">
      <c r="A4302" s="27"/>
      <c r="F4302" s="28"/>
      <c r="J4302" s="0" t="str">
        <f aca="false">IF(A4302="","",YEAR(A4302))</f>
        <v/>
      </c>
      <c r="K4302" s="0" t="str">
        <f aca="false">IF(A4302="","",MONTH(A4302))</f>
        <v/>
      </c>
      <c r="L4302" s="0" t="str">
        <f aca="false">IF(B4302="","",VALUE(LEFT(B4302,2)))</f>
        <v/>
      </c>
      <c r="M4302" s="0" t="str">
        <f aca="false">IF(A4302="","",IF(COUNTIFS($C$2:$C$5001,C4302,$J$2:$J$5001,J4302,$A$2:$A$5001,"&lt;"&amp;A4302)=0,1,0))</f>
        <v/>
      </c>
    </row>
    <row r="4303" customFormat="false" ht="15" hidden="false" customHeight="false" outlineLevel="0" collapsed="false">
      <c r="A4303" s="27"/>
      <c r="F4303" s="28"/>
      <c r="J4303" s="0" t="str">
        <f aca="false">IF(A4303="","",YEAR(A4303))</f>
        <v/>
      </c>
      <c r="K4303" s="0" t="str">
        <f aca="false">IF(A4303="","",MONTH(A4303))</f>
        <v/>
      </c>
      <c r="L4303" s="0" t="str">
        <f aca="false">IF(B4303="","",VALUE(LEFT(B4303,2)))</f>
        <v/>
      </c>
      <c r="M4303" s="0" t="str">
        <f aca="false">IF(A4303="","",IF(COUNTIFS($C$2:$C$5001,C4303,$J$2:$J$5001,J4303,$A$2:$A$5001,"&lt;"&amp;A4303)=0,1,0))</f>
        <v/>
      </c>
    </row>
    <row r="4304" customFormat="false" ht="15" hidden="false" customHeight="false" outlineLevel="0" collapsed="false">
      <c r="A4304" s="27"/>
      <c r="F4304" s="28"/>
      <c r="J4304" s="0" t="str">
        <f aca="false">IF(A4304="","",YEAR(A4304))</f>
        <v/>
      </c>
      <c r="K4304" s="0" t="str">
        <f aca="false">IF(A4304="","",MONTH(A4304))</f>
        <v/>
      </c>
      <c r="L4304" s="0" t="str">
        <f aca="false">IF(B4304="","",VALUE(LEFT(B4304,2)))</f>
        <v/>
      </c>
      <c r="M4304" s="0" t="str">
        <f aca="false">IF(A4304="","",IF(COUNTIFS($C$2:$C$5001,C4304,$J$2:$J$5001,J4304,$A$2:$A$5001,"&lt;"&amp;A4304)=0,1,0))</f>
        <v/>
      </c>
    </row>
    <row r="4305" customFormat="false" ht="15" hidden="false" customHeight="false" outlineLevel="0" collapsed="false">
      <c r="A4305" s="27"/>
      <c r="F4305" s="28"/>
      <c r="J4305" s="0" t="str">
        <f aca="false">IF(A4305="","",YEAR(A4305))</f>
        <v/>
      </c>
      <c r="K4305" s="0" t="str">
        <f aca="false">IF(A4305="","",MONTH(A4305))</f>
        <v/>
      </c>
      <c r="L4305" s="0" t="str">
        <f aca="false">IF(B4305="","",VALUE(LEFT(B4305,2)))</f>
        <v/>
      </c>
      <c r="M4305" s="0" t="str">
        <f aca="false">IF(A4305="","",IF(COUNTIFS($C$2:$C$5001,C4305,$J$2:$J$5001,J4305,$A$2:$A$5001,"&lt;"&amp;A4305)=0,1,0))</f>
        <v/>
      </c>
    </row>
    <row r="4306" customFormat="false" ht="15" hidden="false" customHeight="false" outlineLevel="0" collapsed="false">
      <c r="A4306" s="27"/>
      <c r="F4306" s="28"/>
      <c r="J4306" s="0" t="str">
        <f aca="false">IF(A4306="","",YEAR(A4306))</f>
        <v/>
      </c>
      <c r="K4306" s="0" t="str">
        <f aca="false">IF(A4306="","",MONTH(A4306))</f>
        <v/>
      </c>
      <c r="L4306" s="0" t="str">
        <f aca="false">IF(B4306="","",VALUE(LEFT(B4306,2)))</f>
        <v/>
      </c>
      <c r="M4306" s="0" t="str">
        <f aca="false">IF(A4306="","",IF(COUNTIFS($C$2:$C$5001,C4306,$J$2:$J$5001,J4306,$A$2:$A$5001,"&lt;"&amp;A4306)=0,1,0))</f>
        <v/>
      </c>
    </row>
    <row r="4307" customFormat="false" ht="15" hidden="false" customHeight="false" outlineLevel="0" collapsed="false">
      <c r="A4307" s="27"/>
      <c r="F4307" s="28"/>
      <c r="J4307" s="0" t="str">
        <f aca="false">IF(A4307="","",YEAR(A4307))</f>
        <v/>
      </c>
      <c r="K4307" s="0" t="str">
        <f aca="false">IF(A4307="","",MONTH(A4307))</f>
        <v/>
      </c>
      <c r="L4307" s="0" t="str">
        <f aca="false">IF(B4307="","",VALUE(LEFT(B4307,2)))</f>
        <v/>
      </c>
      <c r="M4307" s="0" t="str">
        <f aca="false">IF(A4307="","",IF(COUNTIFS($C$2:$C$5001,C4307,$J$2:$J$5001,J4307,$A$2:$A$5001,"&lt;"&amp;A4307)=0,1,0))</f>
        <v/>
      </c>
    </row>
    <row r="4308" customFormat="false" ht="15" hidden="false" customHeight="false" outlineLevel="0" collapsed="false">
      <c r="A4308" s="27"/>
      <c r="F4308" s="28"/>
      <c r="J4308" s="0" t="str">
        <f aca="false">IF(A4308="","",YEAR(A4308))</f>
        <v/>
      </c>
      <c r="K4308" s="0" t="str">
        <f aca="false">IF(A4308="","",MONTH(A4308))</f>
        <v/>
      </c>
      <c r="L4308" s="0" t="str">
        <f aca="false">IF(B4308="","",VALUE(LEFT(B4308,2)))</f>
        <v/>
      </c>
      <c r="M4308" s="0" t="str">
        <f aca="false">IF(A4308="","",IF(COUNTIFS($C$2:$C$5001,C4308,$J$2:$J$5001,J4308,$A$2:$A$5001,"&lt;"&amp;A4308)=0,1,0))</f>
        <v/>
      </c>
    </row>
    <row r="4309" customFormat="false" ht="15" hidden="false" customHeight="false" outlineLevel="0" collapsed="false">
      <c r="A4309" s="27"/>
      <c r="F4309" s="28"/>
      <c r="J4309" s="0" t="str">
        <f aca="false">IF(A4309="","",YEAR(A4309))</f>
        <v/>
      </c>
      <c r="K4309" s="0" t="str">
        <f aca="false">IF(A4309="","",MONTH(A4309))</f>
        <v/>
      </c>
      <c r="L4309" s="0" t="str">
        <f aca="false">IF(B4309="","",VALUE(LEFT(B4309,2)))</f>
        <v/>
      </c>
      <c r="M4309" s="0" t="str">
        <f aca="false">IF(A4309="","",IF(COUNTIFS($C$2:$C$5001,C4309,$J$2:$J$5001,J4309,$A$2:$A$5001,"&lt;"&amp;A4309)=0,1,0))</f>
        <v/>
      </c>
    </row>
    <row r="4310" customFormat="false" ht="15" hidden="false" customHeight="false" outlineLevel="0" collapsed="false">
      <c r="A4310" s="27"/>
      <c r="F4310" s="28"/>
      <c r="J4310" s="0" t="str">
        <f aca="false">IF(A4310="","",YEAR(A4310))</f>
        <v/>
      </c>
      <c r="K4310" s="0" t="str">
        <f aca="false">IF(A4310="","",MONTH(A4310))</f>
        <v/>
      </c>
      <c r="L4310" s="0" t="str">
        <f aca="false">IF(B4310="","",VALUE(LEFT(B4310,2)))</f>
        <v/>
      </c>
      <c r="M4310" s="0" t="str">
        <f aca="false">IF(A4310="","",IF(COUNTIFS($C$2:$C$5001,C4310,$J$2:$J$5001,J4310,$A$2:$A$5001,"&lt;"&amp;A4310)=0,1,0))</f>
        <v/>
      </c>
    </row>
    <row r="4311" customFormat="false" ht="15" hidden="false" customHeight="false" outlineLevel="0" collapsed="false">
      <c r="A4311" s="27"/>
      <c r="F4311" s="28"/>
      <c r="J4311" s="0" t="str">
        <f aca="false">IF(A4311="","",YEAR(A4311))</f>
        <v/>
      </c>
      <c r="K4311" s="0" t="str">
        <f aca="false">IF(A4311="","",MONTH(A4311))</f>
        <v/>
      </c>
      <c r="L4311" s="0" t="str">
        <f aca="false">IF(B4311="","",VALUE(LEFT(B4311,2)))</f>
        <v/>
      </c>
      <c r="M4311" s="0" t="str">
        <f aca="false">IF(A4311="","",IF(COUNTIFS($C$2:$C$5001,C4311,$J$2:$J$5001,J4311,$A$2:$A$5001,"&lt;"&amp;A4311)=0,1,0))</f>
        <v/>
      </c>
    </row>
    <row r="4312" customFormat="false" ht="15" hidden="false" customHeight="false" outlineLevel="0" collapsed="false">
      <c r="A4312" s="27"/>
      <c r="F4312" s="28"/>
      <c r="J4312" s="0" t="str">
        <f aca="false">IF(A4312="","",YEAR(A4312))</f>
        <v/>
      </c>
      <c r="K4312" s="0" t="str">
        <f aca="false">IF(A4312="","",MONTH(A4312))</f>
        <v/>
      </c>
      <c r="L4312" s="0" t="str">
        <f aca="false">IF(B4312="","",VALUE(LEFT(B4312,2)))</f>
        <v/>
      </c>
      <c r="M4312" s="0" t="str">
        <f aca="false">IF(A4312="","",IF(COUNTIFS($C$2:$C$5001,C4312,$J$2:$J$5001,J4312,$A$2:$A$5001,"&lt;"&amp;A4312)=0,1,0))</f>
        <v/>
      </c>
    </row>
    <row r="4313" customFormat="false" ht="15" hidden="false" customHeight="false" outlineLevel="0" collapsed="false">
      <c r="A4313" s="27"/>
      <c r="F4313" s="28"/>
      <c r="J4313" s="0" t="str">
        <f aca="false">IF(A4313="","",YEAR(A4313))</f>
        <v/>
      </c>
      <c r="K4313" s="0" t="str">
        <f aca="false">IF(A4313="","",MONTH(A4313))</f>
        <v/>
      </c>
      <c r="L4313" s="0" t="str">
        <f aca="false">IF(B4313="","",VALUE(LEFT(B4313,2)))</f>
        <v/>
      </c>
      <c r="M4313" s="0" t="str">
        <f aca="false">IF(A4313="","",IF(COUNTIFS($C$2:$C$5001,C4313,$J$2:$J$5001,J4313,$A$2:$A$5001,"&lt;"&amp;A4313)=0,1,0))</f>
        <v/>
      </c>
    </row>
    <row r="4314" customFormat="false" ht="15" hidden="false" customHeight="false" outlineLevel="0" collapsed="false">
      <c r="A4314" s="27"/>
      <c r="F4314" s="28"/>
      <c r="J4314" s="0" t="str">
        <f aca="false">IF(A4314="","",YEAR(A4314))</f>
        <v/>
      </c>
      <c r="K4314" s="0" t="str">
        <f aca="false">IF(A4314="","",MONTH(A4314))</f>
        <v/>
      </c>
      <c r="L4314" s="0" t="str">
        <f aca="false">IF(B4314="","",VALUE(LEFT(B4314,2)))</f>
        <v/>
      </c>
      <c r="M4314" s="0" t="str">
        <f aca="false">IF(A4314="","",IF(COUNTIFS($C$2:$C$5001,C4314,$J$2:$J$5001,J4314,$A$2:$A$5001,"&lt;"&amp;A4314)=0,1,0))</f>
        <v/>
      </c>
    </row>
    <row r="4315" customFormat="false" ht="15" hidden="false" customHeight="false" outlineLevel="0" collapsed="false">
      <c r="A4315" s="27"/>
      <c r="F4315" s="28"/>
      <c r="J4315" s="0" t="str">
        <f aca="false">IF(A4315="","",YEAR(A4315))</f>
        <v/>
      </c>
      <c r="K4315" s="0" t="str">
        <f aca="false">IF(A4315="","",MONTH(A4315))</f>
        <v/>
      </c>
      <c r="L4315" s="0" t="str">
        <f aca="false">IF(B4315="","",VALUE(LEFT(B4315,2)))</f>
        <v/>
      </c>
      <c r="M4315" s="0" t="str">
        <f aca="false">IF(A4315="","",IF(COUNTIFS($C$2:$C$5001,C4315,$J$2:$J$5001,J4315,$A$2:$A$5001,"&lt;"&amp;A4315)=0,1,0))</f>
        <v/>
      </c>
    </row>
    <row r="4316" customFormat="false" ht="15" hidden="false" customHeight="false" outlineLevel="0" collapsed="false">
      <c r="A4316" s="27"/>
      <c r="F4316" s="28"/>
      <c r="J4316" s="0" t="str">
        <f aca="false">IF(A4316="","",YEAR(A4316))</f>
        <v/>
      </c>
      <c r="K4316" s="0" t="str">
        <f aca="false">IF(A4316="","",MONTH(A4316))</f>
        <v/>
      </c>
      <c r="L4316" s="0" t="str">
        <f aca="false">IF(B4316="","",VALUE(LEFT(B4316,2)))</f>
        <v/>
      </c>
      <c r="M4316" s="0" t="str">
        <f aca="false">IF(A4316="","",IF(COUNTIFS($C$2:$C$5001,C4316,$J$2:$J$5001,J4316,$A$2:$A$5001,"&lt;"&amp;A4316)=0,1,0))</f>
        <v/>
      </c>
    </row>
    <row r="4317" customFormat="false" ht="15" hidden="false" customHeight="false" outlineLevel="0" collapsed="false">
      <c r="A4317" s="27"/>
      <c r="F4317" s="28"/>
      <c r="J4317" s="0" t="str">
        <f aca="false">IF(A4317="","",YEAR(A4317))</f>
        <v/>
      </c>
      <c r="K4317" s="0" t="str">
        <f aca="false">IF(A4317="","",MONTH(A4317))</f>
        <v/>
      </c>
      <c r="L4317" s="0" t="str">
        <f aca="false">IF(B4317="","",VALUE(LEFT(B4317,2)))</f>
        <v/>
      </c>
      <c r="M4317" s="0" t="str">
        <f aca="false">IF(A4317="","",IF(COUNTIFS($C$2:$C$5001,C4317,$J$2:$J$5001,J4317,$A$2:$A$5001,"&lt;"&amp;A4317)=0,1,0))</f>
        <v/>
      </c>
    </row>
    <row r="4318" customFormat="false" ht="15" hidden="false" customHeight="false" outlineLevel="0" collapsed="false">
      <c r="A4318" s="27"/>
      <c r="F4318" s="28"/>
      <c r="J4318" s="0" t="str">
        <f aca="false">IF(A4318="","",YEAR(A4318))</f>
        <v/>
      </c>
      <c r="K4318" s="0" t="str">
        <f aca="false">IF(A4318="","",MONTH(A4318))</f>
        <v/>
      </c>
      <c r="L4318" s="0" t="str">
        <f aca="false">IF(B4318="","",VALUE(LEFT(B4318,2)))</f>
        <v/>
      </c>
      <c r="M4318" s="0" t="str">
        <f aca="false">IF(A4318="","",IF(COUNTIFS($C$2:$C$5001,C4318,$J$2:$J$5001,J4318,$A$2:$A$5001,"&lt;"&amp;A4318)=0,1,0))</f>
        <v/>
      </c>
    </row>
    <row r="4319" customFormat="false" ht="15" hidden="false" customHeight="false" outlineLevel="0" collapsed="false">
      <c r="A4319" s="27"/>
      <c r="F4319" s="28"/>
      <c r="J4319" s="0" t="str">
        <f aca="false">IF(A4319="","",YEAR(A4319))</f>
        <v/>
      </c>
      <c r="K4319" s="0" t="str">
        <f aca="false">IF(A4319="","",MONTH(A4319))</f>
        <v/>
      </c>
      <c r="L4319" s="0" t="str">
        <f aca="false">IF(B4319="","",VALUE(LEFT(B4319,2)))</f>
        <v/>
      </c>
      <c r="M4319" s="0" t="str">
        <f aca="false">IF(A4319="","",IF(COUNTIFS($C$2:$C$5001,C4319,$J$2:$J$5001,J4319,$A$2:$A$5001,"&lt;"&amp;A4319)=0,1,0))</f>
        <v/>
      </c>
    </row>
    <row r="4320" customFormat="false" ht="15" hidden="false" customHeight="false" outlineLevel="0" collapsed="false">
      <c r="A4320" s="27"/>
      <c r="F4320" s="28"/>
      <c r="J4320" s="0" t="str">
        <f aca="false">IF(A4320="","",YEAR(A4320))</f>
        <v/>
      </c>
      <c r="K4320" s="0" t="str">
        <f aca="false">IF(A4320="","",MONTH(A4320))</f>
        <v/>
      </c>
      <c r="L4320" s="0" t="str">
        <f aca="false">IF(B4320="","",VALUE(LEFT(B4320,2)))</f>
        <v/>
      </c>
      <c r="M4320" s="0" t="str">
        <f aca="false">IF(A4320="","",IF(COUNTIFS($C$2:$C$5001,C4320,$J$2:$J$5001,J4320,$A$2:$A$5001,"&lt;"&amp;A4320)=0,1,0))</f>
        <v/>
      </c>
    </row>
    <row r="4321" customFormat="false" ht="15" hidden="false" customHeight="false" outlineLevel="0" collapsed="false">
      <c r="A4321" s="27"/>
      <c r="F4321" s="28"/>
      <c r="J4321" s="0" t="str">
        <f aca="false">IF(A4321="","",YEAR(A4321))</f>
        <v/>
      </c>
      <c r="K4321" s="0" t="str">
        <f aca="false">IF(A4321="","",MONTH(A4321))</f>
        <v/>
      </c>
      <c r="L4321" s="0" t="str">
        <f aca="false">IF(B4321="","",VALUE(LEFT(B4321,2)))</f>
        <v/>
      </c>
      <c r="M4321" s="0" t="str">
        <f aca="false">IF(A4321="","",IF(COUNTIFS($C$2:$C$5001,C4321,$J$2:$J$5001,J4321,$A$2:$A$5001,"&lt;"&amp;A4321)=0,1,0))</f>
        <v/>
      </c>
    </row>
    <row r="4322" customFormat="false" ht="15" hidden="false" customHeight="false" outlineLevel="0" collapsed="false">
      <c r="A4322" s="27"/>
      <c r="F4322" s="28"/>
      <c r="J4322" s="0" t="str">
        <f aca="false">IF(A4322="","",YEAR(A4322))</f>
        <v/>
      </c>
      <c r="K4322" s="0" t="str">
        <f aca="false">IF(A4322="","",MONTH(A4322))</f>
        <v/>
      </c>
      <c r="L4322" s="0" t="str">
        <f aca="false">IF(B4322="","",VALUE(LEFT(B4322,2)))</f>
        <v/>
      </c>
      <c r="M4322" s="0" t="str">
        <f aca="false">IF(A4322="","",IF(COUNTIFS($C$2:$C$5001,C4322,$J$2:$J$5001,J4322,$A$2:$A$5001,"&lt;"&amp;A4322)=0,1,0))</f>
        <v/>
      </c>
    </row>
    <row r="4323" customFormat="false" ht="15" hidden="false" customHeight="false" outlineLevel="0" collapsed="false">
      <c r="A4323" s="27"/>
      <c r="F4323" s="28"/>
      <c r="J4323" s="0" t="str">
        <f aca="false">IF(A4323="","",YEAR(A4323))</f>
        <v/>
      </c>
      <c r="K4323" s="0" t="str">
        <f aca="false">IF(A4323="","",MONTH(A4323))</f>
        <v/>
      </c>
      <c r="L4323" s="0" t="str">
        <f aca="false">IF(B4323="","",VALUE(LEFT(B4323,2)))</f>
        <v/>
      </c>
      <c r="M4323" s="0" t="str">
        <f aca="false">IF(A4323="","",IF(COUNTIFS($C$2:$C$5001,C4323,$J$2:$J$5001,J4323,$A$2:$A$5001,"&lt;"&amp;A4323)=0,1,0))</f>
        <v/>
      </c>
    </row>
    <row r="4324" customFormat="false" ht="15" hidden="false" customHeight="false" outlineLevel="0" collapsed="false">
      <c r="A4324" s="27"/>
      <c r="F4324" s="28"/>
      <c r="J4324" s="0" t="str">
        <f aca="false">IF(A4324="","",YEAR(A4324))</f>
        <v/>
      </c>
      <c r="K4324" s="0" t="str">
        <f aca="false">IF(A4324="","",MONTH(A4324))</f>
        <v/>
      </c>
      <c r="L4324" s="0" t="str">
        <f aca="false">IF(B4324="","",VALUE(LEFT(B4324,2)))</f>
        <v/>
      </c>
      <c r="M4324" s="0" t="str">
        <f aca="false">IF(A4324="","",IF(COUNTIFS($C$2:$C$5001,C4324,$J$2:$J$5001,J4324,$A$2:$A$5001,"&lt;"&amp;A4324)=0,1,0))</f>
        <v/>
      </c>
    </row>
    <row r="4325" customFormat="false" ht="15" hidden="false" customHeight="false" outlineLevel="0" collapsed="false">
      <c r="A4325" s="27"/>
      <c r="F4325" s="28"/>
      <c r="J4325" s="0" t="str">
        <f aca="false">IF(A4325="","",YEAR(A4325))</f>
        <v/>
      </c>
      <c r="K4325" s="0" t="str">
        <f aca="false">IF(A4325="","",MONTH(A4325))</f>
        <v/>
      </c>
      <c r="L4325" s="0" t="str">
        <f aca="false">IF(B4325="","",VALUE(LEFT(B4325,2)))</f>
        <v/>
      </c>
      <c r="M4325" s="0" t="str">
        <f aca="false">IF(A4325="","",IF(COUNTIFS($C$2:$C$5001,C4325,$J$2:$J$5001,J4325,$A$2:$A$5001,"&lt;"&amp;A4325)=0,1,0))</f>
        <v/>
      </c>
    </row>
    <row r="4326" customFormat="false" ht="15" hidden="false" customHeight="false" outlineLevel="0" collapsed="false">
      <c r="A4326" s="27"/>
      <c r="F4326" s="28"/>
      <c r="J4326" s="0" t="str">
        <f aca="false">IF(A4326="","",YEAR(A4326))</f>
        <v/>
      </c>
      <c r="K4326" s="0" t="str">
        <f aca="false">IF(A4326="","",MONTH(A4326))</f>
        <v/>
      </c>
      <c r="L4326" s="0" t="str">
        <f aca="false">IF(B4326="","",VALUE(LEFT(B4326,2)))</f>
        <v/>
      </c>
      <c r="M4326" s="0" t="str">
        <f aca="false">IF(A4326="","",IF(COUNTIFS($C$2:$C$5001,C4326,$J$2:$J$5001,J4326,$A$2:$A$5001,"&lt;"&amp;A4326)=0,1,0))</f>
        <v/>
      </c>
    </row>
    <row r="4327" customFormat="false" ht="15" hidden="false" customHeight="false" outlineLevel="0" collapsed="false">
      <c r="A4327" s="27"/>
      <c r="F4327" s="28"/>
      <c r="J4327" s="0" t="str">
        <f aca="false">IF(A4327="","",YEAR(A4327))</f>
        <v/>
      </c>
      <c r="K4327" s="0" t="str">
        <f aca="false">IF(A4327="","",MONTH(A4327))</f>
        <v/>
      </c>
      <c r="L4327" s="0" t="str">
        <f aca="false">IF(B4327="","",VALUE(LEFT(B4327,2)))</f>
        <v/>
      </c>
      <c r="M4327" s="0" t="str">
        <f aca="false">IF(A4327="","",IF(COUNTIFS($C$2:$C$5001,C4327,$J$2:$J$5001,J4327,$A$2:$A$5001,"&lt;"&amp;A4327)=0,1,0))</f>
        <v/>
      </c>
    </row>
    <row r="4328" customFormat="false" ht="15" hidden="false" customHeight="false" outlineLevel="0" collapsed="false">
      <c r="A4328" s="27"/>
      <c r="F4328" s="28"/>
      <c r="J4328" s="0" t="str">
        <f aca="false">IF(A4328="","",YEAR(A4328))</f>
        <v/>
      </c>
      <c r="K4328" s="0" t="str">
        <f aca="false">IF(A4328="","",MONTH(A4328))</f>
        <v/>
      </c>
      <c r="L4328" s="0" t="str">
        <f aca="false">IF(B4328="","",VALUE(LEFT(B4328,2)))</f>
        <v/>
      </c>
      <c r="M4328" s="0" t="str">
        <f aca="false">IF(A4328="","",IF(COUNTIFS($C$2:$C$5001,C4328,$J$2:$J$5001,J4328,$A$2:$A$5001,"&lt;"&amp;A4328)=0,1,0))</f>
        <v/>
      </c>
    </row>
    <row r="4329" customFormat="false" ht="15" hidden="false" customHeight="false" outlineLevel="0" collapsed="false">
      <c r="A4329" s="27"/>
      <c r="F4329" s="28"/>
      <c r="J4329" s="0" t="str">
        <f aca="false">IF(A4329="","",YEAR(A4329))</f>
        <v/>
      </c>
      <c r="K4329" s="0" t="str">
        <f aca="false">IF(A4329="","",MONTH(A4329))</f>
        <v/>
      </c>
      <c r="L4329" s="0" t="str">
        <f aca="false">IF(B4329="","",VALUE(LEFT(B4329,2)))</f>
        <v/>
      </c>
      <c r="M4329" s="0" t="str">
        <f aca="false">IF(A4329="","",IF(COUNTIFS($C$2:$C$5001,C4329,$J$2:$J$5001,J4329,$A$2:$A$5001,"&lt;"&amp;A4329)=0,1,0))</f>
        <v/>
      </c>
    </row>
    <row r="4330" customFormat="false" ht="15" hidden="false" customHeight="false" outlineLevel="0" collapsed="false">
      <c r="A4330" s="27"/>
      <c r="F4330" s="28"/>
      <c r="J4330" s="0" t="str">
        <f aca="false">IF(A4330="","",YEAR(A4330))</f>
        <v/>
      </c>
      <c r="K4330" s="0" t="str">
        <f aca="false">IF(A4330="","",MONTH(A4330))</f>
        <v/>
      </c>
      <c r="L4330" s="0" t="str">
        <f aca="false">IF(B4330="","",VALUE(LEFT(B4330,2)))</f>
        <v/>
      </c>
      <c r="M4330" s="0" t="str">
        <f aca="false">IF(A4330="","",IF(COUNTIFS($C$2:$C$5001,C4330,$J$2:$J$5001,J4330,$A$2:$A$5001,"&lt;"&amp;A4330)=0,1,0))</f>
        <v/>
      </c>
    </row>
    <row r="4331" customFormat="false" ht="15" hidden="false" customHeight="false" outlineLevel="0" collapsed="false">
      <c r="A4331" s="27"/>
      <c r="F4331" s="28"/>
      <c r="J4331" s="0" t="str">
        <f aca="false">IF(A4331="","",YEAR(A4331))</f>
        <v/>
      </c>
      <c r="K4331" s="0" t="str">
        <f aca="false">IF(A4331="","",MONTH(A4331))</f>
        <v/>
      </c>
      <c r="L4331" s="0" t="str">
        <f aca="false">IF(B4331="","",VALUE(LEFT(B4331,2)))</f>
        <v/>
      </c>
      <c r="M4331" s="0" t="str">
        <f aca="false">IF(A4331="","",IF(COUNTIFS($C$2:$C$5001,C4331,$J$2:$J$5001,J4331,$A$2:$A$5001,"&lt;"&amp;A4331)=0,1,0))</f>
        <v/>
      </c>
    </row>
    <row r="4332" customFormat="false" ht="15" hidden="false" customHeight="false" outlineLevel="0" collapsed="false">
      <c r="A4332" s="27"/>
      <c r="F4332" s="28"/>
      <c r="J4332" s="0" t="str">
        <f aca="false">IF(A4332="","",YEAR(A4332))</f>
        <v/>
      </c>
      <c r="K4332" s="0" t="str">
        <f aca="false">IF(A4332="","",MONTH(A4332))</f>
        <v/>
      </c>
      <c r="L4332" s="0" t="str">
        <f aca="false">IF(B4332="","",VALUE(LEFT(B4332,2)))</f>
        <v/>
      </c>
      <c r="M4332" s="0" t="str">
        <f aca="false">IF(A4332="","",IF(COUNTIFS($C$2:$C$5001,C4332,$J$2:$J$5001,J4332,$A$2:$A$5001,"&lt;"&amp;A4332)=0,1,0))</f>
        <v/>
      </c>
    </row>
    <row r="4333" customFormat="false" ht="15" hidden="false" customHeight="false" outlineLevel="0" collapsed="false">
      <c r="A4333" s="27"/>
      <c r="F4333" s="28"/>
      <c r="J4333" s="0" t="str">
        <f aca="false">IF(A4333="","",YEAR(A4333))</f>
        <v/>
      </c>
      <c r="K4333" s="0" t="str">
        <f aca="false">IF(A4333="","",MONTH(A4333))</f>
        <v/>
      </c>
      <c r="L4333" s="0" t="str">
        <f aca="false">IF(B4333="","",VALUE(LEFT(B4333,2)))</f>
        <v/>
      </c>
      <c r="M4333" s="0" t="str">
        <f aca="false">IF(A4333="","",IF(COUNTIFS($C$2:$C$5001,C4333,$J$2:$J$5001,J4333,$A$2:$A$5001,"&lt;"&amp;A4333)=0,1,0))</f>
        <v/>
      </c>
    </row>
    <row r="4334" customFormat="false" ht="15" hidden="false" customHeight="false" outlineLevel="0" collapsed="false">
      <c r="A4334" s="27"/>
      <c r="F4334" s="28"/>
      <c r="J4334" s="0" t="str">
        <f aca="false">IF(A4334="","",YEAR(A4334))</f>
        <v/>
      </c>
      <c r="K4334" s="0" t="str">
        <f aca="false">IF(A4334="","",MONTH(A4334))</f>
        <v/>
      </c>
      <c r="L4334" s="0" t="str">
        <f aca="false">IF(B4334="","",VALUE(LEFT(B4334,2)))</f>
        <v/>
      </c>
      <c r="M4334" s="0" t="str">
        <f aca="false">IF(A4334="","",IF(COUNTIFS($C$2:$C$5001,C4334,$J$2:$J$5001,J4334,$A$2:$A$5001,"&lt;"&amp;A4334)=0,1,0))</f>
        <v/>
      </c>
    </row>
    <row r="4335" customFormat="false" ht="15" hidden="false" customHeight="false" outlineLevel="0" collapsed="false">
      <c r="A4335" s="27"/>
      <c r="F4335" s="28"/>
      <c r="J4335" s="0" t="str">
        <f aca="false">IF(A4335="","",YEAR(A4335))</f>
        <v/>
      </c>
      <c r="K4335" s="0" t="str">
        <f aca="false">IF(A4335="","",MONTH(A4335))</f>
        <v/>
      </c>
      <c r="L4335" s="0" t="str">
        <f aca="false">IF(B4335="","",VALUE(LEFT(B4335,2)))</f>
        <v/>
      </c>
      <c r="M4335" s="0" t="str">
        <f aca="false">IF(A4335="","",IF(COUNTIFS($C$2:$C$5001,C4335,$J$2:$J$5001,J4335,$A$2:$A$5001,"&lt;"&amp;A4335)=0,1,0))</f>
        <v/>
      </c>
    </row>
    <row r="4336" customFormat="false" ht="15" hidden="false" customHeight="false" outlineLevel="0" collapsed="false">
      <c r="A4336" s="27"/>
      <c r="F4336" s="28"/>
      <c r="J4336" s="0" t="str">
        <f aca="false">IF(A4336="","",YEAR(A4336))</f>
        <v/>
      </c>
      <c r="K4336" s="0" t="str">
        <f aca="false">IF(A4336="","",MONTH(A4336))</f>
        <v/>
      </c>
      <c r="L4336" s="0" t="str">
        <f aca="false">IF(B4336="","",VALUE(LEFT(B4336,2)))</f>
        <v/>
      </c>
      <c r="M4336" s="0" t="str">
        <f aca="false">IF(A4336="","",IF(COUNTIFS($C$2:$C$5001,C4336,$J$2:$J$5001,J4336,$A$2:$A$5001,"&lt;"&amp;A4336)=0,1,0))</f>
        <v/>
      </c>
    </row>
    <row r="4337" customFormat="false" ht="15" hidden="false" customHeight="false" outlineLevel="0" collapsed="false">
      <c r="A4337" s="27"/>
      <c r="F4337" s="28"/>
      <c r="J4337" s="0" t="str">
        <f aca="false">IF(A4337="","",YEAR(A4337))</f>
        <v/>
      </c>
      <c r="K4337" s="0" t="str">
        <f aca="false">IF(A4337="","",MONTH(A4337))</f>
        <v/>
      </c>
      <c r="L4337" s="0" t="str">
        <f aca="false">IF(B4337="","",VALUE(LEFT(B4337,2)))</f>
        <v/>
      </c>
      <c r="M4337" s="0" t="str">
        <f aca="false">IF(A4337="","",IF(COUNTIFS($C$2:$C$5001,C4337,$J$2:$J$5001,J4337,$A$2:$A$5001,"&lt;"&amp;A4337)=0,1,0))</f>
        <v/>
      </c>
    </row>
    <row r="4338" customFormat="false" ht="15" hidden="false" customHeight="false" outlineLevel="0" collapsed="false">
      <c r="A4338" s="27"/>
      <c r="F4338" s="28"/>
      <c r="J4338" s="0" t="str">
        <f aca="false">IF(A4338="","",YEAR(A4338))</f>
        <v/>
      </c>
      <c r="K4338" s="0" t="str">
        <f aca="false">IF(A4338="","",MONTH(A4338))</f>
        <v/>
      </c>
      <c r="L4338" s="0" t="str">
        <f aca="false">IF(B4338="","",VALUE(LEFT(B4338,2)))</f>
        <v/>
      </c>
      <c r="M4338" s="0" t="str">
        <f aca="false">IF(A4338="","",IF(COUNTIFS($C$2:$C$5001,C4338,$J$2:$J$5001,J4338,$A$2:$A$5001,"&lt;"&amp;A4338)=0,1,0))</f>
        <v/>
      </c>
    </row>
    <row r="4339" customFormat="false" ht="15" hidden="false" customHeight="false" outlineLevel="0" collapsed="false">
      <c r="A4339" s="27"/>
      <c r="F4339" s="28"/>
      <c r="J4339" s="0" t="str">
        <f aca="false">IF(A4339="","",YEAR(A4339))</f>
        <v/>
      </c>
      <c r="K4339" s="0" t="str">
        <f aca="false">IF(A4339="","",MONTH(A4339))</f>
        <v/>
      </c>
      <c r="L4339" s="0" t="str">
        <f aca="false">IF(B4339="","",VALUE(LEFT(B4339,2)))</f>
        <v/>
      </c>
      <c r="M4339" s="0" t="str">
        <f aca="false">IF(A4339="","",IF(COUNTIFS($C$2:$C$5001,C4339,$J$2:$J$5001,J4339,$A$2:$A$5001,"&lt;"&amp;A4339)=0,1,0))</f>
        <v/>
      </c>
    </row>
    <row r="4340" customFormat="false" ht="15" hidden="false" customHeight="false" outlineLevel="0" collapsed="false">
      <c r="A4340" s="27"/>
      <c r="F4340" s="28"/>
      <c r="J4340" s="0" t="str">
        <f aca="false">IF(A4340="","",YEAR(A4340))</f>
        <v/>
      </c>
      <c r="K4340" s="0" t="str">
        <f aca="false">IF(A4340="","",MONTH(A4340))</f>
        <v/>
      </c>
      <c r="L4340" s="0" t="str">
        <f aca="false">IF(B4340="","",VALUE(LEFT(B4340,2)))</f>
        <v/>
      </c>
      <c r="M4340" s="0" t="str">
        <f aca="false">IF(A4340="","",IF(COUNTIFS($C$2:$C$5001,C4340,$J$2:$J$5001,J4340,$A$2:$A$5001,"&lt;"&amp;A4340)=0,1,0))</f>
        <v/>
      </c>
    </row>
    <row r="4341" customFormat="false" ht="15" hidden="false" customHeight="false" outlineLevel="0" collapsed="false">
      <c r="A4341" s="27"/>
      <c r="F4341" s="28"/>
      <c r="J4341" s="0" t="str">
        <f aca="false">IF(A4341="","",YEAR(A4341))</f>
        <v/>
      </c>
      <c r="K4341" s="0" t="str">
        <f aca="false">IF(A4341="","",MONTH(A4341))</f>
        <v/>
      </c>
      <c r="L4341" s="0" t="str">
        <f aca="false">IF(B4341="","",VALUE(LEFT(B4341,2)))</f>
        <v/>
      </c>
      <c r="M4341" s="0" t="str">
        <f aca="false">IF(A4341="","",IF(COUNTIFS($C$2:$C$5001,C4341,$J$2:$J$5001,J4341,$A$2:$A$5001,"&lt;"&amp;A4341)=0,1,0))</f>
        <v/>
      </c>
    </row>
    <row r="4342" customFormat="false" ht="15" hidden="false" customHeight="false" outlineLevel="0" collapsed="false">
      <c r="A4342" s="27"/>
      <c r="F4342" s="28"/>
      <c r="J4342" s="0" t="str">
        <f aca="false">IF(A4342="","",YEAR(A4342))</f>
        <v/>
      </c>
      <c r="K4342" s="0" t="str">
        <f aca="false">IF(A4342="","",MONTH(A4342))</f>
        <v/>
      </c>
      <c r="L4342" s="0" t="str">
        <f aca="false">IF(B4342="","",VALUE(LEFT(B4342,2)))</f>
        <v/>
      </c>
      <c r="M4342" s="0" t="str">
        <f aca="false">IF(A4342="","",IF(COUNTIFS($C$2:$C$5001,C4342,$J$2:$J$5001,J4342,$A$2:$A$5001,"&lt;"&amp;A4342)=0,1,0))</f>
        <v/>
      </c>
    </row>
    <row r="4343" customFormat="false" ht="15" hidden="false" customHeight="false" outlineLevel="0" collapsed="false">
      <c r="A4343" s="27"/>
      <c r="F4343" s="28"/>
      <c r="J4343" s="0" t="str">
        <f aca="false">IF(A4343="","",YEAR(A4343))</f>
        <v/>
      </c>
      <c r="K4343" s="0" t="str">
        <f aca="false">IF(A4343="","",MONTH(A4343))</f>
        <v/>
      </c>
      <c r="L4343" s="0" t="str">
        <f aca="false">IF(B4343="","",VALUE(LEFT(B4343,2)))</f>
        <v/>
      </c>
      <c r="M4343" s="0" t="str">
        <f aca="false">IF(A4343="","",IF(COUNTIFS($C$2:$C$5001,C4343,$J$2:$J$5001,J4343,$A$2:$A$5001,"&lt;"&amp;A4343)=0,1,0))</f>
        <v/>
      </c>
    </row>
    <row r="4344" customFormat="false" ht="15" hidden="false" customHeight="false" outlineLevel="0" collapsed="false">
      <c r="A4344" s="27"/>
      <c r="F4344" s="28"/>
      <c r="J4344" s="0" t="str">
        <f aca="false">IF(A4344="","",YEAR(A4344))</f>
        <v/>
      </c>
      <c r="K4344" s="0" t="str">
        <f aca="false">IF(A4344="","",MONTH(A4344))</f>
        <v/>
      </c>
      <c r="L4344" s="0" t="str">
        <f aca="false">IF(B4344="","",VALUE(LEFT(B4344,2)))</f>
        <v/>
      </c>
      <c r="M4344" s="0" t="str">
        <f aca="false">IF(A4344="","",IF(COUNTIFS($C$2:$C$5001,C4344,$J$2:$J$5001,J4344,$A$2:$A$5001,"&lt;"&amp;A4344)=0,1,0))</f>
        <v/>
      </c>
    </row>
    <row r="4345" customFormat="false" ht="15" hidden="false" customHeight="false" outlineLevel="0" collapsed="false">
      <c r="A4345" s="27"/>
      <c r="F4345" s="28"/>
      <c r="J4345" s="0" t="str">
        <f aca="false">IF(A4345="","",YEAR(A4345))</f>
        <v/>
      </c>
      <c r="K4345" s="0" t="str">
        <f aca="false">IF(A4345="","",MONTH(A4345))</f>
        <v/>
      </c>
      <c r="L4345" s="0" t="str">
        <f aca="false">IF(B4345="","",VALUE(LEFT(B4345,2)))</f>
        <v/>
      </c>
      <c r="M4345" s="0" t="str">
        <f aca="false">IF(A4345="","",IF(COUNTIFS($C$2:$C$5001,C4345,$J$2:$J$5001,J4345,$A$2:$A$5001,"&lt;"&amp;A4345)=0,1,0))</f>
        <v/>
      </c>
    </row>
    <row r="4346" customFormat="false" ht="15" hidden="false" customHeight="false" outlineLevel="0" collapsed="false">
      <c r="A4346" s="27"/>
      <c r="F4346" s="28"/>
      <c r="J4346" s="0" t="str">
        <f aca="false">IF(A4346="","",YEAR(A4346))</f>
        <v/>
      </c>
      <c r="K4346" s="0" t="str">
        <f aca="false">IF(A4346="","",MONTH(A4346))</f>
        <v/>
      </c>
      <c r="L4346" s="0" t="str">
        <f aca="false">IF(B4346="","",VALUE(LEFT(B4346,2)))</f>
        <v/>
      </c>
      <c r="M4346" s="0" t="str">
        <f aca="false">IF(A4346="","",IF(COUNTIFS($C$2:$C$5001,C4346,$J$2:$J$5001,J4346,$A$2:$A$5001,"&lt;"&amp;A4346)=0,1,0))</f>
        <v/>
      </c>
    </row>
    <row r="4347" customFormat="false" ht="15" hidden="false" customHeight="false" outlineLevel="0" collapsed="false">
      <c r="A4347" s="27"/>
      <c r="F4347" s="28"/>
      <c r="J4347" s="0" t="str">
        <f aca="false">IF(A4347="","",YEAR(A4347))</f>
        <v/>
      </c>
      <c r="K4347" s="0" t="str">
        <f aca="false">IF(A4347="","",MONTH(A4347))</f>
        <v/>
      </c>
      <c r="L4347" s="0" t="str">
        <f aca="false">IF(B4347="","",VALUE(LEFT(B4347,2)))</f>
        <v/>
      </c>
      <c r="M4347" s="0" t="str">
        <f aca="false">IF(A4347="","",IF(COUNTIFS($C$2:$C$5001,C4347,$J$2:$J$5001,J4347,$A$2:$A$5001,"&lt;"&amp;A4347)=0,1,0))</f>
        <v/>
      </c>
    </row>
    <row r="4348" customFormat="false" ht="15" hidden="false" customHeight="false" outlineLevel="0" collapsed="false">
      <c r="A4348" s="27"/>
      <c r="F4348" s="28"/>
      <c r="J4348" s="0" t="str">
        <f aca="false">IF(A4348="","",YEAR(A4348))</f>
        <v/>
      </c>
      <c r="K4348" s="0" t="str">
        <f aca="false">IF(A4348="","",MONTH(A4348))</f>
        <v/>
      </c>
      <c r="L4348" s="0" t="str">
        <f aca="false">IF(B4348="","",VALUE(LEFT(B4348,2)))</f>
        <v/>
      </c>
      <c r="M4348" s="0" t="str">
        <f aca="false">IF(A4348="","",IF(COUNTIFS($C$2:$C$5001,C4348,$J$2:$J$5001,J4348,$A$2:$A$5001,"&lt;"&amp;A4348)=0,1,0))</f>
        <v/>
      </c>
    </row>
    <row r="4349" customFormat="false" ht="15" hidden="false" customHeight="false" outlineLevel="0" collapsed="false">
      <c r="A4349" s="27"/>
      <c r="F4349" s="28"/>
      <c r="J4349" s="0" t="str">
        <f aca="false">IF(A4349="","",YEAR(A4349))</f>
        <v/>
      </c>
      <c r="K4349" s="0" t="str">
        <f aca="false">IF(A4349="","",MONTH(A4349))</f>
        <v/>
      </c>
      <c r="L4349" s="0" t="str">
        <f aca="false">IF(B4349="","",VALUE(LEFT(B4349,2)))</f>
        <v/>
      </c>
      <c r="M4349" s="0" t="str">
        <f aca="false">IF(A4349="","",IF(COUNTIFS($C$2:$C$5001,C4349,$J$2:$J$5001,J4349,$A$2:$A$5001,"&lt;"&amp;A4349)=0,1,0))</f>
        <v/>
      </c>
    </row>
    <row r="4350" customFormat="false" ht="15" hidden="false" customHeight="false" outlineLevel="0" collapsed="false">
      <c r="A4350" s="27"/>
      <c r="F4350" s="28"/>
      <c r="J4350" s="0" t="str">
        <f aca="false">IF(A4350="","",YEAR(A4350))</f>
        <v/>
      </c>
      <c r="K4350" s="0" t="str">
        <f aca="false">IF(A4350="","",MONTH(A4350))</f>
        <v/>
      </c>
      <c r="L4350" s="0" t="str">
        <f aca="false">IF(B4350="","",VALUE(LEFT(B4350,2)))</f>
        <v/>
      </c>
      <c r="M4350" s="0" t="str">
        <f aca="false">IF(A4350="","",IF(COUNTIFS($C$2:$C$5001,C4350,$J$2:$J$5001,J4350,$A$2:$A$5001,"&lt;"&amp;A4350)=0,1,0))</f>
        <v/>
      </c>
    </row>
    <row r="4351" customFormat="false" ht="15" hidden="false" customHeight="false" outlineLevel="0" collapsed="false">
      <c r="A4351" s="27"/>
      <c r="F4351" s="28"/>
      <c r="J4351" s="0" t="str">
        <f aca="false">IF(A4351="","",YEAR(A4351))</f>
        <v/>
      </c>
      <c r="K4351" s="0" t="str">
        <f aca="false">IF(A4351="","",MONTH(A4351))</f>
        <v/>
      </c>
      <c r="L4351" s="0" t="str">
        <f aca="false">IF(B4351="","",VALUE(LEFT(B4351,2)))</f>
        <v/>
      </c>
      <c r="M4351" s="0" t="str">
        <f aca="false">IF(A4351="","",IF(COUNTIFS($C$2:$C$5001,C4351,$J$2:$J$5001,J4351,$A$2:$A$5001,"&lt;"&amp;A4351)=0,1,0))</f>
        <v/>
      </c>
    </row>
    <row r="4352" customFormat="false" ht="15" hidden="false" customHeight="false" outlineLevel="0" collapsed="false">
      <c r="A4352" s="27"/>
      <c r="F4352" s="28"/>
      <c r="J4352" s="0" t="str">
        <f aca="false">IF(A4352="","",YEAR(A4352))</f>
        <v/>
      </c>
      <c r="K4352" s="0" t="str">
        <f aca="false">IF(A4352="","",MONTH(A4352))</f>
        <v/>
      </c>
      <c r="L4352" s="0" t="str">
        <f aca="false">IF(B4352="","",VALUE(LEFT(B4352,2)))</f>
        <v/>
      </c>
      <c r="M4352" s="0" t="str">
        <f aca="false">IF(A4352="","",IF(COUNTIFS($C$2:$C$5001,C4352,$J$2:$J$5001,J4352,$A$2:$A$5001,"&lt;"&amp;A4352)=0,1,0))</f>
        <v/>
      </c>
    </row>
    <row r="4353" customFormat="false" ht="15" hidden="false" customHeight="false" outlineLevel="0" collapsed="false">
      <c r="A4353" s="27"/>
      <c r="F4353" s="28"/>
      <c r="J4353" s="0" t="str">
        <f aca="false">IF(A4353="","",YEAR(A4353))</f>
        <v/>
      </c>
      <c r="K4353" s="0" t="str">
        <f aca="false">IF(A4353="","",MONTH(A4353))</f>
        <v/>
      </c>
      <c r="L4353" s="0" t="str">
        <f aca="false">IF(B4353="","",VALUE(LEFT(B4353,2)))</f>
        <v/>
      </c>
      <c r="M4353" s="0" t="str">
        <f aca="false">IF(A4353="","",IF(COUNTIFS($C$2:$C$5001,C4353,$J$2:$J$5001,J4353,$A$2:$A$5001,"&lt;"&amp;A4353)=0,1,0))</f>
        <v/>
      </c>
    </row>
    <row r="4354" customFormat="false" ht="15" hidden="false" customHeight="false" outlineLevel="0" collapsed="false">
      <c r="A4354" s="27"/>
      <c r="F4354" s="28"/>
      <c r="J4354" s="0" t="str">
        <f aca="false">IF(A4354="","",YEAR(A4354))</f>
        <v/>
      </c>
      <c r="K4354" s="0" t="str">
        <f aca="false">IF(A4354="","",MONTH(A4354))</f>
        <v/>
      </c>
      <c r="L4354" s="0" t="str">
        <f aca="false">IF(B4354="","",VALUE(LEFT(B4354,2)))</f>
        <v/>
      </c>
      <c r="M4354" s="0" t="str">
        <f aca="false">IF(A4354="","",IF(COUNTIFS($C$2:$C$5001,C4354,$J$2:$J$5001,J4354,$A$2:$A$5001,"&lt;"&amp;A4354)=0,1,0))</f>
        <v/>
      </c>
    </row>
    <row r="4355" customFormat="false" ht="15" hidden="false" customHeight="false" outlineLevel="0" collapsed="false">
      <c r="A4355" s="27"/>
      <c r="F4355" s="28"/>
      <c r="J4355" s="0" t="str">
        <f aca="false">IF(A4355="","",YEAR(A4355))</f>
        <v/>
      </c>
      <c r="K4355" s="0" t="str">
        <f aca="false">IF(A4355="","",MONTH(A4355))</f>
        <v/>
      </c>
      <c r="L4355" s="0" t="str">
        <f aca="false">IF(B4355="","",VALUE(LEFT(B4355,2)))</f>
        <v/>
      </c>
      <c r="M4355" s="0" t="str">
        <f aca="false">IF(A4355="","",IF(COUNTIFS($C$2:$C$5001,C4355,$J$2:$J$5001,J4355,$A$2:$A$5001,"&lt;"&amp;A4355)=0,1,0))</f>
        <v/>
      </c>
    </row>
    <row r="4356" customFormat="false" ht="15" hidden="false" customHeight="false" outlineLevel="0" collapsed="false">
      <c r="A4356" s="27"/>
      <c r="F4356" s="28"/>
      <c r="J4356" s="0" t="str">
        <f aca="false">IF(A4356="","",YEAR(A4356))</f>
        <v/>
      </c>
      <c r="K4356" s="0" t="str">
        <f aca="false">IF(A4356="","",MONTH(A4356))</f>
        <v/>
      </c>
      <c r="L4356" s="0" t="str">
        <f aca="false">IF(B4356="","",VALUE(LEFT(B4356,2)))</f>
        <v/>
      </c>
      <c r="M4356" s="0" t="str">
        <f aca="false">IF(A4356="","",IF(COUNTIFS($C$2:$C$5001,C4356,$J$2:$J$5001,J4356,$A$2:$A$5001,"&lt;"&amp;A4356)=0,1,0))</f>
        <v/>
      </c>
    </row>
    <row r="4357" customFormat="false" ht="15" hidden="false" customHeight="false" outlineLevel="0" collapsed="false">
      <c r="A4357" s="27"/>
      <c r="F4357" s="28"/>
      <c r="J4357" s="0" t="str">
        <f aca="false">IF(A4357="","",YEAR(A4357))</f>
        <v/>
      </c>
      <c r="K4357" s="0" t="str">
        <f aca="false">IF(A4357="","",MONTH(A4357))</f>
        <v/>
      </c>
      <c r="L4357" s="0" t="str">
        <f aca="false">IF(B4357="","",VALUE(LEFT(B4357,2)))</f>
        <v/>
      </c>
      <c r="M4357" s="0" t="str">
        <f aca="false">IF(A4357="","",IF(COUNTIFS($C$2:$C$5001,C4357,$J$2:$J$5001,J4357,$A$2:$A$5001,"&lt;"&amp;A4357)=0,1,0))</f>
        <v/>
      </c>
    </row>
    <row r="4358" customFormat="false" ht="15" hidden="false" customHeight="false" outlineLevel="0" collapsed="false">
      <c r="A4358" s="27"/>
      <c r="F4358" s="28"/>
      <c r="J4358" s="0" t="str">
        <f aca="false">IF(A4358="","",YEAR(A4358))</f>
        <v/>
      </c>
      <c r="K4358" s="0" t="str">
        <f aca="false">IF(A4358="","",MONTH(A4358))</f>
        <v/>
      </c>
      <c r="L4358" s="0" t="str">
        <f aca="false">IF(B4358="","",VALUE(LEFT(B4358,2)))</f>
        <v/>
      </c>
      <c r="M4358" s="0" t="str">
        <f aca="false">IF(A4358="","",IF(COUNTIFS($C$2:$C$5001,C4358,$J$2:$J$5001,J4358,$A$2:$A$5001,"&lt;"&amp;A4358)=0,1,0))</f>
        <v/>
      </c>
    </row>
    <row r="4359" customFormat="false" ht="15" hidden="false" customHeight="false" outlineLevel="0" collapsed="false">
      <c r="A4359" s="27"/>
      <c r="F4359" s="28"/>
      <c r="J4359" s="0" t="str">
        <f aca="false">IF(A4359="","",YEAR(A4359))</f>
        <v/>
      </c>
      <c r="K4359" s="0" t="str">
        <f aca="false">IF(A4359="","",MONTH(A4359))</f>
        <v/>
      </c>
      <c r="L4359" s="0" t="str">
        <f aca="false">IF(B4359="","",VALUE(LEFT(B4359,2)))</f>
        <v/>
      </c>
      <c r="M4359" s="0" t="str">
        <f aca="false">IF(A4359="","",IF(COUNTIFS($C$2:$C$5001,C4359,$J$2:$J$5001,J4359,$A$2:$A$5001,"&lt;"&amp;A4359)=0,1,0))</f>
        <v/>
      </c>
    </row>
    <row r="4360" customFormat="false" ht="15" hidden="false" customHeight="false" outlineLevel="0" collapsed="false">
      <c r="A4360" s="27"/>
      <c r="F4360" s="28"/>
      <c r="J4360" s="0" t="str">
        <f aca="false">IF(A4360="","",YEAR(A4360))</f>
        <v/>
      </c>
      <c r="K4360" s="0" t="str">
        <f aca="false">IF(A4360="","",MONTH(A4360))</f>
        <v/>
      </c>
      <c r="L4360" s="0" t="str">
        <f aca="false">IF(B4360="","",VALUE(LEFT(B4360,2)))</f>
        <v/>
      </c>
      <c r="M4360" s="0" t="str">
        <f aca="false">IF(A4360="","",IF(COUNTIFS($C$2:$C$5001,C4360,$J$2:$J$5001,J4360,$A$2:$A$5001,"&lt;"&amp;A4360)=0,1,0))</f>
        <v/>
      </c>
    </row>
    <row r="4361" customFormat="false" ht="15" hidden="false" customHeight="false" outlineLevel="0" collapsed="false">
      <c r="A4361" s="27"/>
      <c r="F4361" s="28"/>
      <c r="J4361" s="0" t="str">
        <f aca="false">IF(A4361="","",YEAR(A4361))</f>
        <v/>
      </c>
      <c r="K4361" s="0" t="str">
        <f aca="false">IF(A4361="","",MONTH(A4361))</f>
        <v/>
      </c>
      <c r="L4361" s="0" t="str">
        <f aca="false">IF(B4361="","",VALUE(LEFT(B4361,2)))</f>
        <v/>
      </c>
      <c r="M4361" s="0" t="str">
        <f aca="false">IF(A4361="","",IF(COUNTIFS($C$2:$C$5001,C4361,$J$2:$J$5001,J4361,$A$2:$A$5001,"&lt;"&amp;A4361)=0,1,0))</f>
        <v/>
      </c>
    </row>
    <row r="4362" customFormat="false" ht="15" hidden="false" customHeight="false" outlineLevel="0" collapsed="false">
      <c r="A4362" s="27"/>
      <c r="F4362" s="28"/>
      <c r="J4362" s="0" t="str">
        <f aca="false">IF(A4362="","",YEAR(A4362))</f>
        <v/>
      </c>
      <c r="K4362" s="0" t="str">
        <f aca="false">IF(A4362="","",MONTH(A4362))</f>
        <v/>
      </c>
      <c r="L4362" s="0" t="str">
        <f aca="false">IF(B4362="","",VALUE(LEFT(B4362,2)))</f>
        <v/>
      </c>
      <c r="M4362" s="0" t="str">
        <f aca="false">IF(A4362="","",IF(COUNTIFS($C$2:$C$5001,C4362,$J$2:$J$5001,J4362,$A$2:$A$5001,"&lt;"&amp;A4362)=0,1,0))</f>
        <v/>
      </c>
    </row>
    <row r="4363" customFormat="false" ht="15" hidden="false" customHeight="false" outlineLevel="0" collapsed="false">
      <c r="A4363" s="27"/>
      <c r="F4363" s="28"/>
      <c r="J4363" s="0" t="str">
        <f aca="false">IF(A4363="","",YEAR(A4363))</f>
        <v/>
      </c>
      <c r="K4363" s="0" t="str">
        <f aca="false">IF(A4363="","",MONTH(A4363))</f>
        <v/>
      </c>
      <c r="L4363" s="0" t="str">
        <f aca="false">IF(B4363="","",VALUE(LEFT(B4363,2)))</f>
        <v/>
      </c>
      <c r="M4363" s="0" t="str">
        <f aca="false">IF(A4363="","",IF(COUNTIFS($C$2:$C$5001,C4363,$J$2:$J$5001,J4363,$A$2:$A$5001,"&lt;"&amp;A4363)=0,1,0))</f>
        <v/>
      </c>
    </row>
    <row r="4364" customFormat="false" ht="15" hidden="false" customHeight="false" outlineLevel="0" collapsed="false">
      <c r="A4364" s="27"/>
      <c r="F4364" s="28"/>
      <c r="J4364" s="0" t="str">
        <f aca="false">IF(A4364="","",YEAR(A4364))</f>
        <v/>
      </c>
      <c r="K4364" s="0" t="str">
        <f aca="false">IF(A4364="","",MONTH(A4364))</f>
        <v/>
      </c>
      <c r="L4364" s="0" t="str">
        <f aca="false">IF(B4364="","",VALUE(LEFT(B4364,2)))</f>
        <v/>
      </c>
      <c r="M4364" s="0" t="str">
        <f aca="false">IF(A4364="","",IF(COUNTIFS($C$2:$C$5001,C4364,$J$2:$J$5001,J4364,$A$2:$A$5001,"&lt;"&amp;A4364)=0,1,0))</f>
        <v/>
      </c>
    </row>
    <row r="4365" customFormat="false" ht="15" hidden="false" customHeight="false" outlineLevel="0" collapsed="false">
      <c r="A4365" s="27"/>
      <c r="F4365" s="28"/>
      <c r="J4365" s="0" t="str">
        <f aca="false">IF(A4365="","",YEAR(A4365))</f>
        <v/>
      </c>
      <c r="K4365" s="0" t="str">
        <f aca="false">IF(A4365="","",MONTH(A4365))</f>
        <v/>
      </c>
      <c r="L4365" s="0" t="str">
        <f aca="false">IF(B4365="","",VALUE(LEFT(B4365,2)))</f>
        <v/>
      </c>
      <c r="M4365" s="0" t="str">
        <f aca="false">IF(A4365="","",IF(COUNTIFS($C$2:$C$5001,C4365,$J$2:$J$5001,J4365,$A$2:$A$5001,"&lt;"&amp;A4365)=0,1,0))</f>
        <v/>
      </c>
    </row>
    <row r="4366" customFormat="false" ht="15" hidden="false" customHeight="false" outlineLevel="0" collapsed="false">
      <c r="A4366" s="27"/>
      <c r="F4366" s="28"/>
      <c r="J4366" s="0" t="str">
        <f aca="false">IF(A4366="","",YEAR(A4366))</f>
        <v/>
      </c>
      <c r="K4366" s="0" t="str">
        <f aca="false">IF(A4366="","",MONTH(A4366))</f>
        <v/>
      </c>
      <c r="L4366" s="0" t="str">
        <f aca="false">IF(B4366="","",VALUE(LEFT(B4366,2)))</f>
        <v/>
      </c>
      <c r="M4366" s="0" t="str">
        <f aca="false">IF(A4366="","",IF(COUNTIFS($C$2:$C$5001,C4366,$J$2:$J$5001,J4366,$A$2:$A$5001,"&lt;"&amp;A4366)=0,1,0))</f>
        <v/>
      </c>
    </row>
    <row r="4367" customFormat="false" ht="15" hidden="false" customHeight="false" outlineLevel="0" collapsed="false">
      <c r="A4367" s="27"/>
      <c r="F4367" s="28"/>
      <c r="J4367" s="0" t="str">
        <f aca="false">IF(A4367="","",YEAR(A4367))</f>
        <v/>
      </c>
      <c r="K4367" s="0" t="str">
        <f aca="false">IF(A4367="","",MONTH(A4367))</f>
        <v/>
      </c>
      <c r="L4367" s="0" t="str">
        <f aca="false">IF(B4367="","",VALUE(LEFT(B4367,2)))</f>
        <v/>
      </c>
      <c r="M4367" s="0" t="str">
        <f aca="false">IF(A4367="","",IF(COUNTIFS($C$2:$C$5001,C4367,$J$2:$J$5001,J4367,$A$2:$A$5001,"&lt;"&amp;A4367)=0,1,0))</f>
        <v/>
      </c>
    </row>
    <row r="4368" customFormat="false" ht="15" hidden="false" customHeight="false" outlineLevel="0" collapsed="false">
      <c r="A4368" s="27"/>
      <c r="F4368" s="28"/>
      <c r="J4368" s="0" t="str">
        <f aca="false">IF(A4368="","",YEAR(A4368))</f>
        <v/>
      </c>
      <c r="K4368" s="0" t="str">
        <f aca="false">IF(A4368="","",MONTH(A4368))</f>
        <v/>
      </c>
      <c r="L4368" s="0" t="str">
        <f aca="false">IF(B4368="","",VALUE(LEFT(B4368,2)))</f>
        <v/>
      </c>
      <c r="M4368" s="0" t="str">
        <f aca="false">IF(A4368="","",IF(COUNTIFS($C$2:$C$5001,C4368,$J$2:$J$5001,J4368,$A$2:$A$5001,"&lt;"&amp;A4368)=0,1,0))</f>
        <v/>
      </c>
    </row>
    <row r="4369" customFormat="false" ht="15" hidden="false" customHeight="false" outlineLevel="0" collapsed="false">
      <c r="A4369" s="27"/>
      <c r="F4369" s="28"/>
      <c r="J4369" s="0" t="str">
        <f aca="false">IF(A4369="","",YEAR(A4369))</f>
        <v/>
      </c>
      <c r="K4369" s="0" t="str">
        <f aca="false">IF(A4369="","",MONTH(A4369))</f>
        <v/>
      </c>
      <c r="L4369" s="0" t="str">
        <f aca="false">IF(B4369="","",VALUE(LEFT(B4369,2)))</f>
        <v/>
      </c>
      <c r="M4369" s="0" t="str">
        <f aca="false">IF(A4369="","",IF(COUNTIFS($C$2:$C$5001,C4369,$J$2:$J$5001,J4369,$A$2:$A$5001,"&lt;"&amp;A4369)=0,1,0))</f>
        <v/>
      </c>
    </row>
    <row r="4370" customFormat="false" ht="15" hidden="false" customHeight="false" outlineLevel="0" collapsed="false">
      <c r="A4370" s="27"/>
      <c r="F4370" s="28"/>
      <c r="J4370" s="0" t="str">
        <f aca="false">IF(A4370="","",YEAR(A4370))</f>
        <v/>
      </c>
      <c r="K4370" s="0" t="str">
        <f aca="false">IF(A4370="","",MONTH(A4370))</f>
        <v/>
      </c>
      <c r="L4370" s="0" t="str">
        <f aca="false">IF(B4370="","",VALUE(LEFT(B4370,2)))</f>
        <v/>
      </c>
      <c r="M4370" s="0" t="str">
        <f aca="false">IF(A4370="","",IF(COUNTIFS($C$2:$C$5001,C4370,$J$2:$J$5001,J4370,$A$2:$A$5001,"&lt;"&amp;A4370)=0,1,0))</f>
        <v/>
      </c>
    </row>
    <row r="4371" customFormat="false" ht="15" hidden="false" customHeight="false" outlineLevel="0" collapsed="false">
      <c r="A4371" s="27"/>
      <c r="F4371" s="28"/>
      <c r="J4371" s="0" t="str">
        <f aca="false">IF(A4371="","",YEAR(A4371))</f>
        <v/>
      </c>
      <c r="K4371" s="0" t="str">
        <f aca="false">IF(A4371="","",MONTH(A4371))</f>
        <v/>
      </c>
      <c r="L4371" s="0" t="str">
        <f aca="false">IF(B4371="","",VALUE(LEFT(B4371,2)))</f>
        <v/>
      </c>
      <c r="M4371" s="0" t="str">
        <f aca="false">IF(A4371="","",IF(COUNTIFS($C$2:$C$5001,C4371,$J$2:$J$5001,J4371,$A$2:$A$5001,"&lt;"&amp;A4371)=0,1,0))</f>
        <v/>
      </c>
    </row>
    <row r="4372" customFormat="false" ht="15" hidden="false" customHeight="false" outlineLevel="0" collapsed="false">
      <c r="A4372" s="27"/>
      <c r="F4372" s="28"/>
      <c r="J4372" s="0" t="str">
        <f aca="false">IF(A4372="","",YEAR(A4372))</f>
        <v/>
      </c>
      <c r="K4372" s="0" t="str">
        <f aca="false">IF(A4372="","",MONTH(A4372))</f>
        <v/>
      </c>
      <c r="L4372" s="0" t="str">
        <f aca="false">IF(B4372="","",VALUE(LEFT(B4372,2)))</f>
        <v/>
      </c>
      <c r="M4372" s="0" t="str">
        <f aca="false">IF(A4372="","",IF(COUNTIFS($C$2:$C$5001,C4372,$J$2:$J$5001,J4372,$A$2:$A$5001,"&lt;"&amp;A4372)=0,1,0))</f>
        <v/>
      </c>
    </row>
    <row r="4373" customFormat="false" ht="15" hidden="false" customHeight="false" outlineLevel="0" collapsed="false">
      <c r="A4373" s="27"/>
      <c r="F4373" s="28"/>
      <c r="J4373" s="0" t="str">
        <f aca="false">IF(A4373="","",YEAR(A4373))</f>
        <v/>
      </c>
      <c r="K4373" s="0" t="str">
        <f aca="false">IF(A4373="","",MONTH(A4373))</f>
        <v/>
      </c>
      <c r="L4373" s="0" t="str">
        <f aca="false">IF(B4373="","",VALUE(LEFT(B4373,2)))</f>
        <v/>
      </c>
      <c r="M4373" s="0" t="str">
        <f aca="false">IF(A4373="","",IF(COUNTIFS($C$2:$C$5001,C4373,$J$2:$J$5001,J4373,$A$2:$A$5001,"&lt;"&amp;A4373)=0,1,0))</f>
        <v/>
      </c>
    </row>
    <row r="4374" customFormat="false" ht="15" hidden="false" customHeight="false" outlineLevel="0" collapsed="false">
      <c r="A4374" s="27"/>
      <c r="F4374" s="28"/>
      <c r="J4374" s="0" t="str">
        <f aca="false">IF(A4374="","",YEAR(A4374))</f>
        <v/>
      </c>
      <c r="K4374" s="0" t="str">
        <f aca="false">IF(A4374="","",MONTH(A4374))</f>
        <v/>
      </c>
      <c r="L4374" s="0" t="str">
        <f aca="false">IF(B4374="","",VALUE(LEFT(B4374,2)))</f>
        <v/>
      </c>
      <c r="M4374" s="0" t="str">
        <f aca="false">IF(A4374="","",IF(COUNTIFS($C$2:$C$5001,C4374,$J$2:$J$5001,J4374,$A$2:$A$5001,"&lt;"&amp;A4374)=0,1,0))</f>
        <v/>
      </c>
    </row>
    <row r="4375" customFormat="false" ht="15" hidden="false" customHeight="false" outlineLevel="0" collapsed="false">
      <c r="A4375" s="27"/>
      <c r="F4375" s="28"/>
      <c r="J4375" s="0" t="str">
        <f aca="false">IF(A4375="","",YEAR(A4375))</f>
        <v/>
      </c>
      <c r="K4375" s="0" t="str">
        <f aca="false">IF(A4375="","",MONTH(A4375))</f>
        <v/>
      </c>
      <c r="L4375" s="0" t="str">
        <f aca="false">IF(B4375="","",VALUE(LEFT(B4375,2)))</f>
        <v/>
      </c>
      <c r="M4375" s="0" t="str">
        <f aca="false">IF(A4375="","",IF(COUNTIFS($C$2:$C$5001,C4375,$J$2:$J$5001,J4375,$A$2:$A$5001,"&lt;"&amp;A4375)=0,1,0))</f>
        <v/>
      </c>
    </row>
    <row r="4376" customFormat="false" ht="15" hidden="false" customHeight="false" outlineLevel="0" collapsed="false">
      <c r="A4376" s="27"/>
      <c r="F4376" s="28"/>
      <c r="J4376" s="0" t="str">
        <f aca="false">IF(A4376="","",YEAR(A4376))</f>
        <v/>
      </c>
      <c r="K4376" s="0" t="str">
        <f aca="false">IF(A4376="","",MONTH(A4376))</f>
        <v/>
      </c>
      <c r="L4376" s="0" t="str">
        <f aca="false">IF(B4376="","",VALUE(LEFT(B4376,2)))</f>
        <v/>
      </c>
      <c r="M4376" s="0" t="str">
        <f aca="false">IF(A4376="","",IF(COUNTIFS($C$2:$C$5001,C4376,$J$2:$J$5001,J4376,$A$2:$A$5001,"&lt;"&amp;A4376)=0,1,0))</f>
        <v/>
      </c>
    </row>
    <row r="4377" customFormat="false" ht="15" hidden="false" customHeight="false" outlineLevel="0" collapsed="false">
      <c r="A4377" s="27"/>
      <c r="F4377" s="28"/>
      <c r="J4377" s="0" t="str">
        <f aca="false">IF(A4377="","",YEAR(A4377))</f>
        <v/>
      </c>
      <c r="K4377" s="0" t="str">
        <f aca="false">IF(A4377="","",MONTH(A4377))</f>
        <v/>
      </c>
      <c r="L4377" s="0" t="str">
        <f aca="false">IF(B4377="","",VALUE(LEFT(B4377,2)))</f>
        <v/>
      </c>
      <c r="M4377" s="0" t="str">
        <f aca="false">IF(A4377="","",IF(COUNTIFS($C$2:$C$5001,C4377,$J$2:$J$5001,J4377,$A$2:$A$5001,"&lt;"&amp;A4377)=0,1,0))</f>
        <v/>
      </c>
    </row>
    <row r="4378" customFormat="false" ht="15" hidden="false" customHeight="false" outlineLevel="0" collapsed="false">
      <c r="A4378" s="27"/>
      <c r="F4378" s="28"/>
      <c r="J4378" s="0" t="str">
        <f aca="false">IF(A4378="","",YEAR(A4378))</f>
        <v/>
      </c>
      <c r="K4378" s="0" t="str">
        <f aca="false">IF(A4378="","",MONTH(A4378))</f>
        <v/>
      </c>
      <c r="L4378" s="0" t="str">
        <f aca="false">IF(B4378="","",VALUE(LEFT(B4378,2)))</f>
        <v/>
      </c>
      <c r="M4378" s="0" t="str">
        <f aca="false">IF(A4378="","",IF(COUNTIFS($C$2:$C$5001,C4378,$J$2:$J$5001,J4378,$A$2:$A$5001,"&lt;"&amp;A4378)=0,1,0))</f>
        <v/>
      </c>
    </row>
    <row r="4379" customFormat="false" ht="15" hidden="false" customHeight="false" outlineLevel="0" collapsed="false">
      <c r="A4379" s="27"/>
      <c r="F4379" s="28"/>
      <c r="J4379" s="0" t="str">
        <f aca="false">IF(A4379="","",YEAR(A4379))</f>
        <v/>
      </c>
      <c r="K4379" s="0" t="str">
        <f aca="false">IF(A4379="","",MONTH(A4379))</f>
        <v/>
      </c>
      <c r="L4379" s="0" t="str">
        <f aca="false">IF(B4379="","",VALUE(LEFT(B4379,2)))</f>
        <v/>
      </c>
      <c r="M4379" s="0" t="str">
        <f aca="false">IF(A4379="","",IF(COUNTIFS($C$2:$C$5001,C4379,$J$2:$J$5001,J4379,$A$2:$A$5001,"&lt;"&amp;A4379)=0,1,0))</f>
        <v/>
      </c>
    </row>
    <row r="4380" customFormat="false" ht="15" hidden="false" customHeight="false" outlineLevel="0" collapsed="false">
      <c r="A4380" s="27"/>
      <c r="F4380" s="28"/>
      <c r="J4380" s="0" t="str">
        <f aca="false">IF(A4380="","",YEAR(A4380))</f>
        <v/>
      </c>
      <c r="K4380" s="0" t="str">
        <f aca="false">IF(A4380="","",MONTH(A4380))</f>
        <v/>
      </c>
      <c r="L4380" s="0" t="str">
        <f aca="false">IF(B4380="","",VALUE(LEFT(B4380,2)))</f>
        <v/>
      </c>
      <c r="M4380" s="0" t="str">
        <f aca="false">IF(A4380="","",IF(COUNTIFS($C$2:$C$5001,C4380,$J$2:$J$5001,J4380,$A$2:$A$5001,"&lt;"&amp;A4380)=0,1,0))</f>
        <v/>
      </c>
    </row>
    <row r="4381" customFormat="false" ht="15" hidden="false" customHeight="false" outlineLevel="0" collapsed="false">
      <c r="A4381" s="27"/>
      <c r="F4381" s="28"/>
      <c r="J4381" s="0" t="str">
        <f aca="false">IF(A4381="","",YEAR(A4381))</f>
        <v/>
      </c>
      <c r="K4381" s="0" t="str">
        <f aca="false">IF(A4381="","",MONTH(A4381))</f>
        <v/>
      </c>
      <c r="L4381" s="0" t="str">
        <f aca="false">IF(B4381="","",VALUE(LEFT(B4381,2)))</f>
        <v/>
      </c>
      <c r="M4381" s="0" t="str">
        <f aca="false">IF(A4381="","",IF(COUNTIFS($C$2:$C$5001,C4381,$J$2:$J$5001,J4381,$A$2:$A$5001,"&lt;"&amp;A4381)=0,1,0))</f>
        <v/>
      </c>
    </row>
    <row r="4382" customFormat="false" ht="15" hidden="false" customHeight="false" outlineLevel="0" collapsed="false">
      <c r="A4382" s="27"/>
      <c r="F4382" s="28"/>
      <c r="J4382" s="0" t="str">
        <f aca="false">IF(A4382="","",YEAR(A4382))</f>
        <v/>
      </c>
      <c r="K4382" s="0" t="str">
        <f aca="false">IF(A4382="","",MONTH(A4382))</f>
        <v/>
      </c>
      <c r="L4382" s="0" t="str">
        <f aca="false">IF(B4382="","",VALUE(LEFT(B4382,2)))</f>
        <v/>
      </c>
      <c r="M4382" s="0" t="str">
        <f aca="false">IF(A4382="","",IF(COUNTIFS($C$2:$C$5001,C4382,$J$2:$J$5001,J4382,$A$2:$A$5001,"&lt;"&amp;A4382)=0,1,0))</f>
        <v/>
      </c>
    </row>
    <row r="4383" customFormat="false" ht="15" hidden="false" customHeight="false" outlineLevel="0" collapsed="false">
      <c r="A4383" s="27"/>
      <c r="F4383" s="28"/>
      <c r="J4383" s="0" t="str">
        <f aca="false">IF(A4383="","",YEAR(A4383))</f>
        <v/>
      </c>
      <c r="K4383" s="0" t="str">
        <f aca="false">IF(A4383="","",MONTH(A4383))</f>
        <v/>
      </c>
      <c r="L4383" s="0" t="str">
        <f aca="false">IF(B4383="","",VALUE(LEFT(B4383,2)))</f>
        <v/>
      </c>
      <c r="M4383" s="0" t="str">
        <f aca="false">IF(A4383="","",IF(COUNTIFS($C$2:$C$5001,C4383,$J$2:$J$5001,J4383,$A$2:$A$5001,"&lt;"&amp;A4383)=0,1,0))</f>
        <v/>
      </c>
    </row>
    <row r="4384" customFormat="false" ht="15" hidden="false" customHeight="false" outlineLevel="0" collapsed="false">
      <c r="A4384" s="27"/>
      <c r="F4384" s="28"/>
      <c r="J4384" s="0" t="str">
        <f aca="false">IF(A4384="","",YEAR(A4384))</f>
        <v/>
      </c>
      <c r="K4384" s="0" t="str">
        <f aca="false">IF(A4384="","",MONTH(A4384))</f>
        <v/>
      </c>
      <c r="L4384" s="0" t="str">
        <f aca="false">IF(B4384="","",VALUE(LEFT(B4384,2)))</f>
        <v/>
      </c>
      <c r="M4384" s="0" t="str">
        <f aca="false">IF(A4384="","",IF(COUNTIFS($C$2:$C$5001,C4384,$J$2:$J$5001,J4384,$A$2:$A$5001,"&lt;"&amp;A4384)=0,1,0))</f>
        <v/>
      </c>
    </row>
    <row r="4385" customFormat="false" ht="15" hidden="false" customHeight="false" outlineLevel="0" collapsed="false">
      <c r="A4385" s="27"/>
      <c r="F4385" s="28"/>
      <c r="J4385" s="0" t="str">
        <f aca="false">IF(A4385="","",YEAR(A4385))</f>
        <v/>
      </c>
      <c r="K4385" s="0" t="str">
        <f aca="false">IF(A4385="","",MONTH(A4385))</f>
        <v/>
      </c>
      <c r="L4385" s="0" t="str">
        <f aca="false">IF(B4385="","",VALUE(LEFT(B4385,2)))</f>
        <v/>
      </c>
      <c r="M4385" s="0" t="str">
        <f aca="false">IF(A4385="","",IF(COUNTIFS($C$2:$C$5001,C4385,$J$2:$J$5001,J4385,$A$2:$A$5001,"&lt;"&amp;A4385)=0,1,0))</f>
        <v/>
      </c>
    </row>
    <row r="4386" customFormat="false" ht="15" hidden="false" customHeight="false" outlineLevel="0" collapsed="false">
      <c r="A4386" s="27"/>
      <c r="F4386" s="28"/>
      <c r="J4386" s="0" t="str">
        <f aca="false">IF(A4386="","",YEAR(A4386))</f>
        <v/>
      </c>
      <c r="K4386" s="0" t="str">
        <f aca="false">IF(A4386="","",MONTH(A4386))</f>
        <v/>
      </c>
      <c r="L4386" s="0" t="str">
        <f aca="false">IF(B4386="","",VALUE(LEFT(B4386,2)))</f>
        <v/>
      </c>
      <c r="M4386" s="0" t="str">
        <f aca="false">IF(A4386="","",IF(COUNTIFS($C$2:$C$5001,C4386,$J$2:$J$5001,J4386,$A$2:$A$5001,"&lt;"&amp;A4386)=0,1,0))</f>
        <v/>
      </c>
    </row>
    <row r="4387" customFormat="false" ht="15" hidden="false" customHeight="false" outlineLevel="0" collapsed="false">
      <c r="A4387" s="27"/>
      <c r="F4387" s="28"/>
      <c r="J4387" s="0" t="str">
        <f aca="false">IF(A4387="","",YEAR(A4387))</f>
        <v/>
      </c>
      <c r="K4387" s="0" t="str">
        <f aca="false">IF(A4387="","",MONTH(A4387))</f>
        <v/>
      </c>
      <c r="L4387" s="0" t="str">
        <f aca="false">IF(B4387="","",VALUE(LEFT(B4387,2)))</f>
        <v/>
      </c>
      <c r="M4387" s="0" t="str">
        <f aca="false">IF(A4387="","",IF(COUNTIFS($C$2:$C$5001,C4387,$J$2:$J$5001,J4387,$A$2:$A$5001,"&lt;"&amp;A4387)=0,1,0))</f>
        <v/>
      </c>
    </row>
    <row r="4388" customFormat="false" ht="15" hidden="false" customHeight="false" outlineLevel="0" collapsed="false">
      <c r="A4388" s="27"/>
      <c r="F4388" s="28"/>
      <c r="J4388" s="0" t="str">
        <f aca="false">IF(A4388="","",YEAR(A4388))</f>
        <v/>
      </c>
      <c r="K4388" s="0" t="str">
        <f aca="false">IF(A4388="","",MONTH(A4388))</f>
        <v/>
      </c>
      <c r="L4388" s="0" t="str">
        <f aca="false">IF(B4388="","",VALUE(LEFT(B4388,2)))</f>
        <v/>
      </c>
      <c r="M4388" s="0" t="str">
        <f aca="false">IF(A4388="","",IF(COUNTIFS($C$2:$C$5001,C4388,$J$2:$J$5001,J4388,$A$2:$A$5001,"&lt;"&amp;A4388)=0,1,0))</f>
        <v/>
      </c>
    </row>
    <row r="4389" customFormat="false" ht="15" hidden="false" customHeight="false" outlineLevel="0" collapsed="false">
      <c r="A4389" s="27"/>
      <c r="F4389" s="28"/>
      <c r="J4389" s="0" t="str">
        <f aca="false">IF(A4389="","",YEAR(A4389))</f>
        <v/>
      </c>
      <c r="K4389" s="0" t="str">
        <f aca="false">IF(A4389="","",MONTH(A4389))</f>
        <v/>
      </c>
      <c r="L4389" s="0" t="str">
        <f aca="false">IF(B4389="","",VALUE(LEFT(B4389,2)))</f>
        <v/>
      </c>
      <c r="M4389" s="0" t="str">
        <f aca="false">IF(A4389="","",IF(COUNTIFS($C$2:$C$5001,C4389,$J$2:$J$5001,J4389,$A$2:$A$5001,"&lt;"&amp;A4389)=0,1,0))</f>
        <v/>
      </c>
    </row>
    <row r="4390" customFormat="false" ht="15" hidden="false" customHeight="false" outlineLevel="0" collapsed="false">
      <c r="A4390" s="27"/>
      <c r="F4390" s="28"/>
      <c r="J4390" s="0" t="str">
        <f aca="false">IF(A4390="","",YEAR(A4390))</f>
        <v/>
      </c>
      <c r="K4390" s="0" t="str">
        <f aca="false">IF(A4390="","",MONTH(A4390))</f>
        <v/>
      </c>
      <c r="L4390" s="0" t="str">
        <f aca="false">IF(B4390="","",VALUE(LEFT(B4390,2)))</f>
        <v/>
      </c>
      <c r="M4390" s="0" t="str">
        <f aca="false">IF(A4390="","",IF(COUNTIFS($C$2:$C$5001,C4390,$J$2:$J$5001,J4390,$A$2:$A$5001,"&lt;"&amp;A4390)=0,1,0))</f>
        <v/>
      </c>
    </row>
    <row r="4391" customFormat="false" ht="15" hidden="false" customHeight="false" outlineLevel="0" collapsed="false">
      <c r="A4391" s="27"/>
      <c r="F4391" s="28"/>
      <c r="J4391" s="0" t="str">
        <f aca="false">IF(A4391="","",YEAR(A4391))</f>
        <v/>
      </c>
      <c r="K4391" s="0" t="str">
        <f aca="false">IF(A4391="","",MONTH(A4391))</f>
        <v/>
      </c>
      <c r="L4391" s="0" t="str">
        <f aca="false">IF(B4391="","",VALUE(LEFT(B4391,2)))</f>
        <v/>
      </c>
      <c r="M4391" s="0" t="str">
        <f aca="false">IF(A4391="","",IF(COUNTIFS($C$2:$C$5001,C4391,$J$2:$J$5001,J4391,$A$2:$A$5001,"&lt;"&amp;A4391)=0,1,0))</f>
        <v/>
      </c>
    </row>
    <row r="4392" customFormat="false" ht="15" hidden="false" customHeight="false" outlineLevel="0" collapsed="false">
      <c r="A4392" s="27"/>
      <c r="F4392" s="28"/>
      <c r="J4392" s="0" t="str">
        <f aca="false">IF(A4392="","",YEAR(A4392))</f>
        <v/>
      </c>
      <c r="K4392" s="0" t="str">
        <f aca="false">IF(A4392="","",MONTH(A4392))</f>
        <v/>
      </c>
      <c r="L4392" s="0" t="str">
        <f aca="false">IF(B4392="","",VALUE(LEFT(B4392,2)))</f>
        <v/>
      </c>
      <c r="M4392" s="0" t="str">
        <f aca="false">IF(A4392="","",IF(COUNTIFS($C$2:$C$5001,C4392,$J$2:$J$5001,J4392,$A$2:$A$5001,"&lt;"&amp;A4392)=0,1,0))</f>
        <v/>
      </c>
    </row>
    <row r="4393" customFormat="false" ht="15" hidden="false" customHeight="false" outlineLevel="0" collapsed="false">
      <c r="A4393" s="27"/>
      <c r="F4393" s="28"/>
      <c r="J4393" s="0" t="str">
        <f aca="false">IF(A4393="","",YEAR(A4393))</f>
        <v/>
      </c>
      <c r="K4393" s="0" t="str">
        <f aca="false">IF(A4393="","",MONTH(A4393))</f>
        <v/>
      </c>
      <c r="L4393" s="0" t="str">
        <f aca="false">IF(B4393="","",VALUE(LEFT(B4393,2)))</f>
        <v/>
      </c>
      <c r="M4393" s="0" t="str">
        <f aca="false">IF(A4393="","",IF(COUNTIFS($C$2:$C$5001,C4393,$J$2:$J$5001,J4393,$A$2:$A$5001,"&lt;"&amp;A4393)=0,1,0))</f>
        <v/>
      </c>
    </row>
    <row r="4394" customFormat="false" ht="15" hidden="false" customHeight="false" outlineLevel="0" collapsed="false">
      <c r="A4394" s="27"/>
      <c r="F4394" s="28"/>
      <c r="J4394" s="0" t="str">
        <f aca="false">IF(A4394="","",YEAR(A4394))</f>
        <v/>
      </c>
      <c r="K4394" s="0" t="str">
        <f aca="false">IF(A4394="","",MONTH(A4394))</f>
        <v/>
      </c>
      <c r="L4394" s="0" t="str">
        <f aca="false">IF(B4394="","",VALUE(LEFT(B4394,2)))</f>
        <v/>
      </c>
      <c r="M4394" s="0" t="str">
        <f aca="false">IF(A4394="","",IF(COUNTIFS($C$2:$C$5001,C4394,$J$2:$J$5001,J4394,$A$2:$A$5001,"&lt;"&amp;A4394)=0,1,0))</f>
        <v/>
      </c>
    </row>
    <row r="4395" customFormat="false" ht="15" hidden="false" customHeight="false" outlineLevel="0" collapsed="false">
      <c r="A4395" s="27"/>
      <c r="F4395" s="28"/>
      <c r="J4395" s="0" t="str">
        <f aca="false">IF(A4395="","",YEAR(A4395))</f>
        <v/>
      </c>
      <c r="K4395" s="0" t="str">
        <f aca="false">IF(A4395="","",MONTH(A4395))</f>
        <v/>
      </c>
      <c r="L4395" s="0" t="str">
        <f aca="false">IF(B4395="","",VALUE(LEFT(B4395,2)))</f>
        <v/>
      </c>
      <c r="M4395" s="0" t="str">
        <f aca="false">IF(A4395="","",IF(COUNTIFS($C$2:$C$5001,C4395,$J$2:$J$5001,J4395,$A$2:$A$5001,"&lt;"&amp;A4395)=0,1,0))</f>
        <v/>
      </c>
    </row>
    <row r="4396" customFormat="false" ht="15" hidden="false" customHeight="false" outlineLevel="0" collapsed="false">
      <c r="A4396" s="27"/>
      <c r="F4396" s="28"/>
      <c r="J4396" s="0" t="str">
        <f aca="false">IF(A4396="","",YEAR(A4396))</f>
        <v/>
      </c>
      <c r="K4396" s="0" t="str">
        <f aca="false">IF(A4396="","",MONTH(A4396))</f>
        <v/>
      </c>
      <c r="L4396" s="0" t="str">
        <f aca="false">IF(B4396="","",VALUE(LEFT(B4396,2)))</f>
        <v/>
      </c>
      <c r="M4396" s="0" t="str">
        <f aca="false">IF(A4396="","",IF(COUNTIFS($C$2:$C$5001,C4396,$J$2:$J$5001,J4396,$A$2:$A$5001,"&lt;"&amp;A4396)=0,1,0))</f>
        <v/>
      </c>
    </row>
    <row r="4397" customFormat="false" ht="15" hidden="false" customHeight="false" outlineLevel="0" collapsed="false">
      <c r="A4397" s="27"/>
      <c r="F4397" s="28"/>
      <c r="J4397" s="0" t="str">
        <f aca="false">IF(A4397="","",YEAR(A4397))</f>
        <v/>
      </c>
      <c r="K4397" s="0" t="str">
        <f aca="false">IF(A4397="","",MONTH(A4397))</f>
        <v/>
      </c>
      <c r="L4397" s="0" t="str">
        <f aca="false">IF(B4397="","",VALUE(LEFT(B4397,2)))</f>
        <v/>
      </c>
      <c r="M4397" s="0" t="str">
        <f aca="false">IF(A4397="","",IF(COUNTIFS($C$2:$C$5001,C4397,$J$2:$J$5001,J4397,$A$2:$A$5001,"&lt;"&amp;A4397)=0,1,0))</f>
        <v/>
      </c>
    </row>
    <row r="4398" customFormat="false" ht="15" hidden="false" customHeight="false" outlineLevel="0" collapsed="false">
      <c r="A4398" s="27"/>
      <c r="F4398" s="28"/>
      <c r="J4398" s="0" t="str">
        <f aca="false">IF(A4398="","",YEAR(A4398))</f>
        <v/>
      </c>
      <c r="K4398" s="0" t="str">
        <f aca="false">IF(A4398="","",MONTH(A4398))</f>
        <v/>
      </c>
      <c r="L4398" s="0" t="str">
        <f aca="false">IF(B4398="","",VALUE(LEFT(B4398,2)))</f>
        <v/>
      </c>
      <c r="M4398" s="0" t="str">
        <f aca="false">IF(A4398="","",IF(COUNTIFS($C$2:$C$5001,C4398,$J$2:$J$5001,J4398,$A$2:$A$5001,"&lt;"&amp;A4398)=0,1,0))</f>
        <v/>
      </c>
    </row>
    <row r="4399" customFormat="false" ht="15" hidden="false" customHeight="false" outlineLevel="0" collapsed="false">
      <c r="A4399" s="27"/>
      <c r="F4399" s="28"/>
      <c r="J4399" s="0" t="str">
        <f aca="false">IF(A4399="","",YEAR(A4399))</f>
        <v/>
      </c>
      <c r="K4399" s="0" t="str">
        <f aca="false">IF(A4399="","",MONTH(A4399))</f>
        <v/>
      </c>
      <c r="L4399" s="0" t="str">
        <f aca="false">IF(B4399="","",VALUE(LEFT(B4399,2)))</f>
        <v/>
      </c>
      <c r="M4399" s="0" t="str">
        <f aca="false">IF(A4399="","",IF(COUNTIFS($C$2:$C$5001,C4399,$J$2:$J$5001,J4399,$A$2:$A$5001,"&lt;"&amp;A4399)=0,1,0))</f>
        <v/>
      </c>
    </row>
    <row r="4400" customFormat="false" ht="15" hidden="false" customHeight="false" outlineLevel="0" collapsed="false">
      <c r="A4400" s="27"/>
      <c r="F4400" s="28"/>
      <c r="J4400" s="0" t="str">
        <f aca="false">IF(A4400="","",YEAR(A4400))</f>
        <v/>
      </c>
      <c r="K4400" s="0" t="str">
        <f aca="false">IF(A4400="","",MONTH(A4400))</f>
        <v/>
      </c>
      <c r="L4400" s="0" t="str">
        <f aca="false">IF(B4400="","",VALUE(LEFT(B4400,2)))</f>
        <v/>
      </c>
      <c r="M4400" s="0" t="str">
        <f aca="false">IF(A4400="","",IF(COUNTIFS($C$2:$C$5001,C4400,$J$2:$J$5001,J4400,$A$2:$A$5001,"&lt;"&amp;A4400)=0,1,0))</f>
        <v/>
      </c>
    </row>
    <row r="4401" customFormat="false" ht="15" hidden="false" customHeight="false" outlineLevel="0" collapsed="false">
      <c r="A4401" s="27"/>
      <c r="F4401" s="28"/>
      <c r="J4401" s="0" t="str">
        <f aca="false">IF(A4401="","",YEAR(A4401))</f>
        <v/>
      </c>
      <c r="K4401" s="0" t="str">
        <f aca="false">IF(A4401="","",MONTH(A4401))</f>
        <v/>
      </c>
      <c r="L4401" s="0" t="str">
        <f aca="false">IF(B4401="","",VALUE(LEFT(B4401,2)))</f>
        <v/>
      </c>
      <c r="M4401" s="0" t="str">
        <f aca="false">IF(A4401="","",IF(COUNTIFS($C$2:$C$5001,C4401,$J$2:$J$5001,J4401,$A$2:$A$5001,"&lt;"&amp;A4401)=0,1,0))</f>
        <v/>
      </c>
    </row>
    <row r="4402" customFormat="false" ht="15" hidden="false" customHeight="false" outlineLevel="0" collapsed="false">
      <c r="A4402" s="27"/>
      <c r="F4402" s="28"/>
      <c r="J4402" s="0" t="str">
        <f aca="false">IF(A4402="","",YEAR(A4402))</f>
        <v/>
      </c>
      <c r="K4402" s="0" t="str">
        <f aca="false">IF(A4402="","",MONTH(A4402))</f>
        <v/>
      </c>
      <c r="L4402" s="0" t="str">
        <f aca="false">IF(B4402="","",VALUE(LEFT(B4402,2)))</f>
        <v/>
      </c>
      <c r="M4402" s="0" t="str">
        <f aca="false">IF(A4402="","",IF(COUNTIFS($C$2:$C$5001,C4402,$J$2:$J$5001,J4402,$A$2:$A$5001,"&lt;"&amp;A4402)=0,1,0))</f>
        <v/>
      </c>
    </row>
    <row r="4403" customFormat="false" ht="15" hidden="false" customHeight="false" outlineLevel="0" collapsed="false">
      <c r="A4403" s="27"/>
      <c r="F4403" s="28"/>
      <c r="J4403" s="0" t="str">
        <f aca="false">IF(A4403="","",YEAR(A4403))</f>
        <v/>
      </c>
      <c r="K4403" s="0" t="str">
        <f aca="false">IF(A4403="","",MONTH(A4403))</f>
        <v/>
      </c>
      <c r="L4403" s="0" t="str">
        <f aca="false">IF(B4403="","",VALUE(LEFT(B4403,2)))</f>
        <v/>
      </c>
      <c r="M4403" s="0" t="str">
        <f aca="false">IF(A4403="","",IF(COUNTIFS($C$2:$C$5001,C4403,$J$2:$J$5001,J4403,$A$2:$A$5001,"&lt;"&amp;A4403)=0,1,0))</f>
        <v/>
      </c>
    </row>
    <row r="4404" customFormat="false" ht="15" hidden="false" customHeight="false" outlineLevel="0" collapsed="false">
      <c r="A4404" s="27"/>
      <c r="F4404" s="28"/>
      <c r="J4404" s="0" t="str">
        <f aca="false">IF(A4404="","",YEAR(A4404))</f>
        <v/>
      </c>
      <c r="K4404" s="0" t="str">
        <f aca="false">IF(A4404="","",MONTH(A4404))</f>
        <v/>
      </c>
      <c r="L4404" s="0" t="str">
        <f aca="false">IF(B4404="","",VALUE(LEFT(B4404,2)))</f>
        <v/>
      </c>
      <c r="M4404" s="0" t="str">
        <f aca="false">IF(A4404="","",IF(COUNTIFS($C$2:$C$5001,C4404,$J$2:$J$5001,J4404,$A$2:$A$5001,"&lt;"&amp;A4404)=0,1,0))</f>
        <v/>
      </c>
    </row>
    <row r="4405" customFormat="false" ht="15" hidden="false" customHeight="false" outlineLevel="0" collapsed="false">
      <c r="A4405" s="27"/>
      <c r="F4405" s="28"/>
      <c r="J4405" s="0" t="str">
        <f aca="false">IF(A4405="","",YEAR(A4405))</f>
        <v/>
      </c>
      <c r="K4405" s="0" t="str">
        <f aca="false">IF(A4405="","",MONTH(A4405))</f>
        <v/>
      </c>
      <c r="L4405" s="0" t="str">
        <f aca="false">IF(B4405="","",VALUE(LEFT(B4405,2)))</f>
        <v/>
      </c>
      <c r="M4405" s="0" t="str">
        <f aca="false">IF(A4405="","",IF(COUNTIFS($C$2:$C$5001,C4405,$J$2:$J$5001,J4405,$A$2:$A$5001,"&lt;"&amp;A4405)=0,1,0))</f>
        <v/>
      </c>
    </row>
    <row r="4406" customFormat="false" ht="15" hidden="false" customHeight="false" outlineLevel="0" collapsed="false">
      <c r="A4406" s="27"/>
      <c r="F4406" s="28"/>
      <c r="J4406" s="0" t="str">
        <f aca="false">IF(A4406="","",YEAR(A4406))</f>
        <v/>
      </c>
      <c r="K4406" s="0" t="str">
        <f aca="false">IF(A4406="","",MONTH(A4406))</f>
        <v/>
      </c>
      <c r="L4406" s="0" t="str">
        <f aca="false">IF(B4406="","",VALUE(LEFT(B4406,2)))</f>
        <v/>
      </c>
      <c r="M4406" s="0" t="str">
        <f aca="false">IF(A4406="","",IF(COUNTIFS($C$2:$C$5001,C4406,$J$2:$J$5001,J4406,$A$2:$A$5001,"&lt;"&amp;A4406)=0,1,0))</f>
        <v/>
      </c>
    </row>
    <row r="4407" customFormat="false" ht="15" hidden="false" customHeight="false" outlineLevel="0" collapsed="false">
      <c r="A4407" s="27"/>
      <c r="F4407" s="28"/>
      <c r="J4407" s="0" t="str">
        <f aca="false">IF(A4407="","",YEAR(A4407))</f>
        <v/>
      </c>
      <c r="K4407" s="0" t="str">
        <f aca="false">IF(A4407="","",MONTH(A4407))</f>
        <v/>
      </c>
      <c r="L4407" s="0" t="str">
        <f aca="false">IF(B4407="","",VALUE(LEFT(B4407,2)))</f>
        <v/>
      </c>
      <c r="M4407" s="0" t="str">
        <f aca="false">IF(A4407="","",IF(COUNTIFS($C$2:$C$5001,C4407,$J$2:$J$5001,J4407,$A$2:$A$5001,"&lt;"&amp;A4407)=0,1,0))</f>
        <v/>
      </c>
    </row>
    <row r="4408" customFormat="false" ht="15" hidden="false" customHeight="false" outlineLevel="0" collapsed="false">
      <c r="A4408" s="27"/>
      <c r="F4408" s="28"/>
      <c r="J4408" s="0" t="str">
        <f aca="false">IF(A4408="","",YEAR(A4408))</f>
        <v/>
      </c>
      <c r="K4408" s="0" t="str">
        <f aca="false">IF(A4408="","",MONTH(A4408))</f>
        <v/>
      </c>
      <c r="L4408" s="0" t="str">
        <f aca="false">IF(B4408="","",VALUE(LEFT(B4408,2)))</f>
        <v/>
      </c>
      <c r="M4408" s="0" t="str">
        <f aca="false">IF(A4408="","",IF(COUNTIFS($C$2:$C$5001,C4408,$J$2:$J$5001,J4408,$A$2:$A$5001,"&lt;"&amp;A4408)=0,1,0))</f>
        <v/>
      </c>
    </row>
    <row r="4409" customFormat="false" ht="15" hidden="false" customHeight="false" outlineLevel="0" collapsed="false">
      <c r="A4409" s="27"/>
      <c r="F4409" s="28"/>
      <c r="J4409" s="0" t="str">
        <f aca="false">IF(A4409="","",YEAR(A4409))</f>
        <v/>
      </c>
      <c r="K4409" s="0" t="str">
        <f aca="false">IF(A4409="","",MONTH(A4409))</f>
        <v/>
      </c>
      <c r="L4409" s="0" t="str">
        <f aca="false">IF(B4409="","",VALUE(LEFT(B4409,2)))</f>
        <v/>
      </c>
      <c r="M4409" s="0" t="str">
        <f aca="false">IF(A4409="","",IF(COUNTIFS($C$2:$C$5001,C4409,$J$2:$J$5001,J4409,$A$2:$A$5001,"&lt;"&amp;A4409)=0,1,0))</f>
        <v/>
      </c>
    </row>
    <row r="4410" customFormat="false" ht="15" hidden="false" customHeight="false" outlineLevel="0" collapsed="false">
      <c r="A4410" s="27"/>
      <c r="F4410" s="28"/>
      <c r="J4410" s="0" t="str">
        <f aca="false">IF(A4410="","",YEAR(A4410))</f>
        <v/>
      </c>
      <c r="K4410" s="0" t="str">
        <f aca="false">IF(A4410="","",MONTH(A4410))</f>
        <v/>
      </c>
      <c r="L4410" s="0" t="str">
        <f aca="false">IF(B4410="","",VALUE(LEFT(B4410,2)))</f>
        <v/>
      </c>
      <c r="M4410" s="0" t="str">
        <f aca="false">IF(A4410="","",IF(COUNTIFS($C$2:$C$5001,C4410,$J$2:$J$5001,J4410,$A$2:$A$5001,"&lt;"&amp;A4410)=0,1,0))</f>
        <v/>
      </c>
    </row>
    <row r="4411" customFormat="false" ht="15" hidden="false" customHeight="false" outlineLevel="0" collapsed="false">
      <c r="A4411" s="27"/>
      <c r="F4411" s="28"/>
      <c r="J4411" s="0" t="str">
        <f aca="false">IF(A4411="","",YEAR(A4411))</f>
        <v/>
      </c>
      <c r="K4411" s="0" t="str">
        <f aca="false">IF(A4411="","",MONTH(A4411))</f>
        <v/>
      </c>
      <c r="L4411" s="0" t="str">
        <f aca="false">IF(B4411="","",VALUE(LEFT(B4411,2)))</f>
        <v/>
      </c>
      <c r="M4411" s="0" t="str">
        <f aca="false">IF(A4411="","",IF(COUNTIFS($C$2:$C$5001,C4411,$J$2:$J$5001,J4411,$A$2:$A$5001,"&lt;"&amp;A4411)=0,1,0))</f>
        <v/>
      </c>
    </row>
    <row r="4412" customFormat="false" ht="15" hidden="false" customHeight="false" outlineLevel="0" collapsed="false">
      <c r="A4412" s="27"/>
      <c r="F4412" s="28"/>
      <c r="J4412" s="0" t="str">
        <f aca="false">IF(A4412="","",YEAR(A4412))</f>
        <v/>
      </c>
      <c r="K4412" s="0" t="str">
        <f aca="false">IF(A4412="","",MONTH(A4412))</f>
        <v/>
      </c>
      <c r="L4412" s="0" t="str">
        <f aca="false">IF(B4412="","",VALUE(LEFT(B4412,2)))</f>
        <v/>
      </c>
      <c r="M4412" s="0" t="str">
        <f aca="false">IF(A4412="","",IF(COUNTIFS($C$2:$C$5001,C4412,$J$2:$J$5001,J4412,$A$2:$A$5001,"&lt;"&amp;A4412)=0,1,0))</f>
        <v/>
      </c>
    </row>
    <row r="4413" customFormat="false" ht="15" hidden="false" customHeight="false" outlineLevel="0" collapsed="false">
      <c r="A4413" s="27"/>
      <c r="F4413" s="28"/>
      <c r="J4413" s="0" t="str">
        <f aca="false">IF(A4413="","",YEAR(A4413))</f>
        <v/>
      </c>
      <c r="K4413" s="0" t="str">
        <f aca="false">IF(A4413="","",MONTH(A4413))</f>
        <v/>
      </c>
      <c r="L4413" s="0" t="str">
        <f aca="false">IF(B4413="","",VALUE(LEFT(B4413,2)))</f>
        <v/>
      </c>
      <c r="M4413" s="0" t="str">
        <f aca="false">IF(A4413="","",IF(COUNTIFS($C$2:$C$5001,C4413,$J$2:$J$5001,J4413,$A$2:$A$5001,"&lt;"&amp;A4413)=0,1,0))</f>
        <v/>
      </c>
    </row>
    <row r="4414" customFormat="false" ht="15" hidden="false" customHeight="false" outlineLevel="0" collapsed="false">
      <c r="A4414" s="27"/>
      <c r="F4414" s="28"/>
      <c r="J4414" s="0" t="str">
        <f aca="false">IF(A4414="","",YEAR(A4414))</f>
        <v/>
      </c>
      <c r="K4414" s="0" t="str">
        <f aca="false">IF(A4414="","",MONTH(A4414))</f>
        <v/>
      </c>
      <c r="L4414" s="0" t="str">
        <f aca="false">IF(B4414="","",VALUE(LEFT(B4414,2)))</f>
        <v/>
      </c>
      <c r="M4414" s="0" t="str">
        <f aca="false">IF(A4414="","",IF(COUNTIFS($C$2:$C$5001,C4414,$J$2:$J$5001,J4414,$A$2:$A$5001,"&lt;"&amp;A4414)=0,1,0))</f>
        <v/>
      </c>
    </row>
    <row r="4415" customFormat="false" ht="15" hidden="false" customHeight="false" outlineLevel="0" collapsed="false">
      <c r="A4415" s="27"/>
      <c r="F4415" s="28"/>
      <c r="J4415" s="0" t="str">
        <f aca="false">IF(A4415="","",YEAR(A4415))</f>
        <v/>
      </c>
      <c r="K4415" s="0" t="str">
        <f aca="false">IF(A4415="","",MONTH(A4415))</f>
        <v/>
      </c>
      <c r="L4415" s="0" t="str">
        <f aca="false">IF(B4415="","",VALUE(LEFT(B4415,2)))</f>
        <v/>
      </c>
      <c r="M4415" s="0" t="str">
        <f aca="false">IF(A4415="","",IF(COUNTIFS($C$2:$C$5001,C4415,$J$2:$J$5001,J4415,$A$2:$A$5001,"&lt;"&amp;A4415)=0,1,0))</f>
        <v/>
      </c>
    </row>
    <row r="4416" customFormat="false" ht="15" hidden="false" customHeight="false" outlineLevel="0" collapsed="false">
      <c r="A4416" s="27"/>
      <c r="F4416" s="28"/>
      <c r="J4416" s="0" t="str">
        <f aca="false">IF(A4416="","",YEAR(A4416))</f>
        <v/>
      </c>
      <c r="K4416" s="0" t="str">
        <f aca="false">IF(A4416="","",MONTH(A4416))</f>
        <v/>
      </c>
      <c r="L4416" s="0" t="str">
        <f aca="false">IF(B4416="","",VALUE(LEFT(B4416,2)))</f>
        <v/>
      </c>
      <c r="M4416" s="0" t="str">
        <f aca="false">IF(A4416="","",IF(COUNTIFS($C$2:$C$5001,C4416,$J$2:$J$5001,J4416,$A$2:$A$5001,"&lt;"&amp;A4416)=0,1,0))</f>
        <v/>
      </c>
    </row>
    <row r="4417" customFormat="false" ht="15" hidden="false" customHeight="false" outlineLevel="0" collapsed="false">
      <c r="A4417" s="27"/>
      <c r="F4417" s="28"/>
      <c r="J4417" s="0" t="str">
        <f aca="false">IF(A4417="","",YEAR(A4417))</f>
        <v/>
      </c>
      <c r="K4417" s="0" t="str">
        <f aca="false">IF(A4417="","",MONTH(A4417))</f>
        <v/>
      </c>
      <c r="L4417" s="0" t="str">
        <f aca="false">IF(B4417="","",VALUE(LEFT(B4417,2)))</f>
        <v/>
      </c>
      <c r="M4417" s="0" t="str">
        <f aca="false">IF(A4417="","",IF(COUNTIFS($C$2:$C$5001,C4417,$J$2:$J$5001,J4417,$A$2:$A$5001,"&lt;"&amp;A4417)=0,1,0))</f>
        <v/>
      </c>
    </row>
    <row r="4418" customFormat="false" ht="15" hidden="false" customHeight="false" outlineLevel="0" collapsed="false">
      <c r="A4418" s="27"/>
      <c r="F4418" s="28"/>
      <c r="J4418" s="0" t="str">
        <f aca="false">IF(A4418="","",YEAR(A4418))</f>
        <v/>
      </c>
      <c r="K4418" s="0" t="str">
        <f aca="false">IF(A4418="","",MONTH(A4418))</f>
        <v/>
      </c>
      <c r="L4418" s="0" t="str">
        <f aca="false">IF(B4418="","",VALUE(LEFT(B4418,2)))</f>
        <v/>
      </c>
      <c r="M4418" s="0" t="str">
        <f aca="false">IF(A4418="","",IF(COUNTIFS($C$2:$C$5001,C4418,$J$2:$J$5001,J4418,$A$2:$A$5001,"&lt;"&amp;A4418)=0,1,0))</f>
        <v/>
      </c>
    </row>
    <row r="4419" customFormat="false" ht="15" hidden="false" customHeight="false" outlineLevel="0" collapsed="false">
      <c r="A4419" s="27"/>
      <c r="F4419" s="28"/>
      <c r="J4419" s="0" t="str">
        <f aca="false">IF(A4419="","",YEAR(A4419))</f>
        <v/>
      </c>
      <c r="K4419" s="0" t="str">
        <f aca="false">IF(A4419="","",MONTH(A4419))</f>
        <v/>
      </c>
      <c r="L4419" s="0" t="str">
        <f aca="false">IF(B4419="","",VALUE(LEFT(B4419,2)))</f>
        <v/>
      </c>
      <c r="M4419" s="0" t="str">
        <f aca="false">IF(A4419="","",IF(COUNTIFS($C$2:$C$5001,C4419,$J$2:$J$5001,J4419,$A$2:$A$5001,"&lt;"&amp;A4419)=0,1,0))</f>
        <v/>
      </c>
    </row>
    <row r="4420" customFormat="false" ht="15" hidden="false" customHeight="false" outlineLevel="0" collapsed="false">
      <c r="A4420" s="27"/>
      <c r="F4420" s="28"/>
      <c r="J4420" s="0" t="str">
        <f aca="false">IF(A4420="","",YEAR(A4420))</f>
        <v/>
      </c>
      <c r="K4420" s="0" t="str">
        <f aca="false">IF(A4420="","",MONTH(A4420))</f>
        <v/>
      </c>
      <c r="L4420" s="0" t="str">
        <f aca="false">IF(B4420="","",VALUE(LEFT(B4420,2)))</f>
        <v/>
      </c>
      <c r="M4420" s="0" t="str">
        <f aca="false">IF(A4420="","",IF(COUNTIFS($C$2:$C$5001,C4420,$J$2:$J$5001,J4420,$A$2:$A$5001,"&lt;"&amp;A4420)=0,1,0))</f>
        <v/>
      </c>
    </row>
    <row r="4421" customFormat="false" ht="15" hidden="false" customHeight="false" outlineLevel="0" collapsed="false">
      <c r="A4421" s="27"/>
      <c r="F4421" s="28"/>
      <c r="J4421" s="0" t="str">
        <f aca="false">IF(A4421="","",YEAR(A4421))</f>
        <v/>
      </c>
      <c r="K4421" s="0" t="str">
        <f aca="false">IF(A4421="","",MONTH(A4421))</f>
        <v/>
      </c>
      <c r="L4421" s="0" t="str">
        <f aca="false">IF(B4421="","",VALUE(LEFT(B4421,2)))</f>
        <v/>
      </c>
      <c r="M4421" s="0" t="str">
        <f aca="false">IF(A4421="","",IF(COUNTIFS($C$2:$C$5001,C4421,$J$2:$J$5001,J4421,$A$2:$A$5001,"&lt;"&amp;A4421)=0,1,0))</f>
        <v/>
      </c>
    </row>
    <row r="4422" customFormat="false" ht="15" hidden="false" customHeight="false" outlineLevel="0" collapsed="false">
      <c r="A4422" s="27"/>
      <c r="F4422" s="28"/>
      <c r="J4422" s="0" t="str">
        <f aca="false">IF(A4422="","",YEAR(A4422))</f>
        <v/>
      </c>
      <c r="K4422" s="0" t="str">
        <f aca="false">IF(A4422="","",MONTH(A4422))</f>
        <v/>
      </c>
      <c r="L4422" s="0" t="str">
        <f aca="false">IF(B4422="","",VALUE(LEFT(B4422,2)))</f>
        <v/>
      </c>
      <c r="M4422" s="0" t="str">
        <f aca="false">IF(A4422="","",IF(COUNTIFS($C$2:$C$5001,C4422,$J$2:$J$5001,J4422,$A$2:$A$5001,"&lt;"&amp;A4422)=0,1,0))</f>
        <v/>
      </c>
    </row>
    <row r="4423" customFormat="false" ht="15" hidden="false" customHeight="false" outlineLevel="0" collapsed="false">
      <c r="A4423" s="27"/>
      <c r="F4423" s="28"/>
      <c r="J4423" s="0" t="str">
        <f aca="false">IF(A4423="","",YEAR(A4423))</f>
        <v/>
      </c>
      <c r="K4423" s="0" t="str">
        <f aca="false">IF(A4423="","",MONTH(A4423))</f>
        <v/>
      </c>
      <c r="L4423" s="0" t="str">
        <f aca="false">IF(B4423="","",VALUE(LEFT(B4423,2)))</f>
        <v/>
      </c>
      <c r="M4423" s="0" t="str">
        <f aca="false">IF(A4423="","",IF(COUNTIFS($C$2:$C$5001,C4423,$J$2:$J$5001,J4423,$A$2:$A$5001,"&lt;"&amp;A4423)=0,1,0))</f>
        <v/>
      </c>
    </row>
    <row r="4424" customFormat="false" ht="15" hidden="false" customHeight="false" outlineLevel="0" collapsed="false">
      <c r="A4424" s="27"/>
      <c r="F4424" s="28"/>
      <c r="J4424" s="0" t="str">
        <f aca="false">IF(A4424="","",YEAR(A4424))</f>
        <v/>
      </c>
      <c r="K4424" s="0" t="str">
        <f aca="false">IF(A4424="","",MONTH(A4424))</f>
        <v/>
      </c>
      <c r="L4424" s="0" t="str">
        <f aca="false">IF(B4424="","",VALUE(LEFT(B4424,2)))</f>
        <v/>
      </c>
      <c r="M4424" s="0" t="str">
        <f aca="false">IF(A4424="","",IF(COUNTIFS($C$2:$C$5001,C4424,$J$2:$J$5001,J4424,$A$2:$A$5001,"&lt;"&amp;A4424)=0,1,0))</f>
        <v/>
      </c>
    </row>
    <row r="4425" customFormat="false" ht="15" hidden="false" customHeight="false" outlineLevel="0" collapsed="false">
      <c r="A4425" s="27"/>
      <c r="F4425" s="28"/>
      <c r="J4425" s="0" t="str">
        <f aca="false">IF(A4425="","",YEAR(A4425))</f>
        <v/>
      </c>
      <c r="K4425" s="0" t="str">
        <f aca="false">IF(A4425="","",MONTH(A4425))</f>
        <v/>
      </c>
      <c r="L4425" s="0" t="str">
        <f aca="false">IF(B4425="","",VALUE(LEFT(B4425,2)))</f>
        <v/>
      </c>
      <c r="M4425" s="0" t="str">
        <f aca="false">IF(A4425="","",IF(COUNTIFS($C$2:$C$5001,C4425,$J$2:$J$5001,J4425,$A$2:$A$5001,"&lt;"&amp;A4425)=0,1,0))</f>
        <v/>
      </c>
    </row>
    <row r="4426" customFormat="false" ht="15" hidden="false" customHeight="false" outlineLevel="0" collapsed="false">
      <c r="A4426" s="27"/>
      <c r="F4426" s="28"/>
      <c r="J4426" s="0" t="str">
        <f aca="false">IF(A4426="","",YEAR(A4426))</f>
        <v/>
      </c>
      <c r="K4426" s="0" t="str">
        <f aca="false">IF(A4426="","",MONTH(A4426))</f>
        <v/>
      </c>
      <c r="L4426" s="0" t="str">
        <f aca="false">IF(B4426="","",VALUE(LEFT(B4426,2)))</f>
        <v/>
      </c>
      <c r="M4426" s="0" t="str">
        <f aca="false">IF(A4426="","",IF(COUNTIFS($C$2:$C$5001,C4426,$J$2:$J$5001,J4426,$A$2:$A$5001,"&lt;"&amp;A4426)=0,1,0))</f>
        <v/>
      </c>
    </row>
    <row r="4427" customFormat="false" ht="15" hidden="false" customHeight="false" outlineLevel="0" collapsed="false">
      <c r="A4427" s="27"/>
      <c r="F4427" s="28"/>
      <c r="J4427" s="0" t="str">
        <f aca="false">IF(A4427="","",YEAR(A4427))</f>
        <v/>
      </c>
      <c r="K4427" s="0" t="str">
        <f aca="false">IF(A4427="","",MONTH(A4427))</f>
        <v/>
      </c>
      <c r="L4427" s="0" t="str">
        <f aca="false">IF(B4427="","",VALUE(LEFT(B4427,2)))</f>
        <v/>
      </c>
      <c r="M4427" s="0" t="str">
        <f aca="false">IF(A4427="","",IF(COUNTIFS($C$2:$C$5001,C4427,$J$2:$J$5001,J4427,$A$2:$A$5001,"&lt;"&amp;A4427)=0,1,0))</f>
        <v/>
      </c>
    </row>
    <row r="4428" customFormat="false" ht="15" hidden="false" customHeight="false" outlineLevel="0" collapsed="false">
      <c r="A4428" s="27"/>
      <c r="F4428" s="28"/>
      <c r="J4428" s="0" t="str">
        <f aca="false">IF(A4428="","",YEAR(A4428))</f>
        <v/>
      </c>
      <c r="K4428" s="0" t="str">
        <f aca="false">IF(A4428="","",MONTH(A4428))</f>
        <v/>
      </c>
      <c r="L4428" s="0" t="str">
        <f aca="false">IF(B4428="","",VALUE(LEFT(B4428,2)))</f>
        <v/>
      </c>
      <c r="M4428" s="0" t="str">
        <f aca="false">IF(A4428="","",IF(COUNTIFS($C$2:$C$5001,C4428,$J$2:$J$5001,J4428,$A$2:$A$5001,"&lt;"&amp;A4428)=0,1,0))</f>
        <v/>
      </c>
    </row>
    <row r="4429" customFormat="false" ht="15" hidden="false" customHeight="false" outlineLevel="0" collapsed="false">
      <c r="A4429" s="27"/>
      <c r="F4429" s="28"/>
      <c r="J4429" s="0" t="str">
        <f aca="false">IF(A4429="","",YEAR(A4429))</f>
        <v/>
      </c>
      <c r="K4429" s="0" t="str">
        <f aca="false">IF(A4429="","",MONTH(A4429))</f>
        <v/>
      </c>
      <c r="L4429" s="0" t="str">
        <f aca="false">IF(B4429="","",VALUE(LEFT(B4429,2)))</f>
        <v/>
      </c>
      <c r="M4429" s="0" t="str">
        <f aca="false">IF(A4429="","",IF(COUNTIFS($C$2:$C$5001,C4429,$J$2:$J$5001,J4429,$A$2:$A$5001,"&lt;"&amp;A4429)=0,1,0))</f>
        <v/>
      </c>
    </row>
    <row r="4430" customFormat="false" ht="15" hidden="false" customHeight="false" outlineLevel="0" collapsed="false">
      <c r="A4430" s="27"/>
      <c r="F4430" s="28"/>
      <c r="J4430" s="0" t="str">
        <f aca="false">IF(A4430="","",YEAR(A4430))</f>
        <v/>
      </c>
      <c r="K4430" s="0" t="str">
        <f aca="false">IF(A4430="","",MONTH(A4430))</f>
        <v/>
      </c>
      <c r="L4430" s="0" t="str">
        <f aca="false">IF(B4430="","",VALUE(LEFT(B4430,2)))</f>
        <v/>
      </c>
      <c r="M4430" s="0" t="str">
        <f aca="false">IF(A4430="","",IF(COUNTIFS($C$2:$C$5001,C4430,$J$2:$J$5001,J4430,$A$2:$A$5001,"&lt;"&amp;A4430)=0,1,0))</f>
        <v/>
      </c>
    </row>
    <row r="4431" customFormat="false" ht="15" hidden="false" customHeight="false" outlineLevel="0" collapsed="false">
      <c r="A4431" s="27"/>
      <c r="F4431" s="28"/>
      <c r="J4431" s="0" t="str">
        <f aca="false">IF(A4431="","",YEAR(A4431))</f>
        <v/>
      </c>
      <c r="K4431" s="0" t="str">
        <f aca="false">IF(A4431="","",MONTH(A4431))</f>
        <v/>
      </c>
      <c r="L4431" s="0" t="str">
        <f aca="false">IF(B4431="","",VALUE(LEFT(B4431,2)))</f>
        <v/>
      </c>
      <c r="M4431" s="0" t="str">
        <f aca="false">IF(A4431="","",IF(COUNTIFS($C$2:$C$5001,C4431,$J$2:$J$5001,J4431,$A$2:$A$5001,"&lt;"&amp;A4431)=0,1,0))</f>
        <v/>
      </c>
    </row>
    <row r="4432" customFormat="false" ht="15" hidden="false" customHeight="false" outlineLevel="0" collapsed="false">
      <c r="A4432" s="27"/>
      <c r="F4432" s="28"/>
      <c r="J4432" s="0" t="str">
        <f aca="false">IF(A4432="","",YEAR(A4432))</f>
        <v/>
      </c>
      <c r="K4432" s="0" t="str">
        <f aca="false">IF(A4432="","",MONTH(A4432))</f>
        <v/>
      </c>
      <c r="L4432" s="0" t="str">
        <f aca="false">IF(B4432="","",VALUE(LEFT(B4432,2)))</f>
        <v/>
      </c>
      <c r="M4432" s="0" t="str">
        <f aca="false">IF(A4432="","",IF(COUNTIFS($C$2:$C$5001,C4432,$J$2:$J$5001,J4432,$A$2:$A$5001,"&lt;"&amp;A4432)=0,1,0))</f>
        <v/>
      </c>
    </row>
    <row r="4433" customFormat="false" ht="15" hidden="false" customHeight="false" outlineLevel="0" collapsed="false">
      <c r="A4433" s="27"/>
      <c r="F4433" s="28"/>
      <c r="J4433" s="0" t="str">
        <f aca="false">IF(A4433="","",YEAR(A4433))</f>
        <v/>
      </c>
      <c r="K4433" s="0" t="str">
        <f aca="false">IF(A4433="","",MONTH(A4433))</f>
        <v/>
      </c>
      <c r="L4433" s="0" t="str">
        <f aca="false">IF(B4433="","",VALUE(LEFT(B4433,2)))</f>
        <v/>
      </c>
      <c r="M4433" s="0" t="str">
        <f aca="false">IF(A4433="","",IF(COUNTIFS($C$2:$C$5001,C4433,$J$2:$J$5001,J4433,$A$2:$A$5001,"&lt;"&amp;A4433)=0,1,0))</f>
        <v/>
      </c>
    </row>
    <row r="4434" customFormat="false" ht="15" hidden="false" customHeight="false" outlineLevel="0" collapsed="false">
      <c r="A4434" s="27"/>
      <c r="F4434" s="28"/>
      <c r="J4434" s="0" t="str">
        <f aca="false">IF(A4434="","",YEAR(A4434))</f>
        <v/>
      </c>
      <c r="K4434" s="0" t="str">
        <f aca="false">IF(A4434="","",MONTH(A4434))</f>
        <v/>
      </c>
      <c r="L4434" s="0" t="str">
        <f aca="false">IF(B4434="","",VALUE(LEFT(B4434,2)))</f>
        <v/>
      </c>
      <c r="M4434" s="0" t="str">
        <f aca="false">IF(A4434="","",IF(COUNTIFS($C$2:$C$5001,C4434,$J$2:$J$5001,J4434,$A$2:$A$5001,"&lt;"&amp;A4434)=0,1,0))</f>
        <v/>
      </c>
    </row>
    <row r="4435" customFormat="false" ht="15" hidden="false" customHeight="false" outlineLevel="0" collapsed="false">
      <c r="A4435" s="27"/>
      <c r="F4435" s="28"/>
      <c r="J4435" s="0" t="str">
        <f aca="false">IF(A4435="","",YEAR(A4435))</f>
        <v/>
      </c>
      <c r="K4435" s="0" t="str">
        <f aca="false">IF(A4435="","",MONTH(A4435))</f>
        <v/>
      </c>
      <c r="L4435" s="0" t="str">
        <f aca="false">IF(B4435="","",VALUE(LEFT(B4435,2)))</f>
        <v/>
      </c>
      <c r="M4435" s="0" t="str">
        <f aca="false">IF(A4435="","",IF(COUNTIFS($C$2:$C$5001,C4435,$J$2:$J$5001,J4435,$A$2:$A$5001,"&lt;"&amp;A4435)=0,1,0))</f>
        <v/>
      </c>
    </row>
    <row r="4436" customFormat="false" ht="15" hidden="false" customHeight="false" outlineLevel="0" collapsed="false">
      <c r="A4436" s="27"/>
      <c r="F4436" s="28"/>
      <c r="J4436" s="0" t="str">
        <f aca="false">IF(A4436="","",YEAR(A4436))</f>
        <v/>
      </c>
      <c r="K4436" s="0" t="str">
        <f aca="false">IF(A4436="","",MONTH(A4436))</f>
        <v/>
      </c>
      <c r="L4436" s="0" t="str">
        <f aca="false">IF(B4436="","",VALUE(LEFT(B4436,2)))</f>
        <v/>
      </c>
      <c r="M4436" s="0" t="str">
        <f aca="false">IF(A4436="","",IF(COUNTIFS($C$2:$C$5001,C4436,$J$2:$J$5001,J4436,$A$2:$A$5001,"&lt;"&amp;A4436)=0,1,0))</f>
        <v/>
      </c>
    </row>
    <row r="4437" customFormat="false" ht="15" hidden="false" customHeight="false" outlineLevel="0" collapsed="false">
      <c r="A4437" s="27"/>
      <c r="F4437" s="28"/>
      <c r="J4437" s="0" t="str">
        <f aca="false">IF(A4437="","",YEAR(A4437))</f>
        <v/>
      </c>
      <c r="K4437" s="0" t="str">
        <f aca="false">IF(A4437="","",MONTH(A4437))</f>
        <v/>
      </c>
      <c r="L4437" s="0" t="str">
        <f aca="false">IF(B4437="","",VALUE(LEFT(B4437,2)))</f>
        <v/>
      </c>
      <c r="M4437" s="0" t="str">
        <f aca="false">IF(A4437="","",IF(COUNTIFS($C$2:$C$5001,C4437,$J$2:$J$5001,J4437,$A$2:$A$5001,"&lt;"&amp;A4437)=0,1,0))</f>
        <v/>
      </c>
    </row>
    <row r="4438" customFormat="false" ht="15" hidden="false" customHeight="false" outlineLevel="0" collapsed="false">
      <c r="A4438" s="27"/>
      <c r="F4438" s="28"/>
      <c r="J4438" s="0" t="str">
        <f aca="false">IF(A4438="","",YEAR(A4438))</f>
        <v/>
      </c>
      <c r="K4438" s="0" t="str">
        <f aca="false">IF(A4438="","",MONTH(A4438))</f>
        <v/>
      </c>
      <c r="L4438" s="0" t="str">
        <f aca="false">IF(B4438="","",VALUE(LEFT(B4438,2)))</f>
        <v/>
      </c>
      <c r="M4438" s="0" t="str">
        <f aca="false">IF(A4438="","",IF(COUNTIFS($C$2:$C$5001,C4438,$J$2:$J$5001,J4438,$A$2:$A$5001,"&lt;"&amp;A4438)=0,1,0))</f>
        <v/>
      </c>
    </row>
    <row r="4439" customFormat="false" ht="15" hidden="false" customHeight="false" outlineLevel="0" collapsed="false">
      <c r="A4439" s="27"/>
      <c r="F4439" s="28"/>
      <c r="J4439" s="0" t="str">
        <f aca="false">IF(A4439="","",YEAR(A4439))</f>
        <v/>
      </c>
      <c r="K4439" s="0" t="str">
        <f aca="false">IF(A4439="","",MONTH(A4439))</f>
        <v/>
      </c>
      <c r="L4439" s="0" t="str">
        <f aca="false">IF(B4439="","",VALUE(LEFT(B4439,2)))</f>
        <v/>
      </c>
      <c r="M4439" s="0" t="str">
        <f aca="false">IF(A4439="","",IF(COUNTIFS($C$2:$C$5001,C4439,$J$2:$J$5001,J4439,$A$2:$A$5001,"&lt;"&amp;A4439)=0,1,0))</f>
        <v/>
      </c>
    </row>
    <row r="4440" customFormat="false" ht="15" hidden="false" customHeight="false" outlineLevel="0" collapsed="false">
      <c r="A4440" s="27"/>
      <c r="F4440" s="28"/>
      <c r="J4440" s="0" t="str">
        <f aca="false">IF(A4440="","",YEAR(A4440))</f>
        <v/>
      </c>
      <c r="K4440" s="0" t="str">
        <f aca="false">IF(A4440="","",MONTH(A4440))</f>
        <v/>
      </c>
      <c r="L4440" s="0" t="str">
        <f aca="false">IF(B4440="","",VALUE(LEFT(B4440,2)))</f>
        <v/>
      </c>
      <c r="M4440" s="0" t="str">
        <f aca="false">IF(A4440="","",IF(COUNTIFS($C$2:$C$5001,C4440,$J$2:$J$5001,J4440,$A$2:$A$5001,"&lt;"&amp;A4440)=0,1,0))</f>
        <v/>
      </c>
    </row>
    <row r="4441" customFormat="false" ht="15" hidden="false" customHeight="false" outlineLevel="0" collapsed="false">
      <c r="A4441" s="27"/>
      <c r="F4441" s="28"/>
      <c r="J4441" s="0" t="str">
        <f aca="false">IF(A4441="","",YEAR(A4441))</f>
        <v/>
      </c>
      <c r="K4441" s="0" t="str">
        <f aca="false">IF(A4441="","",MONTH(A4441))</f>
        <v/>
      </c>
      <c r="L4441" s="0" t="str">
        <f aca="false">IF(B4441="","",VALUE(LEFT(B4441,2)))</f>
        <v/>
      </c>
      <c r="M4441" s="0" t="str">
        <f aca="false">IF(A4441="","",IF(COUNTIFS($C$2:$C$5001,C4441,$J$2:$J$5001,J4441,$A$2:$A$5001,"&lt;"&amp;A4441)=0,1,0))</f>
        <v/>
      </c>
    </row>
    <row r="4442" customFormat="false" ht="15" hidden="false" customHeight="false" outlineLevel="0" collapsed="false">
      <c r="A4442" s="27"/>
      <c r="F4442" s="28"/>
      <c r="J4442" s="0" t="str">
        <f aca="false">IF(A4442="","",YEAR(A4442))</f>
        <v/>
      </c>
      <c r="K4442" s="0" t="str">
        <f aca="false">IF(A4442="","",MONTH(A4442))</f>
        <v/>
      </c>
      <c r="L4442" s="0" t="str">
        <f aca="false">IF(B4442="","",VALUE(LEFT(B4442,2)))</f>
        <v/>
      </c>
      <c r="M4442" s="0" t="str">
        <f aca="false">IF(A4442="","",IF(COUNTIFS($C$2:$C$5001,C4442,$J$2:$J$5001,J4442,$A$2:$A$5001,"&lt;"&amp;A4442)=0,1,0))</f>
        <v/>
      </c>
    </row>
    <row r="4443" customFormat="false" ht="15" hidden="false" customHeight="false" outlineLevel="0" collapsed="false">
      <c r="A4443" s="27"/>
      <c r="F4443" s="28"/>
      <c r="J4443" s="0" t="str">
        <f aca="false">IF(A4443="","",YEAR(A4443))</f>
        <v/>
      </c>
      <c r="K4443" s="0" t="str">
        <f aca="false">IF(A4443="","",MONTH(A4443))</f>
        <v/>
      </c>
      <c r="L4443" s="0" t="str">
        <f aca="false">IF(B4443="","",VALUE(LEFT(B4443,2)))</f>
        <v/>
      </c>
      <c r="M4443" s="0" t="str">
        <f aca="false">IF(A4443="","",IF(COUNTIFS($C$2:$C$5001,C4443,$J$2:$J$5001,J4443,$A$2:$A$5001,"&lt;"&amp;A4443)=0,1,0))</f>
        <v/>
      </c>
    </row>
    <row r="4444" customFormat="false" ht="15" hidden="false" customHeight="false" outlineLevel="0" collapsed="false">
      <c r="A4444" s="27"/>
      <c r="F4444" s="28"/>
      <c r="J4444" s="0" t="str">
        <f aca="false">IF(A4444="","",YEAR(A4444))</f>
        <v/>
      </c>
      <c r="K4444" s="0" t="str">
        <f aca="false">IF(A4444="","",MONTH(A4444))</f>
        <v/>
      </c>
      <c r="L4444" s="0" t="str">
        <f aca="false">IF(B4444="","",VALUE(LEFT(B4444,2)))</f>
        <v/>
      </c>
      <c r="M4444" s="0" t="str">
        <f aca="false">IF(A4444="","",IF(COUNTIFS($C$2:$C$5001,C4444,$J$2:$J$5001,J4444,$A$2:$A$5001,"&lt;"&amp;A4444)=0,1,0))</f>
        <v/>
      </c>
    </row>
    <row r="4445" customFormat="false" ht="15" hidden="false" customHeight="false" outlineLevel="0" collapsed="false">
      <c r="A4445" s="27"/>
      <c r="F4445" s="28"/>
      <c r="J4445" s="0" t="str">
        <f aca="false">IF(A4445="","",YEAR(A4445))</f>
        <v/>
      </c>
      <c r="K4445" s="0" t="str">
        <f aca="false">IF(A4445="","",MONTH(A4445))</f>
        <v/>
      </c>
      <c r="L4445" s="0" t="str">
        <f aca="false">IF(B4445="","",VALUE(LEFT(B4445,2)))</f>
        <v/>
      </c>
      <c r="M4445" s="0" t="str">
        <f aca="false">IF(A4445="","",IF(COUNTIFS($C$2:$C$5001,C4445,$J$2:$J$5001,J4445,$A$2:$A$5001,"&lt;"&amp;A4445)=0,1,0))</f>
        <v/>
      </c>
    </row>
    <row r="4446" customFormat="false" ht="15" hidden="false" customHeight="false" outlineLevel="0" collapsed="false">
      <c r="A4446" s="27"/>
      <c r="F4446" s="28"/>
      <c r="J4446" s="0" t="str">
        <f aca="false">IF(A4446="","",YEAR(A4446))</f>
        <v/>
      </c>
      <c r="K4446" s="0" t="str">
        <f aca="false">IF(A4446="","",MONTH(A4446))</f>
        <v/>
      </c>
      <c r="L4446" s="0" t="str">
        <f aca="false">IF(B4446="","",VALUE(LEFT(B4446,2)))</f>
        <v/>
      </c>
      <c r="M4446" s="0" t="str">
        <f aca="false">IF(A4446="","",IF(COUNTIFS($C$2:$C$5001,C4446,$J$2:$J$5001,J4446,$A$2:$A$5001,"&lt;"&amp;A4446)=0,1,0))</f>
        <v/>
      </c>
    </row>
    <row r="4447" customFormat="false" ht="15" hidden="false" customHeight="false" outlineLevel="0" collapsed="false">
      <c r="A4447" s="27"/>
      <c r="F4447" s="28"/>
      <c r="J4447" s="0" t="str">
        <f aca="false">IF(A4447="","",YEAR(A4447))</f>
        <v/>
      </c>
      <c r="K4447" s="0" t="str">
        <f aca="false">IF(A4447="","",MONTH(A4447))</f>
        <v/>
      </c>
      <c r="L4447" s="0" t="str">
        <f aca="false">IF(B4447="","",VALUE(LEFT(B4447,2)))</f>
        <v/>
      </c>
      <c r="M4447" s="0" t="str">
        <f aca="false">IF(A4447="","",IF(COUNTIFS($C$2:$C$5001,C4447,$J$2:$J$5001,J4447,$A$2:$A$5001,"&lt;"&amp;A4447)=0,1,0))</f>
        <v/>
      </c>
    </row>
    <row r="4448" customFormat="false" ht="15" hidden="false" customHeight="false" outlineLevel="0" collapsed="false">
      <c r="A4448" s="27"/>
      <c r="F4448" s="28"/>
      <c r="J4448" s="0" t="str">
        <f aca="false">IF(A4448="","",YEAR(A4448))</f>
        <v/>
      </c>
      <c r="K4448" s="0" t="str">
        <f aca="false">IF(A4448="","",MONTH(A4448))</f>
        <v/>
      </c>
      <c r="L4448" s="0" t="str">
        <f aca="false">IF(B4448="","",VALUE(LEFT(B4448,2)))</f>
        <v/>
      </c>
      <c r="M4448" s="0" t="str">
        <f aca="false">IF(A4448="","",IF(COUNTIFS($C$2:$C$5001,C4448,$J$2:$J$5001,J4448,$A$2:$A$5001,"&lt;"&amp;A4448)=0,1,0))</f>
        <v/>
      </c>
    </row>
    <row r="4449" customFormat="false" ht="15" hidden="false" customHeight="false" outlineLevel="0" collapsed="false">
      <c r="A4449" s="27"/>
      <c r="F4449" s="28"/>
      <c r="J4449" s="0" t="str">
        <f aca="false">IF(A4449="","",YEAR(A4449))</f>
        <v/>
      </c>
      <c r="K4449" s="0" t="str">
        <f aca="false">IF(A4449="","",MONTH(A4449))</f>
        <v/>
      </c>
      <c r="L4449" s="0" t="str">
        <f aca="false">IF(B4449="","",VALUE(LEFT(B4449,2)))</f>
        <v/>
      </c>
      <c r="M4449" s="0" t="str">
        <f aca="false">IF(A4449="","",IF(COUNTIFS($C$2:$C$5001,C4449,$J$2:$J$5001,J4449,$A$2:$A$5001,"&lt;"&amp;A4449)=0,1,0))</f>
        <v/>
      </c>
    </row>
    <row r="4450" customFormat="false" ht="15" hidden="false" customHeight="false" outlineLevel="0" collapsed="false">
      <c r="A4450" s="27"/>
      <c r="F4450" s="28"/>
      <c r="J4450" s="0" t="str">
        <f aca="false">IF(A4450="","",YEAR(A4450))</f>
        <v/>
      </c>
      <c r="K4450" s="0" t="str">
        <f aca="false">IF(A4450="","",MONTH(A4450))</f>
        <v/>
      </c>
      <c r="L4450" s="0" t="str">
        <f aca="false">IF(B4450="","",VALUE(LEFT(B4450,2)))</f>
        <v/>
      </c>
      <c r="M4450" s="0" t="str">
        <f aca="false">IF(A4450="","",IF(COUNTIFS($C$2:$C$5001,C4450,$J$2:$J$5001,J4450,$A$2:$A$5001,"&lt;"&amp;A4450)=0,1,0))</f>
        <v/>
      </c>
    </row>
    <row r="4451" customFormat="false" ht="15" hidden="false" customHeight="false" outlineLevel="0" collapsed="false">
      <c r="A4451" s="27"/>
      <c r="F4451" s="28"/>
      <c r="J4451" s="0" t="str">
        <f aca="false">IF(A4451="","",YEAR(A4451))</f>
        <v/>
      </c>
      <c r="K4451" s="0" t="str">
        <f aca="false">IF(A4451="","",MONTH(A4451))</f>
        <v/>
      </c>
      <c r="L4451" s="0" t="str">
        <f aca="false">IF(B4451="","",VALUE(LEFT(B4451,2)))</f>
        <v/>
      </c>
      <c r="M4451" s="0" t="str">
        <f aca="false">IF(A4451="","",IF(COUNTIFS($C$2:$C$5001,C4451,$J$2:$J$5001,J4451,$A$2:$A$5001,"&lt;"&amp;A4451)=0,1,0))</f>
        <v/>
      </c>
    </row>
    <row r="4452" customFormat="false" ht="15" hidden="false" customHeight="false" outlineLevel="0" collapsed="false">
      <c r="A4452" s="27"/>
      <c r="F4452" s="28"/>
      <c r="J4452" s="0" t="str">
        <f aca="false">IF(A4452="","",YEAR(A4452))</f>
        <v/>
      </c>
      <c r="K4452" s="0" t="str">
        <f aca="false">IF(A4452="","",MONTH(A4452))</f>
        <v/>
      </c>
      <c r="L4452" s="0" t="str">
        <f aca="false">IF(B4452="","",VALUE(LEFT(B4452,2)))</f>
        <v/>
      </c>
      <c r="M4452" s="0" t="str">
        <f aca="false">IF(A4452="","",IF(COUNTIFS($C$2:$C$5001,C4452,$J$2:$J$5001,J4452,$A$2:$A$5001,"&lt;"&amp;A4452)=0,1,0))</f>
        <v/>
      </c>
    </row>
    <row r="4453" customFormat="false" ht="15" hidden="false" customHeight="false" outlineLevel="0" collapsed="false">
      <c r="A4453" s="27"/>
      <c r="F4453" s="28"/>
      <c r="J4453" s="0" t="str">
        <f aca="false">IF(A4453="","",YEAR(A4453))</f>
        <v/>
      </c>
      <c r="K4453" s="0" t="str">
        <f aca="false">IF(A4453="","",MONTH(A4453))</f>
        <v/>
      </c>
      <c r="L4453" s="0" t="str">
        <f aca="false">IF(B4453="","",VALUE(LEFT(B4453,2)))</f>
        <v/>
      </c>
      <c r="M4453" s="0" t="str">
        <f aca="false">IF(A4453="","",IF(COUNTIFS($C$2:$C$5001,C4453,$J$2:$J$5001,J4453,$A$2:$A$5001,"&lt;"&amp;A4453)=0,1,0))</f>
        <v/>
      </c>
    </row>
    <row r="4454" customFormat="false" ht="15" hidden="false" customHeight="false" outlineLevel="0" collapsed="false">
      <c r="A4454" s="27"/>
      <c r="F4454" s="28"/>
      <c r="J4454" s="0" t="str">
        <f aca="false">IF(A4454="","",YEAR(A4454))</f>
        <v/>
      </c>
      <c r="K4454" s="0" t="str">
        <f aca="false">IF(A4454="","",MONTH(A4454))</f>
        <v/>
      </c>
      <c r="L4454" s="0" t="str">
        <f aca="false">IF(B4454="","",VALUE(LEFT(B4454,2)))</f>
        <v/>
      </c>
      <c r="M4454" s="0" t="str">
        <f aca="false">IF(A4454="","",IF(COUNTIFS($C$2:$C$5001,C4454,$J$2:$J$5001,J4454,$A$2:$A$5001,"&lt;"&amp;A4454)=0,1,0))</f>
        <v/>
      </c>
    </row>
    <row r="4455" customFormat="false" ht="15" hidden="false" customHeight="false" outlineLevel="0" collapsed="false">
      <c r="A4455" s="27"/>
      <c r="F4455" s="28"/>
      <c r="J4455" s="0" t="str">
        <f aca="false">IF(A4455="","",YEAR(A4455))</f>
        <v/>
      </c>
      <c r="K4455" s="0" t="str">
        <f aca="false">IF(A4455="","",MONTH(A4455))</f>
        <v/>
      </c>
      <c r="L4455" s="0" t="str">
        <f aca="false">IF(B4455="","",VALUE(LEFT(B4455,2)))</f>
        <v/>
      </c>
      <c r="M4455" s="0" t="str">
        <f aca="false">IF(A4455="","",IF(COUNTIFS($C$2:$C$5001,C4455,$J$2:$J$5001,J4455,$A$2:$A$5001,"&lt;"&amp;A4455)=0,1,0))</f>
        <v/>
      </c>
    </row>
    <row r="4456" customFormat="false" ht="15" hidden="false" customHeight="false" outlineLevel="0" collapsed="false">
      <c r="A4456" s="27"/>
      <c r="F4456" s="28"/>
      <c r="J4456" s="0" t="str">
        <f aca="false">IF(A4456="","",YEAR(A4456))</f>
        <v/>
      </c>
      <c r="K4456" s="0" t="str">
        <f aca="false">IF(A4456="","",MONTH(A4456))</f>
        <v/>
      </c>
      <c r="L4456" s="0" t="str">
        <f aca="false">IF(B4456="","",VALUE(LEFT(B4456,2)))</f>
        <v/>
      </c>
      <c r="M4456" s="0" t="str">
        <f aca="false">IF(A4456="","",IF(COUNTIFS($C$2:$C$5001,C4456,$J$2:$J$5001,J4456,$A$2:$A$5001,"&lt;"&amp;A4456)=0,1,0))</f>
        <v/>
      </c>
    </row>
    <row r="4457" customFormat="false" ht="15" hidden="false" customHeight="false" outlineLevel="0" collapsed="false">
      <c r="A4457" s="27"/>
      <c r="F4457" s="28"/>
      <c r="J4457" s="0" t="str">
        <f aca="false">IF(A4457="","",YEAR(A4457))</f>
        <v/>
      </c>
      <c r="K4457" s="0" t="str">
        <f aca="false">IF(A4457="","",MONTH(A4457))</f>
        <v/>
      </c>
      <c r="L4457" s="0" t="str">
        <f aca="false">IF(B4457="","",VALUE(LEFT(B4457,2)))</f>
        <v/>
      </c>
      <c r="M4457" s="0" t="str">
        <f aca="false">IF(A4457="","",IF(COUNTIFS($C$2:$C$5001,C4457,$J$2:$J$5001,J4457,$A$2:$A$5001,"&lt;"&amp;A4457)=0,1,0))</f>
        <v/>
      </c>
    </row>
    <row r="4458" customFormat="false" ht="15" hidden="false" customHeight="false" outlineLevel="0" collapsed="false">
      <c r="A4458" s="27"/>
      <c r="F4458" s="28"/>
      <c r="J4458" s="0" t="str">
        <f aca="false">IF(A4458="","",YEAR(A4458))</f>
        <v/>
      </c>
      <c r="K4458" s="0" t="str">
        <f aca="false">IF(A4458="","",MONTH(A4458))</f>
        <v/>
      </c>
      <c r="L4458" s="0" t="str">
        <f aca="false">IF(B4458="","",VALUE(LEFT(B4458,2)))</f>
        <v/>
      </c>
      <c r="M4458" s="0" t="str">
        <f aca="false">IF(A4458="","",IF(COUNTIFS($C$2:$C$5001,C4458,$J$2:$J$5001,J4458,$A$2:$A$5001,"&lt;"&amp;A4458)=0,1,0))</f>
        <v/>
      </c>
    </row>
    <row r="4459" customFormat="false" ht="15" hidden="false" customHeight="false" outlineLevel="0" collapsed="false">
      <c r="A4459" s="27"/>
      <c r="F4459" s="28"/>
      <c r="J4459" s="0" t="str">
        <f aca="false">IF(A4459="","",YEAR(A4459))</f>
        <v/>
      </c>
      <c r="K4459" s="0" t="str">
        <f aca="false">IF(A4459="","",MONTH(A4459))</f>
        <v/>
      </c>
      <c r="L4459" s="0" t="str">
        <f aca="false">IF(B4459="","",VALUE(LEFT(B4459,2)))</f>
        <v/>
      </c>
      <c r="M4459" s="0" t="str">
        <f aca="false">IF(A4459="","",IF(COUNTIFS($C$2:$C$5001,C4459,$J$2:$J$5001,J4459,$A$2:$A$5001,"&lt;"&amp;A4459)=0,1,0))</f>
        <v/>
      </c>
    </row>
    <row r="4460" customFormat="false" ht="15" hidden="false" customHeight="false" outlineLevel="0" collapsed="false">
      <c r="A4460" s="27"/>
      <c r="F4460" s="28"/>
      <c r="J4460" s="0" t="str">
        <f aca="false">IF(A4460="","",YEAR(A4460))</f>
        <v/>
      </c>
      <c r="K4460" s="0" t="str">
        <f aca="false">IF(A4460="","",MONTH(A4460))</f>
        <v/>
      </c>
      <c r="L4460" s="0" t="str">
        <f aca="false">IF(B4460="","",VALUE(LEFT(B4460,2)))</f>
        <v/>
      </c>
      <c r="M4460" s="0" t="str">
        <f aca="false">IF(A4460="","",IF(COUNTIFS($C$2:$C$5001,C4460,$J$2:$J$5001,J4460,$A$2:$A$5001,"&lt;"&amp;A4460)=0,1,0))</f>
        <v/>
      </c>
    </row>
    <row r="4461" customFormat="false" ht="15" hidden="false" customHeight="false" outlineLevel="0" collapsed="false">
      <c r="A4461" s="27"/>
      <c r="F4461" s="28"/>
      <c r="J4461" s="0" t="str">
        <f aca="false">IF(A4461="","",YEAR(A4461))</f>
        <v/>
      </c>
      <c r="K4461" s="0" t="str">
        <f aca="false">IF(A4461="","",MONTH(A4461))</f>
        <v/>
      </c>
      <c r="L4461" s="0" t="str">
        <f aca="false">IF(B4461="","",VALUE(LEFT(B4461,2)))</f>
        <v/>
      </c>
      <c r="M4461" s="0" t="str">
        <f aca="false">IF(A4461="","",IF(COUNTIFS($C$2:$C$5001,C4461,$J$2:$J$5001,J4461,$A$2:$A$5001,"&lt;"&amp;A4461)=0,1,0))</f>
        <v/>
      </c>
    </row>
    <row r="4462" customFormat="false" ht="15" hidden="false" customHeight="false" outlineLevel="0" collapsed="false">
      <c r="A4462" s="27"/>
      <c r="F4462" s="28"/>
      <c r="J4462" s="0" t="str">
        <f aca="false">IF(A4462="","",YEAR(A4462))</f>
        <v/>
      </c>
      <c r="K4462" s="0" t="str">
        <f aca="false">IF(A4462="","",MONTH(A4462))</f>
        <v/>
      </c>
      <c r="L4462" s="0" t="str">
        <f aca="false">IF(B4462="","",VALUE(LEFT(B4462,2)))</f>
        <v/>
      </c>
      <c r="M4462" s="0" t="str">
        <f aca="false">IF(A4462="","",IF(COUNTIFS($C$2:$C$5001,C4462,$J$2:$J$5001,J4462,$A$2:$A$5001,"&lt;"&amp;A4462)=0,1,0))</f>
        <v/>
      </c>
    </row>
    <row r="4463" customFormat="false" ht="15" hidden="false" customHeight="false" outlineLevel="0" collapsed="false">
      <c r="A4463" s="27"/>
      <c r="F4463" s="28"/>
      <c r="J4463" s="0" t="str">
        <f aca="false">IF(A4463="","",YEAR(A4463))</f>
        <v/>
      </c>
      <c r="K4463" s="0" t="str">
        <f aca="false">IF(A4463="","",MONTH(A4463))</f>
        <v/>
      </c>
      <c r="L4463" s="0" t="str">
        <f aca="false">IF(B4463="","",VALUE(LEFT(B4463,2)))</f>
        <v/>
      </c>
      <c r="M4463" s="0" t="str">
        <f aca="false">IF(A4463="","",IF(COUNTIFS($C$2:$C$5001,C4463,$J$2:$J$5001,J4463,$A$2:$A$5001,"&lt;"&amp;A4463)=0,1,0))</f>
        <v/>
      </c>
    </row>
    <row r="4464" customFormat="false" ht="15" hidden="false" customHeight="false" outlineLevel="0" collapsed="false">
      <c r="A4464" s="27"/>
      <c r="F4464" s="28"/>
      <c r="J4464" s="0" t="str">
        <f aca="false">IF(A4464="","",YEAR(A4464))</f>
        <v/>
      </c>
      <c r="K4464" s="0" t="str">
        <f aca="false">IF(A4464="","",MONTH(A4464))</f>
        <v/>
      </c>
      <c r="L4464" s="0" t="str">
        <f aca="false">IF(B4464="","",VALUE(LEFT(B4464,2)))</f>
        <v/>
      </c>
      <c r="M4464" s="0" t="str">
        <f aca="false">IF(A4464="","",IF(COUNTIFS($C$2:$C$5001,C4464,$J$2:$J$5001,J4464,$A$2:$A$5001,"&lt;"&amp;A4464)=0,1,0))</f>
        <v/>
      </c>
    </row>
    <row r="4465" customFormat="false" ht="15" hidden="false" customHeight="false" outlineLevel="0" collapsed="false">
      <c r="A4465" s="27"/>
      <c r="F4465" s="28"/>
      <c r="J4465" s="0" t="str">
        <f aca="false">IF(A4465="","",YEAR(A4465))</f>
        <v/>
      </c>
      <c r="K4465" s="0" t="str">
        <f aca="false">IF(A4465="","",MONTH(A4465))</f>
        <v/>
      </c>
      <c r="L4465" s="0" t="str">
        <f aca="false">IF(B4465="","",VALUE(LEFT(B4465,2)))</f>
        <v/>
      </c>
      <c r="M4465" s="0" t="str">
        <f aca="false">IF(A4465="","",IF(COUNTIFS($C$2:$C$5001,C4465,$J$2:$J$5001,J4465,$A$2:$A$5001,"&lt;"&amp;A4465)=0,1,0))</f>
        <v/>
      </c>
    </row>
    <row r="4466" customFormat="false" ht="15" hidden="false" customHeight="false" outlineLevel="0" collapsed="false">
      <c r="A4466" s="27"/>
      <c r="F4466" s="28"/>
      <c r="J4466" s="0" t="str">
        <f aca="false">IF(A4466="","",YEAR(A4466))</f>
        <v/>
      </c>
      <c r="K4466" s="0" t="str">
        <f aca="false">IF(A4466="","",MONTH(A4466))</f>
        <v/>
      </c>
      <c r="L4466" s="0" t="str">
        <f aca="false">IF(B4466="","",VALUE(LEFT(B4466,2)))</f>
        <v/>
      </c>
      <c r="M4466" s="0" t="str">
        <f aca="false">IF(A4466="","",IF(COUNTIFS($C$2:$C$5001,C4466,$J$2:$J$5001,J4466,$A$2:$A$5001,"&lt;"&amp;A4466)=0,1,0))</f>
        <v/>
      </c>
    </row>
    <row r="4467" customFormat="false" ht="15" hidden="false" customHeight="false" outlineLevel="0" collapsed="false">
      <c r="A4467" s="27"/>
      <c r="F4467" s="28"/>
      <c r="J4467" s="0" t="str">
        <f aca="false">IF(A4467="","",YEAR(A4467))</f>
        <v/>
      </c>
      <c r="K4467" s="0" t="str">
        <f aca="false">IF(A4467="","",MONTH(A4467))</f>
        <v/>
      </c>
      <c r="L4467" s="0" t="str">
        <f aca="false">IF(B4467="","",VALUE(LEFT(B4467,2)))</f>
        <v/>
      </c>
      <c r="M4467" s="0" t="str">
        <f aca="false">IF(A4467="","",IF(COUNTIFS($C$2:$C$5001,C4467,$J$2:$J$5001,J4467,$A$2:$A$5001,"&lt;"&amp;A4467)=0,1,0))</f>
        <v/>
      </c>
    </row>
    <row r="4468" customFormat="false" ht="15" hidden="false" customHeight="false" outlineLevel="0" collapsed="false">
      <c r="A4468" s="27"/>
      <c r="F4468" s="28"/>
      <c r="J4468" s="0" t="str">
        <f aca="false">IF(A4468="","",YEAR(A4468))</f>
        <v/>
      </c>
      <c r="K4468" s="0" t="str">
        <f aca="false">IF(A4468="","",MONTH(A4468))</f>
        <v/>
      </c>
      <c r="L4468" s="0" t="str">
        <f aca="false">IF(B4468="","",VALUE(LEFT(B4468,2)))</f>
        <v/>
      </c>
      <c r="M4468" s="0" t="str">
        <f aca="false">IF(A4468="","",IF(COUNTIFS($C$2:$C$5001,C4468,$J$2:$J$5001,J4468,$A$2:$A$5001,"&lt;"&amp;A4468)=0,1,0))</f>
        <v/>
      </c>
    </row>
    <row r="4469" customFormat="false" ht="15" hidden="false" customHeight="false" outlineLevel="0" collapsed="false">
      <c r="A4469" s="27"/>
      <c r="F4469" s="28"/>
      <c r="J4469" s="0" t="str">
        <f aca="false">IF(A4469="","",YEAR(A4469))</f>
        <v/>
      </c>
      <c r="K4469" s="0" t="str">
        <f aca="false">IF(A4469="","",MONTH(A4469))</f>
        <v/>
      </c>
      <c r="L4469" s="0" t="str">
        <f aca="false">IF(B4469="","",VALUE(LEFT(B4469,2)))</f>
        <v/>
      </c>
      <c r="M4469" s="0" t="str">
        <f aca="false">IF(A4469="","",IF(COUNTIFS($C$2:$C$5001,C4469,$J$2:$J$5001,J4469,$A$2:$A$5001,"&lt;"&amp;A4469)=0,1,0))</f>
        <v/>
      </c>
    </row>
    <row r="4470" customFormat="false" ht="15" hidden="false" customHeight="false" outlineLevel="0" collapsed="false">
      <c r="A4470" s="27"/>
      <c r="F4470" s="28"/>
      <c r="J4470" s="0" t="str">
        <f aca="false">IF(A4470="","",YEAR(A4470))</f>
        <v/>
      </c>
      <c r="K4470" s="0" t="str">
        <f aca="false">IF(A4470="","",MONTH(A4470))</f>
        <v/>
      </c>
      <c r="L4470" s="0" t="str">
        <f aca="false">IF(B4470="","",VALUE(LEFT(B4470,2)))</f>
        <v/>
      </c>
      <c r="M4470" s="0" t="str">
        <f aca="false">IF(A4470="","",IF(COUNTIFS($C$2:$C$5001,C4470,$J$2:$J$5001,J4470,$A$2:$A$5001,"&lt;"&amp;A4470)=0,1,0))</f>
        <v/>
      </c>
    </row>
    <row r="4471" customFormat="false" ht="15" hidden="false" customHeight="false" outlineLevel="0" collapsed="false">
      <c r="A4471" s="27"/>
      <c r="F4471" s="28"/>
      <c r="J4471" s="0" t="str">
        <f aca="false">IF(A4471="","",YEAR(A4471))</f>
        <v/>
      </c>
      <c r="K4471" s="0" t="str">
        <f aca="false">IF(A4471="","",MONTH(A4471))</f>
        <v/>
      </c>
      <c r="L4471" s="0" t="str">
        <f aca="false">IF(B4471="","",VALUE(LEFT(B4471,2)))</f>
        <v/>
      </c>
      <c r="M4471" s="0" t="str">
        <f aca="false">IF(A4471="","",IF(COUNTIFS($C$2:$C$5001,C4471,$J$2:$J$5001,J4471,$A$2:$A$5001,"&lt;"&amp;A4471)=0,1,0))</f>
        <v/>
      </c>
    </row>
    <row r="4472" customFormat="false" ht="15" hidden="false" customHeight="false" outlineLevel="0" collapsed="false">
      <c r="A4472" s="27"/>
      <c r="F4472" s="28"/>
      <c r="J4472" s="0" t="str">
        <f aca="false">IF(A4472="","",YEAR(A4472))</f>
        <v/>
      </c>
      <c r="K4472" s="0" t="str">
        <f aca="false">IF(A4472="","",MONTH(A4472))</f>
        <v/>
      </c>
      <c r="L4472" s="0" t="str">
        <f aca="false">IF(B4472="","",VALUE(LEFT(B4472,2)))</f>
        <v/>
      </c>
      <c r="M4472" s="0" t="str">
        <f aca="false">IF(A4472="","",IF(COUNTIFS($C$2:$C$5001,C4472,$J$2:$J$5001,J4472,$A$2:$A$5001,"&lt;"&amp;A4472)=0,1,0))</f>
        <v/>
      </c>
    </row>
    <row r="4473" customFormat="false" ht="15" hidden="false" customHeight="false" outlineLevel="0" collapsed="false">
      <c r="A4473" s="27"/>
      <c r="F4473" s="28"/>
      <c r="J4473" s="0" t="str">
        <f aca="false">IF(A4473="","",YEAR(A4473))</f>
        <v/>
      </c>
      <c r="K4473" s="0" t="str">
        <f aca="false">IF(A4473="","",MONTH(A4473))</f>
        <v/>
      </c>
      <c r="L4473" s="0" t="str">
        <f aca="false">IF(B4473="","",VALUE(LEFT(B4473,2)))</f>
        <v/>
      </c>
      <c r="M4473" s="0" t="str">
        <f aca="false">IF(A4473="","",IF(COUNTIFS($C$2:$C$5001,C4473,$J$2:$J$5001,J4473,$A$2:$A$5001,"&lt;"&amp;A4473)=0,1,0))</f>
        <v/>
      </c>
    </row>
    <row r="4474" customFormat="false" ht="15" hidden="false" customHeight="false" outlineLevel="0" collapsed="false">
      <c r="A4474" s="27"/>
      <c r="F4474" s="28"/>
      <c r="J4474" s="0" t="str">
        <f aca="false">IF(A4474="","",YEAR(A4474))</f>
        <v/>
      </c>
      <c r="K4474" s="0" t="str">
        <f aca="false">IF(A4474="","",MONTH(A4474))</f>
        <v/>
      </c>
      <c r="L4474" s="0" t="str">
        <f aca="false">IF(B4474="","",VALUE(LEFT(B4474,2)))</f>
        <v/>
      </c>
      <c r="M4474" s="0" t="str">
        <f aca="false">IF(A4474="","",IF(COUNTIFS($C$2:$C$5001,C4474,$J$2:$J$5001,J4474,$A$2:$A$5001,"&lt;"&amp;A4474)=0,1,0))</f>
        <v/>
      </c>
    </row>
    <row r="4475" customFormat="false" ht="15" hidden="false" customHeight="false" outlineLevel="0" collapsed="false">
      <c r="A4475" s="27"/>
      <c r="F4475" s="28"/>
      <c r="J4475" s="0" t="str">
        <f aca="false">IF(A4475="","",YEAR(A4475))</f>
        <v/>
      </c>
      <c r="K4475" s="0" t="str">
        <f aca="false">IF(A4475="","",MONTH(A4475))</f>
        <v/>
      </c>
      <c r="L4475" s="0" t="str">
        <f aca="false">IF(B4475="","",VALUE(LEFT(B4475,2)))</f>
        <v/>
      </c>
      <c r="M4475" s="0" t="str">
        <f aca="false">IF(A4475="","",IF(COUNTIFS($C$2:$C$5001,C4475,$J$2:$J$5001,J4475,$A$2:$A$5001,"&lt;"&amp;A4475)=0,1,0))</f>
        <v/>
      </c>
    </row>
    <row r="4476" customFormat="false" ht="15" hidden="false" customHeight="false" outlineLevel="0" collapsed="false">
      <c r="A4476" s="27"/>
      <c r="F4476" s="28"/>
      <c r="J4476" s="0" t="str">
        <f aca="false">IF(A4476="","",YEAR(A4476))</f>
        <v/>
      </c>
      <c r="K4476" s="0" t="str">
        <f aca="false">IF(A4476="","",MONTH(A4476))</f>
        <v/>
      </c>
      <c r="L4476" s="0" t="str">
        <f aca="false">IF(B4476="","",VALUE(LEFT(B4476,2)))</f>
        <v/>
      </c>
      <c r="M4476" s="0" t="str">
        <f aca="false">IF(A4476="","",IF(COUNTIFS($C$2:$C$5001,C4476,$J$2:$J$5001,J4476,$A$2:$A$5001,"&lt;"&amp;A4476)=0,1,0))</f>
        <v/>
      </c>
    </row>
    <row r="4477" customFormat="false" ht="15" hidden="false" customHeight="false" outlineLevel="0" collapsed="false">
      <c r="A4477" s="27"/>
      <c r="F4477" s="28"/>
      <c r="J4477" s="0" t="str">
        <f aca="false">IF(A4477="","",YEAR(A4477))</f>
        <v/>
      </c>
      <c r="K4477" s="0" t="str">
        <f aca="false">IF(A4477="","",MONTH(A4477))</f>
        <v/>
      </c>
      <c r="L4477" s="0" t="str">
        <f aca="false">IF(B4477="","",VALUE(LEFT(B4477,2)))</f>
        <v/>
      </c>
      <c r="M4477" s="0" t="str">
        <f aca="false">IF(A4477="","",IF(COUNTIFS($C$2:$C$5001,C4477,$J$2:$J$5001,J4477,$A$2:$A$5001,"&lt;"&amp;A4477)=0,1,0))</f>
        <v/>
      </c>
    </row>
    <row r="4478" customFormat="false" ht="15" hidden="false" customHeight="false" outlineLevel="0" collapsed="false">
      <c r="A4478" s="27"/>
      <c r="F4478" s="28"/>
      <c r="J4478" s="0" t="str">
        <f aca="false">IF(A4478="","",YEAR(A4478))</f>
        <v/>
      </c>
      <c r="K4478" s="0" t="str">
        <f aca="false">IF(A4478="","",MONTH(A4478))</f>
        <v/>
      </c>
      <c r="L4478" s="0" t="str">
        <f aca="false">IF(B4478="","",VALUE(LEFT(B4478,2)))</f>
        <v/>
      </c>
      <c r="M4478" s="0" t="str">
        <f aca="false">IF(A4478="","",IF(COUNTIFS($C$2:$C$5001,C4478,$J$2:$J$5001,J4478,$A$2:$A$5001,"&lt;"&amp;A4478)=0,1,0))</f>
        <v/>
      </c>
    </row>
    <row r="4479" customFormat="false" ht="15" hidden="false" customHeight="false" outlineLevel="0" collapsed="false">
      <c r="A4479" s="27"/>
      <c r="F4479" s="28"/>
      <c r="J4479" s="0" t="str">
        <f aca="false">IF(A4479="","",YEAR(A4479))</f>
        <v/>
      </c>
      <c r="K4479" s="0" t="str">
        <f aca="false">IF(A4479="","",MONTH(A4479))</f>
        <v/>
      </c>
      <c r="L4479" s="0" t="str">
        <f aca="false">IF(B4479="","",VALUE(LEFT(B4479,2)))</f>
        <v/>
      </c>
      <c r="M4479" s="0" t="str">
        <f aca="false">IF(A4479="","",IF(COUNTIFS($C$2:$C$5001,C4479,$J$2:$J$5001,J4479,$A$2:$A$5001,"&lt;"&amp;A4479)=0,1,0))</f>
        <v/>
      </c>
    </row>
    <row r="4480" customFormat="false" ht="15" hidden="false" customHeight="false" outlineLevel="0" collapsed="false">
      <c r="A4480" s="27"/>
      <c r="F4480" s="28"/>
      <c r="J4480" s="0" t="str">
        <f aca="false">IF(A4480="","",YEAR(A4480))</f>
        <v/>
      </c>
      <c r="K4480" s="0" t="str">
        <f aca="false">IF(A4480="","",MONTH(A4480))</f>
        <v/>
      </c>
      <c r="L4480" s="0" t="str">
        <f aca="false">IF(B4480="","",VALUE(LEFT(B4480,2)))</f>
        <v/>
      </c>
      <c r="M4480" s="0" t="str">
        <f aca="false">IF(A4480="","",IF(COUNTIFS($C$2:$C$5001,C4480,$J$2:$J$5001,J4480,$A$2:$A$5001,"&lt;"&amp;A4480)=0,1,0))</f>
        <v/>
      </c>
    </row>
    <row r="4481" customFormat="false" ht="15" hidden="false" customHeight="false" outlineLevel="0" collapsed="false">
      <c r="A4481" s="27"/>
      <c r="F4481" s="28"/>
      <c r="J4481" s="0" t="str">
        <f aca="false">IF(A4481="","",YEAR(A4481))</f>
        <v/>
      </c>
      <c r="K4481" s="0" t="str">
        <f aca="false">IF(A4481="","",MONTH(A4481))</f>
        <v/>
      </c>
      <c r="L4481" s="0" t="str">
        <f aca="false">IF(B4481="","",VALUE(LEFT(B4481,2)))</f>
        <v/>
      </c>
      <c r="M4481" s="0" t="str">
        <f aca="false">IF(A4481="","",IF(COUNTIFS($C$2:$C$5001,C4481,$J$2:$J$5001,J4481,$A$2:$A$5001,"&lt;"&amp;A4481)=0,1,0))</f>
        <v/>
      </c>
    </row>
    <row r="4482" customFormat="false" ht="15" hidden="false" customHeight="false" outlineLevel="0" collapsed="false">
      <c r="A4482" s="27"/>
      <c r="F4482" s="28"/>
      <c r="J4482" s="0" t="str">
        <f aca="false">IF(A4482="","",YEAR(A4482))</f>
        <v/>
      </c>
      <c r="K4482" s="0" t="str">
        <f aca="false">IF(A4482="","",MONTH(A4482))</f>
        <v/>
      </c>
      <c r="L4482" s="0" t="str">
        <f aca="false">IF(B4482="","",VALUE(LEFT(B4482,2)))</f>
        <v/>
      </c>
      <c r="M4482" s="0" t="str">
        <f aca="false">IF(A4482="","",IF(COUNTIFS($C$2:$C$5001,C4482,$J$2:$J$5001,J4482,$A$2:$A$5001,"&lt;"&amp;A4482)=0,1,0))</f>
        <v/>
      </c>
    </row>
    <row r="4483" customFormat="false" ht="15" hidden="false" customHeight="false" outlineLevel="0" collapsed="false">
      <c r="A4483" s="27"/>
      <c r="F4483" s="28"/>
      <c r="J4483" s="0" t="str">
        <f aca="false">IF(A4483="","",YEAR(A4483))</f>
        <v/>
      </c>
      <c r="K4483" s="0" t="str">
        <f aca="false">IF(A4483="","",MONTH(A4483))</f>
        <v/>
      </c>
      <c r="L4483" s="0" t="str">
        <f aca="false">IF(B4483="","",VALUE(LEFT(B4483,2)))</f>
        <v/>
      </c>
      <c r="M4483" s="0" t="str">
        <f aca="false">IF(A4483="","",IF(COUNTIFS($C$2:$C$5001,C4483,$J$2:$J$5001,J4483,$A$2:$A$5001,"&lt;"&amp;A4483)=0,1,0))</f>
        <v/>
      </c>
    </row>
    <row r="4484" customFormat="false" ht="15" hidden="false" customHeight="false" outlineLevel="0" collapsed="false">
      <c r="A4484" s="27"/>
      <c r="F4484" s="28"/>
      <c r="J4484" s="0" t="str">
        <f aca="false">IF(A4484="","",YEAR(A4484))</f>
        <v/>
      </c>
      <c r="K4484" s="0" t="str">
        <f aca="false">IF(A4484="","",MONTH(A4484))</f>
        <v/>
      </c>
      <c r="L4484" s="0" t="str">
        <f aca="false">IF(B4484="","",VALUE(LEFT(B4484,2)))</f>
        <v/>
      </c>
      <c r="M4484" s="0" t="str">
        <f aca="false">IF(A4484="","",IF(COUNTIFS($C$2:$C$5001,C4484,$J$2:$J$5001,J4484,$A$2:$A$5001,"&lt;"&amp;A4484)=0,1,0))</f>
        <v/>
      </c>
    </row>
    <row r="4485" customFormat="false" ht="15" hidden="false" customHeight="false" outlineLevel="0" collapsed="false">
      <c r="A4485" s="27"/>
      <c r="F4485" s="28"/>
      <c r="J4485" s="0" t="str">
        <f aca="false">IF(A4485="","",YEAR(A4485))</f>
        <v/>
      </c>
      <c r="K4485" s="0" t="str">
        <f aca="false">IF(A4485="","",MONTH(A4485))</f>
        <v/>
      </c>
      <c r="L4485" s="0" t="str">
        <f aca="false">IF(B4485="","",VALUE(LEFT(B4485,2)))</f>
        <v/>
      </c>
      <c r="M4485" s="0" t="str">
        <f aca="false">IF(A4485="","",IF(COUNTIFS($C$2:$C$5001,C4485,$J$2:$J$5001,J4485,$A$2:$A$5001,"&lt;"&amp;A4485)=0,1,0))</f>
        <v/>
      </c>
    </row>
    <row r="4486" customFormat="false" ht="15" hidden="false" customHeight="false" outlineLevel="0" collapsed="false">
      <c r="A4486" s="27"/>
      <c r="F4486" s="28"/>
      <c r="J4486" s="0" t="str">
        <f aca="false">IF(A4486="","",YEAR(A4486))</f>
        <v/>
      </c>
      <c r="K4486" s="0" t="str">
        <f aca="false">IF(A4486="","",MONTH(A4486))</f>
        <v/>
      </c>
      <c r="L4486" s="0" t="str">
        <f aca="false">IF(B4486="","",VALUE(LEFT(B4486,2)))</f>
        <v/>
      </c>
      <c r="M4486" s="0" t="str">
        <f aca="false">IF(A4486="","",IF(COUNTIFS($C$2:$C$5001,C4486,$J$2:$J$5001,J4486,$A$2:$A$5001,"&lt;"&amp;A4486)=0,1,0))</f>
        <v/>
      </c>
    </row>
    <row r="4487" customFormat="false" ht="15" hidden="false" customHeight="false" outlineLevel="0" collapsed="false">
      <c r="A4487" s="27"/>
      <c r="F4487" s="28"/>
      <c r="J4487" s="0" t="str">
        <f aca="false">IF(A4487="","",YEAR(A4487))</f>
        <v/>
      </c>
      <c r="K4487" s="0" t="str">
        <f aca="false">IF(A4487="","",MONTH(A4487))</f>
        <v/>
      </c>
      <c r="L4487" s="0" t="str">
        <f aca="false">IF(B4487="","",VALUE(LEFT(B4487,2)))</f>
        <v/>
      </c>
      <c r="M4487" s="0" t="str">
        <f aca="false">IF(A4487="","",IF(COUNTIFS($C$2:$C$5001,C4487,$J$2:$J$5001,J4487,$A$2:$A$5001,"&lt;"&amp;A4487)=0,1,0))</f>
        <v/>
      </c>
    </row>
    <row r="4488" customFormat="false" ht="15" hidden="false" customHeight="false" outlineLevel="0" collapsed="false">
      <c r="A4488" s="27"/>
      <c r="F4488" s="28"/>
      <c r="J4488" s="0" t="str">
        <f aca="false">IF(A4488="","",YEAR(A4488))</f>
        <v/>
      </c>
      <c r="K4488" s="0" t="str">
        <f aca="false">IF(A4488="","",MONTH(A4488))</f>
        <v/>
      </c>
      <c r="L4488" s="0" t="str">
        <f aca="false">IF(B4488="","",VALUE(LEFT(B4488,2)))</f>
        <v/>
      </c>
      <c r="M4488" s="0" t="str">
        <f aca="false">IF(A4488="","",IF(COUNTIFS($C$2:$C$5001,C4488,$J$2:$J$5001,J4488,$A$2:$A$5001,"&lt;"&amp;A4488)=0,1,0))</f>
        <v/>
      </c>
    </row>
    <row r="4489" customFormat="false" ht="15" hidden="false" customHeight="false" outlineLevel="0" collapsed="false">
      <c r="A4489" s="27"/>
      <c r="F4489" s="28"/>
      <c r="J4489" s="0" t="str">
        <f aca="false">IF(A4489="","",YEAR(A4489))</f>
        <v/>
      </c>
      <c r="K4489" s="0" t="str">
        <f aca="false">IF(A4489="","",MONTH(A4489))</f>
        <v/>
      </c>
      <c r="L4489" s="0" t="str">
        <f aca="false">IF(B4489="","",VALUE(LEFT(B4489,2)))</f>
        <v/>
      </c>
      <c r="M4489" s="0" t="str">
        <f aca="false">IF(A4489="","",IF(COUNTIFS($C$2:$C$5001,C4489,$J$2:$J$5001,J4489,$A$2:$A$5001,"&lt;"&amp;A4489)=0,1,0))</f>
        <v/>
      </c>
    </row>
    <row r="4490" customFormat="false" ht="15" hidden="false" customHeight="false" outlineLevel="0" collapsed="false">
      <c r="A4490" s="27"/>
      <c r="F4490" s="28"/>
      <c r="J4490" s="0" t="str">
        <f aca="false">IF(A4490="","",YEAR(A4490))</f>
        <v/>
      </c>
      <c r="K4490" s="0" t="str">
        <f aca="false">IF(A4490="","",MONTH(A4490))</f>
        <v/>
      </c>
      <c r="L4490" s="0" t="str">
        <f aca="false">IF(B4490="","",VALUE(LEFT(B4490,2)))</f>
        <v/>
      </c>
      <c r="M4490" s="0" t="str">
        <f aca="false">IF(A4490="","",IF(COUNTIFS($C$2:$C$5001,C4490,$J$2:$J$5001,J4490,$A$2:$A$5001,"&lt;"&amp;A4490)=0,1,0))</f>
        <v/>
      </c>
    </row>
    <row r="4491" customFormat="false" ht="15" hidden="false" customHeight="false" outlineLevel="0" collapsed="false">
      <c r="A4491" s="27"/>
      <c r="F4491" s="28"/>
      <c r="J4491" s="0" t="str">
        <f aca="false">IF(A4491="","",YEAR(A4491))</f>
        <v/>
      </c>
      <c r="K4491" s="0" t="str">
        <f aca="false">IF(A4491="","",MONTH(A4491))</f>
        <v/>
      </c>
      <c r="L4491" s="0" t="str">
        <f aca="false">IF(B4491="","",VALUE(LEFT(B4491,2)))</f>
        <v/>
      </c>
      <c r="M4491" s="0" t="str">
        <f aca="false">IF(A4491="","",IF(COUNTIFS($C$2:$C$5001,C4491,$J$2:$J$5001,J4491,$A$2:$A$5001,"&lt;"&amp;A4491)=0,1,0))</f>
        <v/>
      </c>
    </row>
    <row r="4492" customFormat="false" ht="15" hidden="false" customHeight="false" outlineLevel="0" collapsed="false">
      <c r="A4492" s="27"/>
      <c r="F4492" s="28"/>
      <c r="J4492" s="0" t="str">
        <f aca="false">IF(A4492="","",YEAR(A4492))</f>
        <v/>
      </c>
      <c r="K4492" s="0" t="str">
        <f aca="false">IF(A4492="","",MONTH(A4492))</f>
        <v/>
      </c>
      <c r="L4492" s="0" t="str">
        <f aca="false">IF(B4492="","",VALUE(LEFT(B4492,2)))</f>
        <v/>
      </c>
      <c r="M4492" s="0" t="str">
        <f aca="false">IF(A4492="","",IF(COUNTIFS($C$2:$C$5001,C4492,$J$2:$J$5001,J4492,$A$2:$A$5001,"&lt;"&amp;A4492)=0,1,0))</f>
        <v/>
      </c>
    </row>
    <row r="4493" customFormat="false" ht="15" hidden="false" customHeight="false" outlineLevel="0" collapsed="false">
      <c r="A4493" s="27"/>
      <c r="F4493" s="28"/>
      <c r="J4493" s="0" t="str">
        <f aca="false">IF(A4493="","",YEAR(A4493))</f>
        <v/>
      </c>
      <c r="K4493" s="0" t="str">
        <f aca="false">IF(A4493="","",MONTH(A4493))</f>
        <v/>
      </c>
      <c r="L4493" s="0" t="str">
        <f aca="false">IF(B4493="","",VALUE(LEFT(B4493,2)))</f>
        <v/>
      </c>
      <c r="M4493" s="0" t="str">
        <f aca="false">IF(A4493="","",IF(COUNTIFS($C$2:$C$5001,C4493,$J$2:$J$5001,J4493,$A$2:$A$5001,"&lt;"&amp;A4493)=0,1,0))</f>
        <v/>
      </c>
    </row>
    <row r="4494" customFormat="false" ht="15" hidden="false" customHeight="false" outlineLevel="0" collapsed="false">
      <c r="A4494" s="27"/>
      <c r="F4494" s="28"/>
      <c r="J4494" s="0" t="str">
        <f aca="false">IF(A4494="","",YEAR(A4494))</f>
        <v/>
      </c>
      <c r="K4494" s="0" t="str">
        <f aca="false">IF(A4494="","",MONTH(A4494))</f>
        <v/>
      </c>
      <c r="L4494" s="0" t="str">
        <f aca="false">IF(B4494="","",VALUE(LEFT(B4494,2)))</f>
        <v/>
      </c>
      <c r="M4494" s="0" t="str">
        <f aca="false">IF(A4494="","",IF(COUNTIFS($C$2:$C$5001,C4494,$J$2:$J$5001,J4494,$A$2:$A$5001,"&lt;"&amp;A4494)=0,1,0))</f>
        <v/>
      </c>
    </row>
    <row r="4495" customFormat="false" ht="15" hidden="false" customHeight="false" outlineLevel="0" collapsed="false">
      <c r="A4495" s="27"/>
      <c r="F4495" s="28"/>
      <c r="J4495" s="0" t="str">
        <f aca="false">IF(A4495="","",YEAR(A4495))</f>
        <v/>
      </c>
      <c r="K4495" s="0" t="str">
        <f aca="false">IF(A4495="","",MONTH(A4495))</f>
        <v/>
      </c>
      <c r="L4495" s="0" t="str">
        <f aca="false">IF(B4495="","",VALUE(LEFT(B4495,2)))</f>
        <v/>
      </c>
      <c r="M4495" s="0" t="str">
        <f aca="false">IF(A4495="","",IF(COUNTIFS($C$2:$C$5001,C4495,$J$2:$J$5001,J4495,$A$2:$A$5001,"&lt;"&amp;A4495)=0,1,0))</f>
        <v/>
      </c>
    </row>
    <row r="4496" customFormat="false" ht="15" hidden="false" customHeight="false" outlineLevel="0" collapsed="false">
      <c r="A4496" s="27"/>
      <c r="F4496" s="28"/>
      <c r="J4496" s="0" t="str">
        <f aca="false">IF(A4496="","",YEAR(A4496))</f>
        <v/>
      </c>
      <c r="K4496" s="0" t="str">
        <f aca="false">IF(A4496="","",MONTH(A4496))</f>
        <v/>
      </c>
      <c r="L4496" s="0" t="str">
        <f aca="false">IF(B4496="","",VALUE(LEFT(B4496,2)))</f>
        <v/>
      </c>
      <c r="M4496" s="0" t="str">
        <f aca="false">IF(A4496="","",IF(COUNTIFS($C$2:$C$5001,C4496,$J$2:$J$5001,J4496,$A$2:$A$5001,"&lt;"&amp;A4496)=0,1,0))</f>
        <v/>
      </c>
    </row>
    <row r="4497" customFormat="false" ht="15" hidden="false" customHeight="false" outlineLevel="0" collapsed="false">
      <c r="A4497" s="27"/>
      <c r="F4497" s="28"/>
      <c r="J4497" s="0" t="str">
        <f aca="false">IF(A4497="","",YEAR(A4497))</f>
        <v/>
      </c>
      <c r="K4497" s="0" t="str">
        <f aca="false">IF(A4497="","",MONTH(A4497))</f>
        <v/>
      </c>
      <c r="L4497" s="0" t="str">
        <f aca="false">IF(B4497="","",VALUE(LEFT(B4497,2)))</f>
        <v/>
      </c>
      <c r="M4497" s="0" t="str">
        <f aca="false">IF(A4497="","",IF(COUNTIFS($C$2:$C$5001,C4497,$J$2:$J$5001,J4497,$A$2:$A$5001,"&lt;"&amp;A4497)=0,1,0))</f>
        <v/>
      </c>
    </row>
    <row r="4498" customFormat="false" ht="15" hidden="false" customHeight="false" outlineLevel="0" collapsed="false">
      <c r="A4498" s="27"/>
      <c r="F4498" s="28"/>
      <c r="J4498" s="0" t="str">
        <f aca="false">IF(A4498="","",YEAR(A4498))</f>
        <v/>
      </c>
      <c r="K4498" s="0" t="str">
        <f aca="false">IF(A4498="","",MONTH(A4498))</f>
        <v/>
      </c>
      <c r="L4498" s="0" t="str">
        <f aca="false">IF(B4498="","",VALUE(LEFT(B4498,2)))</f>
        <v/>
      </c>
      <c r="M4498" s="0" t="str">
        <f aca="false">IF(A4498="","",IF(COUNTIFS($C$2:$C$5001,C4498,$J$2:$J$5001,J4498,$A$2:$A$5001,"&lt;"&amp;A4498)=0,1,0))</f>
        <v/>
      </c>
    </row>
    <row r="4499" customFormat="false" ht="15" hidden="false" customHeight="false" outlineLevel="0" collapsed="false">
      <c r="A4499" s="27"/>
      <c r="F4499" s="28"/>
      <c r="J4499" s="0" t="str">
        <f aca="false">IF(A4499="","",YEAR(A4499))</f>
        <v/>
      </c>
      <c r="K4499" s="0" t="str">
        <f aca="false">IF(A4499="","",MONTH(A4499))</f>
        <v/>
      </c>
      <c r="L4499" s="0" t="str">
        <f aca="false">IF(B4499="","",VALUE(LEFT(B4499,2)))</f>
        <v/>
      </c>
      <c r="M4499" s="0" t="str">
        <f aca="false">IF(A4499="","",IF(COUNTIFS($C$2:$C$5001,C4499,$J$2:$J$5001,J4499,$A$2:$A$5001,"&lt;"&amp;A4499)=0,1,0))</f>
        <v/>
      </c>
    </row>
    <row r="4500" customFormat="false" ht="15" hidden="false" customHeight="false" outlineLevel="0" collapsed="false">
      <c r="A4500" s="27"/>
      <c r="F4500" s="28"/>
      <c r="J4500" s="0" t="str">
        <f aca="false">IF(A4500="","",YEAR(A4500))</f>
        <v/>
      </c>
      <c r="K4500" s="0" t="str">
        <f aca="false">IF(A4500="","",MONTH(A4500))</f>
        <v/>
      </c>
      <c r="L4500" s="0" t="str">
        <f aca="false">IF(B4500="","",VALUE(LEFT(B4500,2)))</f>
        <v/>
      </c>
      <c r="M4500" s="0" t="str">
        <f aca="false">IF(A4500="","",IF(COUNTIFS($C$2:$C$5001,C4500,$J$2:$J$5001,J4500,$A$2:$A$5001,"&lt;"&amp;A4500)=0,1,0))</f>
        <v/>
      </c>
    </row>
    <row r="4501" customFormat="false" ht="15" hidden="false" customHeight="false" outlineLevel="0" collapsed="false">
      <c r="A4501" s="27"/>
      <c r="F4501" s="28"/>
      <c r="J4501" s="0" t="str">
        <f aca="false">IF(A4501="","",YEAR(A4501))</f>
        <v/>
      </c>
      <c r="K4501" s="0" t="str">
        <f aca="false">IF(A4501="","",MONTH(A4501))</f>
        <v/>
      </c>
      <c r="L4501" s="0" t="str">
        <f aca="false">IF(B4501="","",VALUE(LEFT(B4501,2)))</f>
        <v/>
      </c>
      <c r="M4501" s="0" t="str">
        <f aca="false">IF(A4501="","",IF(COUNTIFS($C$2:$C$5001,C4501,$J$2:$J$5001,J4501,$A$2:$A$5001,"&lt;"&amp;A4501)=0,1,0))</f>
        <v/>
      </c>
    </row>
    <row r="4502" customFormat="false" ht="15" hidden="false" customHeight="false" outlineLevel="0" collapsed="false">
      <c r="A4502" s="27"/>
      <c r="F4502" s="28"/>
      <c r="J4502" s="0" t="str">
        <f aca="false">IF(A4502="","",YEAR(A4502))</f>
        <v/>
      </c>
      <c r="K4502" s="0" t="str">
        <f aca="false">IF(A4502="","",MONTH(A4502))</f>
        <v/>
      </c>
      <c r="L4502" s="0" t="str">
        <f aca="false">IF(B4502="","",VALUE(LEFT(B4502,2)))</f>
        <v/>
      </c>
      <c r="M4502" s="0" t="str">
        <f aca="false">IF(A4502="","",IF(COUNTIFS($C$2:$C$5001,C4502,$J$2:$J$5001,J4502,$A$2:$A$5001,"&lt;"&amp;A4502)=0,1,0))</f>
        <v/>
      </c>
    </row>
    <row r="4503" customFormat="false" ht="15" hidden="false" customHeight="false" outlineLevel="0" collapsed="false">
      <c r="A4503" s="27"/>
      <c r="F4503" s="28"/>
      <c r="J4503" s="0" t="str">
        <f aca="false">IF(A4503="","",YEAR(A4503))</f>
        <v/>
      </c>
      <c r="K4503" s="0" t="str">
        <f aca="false">IF(A4503="","",MONTH(A4503))</f>
        <v/>
      </c>
      <c r="L4503" s="0" t="str">
        <f aca="false">IF(B4503="","",VALUE(LEFT(B4503,2)))</f>
        <v/>
      </c>
      <c r="M4503" s="0" t="str">
        <f aca="false">IF(A4503="","",IF(COUNTIFS($C$2:$C$5001,C4503,$J$2:$J$5001,J4503,$A$2:$A$5001,"&lt;"&amp;A4503)=0,1,0))</f>
        <v/>
      </c>
    </row>
    <row r="4504" customFormat="false" ht="15" hidden="false" customHeight="false" outlineLevel="0" collapsed="false">
      <c r="A4504" s="27"/>
      <c r="F4504" s="28"/>
      <c r="J4504" s="0" t="str">
        <f aca="false">IF(A4504="","",YEAR(A4504))</f>
        <v/>
      </c>
      <c r="K4504" s="0" t="str">
        <f aca="false">IF(A4504="","",MONTH(A4504))</f>
        <v/>
      </c>
      <c r="L4504" s="0" t="str">
        <f aca="false">IF(B4504="","",VALUE(LEFT(B4504,2)))</f>
        <v/>
      </c>
      <c r="M4504" s="0" t="str">
        <f aca="false">IF(A4504="","",IF(COUNTIFS($C$2:$C$5001,C4504,$J$2:$J$5001,J4504,$A$2:$A$5001,"&lt;"&amp;A4504)=0,1,0))</f>
        <v/>
      </c>
    </row>
    <row r="4505" customFormat="false" ht="15" hidden="false" customHeight="false" outlineLevel="0" collapsed="false">
      <c r="A4505" s="27"/>
      <c r="F4505" s="28"/>
      <c r="J4505" s="0" t="str">
        <f aca="false">IF(A4505="","",YEAR(A4505))</f>
        <v/>
      </c>
      <c r="K4505" s="0" t="str">
        <f aca="false">IF(A4505="","",MONTH(A4505))</f>
        <v/>
      </c>
      <c r="L4505" s="0" t="str">
        <f aca="false">IF(B4505="","",VALUE(LEFT(B4505,2)))</f>
        <v/>
      </c>
      <c r="M4505" s="0" t="str">
        <f aca="false">IF(A4505="","",IF(COUNTIFS($C$2:$C$5001,C4505,$J$2:$J$5001,J4505,$A$2:$A$5001,"&lt;"&amp;A4505)=0,1,0))</f>
        <v/>
      </c>
    </row>
    <row r="4506" customFormat="false" ht="15" hidden="false" customHeight="false" outlineLevel="0" collapsed="false">
      <c r="A4506" s="27"/>
      <c r="F4506" s="28"/>
      <c r="J4506" s="0" t="str">
        <f aca="false">IF(A4506="","",YEAR(A4506))</f>
        <v/>
      </c>
      <c r="K4506" s="0" t="str">
        <f aca="false">IF(A4506="","",MONTH(A4506))</f>
        <v/>
      </c>
      <c r="L4506" s="0" t="str">
        <f aca="false">IF(B4506="","",VALUE(LEFT(B4506,2)))</f>
        <v/>
      </c>
      <c r="M4506" s="0" t="str">
        <f aca="false">IF(A4506="","",IF(COUNTIFS($C$2:$C$5001,C4506,$J$2:$J$5001,J4506,$A$2:$A$5001,"&lt;"&amp;A4506)=0,1,0))</f>
        <v/>
      </c>
    </row>
    <row r="4507" customFormat="false" ht="15" hidden="false" customHeight="false" outlineLevel="0" collapsed="false">
      <c r="A4507" s="27"/>
      <c r="F4507" s="28"/>
      <c r="J4507" s="0" t="str">
        <f aca="false">IF(A4507="","",YEAR(A4507))</f>
        <v/>
      </c>
      <c r="K4507" s="0" t="str">
        <f aca="false">IF(A4507="","",MONTH(A4507))</f>
        <v/>
      </c>
      <c r="L4507" s="0" t="str">
        <f aca="false">IF(B4507="","",VALUE(LEFT(B4507,2)))</f>
        <v/>
      </c>
      <c r="M4507" s="0" t="str">
        <f aca="false">IF(A4507="","",IF(COUNTIFS($C$2:$C$5001,C4507,$J$2:$J$5001,J4507,$A$2:$A$5001,"&lt;"&amp;A4507)=0,1,0))</f>
        <v/>
      </c>
    </row>
    <row r="4508" customFormat="false" ht="15" hidden="false" customHeight="false" outlineLevel="0" collapsed="false">
      <c r="A4508" s="27"/>
      <c r="F4508" s="28"/>
      <c r="J4508" s="0" t="str">
        <f aca="false">IF(A4508="","",YEAR(A4508))</f>
        <v/>
      </c>
      <c r="K4508" s="0" t="str">
        <f aca="false">IF(A4508="","",MONTH(A4508))</f>
        <v/>
      </c>
      <c r="L4508" s="0" t="str">
        <f aca="false">IF(B4508="","",VALUE(LEFT(B4508,2)))</f>
        <v/>
      </c>
      <c r="M4508" s="0" t="str">
        <f aca="false">IF(A4508="","",IF(COUNTIFS($C$2:$C$5001,C4508,$J$2:$J$5001,J4508,$A$2:$A$5001,"&lt;"&amp;A4508)=0,1,0))</f>
        <v/>
      </c>
    </row>
    <row r="4509" customFormat="false" ht="15" hidden="false" customHeight="false" outlineLevel="0" collapsed="false">
      <c r="A4509" s="27"/>
      <c r="F4509" s="28"/>
      <c r="J4509" s="0" t="str">
        <f aca="false">IF(A4509="","",YEAR(A4509))</f>
        <v/>
      </c>
      <c r="K4509" s="0" t="str">
        <f aca="false">IF(A4509="","",MONTH(A4509))</f>
        <v/>
      </c>
      <c r="L4509" s="0" t="str">
        <f aca="false">IF(B4509="","",VALUE(LEFT(B4509,2)))</f>
        <v/>
      </c>
      <c r="M4509" s="0" t="str">
        <f aca="false">IF(A4509="","",IF(COUNTIFS($C$2:$C$5001,C4509,$J$2:$J$5001,J4509,$A$2:$A$5001,"&lt;"&amp;A4509)=0,1,0))</f>
        <v/>
      </c>
    </row>
    <row r="4510" customFormat="false" ht="15" hidden="false" customHeight="false" outlineLevel="0" collapsed="false">
      <c r="A4510" s="27"/>
      <c r="F4510" s="28"/>
      <c r="J4510" s="0" t="str">
        <f aca="false">IF(A4510="","",YEAR(A4510))</f>
        <v/>
      </c>
      <c r="K4510" s="0" t="str">
        <f aca="false">IF(A4510="","",MONTH(A4510))</f>
        <v/>
      </c>
      <c r="L4510" s="0" t="str">
        <f aca="false">IF(B4510="","",VALUE(LEFT(B4510,2)))</f>
        <v/>
      </c>
      <c r="M4510" s="0" t="str">
        <f aca="false">IF(A4510="","",IF(COUNTIFS($C$2:$C$5001,C4510,$J$2:$J$5001,J4510,$A$2:$A$5001,"&lt;"&amp;A4510)=0,1,0))</f>
        <v/>
      </c>
    </row>
    <row r="4511" customFormat="false" ht="15" hidden="false" customHeight="false" outlineLevel="0" collapsed="false">
      <c r="A4511" s="27"/>
      <c r="F4511" s="28"/>
      <c r="J4511" s="0" t="str">
        <f aca="false">IF(A4511="","",YEAR(A4511))</f>
        <v/>
      </c>
      <c r="K4511" s="0" t="str">
        <f aca="false">IF(A4511="","",MONTH(A4511))</f>
        <v/>
      </c>
      <c r="L4511" s="0" t="str">
        <f aca="false">IF(B4511="","",VALUE(LEFT(B4511,2)))</f>
        <v/>
      </c>
      <c r="M4511" s="0" t="str">
        <f aca="false">IF(A4511="","",IF(COUNTIFS($C$2:$C$5001,C4511,$J$2:$J$5001,J4511,$A$2:$A$5001,"&lt;"&amp;A4511)=0,1,0))</f>
        <v/>
      </c>
    </row>
    <row r="4512" customFormat="false" ht="15" hidden="false" customHeight="false" outlineLevel="0" collapsed="false">
      <c r="A4512" s="27"/>
      <c r="F4512" s="28"/>
      <c r="J4512" s="0" t="str">
        <f aca="false">IF(A4512="","",YEAR(A4512))</f>
        <v/>
      </c>
      <c r="K4512" s="0" t="str">
        <f aca="false">IF(A4512="","",MONTH(A4512))</f>
        <v/>
      </c>
      <c r="L4512" s="0" t="str">
        <f aca="false">IF(B4512="","",VALUE(LEFT(B4512,2)))</f>
        <v/>
      </c>
      <c r="M4512" s="0" t="str">
        <f aca="false">IF(A4512="","",IF(COUNTIFS($C$2:$C$5001,C4512,$J$2:$J$5001,J4512,$A$2:$A$5001,"&lt;"&amp;A4512)=0,1,0))</f>
        <v/>
      </c>
    </row>
    <row r="4513" customFormat="false" ht="15" hidden="false" customHeight="false" outlineLevel="0" collapsed="false">
      <c r="A4513" s="27"/>
      <c r="F4513" s="28"/>
      <c r="J4513" s="0" t="str">
        <f aca="false">IF(A4513="","",YEAR(A4513))</f>
        <v/>
      </c>
      <c r="K4513" s="0" t="str">
        <f aca="false">IF(A4513="","",MONTH(A4513))</f>
        <v/>
      </c>
      <c r="L4513" s="0" t="str">
        <f aca="false">IF(B4513="","",VALUE(LEFT(B4513,2)))</f>
        <v/>
      </c>
      <c r="M4513" s="0" t="str">
        <f aca="false">IF(A4513="","",IF(COUNTIFS($C$2:$C$5001,C4513,$J$2:$J$5001,J4513,$A$2:$A$5001,"&lt;"&amp;A4513)=0,1,0))</f>
        <v/>
      </c>
    </row>
    <row r="4514" customFormat="false" ht="15" hidden="false" customHeight="false" outlineLevel="0" collapsed="false">
      <c r="A4514" s="27"/>
      <c r="F4514" s="28"/>
      <c r="J4514" s="0" t="str">
        <f aca="false">IF(A4514="","",YEAR(A4514))</f>
        <v/>
      </c>
      <c r="K4514" s="0" t="str">
        <f aca="false">IF(A4514="","",MONTH(A4514))</f>
        <v/>
      </c>
      <c r="L4514" s="0" t="str">
        <f aca="false">IF(B4514="","",VALUE(LEFT(B4514,2)))</f>
        <v/>
      </c>
      <c r="M4514" s="0" t="str">
        <f aca="false">IF(A4514="","",IF(COUNTIFS($C$2:$C$5001,C4514,$J$2:$J$5001,J4514,$A$2:$A$5001,"&lt;"&amp;A4514)=0,1,0))</f>
        <v/>
      </c>
    </row>
    <row r="4515" customFormat="false" ht="15" hidden="false" customHeight="false" outlineLevel="0" collapsed="false">
      <c r="A4515" s="27"/>
      <c r="F4515" s="28"/>
      <c r="J4515" s="0" t="str">
        <f aca="false">IF(A4515="","",YEAR(A4515))</f>
        <v/>
      </c>
      <c r="K4515" s="0" t="str">
        <f aca="false">IF(A4515="","",MONTH(A4515))</f>
        <v/>
      </c>
      <c r="L4515" s="0" t="str">
        <f aca="false">IF(B4515="","",VALUE(LEFT(B4515,2)))</f>
        <v/>
      </c>
      <c r="M4515" s="0" t="str">
        <f aca="false">IF(A4515="","",IF(COUNTIFS($C$2:$C$5001,C4515,$J$2:$J$5001,J4515,$A$2:$A$5001,"&lt;"&amp;A4515)=0,1,0))</f>
        <v/>
      </c>
    </row>
    <row r="4516" customFormat="false" ht="15" hidden="false" customHeight="false" outlineLevel="0" collapsed="false">
      <c r="A4516" s="27"/>
      <c r="F4516" s="28"/>
      <c r="J4516" s="0" t="str">
        <f aca="false">IF(A4516="","",YEAR(A4516))</f>
        <v/>
      </c>
      <c r="K4516" s="0" t="str">
        <f aca="false">IF(A4516="","",MONTH(A4516))</f>
        <v/>
      </c>
      <c r="L4516" s="0" t="str">
        <f aca="false">IF(B4516="","",VALUE(LEFT(B4516,2)))</f>
        <v/>
      </c>
      <c r="M4516" s="0" t="str">
        <f aca="false">IF(A4516="","",IF(COUNTIFS($C$2:$C$5001,C4516,$J$2:$J$5001,J4516,$A$2:$A$5001,"&lt;"&amp;A4516)=0,1,0))</f>
        <v/>
      </c>
    </row>
    <row r="4517" customFormat="false" ht="15" hidden="false" customHeight="false" outlineLevel="0" collapsed="false">
      <c r="A4517" s="27"/>
      <c r="F4517" s="28"/>
      <c r="J4517" s="0" t="str">
        <f aca="false">IF(A4517="","",YEAR(A4517))</f>
        <v/>
      </c>
      <c r="K4517" s="0" t="str">
        <f aca="false">IF(A4517="","",MONTH(A4517))</f>
        <v/>
      </c>
      <c r="L4517" s="0" t="str">
        <f aca="false">IF(B4517="","",VALUE(LEFT(B4517,2)))</f>
        <v/>
      </c>
      <c r="M4517" s="0" t="str">
        <f aca="false">IF(A4517="","",IF(COUNTIFS($C$2:$C$5001,C4517,$J$2:$J$5001,J4517,$A$2:$A$5001,"&lt;"&amp;A4517)=0,1,0))</f>
        <v/>
      </c>
    </row>
    <row r="4518" customFormat="false" ht="15" hidden="false" customHeight="false" outlineLevel="0" collapsed="false">
      <c r="A4518" s="27"/>
      <c r="F4518" s="28"/>
      <c r="J4518" s="0" t="str">
        <f aca="false">IF(A4518="","",YEAR(A4518))</f>
        <v/>
      </c>
      <c r="K4518" s="0" t="str">
        <f aca="false">IF(A4518="","",MONTH(A4518))</f>
        <v/>
      </c>
      <c r="L4518" s="0" t="str">
        <f aca="false">IF(B4518="","",VALUE(LEFT(B4518,2)))</f>
        <v/>
      </c>
      <c r="M4518" s="0" t="str">
        <f aca="false">IF(A4518="","",IF(COUNTIFS($C$2:$C$5001,C4518,$J$2:$J$5001,J4518,$A$2:$A$5001,"&lt;"&amp;A4518)=0,1,0))</f>
        <v/>
      </c>
    </row>
    <row r="4519" customFormat="false" ht="15" hidden="false" customHeight="false" outlineLevel="0" collapsed="false">
      <c r="A4519" s="27"/>
      <c r="F4519" s="28"/>
      <c r="J4519" s="0" t="str">
        <f aca="false">IF(A4519="","",YEAR(A4519))</f>
        <v/>
      </c>
      <c r="K4519" s="0" t="str">
        <f aca="false">IF(A4519="","",MONTH(A4519))</f>
        <v/>
      </c>
      <c r="L4519" s="0" t="str">
        <f aca="false">IF(B4519="","",VALUE(LEFT(B4519,2)))</f>
        <v/>
      </c>
      <c r="M4519" s="0" t="str">
        <f aca="false">IF(A4519="","",IF(COUNTIFS($C$2:$C$5001,C4519,$J$2:$J$5001,J4519,$A$2:$A$5001,"&lt;"&amp;A4519)=0,1,0))</f>
        <v/>
      </c>
    </row>
    <row r="4520" customFormat="false" ht="15" hidden="false" customHeight="false" outlineLevel="0" collapsed="false">
      <c r="A4520" s="27"/>
      <c r="F4520" s="28"/>
      <c r="J4520" s="0" t="str">
        <f aca="false">IF(A4520="","",YEAR(A4520))</f>
        <v/>
      </c>
      <c r="K4520" s="0" t="str">
        <f aca="false">IF(A4520="","",MONTH(A4520))</f>
        <v/>
      </c>
      <c r="L4520" s="0" t="str">
        <f aca="false">IF(B4520="","",VALUE(LEFT(B4520,2)))</f>
        <v/>
      </c>
      <c r="M4520" s="0" t="str">
        <f aca="false">IF(A4520="","",IF(COUNTIFS($C$2:$C$5001,C4520,$J$2:$J$5001,J4520,$A$2:$A$5001,"&lt;"&amp;A4520)=0,1,0))</f>
        <v/>
      </c>
    </row>
    <row r="4521" customFormat="false" ht="15" hidden="false" customHeight="false" outlineLevel="0" collapsed="false">
      <c r="A4521" s="27"/>
      <c r="F4521" s="28"/>
      <c r="J4521" s="0" t="str">
        <f aca="false">IF(A4521="","",YEAR(A4521))</f>
        <v/>
      </c>
      <c r="K4521" s="0" t="str">
        <f aca="false">IF(A4521="","",MONTH(A4521))</f>
        <v/>
      </c>
      <c r="L4521" s="0" t="str">
        <f aca="false">IF(B4521="","",VALUE(LEFT(B4521,2)))</f>
        <v/>
      </c>
      <c r="M4521" s="0" t="str">
        <f aca="false">IF(A4521="","",IF(COUNTIFS($C$2:$C$5001,C4521,$J$2:$J$5001,J4521,$A$2:$A$5001,"&lt;"&amp;A4521)=0,1,0))</f>
        <v/>
      </c>
    </row>
    <row r="4522" customFormat="false" ht="15" hidden="false" customHeight="false" outlineLevel="0" collapsed="false">
      <c r="A4522" s="27"/>
      <c r="F4522" s="28"/>
      <c r="J4522" s="0" t="str">
        <f aca="false">IF(A4522="","",YEAR(A4522))</f>
        <v/>
      </c>
      <c r="K4522" s="0" t="str">
        <f aca="false">IF(A4522="","",MONTH(A4522))</f>
        <v/>
      </c>
      <c r="L4522" s="0" t="str">
        <f aca="false">IF(B4522="","",VALUE(LEFT(B4522,2)))</f>
        <v/>
      </c>
      <c r="M4522" s="0" t="str">
        <f aca="false">IF(A4522="","",IF(COUNTIFS($C$2:$C$5001,C4522,$J$2:$J$5001,J4522,$A$2:$A$5001,"&lt;"&amp;A4522)=0,1,0))</f>
        <v/>
      </c>
    </row>
    <row r="4523" customFormat="false" ht="15" hidden="false" customHeight="false" outlineLevel="0" collapsed="false">
      <c r="A4523" s="27"/>
      <c r="F4523" s="28"/>
      <c r="J4523" s="0" t="str">
        <f aca="false">IF(A4523="","",YEAR(A4523))</f>
        <v/>
      </c>
      <c r="K4523" s="0" t="str">
        <f aca="false">IF(A4523="","",MONTH(A4523))</f>
        <v/>
      </c>
      <c r="L4523" s="0" t="str">
        <f aca="false">IF(B4523="","",VALUE(LEFT(B4523,2)))</f>
        <v/>
      </c>
      <c r="M4523" s="0" t="str">
        <f aca="false">IF(A4523="","",IF(COUNTIFS($C$2:$C$5001,C4523,$J$2:$J$5001,J4523,$A$2:$A$5001,"&lt;"&amp;A4523)=0,1,0))</f>
        <v/>
      </c>
    </row>
    <row r="4524" customFormat="false" ht="15" hidden="false" customHeight="false" outlineLevel="0" collapsed="false">
      <c r="A4524" s="27"/>
      <c r="F4524" s="28"/>
      <c r="J4524" s="0" t="str">
        <f aca="false">IF(A4524="","",YEAR(A4524))</f>
        <v/>
      </c>
      <c r="K4524" s="0" t="str">
        <f aca="false">IF(A4524="","",MONTH(A4524))</f>
        <v/>
      </c>
      <c r="L4524" s="0" t="str">
        <f aca="false">IF(B4524="","",VALUE(LEFT(B4524,2)))</f>
        <v/>
      </c>
      <c r="M4524" s="0" t="str">
        <f aca="false">IF(A4524="","",IF(COUNTIFS($C$2:$C$5001,C4524,$J$2:$J$5001,J4524,$A$2:$A$5001,"&lt;"&amp;A4524)=0,1,0))</f>
        <v/>
      </c>
    </row>
    <row r="4525" customFormat="false" ht="15" hidden="false" customHeight="false" outlineLevel="0" collapsed="false">
      <c r="A4525" s="27"/>
      <c r="F4525" s="28"/>
      <c r="J4525" s="0" t="str">
        <f aca="false">IF(A4525="","",YEAR(A4525))</f>
        <v/>
      </c>
      <c r="K4525" s="0" t="str">
        <f aca="false">IF(A4525="","",MONTH(A4525))</f>
        <v/>
      </c>
      <c r="L4525" s="0" t="str">
        <f aca="false">IF(B4525="","",VALUE(LEFT(B4525,2)))</f>
        <v/>
      </c>
      <c r="M4525" s="0" t="str">
        <f aca="false">IF(A4525="","",IF(COUNTIFS($C$2:$C$5001,C4525,$J$2:$J$5001,J4525,$A$2:$A$5001,"&lt;"&amp;A4525)=0,1,0))</f>
        <v/>
      </c>
    </row>
    <row r="4526" customFormat="false" ht="15" hidden="false" customHeight="false" outlineLevel="0" collapsed="false">
      <c r="A4526" s="27"/>
      <c r="F4526" s="28"/>
      <c r="J4526" s="0" t="str">
        <f aca="false">IF(A4526="","",YEAR(A4526))</f>
        <v/>
      </c>
      <c r="K4526" s="0" t="str">
        <f aca="false">IF(A4526="","",MONTH(A4526))</f>
        <v/>
      </c>
      <c r="L4526" s="0" t="str">
        <f aca="false">IF(B4526="","",VALUE(LEFT(B4526,2)))</f>
        <v/>
      </c>
      <c r="M4526" s="0" t="str">
        <f aca="false">IF(A4526="","",IF(COUNTIFS($C$2:$C$5001,C4526,$J$2:$J$5001,J4526,$A$2:$A$5001,"&lt;"&amp;A4526)=0,1,0))</f>
        <v/>
      </c>
    </row>
    <row r="4527" customFormat="false" ht="15" hidden="false" customHeight="false" outlineLevel="0" collapsed="false">
      <c r="A4527" s="27"/>
      <c r="F4527" s="28"/>
      <c r="J4527" s="0" t="str">
        <f aca="false">IF(A4527="","",YEAR(A4527))</f>
        <v/>
      </c>
      <c r="K4527" s="0" t="str">
        <f aca="false">IF(A4527="","",MONTH(A4527))</f>
        <v/>
      </c>
      <c r="L4527" s="0" t="str">
        <f aca="false">IF(B4527="","",VALUE(LEFT(B4527,2)))</f>
        <v/>
      </c>
      <c r="M4527" s="0" t="str">
        <f aca="false">IF(A4527="","",IF(COUNTIFS($C$2:$C$5001,C4527,$J$2:$J$5001,J4527,$A$2:$A$5001,"&lt;"&amp;A4527)=0,1,0))</f>
        <v/>
      </c>
    </row>
    <row r="4528" customFormat="false" ht="15" hidden="false" customHeight="false" outlineLevel="0" collapsed="false">
      <c r="A4528" s="27"/>
      <c r="F4528" s="28"/>
      <c r="J4528" s="0" t="str">
        <f aca="false">IF(A4528="","",YEAR(A4528))</f>
        <v/>
      </c>
      <c r="K4528" s="0" t="str">
        <f aca="false">IF(A4528="","",MONTH(A4528))</f>
        <v/>
      </c>
      <c r="L4528" s="0" t="str">
        <f aca="false">IF(B4528="","",VALUE(LEFT(B4528,2)))</f>
        <v/>
      </c>
      <c r="M4528" s="0" t="str">
        <f aca="false">IF(A4528="","",IF(COUNTIFS($C$2:$C$5001,C4528,$J$2:$J$5001,J4528,$A$2:$A$5001,"&lt;"&amp;A4528)=0,1,0))</f>
        <v/>
      </c>
    </row>
    <row r="4529" customFormat="false" ht="15" hidden="false" customHeight="false" outlineLevel="0" collapsed="false">
      <c r="A4529" s="27"/>
      <c r="F4529" s="28"/>
      <c r="J4529" s="0" t="str">
        <f aca="false">IF(A4529="","",YEAR(A4529))</f>
        <v/>
      </c>
      <c r="K4529" s="0" t="str">
        <f aca="false">IF(A4529="","",MONTH(A4529))</f>
        <v/>
      </c>
      <c r="L4529" s="0" t="str">
        <f aca="false">IF(B4529="","",VALUE(LEFT(B4529,2)))</f>
        <v/>
      </c>
      <c r="M4529" s="0" t="str">
        <f aca="false">IF(A4529="","",IF(COUNTIFS($C$2:$C$5001,C4529,$J$2:$J$5001,J4529,$A$2:$A$5001,"&lt;"&amp;A4529)=0,1,0))</f>
        <v/>
      </c>
    </row>
    <row r="4530" customFormat="false" ht="15" hidden="false" customHeight="false" outlineLevel="0" collapsed="false">
      <c r="A4530" s="27"/>
      <c r="F4530" s="28"/>
      <c r="J4530" s="0" t="str">
        <f aca="false">IF(A4530="","",YEAR(A4530))</f>
        <v/>
      </c>
      <c r="K4530" s="0" t="str">
        <f aca="false">IF(A4530="","",MONTH(A4530))</f>
        <v/>
      </c>
      <c r="L4530" s="0" t="str">
        <f aca="false">IF(B4530="","",VALUE(LEFT(B4530,2)))</f>
        <v/>
      </c>
      <c r="M4530" s="0" t="str">
        <f aca="false">IF(A4530="","",IF(COUNTIFS($C$2:$C$5001,C4530,$J$2:$J$5001,J4530,$A$2:$A$5001,"&lt;"&amp;A4530)=0,1,0))</f>
        <v/>
      </c>
    </row>
    <row r="4531" customFormat="false" ht="15" hidden="false" customHeight="false" outlineLevel="0" collapsed="false">
      <c r="A4531" s="27"/>
      <c r="F4531" s="28"/>
      <c r="J4531" s="0" t="str">
        <f aca="false">IF(A4531="","",YEAR(A4531))</f>
        <v/>
      </c>
      <c r="K4531" s="0" t="str">
        <f aca="false">IF(A4531="","",MONTH(A4531))</f>
        <v/>
      </c>
      <c r="L4531" s="0" t="str">
        <f aca="false">IF(B4531="","",VALUE(LEFT(B4531,2)))</f>
        <v/>
      </c>
      <c r="M4531" s="0" t="str">
        <f aca="false">IF(A4531="","",IF(COUNTIFS($C$2:$C$5001,C4531,$J$2:$J$5001,J4531,$A$2:$A$5001,"&lt;"&amp;A4531)=0,1,0))</f>
        <v/>
      </c>
    </row>
    <row r="4532" customFormat="false" ht="15" hidden="false" customHeight="false" outlineLevel="0" collapsed="false">
      <c r="A4532" s="27"/>
      <c r="F4532" s="28"/>
      <c r="J4532" s="0" t="str">
        <f aca="false">IF(A4532="","",YEAR(A4532))</f>
        <v/>
      </c>
      <c r="K4532" s="0" t="str">
        <f aca="false">IF(A4532="","",MONTH(A4532))</f>
        <v/>
      </c>
      <c r="L4532" s="0" t="str">
        <f aca="false">IF(B4532="","",VALUE(LEFT(B4532,2)))</f>
        <v/>
      </c>
      <c r="M4532" s="0" t="str">
        <f aca="false">IF(A4532="","",IF(COUNTIFS($C$2:$C$5001,C4532,$J$2:$J$5001,J4532,$A$2:$A$5001,"&lt;"&amp;A4532)=0,1,0))</f>
        <v/>
      </c>
    </row>
    <row r="4533" customFormat="false" ht="15" hidden="false" customHeight="false" outlineLevel="0" collapsed="false">
      <c r="A4533" s="27"/>
      <c r="F4533" s="28"/>
      <c r="J4533" s="0" t="str">
        <f aca="false">IF(A4533="","",YEAR(A4533))</f>
        <v/>
      </c>
      <c r="K4533" s="0" t="str">
        <f aca="false">IF(A4533="","",MONTH(A4533))</f>
        <v/>
      </c>
      <c r="L4533" s="0" t="str">
        <f aca="false">IF(B4533="","",VALUE(LEFT(B4533,2)))</f>
        <v/>
      </c>
      <c r="M4533" s="0" t="str">
        <f aca="false">IF(A4533="","",IF(COUNTIFS($C$2:$C$5001,C4533,$J$2:$J$5001,J4533,$A$2:$A$5001,"&lt;"&amp;A4533)=0,1,0))</f>
        <v/>
      </c>
    </row>
    <row r="4534" customFormat="false" ht="15" hidden="false" customHeight="false" outlineLevel="0" collapsed="false">
      <c r="A4534" s="27"/>
      <c r="F4534" s="28"/>
      <c r="J4534" s="0" t="str">
        <f aca="false">IF(A4534="","",YEAR(A4534))</f>
        <v/>
      </c>
      <c r="K4534" s="0" t="str">
        <f aca="false">IF(A4534="","",MONTH(A4534))</f>
        <v/>
      </c>
      <c r="L4534" s="0" t="str">
        <f aca="false">IF(B4534="","",VALUE(LEFT(B4534,2)))</f>
        <v/>
      </c>
      <c r="M4534" s="0" t="str">
        <f aca="false">IF(A4534="","",IF(COUNTIFS($C$2:$C$5001,C4534,$J$2:$J$5001,J4534,$A$2:$A$5001,"&lt;"&amp;A4534)=0,1,0))</f>
        <v/>
      </c>
    </row>
    <row r="4535" customFormat="false" ht="15" hidden="false" customHeight="false" outlineLevel="0" collapsed="false">
      <c r="A4535" s="27"/>
      <c r="F4535" s="28"/>
      <c r="J4535" s="0" t="str">
        <f aca="false">IF(A4535="","",YEAR(A4535))</f>
        <v/>
      </c>
      <c r="K4535" s="0" t="str">
        <f aca="false">IF(A4535="","",MONTH(A4535))</f>
        <v/>
      </c>
      <c r="L4535" s="0" t="str">
        <f aca="false">IF(B4535="","",VALUE(LEFT(B4535,2)))</f>
        <v/>
      </c>
      <c r="M4535" s="0" t="str">
        <f aca="false">IF(A4535="","",IF(COUNTIFS($C$2:$C$5001,C4535,$J$2:$J$5001,J4535,$A$2:$A$5001,"&lt;"&amp;A4535)=0,1,0))</f>
        <v/>
      </c>
    </row>
    <row r="4536" customFormat="false" ht="15" hidden="false" customHeight="false" outlineLevel="0" collapsed="false">
      <c r="A4536" s="27"/>
      <c r="F4536" s="28"/>
      <c r="J4536" s="0" t="str">
        <f aca="false">IF(A4536="","",YEAR(A4536))</f>
        <v/>
      </c>
      <c r="K4536" s="0" t="str">
        <f aca="false">IF(A4536="","",MONTH(A4536))</f>
        <v/>
      </c>
      <c r="L4536" s="0" t="str">
        <f aca="false">IF(B4536="","",VALUE(LEFT(B4536,2)))</f>
        <v/>
      </c>
      <c r="M4536" s="0" t="str">
        <f aca="false">IF(A4536="","",IF(COUNTIFS($C$2:$C$5001,C4536,$J$2:$J$5001,J4536,$A$2:$A$5001,"&lt;"&amp;A4536)=0,1,0))</f>
        <v/>
      </c>
    </row>
    <row r="4537" customFormat="false" ht="15" hidden="false" customHeight="false" outlineLevel="0" collapsed="false">
      <c r="A4537" s="27"/>
      <c r="F4537" s="28"/>
      <c r="J4537" s="0" t="str">
        <f aca="false">IF(A4537="","",YEAR(A4537))</f>
        <v/>
      </c>
      <c r="K4537" s="0" t="str">
        <f aca="false">IF(A4537="","",MONTH(A4537))</f>
        <v/>
      </c>
      <c r="L4537" s="0" t="str">
        <f aca="false">IF(B4537="","",VALUE(LEFT(B4537,2)))</f>
        <v/>
      </c>
      <c r="M4537" s="0" t="str">
        <f aca="false">IF(A4537="","",IF(COUNTIFS($C$2:$C$5001,C4537,$J$2:$J$5001,J4537,$A$2:$A$5001,"&lt;"&amp;A4537)=0,1,0))</f>
        <v/>
      </c>
    </row>
    <row r="4538" customFormat="false" ht="15" hidden="false" customHeight="false" outlineLevel="0" collapsed="false">
      <c r="A4538" s="27"/>
      <c r="F4538" s="28"/>
      <c r="J4538" s="0" t="str">
        <f aca="false">IF(A4538="","",YEAR(A4538))</f>
        <v/>
      </c>
      <c r="K4538" s="0" t="str">
        <f aca="false">IF(A4538="","",MONTH(A4538))</f>
        <v/>
      </c>
      <c r="L4538" s="0" t="str">
        <f aca="false">IF(B4538="","",VALUE(LEFT(B4538,2)))</f>
        <v/>
      </c>
      <c r="M4538" s="0" t="str">
        <f aca="false">IF(A4538="","",IF(COUNTIFS($C$2:$C$5001,C4538,$J$2:$J$5001,J4538,$A$2:$A$5001,"&lt;"&amp;A4538)=0,1,0))</f>
        <v/>
      </c>
    </row>
    <row r="4539" customFormat="false" ht="15" hidden="false" customHeight="false" outlineLevel="0" collapsed="false">
      <c r="A4539" s="27"/>
      <c r="F4539" s="28"/>
      <c r="J4539" s="0" t="str">
        <f aca="false">IF(A4539="","",YEAR(A4539))</f>
        <v/>
      </c>
      <c r="K4539" s="0" t="str">
        <f aca="false">IF(A4539="","",MONTH(A4539))</f>
        <v/>
      </c>
      <c r="L4539" s="0" t="str">
        <f aca="false">IF(B4539="","",VALUE(LEFT(B4539,2)))</f>
        <v/>
      </c>
      <c r="M4539" s="0" t="str">
        <f aca="false">IF(A4539="","",IF(COUNTIFS($C$2:$C$5001,C4539,$J$2:$J$5001,J4539,$A$2:$A$5001,"&lt;"&amp;A4539)=0,1,0))</f>
        <v/>
      </c>
    </row>
    <row r="4540" customFormat="false" ht="15" hidden="false" customHeight="false" outlineLevel="0" collapsed="false">
      <c r="A4540" s="27"/>
      <c r="F4540" s="28"/>
      <c r="J4540" s="0" t="str">
        <f aca="false">IF(A4540="","",YEAR(A4540))</f>
        <v/>
      </c>
      <c r="K4540" s="0" t="str">
        <f aca="false">IF(A4540="","",MONTH(A4540))</f>
        <v/>
      </c>
      <c r="L4540" s="0" t="str">
        <f aca="false">IF(B4540="","",VALUE(LEFT(B4540,2)))</f>
        <v/>
      </c>
      <c r="M4540" s="0" t="str">
        <f aca="false">IF(A4540="","",IF(COUNTIFS($C$2:$C$5001,C4540,$J$2:$J$5001,J4540,$A$2:$A$5001,"&lt;"&amp;A4540)=0,1,0))</f>
        <v/>
      </c>
    </row>
    <row r="4541" customFormat="false" ht="15" hidden="false" customHeight="false" outlineLevel="0" collapsed="false">
      <c r="A4541" s="27"/>
      <c r="F4541" s="28"/>
      <c r="J4541" s="0" t="str">
        <f aca="false">IF(A4541="","",YEAR(A4541))</f>
        <v/>
      </c>
      <c r="K4541" s="0" t="str">
        <f aca="false">IF(A4541="","",MONTH(A4541))</f>
        <v/>
      </c>
      <c r="L4541" s="0" t="str">
        <f aca="false">IF(B4541="","",VALUE(LEFT(B4541,2)))</f>
        <v/>
      </c>
      <c r="M4541" s="0" t="str">
        <f aca="false">IF(A4541="","",IF(COUNTIFS($C$2:$C$5001,C4541,$J$2:$J$5001,J4541,$A$2:$A$5001,"&lt;"&amp;A4541)=0,1,0))</f>
        <v/>
      </c>
    </row>
    <row r="4542" customFormat="false" ht="15" hidden="false" customHeight="false" outlineLevel="0" collapsed="false">
      <c r="A4542" s="27"/>
      <c r="F4542" s="28"/>
      <c r="J4542" s="0" t="str">
        <f aca="false">IF(A4542="","",YEAR(A4542))</f>
        <v/>
      </c>
      <c r="K4542" s="0" t="str">
        <f aca="false">IF(A4542="","",MONTH(A4542))</f>
        <v/>
      </c>
      <c r="L4542" s="0" t="str">
        <f aca="false">IF(B4542="","",VALUE(LEFT(B4542,2)))</f>
        <v/>
      </c>
      <c r="M4542" s="0" t="str">
        <f aca="false">IF(A4542="","",IF(COUNTIFS($C$2:$C$5001,C4542,$J$2:$J$5001,J4542,$A$2:$A$5001,"&lt;"&amp;A4542)=0,1,0))</f>
        <v/>
      </c>
    </row>
    <row r="4543" customFormat="false" ht="15" hidden="false" customHeight="false" outlineLevel="0" collapsed="false">
      <c r="A4543" s="27"/>
      <c r="F4543" s="28"/>
      <c r="J4543" s="0" t="str">
        <f aca="false">IF(A4543="","",YEAR(A4543))</f>
        <v/>
      </c>
      <c r="K4543" s="0" t="str">
        <f aca="false">IF(A4543="","",MONTH(A4543))</f>
        <v/>
      </c>
      <c r="L4543" s="0" t="str">
        <f aca="false">IF(B4543="","",VALUE(LEFT(B4543,2)))</f>
        <v/>
      </c>
      <c r="M4543" s="0" t="str">
        <f aca="false">IF(A4543="","",IF(COUNTIFS($C$2:$C$5001,C4543,$J$2:$J$5001,J4543,$A$2:$A$5001,"&lt;"&amp;A4543)=0,1,0))</f>
        <v/>
      </c>
    </row>
    <row r="4544" customFormat="false" ht="15" hidden="false" customHeight="false" outlineLevel="0" collapsed="false">
      <c r="A4544" s="27"/>
      <c r="F4544" s="28"/>
      <c r="J4544" s="0" t="str">
        <f aca="false">IF(A4544="","",YEAR(A4544))</f>
        <v/>
      </c>
      <c r="K4544" s="0" t="str">
        <f aca="false">IF(A4544="","",MONTH(A4544))</f>
        <v/>
      </c>
      <c r="L4544" s="0" t="str">
        <f aca="false">IF(B4544="","",VALUE(LEFT(B4544,2)))</f>
        <v/>
      </c>
      <c r="M4544" s="0" t="str">
        <f aca="false">IF(A4544="","",IF(COUNTIFS($C$2:$C$5001,C4544,$J$2:$J$5001,J4544,$A$2:$A$5001,"&lt;"&amp;A4544)=0,1,0))</f>
        <v/>
      </c>
    </row>
    <row r="4545" customFormat="false" ht="15" hidden="false" customHeight="false" outlineLevel="0" collapsed="false">
      <c r="A4545" s="27"/>
      <c r="F4545" s="28"/>
      <c r="J4545" s="0" t="str">
        <f aca="false">IF(A4545="","",YEAR(A4545))</f>
        <v/>
      </c>
      <c r="K4545" s="0" t="str">
        <f aca="false">IF(A4545="","",MONTH(A4545))</f>
        <v/>
      </c>
      <c r="L4545" s="0" t="str">
        <f aca="false">IF(B4545="","",VALUE(LEFT(B4545,2)))</f>
        <v/>
      </c>
      <c r="M4545" s="0" t="str">
        <f aca="false">IF(A4545="","",IF(COUNTIFS($C$2:$C$5001,C4545,$J$2:$J$5001,J4545,$A$2:$A$5001,"&lt;"&amp;A4545)=0,1,0))</f>
        <v/>
      </c>
    </row>
    <row r="4546" customFormat="false" ht="15" hidden="false" customHeight="false" outlineLevel="0" collapsed="false">
      <c r="A4546" s="27"/>
      <c r="F4546" s="28"/>
      <c r="J4546" s="0" t="str">
        <f aca="false">IF(A4546="","",YEAR(A4546))</f>
        <v/>
      </c>
      <c r="K4546" s="0" t="str">
        <f aca="false">IF(A4546="","",MONTH(A4546))</f>
        <v/>
      </c>
      <c r="L4546" s="0" t="str">
        <f aca="false">IF(B4546="","",VALUE(LEFT(B4546,2)))</f>
        <v/>
      </c>
      <c r="M4546" s="0" t="str">
        <f aca="false">IF(A4546="","",IF(COUNTIFS($C$2:$C$5001,C4546,$J$2:$J$5001,J4546,$A$2:$A$5001,"&lt;"&amp;A4546)=0,1,0))</f>
        <v/>
      </c>
    </row>
    <row r="4547" customFormat="false" ht="15" hidden="false" customHeight="false" outlineLevel="0" collapsed="false">
      <c r="A4547" s="27"/>
      <c r="F4547" s="28"/>
      <c r="J4547" s="0" t="str">
        <f aca="false">IF(A4547="","",YEAR(A4547))</f>
        <v/>
      </c>
      <c r="K4547" s="0" t="str">
        <f aca="false">IF(A4547="","",MONTH(A4547))</f>
        <v/>
      </c>
      <c r="L4547" s="0" t="str">
        <f aca="false">IF(B4547="","",VALUE(LEFT(B4547,2)))</f>
        <v/>
      </c>
      <c r="M4547" s="0" t="str">
        <f aca="false">IF(A4547="","",IF(COUNTIFS($C$2:$C$5001,C4547,$J$2:$J$5001,J4547,$A$2:$A$5001,"&lt;"&amp;A4547)=0,1,0))</f>
        <v/>
      </c>
    </row>
    <row r="4548" customFormat="false" ht="15" hidden="false" customHeight="false" outlineLevel="0" collapsed="false">
      <c r="A4548" s="27"/>
      <c r="F4548" s="28"/>
      <c r="J4548" s="0" t="str">
        <f aca="false">IF(A4548="","",YEAR(A4548))</f>
        <v/>
      </c>
      <c r="K4548" s="0" t="str">
        <f aca="false">IF(A4548="","",MONTH(A4548))</f>
        <v/>
      </c>
      <c r="L4548" s="0" t="str">
        <f aca="false">IF(B4548="","",VALUE(LEFT(B4548,2)))</f>
        <v/>
      </c>
      <c r="M4548" s="0" t="str">
        <f aca="false">IF(A4548="","",IF(COUNTIFS($C$2:$C$5001,C4548,$J$2:$J$5001,J4548,$A$2:$A$5001,"&lt;"&amp;A4548)=0,1,0))</f>
        <v/>
      </c>
    </row>
    <row r="4549" customFormat="false" ht="15" hidden="false" customHeight="false" outlineLevel="0" collapsed="false">
      <c r="A4549" s="27"/>
      <c r="F4549" s="28"/>
      <c r="J4549" s="0" t="str">
        <f aca="false">IF(A4549="","",YEAR(A4549))</f>
        <v/>
      </c>
      <c r="K4549" s="0" t="str">
        <f aca="false">IF(A4549="","",MONTH(A4549))</f>
        <v/>
      </c>
      <c r="L4549" s="0" t="str">
        <f aca="false">IF(B4549="","",VALUE(LEFT(B4549,2)))</f>
        <v/>
      </c>
      <c r="M4549" s="0" t="str">
        <f aca="false">IF(A4549="","",IF(COUNTIFS($C$2:$C$5001,C4549,$J$2:$J$5001,J4549,$A$2:$A$5001,"&lt;"&amp;A4549)=0,1,0))</f>
        <v/>
      </c>
    </row>
    <row r="4550" customFormat="false" ht="15" hidden="false" customHeight="false" outlineLevel="0" collapsed="false">
      <c r="A4550" s="27"/>
      <c r="F4550" s="28"/>
      <c r="J4550" s="0" t="str">
        <f aca="false">IF(A4550="","",YEAR(A4550))</f>
        <v/>
      </c>
      <c r="K4550" s="0" t="str">
        <f aca="false">IF(A4550="","",MONTH(A4550))</f>
        <v/>
      </c>
      <c r="L4550" s="0" t="str">
        <f aca="false">IF(B4550="","",VALUE(LEFT(B4550,2)))</f>
        <v/>
      </c>
      <c r="M4550" s="0" t="str">
        <f aca="false">IF(A4550="","",IF(COUNTIFS($C$2:$C$5001,C4550,$J$2:$J$5001,J4550,$A$2:$A$5001,"&lt;"&amp;A4550)=0,1,0))</f>
        <v/>
      </c>
    </row>
    <row r="4551" customFormat="false" ht="15" hidden="false" customHeight="false" outlineLevel="0" collapsed="false">
      <c r="A4551" s="27"/>
      <c r="F4551" s="28"/>
      <c r="J4551" s="0" t="str">
        <f aca="false">IF(A4551="","",YEAR(A4551))</f>
        <v/>
      </c>
      <c r="K4551" s="0" t="str">
        <f aca="false">IF(A4551="","",MONTH(A4551))</f>
        <v/>
      </c>
      <c r="L4551" s="0" t="str">
        <f aca="false">IF(B4551="","",VALUE(LEFT(B4551,2)))</f>
        <v/>
      </c>
      <c r="M4551" s="0" t="str">
        <f aca="false">IF(A4551="","",IF(COUNTIFS($C$2:$C$5001,C4551,$J$2:$J$5001,J4551,$A$2:$A$5001,"&lt;"&amp;A4551)=0,1,0))</f>
        <v/>
      </c>
    </row>
    <row r="4552" customFormat="false" ht="15" hidden="false" customHeight="false" outlineLevel="0" collapsed="false">
      <c r="A4552" s="27"/>
      <c r="F4552" s="28"/>
      <c r="J4552" s="0" t="str">
        <f aca="false">IF(A4552="","",YEAR(A4552))</f>
        <v/>
      </c>
      <c r="K4552" s="0" t="str">
        <f aca="false">IF(A4552="","",MONTH(A4552))</f>
        <v/>
      </c>
      <c r="L4552" s="0" t="str">
        <f aca="false">IF(B4552="","",VALUE(LEFT(B4552,2)))</f>
        <v/>
      </c>
      <c r="M4552" s="0" t="str">
        <f aca="false">IF(A4552="","",IF(COUNTIFS($C$2:$C$5001,C4552,$J$2:$J$5001,J4552,$A$2:$A$5001,"&lt;"&amp;A4552)=0,1,0))</f>
        <v/>
      </c>
    </row>
    <row r="4553" customFormat="false" ht="15" hidden="false" customHeight="false" outlineLevel="0" collapsed="false">
      <c r="A4553" s="27"/>
      <c r="F4553" s="28"/>
      <c r="J4553" s="0" t="str">
        <f aca="false">IF(A4553="","",YEAR(A4553))</f>
        <v/>
      </c>
      <c r="K4553" s="0" t="str">
        <f aca="false">IF(A4553="","",MONTH(A4553))</f>
        <v/>
      </c>
      <c r="L4553" s="0" t="str">
        <f aca="false">IF(B4553="","",VALUE(LEFT(B4553,2)))</f>
        <v/>
      </c>
      <c r="M4553" s="0" t="str">
        <f aca="false">IF(A4553="","",IF(COUNTIFS($C$2:$C$5001,C4553,$J$2:$J$5001,J4553,$A$2:$A$5001,"&lt;"&amp;A4553)=0,1,0))</f>
        <v/>
      </c>
    </row>
    <row r="4554" customFormat="false" ht="15" hidden="false" customHeight="false" outlineLevel="0" collapsed="false">
      <c r="A4554" s="27"/>
      <c r="F4554" s="28"/>
      <c r="J4554" s="0" t="str">
        <f aca="false">IF(A4554="","",YEAR(A4554))</f>
        <v/>
      </c>
      <c r="K4554" s="0" t="str">
        <f aca="false">IF(A4554="","",MONTH(A4554))</f>
        <v/>
      </c>
      <c r="L4554" s="0" t="str">
        <f aca="false">IF(B4554="","",VALUE(LEFT(B4554,2)))</f>
        <v/>
      </c>
      <c r="M4554" s="0" t="str">
        <f aca="false">IF(A4554="","",IF(COUNTIFS($C$2:$C$5001,C4554,$J$2:$J$5001,J4554,$A$2:$A$5001,"&lt;"&amp;A4554)=0,1,0))</f>
        <v/>
      </c>
    </row>
    <row r="4555" customFormat="false" ht="15" hidden="false" customHeight="false" outlineLevel="0" collapsed="false">
      <c r="A4555" s="27"/>
      <c r="F4555" s="28"/>
      <c r="J4555" s="0" t="str">
        <f aca="false">IF(A4555="","",YEAR(A4555))</f>
        <v/>
      </c>
      <c r="K4555" s="0" t="str">
        <f aca="false">IF(A4555="","",MONTH(A4555))</f>
        <v/>
      </c>
      <c r="L4555" s="0" t="str">
        <f aca="false">IF(B4555="","",VALUE(LEFT(B4555,2)))</f>
        <v/>
      </c>
      <c r="M4555" s="0" t="str">
        <f aca="false">IF(A4555="","",IF(COUNTIFS($C$2:$C$5001,C4555,$J$2:$J$5001,J4555,$A$2:$A$5001,"&lt;"&amp;A4555)=0,1,0))</f>
        <v/>
      </c>
    </row>
    <row r="4556" customFormat="false" ht="15" hidden="false" customHeight="false" outlineLevel="0" collapsed="false">
      <c r="A4556" s="27"/>
      <c r="F4556" s="28"/>
      <c r="J4556" s="0" t="str">
        <f aca="false">IF(A4556="","",YEAR(A4556))</f>
        <v/>
      </c>
      <c r="K4556" s="0" t="str">
        <f aca="false">IF(A4556="","",MONTH(A4556))</f>
        <v/>
      </c>
      <c r="L4556" s="0" t="str">
        <f aca="false">IF(B4556="","",VALUE(LEFT(B4556,2)))</f>
        <v/>
      </c>
      <c r="M4556" s="0" t="str">
        <f aca="false">IF(A4556="","",IF(COUNTIFS($C$2:$C$5001,C4556,$J$2:$J$5001,J4556,$A$2:$A$5001,"&lt;"&amp;A4556)=0,1,0))</f>
        <v/>
      </c>
    </row>
    <row r="4557" customFormat="false" ht="15" hidden="false" customHeight="false" outlineLevel="0" collapsed="false">
      <c r="A4557" s="27"/>
      <c r="F4557" s="28"/>
      <c r="J4557" s="0" t="str">
        <f aca="false">IF(A4557="","",YEAR(A4557))</f>
        <v/>
      </c>
      <c r="K4557" s="0" t="str">
        <f aca="false">IF(A4557="","",MONTH(A4557))</f>
        <v/>
      </c>
      <c r="L4557" s="0" t="str">
        <f aca="false">IF(B4557="","",VALUE(LEFT(B4557,2)))</f>
        <v/>
      </c>
      <c r="M4557" s="0" t="str">
        <f aca="false">IF(A4557="","",IF(COUNTIFS($C$2:$C$5001,C4557,$J$2:$J$5001,J4557,$A$2:$A$5001,"&lt;"&amp;A4557)=0,1,0))</f>
        <v/>
      </c>
    </row>
    <row r="4558" customFormat="false" ht="15" hidden="false" customHeight="false" outlineLevel="0" collapsed="false">
      <c r="A4558" s="27"/>
      <c r="F4558" s="28"/>
      <c r="J4558" s="0" t="str">
        <f aca="false">IF(A4558="","",YEAR(A4558))</f>
        <v/>
      </c>
      <c r="K4558" s="0" t="str">
        <f aca="false">IF(A4558="","",MONTH(A4558))</f>
        <v/>
      </c>
      <c r="L4558" s="0" t="str">
        <f aca="false">IF(B4558="","",VALUE(LEFT(B4558,2)))</f>
        <v/>
      </c>
      <c r="M4558" s="0" t="str">
        <f aca="false">IF(A4558="","",IF(COUNTIFS($C$2:$C$5001,C4558,$J$2:$J$5001,J4558,$A$2:$A$5001,"&lt;"&amp;A4558)=0,1,0))</f>
        <v/>
      </c>
    </row>
    <row r="4559" customFormat="false" ht="15" hidden="false" customHeight="false" outlineLevel="0" collapsed="false">
      <c r="A4559" s="27"/>
      <c r="F4559" s="28"/>
      <c r="J4559" s="0" t="str">
        <f aca="false">IF(A4559="","",YEAR(A4559))</f>
        <v/>
      </c>
      <c r="K4559" s="0" t="str">
        <f aca="false">IF(A4559="","",MONTH(A4559))</f>
        <v/>
      </c>
      <c r="L4559" s="0" t="str">
        <f aca="false">IF(B4559="","",VALUE(LEFT(B4559,2)))</f>
        <v/>
      </c>
      <c r="M4559" s="0" t="str">
        <f aca="false">IF(A4559="","",IF(COUNTIFS($C$2:$C$5001,C4559,$J$2:$J$5001,J4559,$A$2:$A$5001,"&lt;"&amp;A4559)=0,1,0))</f>
        <v/>
      </c>
    </row>
    <row r="4560" customFormat="false" ht="15" hidden="false" customHeight="false" outlineLevel="0" collapsed="false">
      <c r="A4560" s="27"/>
      <c r="F4560" s="28"/>
      <c r="J4560" s="0" t="str">
        <f aca="false">IF(A4560="","",YEAR(A4560))</f>
        <v/>
      </c>
      <c r="K4560" s="0" t="str">
        <f aca="false">IF(A4560="","",MONTH(A4560))</f>
        <v/>
      </c>
      <c r="L4560" s="0" t="str">
        <f aca="false">IF(B4560="","",VALUE(LEFT(B4560,2)))</f>
        <v/>
      </c>
      <c r="M4560" s="0" t="str">
        <f aca="false">IF(A4560="","",IF(COUNTIFS($C$2:$C$5001,C4560,$J$2:$J$5001,J4560,$A$2:$A$5001,"&lt;"&amp;A4560)=0,1,0))</f>
        <v/>
      </c>
    </row>
    <row r="4561" customFormat="false" ht="15" hidden="false" customHeight="false" outlineLevel="0" collapsed="false">
      <c r="A4561" s="27"/>
      <c r="F4561" s="28"/>
      <c r="J4561" s="0" t="str">
        <f aca="false">IF(A4561="","",YEAR(A4561))</f>
        <v/>
      </c>
      <c r="K4561" s="0" t="str">
        <f aca="false">IF(A4561="","",MONTH(A4561))</f>
        <v/>
      </c>
      <c r="L4561" s="0" t="str">
        <f aca="false">IF(B4561="","",VALUE(LEFT(B4561,2)))</f>
        <v/>
      </c>
      <c r="M4561" s="0" t="str">
        <f aca="false">IF(A4561="","",IF(COUNTIFS($C$2:$C$5001,C4561,$J$2:$J$5001,J4561,$A$2:$A$5001,"&lt;"&amp;A4561)=0,1,0))</f>
        <v/>
      </c>
    </row>
    <row r="4562" customFormat="false" ht="15" hidden="false" customHeight="false" outlineLevel="0" collapsed="false">
      <c r="A4562" s="27"/>
      <c r="F4562" s="28"/>
      <c r="J4562" s="0" t="str">
        <f aca="false">IF(A4562="","",YEAR(A4562))</f>
        <v/>
      </c>
      <c r="K4562" s="0" t="str">
        <f aca="false">IF(A4562="","",MONTH(A4562))</f>
        <v/>
      </c>
      <c r="L4562" s="0" t="str">
        <f aca="false">IF(B4562="","",VALUE(LEFT(B4562,2)))</f>
        <v/>
      </c>
      <c r="M4562" s="0" t="str">
        <f aca="false">IF(A4562="","",IF(COUNTIFS($C$2:$C$5001,C4562,$J$2:$J$5001,J4562,$A$2:$A$5001,"&lt;"&amp;A4562)=0,1,0))</f>
        <v/>
      </c>
    </row>
    <row r="4563" customFormat="false" ht="15" hidden="false" customHeight="false" outlineLevel="0" collapsed="false">
      <c r="A4563" s="27"/>
      <c r="F4563" s="28"/>
      <c r="J4563" s="0" t="str">
        <f aca="false">IF(A4563="","",YEAR(A4563))</f>
        <v/>
      </c>
      <c r="K4563" s="0" t="str">
        <f aca="false">IF(A4563="","",MONTH(A4563))</f>
        <v/>
      </c>
      <c r="L4563" s="0" t="str">
        <f aca="false">IF(B4563="","",VALUE(LEFT(B4563,2)))</f>
        <v/>
      </c>
      <c r="M4563" s="0" t="str">
        <f aca="false">IF(A4563="","",IF(COUNTIFS($C$2:$C$5001,C4563,$J$2:$J$5001,J4563,$A$2:$A$5001,"&lt;"&amp;A4563)=0,1,0))</f>
        <v/>
      </c>
    </row>
    <row r="4564" customFormat="false" ht="15" hidden="false" customHeight="false" outlineLevel="0" collapsed="false">
      <c r="A4564" s="27"/>
      <c r="F4564" s="28"/>
      <c r="J4564" s="0" t="str">
        <f aca="false">IF(A4564="","",YEAR(A4564))</f>
        <v/>
      </c>
      <c r="K4564" s="0" t="str">
        <f aca="false">IF(A4564="","",MONTH(A4564))</f>
        <v/>
      </c>
      <c r="L4564" s="0" t="str">
        <f aca="false">IF(B4564="","",VALUE(LEFT(B4564,2)))</f>
        <v/>
      </c>
      <c r="M4564" s="0" t="str">
        <f aca="false">IF(A4564="","",IF(COUNTIFS($C$2:$C$5001,C4564,$J$2:$J$5001,J4564,$A$2:$A$5001,"&lt;"&amp;A4564)=0,1,0))</f>
        <v/>
      </c>
    </row>
    <row r="4565" customFormat="false" ht="15" hidden="false" customHeight="false" outlineLevel="0" collapsed="false">
      <c r="A4565" s="27"/>
      <c r="F4565" s="28"/>
      <c r="J4565" s="0" t="str">
        <f aca="false">IF(A4565="","",YEAR(A4565))</f>
        <v/>
      </c>
      <c r="K4565" s="0" t="str">
        <f aca="false">IF(A4565="","",MONTH(A4565))</f>
        <v/>
      </c>
      <c r="L4565" s="0" t="str">
        <f aca="false">IF(B4565="","",VALUE(LEFT(B4565,2)))</f>
        <v/>
      </c>
      <c r="M4565" s="0" t="str">
        <f aca="false">IF(A4565="","",IF(COUNTIFS($C$2:$C$5001,C4565,$J$2:$J$5001,J4565,$A$2:$A$5001,"&lt;"&amp;A4565)=0,1,0))</f>
        <v/>
      </c>
    </row>
    <row r="4566" customFormat="false" ht="15" hidden="false" customHeight="false" outlineLevel="0" collapsed="false">
      <c r="A4566" s="27"/>
      <c r="F4566" s="28"/>
      <c r="J4566" s="0" t="str">
        <f aca="false">IF(A4566="","",YEAR(A4566))</f>
        <v/>
      </c>
      <c r="K4566" s="0" t="str">
        <f aca="false">IF(A4566="","",MONTH(A4566))</f>
        <v/>
      </c>
      <c r="L4566" s="0" t="str">
        <f aca="false">IF(B4566="","",VALUE(LEFT(B4566,2)))</f>
        <v/>
      </c>
      <c r="M4566" s="0" t="str">
        <f aca="false">IF(A4566="","",IF(COUNTIFS($C$2:$C$5001,C4566,$J$2:$J$5001,J4566,$A$2:$A$5001,"&lt;"&amp;A4566)=0,1,0))</f>
        <v/>
      </c>
    </row>
    <row r="4567" customFormat="false" ht="15" hidden="false" customHeight="false" outlineLevel="0" collapsed="false">
      <c r="A4567" s="27"/>
      <c r="F4567" s="28"/>
      <c r="J4567" s="0" t="str">
        <f aca="false">IF(A4567="","",YEAR(A4567))</f>
        <v/>
      </c>
      <c r="K4567" s="0" t="str">
        <f aca="false">IF(A4567="","",MONTH(A4567))</f>
        <v/>
      </c>
      <c r="L4567" s="0" t="str">
        <f aca="false">IF(B4567="","",VALUE(LEFT(B4567,2)))</f>
        <v/>
      </c>
      <c r="M4567" s="0" t="str">
        <f aca="false">IF(A4567="","",IF(COUNTIFS($C$2:$C$5001,C4567,$J$2:$J$5001,J4567,$A$2:$A$5001,"&lt;"&amp;A4567)=0,1,0))</f>
        <v/>
      </c>
    </row>
    <row r="4568" customFormat="false" ht="15" hidden="false" customHeight="false" outlineLevel="0" collapsed="false">
      <c r="A4568" s="27"/>
      <c r="F4568" s="28"/>
      <c r="J4568" s="0" t="str">
        <f aca="false">IF(A4568="","",YEAR(A4568))</f>
        <v/>
      </c>
      <c r="K4568" s="0" t="str">
        <f aca="false">IF(A4568="","",MONTH(A4568))</f>
        <v/>
      </c>
      <c r="L4568" s="0" t="str">
        <f aca="false">IF(B4568="","",VALUE(LEFT(B4568,2)))</f>
        <v/>
      </c>
      <c r="M4568" s="0" t="str">
        <f aca="false">IF(A4568="","",IF(COUNTIFS($C$2:$C$5001,C4568,$J$2:$J$5001,J4568,$A$2:$A$5001,"&lt;"&amp;A4568)=0,1,0))</f>
        <v/>
      </c>
    </row>
    <row r="4569" customFormat="false" ht="15" hidden="false" customHeight="false" outlineLevel="0" collapsed="false">
      <c r="A4569" s="27"/>
      <c r="F4569" s="28"/>
      <c r="J4569" s="0" t="str">
        <f aca="false">IF(A4569="","",YEAR(A4569))</f>
        <v/>
      </c>
      <c r="K4569" s="0" t="str">
        <f aca="false">IF(A4569="","",MONTH(A4569))</f>
        <v/>
      </c>
      <c r="L4569" s="0" t="str">
        <f aca="false">IF(B4569="","",VALUE(LEFT(B4569,2)))</f>
        <v/>
      </c>
      <c r="M4569" s="0" t="str">
        <f aca="false">IF(A4569="","",IF(COUNTIFS($C$2:$C$5001,C4569,$J$2:$J$5001,J4569,$A$2:$A$5001,"&lt;"&amp;A4569)=0,1,0))</f>
        <v/>
      </c>
    </row>
    <row r="4570" customFormat="false" ht="15" hidden="false" customHeight="false" outlineLevel="0" collapsed="false">
      <c r="A4570" s="27"/>
      <c r="F4570" s="28"/>
      <c r="J4570" s="0" t="str">
        <f aca="false">IF(A4570="","",YEAR(A4570))</f>
        <v/>
      </c>
      <c r="K4570" s="0" t="str">
        <f aca="false">IF(A4570="","",MONTH(A4570))</f>
        <v/>
      </c>
      <c r="L4570" s="0" t="str">
        <f aca="false">IF(B4570="","",VALUE(LEFT(B4570,2)))</f>
        <v/>
      </c>
      <c r="M4570" s="0" t="str">
        <f aca="false">IF(A4570="","",IF(COUNTIFS($C$2:$C$5001,C4570,$J$2:$J$5001,J4570,$A$2:$A$5001,"&lt;"&amp;A4570)=0,1,0))</f>
        <v/>
      </c>
    </row>
    <row r="4571" customFormat="false" ht="15" hidden="false" customHeight="false" outlineLevel="0" collapsed="false">
      <c r="A4571" s="27"/>
      <c r="F4571" s="28"/>
      <c r="J4571" s="0" t="str">
        <f aca="false">IF(A4571="","",YEAR(A4571))</f>
        <v/>
      </c>
      <c r="K4571" s="0" t="str">
        <f aca="false">IF(A4571="","",MONTH(A4571))</f>
        <v/>
      </c>
      <c r="L4571" s="0" t="str">
        <f aca="false">IF(B4571="","",VALUE(LEFT(B4571,2)))</f>
        <v/>
      </c>
      <c r="M4571" s="0" t="str">
        <f aca="false">IF(A4571="","",IF(COUNTIFS($C$2:$C$5001,C4571,$J$2:$J$5001,J4571,$A$2:$A$5001,"&lt;"&amp;A4571)=0,1,0))</f>
        <v/>
      </c>
    </row>
    <row r="4572" customFormat="false" ht="15" hidden="false" customHeight="false" outlineLevel="0" collapsed="false">
      <c r="A4572" s="27"/>
      <c r="F4572" s="28"/>
      <c r="J4572" s="0" t="str">
        <f aca="false">IF(A4572="","",YEAR(A4572))</f>
        <v/>
      </c>
      <c r="K4572" s="0" t="str">
        <f aca="false">IF(A4572="","",MONTH(A4572))</f>
        <v/>
      </c>
      <c r="L4572" s="0" t="str">
        <f aca="false">IF(B4572="","",VALUE(LEFT(B4572,2)))</f>
        <v/>
      </c>
      <c r="M4572" s="0" t="str">
        <f aca="false">IF(A4572="","",IF(COUNTIFS($C$2:$C$5001,C4572,$J$2:$J$5001,J4572,$A$2:$A$5001,"&lt;"&amp;A4572)=0,1,0))</f>
        <v/>
      </c>
    </row>
    <row r="4573" customFormat="false" ht="15" hidden="false" customHeight="false" outlineLevel="0" collapsed="false">
      <c r="A4573" s="27"/>
      <c r="F4573" s="28"/>
      <c r="J4573" s="0" t="str">
        <f aca="false">IF(A4573="","",YEAR(A4573))</f>
        <v/>
      </c>
      <c r="K4573" s="0" t="str">
        <f aca="false">IF(A4573="","",MONTH(A4573))</f>
        <v/>
      </c>
      <c r="L4573" s="0" t="str">
        <f aca="false">IF(B4573="","",VALUE(LEFT(B4573,2)))</f>
        <v/>
      </c>
      <c r="M4573" s="0" t="str">
        <f aca="false">IF(A4573="","",IF(COUNTIFS($C$2:$C$5001,C4573,$J$2:$J$5001,J4573,$A$2:$A$5001,"&lt;"&amp;A4573)=0,1,0))</f>
        <v/>
      </c>
    </row>
    <row r="4574" customFormat="false" ht="15" hidden="false" customHeight="false" outlineLevel="0" collapsed="false">
      <c r="A4574" s="27"/>
      <c r="F4574" s="28"/>
      <c r="J4574" s="0" t="str">
        <f aca="false">IF(A4574="","",YEAR(A4574))</f>
        <v/>
      </c>
      <c r="K4574" s="0" t="str">
        <f aca="false">IF(A4574="","",MONTH(A4574))</f>
        <v/>
      </c>
      <c r="L4574" s="0" t="str">
        <f aca="false">IF(B4574="","",VALUE(LEFT(B4574,2)))</f>
        <v/>
      </c>
      <c r="M4574" s="0" t="str">
        <f aca="false">IF(A4574="","",IF(COUNTIFS($C$2:$C$5001,C4574,$J$2:$J$5001,J4574,$A$2:$A$5001,"&lt;"&amp;A4574)=0,1,0))</f>
        <v/>
      </c>
    </row>
    <row r="4575" customFormat="false" ht="15" hidden="false" customHeight="false" outlineLevel="0" collapsed="false">
      <c r="A4575" s="27"/>
      <c r="F4575" s="28"/>
      <c r="J4575" s="0" t="str">
        <f aca="false">IF(A4575="","",YEAR(A4575))</f>
        <v/>
      </c>
      <c r="K4575" s="0" t="str">
        <f aca="false">IF(A4575="","",MONTH(A4575))</f>
        <v/>
      </c>
      <c r="L4575" s="0" t="str">
        <f aca="false">IF(B4575="","",VALUE(LEFT(B4575,2)))</f>
        <v/>
      </c>
      <c r="M4575" s="0" t="str">
        <f aca="false">IF(A4575="","",IF(COUNTIFS($C$2:$C$5001,C4575,$J$2:$J$5001,J4575,$A$2:$A$5001,"&lt;"&amp;A4575)=0,1,0))</f>
        <v/>
      </c>
    </row>
    <row r="4576" customFormat="false" ht="15" hidden="false" customHeight="false" outlineLevel="0" collapsed="false">
      <c r="A4576" s="27"/>
      <c r="F4576" s="28"/>
      <c r="J4576" s="0" t="str">
        <f aca="false">IF(A4576="","",YEAR(A4576))</f>
        <v/>
      </c>
      <c r="K4576" s="0" t="str">
        <f aca="false">IF(A4576="","",MONTH(A4576))</f>
        <v/>
      </c>
      <c r="L4576" s="0" t="str">
        <f aca="false">IF(B4576="","",VALUE(LEFT(B4576,2)))</f>
        <v/>
      </c>
      <c r="M4576" s="0" t="str">
        <f aca="false">IF(A4576="","",IF(COUNTIFS($C$2:$C$5001,C4576,$J$2:$J$5001,J4576,$A$2:$A$5001,"&lt;"&amp;A4576)=0,1,0))</f>
        <v/>
      </c>
    </row>
    <row r="4577" customFormat="false" ht="15" hidden="false" customHeight="false" outlineLevel="0" collapsed="false">
      <c r="A4577" s="27"/>
      <c r="F4577" s="28"/>
      <c r="J4577" s="0" t="str">
        <f aca="false">IF(A4577="","",YEAR(A4577))</f>
        <v/>
      </c>
      <c r="K4577" s="0" t="str">
        <f aca="false">IF(A4577="","",MONTH(A4577))</f>
        <v/>
      </c>
      <c r="L4577" s="0" t="str">
        <f aca="false">IF(B4577="","",VALUE(LEFT(B4577,2)))</f>
        <v/>
      </c>
      <c r="M4577" s="0" t="str">
        <f aca="false">IF(A4577="","",IF(COUNTIFS($C$2:$C$5001,C4577,$J$2:$J$5001,J4577,$A$2:$A$5001,"&lt;"&amp;A4577)=0,1,0))</f>
        <v/>
      </c>
    </row>
    <row r="4578" customFormat="false" ht="15" hidden="false" customHeight="false" outlineLevel="0" collapsed="false">
      <c r="A4578" s="27"/>
      <c r="F4578" s="28"/>
      <c r="J4578" s="0" t="str">
        <f aca="false">IF(A4578="","",YEAR(A4578))</f>
        <v/>
      </c>
      <c r="K4578" s="0" t="str">
        <f aca="false">IF(A4578="","",MONTH(A4578))</f>
        <v/>
      </c>
      <c r="L4578" s="0" t="str">
        <f aca="false">IF(B4578="","",VALUE(LEFT(B4578,2)))</f>
        <v/>
      </c>
      <c r="M4578" s="0" t="str">
        <f aca="false">IF(A4578="","",IF(COUNTIFS($C$2:$C$5001,C4578,$J$2:$J$5001,J4578,$A$2:$A$5001,"&lt;"&amp;A4578)=0,1,0))</f>
        <v/>
      </c>
    </row>
    <row r="4579" customFormat="false" ht="15" hidden="false" customHeight="false" outlineLevel="0" collapsed="false">
      <c r="A4579" s="27"/>
      <c r="F4579" s="28"/>
      <c r="J4579" s="0" t="str">
        <f aca="false">IF(A4579="","",YEAR(A4579))</f>
        <v/>
      </c>
      <c r="K4579" s="0" t="str">
        <f aca="false">IF(A4579="","",MONTH(A4579))</f>
        <v/>
      </c>
      <c r="L4579" s="0" t="str">
        <f aca="false">IF(B4579="","",VALUE(LEFT(B4579,2)))</f>
        <v/>
      </c>
      <c r="M4579" s="0" t="str">
        <f aca="false">IF(A4579="","",IF(COUNTIFS($C$2:$C$5001,C4579,$J$2:$J$5001,J4579,$A$2:$A$5001,"&lt;"&amp;A4579)=0,1,0))</f>
        <v/>
      </c>
    </row>
    <row r="4580" customFormat="false" ht="15" hidden="false" customHeight="false" outlineLevel="0" collapsed="false">
      <c r="A4580" s="27"/>
      <c r="F4580" s="28"/>
      <c r="J4580" s="0" t="str">
        <f aca="false">IF(A4580="","",YEAR(A4580))</f>
        <v/>
      </c>
      <c r="K4580" s="0" t="str">
        <f aca="false">IF(A4580="","",MONTH(A4580))</f>
        <v/>
      </c>
      <c r="L4580" s="0" t="str">
        <f aca="false">IF(B4580="","",VALUE(LEFT(B4580,2)))</f>
        <v/>
      </c>
      <c r="M4580" s="0" t="str">
        <f aca="false">IF(A4580="","",IF(COUNTIFS($C$2:$C$5001,C4580,$J$2:$J$5001,J4580,$A$2:$A$5001,"&lt;"&amp;A4580)=0,1,0))</f>
        <v/>
      </c>
    </row>
    <row r="4581" customFormat="false" ht="15" hidden="false" customHeight="false" outlineLevel="0" collapsed="false">
      <c r="A4581" s="27"/>
      <c r="F4581" s="28"/>
      <c r="J4581" s="0" t="str">
        <f aca="false">IF(A4581="","",YEAR(A4581))</f>
        <v/>
      </c>
      <c r="K4581" s="0" t="str">
        <f aca="false">IF(A4581="","",MONTH(A4581))</f>
        <v/>
      </c>
      <c r="L4581" s="0" t="str">
        <f aca="false">IF(B4581="","",VALUE(LEFT(B4581,2)))</f>
        <v/>
      </c>
      <c r="M4581" s="0" t="str">
        <f aca="false">IF(A4581="","",IF(COUNTIFS($C$2:$C$5001,C4581,$J$2:$J$5001,J4581,$A$2:$A$5001,"&lt;"&amp;A4581)=0,1,0))</f>
        <v/>
      </c>
    </row>
    <row r="4582" customFormat="false" ht="15" hidden="false" customHeight="false" outlineLevel="0" collapsed="false">
      <c r="A4582" s="27"/>
      <c r="F4582" s="28"/>
      <c r="J4582" s="0" t="str">
        <f aca="false">IF(A4582="","",YEAR(A4582))</f>
        <v/>
      </c>
      <c r="K4582" s="0" t="str">
        <f aca="false">IF(A4582="","",MONTH(A4582))</f>
        <v/>
      </c>
      <c r="L4582" s="0" t="str">
        <f aca="false">IF(B4582="","",VALUE(LEFT(B4582,2)))</f>
        <v/>
      </c>
      <c r="M4582" s="0" t="str">
        <f aca="false">IF(A4582="","",IF(COUNTIFS($C$2:$C$5001,C4582,$J$2:$J$5001,J4582,$A$2:$A$5001,"&lt;"&amp;A4582)=0,1,0))</f>
        <v/>
      </c>
    </row>
    <row r="4583" customFormat="false" ht="15" hidden="false" customHeight="false" outlineLevel="0" collapsed="false">
      <c r="A4583" s="27"/>
      <c r="F4583" s="28"/>
      <c r="J4583" s="0" t="str">
        <f aca="false">IF(A4583="","",YEAR(A4583))</f>
        <v/>
      </c>
      <c r="K4583" s="0" t="str">
        <f aca="false">IF(A4583="","",MONTH(A4583))</f>
        <v/>
      </c>
      <c r="L4583" s="0" t="str">
        <f aca="false">IF(B4583="","",VALUE(LEFT(B4583,2)))</f>
        <v/>
      </c>
      <c r="M4583" s="0" t="str">
        <f aca="false">IF(A4583="","",IF(COUNTIFS($C$2:$C$5001,C4583,$J$2:$J$5001,J4583,$A$2:$A$5001,"&lt;"&amp;A4583)=0,1,0))</f>
        <v/>
      </c>
    </row>
    <row r="4584" customFormat="false" ht="15" hidden="false" customHeight="false" outlineLevel="0" collapsed="false">
      <c r="A4584" s="27"/>
      <c r="F4584" s="28"/>
      <c r="J4584" s="0" t="str">
        <f aca="false">IF(A4584="","",YEAR(A4584))</f>
        <v/>
      </c>
      <c r="K4584" s="0" t="str">
        <f aca="false">IF(A4584="","",MONTH(A4584))</f>
        <v/>
      </c>
      <c r="L4584" s="0" t="str">
        <f aca="false">IF(B4584="","",VALUE(LEFT(B4584,2)))</f>
        <v/>
      </c>
      <c r="M4584" s="0" t="str">
        <f aca="false">IF(A4584="","",IF(COUNTIFS($C$2:$C$5001,C4584,$J$2:$J$5001,J4584,$A$2:$A$5001,"&lt;"&amp;A4584)=0,1,0))</f>
        <v/>
      </c>
    </row>
    <row r="4585" customFormat="false" ht="15" hidden="false" customHeight="false" outlineLevel="0" collapsed="false">
      <c r="A4585" s="27"/>
      <c r="F4585" s="28"/>
      <c r="J4585" s="0" t="str">
        <f aca="false">IF(A4585="","",YEAR(A4585))</f>
        <v/>
      </c>
      <c r="K4585" s="0" t="str">
        <f aca="false">IF(A4585="","",MONTH(A4585))</f>
        <v/>
      </c>
      <c r="L4585" s="0" t="str">
        <f aca="false">IF(B4585="","",VALUE(LEFT(B4585,2)))</f>
        <v/>
      </c>
      <c r="M4585" s="0" t="str">
        <f aca="false">IF(A4585="","",IF(COUNTIFS($C$2:$C$5001,C4585,$J$2:$J$5001,J4585,$A$2:$A$5001,"&lt;"&amp;A4585)=0,1,0))</f>
        <v/>
      </c>
    </row>
    <row r="4586" customFormat="false" ht="15" hidden="false" customHeight="false" outlineLevel="0" collapsed="false">
      <c r="A4586" s="27"/>
      <c r="F4586" s="28"/>
      <c r="J4586" s="0" t="str">
        <f aca="false">IF(A4586="","",YEAR(A4586))</f>
        <v/>
      </c>
      <c r="K4586" s="0" t="str">
        <f aca="false">IF(A4586="","",MONTH(A4586))</f>
        <v/>
      </c>
      <c r="L4586" s="0" t="str">
        <f aca="false">IF(B4586="","",VALUE(LEFT(B4586,2)))</f>
        <v/>
      </c>
      <c r="M4586" s="0" t="str">
        <f aca="false">IF(A4586="","",IF(COUNTIFS($C$2:$C$5001,C4586,$J$2:$J$5001,J4586,$A$2:$A$5001,"&lt;"&amp;A4586)=0,1,0))</f>
        <v/>
      </c>
    </row>
    <row r="4587" customFormat="false" ht="15" hidden="false" customHeight="false" outlineLevel="0" collapsed="false">
      <c r="A4587" s="27"/>
      <c r="F4587" s="28"/>
      <c r="J4587" s="0" t="str">
        <f aca="false">IF(A4587="","",YEAR(A4587))</f>
        <v/>
      </c>
      <c r="K4587" s="0" t="str">
        <f aca="false">IF(A4587="","",MONTH(A4587))</f>
        <v/>
      </c>
      <c r="L4587" s="0" t="str">
        <f aca="false">IF(B4587="","",VALUE(LEFT(B4587,2)))</f>
        <v/>
      </c>
      <c r="M4587" s="0" t="str">
        <f aca="false">IF(A4587="","",IF(COUNTIFS($C$2:$C$5001,C4587,$J$2:$J$5001,J4587,$A$2:$A$5001,"&lt;"&amp;A4587)=0,1,0))</f>
        <v/>
      </c>
    </row>
    <row r="4588" customFormat="false" ht="15" hidden="false" customHeight="false" outlineLevel="0" collapsed="false">
      <c r="A4588" s="27"/>
      <c r="F4588" s="28"/>
      <c r="J4588" s="0" t="str">
        <f aca="false">IF(A4588="","",YEAR(A4588))</f>
        <v/>
      </c>
      <c r="K4588" s="0" t="str">
        <f aca="false">IF(A4588="","",MONTH(A4588))</f>
        <v/>
      </c>
      <c r="L4588" s="0" t="str">
        <f aca="false">IF(B4588="","",VALUE(LEFT(B4588,2)))</f>
        <v/>
      </c>
      <c r="M4588" s="0" t="str">
        <f aca="false">IF(A4588="","",IF(COUNTIFS($C$2:$C$5001,C4588,$J$2:$J$5001,J4588,$A$2:$A$5001,"&lt;"&amp;A4588)=0,1,0))</f>
        <v/>
      </c>
    </row>
    <row r="4589" customFormat="false" ht="15" hidden="false" customHeight="false" outlineLevel="0" collapsed="false">
      <c r="A4589" s="27"/>
      <c r="F4589" s="28"/>
      <c r="J4589" s="0" t="str">
        <f aca="false">IF(A4589="","",YEAR(A4589))</f>
        <v/>
      </c>
      <c r="K4589" s="0" t="str">
        <f aca="false">IF(A4589="","",MONTH(A4589))</f>
        <v/>
      </c>
      <c r="L4589" s="0" t="str">
        <f aca="false">IF(B4589="","",VALUE(LEFT(B4589,2)))</f>
        <v/>
      </c>
      <c r="M4589" s="0" t="str">
        <f aca="false">IF(A4589="","",IF(COUNTIFS($C$2:$C$5001,C4589,$J$2:$J$5001,J4589,$A$2:$A$5001,"&lt;"&amp;A4589)=0,1,0))</f>
        <v/>
      </c>
    </row>
    <row r="4590" customFormat="false" ht="15" hidden="false" customHeight="false" outlineLevel="0" collapsed="false">
      <c r="A4590" s="27"/>
      <c r="F4590" s="28"/>
      <c r="J4590" s="0" t="str">
        <f aca="false">IF(A4590="","",YEAR(A4590))</f>
        <v/>
      </c>
      <c r="K4590" s="0" t="str">
        <f aca="false">IF(A4590="","",MONTH(A4590))</f>
        <v/>
      </c>
      <c r="L4590" s="0" t="str">
        <f aca="false">IF(B4590="","",VALUE(LEFT(B4590,2)))</f>
        <v/>
      </c>
      <c r="M4590" s="0" t="str">
        <f aca="false">IF(A4590="","",IF(COUNTIFS($C$2:$C$5001,C4590,$J$2:$J$5001,J4590,$A$2:$A$5001,"&lt;"&amp;A4590)=0,1,0))</f>
        <v/>
      </c>
    </row>
    <row r="4591" customFormat="false" ht="15" hidden="false" customHeight="false" outlineLevel="0" collapsed="false">
      <c r="A4591" s="27"/>
      <c r="F4591" s="28"/>
      <c r="J4591" s="0" t="str">
        <f aca="false">IF(A4591="","",YEAR(A4591))</f>
        <v/>
      </c>
      <c r="K4591" s="0" t="str">
        <f aca="false">IF(A4591="","",MONTH(A4591))</f>
        <v/>
      </c>
      <c r="L4591" s="0" t="str">
        <f aca="false">IF(B4591="","",VALUE(LEFT(B4591,2)))</f>
        <v/>
      </c>
      <c r="M4591" s="0" t="str">
        <f aca="false">IF(A4591="","",IF(COUNTIFS($C$2:$C$5001,C4591,$J$2:$J$5001,J4591,$A$2:$A$5001,"&lt;"&amp;A4591)=0,1,0))</f>
        <v/>
      </c>
    </row>
    <row r="4592" customFormat="false" ht="15" hidden="false" customHeight="false" outlineLevel="0" collapsed="false">
      <c r="A4592" s="27"/>
      <c r="F4592" s="28"/>
      <c r="J4592" s="0" t="str">
        <f aca="false">IF(A4592="","",YEAR(A4592))</f>
        <v/>
      </c>
      <c r="K4592" s="0" t="str">
        <f aca="false">IF(A4592="","",MONTH(A4592))</f>
        <v/>
      </c>
      <c r="L4592" s="0" t="str">
        <f aca="false">IF(B4592="","",VALUE(LEFT(B4592,2)))</f>
        <v/>
      </c>
      <c r="M4592" s="0" t="str">
        <f aca="false">IF(A4592="","",IF(COUNTIFS($C$2:$C$5001,C4592,$J$2:$J$5001,J4592,$A$2:$A$5001,"&lt;"&amp;A4592)=0,1,0))</f>
        <v/>
      </c>
    </row>
    <row r="4593" customFormat="false" ht="15" hidden="false" customHeight="false" outlineLevel="0" collapsed="false">
      <c r="A4593" s="27"/>
      <c r="F4593" s="28"/>
      <c r="J4593" s="0" t="str">
        <f aca="false">IF(A4593="","",YEAR(A4593))</f>
        <v/>
      </c>
      <c r="K4593" s="0" t="str">
        <f aca="false">IF(A4593="","",MONTH(A4593))</f>
        <v/>
      </c>
      <c r="L4593" s="0" t="str">
        <f aca="false">IF(B4593="","",VALUE(LEFT(B4593,2)))</f>
        <v/>
      </c>
      <c r="M4593" s="0" t="str">
        <f aca="false">IF(A4593="","",IF(COUNTIFS($C$2:$C$5001,C4593,$J$2:$J$5001,J4593,$A$2:$A$5001,"&lt;"&amp;A4593)=0,1,0))</f>
        <v/>
      </c>
    </row>
    <row r="4594" customFormat="false" ht="15" hidden="false" customHeight="false" outlineLevel="0" collapsed="false">
      <c r="A4594" s="27"/>
      <c r="F4594" s="28"/>
      <c r="J4594" s="0" t="str">
        <f aca="false">IF(A4594="","",YEAR(A4594))</f>
        <v/>
      </c>
      <c r="K4594" s="0" t="str">
        <f aca="false">IF(A4594="","",MONTH(A4594))</f>
        <v/>
      </c>
      <c r="L4594" s="0" t="str">
        <f aca="false">IF(B4594="","",VALUE(LEFT(B4594,2)))</f>
        <v/>
      </c>
      <c r="M4594" s="0" t="str">
        <f aca="false">IF(A4594="","",IF(COUNTIFS($C$2:$C$5001,C4594,$J$2:$J$5001,J4594,$A$2:$A$5001,"&lt;"&amp;A4594)=0,1,0))</f>
        <v/>
      </c>
    </row>
    <row r="4595" customFormat="false" ht="15" hidden="false" customHeight="false" outlineLevel="0" collapsed="false">
      <c r="A4595" s="27"/>
      <c r="F4595" s="28"/>
      <c r="J4595" s="0" t="str">
        <f aca="false">IF(A4595="","",YEAR(A4595))</f>
        <v/>
      </c>
      <c r="K4595" s="0" t="str">
        <f aca="false">IF(A4595="","",MONTH(A4595))</f>
        <v/>
      </c>
      <c r="L4595" s="0" t="str">
        <f aca="false">IF(B4595="","",VALUE(LEFT(B4595,2)))</f>
        <v/>
      </c>
      <c r="M4595" s="0" t="str">
        <f aca="false">IF(A4595="","",IF(COUNTIFS($C$2:$C$5001,C4595,$J$2:$J$5001,J4595,$A$2:$A$5001,"&lt;"&amp;A4595)=0,1,0))</f>
        <v/>
      </c>
    </row>
    <row r="4596" customFormat="false" ht="15" hidden="false" customHeight="false" outlineLevel="0" collapsed="false">
      <c r="A4596" s="27"/>
      <c r="F4596" s="28"/>
      <c r="J4596" s="0" t="str">
        <f aca="false">IF(A4596="","",YEAR(A4596))</f>
        <v/>
      </c>
      <c r="K4596" s="0" t="str">
        <f aca="false">IF(A4596="","",MONTH(A4596))</f>
        <v/>
      </c>
      <c r="L4596" s="0" t="str">
        <f aca="false">IF(B4596="","",VALUE(LEFT(B4596,2)))</f>
        <v/>
      </c>
      <c r="M4596" s="0" t="str">
        <f aca="false">IF(A4596="","",IF(COUNTIFS($C$2:$C$5001,C4596,$J$2:$J$5001,J4596,$A$2:$A$5001,"&lt;"&amp;A4596)=0,1,0))</f>
        <v/>
      </c>
    </row>
    <row r="4597" customFormat="false" ht="15" hidden="false" customHeight="false" outlineLevel="0" collapsed="false">
      <c r="A4597" s="27"/>
      <c r="F4597" s="28"/>
      <c r="J4597" s="0" t="str">
        <f aca="false">IF(A4597="","",YEAR(A4597))</f>
        <v/>
      </c>
      <c r="K4597" s="0" t="str">
        <f aca="false">IF(A4597="","",MONTH(A4597))</f>
        <v/>
      </c>
      <c r="L4597" s="0" t="str">
        <f aca="false">IF(B4597="","",VALUE(LEFT(B4597,2)))</f>
        <v/>
      </c>
      <c r="M4597" s="0" t="str">
        <f aca="false">IF(A4597="","",IF(COUNTIFS($C$2:$C$5001,C4597,$J$2:$J$5001,J4597,$A$2:$A$5001,"&lt;"&amp;A4597)=0,1,0))</f>
        <v/>
      </c>
    </row>
    <row r="4598" customFormat="false" ht="15" hidden="false" customHeight="false" outlineLevel="0" collapsed="false">
      <c r="A4598" s="27"/>
      <c r="F4598" s="28"/>
      <c r="J4598" s="0" t="str">
        <f aca="false">IF(A4598="","",YEAR(A4598))</f>
        <v/>
      </c>
      <c r="K4598" s="0" t="str">
        <f aca="false">IF(A4598="","",MONTH(A4598))</f>
        <v/>
      </c>
      <c r="L4598" s="0" t="str">
        <f aca="false">IF(B4598="","",VALUE(LEFT(B4598,2)))</f>
        <v/>
      </c>
      <c r="M4598" s="0" t="str">
        <f aca="false">IF(A4598="","",IF(COUNTIFS($C$2:$C$5001,C4598,$J$2:$J$5001,J4598,$A$2:$A$5001,"&lt;"&amp;A4598)=0,1,0))</f>
        <v/>
      </c>
    </row>
    <row r="4599" customFormat="false" ht="15" hidden="false" customHeight="false" outlineLevel="0" collapsed="false">
      <c r="A4599" s="27"/>
      <c r="F4599" s="28"/>
      <c r="J4599" s="0" t="str">
        <f aca="false">IF(A4599="","",YEAR(A4599))</f>
        <v/>
      </c>
      <c r="K4599" s="0" t="str">
        <f aca="false">IF(A4599="","",MONTH(A4599))</f>
        <v/>
      </c>
      <c r="L4599" s="0" t="str">
        <f aca="false">IF(B4599="","",VALUE(LEFT(B4599,2)))</f>
        <v/>
      </c>
      <c r="M4599" s="0" t="str">
        <f aca="false">IF(A4599="","",IF(COUNTIFS($C$2:$C$5001,C4599,$J$2:$J$5001,J4599,$A$2:$A$5001,"&lt;"&amp;A4599)=0,1,0))</f>
        <v/>
      </c>
    </row>
    <row r="4600" customFormat="false" ht="15" hidden="false" customHeight="false" outlineLevel="0" collapsed="false">
      <c r="A4600" s="27"/>
      <c r="F4600" s="28"/>
      <c r="J4600" s="0" t="str">
        <f aca="false">IF(A4600="","",YEAR(A4600))</f>
        <v/>
      </c>
      <c r="K4600" s="0" t="str">
        <f aca="false">IF(A4600="","",MONTH(A4600))</f>
        <v/>
      </c>
      <c r="L4600" s="0" t="str">
        <f aca="false">IF(B4600="","",VALUE(LEFT(B4600,2)))</f>
        <v/>
      </c>
      <c r="M4600" s="0" t="str">
        <f aca="false">IF(A4600="","",IF(COUNTIFS($C$2:$C$5001,C4600,$J$2:$J$5001,J4600,$A$2:$A$5001,"&lt;"&amp;A4600)=0,1,0))</f>
        <v/>
      </c>
    </row>
    <row r="4601" customFormat="false" ht="15" hidden="false" customHeight="false" outlineLevel="0" collapsed="false">
      <c r="A4601" s="27"/>
      <c r="F4601" s="28"/>
      <c r="J4601" s="0" t="str">
        <f aca="false">IF(A4601="","",YEAR(A4601))</f>
        <v/>
      </c>
      <c r="K4601" s="0" t="str">
        <f aca="false">IF(A4601="","",MONTH(A4601))</f>
        <v/>
      </c>
      <c r="L4601" s="0" t="str">
        <f aca="false">IF(B4601="","",VALUE(LEFT(B4601,2)))</f>
        <v/>
      </c>
      <c r="M4601" s="0" t="str">
        <f aca="false">IF(A4601="","",IF(COUNTIFS($C$2:$C$5001,C4601,$J$2:$J$5001,J4601,$A$2:$A$5001,"&lt;"&amp;A4601)=0,1,0))</f>
        <v/>
      </c>
    </row>
    <row r="4602" customFormat="false" ht="15" hidden="false" customHeight="false" outlineLevel="0" collapsed="false">
      <c r="A4602" s="27"/>
      <c r="F4602" s="28"/>
      <c r="J4602" s="0" t="str">
        <f aca="false">IF(A4602="","",YEAR(A4602))</f>
        <v/>
      </c>
      <c r="K4602" s="0" t="str">
        <f aca="false">IF(A4602="","",MONTH(A4602))</f>
        <v/>
      </c>
      <c r="L4602" s="0" t="str">
        <f aca="false">IF(B4602="","",VALUE(LEFT(B4602,2)))</f>
        <v/>
      </c>
      <c r="M4602" s="0" t="str">
        <f aca="false">IF(A4602="","",IF(COUNTIFS($C$2:$C$5001,C4602,$J$2:$J$5001,J4602,$A$2:$A$5001,"&lt;"&amp;A4602)=0,1,0))</f>
        <v/>
      </c>
    </row>
    <row r="4603" customFormat="false" ht="15" hidden="false" customHeight="false" outlineLevel="0" collapsed="false">
      <c r="A4603" s="27"/>
      <c r="F4603" s="28"/>
      <c r="J4603" s="0" t="str">
        <f aca="false">IF(A4603="","",YEAR(A4603))</f>
        <v/>
      </c>
      <c r="K4603" s="0" t="str">
        <f aca="false">IF(A4603="","",MONTH(A4603))</f>
        <v/>
      </c>
      <c r="L4603" s="0" t="str">
        <f aca="false">IF(B4603="","",VALUE(LEFT(B4603,2)))</f>
        <v/>
      </c>
      <c r="M4603" s="0" t="str">
        <f aca="false">IF(A4603="","",IF(COUNTIFS($C$2:$C$5001,C4603,$J$2:$J$5001,J4603,$A$2:$A$5001,"&lt;"&amp;A4603)=0,1,0))</f>
        <v/>
      </c>
    </row>
    <row r="4604" customFormat="false" ht="15" hidden="false" customHeight="false" outlineLevel="0" collapsed="false">
      <c r="A4604" s="27"/>
      <c r="F4604" s="28"/>
      <c r="J4604" s="0" t="str">
        <f aca="false">IF(A4604="","",YEAR(A4604))</f>
        <v/>
      </c>
      <c r="K4604" s="0" t="str">
        <f aca="false">IF(A4604="","",MONTH(A4604))</f>
        <v/>
      </c>
      <c r="L4604" s="0" t="str">
        <f aca="false">IF(B4604="","",VALUE(LEFT(B4604,2)))</f>
        <v/>
      </c>
      <c r="M4604" s="0" t="str">
        <f aca="false">IF(A4604="","",IF(COUNTIFS($C$2:$C$5001,C4604,$J$2:$J$5001,J4604,$A$2:$A$5001,"&lt;"&amp;A4604)=0,1,0))</f>
        <v/>
      </c>
    </row>
    <row r="4605" customFormat="false" ht="15" hidden="false" customHeight="false" outlineLevel="0" collapsed="false">
      <c r="A4605" s="27"/>
      <c r="F4605" s="28"/>
      <c r="J4605" s="0" t="str">
        <f aca="false">IF(A4605="","",YEAR(A4605))</f>
        <v/>
      </c>
      <c r="K4605" s="0" t="str">
        <f aca="false">IF(A4605="","",MONTH(A4605))</f>
        <v/>
      </c>
      <c r="L4605" s="0" t="str">
        <f aca="false">IF(B4605="","",VALUE(LEFT(B4605,2)))</f>
        <v/>
      </c>
      <c r="M4605" s="0" t="str">
        <f aca="false">IF(A4605="","",IF(COUNTIFS($C$2:$C$5001,C4605,$J$2:$J$5001,J4605,$A$2:$A$5001,"&lt;"&amp;A4605)=0,1,0))</f>
        <v/>
      </c>
    </row>
    <row r="4606" customFormat="false" ht="15" hidden="false" customHeight="false" outlineLevel="0" collapsed="false">
      <c r="A4606" s="27"/>
      <c r="F4606" s="28"/>
      <c r="J4606" s="0" t="str">
        <f aca="false">IF(A4606="","",YEAR(A4606))</f>
        <v/>
      </c>
      <c r="K4606" s="0" t="str">
        <f aca="false">IF(A4606="","",MONTH(A4606))</f>
        <v/>
      </c>
      <c r="L4606" s="0" t="str">
        <f aca="false">IF(B4606="","",VALUE(LEFT(B4606,2)))</f>
        <v/>
      </c>
      <c r="M4606" s="0" t="str">
        <f aca="false">IF(A4606="","",IF(COUNTIFS($C$2:$C$5001,C4606,$J$2:$J$5001,J4606,$A$2:$A$5001,"&lt;"&amp;A4606)=0,1,0))</f>
        <v/>
      </c>
    </row>
    <row r="4607" customFormat="false" ht="15" hidden="false" customHeight="false" outlineLevel="0" collapsed="false">
      <c r="A4607" s="27"/>
      <c r="F4607" s="28"/>
      <c r="J4607" s="0" t="str">
        <f aca="false">IF(A4607="","",YEAR(A4607))</f>
        <v/>
      </c>
      <c r="K4607" s="0" t="str">
        <f aca="false">IF(A4607="","",MONTH(A4607))</f>
        <v/>
      </c>
      <c r="L4607" s="0" t="str">
        <f aca="false">IF(B4607="","",VALUE(LEFT(B4607,2)))</f>
        <v/>
      </c>
      <c r="M4607" s="0" t="str">
        <f aca="false">IF(A4607="","",IF(COUNTIFS($C$2:$C$5001,C4607,$J$2:$J$5001,J4607,$A$2:$A$5001,"&lt;"&amp;A4607)=0,1,0))</f>
        <v/>
      </c>
    </row>
    <row r="4608" customFormat="false" ht="15" hidden="false" customHeight="false" outlineLevel="0" collapsed="false">
      <c r="A4608" s="27"/>
      <c r="F4608" s="28"/>
      <c r="J4608" s="0" t="str">
        <f aca="false">IF(A4608="","",YEAR(A4608))</f>
        <v/>
      </c>
      <c r="K4608" s="0" t="str">
        <f aca="false">IF(A4608="","",MONTH(A4608))</f>
        <v/>
      </c>
      <c r="L4608" s="0" t="str">
        <f aca="false">IF(B4608="","",VALUE(LEFT(B4608,2)))</f>
        <v/>
      </c>
      <c r="M4608" s="0" t="str">
        <f aca="false">IF(A4608="","",IF(COUNTIFS($C$2:$C$5001,C4608,$J$2:$J$5001,J4608,$A$2:$A$5001,"&lt;"&amp;A4608)=0,1,0))</f>
        <v/>
      </c>
    </row>
    <row r="4609" customFormat="false" ht="15" hidden="false" customHeight="false" outlineLevel="0" collapsed="false">
      <c r="A4609" s="27"/>
      <c r="F4609" s="28"/>
      <c r="J4609" s="0" t="str">
        <f aca="false">IF(A4609="","",YEAR(A4609))</f>
        <v/>
      </c>
      <c r="K4609" s="0" t="str">
        <f aca="false">IF(A4609="","",MONTH(A4609))</f>
        <v/>
      </c>
      <c r="L4609" s="0" t="str">
        <f aca="false">IF(B4609="","",VALUE(LEFT(B4609,2)))</f>
        <v/>
      </c>
      <c r="M4609" s="0" t="str">
        <f aca="false">IF(A4609="","",IF(COUNTIFS($C$2:$C$5001,C4609,$J$2:$J$5001,J4609,$A$2:$A$5001,"&lt;"&amp;A4609)=0,1,0))</f>
        <v/>
      </c>
    </row>
    <row r="4610" customFormat="false" ht="15" hidden="false" customHeight="false" outlineLevel="0" collapsed="false">
      <c r="A4610" s="27"/>
      <c r="F4610" s="28"/>
      <c r="J4610" s="0" t="str">
        <f aca="false">IF(A4610="","",YEAR(A4610))</f>
        <v/>
      </c>
      <c r="K4610" s="0" t="str">
        <f aca="false">IF(A4610="","",MONTH(A4610))</f>
        <v/>
      </c>
      <c r="L4610" s="0" t="str">
        <f aca="false">IF(B4610="","",VALUE(LEFT(B4610,2)))</f>
        <v/>
      </c>
      <c r="M4610" s="0" t="str">
        <f aca="false">IF(A4610="","",IF(COUNTIFS($C$2:$C$5001,C4610,$J$2:$J$5001,J4610,$A$2:$A$5001,"&lt;"&amp;A4610)=0,1,0))</f>
        <v/>
      </c>
    </row>
    <row r="4611" customFormat="false" ht="15" hidden="false" customHeight="false" outlineLevel="0" collapsed="false">
      <c r="A4611" s="27"/>
      <c r="F4611" s="28"/>
      <c r="J4611" s="0" t="str">
        <f aca="false">IF(A4611="","",YEAR(A4611))</f>
        <v/>
      </c>
      <c r="K4611" s="0" t="str">
        <f aca="false">IF(A4611="","",MONTH(A4611))</f>
        <v/>
      </c>
      <c r="L4611" s="0" t="str">
        <f aca="false">IF(B4611="","",VALUE(LEFT(B4611,2)))</f>
        <v/>
      </c>
      <c r="M4611" s="0" t="str">
        <f aca="false">IF(A4611="","",IF(COUNTIFS($C$2:$C$5001,C4611,$J$2:$J$5001,J4611,$A$2:$A$5001,"&lt;"&amp;A4611)=0,1,0))</f>
        <v/>
      </c>
    </row>
    <row r="4612" customFormat="false" ht="15" hidden="false" customHeight="false" outlineLevel="0" collapsed="false">
      <c r="A4612" s="27"/>
      <c r="F4612" s="28"/>
      <c r="J4612" s="0" t="str">
        <f aca="false">IF(A4612="","",YEAR(A4612))</f>
        <v/>
      </c>
      <c r="K4612" s="0" t="str">
        <f aca="false">IF(A4612="","",MONTH(A4612))</f>
        <v/>
      </c>
      <c r="L4612" s="0" t="str">
        <f aca="false">IF(B4612="","",VALUE(LEFT(B4612,2)))</f>
        <v/>
      </c>
      <c r="M4612" s="0" t="str">
        <f aca="false">IF(A4612="","",IF(COUNTIFS($C$2:$C$5001,C4612,$J$2:$J$5001,J4612,$A$2:$A$5001,"&lt;"&amp;A4612)=0,1,0))</f>
        <v/>
      </c>
    </row>
    <row r="4613" customFormat="false" ht="15" hidden="false" customHeight="false" outlineLevel="0" collapsed="false">
      <c r="A4613" s="27"/>
      <c r="F4613" s="28"/>
      <c r="J4613" s="0" t="str">
        <f aca="false">IF(A4613="","",YEAR(A4613))</f>
        <v/>
      </c>
      <c r="K4613" s="0" t="str">
        <f aca="false">IF(A4613="","",MONTH(A4613))</f>
        <v/>
      </c>
      <c r="L4613" s="0" t="str">
        <f aca="false">IF(B4613="","",VALUE(LEFT(B4613,2)))</f>
        <v/>
      </c>
      <c r="M4613" s="0" t="str">
        <f aca="false">IF(A4613="","",IF(COUNTIFS($C$2:$C$5001,C4613,$J$2:$J$5001,J4613,$A$2:$A$5001,"&lt;"&amp;A4613)=0,1,0))</f>
        <v/>
      </c>
    </row>
    <row r="4614" customFormat="false" ht="15" hidden="false" customHeight="false" outlineLevel="0" collapsed="false">
      <c r="A4614" s="27"/>
      <c r="F4614" s="28"/>
      <c r="J4614" s="0" t="str">
        <f aca="false">IF(A4614="","",YEAR(A4614))</f>
        <v/>
      </c>
      <c r="K4614" s="0" t="str">
        <f aca="false">IF(A4614="","",MONTH(A4614))</f>
        <v/>
      </c>
      <c r="L4614" s="0" t="str">
        <f aca="false">IF(B4614="","",VALUE(LEFT(B4614,2)))</f>
        <v/>
      </c>
      <c r="M4614" s="0" t="str">
        <f aca="false">IF(A4614="","",IF(COUNTIFS($C$2:$C$5001,C4614,$J$2:$J$5001,J4614,$A$2:$A$5001,"&lt;"&amp;A4614)=0,1,0))</f>
        <v/>
      </c>
    </row>
    <row r="4615" customFormat="false" ht="15" hidden="false" customHeight="false" outlineLevel="0" collapsed="false">
      <c r="A4615" s="27"/>
      <c r="F4615" s="28"/>
      <c r="J4615" s="0" t="str">
        <f aca="false">IF(A4615="","",YEAR(A4615))</f>
        <v/>
      </c>
      <c r="K4615" s="0" t="str">
        <f aca="false">IF(A4615="","",MONTH(A4615))</f>
        <v/>
      </c>
      <c r="L4615" s="0" t="str">
        <f aca="false">IF(B4615="","",VALUE(LEFT(B4615,2)))</f>
        <v/>
      </c>
      <c r="M4615" s="0" t="str">
        <f aca="false">IF(A4615="","",IF(COUNTIFS($C$2:$C$5001,C4615,$J$2:$J$5001,J4615,$A$2:$A$5001,"&lt;"&amp;A4615)=0,1,0))</f>
        <v/>
      </c>
    </row>
    <row r="4616" customFormat="false" ht="15" hidden="false" customHeight="false" outlineLevel="0" collapsed="false">
      <c r="A4616" s="27"/>
      <c r="F4616" s="28"/>
      <c r="J4616" s="0" t="str">
        <f aca="false">IF(A4616="","",YEAR(A4616))</f>
        <v/>
      </c>
      <c r="K4616" s="0" t="str">
        <f aca="false">IF(A4616="","",MONTH(A4616))</f>
        <v/>
      </c>
      <c r="L4616" s="0" t="str">
        <f aca="false">IF(B4616="","",VALUE(LEFT(B4616,2)))</f>
        <v/>
      </c>
      <c r="M4616" s="0" t="str">
        <f aca="false">IF(A4616="","",IF(COUNTIFS($C$2:$C$5001,C4616,$J$2:$J$5001,J4616,$A$2:$A$5001,"&lt;"&amp;A4616)=0,1,0))</f>
        <v/>
      </c>
    </row>
    <row r="4617" customFormat="false" ht="15" hidden="false" customHeight="false" outlineLevel="0" collapsed="false">
      <c r="A4617" s="27"/>
      <c r="F4617" s="28"/>
      <c r="J4617" s="0" t="str">
        <f aca="false">IF(A4617="","",YEAR(A4617))</f>
        <v/>
      </c>
      <c r="K4617" s="0" t="str">
        <f aca="false">IF(A4617="","",MONTH(A4617))</f>
        <v/>
      </c>
      <c r="L4617" s="0" t="str">
        <f aca="false">IF(B4617="","",VALUE(LEFT(B4617,2)))</f>
        <v/>
      </c>
      <c r="M4617" s="0" t="str">
        <f aca="false">IF(A4617="","",IF(COUNTIFS($C$2:$C$5001,C4617,$J$2:$J$5001,J4617,$A$2:$A$5001,"&lt;"&amp;A4617)=0,1,0))</f>
        <v/>
      </c>
    </row>
    <row r="4618" customFormat="false" ht="15" hidden="false" customHeight="false" outlineLevel="0" collapsed="false">
      <c r="A4618" s="27"/>
      <c r="F4618" s="28"/>
      <c r="J4618" s="0" t="str">
        <f aca="false">IF(A4618="","",YEAR(A4618))</f>
        <v/>
      </c>
      <c r="K4618" s="0" t="str">
        <f aca="false">IF(A4618="","",MONTH(A4618))</f>
        <v/>
      </c>
      <c r="L4618" s="0" t="str">
        <f aca="false">IF(B4618="","",VALUE(LEFT(B4618,2)))</f>
        <v/>
      </c>
      <c r="M4618" s="0" t="str">
        <f aca="false">IF(A4618="","",IF(COUNTIFS($C$2:$C$5001,C4618,$J$2:$J$5001,J4618,$A$2:$A$5001,"&lt;"&amp;A4618)=0,1,0))</f>
        <v/>
      </c>
    </row>
    <row r="4619" customFormat="false" ht="15" hidden="false" customHeight="false" outlineLevel="0" collapsed="false">
      <c r="A4619" s="27"/>
      <c r="F4619" s="28"/>
      <c r="J4619" s="0" t="str">
        <f aca="false">IF(A4619="","",YEAR(A4619))</f>
        <v/>
      </c>
      <c r="K4619" s="0" t="str">
        <f aca="false">IF(A4619="","",MONTH(A4619))</f>
        <v/>
      </c>
      <c r="L4619" s="0" t="str">
        <f aca="false">IF(B4619="","",VALUE(LEFT(B4619,2)))</f>
        <v/>
      </c>
      <c r="M4619" s="0" t="str">
        <f aca="false">IF(A4619="","",IF(COUNTIFS($C$2:$C$5001,C4619,$J$2:$J$5001,J4619,$A$2:$A$5001,"&lt;"&amp;A4619)=0,1,0))</f>
        <v/>
      </c>
    </row>
    <row r="4620" customFormat="false" ht="15" hidden="false" customHeight="false" outlineLevel="0" collapsed="false">
      <c r="A4620" s="27"/>
      <c r="F4620" s="28"/>
      <c r="J4620" s="0" t="str">
        <f aca="false">IF(A4620="","",YEAR(A4620))</f>
        <v/>
      </c>
      <c r="K4620" s="0" t="str">
        <f aca="false">IF(A4620="","",MONTH(A4620))</f>
        <v/>
      </c>
      <c r="L4620" s="0" t="str">
        <f aca="false">IF(B4620="","",VALUE(LEFT(B4620,2)))</f>
        <v/>
      </c>
      <c r="M4620" s="0" t="str">
        <f aca="false">IF(A4620="","",IF(COUNTIFS($C$2:$C$5001,C4620,$J$2:$J$5001,J4620,$A$2:$A$5001,"&lt;"&amp;A4620)=0,1,0))</f>
        <v/>
      </c>
    </row>
    <row r="4621" customFormat="false" ht="15" hidden="false" customHeight="false" outlineLevel="0" collapsed="false">
      <c r="A4621" s="27"/>
      <c r="F4621" s="28"/>
      <c r="J4621" s="0" t="str">
        <f aca="false">IF(A4621="","",YEAR(A4621))</f>
        <v/>
      </c>
      <c r="K4621" s="0" t="str">
        <f aca="false">IF(A4621="","",MONTH(A4621))</f>
        <v/>
      </c>
      <c r="L4621" s="0" t="str">
        <f aca="false">IF(B4621="","",VALUE(LEFT(B4621,2)))</f>
        <v/>
      </c>
      <c r="M4621" s="0" t="str">
        <f aca="false">IF(A4621="","",IF(COUNTIFS($C$2:$C$5001,C4621,$J$2:$J$5001,J4621,$A$2:$A$5001,"&lt;"&amp;A4621)=0,1,0))</f>
        <v/>
      </c>
    </row>
    <row r="4622" customFormat="false" ht="15" hidden="false" customHeight="false" outlineLevel="0" collapsed="false">
      <c r="A4622" s="27"/>
      <c r="F4622" s="28"/>
      <c r="J4622" s="0" t="str">
        <f aca="false">IF(A4622="","",YEAR(A4622))</f>
        <v/>
      </c>
      <c r="K4622" s="0" t="str">
        <f aca="false">IF(A4622="","",MONTH(A4622))</f>
        <v/>
      </c>
      <c r="L4622" s="0" t="str">
        <f aca="false">IF(B4622="","",VALUE(LEFT(B4622,2)))</f>
        <v/>
      </c>
      <c r="M4622" s="0" t="str">
        <f aca="false">IF(A4622="","",IF(COUNTIFS($C$2:$C$5001,C4622,$J$2:$J$5001,J4622,$A$2:$A$5001,"&lt;"&amp;A4622)=0,1,0))</f>
        <v/>
      </c>
    </row>
    <row r="4623" customFormat="false" ht="15" hidden="false" customHeight="false" outlineLevel="0" collapsed="false">
      <c r="A4623" s="27"/>
      <c r="F4623" s="28"/>
      <c r="J4623" s="0" t="str">
        <f aca="false">IF(A4623="","",YEAR(A4623))</f>
        <v/>
      </c>
      <c r="K4623" s="0" t="str">
        <f aca="false">IF(A4623="","",MONTH(A4623))</f>
        <v/>
      </c>
      <c r="L4623" s="0" t="str">
        <f aca="false">IF(B4623="","",VALUE(LEFT(B4623,2)))</f>
        <v/>
      </c>
      <c r="M4623" s="0" t="str">
        <f aca="false">IF(A4623="","",IF(COUNTIFS($C$2:$C$5001,C4623,$J$2:$J$5001,J4623,$A$2:$A$5001,"&lt;"&amp;A4623)=0,1,0))</f>
        <v/>
      </c>
    </row>
    <row r="4624" customFormat="false" ht="15" hidden="false" customHeight="false" outlineLevel="0" collapsed="false">
      <c r="A4624" s="27"/>
      <c r="F4624" s="28"/>
      <c r="J4624" s="0" t="str">
        <f aca="false">IF(A4624="","",YEAR(A4624))</f>
        <v/>
      </c>
      <c r="K4624" s="0" t="str">
        <f aca="false">IF(A4624="","",MONTH(A4624))</f>
        <v/>
      </c>
      <c r="L4624" s="0" t="str">
        <f aca="false">IF(B4624="","",VALUE(LEFT(B4624,2)))</f>
        <v/>
      </c>
      <c r="M4624" s="0" t="str">
        <f aca="false">IF(A4624="","",IF(COUNTIFS($C$2:$C$5001,C4624,$J$2:$J$5001,J4624,$A$2:$A$5001,"&lt;"&amp;A4624)=0,1,0))</f>
        <v/>
      </c>
    </row>
    <row r="4625" customFormat="false" ht="15" hidden="false" customHeight="false" outlineLevel="0" collapsed="false">
      <c r="A4625" s="27"/>
      <c r="F4625" s="28"/>
      <c r="J4625" s="0" t="str">
        <f aca="false">IF(A4625="","",YEAR(A4625))</f>
        <v/>
      </c>
      <c r="K4625" s="0" t="str">
        <f aca="false">IF(A4625="","",MONTH(A4625))</f>
        <v/>
      </c>
      <c r="L4625" s="0" t="str">
        <f aca="false">IF(B4625="","",VALUE(LEFT(B4625,2)))</f>
        <v/>
      </c>
      <c r="M4625" s="0" t="str">
        <f aca="false">IF(A4625="","",IF(COUNTIFS($C$2:$C$5001,C4625,$J$2:$J$5001,J4625,$A$2:$A$5001,"&lt;"&amp;A4625)=0,1,0))</f>
        <v/>
      </c>
    </row>
    <row r="4626" customFormat="false" ht="15" hidden="false" customHeight="false" outlineLevel="0" collapsed="false">
      <c r="A4626" s="27"/>
      <c r="F4626" s="28"/>
      <c r="J4626" s="0" t="str">
        <f aca="false">IF(A4626="","",YEAR(A4626))</f>
        <v/>
      </c>
      <c r="K4626" s="0" t="str">
        <f aca="false">IF(A4626="","",MONTH(A4626))</f>
        <v/>
      </c>
      <c r="L4626" s="0" t="str">
        <f aca="false">IF(B4626="","",VALUE(LEFT(B4626,2)))</f>
        <v/>
      </c>
      <c r="M4626" s="0" t="str">
        <f aca="false">IF(A4626="","",IF(COUNTIFS($C$2:$C$5001,C4626,$J$2:$J$5001,J4626,$A$2:$A$5001,"&lt;"&amp;A4626)=0,1,0))</f>
        <v/>
      </c>
    </row>
    <row r="4627" customFormat="false" ht="15" hidden="false" customHeight="false" outlineLevel="0" collapsed="false">
      <c r="A4627" s="27"/>
      <c r="F4627" s="28"/>
      <c r="J4627" s="0" t="str">
        <f aca="false">IF(A4627="","",YEAR(A4627))</f>
        <v/>
      </c>
      <c r="K4627" s="0" t="str">
        <f aca="false">IF(A4627="","",MONTH(A4627))</f>
        <v/>
      </c>
      <c r="L4627" s="0" t="str">
        <f aca="false">IF(B4627="","",VALUE(LEFT(B4627,2)))</f>
        <v/>
      </c>
      <c r="M4627" s="0" t="str">
        <f aca="false">IF(A4627="","",IF(COUNTIFS($C$2:$C$5001,C4627,$J$2:$J$5001,J4627,$A$2:$A$5001,"&lt;"&amp;A4627)=0,1,0))</f>
        <v/>
      </c>
    </row>
    <row r="4628" customFormat="false" ht="15" hidden="false" customHeight="false" outlineLevel="0" collapsed="false">
      <c r="A4628" s="27"/>
      <c r="F4628" s="28"/>
      <c r="J4628" s="0" t="str">
        <f aca="false">IF(A4628="","",YEAR(A4628))</f>
        <v/>
      </c>
      <c r="K4628" s="0" t="str">
        <f aca="false">IF(A4628="","",MONTH(A4628))</f>
        <v/>
      </c>
      <c r="L4628" s="0" t="str">
        <f aca="false">IF(B4628="","",VALUE(LEFT(B4628,2)))</f>
        <v/>
      </c>
      <c r="M4628" s="0" t="str">
        <f aca="false">IF(A4628="","",IF(COUNTIFS($C$2:$C$5001,C4628,$J$2:$J$5001,J4628,$A$2:$A$5001,"&lt;"&amp;A4628)=0,1,0))</f>
        <v/>
      </c>
    </row>
    <row r="4629" customFormat="false" ht="15" hidden="false" customHeight="false" outlineLevel="0" collapsed="false">
      <c r="A4629" s="27"/>
      <c r="F4629" s="28"/>
      <c r="J4629" s="0" t="str">
        <f aca="false">IF(A4629="","",YEAR(A4629))</f>
        <v/>
      </c>
      <c r="K4629" s="0" t="str">
        <f aca="false">IF(A4629="","",MONTH(A4629))</f>
        <v/>
      </c>
      <c r="L4629" s="0" t="str">
        <f aca="false">IF(B4629="","",VALUE(LEFT(B4629,2)))</f>
        <v/>
      </c>
      <c r="M4629" s="0" t="str">
        <f aca="false">IF(A4629="","",IF(COUNTIFS($C$2:$C$5001,C4629,$J$2:$J$5001,J4629,$A$2:$A$5001,"&lt;"&amp;A4629)=0,1,0))</f>
        <v/>
      </c>
    </row>
    <row r="4630" customFormat="false" ht="15" hidden="false" customHeight="false" outlineLevel="0" collapsed="false">
      <c r="A4630" s="27"/>
      <c r="F4630" s="28"/>
      <c r="J4630" s="0" t="str">
        <f aca="false">IF(A4630="","",YEAR(A4630))</f>
        <v/>
      </c>
      <c r="K4630" s="0" t="str">
        <f aca="false">IF(A4630="","",MONTH(A4630))</f>
        <v/>
      </c>
      <c r="L4630" s="0" t="str">
        <f aca="false">IF(B4630="","",VALUE(LEFT(B4630,2)))</f>
        <v/>
      </c>
      <c r="M4630" s="0" t="str">
        <f aca="false">IF(A4630="","",IF(COUNTIFS($C$2:$C$5001,C4630,$J$2:$J$5001,J4630,$A$2:$A$5001,"&lt;"&amp;A4630)=0,1,0))</f>
        <v/>
      </c>
    </row>
    <row r="4631" customFormat="false" ht="15" hidden="false" customHeight="false" outlineLevel="0" collapsed="false">
      <c r="A4631" s="27"/>
      <c r="F4631" s="28"/>
      <c r="J4631" s="0" t="str">
        <f aca="false">IF(A4631="","",YEAR(A4631))</f>
        <v/>
      </c>
      <c r="K4631" s="0" t="str">
        <f aca="false">IF(A4631="","",MONTH(A4631))</f>
        <v/>
      </c>
      <c r="L4631" s="0" t="str">
        <f aca="false">IF(B4631="","",VALUE(LEFT(B4631,2)))</f>
        <v/>
      </c>
      <c r="M4631" s="0" t="str">
        <f aca="false">IF(A4631="","",IF(COUNTIFS($C$2:$C$5001,C4631,$J$2:$J$5001,J4631,$A$2:$A$5001,"&lt;"&amp;A4631)=0,1,0))</f>
        <v/>
      </c>
    </row>
    <row r="4632" customFormat="false" ht="15" hidden="false" customHeight="false" outlineLevel="0" collapsed="false">
      <c r="A4632" s="27"/>
      <c r="F4632" s="28"/>
      <c r="J4632" s="0" t="str">
        <f aca="false">IF(A4632="","",YEAR(A4632))</f>
        <v/>
      </c>
      <c r="K4632" s="0" t="str">
        <f aca="false">IF(A4632="","",MONTH(A4632))</f>
        <v/>
      </c>
      <c r="L4632" s="0" t="str">
        <f aca="false">IF(B4632="","",VALUE(LEFT(B4632,2)))</f>
        <v/>
      </c>
      <c r="M4632" s="0" t="str">
        <f aca="false">IF(A4632="","",IF(COUNTIFS($C$2:$C$5001,C4632,$J$2:$J$5001,J4632,$A$2:$A$5001,"&lt;"&amp;A4632)=0,1,0))</f>
        <v/>
      </c>
    </row>
    <row r="4633" customFormat="false" ht="15" hidden="false" customHeight="false" outlineLevel="0" collapsed="false">
      <c r="A4633" s="27"/>
      <c r="F4633" s="28"/>
      <c r="J4633" s="0" t="str">
        <f aca="false">IF(A4633="","",YEAR(A4633))</f>
        <v/>
      </c>
      <c r="K4633" s="0" t="str">
        <f aca="false">IF(A4633="","",MONTH(A4633))</f>
        <v/>
      </c>
      <c r="L4633" s="0" t="str">
        <f aca="false">IF(B4633="","",VALUE(LEFT(B4633,2)))</f>
        <v/>
      </c>
      <c r="M4633" s="0" t="str">
        <f aca="false">IF(A4633="","",IF(COUNTIFS($C$2:$C$5001,C4633,$J$2:$J$5001,J4633,$A$2:$A$5001,"&lt;"&amp;A4633)=0,1,0))</f>
        <v/>
      </c>
    </row>
    <row r="4634" customFormat="false" ht="15" hidden="false" customHeight="false" outlineLevel="0" collapsed="false">
      <c r="A4634" s="27"/>
      <c r="F4634" s="28"/>
      <c r="J4634" s="0" t="str">
        <f aca="false">IF(A4634="","",YEAR(A4634))</f>
        <v/>
      </c>
      <c r="K4634" s="0" t="str">
        <f aca="false">IF(A4634="","",MONTH(A4634))</f>
        <v/>
      </c>
      <c r="L4634" s="0" t="str">
        <f aca="false">IF(B4634="","",VALUE(LEFT(B4634,2)))</f>
        <v/>
      </c>
      <c r="M4634" s="0" t="str">
        <f aca="false">IF(A4634="","",IF(COUNTIFS($C$2:$C$5001,C4634,$J$2:$J$5001,J4634,$A$2:$A$5001,"&lt;"&amp;A4634)=0,1,0))</f>
        <v/>
      </c>
    </row>
    <row r="4635" customFormat="false" ht="15" hidden="false" customHeight="false" outlineLevel="0" collapsed="false">
      <c r="A4635" s="27"/>
      <c r="F4635" s="28"/>
      <c r="J4635" s="0" t="str">
        <f aca="false">IF(A4635="","",YEAR(A4635))</f>
        <v/>
      </c>
      <c r="K4635" s="0" t="str">
        <f aca="false">IF(A4635="","",MONTH(A4635))</f>
        <v/>
      </c>
      <c r="L4635" s="0" t="str">
        <f aca="false">IF(B4635="","",VALUE(LEFT(B4635,2)))</f>
        <v/>
      </c>
      <c r="M4635" s="0" t="str">
        <f aca="false">IF(A4635="","",IF(COUNTIFS($C$2:$C$5001,C4635,$J$2:$J$5001,J4635,$A$2:$A$5001,"&lt;"&amp;A4635)=0,1,0))</f>
        <v/>
      </c>
    </row>
    <row r="4636" customFormat="false" ht="15" hidden="false" customHeight="false" outlineLevel="0" collapsed="false">
      <c r="A4636" s="27"/>
      <c r="F4636" s="28"/>
      <c r="J4636" s="0" t="str">
        <f aca="false">IF(A4636="","",YEAR(A4636))</f>
        <v/>
      </c>
      <c r="K4636" s="0" t="str">
        <f aca="false">IF(A4636="","",MONTH(A4636))</f>
        <v/>
      </c>
      <c r="L4636" s="0" t="str">
        <f aca="false">IF(B4636="","",VALUE(LEFT(B4636,2)))</f>
        <v/>
      </c>
      <c r="M4636" s="0" t="str">
        <f aca="false">IF(A4636="","",IF(COUNTIFS($C$2:$C$5001,C4636,$J$2:$J$5001,J4636,$A$2:$A$5001,"&lt;"&amp;A4636)=0,1,0))</f>
        <v/>
      </c>
    </row>
    <row r="4637" customFormat="false" ht="15" hidden="false" customHeight="false" outlineLevel="0" collapsed="false">
      <c r="A4637" s="27"/>
      <c r="F4637" s="28"/>
      <c r="J4637" s="0" t="str">
        <f aca="false">IF(A4637="","",YEAR(A4637))</f>
        <v/>
      </c>
      <c r="K4637" s="0" t="str">
        <f aca="false">IF(A4637="","",MONTH(A4637))</f>
        <v/>
      </c>
      <c r="L4637" s="0" t="str">
        <f aca="false">IF(B4637="","",VALUE(LEFT(B4637,2)))</f>
        <v/>
      </c>
      <c r="M4637" s="0" t="str">
        <f aca="false">IF(A4637="","",IF(COUNTIFS($C$2:$C$5001,C4637,$J$2:$J$5001,J4637,$A$2:$A$5001,"&lt;"&amp;A4637)=0,1,0))</f>
        <v/>
      </c>
    </row>
    <row r="4638" customFormat="false" ht="15" hidden="false" customHeight="false" outlineLevel="0" collapsed="false">
      <c r="A4638" s="27"/>
      <c r="F4638" s="28"/>
      <c r="J4638" s="0" t="str">
        <f aca="false">IF(A4638="","",YEAR(A4638))</f>
        <v/>
      </c>
      <c r="K4638" s="0" t="str">
        <f aca="false">IF(A4638="","",MONTH(A4638))</f>
        <v/>
      </c>
      <c r="L4638" s="0" t="str">
        <f aca="false">IF(B4638="","",VALUE(LEFT(B4638,2)))</f>
        <v/>
      </c>
      <c r="M4638" s="0" t="str">
        <f aca="false">IF(A4638="","",IF(COUNTIFS($C$2:$C$5001,C4638,$J$2:$J$5001,J4638,$A$2:$A$5001,"&lt;"&amp;A4638)=0,1,0))</f>
        <v/>
      </c>
    </row>
    <row r="4639" customFormat="false" ht="15" hidden="false" customHeight="false" outlineLevel="0" collapsed="false">
      <c r="A4639" s="27"/>
      <c r="F4639" s="28"/>
      <c r="J4639" s="0" t="str">
        <f aca="false">IF(A4639="","",YEAR(A4639))</f>
        <v/>
      </c>
      <c r="K4639" s="0" t="str">
        <f aca="false">IF(A4639="","",MONTH(A4639))</f>
        <v/>
      </c>
      <c r="L4639" s="0" t="str">
        <f aca="false">IF(B4639="","",VALUE(LEFT(B4639,2)))</f>
        <v/>
      </c>
      <c r="M4639" s="0" t="str">
        <f aca="false">IF(A4639="","",IF(COUNTIFS($C$2:$C$5001,C4639,$J$2:$J$5001,J4639,$A$2:$A$5001,"&lt;"&amp;A4639)=0,1,0))</f>
        <v/>
      </c>
    </row>
    <row r="4640" customFormat="false" ht="15" hidden="false" customHeight="false" outlineLevel="0" collapsed="false">
      <c r="A4640" s="27"/>
      <c r="F4640" s="28"/>
      <c r="J4640" s="0" t="str">
        <f aca="false">IF(A4640="","",YEAR(A4640))</f>
        <v/>
      </c>
      <c r="K4640" s="0" t="str">
        <f aca="false">IF(A4640="","",MONTH(A4640))</f>
        <v/>
      </c>
      <c r="L4640" s="0" t="str">
        <f aca="false">IF(B4640="","",VALUE(LEFT(B4640,2)))</f>
        <v/>
      </c>
      <c r="M4640" s="0" t="str">
        <f aca="false">IF(A4640="","",IF(COUNTIFS($C$2:$C$5001,C4640,$J$2:$J$5001,J4640,$A$2:$A$5001,"&lt;"&amp;A4640)=0,1,0))</f>
        <v/>
      </c>
    </row>
    <row r="4641" customFormat="false" ht="15" hidden="false" customHeight="false" outlineLevel="0" collapsed="false">
      <c r="A4641" s="27"/>
      <c r="F4641" s="28"/>
      <c r="J4641" s="0" t="str">
        <f aca="false">IF(A4641="","",YEAR(A4641))</f>
        <v/>
      </c>
      <c r="K4641" s="0" t="str">
        <f aca="false">IF(A4641="","",MONTH(A4641))</f>
        <v/>
      </c>
      <c r="L4641" s="0" t="str">
        <f aca="false">IF(B4641="","",VALUE(LEFT(B4641,2)))</f>
        <v/>
      </c>
      <c r="M4641" s="0" t="str">
        <f aca="false">IF(A4641="","",IF(COUNTIFS($C$2:$C$5001,C4641,$J$2:$J$5001,J4641,$A$2:$A$5001,"&lt;"&amp;A4641)=0,1,0))</f>
        <v/>
      </c>
    </row>
    <row r="4642" customFormat="false" ht="15" hidden="false" customHeight="false" outlineLevel="0" collapsed="false">
      <c r="A4642" s="27"/>
      <c r="F4642" s="28"/>
      <c r="J4642" s="0" t="str">
        <f aca="false">IF(A4642="","",YEAR(A4642))</f>
        <v/>
      </c>
      <c r="K4642" s="0" t="str">
        <f aca="false">IF(A4642="","",MONTH(A4642))</f>
        <v/>
      </c>
      <c r="L4642" s="0" t="str">
        <f aca="false">IF(B4642="","",VALUE(LEFT(B4642,2)))</f>
        <v/>
      </c>
      <c r="M4642" s="0" t="str">
        <f aca="false">IF(A4642="","",IF(COUNTIFS($C$2:$C$5001,C4642,$J$2:$J$5001,J4642,$A$2:$A$5001,"&lt;"&amp;A4642)=0,1,0))</f>
        <v/>
      </c>
    </row>
    <row r="4643" customFormat="false" ht="15" hidden="false" customHeight="false" outlineLevel="0" collapsed="false">
      <c r="A4643" s="27"/>
      <c r="F4643" s="28"/>
      <c r="J4643" s="0" t="str">
        <f aca="false">IF(A4643="","",YEAR(A4643))</f>
        <v/>
      </c>
      <c r="K4643" s="0" t="str">
        <f aca="false">IF(A4643="","",MONTH(A4643))</f>
        <v/>
      </c>
      <c r="L4643" s="0" t="str">
        <f aca="false">IF(B4643="","",VALUE(LEFT(B4643,2)))</f>
        <v/>
      </c>
      <c r="M4643" s="0" t="str">
        <f aca="false">IF(A4643="","",IF(COUNTIFS($C$2:$C$5001,C4643,$J$2:$J$5001,J4643,$A$2:$A$5001,"&lt;"&amp;A4643)=0,1,0))</f>
        <v/>
      </c>
    </row>
    <row r="4644" customFormat="false" ht="15" hidden="false" customHeight="false" outlineLevel="0" collapsed="false">
      <c r="A4644" s="27"/>
      <c r="F4644" s="28"/>
      <c r="J4644" s="0" t="str">
        <f aca="false">IF(A4644="","",YEAR(A4644))</f>
        <v/>
      </c>
      <c r="K4644" s="0" t="str">
        <f aca="false">IF(A4644="","",MONTH(A4644))</f>
        <v/>
      </c>
      <c r="L4644" s="0" t="str">
        <f aca="false">IF(B4644="","",VALUE(LEFT(B4644,2)))</f>
        <v/>
      </c>
      <c r="M4644" s="0" t="str">
        <f aca="false">IF(A4644="","",IF(COUNTIFS($C$2:$C$5001,C4644,$J$2:$J$5001,J4644,$A$2:$A$5001,"&lt;"&amp;A4644)=0,1,0))</f>
        <v/>
      </c>
    </row>
    <row r="4645" customFormat="false" ht="15" hidden="false" customHeight="false" outlineLevel="0" collapsed="false">
      <c r="A4645" s="27"/>
      <c r="F4645" s="28"/>
      <c r="J4645" s="0" t="str">
        <f aca="false">IF(A4645="","",YEAR(A4645))</f>
        <v/>
      </c>
      <c r="K4645" s="0" t="str">
        <f aca="false">IF(A4645="","",MONTH(A4645))</f>
        <v/>
      </c>
      <c r="L4645" s="0" t="str">
        <f aca="false">IF(B4645="","",VALUE(LEFT(B4645,2)))</f>
        <v/>
      </c>
      <c r="M4645" s="0" t="str">
        <f aca="false">IF(A4645="","",IF(COUNTIFS($C$2:$C$5001,C4645,$J$2:$J$5001,J4645,$A$2:$A$5001,"&lt;"&amp;A4645)=0,1,0))</f>
        <v/>
      </c>
    </row>
    <row r="4646" customFormat="false" ht="15" hidden="false" customHeight="false" outlineLevel="0" collapsed="false">
      <c r="A4646" s="27"/>
      <c r="F4646" s="28"/>
      <c r="J4646" s="0" t="str">
        <f aca="false">IF(A4646="","",YEAR(A4646))</f>
        <v/>
      </c>
      <c r="K4646" s="0" t="str">
        <f aca="false">IF(A4646="","",MONTH(A4646))</f>
        <v/>
      </c>
      <c r="L4646" s="0" t="str">
        <f aca="false">IF(B4646="","",VALUE(LEFT(B4646,2)))</f>
        <v/>
      </c>
      <c r="M4646" s="0" t="str">
        <f aca="false">IF(A4646="","",IF(COUNTIFS($C$2:$C$5001,C4646,$J$2:$J$5001,J4646,$A$2:$A$5001,"&lt;"&amp;A4646)=0,1,0))</f>
        <v/>
      </c>
    </row>
    <row r="4647" customFormat="false" ht="15" hidden="false" customHeight="false" outlineLevel="0" collapsed="false">
      <c r="A4647" s="27"/>
      <c r="F4647" s="28"/>
      <c r="J4647" s="0" t="str">
        <f aca="false">IF(A4647="","",YEAR(A4647))</f>
        <v/>
      </c>
      <c r="K4647" s="0" t="str">
        <f aca="false">IF(A4647="","",MONTH(A4647))</f>
        <v/>
      </c>
      <c r="L4647" s="0" t="str">
        <f aca="false">IF(B4647="","",VALUE(LEFT(B4647,2)))</f>
        <v/>
      </c>
      <c r="M4647" s="0" t="str">
        <f aca="false">IF(A4647="","",IF(COUNTIFS($C$2:$C$5001,C4647,$J$2:$J$5001,J4647,$A$2:$A$5001,"&lt;"&amp;A4647)=0,1,0))</f>
        <v/>
      </c>
    </row>
    <row r="4648" customFormat="false" ht="15" hidden="false" customHeight="false" outlineLevel="0" collapsed="false">
      <c r="A4648" s="27"/>
      <c r="F4648" s="28"/>
      <c r="J4648" s="0" t="str">
        <f aca="false">IF(A4648="","",YEAR(A4648))</f>
        <v/>
      </c>
      <c r="K4648" s="0" t="str">
        <f aca="false">IF(A4648="","",MONTH(A4648))</f>
        <v/>
      </c>
      <c r="L4648" s="0" t="str">
        <f aca="false">IF(B4648="","",VALUE(LEFT(B4648,2)))</f>
        <v/>
      </c>
      <c r="M4648" s="0" t="str">
        <f aca="false">IF(A4648="","",IF(COUNTIFS($C$2:$C$5001,C4648,$J$2:$J$5001,J4648,$A$2:$A$5001,"&lt;"&amp;A4648)=0,1,0))</f>
        <v/>
      </c>
    </row>
    <row r="4649" customFormat="false" ht="15" hidden="false" customHeight="false" outlineLevel="0" collapsed="false">
      <c r="A4649" s="27"/>
      <c r="F4649" s="28"/>
      <c r="J4649" s="0" t="str">
        <f aca="false">IF(A4649="","",YEAR(A4649))</f>
        <v/>
      </c>
      <c r="K4649" s="0" t="str">
        <f aca="false">IF(A4649="","",MONTH(A4649))</f>
        <v/>
      </c>
      <c r="L4649" s="0" t="str">
        <f aca="false">IF(B4649="","",VALUE(LEFT(B4649,2)))</f>
        <v/>
      </c>
      <c r="M4649" s="0" t="str">
        <f aca="false">IF(A4649="","",IF(COUNTIFS($C$2:$C$5001,C4649,$J$2:$J$5001,J4649,$A$2:$A$5001,"&lt;"&amp;A4649)=0,1,0))</f>
        <v/>
      </c>
    </row>
    <row r="4650" customFormat="false" ht="15" hidden="false" customHeight="false" outlineLevel="0" collapsed="false">
      <c r="A4650" s="27"/>
      <c r="F4650" s="28"/>
      <c r="J4650" s="0" t="str">
        <f aca="false">IF(A4650="","",YEAR(A4650))</f>
        <v/>
      </c>
      <c r="K4650" s="0" t="str">
        <f aca="false">IF(A4650="","",MONTH(A4650))</f>
        <v/>
      </c>
      <c r="L4650" s="0" t="str">
        <f aca="false">IF(B4650="","",VALUE(LEFT(B4650,2)))</f>
        <v/>
      </c>
      <c r="M4650" s="0" t="str">
        <f aca="false">IF(A4650="","",IF(COUNTIFS($C$2:$C$5001,C4650,$J$2:$J$5001,J4650,$A$2:$A$5001,"&lt;"&amp;A4650)=0,1,0))</f>
        <v/>
      </c>
    </row>
    <row r="4651" customFormat="false" ht="15" hidden="false" customHeight="false" outlineLevel="0" collapsed="false">
      <c r="A4651" s="27"/>
      <c r="F4651" s="28"/>
      <c r="J4651" s="0" t="str">
        <f aca="false">IF(A4651="","",YEAR(A4651))</f>
        <v/>
      </c>
      <c r="K4651" s="0" t="str">
        <f aca="false">IF(A4651="","",MONTH(A4651))</f>
        <v/>
      </c>
      <c r="L4651" s="0" t="str">
        <f aca="false">IF(B4651="","",VALUE(LEFT(B4651,2)))</f>
        <v/>
      </c>
      <c r="M4651" s="0" t="str">
        <f aca="false">IF(A4651="","",IF(COUNTIFS($C$2:$C$5001,C4651,$J$2:$J$5001,J4651,$A$2:$A$5001,"&lt;"&amp;A4651)=0,1,0))</f>
        <v/>
      </c>
    </row>
    <row r="4652" customFormat="false" ht="15" hidden="false" customHeight="false" outlineLevel="0" collapsed="false">
      <c r="A4652" s="27"/>
      <c r="F4652" s="28"/>
      <c r="J4652" s="0" t="str">
        <f aca="false">IF(A4652="","",YEAR(A4652))</f>
        <v/>
      </c>
      <c r="K4652" s="0" t="str">
        <f aca="false">IF(A4652="","",MONTH(A4652))</f>
        <v/>
      </c>
      <c r="L4652" s="0" t="str">
        <f aca="false">IF(B4652="","",VALUE(LEFT(B4652,2)))</f>
        <v/>
      </c>
      <c r="M4652" s="0" t="str">
        <f aca="false">IF(A4652="","",IF(COUNTIFS($C$2:$C$5001,C4652,$J$2:$J$5001,J4652,$A$2:$A$5001,"&lt;"&amp;A4652)=0,1,0))</f>
        <v/>
      </c>
    </row>
    <row r="4653" customFormat="false" ht="15" hidden="false" customHeight="false" outlineLevel="0" collapsed="false">
      <c r="A4653" s="27"/>
      <c r="F4653" s="28"/>
      <c r="J4653" s="0" t="str">
        <f aca="false">IF(A4653="","",YEAR(A4653))</f>
        <v/>
      </c>
      <c r="K4653" s="0" t="str">
        <f aca="false">IF(A4653="","",MONTH(A4653))</f>
        <v/>
      </c>
      <c r="L4653" s="0" t="str">
        <f aca="false">IF(B4653="","",VALUE(LEFT(B4653,2)))</f>
        <v/>
      </c>
      <c r="M4653" s="0" t="str">
        <f aca="false">IF(A4653="","",IF(COUNTIFS($C$2:$C$5001,C4653,$J$2:$J$5001,J4653,$A$2:$A$5001,"&lt;"&amp;A4653)=0,1,0))</f>
        <v/>
      </c>
    </row>
    <row r="4654" customFormat="false" ht="15" hidden="false" customHeight="false" outlineLevel="0" collapsed="false">
      <c r="A4654" s="27"/>
      <c r="F4654" s="28"/>
      <c r="J4654" s="0" t="str">
        <f aca="false">IF(A4654="","",YEAR(A4654))</f>
        <v/>
      </c>
      <c r="K4654" s="0" t="str">
        <f aca="false">IF(A4654="","",MONTH(A4654))</f>
        <v/>
      </c>
      <c r="L4654" s="0" t="str">
        <f aca="false">IF(B4654="","",VALUE(LEFT(B4654,2)))</f>
        <v/>
      </c>
      <c r="M4654" s="0" t="str">
        <f aca="false">IF(A4654="","",IF(COUNTIFS($C$2:$C$5001,C4654,$J$2:$J$5001,J4654,$A$2:$A$5001,"&lt;"&amp;A4654)=0,1,0))</f>
        <v/>
      </c>
    </row>
    <row r="4655" customFormat="false" ht="15" hidden="false" customHeight="false" outlineLevel="0" collapsed="false">
      <c r="A4655" s="27"/>
      <c r="F4655" s="28"/>
      <c r="J4655" s="0" t="str">
        <f aca="false">IF(A4655="","",YEAR(A4655))</f>
        <v/>
      </c>
      <c r="K4655" s="0" t="str">
        <f aca="false">IF(A4655="","",MONTH(A4655))</f>
        <v/>
      </c>
      <c r="L4655" s="0" t="str">
        <f aca="false">IF(B4655="","",VALUE(LEFT(B4655,2)))</f>
        <v/>
      </c>
      <c r="M4655" s="0" t="str">
        <f aca="false">IF(A4655="","",IF(COUNTIFS($C$2:$C$5001,C4655,$J$2:$J$5001,J4655,$A$2:$A$5001,"&lt;"&amp;A4655)=0,1,0))</f>
        <v/>
      </c>
    </row>
    <row r="4656" customFormat="false" ht="15" hidden="false" customHeight="false" outlineLevel="0" collapsed="false">
      <c r="A4656" s="27"/>
      <c r="F4656" s="28"/>
      <c r="J4656" s="0" t="str">
        <f aca="false">IF(A4656="","",YEAR(A4656))</f>
        <v/>
      </c>
      <c r="K4656" s="0" t="str">
        <f aca="false">IF(A4656="","",MONTH(A4656))</f>
        <v/>
      </c>
      <c r="L4656" s="0" t="str">
        <f aca="false">IF(B4656="","",VALUE(LEFT(B4656,2)))</f>
        <v/>
      </c>
      <c r="M4656" s="0" t="str">
        <f aca="false">IF(A4656="","",IF(COUNTIFS($C$2:$C$5001,C4656,$J$2:$J$5001,J4656,$A$2:$A$5001,"&lt;"&amp;A4656)=0,1,0))</f>
        <v/>
      </c>
    </row>
    <row r="4657" customFormat="false" ht="15" hidden="false" customHeight="false" outlineLevel="0" collapsed="false">
      <c r="A4657" s="27"/>
      <c r="F4657" s="28"/>
      <c r="J4657" s="0" t="str">
        <f aca="false">IF(A4657="","",YEAR(A4657))</f>
        <v/>
      </c>
      <c r="K4657" s="0" t="str">
        <f aca="false">IF(A4657="","",MONTH(A4657))</f>
        <v/>
      </c>
      <c r="L4657" s="0" t="str">
        <f aca="false">IF(B4657="","",VALUE(LEFT(B4657,2)))</f>
        <v/>
      </c>
      <c r="M4657" s="0" t="str">
        <f aca="false">IF(A4657="","",IF(COUNTIFS($C$2:$C$5001,C4657,$J$2:$J$5001,J4657,$A$2:$A$5001,"&lt;"&amp;A4657)=0,1,0))</f>
        <v/>
      </c>
    </row>
    <row r="4658" customFormat="false" ht="15" hidden="false" customHeight="false" outlineLevel="0" collapsed="false">
      <c r="A4658" s="27"/>
      <c r="F4658" s="28"/>
      <c r="J4658" s="0" t="str">
        <f aca="false">IF(A4658="","",YEAR(A4658))</f>
        <v/>
      </c>
      <c r="K4658" s="0" t="str">
        <f aca="false">IF(A4658="","",MONTH(A4658))</f>
        <v/>
      </c>
      <c r="L4658" s="0" t="str">
        <f aca="false">IF(B4658="","",VALUE(LEFT(B4658,2)))</f>
        <v/>
      </c>
      <c r="M4658" s="0" t="str">
        <f aca="false">IF(A4658="","",IF(COUNTIFS($C$2:$C$5001,C4658,$J$2:$J$5001,J4658,$A$2:$A$5001,"&lt;"&amp;A4658)=0,1,0))</f>
        <v/>
      </c>
    </row>
    <row r="4659" customFormat="false" ht="15" hidden="false" customHeight="false" outlineLevel="0" collapsed="false">
      <c r="A4659" s="27"/>
      <c r="F4659" s="28"/>
      <c r="J4659" s="0" t="str">
        <f aca="false">IF(A4659="","",YEAR(A4659))</f>
        <v/>
      </c>
      <c r="K4659" s="0" t="str">
        <f aca="false">IF(A4659="","",MONTH(A4659))</f>
        <v/>
      </c>
      <c r="L4659" s="0" t="str">
        <f aca="false">IF(B4659="","",VALUE(LEFT(B4659,2)))</f>
        <v/>
      </c>
      <c r="M4659" s="0" t="str">
        <f aca="false">IF(A4659="","",IF(COUNTIFS($C$2:$C$5001,C4659,$J$2:$J$5001,J4659,$A$2:$A$5001,"&lt;"&amp;A4659)=0,1,0))</f>
        <v/>
      </c>
    </row>
    <row r="4660" customFormat="false" ht="15" hidden="false" customHeight="false" outlineLevel="0" collapsed="false">
      <c r="A4660" s="27"/>
      <c r="F4660" s="28"/>
      <c r="J4660" s="0" t="str">
        <f aca="false">IF(A4660="","",YEAR(A4660))</f>
        <v/>
      </c>
      <c r="K4660" s="0" t="str">
        <f aca="false">IF(A4660="","",MONTH(A4660))</f>
        <v/>
      </c>
      <c r="L4660" s="0" t="str">
        <f aca="false">IF(B4660="","",VALUE(LEFT(B4660,2)))</f>
        <v/>
      </c>
      <c r="M4660" s="0" t="str">
        <f aca="false">IF(A4660="","",IF(COUNTIFS($C$2:$C$5001,C4660,$J$2:$J$5001,J4660,$A$2:$A$5001,"&lt;"&amp;A4660)=0,1,0))</f>
        <v/>
      </c>
    </row>
    <row r="4661" customFormat="false" ht="15" hidden="false" customHeight="false" outlineLevel="0" collapsed="false">
      <c r="A4661" s="27"/>
      <c r="F4661" s="28"/>
      <c r="J4661" s="0" t="str">
        <f aca="false">IF(A4661="","",YEAR(A4661))</f>
        <v/>
      </c>
      <c r="K4661" s="0" t="str">
        <f aca="false">IF(A4661="","",MONTH(A4661))</f>
        <v/>
      </c>
      <c r="L4661" s="0" t="str">
        <f aca="false">IF(B4661="","",VALUE(LEFT(B4661,2)))</f>
        <v/>
      </c>
      <c r="M4661" s="0" t="str">
        <f aca="false">IF(A4661="","",IF(COUNTIFS($C$2:$C$5001,C4661,$J$2:$J$5001,J4661,$A$2:$A$5001,"&lt;"&amp;A4661)=0,1,0))</f>
        <v/>
      </c>
    </row>
    <row r="4662" customFormat="false" ht="15" hidden="false" customHeight="false" outlineLevel="0" collapsed="false">
      <c r="A4662" s="27"/>
      <c r="F4662" s="28"/>
      <c r="J4662" s="0" t="str">
        <f aca="false">IF(A4662="","",YEAR(A4662))</f>
        <v/>
      </c>
      <c r="K4662" s="0" t="str">
        <f aca="false">IF(A4662="","",MONTH(A4662))</f>
        <v/>
      </c>
      <c r="L4662" s="0" t="str">
        <f aca="false">IF(B4662="","",VALUE(LEFT(B4662,2)))</f>
        <v/>
      </c>
      <c r="M4662" s="0" t="str">
        <f aca="false">IF(A4662="","",IF(COUNTIFS($C$2:$C$5001,C4662,$J$2:$J$5001,J4662,$A$2:$A$5001,"&lt;"&amp;A4662)=0,1,0))</f>
        <v/>
      </c>
    </row>
    <row r="4663" customFormat="false" ht="15" hidden="false" customHeight="false" outlineLevel="0" collapsed="false">
      <c r="A4663" s="27"/>
      <c r="F4663" s="28"/>
      <c r="J4663" s="0" t="str">
        <f aca="false">IF(A4663="","",YEAR(A4663))</f>
        <v/>
      </c>
      <c r="K4663" s="0" t="str">
        <f aca="false">IF(A4663="","",MONTH(A4663))</f>
        <v/>
      </c>
      <c r="L4663" s="0" t="str">
        <f aca="false">IF(B4663="","",VALUE(LEFT(B4663,2)))</f>
        <v/>
      </c>
      <c r="M4663" s="0" t="str">
        <f aca="false">IF(A4663="","",IF(COUNTIFS($C$2:$C$5001,C4663,$J$2:$J$5001,J4663,$A$2:$A$5001,"&lt;"&amp;A4663)=0,1,0))</f>
        <v/>
      </c>
    </row>
    <row r="4664" customFormat="false" ht="15" hidden="false" customHeight="false" outlineLevel="0" collapsed="false">
      <c r="A4664" s="27"/>
      <c r="F4664" s="28"/>
      <c r="J4664" s="0" t="str">
        <f aca="false">IF(A4664="","",YEAR(A4664))</f>
        <v/>
      </c>
      <c r="K4664" s="0" t="str">
        <f aca="false">IF(A4664="","",MONTH(A4664))</f>
        <v/>
      </c>
      <c r="L4664" s="0" t="str">
        <f aca="false">IF(B4664="","",VALUE(LEFT(B4664,2)))</f>
        <v/>
      </c>
      <c r="M4664" s="0" t="str">
        <f aca="false">IF(A4664="","",IF(COUNTIFS($C$2:$C$5001,C4664,$J$2:$J$5001,J4664,$A$2:$A$5001,"&lt;"&amp;A4664)=0,1,0))</f>
        <v/>
      </c>
    </row>
    <row r="4665" customFormat="false" ht="15" hidden="false" customHeight="false" outlineLevel="0" collapsed="false">
      <c r="A4665" s="27"/>
      <c r="F4665" s="28"/>
      <c r="J4665" s="0" t="str">
        <f aca="false">IF(A4665="","",YEAR(A4665))</f>
        <v/>
      </c>
      <c r="K4665" s="0" t="str">
        <f aca="false">IF(A4665="","",MONTH(A4665))</f>
        <v/>
      </c>
      <c r="L4665" s="0" t="str">
        <f aca="false">IF(B4665="","",VALUE(LEFT(B4665,2)))</f>
        <v/>
      </c>
      <c r="M4665" s="0" t="str">
        <f aca="false">IF(A4665="","",IF(COUNTIFS($C$2:$C$5001,C4665,$J$2:$J$5001,J4665,$A$2:$A$5001,"&lt;"&amp;A4665)=0,1,0))</f>
        <v/>
      </c>
    </row>
    <row r="4666" customFormat="false" ht="15" hidden="false" customHeight="false" outlineLevel="0" collapsed="false">
      <c r="A4666" s="27"/>
      <c r="F4666" s="28"/>
      <c r="J4666" s="0" t="str">
        <f aca="false">IF(A4666="","",YEAR(A4666))</f>
        <v/>
      </c>
      <c r="K4666" s="0" t="str">
        <f aca="false">IF(A4666="","",MONTH(A4666))</f>
        <v/>
      </c>
      <c r="L4666" s="0" t="str">
        <f aca="false">IF(B4666="","",VALUE(LEFT(B4666,2)))</f>
        <v/>
      </c>
      <c r="M4666" s="0" t="str">
        <f aca="false">IF(A4666="","",IF(COUNTIFS($C$2:$C$5001,C4666,$J$2:$J$5001,J4666,$A$2:$A$5001,"&lt;"&amp;A4666)=0,1,0))</f>
        <v/>
      </c>
    </row>
    <row r="4667" customFormat="false" ht="15" hidden="false" customHeight="false" outlineLevel="0" collapsed="false">
      <c r="A4667" s="27"/>
      <c r="F4667" s="28"/>
      <c r="J4667" s="0" t="str">
        <f aca="false">IF(A4667="","",YEAR(A4667))</f>
        <v/>
      </c>
      <c r="K4667" s="0" t="str">
        <f aca="false">IF(A4667="","",MONTH(A4667))</f>
        <v/>
      </c>
      <c r="L4667" s="0" t="str">
        <f aca="false">IF(B4667="","",VALUE(LEFT(B4667,2)))</f>
        <v/>
      </c>
      <c r="M4667" s="0" t="str">
        <f aca="false">IF(A4667="","",IF(COUNTIFS($C$2:$C$5001,C4667,$J$2:$J$5001,J4667,$A$2:$A$5001,"&lt;"&amp;A4667)=0,1,0))</f>
        <v/>
      </c>
    </row>
    <row r="4668" customFormat="false" ht="15" hidden="false" customHeight="false" outlineLevel="0" collapsed="false">
      <c r="A4668" s="27"/>
      <c r="F4668" s="28"/>
      <c r="J4668" s="0" t="str">
        <f aca="false">IF(A4668="","",YEAR(A4668))</f>
        <v/>
      </c>
      <c r="K4668" s="0" t="str">
        <f aca="false">IF(A4668="","",MONTH(A4668))</f>
        <v/>
      </c>
      <c r="L4668" s="0" t="str">
        <f aca="false">IF(B4668="","",VALUE(LEFT(B4668,2)))</f>
        <v/>
      </c>
      <c r="M4668" s="0" t="str">
        <f aca="false">IF(A4668="","",IF(COUNTIFS($C$2:$C$5001,C4668,$J$2:$J$5001,J4668,$A$2:$A$5001,"&lt;"&amp;A4668)=0,1,0))</f>
        <v/>
      </c>
    </row>
    <row r="4669" customFormat="false" ht="15" hidden="false" customHeight="false" outlineLevel="0" collapsed="false">
      <c r="A4669" s="27"/>
      <c r="F4669" s="28"/>
      <c r="J4669" s="0" t="str">
        <f aca="false">IF(A4669="","",YEAR(A4669))</f>
        <v/>
      </c>
      <c r="K4669" s="0" t="str">
        <f aca="false">IF(A4669="","",MONTH(A4669))</f>
        <v/>
      </c>
      <c r="L4669" s="0" t="str">
        <f aca="false">IF(B4669="","",VALUE(LEFT(B4669,2)))</f>
        <v/>
      </c>
      <c r="M4669" s="0" t="str">
        <f aca="false">IF(A4669="","",IF(COUNTIFS($C$2:$C$5001,C4669,$J$2:$J$5001,J4669,$A$2:$A$5001,"&lt;"&amp;A4669)=0,1,0))</f>
        <v/>
      </c>
    </row>
    <row r="4670" customFormat="false" ht="15" hidden="false" customHeight="false" outlineLevel="0" collapsed="false">
      <c r="A4670" s="27"/>
      <c r="F4670" s="28"/>
      <c r="J4670" s="0" t="str">
        <f aca="false">IF(A4670="","",YEAR(A4670))</f>
        <v/>
      </c>
      <c r="K4670" s="0" t="str">
        <f aca="false">IF(A4670="","",MONTH(A4670))</f>
        <v/>
      </c>
      <c r="L4670" s="0" t="str">
        <f aca="false">IF(B4670="","",VALUE(LEFT(B4670,2)))</f>
        <v/>
      </c>
      <c r="M4670" s="0" t="str">
        <f aca="false">IF(A4670="","",IF(COUNTIFS($C$2:$C$5001,C4670,$J$2:$J$5001,J4670,$A$2:$A$5001,"&lt;"&amp;A4670)=0,1,0))</f>
        <v/>
      </c>
    </row>
    <row r="4671" customFormat="false" ht="15" hidden="false" customHeight="false" outlineLevel="0" collapsed="false">
      <c r="A4671" s="27"/>
      <c r="F4671" s="28"/>
      <c r="J4671" s="0" t="str">
        <f aca="false">IF(A4671="","",YEAR(A4671))</f>
        <v/>
      </c>
      <c r="K4671" s="0" t="str">
        <f aca="false">IF(A4671="","",MONTH(A4671))</f>
        <v/>
      </c>
      <c r="L4671" s="0" t="str">
        <f aca="false">IF(B4671="","",VALUE(LEFT(B4671,2)))</f>
        <v/>
      </c>
      <c r="M4671" s="0" t="str">
        <f aca="false">IF(A4671="","",IF(COUNTIFS($C$2:$C$5001,C4671,$J$2:$J$5001,J4671,$A$2:$A$5001,"&lt;"&amp;A4671)=0,1,0))</f>
        <v/>
      </c>
    </row>
    <row r="4672" customFormat="false" ht="15" hidden="false" customHeight="false" outlineLevel="0" collapsed="false">
      <c r="A4672" s="27"/>
      <c r="F4672" s="28"/>
      <c r="J4672" s="0" t="str">
        <f aca="false">IF(A4672="","",YEAR(A4672))</f>
        <v/>
      </c>
      <c r="K4672" s="0" t="str">
        <f aca="false">IF(A4672="","",MONTH(A4672))</f>
        <v/>
      </c>
      <c r="L4672" s="0" t="str">
        <f aca="false">IF(B4672="","",VALUE(LEFT(B4672,2)))</f>
        <v/>
      </c>
      <c r="M4672" s="0" t="str">
        <f aca="false">IF(A4672="","",IF(COUNTIFS($C$2:$C$5001,C4672,$J$2:$J$5001,J4672,$A$2:$A$5001,"&lt;"&amp;A4672)=0,1,0))</f>
        <v/>
      </c>
    </row>
    <row r="4673" customFormat="false" ht="15" hidden="false" customHeight="false" outlineLevel="0" collapsed="false">
      <c r="A4673" s="27"/>
      <c r="F4673" s="28"/>
      <c r="J4673" s="0" t="str">
        <f aca="false">IF(A4673="","",YEAR(A4673))</f>
        <v/>
      </c>
      <c r="K4673" s="0" t="str">
        <f aca="false">IF(A4673="","",MONTH(A4673))</f>
        <v/>
      </c>
      <c r="L4673" s="0" t="str">
        <f aca="false">IF(B4673="","",VALUE(LEFT(B4673,2)))</f>
        <v/>
      </c>
      <c r="M4673" s="0" t="str">
        <f aca="false">IF(A4673="","",IF(COUNTIFS($C$2:$C$5001,C4673,$J$2:$J$5001,J4673,$A$2:$A$5001,"&lt;"&amp;A4673)=0,1,0))</f>
        <v/>
      </c>
    </row>
    <row r="4674" customFormat="false" ht="15" hidden="false" customHeight="false" outlineLevel="0" collapsed="false">
      <c r="A4674" s="27"/>
      <c r="F4674" s="28"/>
      <c r="J4674" s="0" t="str">
        <f aca="false">IF(A4674="","",YEAR(A4674))</f>
        <v/>
      </c>
      <c r="K4674" s="0" t="str">
        <f aca="false">IF(A4674="","",MONTH(A4674))</f>
        <v/>
      </c>
      <c r="L4674" s="0" t="str">
        <f aca="false">IF(B4674="","",VALUE(LEFT(B4674,2)))</f>
        <v/>
      </c>
      <c r="M4674" s="0" t="str">
        <f aca="false">IF(A4674="","",IF(COUNTIFS($C$2:$C$5001,C4674,$J$2:$J$5001,J4674,$A$2:$A$5001,"&lt;"&amp;A4674)=0,1,0))</f>
        <v/>
      </c>
    </row>
    <row r="4675" customFormat="false" ht="15" hidden="false" customHeight="false" outlineLevel="0" collapsed="false">
      <c r="A4675" s="27"/>
      <c r="F4675" s="28"/>
      <c r="J4675" s="0" t="str">
        <f aca="false">IF(A4675="","",YEAR(A4675))</f>
        <v/>
      </c>
      <c r="K4675" s="0" t="str">
        <f aca="false">IF(A4675="","",MONTH(A4675))</f>
        <v/>
      </c>
      <c r="L4675" s="0" t="str">
        <f aca="false">IF(B4675="","",VALUE(LEFT(B4675,2)))</f>
        <v/>
      </c>
      <c r="M4675" s="0" t="str">
        <f aca="false">IF(A4675="","",IF(COUNTIFS($C$2:$C$5001,C4675,$J$2:$J$5001,J4675,$A$2:$A$5001,"&lt;"&amp;A4675)=0,1,0))</f>
        <v/>
      </c>
    </row>
    <row r="4676" customFormat="false" ht="15" hidden="false" customHeight="false" outlineLevel="0" collapsed="false">
      <c r="A4676" s="27"/>
      <c r="F4676" s="28"/>
      <c r="J4676" s="0" t="str">
        <f aca="false">IF(A4676="","",YEAR(A4676))</f>
        <v/>
      </c>
      <c r="K4676" s="0" t="str">
        <f aca="false">IF(A4676="","",MONTH(A4676))</f>
        <v/>
      </c>
      <c r="L4676" s="0" t="str">
        <f aca="false">IF(B4676="","",VALUE(LEFT(B4676,2)))</f>
        <v/>
      </c>
      <c r="M4676" s="0" t="str">
        <f aca="false">IF(A4676="","",IF(COUNTIFS($C$2:$C$5001,C4676,$J$2:$J$5001,J4676,$A$2:$A$5001,"&lt;"&amp;A4676)=0,1,0))</f>
        <v/>
      </c>
    </row>
    <row r="4677" customFormat="false" ht="15" hidden="false" customHeight="false" outlineLevel="0" collapsed="false">
      <c r="A4677" s="27"/>
      <c r="F4677" s="28"/>
      <c r="J4677" s="0" t="str">
        <f aca="false">IF(A4677="","",YEAR(A4677))</f>
        <v/>
      </c>
      <c r="K4677" s="0" t="str">
        <f aca="false">IF(A4677="","",MONTH(A4677))</f>
        <v/>
      </c>
      <c r="L4677" s="0" t="str">
        <f aca="false">IF(B4677="","",VALUE(LEFT(B4677,2)))</f>
        <v/>
      </c>
      <c r="M4677" s="0" t="str">
        <f aca="false">IF(A4677="","",IF(COUNTIFS($C$2:$C$5001,C4677,$J$2:$J$5001,J4677,$A$2:$A$5001,"&lt;"&amp;A4677)=0,1,0))</f>
        <v/>
      </c>
    </row>
    <row r="4678" customFormat="false" ht="15" hidden="false" customHeight="false" outlineLevel="0" collapsed="false">
      <c r="A4678" s="27"/>
      <c r="F4678" s="28"/>
      <c r="J4678" s="0" t="str">
        <f aca="false">IF(A4678="","",YEAR(A4678))</f>
        <v/>
      </c>
      <c r="K4678" s="0" t="str">
        <f aca="false">IF(A4678="","",MONTH(A4678))</f>
        <v/>
      </c>
      <c r="L4678" s="0" t="str">
        <f aca="false">IF(B4678="","",VALUE(LEFT(B4678,2)))</f>
        <v/>
      </c>
      <c r="M4678" s="0" t="str">
        <f aca="false">IF(A4678="","",IF(COUNTIFS($C$2:$C$5001,C4678,$J$2:$J$5001,J4678,$A$2:$A$5001,"&lt;"&amp;A4678)=0,1,0))</f>
        <v/>
      </c>
    </row>
    <row r="4679" customFormat="false" ht="15" hidden="false" customHeight="false" outlineLevel="0" collapsed="false">
      <c r="A4679" s="27"/>
      <c r="F4679" s="28"/>
      <c r="J4679" s="0" t="str">
        <f aca="false">IF(A4679="","",YEAR(A4679))</f>
        <v/>
      </c>
      <c r="K4679" s="0" t="str">
        <f aca="false">IF(A4679="","",MONTH(A4679))</f>
        <v/>
      </c>
      <c r="L4679" s="0" t="str">
        <f aca="false">IF(B4679="","",VALUE(LEFT(B4679,2)))</f>
        <v/>
      </c>
      <c r="M4679" s="0" t="str">
        <f aca="false">IF(A4679="","",IF(COUNTIFS($C$2:$C$5001,C4679,$J$2:$J$5001,J4679,$A$2:$A$5001,"&lt;"&amp;A4679)=0,1,0))</f>
        <v/>
      </c>
    </row>
    <row r="4680" customFormat="false" ht="15" hidden="false" customHeight="false" outlineLevel="0" collapsed="false">
      <c r="A4680" s="27"/>
      <c r="F4680" s="28"/>
      <c r="J4680" s="0" t="str">
        <f aca="false">IF(A4680="","",YEAR(A4680))</f>
        <v/>
      </c>
      <c r="K4680" s="0" t="str">
        <f aca="false">IF(A4680="","",MONTH(A4680))</f>
        <v/>
      </c>
      <c r="L4680" s="0" t="str">
        <f aca="false">IF(B4680="","",VALUE(LEFT(B4680,2)))</f>
        <v/>
      </c>
      <c r="M4680" s="0" t="str">
        <f aca="false">IF(A4680="","",IF(COUNTIFS($C$2:$C$5001,C4680,$J$2:$J$5001,J4680,$A$2:$A$5001,"&lt;"&amp;A4680)=0,1,0))</f>
        <v/>
      </c>
    </row>
    <row r="4681" customFormat="false" ht="15" hidden="false" customHeight="false" outlineLevel="0" collapsed="false">
      <c r="A4681" s="27"/>
      <c r="F4681" s="28"/>
      <c r="J4681" s="0" t="str">
        <f aca="false">IF(A4681="","",YEAR(A4681))</f>
        <v/>
      </c>
      <c r="K4681" s="0" t="str">
        <f aca="false">IF(A4681="","",MONTH(A4681))</f>
        <v/>
      </c>
      <c r="L4681" s="0" t="str">
        <f aca="false">IF(B4681="","",VALUE(LEFT(B4681,2)))</f>
        <v/>
      </c>
      <c r="M4681" s="0" t="str">
        <f aca="false">IF(A4681="","",IF(COUNTIFS($C$2:$C$5001,C4681,$J$2:$J$5001,J4681,$A$2:$A$5001,"&lt;"&amp;A4681)=0,1,0))</f>
        <v/>
      </c>
    </row>
    <row r="4682" customFormat="false" ht="15" hidden="false" customHeight="false" outlineLevel="0" collapsed="false">
      <c r="A4682" s="27"/>
      <c r="F4682" s="28"/>
      <c r="J4682" s="0" t="str">
        <f aca="false">IF(A4682="","",YEAR(A4682))</f>
        <v/>
      </c>
      <c r="K4682" s="0" t="str">
        <f aca="false">IF(A4682="","",MONTH(A4682))</f>
        <v/>
      </c>
      <c r="L4682" s="0" t="str">
        <f aca="false">IF(B4682="","",VALUE(LEFT(B4682,2)))</f>
        <v/>
      </c>
      <c r="M4682" s="0" t="str">
        <f aca="false">IF(A4682="","",IF(COUNTIFS($C$2:$C$5001,C4682,$J$2:$J$5001,J4682,$A$2:$A$5001,"&lt;"&amp;A4682)=0,1,0))</f>
        <v/>
      </c>
    </row>
    <row r="4683" customFormat="false" ht="15" hidden="false" customHeight="false" outlineLevel="0" collapsed="false">
      <c r="A4683" s="27"/>
      <c r="F4683" s="28"/>
      <c r="J4683" s="0" t="str">
        <f aca="false">IF(A4683="","",YEAR(A4683))</f>
        <v/>
      </c>
      <c r="K4683" s="0" t="str">
        <f aca="false">IF(A4683="","",MONTH(A4683))</f>
        <v/>
      </c>
      <c r="L4683" s="0" t="str">
        <f aca="false">IF(B4683="","",VALUE(LEFT(B4683,2)))</f>
        <v/>
      </c>
      <c r="M4683" s="0" t="str">
        <f aca="false">IF(A4683="","",IF(COUNTIFS($C$2:$C$5001,C4683,$J$2:$J$5001,J4683,$A$2:$A$5001,"&lt;"&amp;A4683)=0,1,0))</f>
        <v/>
      </c>
    </row>
    <row r="4684" customFormat="false" ht="15" hidden="false" customHeight="false" outlineLevel="0" collapsed="false">
      <c r="A4684" s="27"/>
      <c r="F4684" s="28"/>
      <c r="J4684" s="0" t="str">
        <f aca="false">IF(A4684="","",YEAR(A4684))</f>
        <v/>
      </c>
      <c r="K4684" s="0" t="str">
        <f aca="false">IF(A4684="","",MONTH(A4684))</f>
        <v/>
      </c>
      <c r="L4684" s="0" t="str">
        <f aca="false">IF(B4684="","",VALUE(LEFT(B4684,2)))</f>
        <v/>
      </c>
      <c r="M4684" s="0" t="str">
        <f aca="false">IF(A4684="","",IF(COUNTIFS($C$2:$C$5001,C4684,$J$2:$J$5001,J4684,$A$2:$A$5001,"&lt;"&amp;A4684)=0,1,0))</f>
        <v/>
      </c>
    </row>
    <row r="4685" customFormat="false" ht="15" hidden="false" customHeight="false" outlineLevel="0" collapsed="false">
      <c r="A4685" s="27"/>
      <c r="F4685" s="28"/>
      <c r="J4685" s="0" t="str">
        <f aca="false">IF(A4685="","",YEAR(A4685))</f>
        <v/>
      </c>
      <c r="K4685" s="0" t="str">
        <f aca="false">IF(A4685="","",MONTH(A4685))</f>
        <v/>
      </c>
      <c r="L4685" s="0" t="str">
        <f aca="false">IF(B4685="","",VALUE(LEFT(B4685,2)))</f>
        <v/>
      </c>
      <c r="M4685" s="0" t="str">
        <f aca="false">IF(A4685="","",IF(COUNTIFS($C$2:$C$5001,C4685,$J$2:$J$5001,J4685,$A$2:$A$5001,"&lt;"&amp;A4685)=0,1,0))</f>
        <v/>
      </c>
    </row>
    <row r="4686" customFormat="false" ht="15" hidden="false" customHeight="false" outlineLevel="0" collapsed="false">
      <c r="A4686" s="27"/>
      <c r="F4686" s="28"/>
      <c r="J4686" s="0" t="str">
        <f aca="false">IF(A4686="","",YEAR(A4686))</f>
        <v/>
      </c>
      <c r="K4686" s="0" t="str">
        <f aca="false">IF(A4686="","",MONTH(A4686))</f>
        <v/>
      </c>
      <c r="L4686" s="0" t="str">
        <f aca="false">IF(B4686="","",VALUE(LEFT(B4686,2)))</f>
        <v/>
      </c>
      <c r="M4686" s="0" t="str">
        <f aca="false">IF(A4686="","",IF(COUNTIFS($C$2:$C$5001,C4686,$J$2:$J$5001,J4686,$A$2:$A$5001,"&lt;"&amp;A4686)=0,1,0))</f>
        <v/>
      </c>
    </row>
    <row r="4687" customFormat="false" ht="15" hidden="false" customHeight="false" outlineLevel="0" collapsed="false">
      <c r="A4687" s="27"/>
      <c r="F4687" s="28"/>
      <c r="J4687" s="0" t="str">
        <f aca="false">IF(A4687="","",YEAR(A4687))</f>
        <v/>
      </c>
      <c r="K4687" s="0" t="str">
        <f aca="false">IF(A4687="","",MONTH(A4687))</f>
        <v/>
      </c>
      <c r="L4687" s="0" t="str">
        <f aca="false">IF(B4687="","",VALUE(LEFT(B4687,2)))</f>
        <v/>
      </c>
      <c r="M4687" s="0" t="str">
        <f aca="false">IF(A4687="","",IF(COUNTIFS($C$2:$C$5001,C4687,$J$2:$J$5001,J4687,$A$2:$A$5001,"&lt;"&amp;A4687)=0,1,0))</f>
        <v/>
      </c>
    </row>
    <row r="4688" customFormat="false" ht="15" hidden="false" customHeight="false" outlineLevel="0" collapsed="false">
      <c r="A4688" s="27"/>
      <c r="F4688" s="28"/>
      <c r="J4688" s="0" t="str">
        <f aca="false">IF(A4688="","",YEAR(A4688))</f>
        <v/>
      </c>
      <c r="K4688" s="0" t="str">
        <f aca="false">IF(A4688="","",MONTH(A4688))</f>
        <v/>
      </c>
      <c r="L4688" s="0" t="str">
        <f aca="false">IF(B4688="","",VALUE(LEFT(B4688,2)))</f>
        <v/>
      </c>
      <c r="M4688" s="0" t="str">
        <f aca="false">IF(A4688="","",IF(COUNTIFS($C$2:$C$5001,C4688,$J$2:$J$5001,J4688,$A$2:$A$5001,"&lt;"&amp;A4688)=0,1,0))</f>
        <v/>
      </c>
    </row>
    <row r="4689" customFormat="false" ht="15" hidden="false" customHeight="false" outlineLevel="0" collapsed="false">
      <c r="A4689" s="27"/>
      <c r="F4689" s="28"/>
      <c r="J4689" s="0" t="str">
        <f aca="false">IF(A4689="","",YEAR(A4689))</f>
        <v/>
      </c>
      <c r="K4689" s="0" t="str">
        <f aca="false">IF(A4689="","",MONTH(A4689))</f>
        <v/>
      </c>
      <c r="L4689" s="0" t="str">
        <f aca="false">IF(B4689="","",VALUE(LEFT(B4689,2)))</f>
        <v/>
      </c>
      <c r="M4689" s="0" t="str">
        <f aca="false">IF(A4689="","",IF(COUNTIFS($C$2:$C$5001,C4689,$J$2:$J$5001,J4689,$A$2:$A$5001,"&lt;"&amp;A4689)=0,1,0))</f>
        <v/>
      </c>
    </row>
    <row r="4690" customFormat="false" ht="15" hidden="false" customHeight="false" outlineLevel="0" collapsed="false">
      <c r="A4690" s="27"/>
      <c r="F4690" s="28"/>
      <c r="J4690" s="0" t="str">
        <f aca="false">IF(A4690="","",YEAR(A4690))</f>
        <v/>
      </c>
      <c r="K4690" s="0" t="str">
        <f aca="false">IF(A4690="","",MONTH(A4690))</f>
        <v/>
      </c>
      <c r="L4690" s="0" t="str">
        <f aca="false">IF(B4690="","",VALUE(LEFT(B4690,2)))</f>
        <v/>
      </c>
      <c r="M4690" s="0" t="str">
        <f aca="false">IF(A4690="","",IF(COUNTIFS($C$2:$C$5001,C4690,$J$2:$J$5001,J4690,$A$2:$A$5001,"&lt;"&amp;A4690)=0,1,0))</f>
        <v/>
      </c>
    </row>
    <row r="4691" customFormat="false" ht="15" hidden="false" customHeight="false" outlineLevel="0" collapsed="false">
      <c r="A4691" s="27"/>
      <c r="F4691" s="28"/>
      <c r="J4691" s="0" t="str">
        <f aca="false">IF(A4691="","",YEAR(A4691))</f>
        <v/>
      </c>
      <c r="K4691" s="0" t="str">
        <f aca="false">IF(A4691="","",MONTH(A4691))</f>
        <v/>
      </c>
      <c r="L4691" s="0" t="str">
        <f aca="false">IF(B4691="","",VALUE(LEFT(B4691,2)))</f>
        <v/>
      </c>
      <c r="M4691" s="0" t="str">
        <f aca="false">IF(A4691="","",IF(COUNTIFS($C$2:$C$5001,C4691,$J$2:$J$5001,J4691,$A$2:$A$5001,"&lt;"&amp;A4691)=0,1,0))</f>
        <v/>
      </c>
    </row>
    <row r="4692" customFormat="false" ht="15" hidden="false" customHeight="false" outlineLevel="0" collapsed="false">
      <c r="A4692" s="27"/>
      <c r="F4692" s="28"/>
      <c r="J4692" s="0" t="str">
        <f aca="false">IF(A4692="","",YEAR(A4692))</f>
        <v/>
      </c>
      <c r="K4692" s="0" t="str">
        <f aca="false">IF(A4692="","",MONTH(A4692))</f>
        <v/>
      </c>
      <c r="L4692" s="0" t="str">
        <f aca="false">IF(B4692="","",VALUE(LEFT(B4692,2)))</f>
        <v/>
      </c>
      <c r="M4692" s="0" t="str">
        <f aca="false">IF(A4692="","",IF(COUNTIFS($C$2:$C$5001,C4692,$J$2:$J$5001,J4692,$A$2:$A$5001,"&lt;"&amp;A4692)=0,1,0))</f>
        <v/>
      </c>
    </row>
    <row r="4693" customFormat="false" ht="15" hidden="false" customHeight="false" outlineLevel="0" collapsed="false">
      <c r="A4693" s="27"/>
      <c r="F4693" s="28"/>
      <c r="J4693" s="0" t="str">
        <f aca="false">IF(A4693="","",YEAR(A4693))</f>
        <v/>
      </c>
      <c r="K4693" s="0" t="str">
        <f aca="false">IF(A4693="","",MONTH(A4693))</f>
        <v/>
      </c>
      <c r="L4693" s="0" t="str">
        <f aca="false">IF(B4693="","",VALUE(LEFT(B4693,2)))</f>
        <v/>
      </c>
      <c r="M4693" s="0" t="str">
        <f aca="false">IF(A4693="","",IF(COUNTIFS($C$2:$C$5001,C4693,$J$2:$J$5001,J4693,$A$2:$A$5001,"&lt;"&amp;A4693)=0,1,0))</f>
        <v/>
      </c>
    </row>
    <row r="4694" customFormat="false" ht="15" hidden="false" customHeight="false" outlineLevel="0" collapsed="false">
      <c r="A4694" s="27"/>
      <c r="F4694" s="28"/>
      <c r="J4694" s="0" t="str">
        <f aca="false">IF(A4694="","",YEAR(A4694))</f>
        <v/>
      </c>
      <c r="K4694" s="0" t="str">
        <f aca="false">IF(A4694="","",MONTH(A4694))</f>
        <v/>
      </c>
      <c r="L4694" s="0" t="str">
        <f aca="false">IF(B4694="","",VALUE(LEFT(B4694,2)))</f>
        <v/>
      </c>
      <c r="M4694" s="0" t="str">
        <f aca="false">IF(A4694="","",IF(COUNTIFS($C$2:$C$5001,C4694,$J$2:$J$5001,J4694,$A$2:$A$5001,"&lt;"&amp;A4694)=0,1,0))</f>
        <v/>
      </c>
    </row>
    <row r="4695" customFormat="false" ht="15" hidden="false" customHeight="false" outlineLevel="0" collapsed="false">
      <c r="A4695" s="27"/>
      <c r="F4695" s="28"/>
      <c r="J4695" s="0" t="str">
        <f aca="false">IF(A4695="","",YEAR(A4695))</f>
        <v/>
      </c>
      <c r="K4695" s="0" t="str">
        <f aca="false">IF(A4695="","",MONTH(A4695))</f>
        <v/>
      </c>
      <c r="L4695" s="0" t="str">
        <f aca="false">IF(B4695="","",VALUE(LEFT(B4695,2)))</f>
        <v/>
      </c>
      <c r="M4695" s="0" t="str">
        <f aca="false">IF(A4695="","",IF(COUNTIFS($C$2:$C$5001,C4695,$J$2:$J$5001,J4695,$A$2:$A$5001,"&lt;"&amp;A4695)=0,1,0))</f>
        <v/>
      </c>
    </row>
    <row r="4696" customFormat="false" ht="15" hidden="false" customHeight="false" outlineLevel="0" collapsed="false">
      <c r="A4696" s="27"/>
      <c r="F4696" s="28"/>
      <c r="J4696" s="0" t="str">
        <f aca="false">IF(A4696="","",YEAR(A4696))</f>
        <v/>
      </c>
      <c r="K4696" s="0" t="str">
        <f aca="false">IF(A4696="","",MONTH(A4696))</f>
        <v/>
      </c>
      <c r="L4696" s="0" t="str">
        <f aca="false">IF(B4696="","",VALUE(LEFT(B4696,2)))</f>
        <v/>
      </c>
      <c r="M4696" s="0" t="str">
        <f aca="false">IF(A4696="","",IF(COUNTIFS($C$2:$C$5001,C4696,$J$2:$J$5001,J4696,$A$2:$A$5001,"&lt;"&amp;A4696)=0,1,0))</f>
        <v/>
      </c>
    </row>
    <row r="4697" customFormat="false" ht="15" hidden="false" customHeight="false" outlineLevel="0" collapsed="false">
      <c r="A4697" s="27"/>
      <c r="F4697" s="28"/>
      <c r="J4697" s="0" t="str">
        <f aca="false">IF(A4697="","",YEAR(A4697))</f>
        <v/>
      </c>
      <c r="K4697" s="0" t="str">
        <f aca="false">IF(A4697="","",MONTH(A4697))</f>
        <v/>
      </c>
      <c r="L4697" s="0" t="str">
        <f aca="false">IF(B4697="","",VALUE(LEFT(B4697,2)))</f>
        <v/>
      </c>
      <c r="M4697" s="0" t="str">
        <f aca="false">IF(A4697="","",IF(COUNTIFS($C$2:$C$5001,C4697,$J$2:$J$5001,J4697,$A$2:$A$5001,"&lt;"&amp;A4697)=0,1,0))</f>
        <v/>
      </c>
    </row>
    <row r="4698" customFormat="false" ht="15" hidden="false" customHeight="false" outlineLevel="0" collapsed="false">
      <c r="A4698" s="27"/>
      <c r="F4698" s="28"/>
      <c r="J4698" s="0" t="str">
        <f aca="false">IF(A4698="","",YEAR(A4698))</f>
        <v/>
      </c>
      <c r="K4698" s="0" t="str">
        <f aca="false">IF(A4698="","",MONTH(A4698))</f>
        <v/>
      </c>
      <c r="L4698" s="0" t="str">
        <f aca="false">IF(B4698="","",VALUE(LEFT(B4698,2)))</f>
        <v/>
      </c>
      <c r="M4698" s="0" t="str">
        <f aca="false">IF(A4698="","",IF(COUNTIFS($C$2:$C$5001,C4698,$J$2:$J$5001,J4698,$A$2:$A$5001,"&lt;"&amp;A4698)=0,1,0))</f>
        <v/>
      </c>
    </row>
    <row r="4699" customFormat="false" ht="15" hidden="false" customHeight="false" outlineLevel="0" collapsed="false">
      <c r="A4699" s="27"/>
      <c r="F4699" s="28"/>
      <c r="J4699" s="0" t="str">
        <f aca="false">IF(A4699="","",YEAR(A4699))</f>
        <v/>
      </c>
      <c r="K4699" s="0" t="str">
        <f aca="false">IF(A4699="","",MONTH(A4699))</f>
        <v/>
      </c>
      <c r="L4699" s="0" t="str">
        <f aca="false">IF(B4699="","",VALUE(LEFT(B4699,2)))</f>
        <v/>
      </c>
      <c r="M4699" s="0" t="str">
        <f aca="false">IF(A4699="","",IF(COUNTIFS($C$2:$C$5001,C4699,$J$2:$J$5001,J4699,$A$2:$A$5001,"&lt;"&amp;A4699)=0,1,0))</f>
        <v/>
      </c>
    </row>
    <row r="4700" customFormat="false" ht="15" hidden="false" customHeight="false" outlineLevel="0" collapsed="false">
      <c r="A4700" s="27"/>
      <c r="F4700" s="28"/>
      <c r="J4700" s="0" t="str">
        <f aca="false">IF(A4700="","",YEAR(A4700))</f>
        <v/>
      </c>
      <c r="K4700" s="0" t="str">
        <f aca="false">IF(A4700="","",MONTH(A4700))</f>
        <v/>
      </c>
      <c r="L4700" s="0" t="str">
        <f aca="false">IF(B4700="","",VALUE(LEFT(B4700,2)))</f>
        <v/>
      </c>
      <c r="M4700" s="0" t="str">
        <f aca="false">IF(A4700="","",IF(COUNTIFS($C$2:$C$5001,C4700,$J$2:$J$5001,J4700,$A$2:$A$5001,"&lt;"&amp;A4700)=0,1,0))</f>
        <v/>
      </c>
    </row>
    <row r="4701" customFormat="false" ht="15" hidden="false" customHeight="false" outlineLevel="0" collapsed="false">
      <c r="A4701" s="27"/>
      <c r="F4701" s="28"/>
      <c r="J4701" s="0" t="str">
        <f aca="false">IF(A4701="","",YEAR(A4701))</f>
        <v/>
      </c>
      <c r="K4701" s="0" t="str">
        <f aca="false">IF(A4701="","",MONTH(A4701))</f>
        <v/>
      </c>
      <c r="L4701" s="0" t="str">
        <f aca="false">IF(B4701="","",VALUE(LEFT(B4701,2)))</f>
        <v/>
      </c>
      <c r="M4701" s="0" t="str">
        <f aca="false">IF(A4701="","",IF(COUNTIFS($C$2:$C$5001,C4701,$J$2:$J$5001,J4701,$A$2:$A$5001,"&lt;"&amp;A4701)=0,1,0))</f>
        <v/>
      </c>
    </row>
    <row r="4702" customFormat="false" ht="15" hidden="false" customHeight="false" outlineLevel="0" collapsed="false">
      <c r="A4702" s="27"/>
      <c r="F4702" s="28"/>
      <c r="J4702" s="0" t="str">
        <f aca="false">IF(A4702="","",YEAR(A4702))</f>
        <v/>
      </c>
      <c r="K4702" s="0" t="str">
        <f aca="false">IF(A4702="","",MONTH(A4702))</f>
        <v/>
      </c>
      <c r="L4702" s="0" t="str">
        <f aca="false">IF(B4702="","",VALUE(LEFT(B4702,2)))</f>
        <v/>
      </c>
      <c r="M4702" s="0" t="str">
        <f aca="false">IF(A4702="","",IF(COUNTIFS($C$2:$C$5001,C4702,$J$2:$J$5001,J4702,$A$2:$A$5001,"&lt;"&amp;A4702)=0,1,0))</f>
        <v/>
      </c>
    </row>
    <row r="4703" customFormat="false" ht="15" hidden="false" customHeight="false" outlineLevel="0" collapsed="false">
      <c r="A4703" s="27"/>
      <c r="F4703" s="28"/>
      <c r="J4703" s="0" t="str">
        <f aca="false">IF(A4703="","",YEAR(A4703))</f>
        <v/>
      </c>
      <c r="K4703" s="0" t="str">
        <f aca="false">IF(A4703="","",MONTH(A4703))</f>
        <v/>
      </c>
      <c r="L4703" s="0" t="str">
        <f aca="false">IF(B4703="","",VALUE(LEFT(B4703,2)))</f>
        <v/>
      </c>
      <c r="M4703" s="0" t="str">
        <f aca="false">IF(A4703="","",IF(COUNTIFS($C$2:$C$5001,C4703,$J$2:$J$5001,J4703,$A$2:$A$5001,"&lt;"&amp;A4703)=0,1,0))</f>
        <v/>
      </c>
    </row>
    <row r="4704" customFormat="false" ht="15" hidden="false" customHeight="false" outlineLevel="0" collapsed="false">
      <c r="A4704" s="27"/>
      <c r="F4704" s="28"/>
      <c r="J4704" s="0" t="str">
        <f aca="false">IF(A4704="","",YEAR(A4704))</f>
        <v/>
      </c>
      <c r="K4704" s="0" t="str">
        <f aca="false">IF(A4704="","",MONTH(A4704))</f>
        <v/>
      </c>
      <c r="L4704" s="0" t="str">
        <f aca="false">IF(B4704="","",VALUE(LEFT(B4704,2)))</f>
        <v/>
      </c>
      <c r="M4704" s="0" t="str">
        <f aca="false">IF(A4704="","",IF(COUNTIFS($C$2:$C$5001,C4704,$J$2:$J$5001,J4704,$A$2:$A$5001,"&lt;"&amp;A4704)=0,1,0))</f>
        <v/>
      </c>
    </row>
    <row r="4705" customFormat="false" ht="15" hidden="false" customHeight="false" outlineLevel="0" collapsed="false">
      <c r="A4705" s="27"/>
      <c r="F4705" s="28"/>
      <c r="J4705" s="0" t="str">
        <f aca="false">IF(A4705="","",YEAR(A4705))</f>
        <v/>
      </c>
      <c r="K4705" s="0" t="str">
        <f aca="false">IF(A4705="","",MONTH(A4705))</f>
        <v/>
      </c>
      <c r="L4705" s="0" t="str">
        <f aca="false">IF(B4705="","",VALUE(LEFT(B4705,2)))</f>
        <v/>
      </c>
      <c r="M4705" s="0" t="str">
        <f aca="false">IF(A4705="","",IF(COUNTIFS($C$2:$C$5001,C4705,$J$2:$J$5001,J4705,$A$2:$A$5001,"&lt;"&amp;A4705)=0,1,0))</f>
        <v/>
      </c>
    </row>
    <row r="4706" customFormat="false" ht="15" hidden="false" customHeight="false" outlineLevel="0" collapsed="false">
      <c r="A4706" s="27"/>
      <c r="F4706" s="28"/>
      <c r="J4706" s="0" t="str">
        <f aca="false">IF(A4706="","",YEAR(A4706))</f>
        <v/>
      </c>
      <c r="K4706" s="0" t="str">
        <f aca="false">IF(A4706="","",MONTH(A4706))</f>
        <v/>
      </c>
      <c r="L4706" s="0" t="str">
        <f aca="false">IF(B4706="","",VALUE(LEFT(B4706,2)))</f>
        <v/>
      </c>
      <c r="M4706" s="0" t="str">
        <f aca="false">IF(A4706="","",IF(COUNTIFS($C$2:$C$5001,C4706,$J$2:$J$5001,J4706,$A$2:$A$5001,"&lt;"&amp;A4706)=0,1,0))</f>
        <v/>
      </c>
    </row>
    <row r="4707" customFormat="false" ht="15" hidden="false" customHeight="false" outlineLevel="0" collapsed="false">
      <c r="A4707" s="27"/>
      <c r="F4707" s="28"/>
      <c r="J4707" s="0" t="str">
        <f aca="false">IF(A4707="","",YEAR(A4707))</f>
        <v/>
      </c>
      <c r="K4707" s="0" t="str">
        <f aca="false">IF(A4707="","",MONTH(A4707))</f>
        <v/>
      </c>
      <c r="L4707" s="0" t="str">
        <f aca="false">IF(B4707="","",VALUE(LEFT(B4707,2)))</f>
        <v/>
      </c>
      <c r="M4707" s="0" t="str">
        <f aca="false">IF(A4707="","",IF(COUNTIFS($C$2:$C$5001,C4707,$J$2:$J$5001,J4707,$A$2:$A$5001,"&lt;"&amp;A4707)=0,1,0))</f>
        <v/>
      </c>
    </row>
    <row r="4708" customFormat="false" ht="15" hidden="false" customHeight="false" outlineLevel="0" collapsed="false">
      <c r="A4708" s="27"/>
      <c r="F4708" s="28"/>
      <c r="J4708" s="0" t="str">
        <f aca="false">IF(A4708="","",YEAR(A4708))</f>
        <v/>
      </c>
      <c r="K4708" s="0" t="str">
        <f aca="false">IF(A4708="","",MONTH(A4708))</f>
        <v/>
      </c>
      <c r="L4708" s="0" t="str">
        <f aca="false">IF(B4708="","",VALUE(LEFT(B4708,2)))</f>
        <v/>
      </c>
      <c r="M4708" s="0" t="str">
        <f aca="false">IF(A4708="","",IF(COUNTIFS($C$2:$C$5001,C4708,$J$2:$J$5001,J4708,$A$2:$A$5001,"&lt;"&amp;A4708)=0,1,0))</f>
        <v/>
      </c>
    </row>
    <row r="4709" customFormat="false" ht="15" hidden="false" customHeight="false" outlineLevel="0" collapsed="false">
      <c r="A4709" s="27"/>
      <c r="F4709" s="28"/>
      <c r="J4709" s="0" t="str">
        <f aca="false">IF(A4709="","",YEAR(A4709))</f>
        <v/>
      </c>
      <c r="K4709" s="0" t="str">
        <f aca="false">IF(A4709="","",MONTH(A4709))</f>
        <v/>
      </c>
      <c r="L4709" s="0" t="str">
        <f aca="false">IF(B4709="","",VALUE(LEFT(B4709,2)))</f>
        <v/>
      </c>
      <c r="M4709" s="0" t="str">
        <f aca="false">IF(A4709="","",IF(COUNTIFS($C$2:$C$5001,C4709,$J$2:$J$5001,J4709,$A$2:$A$5001,"&lt;"&amp;A4709)=0,1,0))</f>
        <v/>
      </c>
    </row>
    <row r="4710" customFormat="false" ht="15" hidden="false" customHeight="false" outlineLevel="0" collapsed="false">
      <c r="A4710" s="27"/>
      <c r="F4710" s="28"/>
      <c r="J4710" s="0" t="str">
        <f aca="false">IF(A4710="","",YEAR(A4710))</f>
        <v/>
      </c>
      <c r="K4710" s="0" t="str">
        <f aca="false">IF(A4710="","",MONTH(A4710))</f>
        <v/>
      </c>
      <c r="L4710" s="0" t="str">
        <f aca="false">IF(B4710="","",VALUE(LEFT(B4710,2)))</f>
        <v/>
      </c>
      <c r="M4710" s="0" t="str">
        <f aca="false">IF(A4710="","",IF(COUNTIFS($C$2:$C$5001,C4710,$J$2:$J$5001,J4710,$A$2:$A$5001,"&lt;"&amp;A4710)=0,1,0))</f>
        <v/>
      </c>
    </row>
    <row r="4711" customFormat="false" ht="15" hidden="false" customHeight="false" outlineLevel="0" collapsed="false">
      <c r="A4711" s="27"/>
      <c r="F4711" s="28"/>
      <c r="J4711" s="0" t="str">
        <f aca="false">IF(A4711="","",YEAR(A4711))</f>
        <v/>
      </c>
      <c r="K4711" s="0" t="str">
        <f aca="false">IF(A4711="","",MONTH(A4711))</f>
        <v/>
      </c>
      <c r="L4711" s="0" t="str">
        <f aca="false">IF(B4711="","",VALUE(LEFT(B4711,2)))</f>
        <v/>
      </c>
      <c r="M4711" s="0" t="str">
        <f aca="false">IF(A4711="","",IF(COUNTIFS($C$2:$C$5001,C4711,$J$2:$J$5001,J4711,$A$2:$A$5001,"&lt;"&amp;A4711)=0,1,0))</f>
        <v/>
      </c>
    </row>
    <row r="4712" customFormat="false" ht="15" hidden="false" customHeight="false" outlineLevel="0" collapsed="false">
      <c r="A4712" s="27"/>
      <c r="F4712" s="28"/>
      <c r="J4712" s="0" t="str">
        <f aca="false">IF(A4712="","",YEAR(A4712))</f>
        <v/>
      </c>
      <c r="K4712" s="0" t="str">
        <f aca="false">IF(A4712="","",MONTH(A4712))</f>
        <v/>
      </c>
      <c r="L4712" s="0" t="str">
        <f aca="false">IF(B4712="","",VALUE(LEFT(B4712,2)))</f>
        <v/>
      </c>
      <c r="M4712" s="0" t="str">
        <f aca="false">IF(A4712="","",IF(COUNTIFS($C$2:$C$5001,C4712,$J$2:$J$5001,J4712,$A$2:$A$5001,"&lt;"&amp;A4712)=0,1,0))</f>
        <v/>
      </c>
    </row>
    <row r="4713" customFormat="false" ht="15" hidden="false" customHeight="false" outlineLevel="0" collapsed="false">
      <c r="A4713" s="27"/>
      <c r="F4713" s="28"/>
      <c r="J4713" s="0" t="str">
        <f aca="false">IF(A4713="","",YEAR(A4713))</f>
        <v/>
      </c>
      <c r="K4713" s="0" t="str">
        <f aca="false">IF(A4713="","",MONTH(A4713))</f>
        <v/>
      </c>
      <c r="L4713" s="0" t="str">
        <f aca="false">IF(B4713="","",VALUE(LEFT(B4713,2)))</f>
        <v/>
      </c>
      <c r="M4713" s="0" t="str">
        <f aca="false">IF(A4713="","",IF(COUNTIFS($C$2:$C$5001,C4713,$J$2:$J$5001,J4713,$A$2:$A$5001,"&lt;"&amp;A4713)=0,1,0))</f>
        <v/>
      </c>
    </row>
    <row r="4714" customFormat="false" ht="15" hidden="false" customHeight="false" outlineLevel="0" collapsed="false">
      <c r="A4714" s="27"/>
      <c r="F4714" s="28"/>
      <c r="J4714" s="0" t="str">
        <f aca="false">IF(A4714="","",YEAR(A4714))</f>
        <v/>
      </c>
      <c r="K4714" s="0" t="str">
        <f aca="false">IF(A4714="","",MONTH(A4714))</f>
        <v/>
      </c>
      <c r="L4714" s="0" t="str">
        <f aca="false">IF(B4714="","",VALUE(LEFT(B4714,2)))</f>
        <v/>
      </c>
      <c r="M4714" s="0" t="str">
        <f aca="false">IF(A4714="","",IF(COUNTIFS($C$2:$C$5001,C4714,$J$2:$J$5001,J4714,$A$2:$A$5001,"&lt;"&amp;A4714)=0,1,0))</f>
        <v/>
      </c>
    </row>
    <row r="4715" customFormat="false" ht="15" hidden="false" customHeight="false" outlineLevel="0" collapsed="false">
      <c r="A4715" s="27"/>
      <c r="F4715" s="28"/>
      <c r="J4715" s="0" t="str">
        <f aca="false">IF(A4715="","",YEAR(A4715))</f>
        <v/>
      </c>
      <c r="K4715" s="0" t="str">
        <f aca="false">IF(A4715="","",MONTH(A4715))</f>
        <v/>
      </c>
      <c r="L4715" s="0" t="str">
        <f aca="false">IF(B4715="","",VALUE(LEFT(B4715,2)))</f>
        <v/>
      </c>
      <c r="M4715" s="0" t="str">
        <f aca="false">IF(A4715="","",IF(COUNTIFS($C$2:$C$5001,C4715,$J$2:$J$5001,J4715,$A$2:$A$5001,"&lt;"&amp;A4715)=0,1,0))</f>
        <v/>
      </c>
    </row>
    <row r="4716" customFormat="false" ht="15" hidden="false" customHeight="false" outlineLevel="0" collapsed="false">
      <c r="A4716" s="27"/>
      <c r="F4716" s="28"/>
      <c r="J4716" s="0" t="str">
        <f aca="false">IF(A4716="","",YEAR(A4716))</f>
        <v/>
      </c>
      <c r="K4716" s="0" t="str">
        <f aca="false">IF(A4716="","",MONTH(A4716))</f>
        <v/>
      </c>
      <c r="L4716" s="0" t="str">
        <f aca="false">IF(B4716="","",VALUE(LEFT(B4716,2)))</f>
        <v/>
      </c>
      <c r="M4716" s="0" t="str">
        <f aca="false">IF(A4716="","",IF(COUNTIFS($C$2:$C$5001,C4716,$J$2:$J$5001,J4716,$A$2:$A$5001,"&lt;"&amp;A4716)=0,1,0))</f>
        <v/>
      </c>
    </row>
    <row r="4717" customFormat="false" ht="15" hidden="false" customHeight="false" outlineLevel="0" collapsed="false">
      <c r="A4717" s="27"/>
      <c r="F4717" s="28"/>
      <c r="J4717" s="0" t="str">
        <f aca="false">IF(A4717="","",YEAR(A4717))</f>
        <v/>
      </c>
      <c r="K4717" s="0" t="str">
        <f aca="false">IF(A4717="","",MONTH(A4717))</f>
        <v/>
      </c>
      <c r="L4717" s="0" t="str">
        <f aca="false">IF(B4717="","",VALUE(LEFT(B4717,2)))</f>
        <v/>
      </c>
      <c r="M4717" s="0" t="str">
        <f aca="false">IF(A4717="","",IF(COUNTIFS($C$2:$C$5001,C4717,$J$2:$J$5001,J4717,$A$2:$A$5001,"&lt;"&amp;A4717)=0,1,0))</f>
        <v/>
      </c>
    </row>
    <row r="4718" customFormat="false" ht="15" hidden="false" customHeight="false" outlineLevel="0" collapsed="false">
      <c r="A4718" s="27"/>
      <c r="F4718" s="28"/>
      <c r="J4718" s="0" t="str">
        <f aca="false">IF(A4718="","",YEAR(A4718))</f>
        <v/>
      </c>
      <c r="K4718" s="0" t="str">
        <f aca="false">IF(A4718="","",MONTH(A4718))</f>
        <v/>
      </c>
      <c r="L4718" s="0" t="str">
        <f aca="false">IF(B4718="","",VALUE(LEFT(B4718,2)))</f>
        <v/>
      </c>
      <c r="M4718" s="0" t="str">
        <f aca="false">IF(A4718="","",IF(COUNTIFS($C$2:$C$5001,C4718,$J$2:$J$5001,J4718,$A$2:$A$5001,"&lt;"&amp;A4718)=0,1,0))</f>
        <v/>
      </c>
    </row>
    <row r="4719" customFormat="false" ht="15" hidden="false" customHeight="false" outlineLevel="0" collapsed="false">
      <c r="A4719" s="27"/>
      <c r="F4719" s="28"/>
      <c r="J4719" s="0" t="str">
        <f aca="false">IF(A4719="","",YEAR(A4719))</f>
        <v/>
      </c>
      <c r="K4719" s="0" t="str">
        <f aca="false">IF(A4719="","",MONTH(A4719))</f>
        <v/>
      </c>
      <c r="L4719" s="0" t="str">
        <f aca="false">IF(B4719="","",VALUE(LEFT(B4719,2)))</f>
        <v/>
      </c>
      <c r="M4719" s="0" t="str">
        <f aca="false">IF(A4719="","",IF(COUNTIFS($C$2:$C$5001,C4719,$J$2:$J$5001,J4719,$A$2:$A$5001,"&lt;"&amp;A4719)=0,1,0))</f>
        <v/>
      </c>
    </row>
    <row r="4720" customFormat="false" ht="15" hidden="false" customHeight="false" outlineLevel="0" collapsed="false">
      <c r="A4720" s="27"/>
      <c r="F4720" s="28"/>
      <c r="J4720" s="0" t="str">
        <f aca="false">IF(A4720="","",YEAR(A4720))</f>
        <v/>
      </c>
      <c r="K4720" s="0" t="str">
        <f aca="false">IF(A4720="","",MONTH(A4720))</f>
        <v/>
      </c>
      <c r="L4720" s="0" t="str">
        <f aca="false">IF(B4720="","",VALUE(LEFT(B4720,2)))</f>
        <v/>
      </c>
      <c r="M4720" s="0" t="str">
        <f aca="false">IF(A4720="","",IF(COUNTIFS($C$2:$C$5001,C4720,$J$2:$J$5001,J4720,$A$2:$A$5001,"&lt;"&amp;A4720)=0,1,0))</f>
        <v/>
      </c>
    </row>
    <row r="4721" customFormat="false" ht="15" hidden="false" customHeight="false" outlineLevel="0" collapsed="false">
      <c r="A4721" s="27"/>
      <c r="F4721" s="28"/>
      <c r="J4721" s="0" t="str">
        <f aca="false">IF(A4721="","",YEAR(A4721))</f>
        <v/>
      </c>
      <c r="K4721" s="0" t="str">
        <f aca="false">IF(A4721="","",MONTH(A4721))</f>
        <v/>
      </c>
      <c r="L4721" s="0" t="str">
        <f aca="false">IF(B4721="","",VALUE(LEFT(B4721,2)))</f>
        <v/>
      </c>
      <c r="M4721" s="0" t="str">
        <f aca="false">IF(A4721="","",IF(COUNTIFS($C$2:$C$5001,C4721,$J$2:$J$5001,J4721,$A$2:$A$5001,"&lt;"&amp;A4721)=0,1,0))</f>
        <v/>
      </c>
    </row>
    <row r="4722" customFormat="false" ht="15" hidden="false" customHeight="false" outlineLevel="0" collapsed="false">
      <c r="A4722" s="27"/>
      <c r="F4722" s="28"/>
      <c r="J4722" s="0" t="str">
        <f aca="false">IF(A4722="","",YEAR(A4722))</f>
        <v/>
      </c>
      <c r="K4722" s="0" t="str">
        <f aca="false">IF(A4722="","",MONTH(A4722))</f>
        <v/>
      </c>
      <c r="L4722" s="0" t="str">
        <f aca="false">IF(B4722="","",VALUE(LEFT(B4722,2)))</f>
        <v/>
      </c>
      <c r="M4722" s="0" t="str">
        <f aca="false">IF(A4722="","",IF(COUNTIFS($C$2:$C$5001,C4722,$J$2:$J$5001,J4722,$A$2:$A$5001,"&lt;"&amp;A4722)=0,1,0))</f>
        <v/>
      </c>
    </row>
    <row r="4723" customFormat="false" ht="15" hidden="false" customHeight="false" outlineLevel="0" collapsed="false">
      <c r="A4723" s="27"/>
      <c r="F4723" s="28"/>
      <c r="J4723" s="0" t="str">
        <f aca="false">IF(A4723="","",YEAR(A4723))</f>
        <v/>
      </c>
      <c r="K4723" s="0" t="str">
        <f aca="false">IF(A4723="","",MONTH(A4723))</f>
        <v/>
      </c>
      <c r="L4723" s="0" t="str">
        <f aca="false">IF(B4723="","",VALUE(LEFT(B4723,2)))</f>
        <v/>
      </c>
      <c r="M4723" s="0" t="str">
        <f aca="false">IF(A4723="","",IF(COUNTIFS($C$2:$C$5001,C4723,$J$2:$J$5001,J4723,$A$2:$A$5001,"&lt;"&amp;A4723)=0,1,0))</f>
        <v/>
      </c>
    </row>
    <row r="4724" customFormat="false" ht="15" hidden="false" customHeight="false" outlineLevel="0" collapsed="false">
      <c r="A4724" s="27"/>
      <c r="F4724" s="28"/>
      <c r="J4724" s="0" t="str">
        <f aca="false">IF(A4724="","",YEAR(A4724))</f>
        <v/>
      </c>
      <c r="K4724" s="0" t="str">
        <f aca="false">IF(A4724="","",MONTH(A4724))</f>
        <v/>
      </c>
      <c r="L4724" s="0" t="str">
        <f aca="false">IF(B4724="","",VALUE(LEFT(B4724,2)))</f>
        <v/>
      </c>
      <c r="M4724" s="0" t="str">
        <f aca="false">IF(A4724="","",IF(COUNTIFS($C$2:$C$5001,C4724,$J$2:$J$5001,J4724,$A$2:$A$5001,"&lt;"&amp;A4724)=0,1,0))</f>
        <v/>
      </c>
    </row>
    <row r="4725" customFormat="false" ht="15" hidden="false" customHeight="false" outlineLevel="0" collapsed="false">
      <c r="A4725" s="27"/>
      <c r="F4725" s="28"/>
      <c r="J4725" s="0" t="str">
        <f aca="false">IF(A4725="","",YEAR(A4725))</f>
        <v/>
      </c>
      <c r="K4725" s="0" t="str">
        <f aca="false">IF(A4725="","",MONTH(A4725))</f>
        <v/>
      </c>
      <c r="L4725" s="0" t="str">
        <f aca="false">IF(B4725="","",VALUE(LEFT(B4725,2)))</f>
        <v/>
      </c>
      <c r="M4725" s="0" t="str">
        <f aca="false">IF(A4725="","",IF(COUNTIFS($C$2:$C$5001,C4725,$J$2:$J$5001,J4725,$A$2:$A$5001,"&lt;"&amp;A4725)=0,1,0))</f>
        <v/>
      </c>
    </row>
    <row r="4726" customFormat="false" ht="15" hidden="false" customHeight="false" outlineLevel="0" collapsed="false">
      <c r="A4726" s="27"/>
      <c r="F4726" s="28"/>
      <c r="J4726" s="0" t="str">
        <f aca="false">IF(A4726="","",YEAR(A4726))</f>
        <v/>
      </c>
      <c r="K4726" s="0" t="str">
        <f aca="false">IF(A4726="","",MONTH(A4726))</f>
        <v/>
      </c>
      <c r="L4726" s="0" t="str">
        <f aca="false">IF(B4726="","",VALUE(LEFT(B4726,2)))</f>
        <v/>
      </c>
      <c r="M4726" s="0" t="str">
        <f aca="false">IF(A4726="","",IF(COUNTIFS($C$2:$C$5001,C4726,$J$2:$J$5001,J4726,$A$2:$A$5001,"&lt;"&amp;A4726)=0,1,0))</f>
        <v/>
      </c>
    </row>
    <row r="4727" customFormat="false" ht="15" hidden="false" customHeight="false" outlineLevel="0" collapsed="false">
      <c r="A4727" s="27"/>
      <c r="F4727" s="28"/>
      <c r="J4727" s="0" t="str">
        <f aca="false">IF(A4727="","",YEAR(A4727))</f>
        <v/>
      </c>
      <c r="K4727" s="0" t="str">
        <f aca="false">IF(A4727="","",MONTH(A4727))</f>
        <v/>
      </c>
      <c r="L4727" s="0" t="str">
        <f aca="false">IF(B4727="","",VALUE(LEFT(B4727,2)))</f>
        <v/>
      </c>
      <c r="M4727" s="0" t="str">
        <f aca="false">IF(A4727="","",IF(COUNTIFS($C$2:$C$5001,C4727,$J$2:$J$5001,J4727,$A$2:$A$5001,"&lt;"&amp;A4727)=0,1,0))</f>
        <v/>
      </c>
    </row>
    <row r="4728" customFormat="false" ht="15" hidden="false" customHeight="false" outlineLevel="0" collapsed="false">
      <c r="A4728" s="27"/>
      <c r="F4728" s="28"/>
      <c r="J4728" s="0" t="str">
        <f aca="false">IF(A4728="","",YEAR(A4728))</f>
        <v/>
      </c>
      <c r="K4728" s="0" t="str">
        <f aca="false">IF(A4728="","",MONTH(A4728))</f>
        <v/>
      </c>
      <c r="L4728" s="0" t="str">
        <f aca="false">IF(B4728="","",VALUE(LEFT(B4728,2)))</f>
        <v/>
      </c>
      <c r="M4728" s="0" t="str">
        <f aca="false">IF(A4728="","",IF(COUNTIFS($C$2:$C$5001,C4728,$J$2:$J$5001,J4728,$A$2:$A$5001,"&lt;"&amp;A4728)=0,1,0))</f>
        <v/>
      </c>
    </row>
    <row r="4729" customFormat="false" ht="15" hidden="false" customHeight="false" outlineLevel="0" collapsed="false">
      <c r="A4729" s="27"/>
      <c r="F4729" s="28"/>
      <c r="J4729" s="0" t="str">
        <f aca="false">IF(A4729="","",YEAR(A4729))</f>
        <v/>
      </c>
      <c r="K4729" s="0" t="str">
        <f aca="false">IF(A4729="","",MONTH(A4729))</f>
        <v/>
      </c>
      <c r="L4729" s="0" t="str">
        <f aca="false">IF(B4729="","",VALUE(LEFT(B4729,2)))</f>
        <v/>
      </c>
      <c r="M4729" s="0" t="str">
        <f aca="false">IF(A4729="","",IF(COUNTIFS($C$2:$C$5001,C4729,$J$2:$J$5001,J4729,$A$2:$A$5001,"&lt;"&amp;A4729)=0,1,0))</f>
        <v/>
      </c>
    </row>
    <row r="4730" customFormat="false" ht="15" hidden="false" customHeight="false" outlineLevel="0" collapsed="false">
      <c r="A4730" s="27"/>
      <c r="F4730" s="28"/>
      <c r="J4730" s="0" t="str">
        <f aca="false">IF(A4730="","",YEAR(A4730))</f>
        <v/>
      </c>
      <c r="K4730" s="0" t="str">
        <f aca="false">IF(A4730="","",MONTH(A4730))</f>
        <v/>
      </c>
      <c r="L4730" s="0" t="str">
        <f aca="false">IF(B4730="","",VALUE(LEFT(B4730,2)))</f>
        <v/>
      </c>
      <c r="M4730" s="0" t="str">
        <f aca="false">IF(A4730="","",IF(COUNTIFS($C$2:$C$5001,C4730,$J$2:$J$5001,J4730,$A$2:$A$5001,"&lt;"&amp;A4730)=0,1,0))</f>
        <v/>
      </c>
    </row>
    <row r="4731" customFormat="false" ht="15" hidden="false" customHeight="false" outlineLevel="0" collapsed="false">
      <c r="A4731" s="27"/>
      <c r="F4731" s="28"/>
      <c r="J4731" s="0" t="str">
        <f aca="false">IF(A4731="","",YEAR(A4731))</f>
        <v/>
      </c>
      <c r="K4731" s="0" t="str">
        <f aca="false">IF(A4731="","",MONTH(A4731))</f>
        <v/>
      </c>
      <c r="L4731" s="0" t="str">
        <f aca="false">IF(B4731="","",VALUE(LEFT(B4731,2)))</f>
        <v/>
      </c>
      <c r="M4731" s="0" t="str">
        <f aca="false">IF(A4731="","",IF(COUNTIFS($C$2:$C$5001,C4731,$J$2:$J$5001,J4731,$A$2:$A$5001,"&lt;"&amp;A4731)=0,1,0))</f>
        <v/>
      </c>
    </row>
    <row r="4732" customFormat="false" ht="15" hidden="false" customHeight="false" outlineLevel="0" collapsed="false">
      <c r="A4732" s="27"/>
      <c r="F4732" s="28"/>
      <c r="J4732" s="0" t="str">
        <f aca="false">IF(A4732="","",YEAR(A4732))</f>
        <v/>
      </c>
      <c r="K4732" s="0" t="str">
        <f aca="false">IF(A4732="","",MONTH(A4732))</f>
        <v/>
      </c>
      <c r="L4732" s="0" t="str">
        <f aca="false">IF(B4732="","",VALUE(LEFT(B4732,2)))</f>
        <v/>
      </c>
      <c r="M4732" s="0" t="str">
        <f aca="false">IF(A4732="","",IF(COUNTIFS($C$2:$C$5001,C4732,$J$2:$J$5001,J4732,$A$2:$A$5001,"&lt;"&amp;A4732)=0,1,0))</f>
        <v/>
      </c>
    </row>
    <row r="4733" customFormat="false" ht="15" hidden="false" customHeight="false" outlineLevel="0" collapsed="false">
      <c r="A4733" s="27"/>
      <c r="F4733" s="28"/>
      <c r="J4733" s="0" t="str">
        <f aca="false">IF(A4733="","",YEAR(A4733))</f>
        <v/>
      </c>
      <c r="K4733" s="0" t="str">
        <f aca="false">IF(A4733="","",MONTH(A4733))</f>
        <v/>
      </c>
      <c r="L4733" s="0" t="str">
        <f aca="false">IF(B4733="","",VALUE(LEFT(B4733,2)))</f>
        <v/>
      </c>
      <c r="M4733" s="0" t="str">
        <f aca="false">IF(A4733="","",IF(COUNTIFS($C$2:$C$5001,C4733,$J$2:$J$5001,J4733,$A$2:$A$5001,"&lt;"&amp;A4733)=0,1,0))</f>
        <v/>
      </c>
    </row>
    <row r="4734" customFormat="false" ht="15" hidden="false" customHeight="false" outlineLevel="0" collapsed="false">
      <c r="A4734" s="27"/>
      <c r="F4734" s="28"/>
      <c r="J4734" s="0" t="str">
        <f aca="false">IF(A4734="","",YEAR(A4734))</f>
        <v/>
      </c>
      <c r="K4734" s="0" t="str">
        <f aca="false">IF(A4734="","",MONTH(A4734))</f>
        <v/>
      </c>
      <c r="L4734" s="0" t="str">
        <f aca="false">IF(B4734="","",VALUE(LEFT(B4734,2)))</f>
        <v/>
      </c>
      <c r="M4734" s="0" t="str">
        <f aca="false">IF(A4734="","",IF(COUNTIFS($C$2:$C$5001,C4734,$J$2:$J$5001,J4734,$A$2:$A$5001,"&lt;"&amp;A4734)=0,1,0))</f>
        <v/>
      </c>
    </row>
    <row r="4735" customFormat="false" ht="15" hidden="false" customHeight="false" outlineLevel="0" collapsed="false">
      <c r="A4735" s="27"/>
      <c r="F4735" s="28"/>
      <c r="J4735" s="0" t="str">
        <f aca="false">IF(A4735="","",YEAR(A4735))</f>
        <v/>
      </c>
      <c r="K4735" s="0" t="str">
        <f aca="false">IF(A4735="","",MONTH(A4735))</f>
        <v/>
      </c>
      <c r="L4735" s="0" t="str">
        <f aca="false">IF(B4735="","",VALUE(LEFT(B4735,2)))</f>
        <v/>
      </c>
      <c r="M4735" s="0" t="str">
        <f aca="false">IF(A4735="","",IF(COUNTIFS($C$2:$C$5001,C4735,$J$2:$J$5001,J4735,$A$2:$A$5001,"&lt;"&amp;A4735)=0,1,0))</f>
        <v/>
      </c>
    </row>
    <row r="4736" customFormat="false" ht="15" hidden="false" customHeight="false" outlineLevel="0" collapsed="false">
      <c r="A4736" s="27"/>
      <c r="F4736" s="28"/>
      <c r="J4736" s="0" t="str">
        <f aca="false">IF(A4736="","",YEAR(A4736))</f>
        <v/>
      </c>
      <c r="K4736" s="0" t="str">
        <f aca="false">IF(A4736="","",MONTH(A4736))</f>
        <v/>
      </c>
      <c r="L4736" s="0" t="str">
        <f aca="false">IF(B4736="","",VALUE(LEFT(B4736,2)))</f>
        <v/>
      </c>
      <c r="M4736" s="0" t="str">
        <f aca="false">IF(A4736="","",IF(COUNTIFS($C$2:$C$5001,C4736,$J$2:$J$5001,J4736,$A$2:$A$5001,"&lt;"&amp;A4736)=0,1,0))</f>
        <v/>
      </c>
    </row>
    <row r="4737" customFormat="false" ht="15" hidden="false" customHeight="false" outlineLevel="0" collapsed="false">
      <c r="A4737" s="27"/>
      <c r="F4737" s="28"/>
      <c r="J4737" s="0" t="str">
        <f aca="false">IF(A4737="","",YEAR(A4737))</f>
        <v/>
      </c>
      <c r="K4737" s="0" t="str">
        <f aca="false">IF(A4737="","",MONTH(A4737))</f>
        <v/>
      </c>
      <c r="L4737" s="0" t="str">
        <f aca="false">IF(B4737="","",VALUE(LEFT(B4737,2)))</f>
        <v/>
      </c>
      <c r="M4737" s="0" t="str">
        <f aca="false">IF(A4737="","",IF(COUNTIFS($C$2:$C$5001,C4737,$J$2:$J$5001,J4737,$A$2:$A$5001,"&lt;"&amp;A4737)=0,1,0))</f>
        <v/>
      </c>
    </row>
    <row r="4738" customFormat="false" ht="15" hidden="false" customHeight="false" outlineLevel="0" collapsed="false">
      <c r="A4738" s="27"/>
      <c r="F4738" s="28"/>
      <c r="J4738" s="0" t="str">
        <f aca="false">IF(A4738="","",YEAR(A4738))</f>
        <v/>
      </c>
      <c r="K4738" s="0" t="str">
        <f aca="false">IF(A4738="","",MONTH(A4738))</f>
        <v/>
      </c>
      <c r="L4738" s="0" t="str">
        <f aca="false">IF(B4738="","",VALUE(LEFT(B4738,2)))</f>
        <v/>
      </c>
      <c r="M4738" s="0" t="str">
        <f aca="false">IF(A4738="","",IF(COUNTIFS($C$2:$C$5001,C4738,$J$2:$J$5001,J4738,$A$2:$A$5001,"&lt;"&amp;A4738)=0,1,0))</f>
        <v/>
      </c>
    </row>
    <row r="4739" customFormat="false" ht="15" hidden="false" customHeight="false" outlineLevel="0" collapsed="false">
      <c r="A4739" s="27"/>
      <c r="F4739" s="28"/>
      <c r="J4739" s="0" t="str">
        <f aca="false">IF(A4739="","",YEAR(A4739))</f>
        <v/>
      </c>
      <c r="K4739" s="0" t="str">
        <f aca="false">IF(A4739="","",MONTH(A4739))</f>
        <v/>
      </c>
      <c r="L4739" s="0" t="str">
        <f aca="false">IF(B4739="","",VALUE(LEFT(B4739,2)))</f>
        <v/>
      </c>
      <c r="M4739" s="0" t="str">
        <f aca="false">IF(A4739="","",IF(COUNTIFS($C$2:$C$5001,C4739,$J$2:$J$5001,J4739,$A$2:$A$5001,"&lt;"&amp;A4739)=0,1,0))</f>
        <v/>
      </c>
    </row>
    <row r="4740" customFormat="false" ht="15" hidden="false" customHeight="false" outlineLevel="0" collapsed="false">
      <c r="A4740" s="27"/>
      <c r="F4740" s="28"/>
      <c r="J4740" s="0" t="str">
        <f aca="false">IF(A4740="","",YEAR(A4740))</f>
        <v/>
      </c>
      <c r="K4740" s="0" t="str">
        <f aca="false">IF(A4740="","",MONTH(A4740))</f>
        <v/>
      </c>
      <c r="L4740" s="0" t="str">
        <f aca="false">IF(B4740="","",VALUE(LEFT(B4740,2)))</f>
        <v/>
      </c>
      <c r="M4740" s="0" t="str">
        <f aca="false">IF(A4740="","",IF(COUNTIFS($C$2:$C$5001,C4740,$J$2:$J$5001,J4740,$A$2:$A$5001,"&lt;"&amp;A4740)=0,1,0))</f>
        <v/>
      </c>
    </row>
    <row r="4741" customFormat="false" ht="15" hidden="false" customHeight="false" outlineLevel="0" collapsed="false">
      <c r="A4741" s="27"/>
      <c r="F4741" s="28"/>
      <c r="J4741" s="0" t="str">
        <f aca="false">IF(A4741="","",YEAR(A4741))</f>
        <v/>
      </c>
      <c r="K4741" s="0" t="str">
        <f aca="false">IF(A4741="","",MONTH(A4741))</f>
        <v/>
      </c>
      <c r="L4741" s="0" t="str">
        <f aca="false">IF(B4741="","",VALUE(LEFT(B4741,2)))</f>
        <v/>
      </c>
      <c r="M4741" s="0" t="str">
        <f aca="false">IF(A4741="","",IF(COUNTIFS($C$2:$C$5001,C4741,$J$2:$J$5001,J4741,$A$2:$A$5001,"&lt;"&amp;A4741)=0,1,0))</f>
        <v/>
      </c>
    </row>
    <row r="4742" customFormat="false" ht="15" hidden="false" customHeight="false" outlineLevel="0" collapsed="false">
      <c r="A4742" s="27"/>
      <c r="F4742" s="28"/>
      <c r="J4742" s="0" t="str">
        <f aca="false">IF(A4742="","",YEAR(A4742))</f>
        <v/>
      </c>
      <c r="K4742" s="0" t="str">
        <f aca="false">IF(A4742="","",MONTH(A4742))</f>
        <v/>
      </c>
      <c r="L4742" s="0" t="str">
        <f aca="false">IF(B4742="","",VALUE(LEFT(B4742,2)))</f>
        <v/>
      </c>
      <c r="M4742" s="0" t="str">
        <f aca="false">IF(A4742="","",IF(COUNTIFS($C$2:$C$5001,C4742,$J$2:$J$5001,J4742,$A$2:$A$5001,"&lt;"&amp;A4742)=0,1,0))</f>
        <v/>
      </c>
    </row>
    <row r="4743" customFormat="false" ht="15" hidden="false" customHeight="false" outlineLevel="0" collapsed="false">
      <c r="A4743" s="27"/>
      <c r="F4743" s="28"/>
      <c r="J4743" s="0" t="str">
        <f aca="false">IF(A4743="","",YEAR(A4743))</f>
        <v/>
      </c>
      <c r="K4743" s="0" t="str">
        <f aca="false">IF(A4743="","",MONTH(A4743))</f>
        <v/>
      </c>
      <c r="L4743" s="0" t="str">
        <f aca="false">IF(B4743="","",VALUE(LEFT(B4743,2)))</f>
        <v/>
      </c>
      <c r="M4743" s="0" t="str">
        <f aca="false">IF(A4743="","",IF(COUNTIFS($C$2:$C$5001,C4743,$J$2:$J$5001,J4743,$A$2:$A$5001,"&lt;"&amp;A4743)=0,1,0))</f>
        <v/>
      </c>
    </row>
    <row r="4744" customFormat="false" ht="15" hidden="false" customHeight="false" outlineLevel="0" collapsed="false">
      <c r="A4744" s="27"/>
      <c r="F4744" s="28"/>
      <c r="J4744" s="0" t="str">
        <f aca="false">IF(A4744="","",YEAR(A4744))</f>
        <v/>
      </c>
      <c r="K4744" s="0" t="str">
        <f aca="false">IF(A4744="","",MONTH(A4744))</f>
        <v/>
      </c>
      <c r="L4744" s="0" t="str">
        <f aca="false">IF(B4744="","",VALUE(LEFT(B4744,2)))</f>
        <v/>
      </c>
      <c r="M4744" s="0" t="str">
        <f aca="false">IF(A4744="","",IF(COUNTIFS($C$2:$C$5001,C4744,$J$2:$J$5001,J4744,$A$2:$A$5001,"&lt;"&amp;A4744)=0,1,0))</f>
        <v/>
      </c>
    </row>
    <row r="4745" customFormat="false" ht="15" hidden="false" customHeight="false" outlineLevel="0" collapsed="false">
      <c r="A4745" s="27"/>
      <c r="F4745" s="28"/>
      <c r="J4745" s="0" t="str">
        <f aca="false">IF(A4745="","",YEAR(A4745))</f>
        <v/>
      </c>
      <c r="K4745" s="0" t="str">
        <f aca="false">IF(A4745="","",MONTH(A4745))</f>
        <v/>
      </c>
      <c r="L4745" s="0" t="str">
        <f aca="false">IF(B4745="","",VALUE(LEFT(B4745,2)))</f>
        <v/>
      </c>
      <c r="M4745" s="0" t="str">
        <f aca="false">IF(A4745="","",IF(COUNTIFS($C$2:$C$5001,C4745,$J$2:$J$5001,J4745,$A$2:$A$5001,"&lt;"&amp;A4745)=0,1,0))</f>
        <v/>
      </c>
    </row>
    <row r="4746" customFormat="false" ht="15" hidden="false" customHeight="false" outlineLevel="0" collapsed="false">
      <c r="A4746" s="27"/>
      <c r="F4746" s="28"/>
      <c r="J4746" s="0" t="str">
        <f aca="false">IF(A4746="","",YEAR(A4746))</f>
        <v/>
      </c>
      <c r="K4746" s="0" t="str">
        <f aca="false">IF(A4746="","",MONTH(A4746))</f>
        <v/>
      </c>
      <c r="L4746" s="0" t="str">
        <f aca="false">IF(B4746="","",VALUE(LEFT(B4746,2)))</f>
        <v/>
      </c>
      <c r="M4746" s="0" t="str">
        <f aca="false">IF(A4746="","",IF(COUNTIFS($C$2:$C$5001,C4746,$J$2:$J$5001,J4746,$A$2:$A$5001,"&lt;"&amp;A4746)=0,1,0))</f>
        <v/>
      </c>
    </row>
    <row r="4747" customFormat="false" ht="15" hidden="false" customHeight="false" outlineLevel="0" collapsed="false">
      <c r="A4747" s="27"/>
      <c r="F4747" s="28"/>
      <c r="J4747" s="0" t="str">
        <f aca="false">IF(A4747="","",YEAR(A4747))</f>
        <v/>
      </c>
      <c r="K4747" s="0" t="str">
        <f aca="false">IF(A4747="","",MONTH(A4747))</f>
        <v/>
      </c>
      <c r="L4747" s="0" t="str">
        <f aca="false">IF(B4747="","",VALUE(LEFT(B4747,2)))</f>
        <v/>
      </c>
      <c r="M4747" s="0" t="str">
        <f aca="false">IF(A4747="","",IF(COUNTIFS($C$2:$C$5001,C4747,$J$2:$J$5001,J4747,$A$2:$A$5001,"&lt;"&amp;A4747)=0,1,0))</f>
        <v/>
      </c>
    </row>
    <row r="4748" customFormat="false" ht="15" hidden="false" customHeight="false" outlineLevel="0" collapsed="false">
      <c r="A4748" s="27"/>
      <c r="F4748" s="28"/>
      <c r="J4748" s="0" t="str">
        <f aca="false">IF(A4748="","",YEAR(A4748))</f>
        <v/>
      </c>
      <c r="K4748" s="0" t="str">
        <f aca="false">IF(A4748="","",MONTH(A4748))</f>
        <v/>
      </c>
      <c r="L4748" s="0" t="str">
        <f aca="false">IF(B4748="","",VALUE(LEFT(B4748,2)))</f>
        <v/>
      </c>
      <c r="M4748" s="0" t="str">
        <f aca="false">IF(A4748="","",IF(COUNTIFS($C$2:$C$5001,C4748,$J$2:$J$5001,J4748,$A$2:$A$5001,"&lt;"&amp;A4748)=0,1,0))</f>
        <v/>
      </c>
    </row>
    <row r="4749" customFormat="false" ht="15" hidden="false" customHeight="false" outlineLevel="0" collapsed="false">
      <c r="A4749" s="27"/>
      <c r="F4749" s="28"/>
      <c r="J4749" s="0" t="str">
        <f aca="false">IF(A4749="","",YEAR(A4749))</f>
        <v/>
      </c>
      <c r="K4749" s="0" t="str">
        <f aca="false">IF(A4749="","",MONTH(A4749))</f>
        <v/>
      </c>
      <c r="L4749" s="0" t="str">
        <f aca="false">IF(B4749="","",VALUE(LEFT(B4749,2)))</f>
        <v/>
      </c>
      <c r="M4749" s="0" t="str">
        <f aca="false">IF(A4749="","",IF(COUNTIFS($C$2:$C$5001,C4749,$J$2:$J$5001,J4749,$A$2:$A$5001,"&lt;"&amp;A4749)=0,1,0))</f>
        <v/>
      </c>
    </row>
    <row r="4750" customFormat="false" ht="15" hidden="false" customHeight="false" outlineLevel="0" collapsed="false">
      <c r="A4750" s="27"/>
      <c r="F4750" s="28"/>
      <c r="J4750" s="0" t="str">
        <f aca="false">IF(A4750="","",YEAR(A4750))</f>
        <v/>
      </c>
      <c r="K4750" s="0" t="str">
        <f aca="false">IF(A4750="","",MONTH(A4750))</f>
        <v/>
      </c>
      <c r="L4750" s="0" t="str">
        <f aca="false">IF(B4750="","",VALUE(LEFT(B4750,2)))</f>
        <v/>
      </c>
      <c r="M4750" s="0" t="str">
        <f aca="false">IF(A4750="","",IF(COUNTIFS($C$2:$C$5001,C4750,$J$2:$J$5001,J4750,$A$2:$A$5001,"&lt;"&amp;A4750)=0,1,0))</f>
        <v/>
      </c>
    </row>
    <row r="4751" customFormat="false" ht="15" hidden="false" customHeight="false" outlineLevel="0" collapsed="false">
      <c r="A4751" s="27"/>
      <c r="F4751" s="28"/>
      <c r="J4751" s="0" t="str">
        <f aca="false">IF(A4751="","",YEAR(A4751))</f>
        <v/>
      </c>
      <c r="K4751" s="0" t="str">
        <f aca="false">IF(A4751="","",MONTH(A4751))</f>
        <v/>
      </c>
      <c r="L4751" s="0" t="str">
        <f aca="false">IF(B4751="","",VALUE(LEFT(B4751,2)))</f>
        <v/>
      </c>
      <c r="M4751" s="0" t="str">
        <f aca="false">IF(A4751="","",IF(COUNTIFS($C$2:$C$5001,C4751,$J$2:$J$5001,J4751,$A$2:$A$5001,"&lt;"&amp;A4751)=0,1,0))</f>
        <v/>
      </c>
    </row>
    <row r="4752" customFormat="false" ht="15" hidden="false" customHeight="false" outlineLevel="0" collapsed="false">
      <c r="A4752" s="27"/>
      <c r="F4752" s="28"/>
      <c r="J4752" s="0" t="str">
        <f aca="false">IF(A4752="","",YEAR(A4752))</f>
        <v/>
      </c>
      <c r="K4752" s="0" t="str">
        <f aca="false">IF(A4752="","",MONTH(A4752))</f>
        <v/>
      </c>
      <c r="L4752" s="0" t="str">
        <f aca="false">IF(B4752="","",VALUE(LEFT(B4752,2)))</f>
        <v/>
      </c>
      <c r="M4752" s="0" t="str">
        <f aca="false">IF(A4752="","",IF(COUNTIFS($C$2:$C$5001,C4752,$J$2:$J$5001,J4752,$A$2:$A$5001,"&lt;"&amp;A4752)=0,1,0))</f>
        <v/>
      </c>
    </row>
    <row r="4753" customFormat="false" ht="15" hidden="false" customHeight="false" outlineLevel="0" collapsed="false">
      <c r="A4753" s="27"/>
      <c r="F4753" s="28"/>
      <c r="J4753" s="0" t="str">
        <f aca="false">IF(A4753="","",YEAR(A4753))</f>
        <v/>
      </c>
      <c r="K4753" s="0" t="str">
        <f aca="false">IF(A4753="","",MONTH(A4753))</f>
        <v/>
      </c>
      <c r="L4753" s="0" t="str">
        <f aca="false">IF(B4753="","",VALUE(LEFT(B4753,2)))</f>
        <v/>
      </c>
      <c r="M4753" s="0" t="str">
        <f aca="false">IF(A4753="","",IF(COUNTIFS($C$2:$C$5001,C4753,$J$2:$J$5001,J4753,$A$2:$A$5001,"&lt;"&amp;A4753)=0,1,0))</f>
        <v/>
      </c>
    </row>
    <row r="4754" customFormat="false" ht="15" hidden="false" customHeight="false" outlineLevel="0" collapsed="false">
      <c r="A4754" s="27"/>
      <c r="F4754" s="28"/>
      <c r="J4754" s="0" t="str">
        <f aca="false">IF(A4754="","",YEAR(A4754))</f>
        <v/>
      </c>
      <c r="K4754" s="0" t="str">
        <f aca="false">IF(A4754="","",MONTH(A4754))</f>
        <v/>
      </c>
      <c r="L4754" s="0" t="str">
        <f aca="false">IF(B4754="","",VALUE(LEFT(B4754,2)))</f>
        <v/>
      </c>
      <c r="M4754" s="0" t="str">
        <f aca="false">IF(A4754="","",IF(COUNTIFS($C$2:$C$5001,C4754,$J$2:$J$5001,J4754,$A$2:$A$5001,"&lt;"&amp;A4754)=0,1,0))</f>
        <v/>
      </c>
    </row>
    <row r="4755" customFormat="false" ht="15" hidden="false" customHeight="false" outlineLevel="0" collapsed="false">
      <c r="A4755" s="27"/>
      <c r="F4755" s="28"/>
      <c r="J4755" s="0" t="str">
        <f aca="false">IF(A4755="","",YEAR(A4755))</f>
        <v/>
      </c>
      <c r="K4755" s="0" t="str">
        <f aca="false">IF(A4755="","",MONTH(A4755))</f>
        <v/>
      </c>
      <c r="L4755" s="0" t="str">
        <f aca="false">IF(B4755="","",VALUE(LEFT(B4755,2)))</f>
        <v/>
      </c>
      <c r="M4755" s="0" t="str">
        <f aca="false">IF(A4755="","",IF(COUNTIFS($C$2:$C$5001,C4755,$J$2:$J$5001,J4755,$A$2:$A$5001,"&lt;"&amp;A4755)=0,1,0))</f>
        <v/>
      </c>
    </row>
    <row r="4756" customFormat="false" ht="15" hidden="false" customHeight="false" outlineLevel="0" collapsed="false">
      <c r="A4756" s="27"/>
      <c r="F4756" s="28"/>
      <c r="J4756" s="0" t="str">
        <f aca="false">IF(A4756="","",YEAR(A4756))</f>
        <v/>
      </c>
      <c r="K4756" s="0" t="str">
        <f aca="false">IF(A4756="","",MONTH(A4756))</f>
        <v/>
      </c>
      <c r="L4756" s="0" t="str">
        <f aca="false">IF(B4756="","",VALUE(LEFT(B4756,2)))</f>
        <v/>
      </c>
      <c r="M4756" s="0" t="str">
        <f aca="false">IF(A4756="","",IF(COUNTIFS($C$2:$C$5001,C4756,$J$2:$J$5001,J4756,$A$2:$A$5001,"&lt;"&amp;A4756)=0,1,0))</f>
        <v/>
      </c>
    </row>
    <row r="4757" customFormat="false" ht="15" hidden="false" customHeight="false" outlineLevel="0" collapsed="false">
      <c r="A4757" s="27"/>
      <c r="F4757" s="28"/>
      <c r="J4757" s="0" t="str">
        <f aca="false">IF(A4757="","",YEAR(A4757))</f>
        <v/>
      </c>
      <c r="K4757" s="0" t="str">
        <f aca="false">IF(A4757="","",MONTH(A4757))</f>
        <v/>
      </c>
      <c r="L4757" s="0" t="str">
        <f aca="false">IF(B4757="","",VALUE(LEFT(B4757,2)))</f>
        <v/>
      </c>
      <c r="M4757" s="0" t="str">
        <f aca="false">IF(A4757="","",IF(COUNTIFS($C$2:$C$5001,C4757,$J$2:$J$5001,J4757,$A$2:$A$5001,"&lt;"&amp;A4757)=0,1,0))</f>
        <v/>
      </c>
    </row>
    <row r="4758" customFormat="false" ht="15" hidden="false" customHeight="false" outlineLevel="0" collapsed="false">
      <c r="A4758" s="27"/>
      <c r="F4758" s="28"/>
      <c r="J4758" s="0" t="str">
        <f aca="false">IF(A4758="","",YEAR(A4758))</f>
        <v/>
      </c>
      <c r="K4758" s="0" t="str">
        <f aca="false">IF(A4758="","",MONTH(A4758))</f>
        <v/>
      </c>
      <c r="L4758" s="0" t="str">
        <f aca="false">IF(B4758="","",VALUE(LEFT(B4758,2)))</f>
        <v/>
      </c>
      <c r="M4758" s="0" t="str">
        <f aca="false">IF(A4758="","",IF(COUNTIFS($C$2:$C$5001,C4758,$J$2:$J$5001,J4758,$A$2:$A$5001,"&lt;"&amp;A4758)=0,1,0))</f>
        <v/>
      </c>
    </row>
    <row r="4759" customFormat="false" ht="15" hidden="false" customHeight="false" outlineLevel="0" collapsed="false">
      <c r="A4759" s="27"/>
      <c r="F4759" s="28"/>
      <c r="J4759" s="0" t="str">
        <f aca="false">IF(A4759="","",YEAR(A4759))</f>
        <v/>
      </c>
      <c r="K4759" s="0" t="str">
        <f aca="false">IF(A4759="","",MONTH(A4759))</f>
        <v/>
      </c>
      <c r="L4759" s="0" t="str">
        <f aca="false">IF(B4759="","",VALUE(LEFT(B4759,2)))</f>
        <v/>
      </c>
      <c r="M4759" s="0" t="str">
        <f aca="false">IF(A4759="","",IF(COUNTIFS($C$2:$C$5001,C4759,$J$2:$J$5001,J4759,$A$2:$A$5001,"&lt;"&amp;A4759)=0,1,0))</f>
        <v/>
      </c>
    </row>
    <row r="4760" customFormat="false" ht="15" hidden="false" customHeight="false" outlineLevel="0" collapsed="false">
      <c r="A4760" s="27"/>
      <c r="F4760" s="28"/>
      <c r="J4760" s="0" t="str">
        <f aca="false">IF(A4760="","",YEAR(A4760))</f>
        <v/>
      </c>
      <c r="K4760" s="0" t="str">
        <f aca="false">IF(A4760="","",MONTH(A4760))</f>
        <v/>
      </c>
      <c r="L4760" s="0" t="str">
        <f aca="false">IF(B4760="","",VALUE(LEFT(B4760,2)))</f>
        <v/>
      </c>
      <c r="M4760" s="0" t="str">
        <f aca="false">IF(A4760="","",IF(COUNTIFS($C$2:$C$5001,C4760,$J$2:$J$5001,J4760,$A$2:$A$5001,"&lt;"&amp;A4760)=0,1,0))</f>
        <v/>
      </c>
    </row>
    <row r="4761" customFormat="false" ht="15" hidden="false" customHeight="false" outlineLevel="0" collapsed="false">
      <c r="A4761" s="27"/>
      <c r="F4761" s="28"/>
      <c r="J4761" s="0" t="str">
        <f aca="false">IF(A4761="","",YEAR(A4761))</f>
        <v/>
      </c>
      <c r="K4761" s="0" t="str">
        <f aca="false">IF(A4761="","",MONTH(A4761))</f>
        <v/>
      </c>
      <c r="L4761" s="0" t="str">
        <f aca="false">IF(B4761="","",VALUE(LEFT(B4761,2)))</f>
        <v/>
      </c>
      <c r="M4761" s="0" t="str">
        <f aca="false">IF(A4761="","",IF(COUNTIFS($C$2:$C$5001,C4761,$J$2:$J$5001,J4761,$A$2:$A$5001,"&lt;"&amp;A4761)=0,1,0))</f>
        <v/>
      </c>
    </row>
    <row r="4762" customFormat="false" ht="15" hidden="false" customHeight="false" outlineLevel="0" collapsed="false">
      <c r="A4762" s="27"/>
      <c r="F4762" s="28"/>
      <c r="J4762" s="0" t="str">
        <f aca="false">IF(A4762="","",YEAR(A4762))</f>
        <v/>
      </c>
      <c r="K4762" s="0" t="str">
        <f aca="false">IF(A4762="","",MONTH(A4762))</f>
        <v/>
      </c>
      <c r="L4762" s="0" t="str">
        <f aca="false">IF(B4762="","",VALUE(LEFT(B4762,2)))</f>
        <v/>
      </c>
      <c r="M4762" s="0" t="str">
        <f aca="false">IF(A4762="","",IF(COUNTIFS($C$2:$C$5001,C4762,$J$2:$J$5001,J4762,$A$2:$A$5001,"&lt;"&amp;A4762)=0,1,0))</f>
        <v/>
      </c>
    </row>
    <row r="4763" customFormat="false" ht="15" hidden="false" customHeight="false" outlineLevel="0" collapsed="false">
      <c r="A4763" s="27"/>
      <c r="F4763" s="28"/>
      <c r="J4763" s="0" t="str">
        <f aca="false">IF(A4763="","",YEAR(A4763))</f>
        <v/>
      </c>
      <c r="K4763" s="0" t="str">
        <f aca="false">IF(A4763="","",MONTH(A4763))</f>
        <v/>
      </c>
      <c r="L4763" s="0" t="str">
        <f aca="false">IF(B4763="","",VALUE(LEFT(B4763,2)))</f>
        <v/>
      </c>
      <c r="M4763" s="0" t="str">
        <f aca="false">IF(A4763="","",IF(COUNTIFS($C$2:$C$5001,C4763,$J$2:$J$5001,J4763,$A$2:$A$5001,"&lt;"&amp;A4763)=0,1,0))</f>
        <v/>
      </c>
    </row>
    <row r="4764" customFormat="false" ht="15" hidden="false" customHeight="false" outlineLevel="0" collapsed="false">
      <c r="A4764" s="27"/>
      <c r="F4764" s="28"/>
      <c r="J4764" s="0" t="str">
        <f aca="false">IF(A4764="","",YEAR(A4764))</f>
        <v/>
      </c>
      <c r="K4764" s="0" t="str">
        <f aca="false">IF(A4764="","",MONTH(A4764))</f>
        <v/>
      </c>
      <c r="L4764" s="0" t="str">
        <f aca="false">IF(B4764="","",VALUE(LEFT(B4764,2)))</f>
        <v/>
      </c>
      <c r="M4764" s="0" t="str">
        <f aca="false">IF(A4764="","",IF(COUNTIFS($C$2:$C$5001,C4764,$J$2:$J$5001,J4764,$A$2:$A$5001,"&lt;"&amp;A4764)=0,1,0))</f>
        <v/>
      </c>
    </row>
    <row r="4765" customFormat="false" ht="15" hidden="false" customHeight="false" outlineLevel="0" collapsed="false">
      <c r="A4765" s="27"/>
      <c r="F4765" s="28"/>
      <c r="J4765" s="0" t="str">
        <f aca="false">IF(A4765="","",YEAR(A4765))</f>
        <v/>
      </c>
      <c r="K4765" s="0" t="str">
        <f aca="false">IF(A4765="","",MONTH(A4765))</f>
        <v/>
      </c>
      <c r="L4765" s="0" t="str">
        <f aca="false">IF(B4765="","",VALUE(LEFT(B4765,2)))</f>
        <v/>
      </c>
      <c r="M4765" s="0" t="str">
        <f aca="false">IF(A4765="","",IF(COUNTIFS($C$2:$C$5001,C4765,$J$2:$J$5001,J4765,$A$2:$A$5001,"&lt;"&amp;A4765)=0,1,0))</f>
        <v/>
      </c>
    </row>
    <row r="4766" customFormat="false" ht="15" hidden="false" customHeight="false" outlineLevel="0" collapsed="false">
      <c r="A4766" s="27"/>
      <c r="F4766" s="28"/>
      <c r="J4766" s="0" t="str">
        <f aca="false">IF(A4766="","",YEAR(A4766))</f>
        <v/>
      </c>
      <c r="K4766" s="0" t="str">
        <f aca="false">IF(A4766="","",MONTH(A4766))</f>
        <v/>
      </c>
      <c r="L4766" s="0" t="str">
        <f aca="false">IF(B4766="","",VALUE(LEFT(B4766,2)))</f>
        <v/>
      </c>
      <c r="M4766" s="0" t="str">
        <f aca="false">IF(A4766="","",IF(COUNTIFS($C$2:$C$5001,C4766,$J$2:$J$5001,J4766,$A$2:$A$5001,"&lt;"&amp;A4766)=0,1,0))</f>
        <v/>
      </c>
    </row>
    <row r="4767" customFormat="false" ht="15" hidden="false" customHeight="false" outlineLevel="0" collapsed="false">
      <c r="A4767" s="27"/>
      <c r="F4767" s="28"/>
      <c r="J4767" s="0" t="str">
        <f aca="false">IF(A4767="","",YEAR(A4767))</f>
        <v/>
      </c>
      <c r="K4767" s="0" t="str">
        <f aca="false">IF(A4767="","",MONTH(A4767))</f>
        <v/>
      </c>
      <c r="L4767" s="0" t="str">
        <f aca="false">IF(B4767="","",VALUE(LEFT(B4767,2)))</f>
        <v/>
      </c>
      <c r="M4767" s="0" t="str">
        <f aca="false">IF(A4767="","",IF(COUNTIFS($C$2:$C$5001,C4767,$J$2:$J$5001,J4767,$A$2:$A$5001,"&lt;"&amp;A4767)=0,1,0))</f>
        <v/>
      </c>
    </row>
    <row r="4768" customFormat="false" ht="15" hidden="false" customHeight="false" outlineLevel="0" collapsed="false">
      <c r="A4768" s="27"/>
      <c r="F4768" s="28"/>
      <c r="J4768" s="0" t="str">
        <f aca="false">IF(A4768="","",YEAR(A4768))</f>
        <v/>
      </c>
      <c r="K4768" s="0" t="str">
        <f aca="false">IF(A4768="","",MONTH(A4768))</f>
        <v/>
      </c>
      <c r="L4768" s="0" t="str">
        <f aca="false">IF(B4768="","",VALUE(LEFT(B4768,2)))</f>
        <v/>
      </c>
      <c r="M4768" s="0" t="str">
        <f aca="false">IF(A4768="","",IF(COUNTIFS($C$2:$C$5001,C4768,$J$2:$J$5001,J4768,$A$2:$A$5001,"&lt;"&amp;A4768)=0,1,0))</f>
        <v/>
      </c>
    </row>
    <row r="4769" customFormat="false" ht="15" hidden="false" customHeight="false" outlineLevel="0" collapsed="false">
      <c r="A4769" s="27"/>
      <c r="F4769" s="28"/>
      <c r="J4769" s="0" t="str">
        <f aca="false">IF(A4769="","",YEAR(A4769))</f>
        <v/>
      </c>
      <c r="K4769" s="0" t="str">
        <f aca="false">IF(A4769="","",MONTH(A4769))</f>
        <v/>
      </c>
      <c r="L4769" s="0" t="str">
        <f aca="false">IF(B4769="","",VALUE(LEFT(B4769,2)))</f>
        <v/>
      </c>
      <c r="M4769" s="0" t="str">
        <f aca="false">IF(A4769="","",IF(COUNTIFS($C$2:$C$5001,C4769,$J$2:$J$5001,J4769,$A$2:$A$5001,"&lt;"&amp;A4769)=0,1,0))</f>
        <v/>
      </c>
    </row>
    <row r="4770" customFormat="false" ht="15" hidden="false" customHeight="false" outlineLevel="0" collapsed="false">
      <c r="A4770" s="27"/>
      <c r="F4770" s="28"/>
      <c r="J4770" s="0" t="str">
        <f aca="false">IF(A4770="","",YEAR(A4770))</f>
        <v/>
      </c>
      <c r="K4770" s="0" t="str">
        <f aca="false">IF(A4770="","",MONTH(A4770))</f>
        <v/>
      </c>
      <c r="L4770" s="0" t="str">
        <f aca="false">IF(B4770="","",VALUE(LEFT(B4770,2)))</f>
        <v/>
      </c>
      <c r="M4770" s="0" t="str">
        <f aca="false">IF(A4770="","",IF(COUNTIFS($C$2:$C$5001,C4770,$J$2:$J$5001,J4770,$A$2:$A$5001,"&lt;"&amp;A4770)=0,1,0))</f>
        <v/>
      </c>
    </row>
    <row r="4771" customFormat="false" ht="15" hidden="false" customHeight="false" outlineLevel="0" collapsed="false">
      <c r="A4771" s="27"/>
      <c r="F4771" s="28"/>
      <c r="J4771" s="0" t="str">
        <f aca="false">IF(A4771="","",YEAR(A4771))</f>
        <v/>
      </c>
      <c r="K4771" s="0" t="str">
        <f aca="false">IF(A4771="","",MONTH(A4771))</f>
        <v/>
      </c>
      <c r="L4771" s="0" t="str">
        <f aca="false">IF(B4771="","",VALUE(LEFT(B4771,2)))</f>
        <v/>
      </c>
      <c r="M4771" s="0" t="str">
        <f aca="false">IF(A4771="","",IF(COUNTIFS($C$2:$C$5001,C4771,$J$2:$J$5001,J4771,$A$2:$A$5001,"&lt;"&amp;A4771)=0,1,0))</f>
        <v/>
      </c>
    </row>
    <row r="4772" customFormat="false" ht="15" hidden="false" customHeight="false" outlineLevel="0" collapsed="false">
      <c r="A4772" s="27"/>
      <c r="F4772" s="28"/>
      <c r="J4772" s="0" t="str">
        <f aca="false">IF(A4772="","",YEAR(A4772))</f>
        <v/>
      </c>
      <c r="K4772" s="0" t="str">
        <f aca="false">IF(A4772="","",MONTH(A4772))</f>
        <v/>
      </c>
      <c r="L4772" s="0" t="str">
        <f aca="false">IF(B4772="","",VALUE(LEFT(B4772,2)))</f>
        <v/>
      </c>
      <c r="M4772" s="0" t="str">
        <f aca="false">IF(A4772="","",IF(COUNTIFS($C$2:$C$5001,C4772,$J$2:$J$5001,J4772,$A$2:$A$5001,"&lt;"&amp;A4772)=0,1,0))</f>
        <v/>
      </c>
    </row>
    <row r="4773" customFormat="false" ht="15" hidden="false" customHeight="false" outlineLevel="0" collapsed="false">
      <c r="A4773" s="27"/>
      <c r="F4773" s="28"/>
      <c r="J4773" s="0" t="str">
        <f aca="false">IF(A4773="","",YEAR(A4773))</f>
        <v/>
      </c>
      <c r="K4773" s="0" t="str">
        <f aca="false">IF(A4773="","",MONTH(A4773))</f>
        <v/>
      </c>
      <c r="L4773" s="0" t="str">
        <f aca="false">IF(B4773="","",VALUE(LEFT(B4773,2)))</f>
        <v/>
      </c>
      <c r="M4773" s="0" t="str">
        <f aca="false">IF(A4773="","",IF(COUNTIFS($C$2:$C$5001,C4773,$J$2:$J$5001,J4773,$A$2:$A$5001,"&lt;"&amp;A4773)=0,1,0))</f>
        <v/>
      </c>
    </row>
    <row r="4774" customFormat="false" ht="15" hidden="false" customHeight="false" outlineLevel="0" collapsed="false">
      <c r="A4774" s="27"/>
      <c r="F4774" s="28"/>
      <c r="J4774" s="0" t="str">
        <f aca="false">IF(A4774="","",YEAR(A4774))</f>
        <v/>
      </c>
      <c r="K4774" s="0" t="str">
        <f aca="false">IF(A4774="","",MONTH(A4774))</f>
        <v/>
      </c>
      <c r="L4774" s="0" t="str">
        <f aca="false">IF(B4774="","",VALUE(LEFT(B4774,2)))</f>
        <v/>
      </c>
      <c r="M4774" s="0" t="str">
        <f aca="false">IF(A4774="","",IF(COUNTIFS($C$2:$C$5001,C4774,$J$2:$J$5001,J4774,$A$2:$A$5001,"&lt;"&amp;A4774)=0,1,0))</f>
        <v/>
      </c>
    </row>
    <row r="4775" customFormat="false" ht="15" hidden="false" customHeight="false" outlineLevel="0" collapsed="false">
      <c r="A4775" s="27"/>
      <c r="F4775" s="28"/>
      <c r="J4775" s="0" t="str">
        <f aca="false">IF(A4775="","",YEAR(A4775))</f>
        <v/>
      </c>
      <c r="K4775" s="0" t="str">
        <f aca="false">IF(A4775="","",MONTH(A4775))</f>
        <v/>
      </c>
      <c r="L4775" s="0" t="str">
        <f aca="false">IF(B4775="","",VALUE(LEFT(B4775,2)))</f>
        <v/>
      </c>
      <c r="M4775" s="0" t="str">
        <f aca="false">IF(A4775="","",IF(COUNTIFS($C$2:$C$5001,C4775,$J$2:$J$5001,J4775,$A$2:$A$5001,"&lt;"&amp;A4775)=0,1,0))</f>
        <v/>
      </c>
    </row>
    <row r="4776" customFormat="false" ht="15" hidden="false" customHeight="false" outlineLevel="0" collapsed="false">
      <c r="A4776" s="27"/>
      <c r="F4776" s="28"/>
      <c r="J4776" s="0" t="str">
        <f aca="false">IF(A4776="","",YEAR(A4776))</f>
        <v/>
      </c>
      <c r="K4776" s="0" t="str">
        <f aca="false">IF(A4776="","",MONTH(A4776))</f>
        <v/>
      </c>
      <c r="L4776" s="0" t="str">
        <f aca="false">IF(B4776="","",VALUE(LEFT(B4776,2)))</f>
        <v/>
      </c>
      <c r="M4776" s="0" t="str">
        <f aca="false">IF(A4776="","",IF(COUNTIFS($C$2:$C$5001,C4776,$J$2:$J$5001,J4776,$A$2:$A$5001,"&lt;"&amp;A4776)=0,1,0))</f>
        <v/>
      </c>
    </row>
    <row r="4777" customFormat="false" ht="15" hidden="false" customHeight="false" outlineLevel="0" collapsed="false">
      <c r="A4777" s="27"/>
      <c r="F4777" s="28"/>
      <c r="J4777" s="0" t="str">
        <f aca="false">IF(A4777="","",YEAR(A4777))</f>
        <v/>
      </c>
      <c r="K4777" s="0" t="str">
        <f aca="false">IF(A4777="","",MONTH(A4777))</f>
        <v/>
      </c>
      <c r="L4777" s="0" t="str">
        <f aca="false">IF(B4777="","",VALUE(LEFT(B4777,2)))</f>
        <v/>
      </c>
      <c r="M4777" s="0" t="str">
        <f aca="false">IF(A4777="","",IF(COUNTIFS($C$2:$C$5001,C4777,$J$2:$J$5001,J4777,$A$2:$A$5001,"&lt;"&amp;A4777)=0,1,0))</f>
        <v/>
      </c>
    </row>
    <row r="4778" customFormat="false" ht="15" hidden="false" customHeight="false" outlineLevel="0" collapsed="false">
      <c r="A4778" s="27"/>
      <c r="F4778" s="28"/>
      <c r="J4778" s="0" t="str">
        <f aca="false">IF(A4778="","",YEAR(A4778))</f>
        <v/>
      </c>
      <c r="K4778" s="0" t="str">
        <f aca="false">IF(A4778="","",MONTH(A4778))</f>
        <v/>
      </c>
      <c r="L4778" s="0" t="str">
        <f aca="false">IF(B4778="","",VALUE(LEFT(B4778,2)))</f>
        <v/>
      </c>
      <c r="M4778" s="0" t="str">
        <f aca="false">IF(A4778="","",IF(COUNTIFS($C$2:$C$5001,C4778,$J$2:$J$5001,J4778,$A$2:$A$5001,"&lt;"&amp;A4778)=0,1,0))</f>
        <v/>
      </c>
    </row>
    <row r="4779" customFormat="false" ht="15" hidden="false" customHeight="false" outlineLevel="0" collapsed="false">
      <c r="A4779" s="27"/>
      <c r="F4779" s="28"/>
      <c r="J4779" s="0" t="str">
        <f aca="false">IF(A4779="","",YEAR(A4779))</f>
        <v/>
      </c>
      <c r="K4779" s="0" t="str">
        <f aca="false">IF(A4779="","",MONTH(A4779))</f>
        <v/>
      </c>
      <c r="L4779" s="0" t="str">
        <f aca="false">IF(B4779="","",VALUE(LEFT(B4779,2)))</f>
        <v/>
      </c>
      <c r="M4779" s="0" t="str">
        <f aca="false">IF(A4779="","",IF(COUNTIFS($C$2:$C$5001,C4779,$J$2:$J$5001,J4779,$A$2:$A$5001,"&lt;"&amp;A4779)=0,1,0))</f>
        <v/>
      </c>
    </row>
    <row r="4780" customFormat="false" ht="15" hidden="false" customHeight="false" outlineLevel="0" collapsed="false">
      <c r="A4780" s="27"/>
      <c r="F4780" s="28"/>
      <c r="J4780" s="0" t="str">
        <f aca="false">IF(A4780="","",YEAR(A4780))</f>
        <v/>
      </c>
      <c r="K4780" s="0" t="str">
        <f aca="false">IF(A4780="","",MONTH(A4780))</f>
        <v/>
      </c>
      <c r="L4780" s="0" t="str">
        <f aca="false">IF(B4780="","",VALUE(LEFT(B4780,2)))</f>
        <v/>
      </c>
      <c r="M4780" s="0" t="str">
        <f aca="false">IF(A4780="","",IF(COUNTIFS($C$2:$C$5001,C4780,$J$2:$J$5001,J4780,$A$2:$A$5001,"&lt;"&amp;A4780)=0,1,0))</f>
        <v/>
      </c>
    </row>
    <row r="4781" customFormat="false" ht="15" hidden="false" customHeight="false" outlineLevel="0" collapsed="false">
      <c r="A4781" s="27"/>
      <c r="F4781" s="28"/>
      <c r="J4781" s="0" t="str">
        <f aca="false">IF(A4781="","",YEAR(A4781))</f>
        <v/>
      </c>
      <c r="K4781" s="0" t="str">
        <f aca="false">IF(A4781="","",MONTH(A4781))</f>
        <v/>
      </c>
      <c r="L4781" s="0" t="str">
        <f aca="false">IF(B4781="","",VALUE(LEFT(B4781,2)))</f>
        <v/>
      </c>
      <c r="M4781" s="0" t="str">
        <f aca="false">IF(A4781="","",IF(COUNTIFS($C$2:$C$5001,C4781,$J$2:$J$5001,J4781,$A$2:$A$5001,"&lt;"&amp;A4781)=0,1,0))</f>
        <v/>
      </c>
    </row>
    <row r="4782" customFormat="false" ht="15" hidden="false" customHeight="false" outlineLevel="0" collapsed="false">
      <c r="A4782" s="27"/>
      <c r="F4782" s="28"/>
      <c r="J4782" s="0" t="str">
        <f aca="false">IF(A4782="","",YEAR(A4782))</f>
        <v/>
      </c>
      <c r="K4782" s="0" t="str">
        <f aca="false">IF(A4782="","",MONTH(A4782))</f>
        <v/>
      </c>
      <c r="L4782" s="0" t="str">
        <f aca="false">IF(B4782="","",VALUE(LEFT(B4782,2)))</f>
        <v/>
      </c>
      <c r="M4782" s="0" t="str">
        <f aca="false">IF(A4782="","",IF(COUNTIFS($C$2:$C$5001,C4782,$J$2:$J$5001,J4782,$A$2:$A$5001,"&lt;"&amp;A4782)=0,1,0))</f>
        <v/>
      </c>
    </row>
    <row r="4783" customFormat="false" ht="15" hidden="false" customHeight="false" outlineLevel="0" collapsed="false">
      <c r="A4783" s="27"/>
      <c r="F4783" s="28"/>
      <c r="J4783" s="0" t="str">
        <f aca="false">IF(A4783="","",YEAR(A4783))</f>
        <v/>
      </c>
      <c r="K4783" s="0" t="str">
        <f aca="false">IF(A4783="","",MONTH(A4783))</f>
        <v/>
      </c>
      <c r="L4783" s="0" t="str">
        <f aca="false">IF(B4783="","",VALUE(LEFT(B4783,2)))</f>
        <v/>
      </c>
      <c r="M4783" s="0" t="str">
        <f aca="false">IF(A4783="","",IF(COUNTIFS($C$2:$C$5001,C4783,$J$2:$J$5001,J4783,$A$2:$A$5001,"&lt;"&amp;A4783)=0,1,0))</f>
        <v/>
      </c>
    </row>
    <row r="4784" customFormat="false" ht="15" hidden="false" customHeight="false" outlineLevel="0" collapsed="false">
      <c r="A4784" s="27"/>
      <c r="F4784" s="28"/>
      <c r="J4784" s="0" t="str">
        <f aca="false">IF(A4784="","",YEAR(A4784))</f>
        <v/>
      </c>
      <c r="K4784" s="0" t="str">
        <f aca="false">IF(A4784="","",MONTH(A4784))</f>
        <v/>
      </c>
      <c r="L4784" s="0" t="str">
        <f aca="false">IF(B4784="","",VALUE(LEFT(B4784,2)))</f>
        <v/>
      </c>
      <c r="M4784" s="0" t="str">
        <f aca="false">IF(A4784="","",IF(COUNTIFS($C$2:$C$5001,C4784,$J$2:$J$5001,J4784,$A$2:$A$5001,"&lt;"&amp;A4784)=0,1,0))</f>
        <v/>
      </c>
    </row>
    <row r="4785" customFormat="false" ht="15" hidden="false" customHeight="false" outlineLevel="0" collapsed="false">
      <c r="A4785" s="27"/>
      <c r="F4785" s="28"/>
      <c r="J4785" s="0" t="str">
        <f aca="false">IF(A4785="","",YEAR(A4785))</f>
        <v/>
      </c>
      <c r="K4785" s="0" t="str">
        <f aca="false">IF(A4785="","",MONTH(A4785))</f>
        <v/>
      </c>
      <c r="L4785" s="0" t="str">
        <f aca="false">IF(B4785="","",VALUE(LEFT(B4785,2)))</f>
        <v/>
      </c>
      <c r="M4785" s="0" t="str">
        <f aca="false">IF(A4785="","",IF(COUNTIFS($C$2:$C$5001,C4785,$J$2:$J$5001,J4785,$A$2:$A$5001,"&lt;"&amp;A4785)=0,1,0))</f>
        <v/>
      </c>
    </row>
    <row r="4786" customFormat="false" ht="15" hidden="false" customHeight="false" outlineLevel="0" collapsed="false">
      <c r="A4786" s="27"/>
      <c r="F4786" s="28"/>
      <c r="J4786" s="0" t="str">
        <f aca="false">IF(A4786="","",YEAR(A4786))</f>
        <v/>
      </c>
      <c r="K4786" s="0" t="str">
        <f aca="false">IF(A4786="","",MONTH(A4786))</f>
        <v/>
      </c>
      <c r="L4786" s="0" t="str">
        <f aca="false">IF(B4786="","",VALUE(LEFT(B4786,2)))</f>
        <v/>
      </c>
      <c r="M4786" s="0" t="str">
        <f aca="false">IF(A4786="","",IF(COUNTIFS($C$2:$C$5001,C4786,$J$2:$J$5001,J4786,$A$2:$A$5001,"&lt;"&amp;A4786)=0,1,0))</f>
        <v/>
      </c>
    </row>
    <row r="4787" customFormat="false" ht="15" hidden="false" customHeight="false" outlineLevel="0" collapsed="false">
      <c r="A4787" s="27"/>
      <c r="F4787" s="28"/>
      <c r="J4787" s="0" t="str">
        <f aca="false">IF(A4787="","",YEAR(A4787))</f>
        <v/>
      </c>
      <c r="K4787" s="0" t="str">
        <f aca="false">IF(A4787="","",MONTH(A4787))</f>
        <v/>
      </c>
      <c r="L4787" s="0" t="str">
        <f aca="false">IF(B4787="","",VALUE(LEFT(B4787,2)))</f>
        <v/>
      </c>
      <c r="M4787" s="0" t="str">
        <f aca="false">IF(A4787="","",IF(COUNTIFS($C$2:$C$5001,C4787,$J$2:$J$5001,J4787,$A$2:$A$5001,"&lt;"&amp;A4787)=0,1,0))</f>
        <v/>
      </c>
    </row>
    <row r="4788" customFormat="false" ht="15" hidden="false" customHeight="false" outlineLevel="0" collapsed="false">
      <c r="A4788" s="27"/>
      <c r="F4788" s="28"/>
      <c r="J4788" s="0" t="str">
        <f aca="false">IF(A4788="","",YEAR(A4788))</f>
        <v/>
      </c>
      <c r="K4788" s="0" t="str">
        <f aca="false">IF(A4788="","",MONTH(A4788))</f>
        <v/>
      </c>
      <c r="L4788" s="0" t="str">
        <f aca="false">IF(B4788="","",VALUE(LEFT(B4788,2)))</f>
        <v/>
      </c>
      <c r="M4788" s="0" t="str">
        <f aca="false">IF(A4788="","",IF(COUNTIFS($C$2:$C$5001,C4788,$J$2:$J$5001,J4788,$A$2:$A$5001,"&lt;"&amp;A4788)=0,1,0))</f>
        <v/>
      </c>
    </row>
    <row r="4789" customFormat="false" ht="15" hidden="false" customHeight="false" outlineLevel="0" collapsed="false">
      <c r="A4789" s="27"/>
      <c r="F4789" s="28"/>
      <c r="J4789" s="0" t="str">
        <f aca="false">IF(A4789="","",YEAR(A4789))</f>
        <v/>
      </c>
      <c r="K4789" s="0" t="str">
        <f aca="false">IF(A4789="","",MONTH(A4789))</f>
        <v/>
      </c>
      <c r="L4789" s="0" t="str">
        <f aca="false">IF(B4789="","",VALUE(LEFT(B4789,2)))</f>
        <v/>
      </c>
      <c r="M4789" s="0" t="str">
        <f aca="false">IF(A4789="","",IF(COUNTIFS($C$2:$C$5001,C4789,$J$2:$J$5001,J4789,$A$2:$A$5001,"&lt;"&amp;A4789)=0,1,0))</f>
        <v/>
      </c>
    </row>
    <row r="4790" customFormat="false" ht="15" hidden="false" customHeight="false" outlineLevel="0" collapsed="false">
      <c r="A4790" s="27"/>
      <c r="F4790" s="28"/>
      <c r="J4790" s="0" t="str">
        <f aca="false">IF(A4790="","",YEAR(A4790))</f>
        <v/>
      </c>
      <c r="K4790" s="0" t="str">
        <f aca="false">IF(A4790="","",MONTH(A4790))</f>
        <v/>
      </c>
      <c r="L4790" s="0" t="str">
        <f aca="false">IF(B4790="","",VALUE(LEFT(B4790,2)))</f>
        <v/>
      </c>
      <c r="M4790" s="0" t="str">
        <f aca="false">IF(A4790="","",IF(COUNTIFS($C$2:$C$5001,C4790,$J$2:$J$5001,J4790,$A$2:$A$5001,"&lt;"&amp;A4790)=0,1,0))</f>
        <v/>
      </c>
    </row>
    <row r="4791" customFormat="false" ht="15" hidden="false" customHeight="false" outlineLevel="0" collapsed="false">
      <c r="A4791" s="27"/>
      <c r="F4791" s="28"/>
      <c r="J4791" s="0" t="str">
        <f aca="false">IF(A4791="","",YEAR(A4791))</f>
        <v/>
      </c>
      <c r="K4791" s="0" t="str">
        <f aca="false">IF(A4791="","",MONTH(A4791))</f>
        <v/>
      </c>
      <c r="L4791" s="0" t="str">
        <f aca="false">IF(B4791="","",VALUE(LEFT(B4791,2)))</f>
        <v/>
      </c>
      <c r="M4791" s="0" t="str">
        <f aca="false">IF(A4791="","",IF(COUNTIFS($C$2:$C$5001,C4791,$J$2:$J$5001,J4791,$A$2:$A$5001,"&lt;"&amp;A4791)=0,1,0))</f>
        <v/>
      </c>
    </row>
    <row r="4792" customFormat="false" ht="15" hidden="false" customHeight="false" outlineLevel="0" collapsed="false">
      <c r="A4792" s="27"/>
      <c r="F4792" s="28"/>
      <c r="J4792" s="0" t="str">
        <f aca="false">IF(A4792="","",YEAR(A4792))</f>
        <v/>
      </c>
      <c r="K4792" s="0" t="str">
        <f aca="false">IF(A4792="","",MONTH(A4792))</f>
        <v/>
      </c>
      <c r="L4792" s="0" t="str">
        <f aca="false">IF(B4792="","",VALUE(LEFT(B4792,2)))</f>
        <v/>
      </c>
      <c r="M4792" s="0" t="str">
        <f aca="false">IF(A4792="","",IF(COUNTIFS($C$2:$C$5001,C4792,$J$2:$J$5001,J4792,$A$2:$A$5001,"&lt;"&amp;A4792)=0,1,0))</f>
        <v/>
      </c>
    </row>
    <row r="4793" customFormat="false" ht="15" hidden="false" customHeight="false" outlineLevel="0" collapsed="false">
      <c r="A4793" s="27"/>
      <c r="F4793" s="28"/>
      <c r="J4793" s="0" t="str">
        <f aca="false">IF(A4793="","",YEAR(A4793))</f>
        <v/>
      </c>
      <c r="K4793" s="0" t="str">
        <f aca="false">IF(A4793="","",MONTH(A4793))</f>
        <v/>
      </c>
      <c r="L4793" s="0" t="str">
        <f aca="false">IF(B4793="","",VALUE(LEFT(B4793,2)))</f>
        <v/>
      </c>
      <c r="M4793" s="0" t="str">
        <f aca="false">IF(A4793="","",IF(COUNTIFS($C$2:$C$5001,C4793,$J$2:$J$5001,J4793,$A$2:$A$5001,"&lt;"&amp;A4793)=0,1,0))</f>
        <v/>
      </c>
    </row>
    <row r="4794" customFormat="false" ht="15" hidden="false" customHeight="false" outlineLevel="0" collapsed="false">
      <c r="A4794" s="27"/>
      <c r="F4794" s="28"/>
      <c r="J4794" s="0" t="str">
        <f aca="false">IF(A4794="","",YEAR(A4794))</f>
        <v/>
      </c>
      <c r="K4794" s="0" t="str">
        <f aca="false">IF(A4794="","",MONTH(A4794))</f>
        <v/>
      </c>
      <c r="L4794" s="0" t="str">
        <f aca="false">IF(B4794="","",VALUE(LEFT(B4794,2)))</f>
        <v/>
      </c>
      <c r="M4794" s="0" t="str">
        <f aca="false">IF(A4794="","",IF(COUNTIFS($C$2:$C$5001,C4794,$J$2:$J$5001,J4794,$A$2:$A$5001,"&lt;"&amp;A4794)=0,1,0))</f>
        <v/>
      </c>
    </row>
    <row r="4795" customFormat="false" ht="15" hidden="false" customHeight="false" outlineLevel="0" collapsed="false">
      <c r="A4795" s="27"/>
      <c r="F4795" s="28"/>
      <c r="J4795" s="0" t="str">
        <f aca="false">IF(A4795="","",YEAR(A4795))</f>
        <v/>
      </c>
      <c r="K4795" s="0" t="str">
        <f aca="false">IF(A4795="","",MONTH(A4795))</f>
        <v/>
      </c>
      <c r="L4795" s="0" t="str">
        <f aca="false">IF(B4795="","",VALUE(LEFT(B4795,2)))</f>
        <v/>
      </c>
      <c r="M4795" s="0" t="str">
        <f aca="false">IF(A4795="","",IF(COUNTIFS($C$2:$C$5001,C4795,$J$2:$J$5001,J4795,$A$2:$A$5001,"&lt;"&amp;A4795)=0,1,0))</f>
        <v/>
      </c>
    </row>
    <row r="4796" customFormat="false" ht="15" hidden="false" customHeight="false" outlineLevel="0" collapsed="false">
      <c r="A4796" s="27"/>
      <c r="F4796" s="28"/>
      <c r="J4796" s="0" t="str">
        <f aca="false">IF(A4796="","",YEAR(A4796))</f>
        <v/>
      </c>
      <c r="K4796" s="0" t="str">
        <f aca="false">IF(A4796="","",MONTH(A4796))</f>
        <v/>
      </c>
      <c r="L4796" s="0" t="str">
        <f aca="false">IF(B4796="","",VALUE(LEFT(B4796,2)))</f>
        <v/>
      </c>
      <c r="M4796" s="0" t="str">
        <f aca="false">IF(A4796="","",IF(COUNTIFS($C$2:$C$5001,C4796,$J$2:$J$5001,J4796,$A$2:$A$5001,"&lt;"&amp;A4796)=0,1,0))</f>
        <v/>
      </c>
    </row>
    <row r="4797" customFormat="false" ht="15" hidden="false" customHeight="false" outlineLevel="0" collapsed="false">
      <c r="A4797" s="27"/>
      <c r="F4797" s="28"/>
      <c r="J4797" s="0" t="str">
        <f aca="false">IF(A4797="","",YEAR(A4797))</f>
        <v/>
      </c>
      <c r="K4797" s="0" t="str">
        <f aca="false">IF(A4797="","",MONTH(A4797))</f>
        <v/>
      </c>
      <c r="L4797" s="0" t="str">
        <f aca="false">IF(B4797="","",VALUE(LEFT(B4797,2)))</f>
        <v/>
      </c>
      <c r="M4797" s="0" t="str">
        <f aca="false">IF(A4797="","",IF(COUNTIFS($C$2:$C$5001,C4797,$J$2:$J$5001,J4797,$A$2:$A$5001,"&lt;"&amp;A4797)=0,1,0))</f>
        <v/>
      </c>
    </row>
    <row r="4798" customFormat="false" ht="15" hidden="false" customHeight="false" outlineLevel="0" collapsed="false">
      <c r="A4798" s="27"/>
      <c r="F4798" s="28"/>
      <c r="J4798" s="0" t="str">
        <f aca="false">IF(A4798="","",YEAR(A4798))</f>
        <v/>
      </c>
      <c r="K4798" s="0" t="str">
        <f aca="false">IF(A4798="","",MONTH(A4798))</f>
        <v/>
      </c>
      <c r="L4798" s="0" t="str">
        <f aca="false">IF(B4798="","",VALUE(LEFT(B4798,2)))</f>
        <v/>
      </c>
      <c r="M4798" s="0" t="str">
        <f aca="false">IF(A4798="","",IF(COUNTIFS($C$2:$C$5001,C4798,$J$2:$J$5001,J4798,$A$2:$A$5001,"&lt;"&amp;A4798)=0,1,0))</f>
        <v/>
      </c>
    </row>
    <row r="4799" customFormat="false" ht="15" hidden="false" customHeight="false" outlineLevel="0" collapsed="false">
      <c r="A4799" s="27"/>
      <c r="F4799" s="28"/>
      <c r="J4799" s="0" t="str">
        <f aca="false">IF(A4799="","",YEAR(A4799))</f>
        <v/>
      </c>
      <c r="K4799" s="0" t="str">
        <f aca="false">IF(A4799="","",MONTH(A4799))</f>
        <v/>
      </c>
      <c r="L4799" s="0" t="str">
        <f aca="false">IF(B4799="","",VALUE(LEFT(B4799,2)))</f>
        <v/>
      </c>
      <c r="M4799" s="0" t="str">
        <f aca="false">IF(A4799="","",IF(COUNTIFS($C$2:$C$5001,C4799,$J$2:$J$5001,J4799,$A$2:$A$5001,"&lt;"&amp;A4799)=0,1,0))</f>
        <v/>
      </c>
    </row>
    <row r="4800" customFormat="false" ht="15" hidden="false" customHeight="false" outlineLevel="0" collapsed="false">
      <c r="A4800" s="27"/>
      <c r="F4800" s="28"/>
      <c r="J4800" s="0" t="str">
        <f aca="false">IF(A4800="","",YEAR(A4800))</f>
        <v/>
      </c>
      <c r="K4800" s="0" t="str">
        <f aca="false">IF(A4800="","",MONTH(A4800))</f>
        <v/>
      </c>
      <c r="L4800" s="0" t="str">
        <f aca="false">IF(B4800="","",VALUE(LEFT(B4800,2)))</f>
        <v/>
      </c>
      <c r="M4800" s="0" t="str">
        <f aca="false">IF(A4800="","",IF(COUNTIFS($C$2:$C$5001,C4800,$J$2:$J$5001,J4800,$A$2:$A$5001,"&lt;"&amp;A4800)=0,1,0))</f>
        <v/>
      </c>
    </row>
    <row r="4801" customFormat="false" ht="15" hidden="false" customHeight="false" outlineLevel="0" collapsed="false">
      <c r="A4801" s="27"/>
      <c r="F4801" s="28"/>
      <c r="J4801" s="0" t="str">
        <f aca="false">IF(A4801="","",YEAR(A4801))</f>
        <v/>
      </c>
      <c r="K4801" s="0" t="str">
        <f aca="false">IF(A4801="","",MONTH(A4801))</f>
        <v/>
      </c>
      <c r="L4801" s="0" t="str">
        <f aca="false">IF(B4801="","",VALUE(LEFT(B4801,2)))</f>
        <v/>
      </c>
      <c r="M4801" s="0" t="str">
        <f aca="false">IF(A4801="","",IF(COUNTIFS($C$2:$C$5001,C4801,$J$2:$J$5001,J4801,$A$2:$A$5001,"&lt;"&amp;A4801)=0,1,0))</f>
        <v/>
      </c>
    </row>
    <row r="4802" customFormat="false" ht="15" hidden="false" customHeight="false" outlineLevel="0" collapsed="false">
      <c r="A4802" s="27"/>
      <c r="F4802" s="28"/>
      <c r="J4802" s="0" t="str">
        <f aca="false">IF(A4802="","",YEAR(A4802))</f>
        <v/>
      </c>
      <c r="K4802" s="0" t="str">
        <f aca="false">IF(A4802="","",MONTH(A4802))</f>
        <v/>
      </c>
      <c r="L4802" s="0" t="str">
        <f aca="false">IF(B4802="","",VALUE(LEFT(B4802,2)))</f>
        <v/>
      </c>
      <c r="M4802" s="0" t="str">
        <f aca="false">IF(A4802="","",IF(COUNTIFS($C$2:$C$5001,C4802,$J$2:$J$5001,J4802,$A$2:$A$5001,"&lt;"&amp;A4802)=0,1,0))</f>
        <v/>
      </c>
    </row>
    <row r="4803" customFormat="false" ht="15" hidden="false" customHeight="false" outlineLevel="0" collapsed="false">
      <c r="A4803" s="27"/>
      <c r="F4803" s="28"/>
      <c r="J4803" s="0" t="str">
        <f aca="false">IF(A4803="","",YEAR(A4803))</f>
        <v/>
      </c>
      <c r="K4803" s="0" t="str">
        <f aca="false">IF(A4803="","",MONTH(A4803))</f>
        <v/>
      </c>
      <c r="L4803" s="0" t="str">
        <f aca="false">IF(B4803="","",VALUE(LEFT(B4803,2)))</f>
        <v/>
      </c>
      <c r="M4803" s="0" t="str">
        <f aca="false">IF(A4803="","",IF(COUNTIFS($C$2:$C$5001,C4803,$J$2:$J$5001,J4803,$A$2:$A$5001,"&lt;"&amp;A4803)=0,1,0))</f>
        <v/>
      </c>
    </row>
    <row r="4804" customFormat="false" ht="15" hidden="false" customHeight="false" outlineLevel="0" collapsed="false">
      <c r="A4804" s="27"/>
      <c r="F4804" s="28"/>
      <c r="J4804" s="0" t="str">
        <f aca="false">IF(A4804="","",YEAR(A4804))</f>
        <v/>
      </c>
      <c r="K4804" s="0" t="str">
        <f aca="false">IF(A4804="","",MONTH(A4804))</f>
        <v/>
      </c>
      <c r="L4804" s="0" t="str">
        <f aca="false">IF(B4804="","",VALUE(LEFT(B4804,2)))</f>
        <v/>
      </c>
      <c r="M4804" s="0" t="str">
        <f aca="false">IF(A4804="","",IF(COUNTIFS($C$2:$C$5001,C4804,$J$2:$J$5001,J4804,$A$2:$A$5001,"&lt;"&amp;A4804)=0,1,0))</f>
        <v/>
      </c>
    </row>
    <row r="4805" customFormat="false" ht="15" hidden="false" customHeight="false" outlineLevel="0" collapsed="false">
      <c r="A4805" s="27"/>
      <c r="F4805" s="28"/>
      <c r="J4805" s="0" t="str">
        <f aca="false">IF(A4805="","",YEAR(A4805))</f>
        <v/>
      </c>
      <c r="K4805" s="0" t="str">
        <f aca="false">IF(A4805="","",MONTH(A4805))</f>
        <v/>
      </c>
      <c r="L4805" s="0" t="str">
        <f aca="false">IF(B4805="","",VALUE(LEFT(B4805,2)))</f>
        <v/>
      </c>
      <c r="M4805" s="0" t="str">
        <f aca="false">IF(A4805="","",IF(COUNTIFS($C$2:$C$5001,C4805,$J$2:$J$5001,J4805,$A$2:$A$5001,"&lt;"&amp;A4805)=0,1,0))</f>
        <v/>
      </c>
    </row>
    <row r="4806" customFormat="false" ht="15" hidden="false" customHeight="false" outlineLevel="0" collapsed="false">
      <c r="A4806" s="27"/>
      <c r="F4806" s="28"/>
      <c r="J4806" s="0" t="str">
        <f aca="false">IF(A4806="","",YEAR(A4806))</f>
        <v/>
      </c>
      <c r="K4806" s="0" t="str">
        <f aca="false">IF(A4806="","",MONTH(A4806))</f>
        <v/>
      </c>
      <c r="L4806" s="0" t="str">
        <f aca="false">IF(B4806="","",VALUE(LEFT(B4806,2)))</f>
        <v/>
      </c>
      <c r="M4806" s="0" t="str">
        <f aca="false">IF(A4806="","",IF(COUNTIFS($C$2:$C$5001,C4806,$J$2:$J$5001,J4806,$A$2:$A$5001,"&lt;"&amp;A4806)=0,1,0))</f>
        <v/>
      </c>
    </row>
    <row r="4807" customFormat="false" ht="15" hidden="false" customHeight="false" outlineLevel="0" collapsed="false">
      <c r="A4807" s="27"/>
      <c r="F4807" s="28"/>
      <c r="J4807" s="0" t="str">
        <f aca="false">IF(A4807="","",YEAR(A4807))</f>
        <v/>
      </c>
      <c r="K4807" s="0" t="str">
        <f aca="false">IF(A4807="","",MONTH(A4807))</f>
        <v/>
      </c>
      <c r="L4807" s="0" t="str">
        <f aca="false">IF(B4807="","",VALUE(LEFT(B4807,2)))</f>
        <v/>
      </c>
      <c r="M4807" s="0" t="str">
        <f aca="false">IF(A4807="","",IF(COUNTIFS($C$2:$C$5001,C4807,$J$2:$J$5001,J4807,$A$2:$A$5001,"&lt;"&amp;A4807)=0,1,0))</f>
        <v/>
      </c>
    </row>
    <row r="4808" customFormat="false" ht="15" hidden="false" customHeight="false" outlineLevel="0" collapsed="false">
      <c r="A4808" s="27"/>
      <c r="F4808" s="28"/>
      <c r="J4808" s="0" t="str">
        <f aca="false">IF(A4808="","",YEAR(A4808))</f>
        <v/>
      </c>
      <c r="K4808" s="0" t="str">
        <f aca="false">IF(A4808="","",MONTH(A4808))</f>
        <v/>
      </c>
      <c r="L4808" s="0" t="str">
        <f aca="false">IF(B4808="","",VALUE(LEFT(B4808,2)))</f>
        <v/>
      </c>
      <c r="M4808" s="0" t="str">
        <f aca="false">IF(A4808="","",IF(COUNTIFS($C$2:$C$5001,C4808,$J$2:$J$5001,J4808,$A$2:$A$5001,"&lt;"&amp;A4808)=0,1,0))</f>
        <v/>
      </c>
    </row>
    <row r="4809" customFormat="false" ht="15" hidden="false" customHeight="false" outlineLevel="0" collapsed="false">
      <c r="A4809" s="27"/>
      <c r="F4809" s="28"/>
      <c r="J4809" s="0" t="str">
        <f aca="false">IF(A4809="","",YEAR(A4809))</f>
        <v/>
      </c>
      <c r="K4809" s="0" t="str">
        <f aca="false">IF(A4809="","",MONTH(A4809))</f>
        <v/>
      </c>
      <c r="L4809" s="0" t="str">
        <f aca="false">IF(B4809="","",VALUE(LEFT(B4809,2)))</f>
        <v/>
      </c>
      <c r="M4809" s="0" t="str">
        <f aca="false">IF(A4809="","",IF(COUNTIFS($C$2:$C$5001,C4809,$J$2:$J$5001,J4809,$A$2:$A$5001,"&lt;"&amp;A4809)=0,1,0))</f>
        <v/>
      </c>
    </row>
    <row r="4810" customFormat="false" ht="15" hidden="false" customHeight="false" outlineLevel="0" collapsed="false">
      <c r="A4810" s="27"/>
      <c r="F4810" s="28"/>
      <c r="J4810" s="0" t="str">
        <f aca="false">IF(A4810="","",YEAR(A4810))</f>
        <v/>
      </c>
      <c r="K4810" s="0" t="str">
        <f aca="false">IF(A4810="","",MONTH(A4810))</f>
        <v/>
      </c>
      <c r="L4810" s="0" t="str">
        <f aca="false">IF(B4810="","",VALUE(LEFT(B4810,2)))</f>
        <v/>
      </c>
      <c r="M4810" s="0" t="str">
        <f aca="false">IF(A4810="","",IF(COUNTIFS($C$2:$C$5001,C4810,$J$2:$J$5001,J4810,$A$2:$A$5001,"&lt;"&amp;A4810)=0,1,0))</f>
        <v/>
      </c>
    </row>
    <row r="4811" customFormat="false" ht="15" hidden="false" customHeight="false" outlineLevel="0" collapsed="false">
      <c r="A4811" s="27"/>
      <c r="F4811" s="28"/>
      <c r="J4811" s="0" t="str">
        <f aca="false">IF(A4811="","",YEAR(A4811))</f>
        <v/>
      </c>
      <c r="K4811" s="0" t="str">
        <f aca="false">IF(A4811="","",MONTH(A4811))</f>
        <v/>
      </c>
      <c r="L4811" s="0" t="str">
        <f aca="false">IF(B4811="","",VALUE(LEFT(B4811,2)))</f>
        <v/>
      </c>
      <c r="M4811" s="0" t="str">
        <f aca="false">IF(A4811="","",IF(COUNTIFS($C$2:$C$5001,C4811,$J$2:$J$5001,J4811,$A$2:$A$5001,"&lt;"&amp;A4811)=0,1,0))</f>
        <v/>
      </c>
    </row>
    <row r="4812" customFormat="false" ht="15" hidden="false" customHeight="false" outlineLevel="0" collapsed="false">
      <c r="A4812" s="27"/>
      <c r="F4812" s="28"/>
      <c r="J4812" s="0" t="str">
        <f aca="false">IF(A4812="","",YEAR(A4812))</f>
        <v/>
      </c>
      <c r="K4812" s="0" t="str">
        <f aca="false">IF(A4812="","",MONTH(A4812))</f>
        <v/>
      </c>
      <c r="L4812" s="0" t="str">
        <f aca="false">IF(B4812="","",VALUE(LEFT(B4812,2)))</f>
        <v/>
      </c>
      <c r="M4812" s="0" t="str">
        <f aca="false">IF(A4812="","",IF(COUNTIFS($C$2:$C$5001,C4812,$J$2:$J$5001,J4812,$A$2:$A$5001,"&lt;"&amp;A4812)=0,1,0))</f>
        <v/>
      </c>
    </row>
    <row r="4813" customFormat="false" ht="15" hidden="false" customHeight="false" outlineLevel="0" collapsed="false">
      <c r="A4813" s="27"/>
      <c r="F4813" s="28"/>
      <c r="J4813" s="0" t="str">
        <f aca="false">IF(A4813="","",YEAR(A4813))</f>
        <v/>
      </c>
      <c r="K4813" s="0" t="str">
        <f aca="false">IF(A4813="","",MONTH(A4813))</f>
        <v/>
      </c>
      <c r="L4813" s="0" t="str">
        <f aca="false">IF(B4813="","",VALUE(LEFT(B4813,2)))</f>
        <v/>
      </c>
      <c r="M4813" s="0" t="str">
        <f aca="false">IF(A4813="","",IF(COUNTIFS($C$2:$C$5001,C4813,$J$2:$J$5001,J4813,$A$2:$A$5001,"&lt;"&amp;A4813)=0,1,0))</f>
        <v/>
      </c>
    </row>
    <row r="4814" customFormat="false" ht="15" hidden="false" customHeight="false" outlineLevel="0" collapsed="false">
      <c r="A4814" s="27"/>
      <c r="F4814" s="28"/>
      <c r="J4814" s="0" t="str">
        <f aca="false">IF(A4814="","",YEAR(A4814))</f>
        <v/>
      </c>
      <c r="K4814" s="0" t="str">
        <f aca="false">IF(A4814="","",MONTH(A4814))</f>
        <v/>
      </c>
      <c r="L4814" s="0" t="str">
        <f aca="false">IF(B4814="","",VALUE(LEFT(B4814,2)))</f>
        <v/>
      </c>
      <c r="M4814" s="0" t="str">
        <f aca="false">IF(A4814="","",IF(COUNTIFS($C$2:$C$5001,C4814,$J$2:$J$5001,J4814,$A$2:$A$5001,"&lt;"&amp;A4814)=0,1,0))</f>
        <v/>
      </c>
    </row>
    <row r="4815" customFormat="false" ht="15" hidden="false" customHeight="false" outlineLevel="0" collapsed="false">
      <c r="A4815" s="27"/>
      <c r="F4815" s="28"/>
      <c r="J4815" s="0" t="str">
        <f aca="false">IF(A4815="","",YEAR(A4815))</f>
        <v/>
      </c>
      <c r="K4815" s="0" t="str">
        <f aca="false">IF(A4815="","",MONTH(A4815))</f>
        <v/>
      </c>
      <c r="L4815" s="0" t="str">
        <f aca="false">IF(B4815="","",VALUE(LEFT(B4815,2)))</f>
        <v/>
      </c>
      <c r="M4815" s="0" t="str">
        <f aca="false">IF(A4815="","",IF(COUNTIFS($C$2:$C$5001,C4815,$J$2:$J$5001,J4815,$A$2:$A$5001,"&lt;"&amp;A4815)=0,1,0))</f>
        <v/>
      </c>
    </row>
    <row r="4816" customFormat="false" ht="15" hidden="false" customHeight="false" outlineLevel="0" collapsed="false">
      <c r="A4816" s="27"/>
      <c r="F4816" s="28"/>
      <c r="J4816" s="0" t="str">
        <f aca="false">IF(A4816="","",YEAR(A4816))</f>
        <v/>
      </c>
      <c r="K4816" s="0" t="str">
        <f aca="false">IF(A4816="","",MONTH(A4816))</f>
        <v/>
      </c>
      <c r="L4816" s="0" t="str">
        <f aca="false">IF(B4816="","",VALUE(LEFT(B4816,2)))</f>
        <v/>
      </c>
      <c r="M4816" s="0" t="str">
        <f aca="false">IF(A4816="","",IF(COUNTIFS($C$2:$C$5001,C4816,$J$2:$J$5001,J4816,$A$2:$A$5001,"&lt;"&amp;A4816)=0,1,0))</f>
        <v/>
      </c>
    </row>
    <row r="4817" customFormat="false" ht="15" hidden="false" customHeight="false" outlineLevel="0" collapsed="false">
      <c r="A4817" s="27"/>
      <c r="F4817" s="28"/>
      <c r="J4817" s="0" t="str">
        <f aca="false">IF(A4817="","",YEAR(A4817))</f>
        <v/>
      </c>
      <c r="K4817" s="0" t="str">
        <f aca="false">IF(A4817="","",MONTH(A4817))</f>
        <v/>
      </c>
      <c r="L4817" s="0" t="str">
        <f aca="false">IF(B4817="","",VALUE(LEFT(B4817,2)))</f>
        <v/>
      </c>
      <c r="M4817" s="0" t="str">
        <f aca="false">IF(A4817="","",IF(COUNTIFS($C$2:$C$5001,C4817,$J$2:$J$5001,J4817,$A$2:$A$5001,"&lt;"&amp;A4817)=0,1,0))</f>
        <v/>
      </c>
    </row>
    <row r="4818" customFormat="false" ht="15" hidden="false" customHeight="false" outlineLevel="0" collapsed="false">
      <c r="A4818" s="27"/>
      <c r="F4818" s="28"/>
      <c r="J4818" s="0" t="str">
        <f aca="false">IF(A4818="","",YEAR(A4818))</f>
        <v/>
      </c>
      <c r="K4818" s="0" t="str">
        <f aca="false">IF(A4818="","",MONTH(A4818))</f>
        <v/>
      </c>
      <c r="L4818" s="0" t="str">
        <f aca="false">IF(B4818="","",VALUE(LEFT(B4818,2)))</f>
        <v/>
      </c>
      <c r="M4818" s="0" t="str">
        <f aca="false">IF(A4818="","",IF(COUNTIFS($C$2:$C$5001,C4818,$J$2:$J$5001,J4818,$A$2:$A$5001,"&lt;"&amp;A4818)=0,1,0))</f>
        <v/>
      </c>
    </row>
    <row r="4819" customFormat="false" ht="15" hidden="false" customHeight="false" outlineLevel="0" collapsed="false">
      <c r="A4819" s="27"/>
      <c r="F4819" s="28"/>
      <c r="J4819" s="0" t="str">
        <f aca="false">IF(A4819="","",YEAR(A4819))</f>
        <v/>
      </c>
      <c r="K4819" s="0" t="str">
        <f aca="false">IF(A4819="","",MONTH(A4819))</f>
        <v/>
      </c>
      <c r="L4819" s="0" t="str">
        <f aca="false">IF(B4819="","",VALUE(LEFT(B4819,2)))</f>
        <v/>
      </c>
      <c r="M4819" s="0" t="str">
        <f aca="false">IF(A4819="","",IF(COUNTIFS($C$2:$C$5001,C4819,$J$2:$J$5001,J4819,$A$2:$A$5001,"&lt;"&amp;A4819)=0,1,0))</f>
        <v/>
      </c>
    </row>
    <row r="4820" customFormat="false" ht="15" hidden="false" customHeight="false" outlineLevel="0" collapsed="false">
      <c r="A4820" s="27"/>
      <c r="F4820" s="28"/>
      <c r="J4820" s="0" t="str">
        <f aca="false">IF(A4820="","",YEAR(A4820))</f>
        <v/>
      </c>
      <c r="K4820" s="0" t="str">
        <f aca="false">IF(A4820="","",MONTH(A4820))</f>
        <v/>
      </c>
      <c r="L4820" s="0" t="str">
        <f aca="false">IF(B4820="","",VALUE(LEFT(B4820,2)))</f>
        <v/>
      </c>
      <c r="M4820" s="0" t="str">
        <f aca="false">IF(A4820="","",IF(COUNTIFS($C$2:$C$5001,C4820,$J$2:$J$5001,J4820,$A$2:$A$5001,"&lt;"&amp;A4820)=0,1,0))</f>
        <v/>
      </c>
    </row>
    <row r="4821" customFormat="false" ht="15" hidden="false" customHeight="false" outlineLevel="0" collapsed="false">
      <c r="A4821" s="27"/>
      <c r="F4821" s="28"/>
      <c r="J4821" s="0" t="str">
        <f aca="false">IF(A4821="","",YEAR(A4821))</f>
        <v/>
      </c>
      <c r="K4821" s="0" t="str">
        <f aca="false">IF(A4821="","",MONTH(A4821))</f>
        <v/>
      </c>
      <c r="L4821" s="0" t="str">
        <f aca="false">IF(B4821="","",VALUE(LEFT(B4821,2)))</f>
        <v/>
      </c>
      <c r="M4821" s="0" t="str">
        <f aca="false">IF(A4821="","",IF(COUNTIFS($C$2:$C$5001,C4821,$J$2:$J$5001,J4821,$A$2:$A$5001,"&lt;"&amp;A4821)=0,1,0))</f>
        <v/>
      </c>
    </row>
    <row r="4822" customFormat="false" ht="15" hidden="false" customHeight="false" outlineLevel="0" collapsed="false">
      <c r="A4822" s="27"/>
      <c r="F4822" s="28"/>
      <c r="J4822" s="0" t="str">
        <f aca="false">IF(A4822="","",YEAR(A4822))</f>
        <v/>
      </c>
      <c r="K4822" s="0" t="str">
        <f aca="false">IF(A4822="","",MONTH(A4822))</f>
        <v/>
      </c>
      <c r="L4822" s="0" t="str">
        <f aca="false">IF(B4822="","",VALUE(LEFT(B4822,2)))</f>
        <v/>
      </c>
      <c r="M4822" s="0" t="str">
        <f aca="false">IF(A4822="","",IF(COUNTIFS($C$2:$C$5001,C4822,$J$2:$J$5001,J4822,$A$2:$A$5001,"&lt;"&amp;A4822)=0,1,0))</f>
        <v/>
      </c>
    </row>
    <row r="4823" customFormat="false" ht="15" hidden="false" customHeight="false" outlineLevel="0" collapsed="false">
      <c r="A4823" s="27"/>
      <c r="F4823" s="28"/>
      <c r="J4823" s="0" t="str">
        <f aca="false">IF(A4823="","",YEAR(A4823))</f>
        <v/>
      </c>
      <c r="K4823" s="0" t="str">
        <f aca="false">IF(A4823="","",MONTH(A4823))</f>
        <v/>
      </c>
      <c r="L4823" s="0" t="str">
        <f aca="false">IF(B4823="","",VALUE(LEFT(B4823,2)))</f>
        <v/>
      </c>
      <c r="M4823" s="0" t="str">
        <f aca="false">IF(A4823="","",IF(COUNTIFS($C$2:$C$5001,C4823,$J$2:$J$5001,J4823,$A$2:$A$5001,"&lt;"&amp;A4823)=0,1,0))</f>
        <v/>
      </c>
    </row>
    <row r="4824" customFormat="false" ht="15" hidden="false" customHeight="false" outlineLevel="0" collapsed="false">
      <c r="A4824" s="27"/>
      <c r="F4824" s="28"/>
      <c r="J4824" s="0" t="str">
        <f aca="false">IF(A4824="","",YEAR(A4824))</f>
        <v/>
      </c>
      <c r="K4824" s="0" t="str">
        <f aca="false">IF(A4824="","",MONTH(A4824))</f>
        <v/>
      </c>
      <c r="L4824" s="0" t="str">
        <f aca="false">IF(B4824="","",VALUE(LEFT(B4824,2)))</f>
        <v/>
      </c>
      <c r="M4824" s="0" t="str">
        <f aca="false">IF(A4824="","",IF(COUNTIFS($C$2:$C$5001,C4824,$J$2:$J$5001,J4824,$A$2:$A$5001,"&lt;"&amp;A4824)=0,1,0))</f>
        <v/>
      </c>
    </row>
    <row r="4825" customFormat="false" ht="15" hidden="false" customHeight="false" outlineLevel="0" collapsed="false">
      <c r="A4825" s="27"/>
      <c r="F4825" s="28"/>
      <c r="J4825" s="0" t="str">
        <f aca="false">IF(A4825="","",YEAR(A4825))</f>
        <v/>
      </c>
      <c r="K4825" s="0" t="str">
        <f aca="false">IF(A4825="","",MONTH(A4825))</f>
        <v/>
      </c>
      <c r="L4825" s="0" t="str">
        <f aca="false">IF(B4825="","",VALUE(LEFT(B4825,2)))</f>
        <v/>
      </c>
      <c r="M4825" s="0" t="str">
        <f aca="false">IF(A4825="","",IF(COUNTIFS($C$2:$C$5001,C4825,$J$2:$J$5001,J4825,$A$2:$A$5001,"&lt;"&amp;A4825)=0,1,0))</f>
        <v/>
      </c>
    </row>
    <row r="4826" customFormat="false" ht="15" hidden="false" customHeight="false" outlineLevel="0" collapsed="false">
      <c r="A4826" s="27"/>
      <c r="F4826" s="28"/>
      <c r="J4826" s="0" t="str">
        <f aca="false">IF(A4826="","",YEAR(A4826))</f>
        <v/>
      </c>
      <c r="K4826" s="0" t="str">
        <f aca="false">IF(A4826="","",MONTH(A4826))</f>
        <v/>
      </c>
      <c r="L4826" s="0" t="str">
        <f aca="false">IF(B4826="","",VALUE(LEFT(B4826,2)))</f>
        <v/>
      </c>
      <c r="M4826" s="0" t="str">
        <f aca="false">IF(A4826="","",IF(COUNTIFS($C$2:$C$5001,C4826,$J$2:$J$5001,J4826,$A$2:$A$5001,"&lt;"&amp;A4826)=0,1,0))</f>
        <v/>
      </c>
    </row>
    <row r="4827" customFormat="false" ht="15" hidden="false" customHeight="false" outlineLevel="0" collapsed="false">
      <c r="A4827" s="27"/>
      <c r="F4827" s="28"/>
      <c r="J4827" s="0" t="str">
        <f aca="false">IF(A4827="","",YEAR(A4827))</f>
        <v/>
      </c>
      <c r="K4827" s="0" t="str">
        <f aca="false">IF(A4827="","",MONTH(A4827))</f>
        <v/>
      </c>
      <c r="L4827" s="0" t="str">
        <f aca="false">IF(B4827="","",VALUE(LEFT(B4827,2)))</f>
        <v/>
      </c>
      <c r="M4827" s="0" t="str">
        <f aca="false">IF(A4827="","",IF(COUNTIFS($C$2:$C$5001,C4827,$J$2:$J$5001,J4827,$A$2:$A$5001,"&lt;"&amp;A4827)=0,1,0))</f>
        <v/>
      </c>
    </row>
    <row r="4828" customFormat="false" ht="15" hidden="false" customHeight="false" outlineLevel="0" collapsed="false">
      <c r="A4828" s="27"/>
      <c r="F4828" s="28"/>
      <c r="J4828" s="0" t="str">
        <f aca="false">IF(A4828="","",YEAR(A4828))</f>
        <v/>
      </c>
      <c r="K4828" s="0" t="str">
        <f aca="false">IF(A4828="","",MONTH(A4828))</f>
        <v/>
      </c>
      <c r="L4828" s="0" t="str">
        <f aca="false">IF(B4828="","",VALUE(LEFT(B4828,2)))</f>
        <v/>
      </c>
      <c r="M4828" s="0" t="str">
        <f aca="false">IF(A4828="","",IF(COUNTIFS($C$2:$C$5001,C4828,$J$2:$J$5001,J4828,$A$2:$A$5001,"&lt;"&amp;A4828)=0,1,0))</f>
        <v/>
      </c>
    </row>
    <row r="4829" customFormat="false" ht="15" hidden="false" customHeight="false" outlineLevel="0" collapsed="false">
      <c r="A4829" s="27"/>
      <c r="F4829" s="28"/>
      <c r="J4829" s="0" t="str">
        <f aca="false">IF(A4829="","",YEAR(A4829))</f>
        <v/>
      </c>
      <c r="K4829" s="0" t="str">
        <f aca="false">IF(A4829="","",MONTH(A4829))</f>
        <v/>
      </c>
      <c r="L4829" s="0" t="str">
        <f aca="false">IF(B4829="","",VALUE(LEFT(B4829,2)))</f>
        <v/>
      </c>
      <c r="M4829" s="0" t="str">
        <f aca="false">IF(A4829="","",IF(COUNTIFS($C$2:$C$5001,C4829,$J$2:$J$5001,J4829,$A$2:$A$5001,"&lt;"&amp;A4829)=0,1,0))</f>
        <v/>
      </c>
    </row>
    <row r="4830" customFormat="false" ht="15" hidden="false" customHeight="false" outlineLevel="0" collapsed="false">
      <c r="A4830" s="27"/>
      <c r="F4830" s="28"/>
      <c r="J4830" s="0" t="str">
        <f aca="false">IF(A4830="","",YEAR(A4830))</f>
        <v/>
      </c>
      <c r="K4830" s="0" t="str">
        <f aca="false">IF(A4830="","",MONTH(A4830))</f>
        <v/>
      </c>
      <c r="L4830" s="0" t="str">
        <f aca="false">IF(B4830="","",VALUE(LEFT(B4830,2)))</f>
        <v/>
      </c>
      <c r="M4830" s="0" t="str">
        <f aca="false">IF(A4830="","",IF(COUNTIFS($C$2:$C$5001,C4830,$J$2:$J$5001,J4830,$A$2:$A$5001,"&lt;"&amp;A4830)=0,1,0))</f>
        <v/>
      </c>
    </row>
    <row r="4831" customFormat="false" ht="15" hidden="false" customHeight="false" outlineLevel="0" collapsed="false">
      <c r="A4831" s="27"/>
      <c r="F4831" s="28"/>
      <c r="J4831" s="0" t="str">
        <f aca="false">IF(A4831="","",YEAR(A4831))</f>
        <v/>
      </c>
      <c r="K4831" s="0" t="str">
        <f aca="false">IF(A4831="","",MONTH(A4831))</f>
        <v/>
      </c>
      <c r="L4831" s="0" t="str">
        <f aca="false">IF(B4831="","",VALUE(LEFT(B4831,2)))</f>
        <v/>
      </c>
      <c r="M4831" s="0" t="str">
        <f aca="false">IF(A4831="","",IF(COUNTIFS($C$2:$C$5001,C4831,$J$2:$J$5001,J4831,$A$2:$A$5001,"&lt;"&amp;A4831)=0,1,0))</f>
        <v/>
      </c>
    </row>
    <row r="4832" customFormat="false" ht="15" hidden="false" customHeight="false" outlineLevel="0" collapsed="false">
      <c r="A4832" s="27"/>
      <c r="F4832" s="28"/>
      <c r="J4832" s="0" t="str">
        <f aca="false">IF(A4832="","",YEAR(A4832))</f>
        <v/>
      </c>
      <c r="K4832" s="0" t="str">
        <f aca="false">IF(A4832="","",MONTH(A4832))</f>
        <v/>
      </c>
      <c r="L4832" s="0" t="str">
        <f aca="false">IF(B4832="","",VALUE(LEFT(B4832,2)))</f>
        <v/>
      </c>
      <c r="M4832" s="0" t="str">
        <f aca="false">IF(A4832="","",IF(COUNTIFS($C$2:$C$5001,C4832,$J$2:$J$5001,J4832,$A$2:$A$5001,"&lt;"&amp;A4832)=0,1,0))</f>
        <v/>
      </c>
    </row>
    <row r="4833" customFormat="false" ht="15" hidden="false" customHeight="false" outlineLevel="0" collapsed="false">
      <c r="A4833" s="27"/>
      <c r="F4833" s="28"/>
      <c r="J4833" s="0" t="str">
        <f aca="false">IF(A4833="","",YEAR(A4833))</f>
        <v/>
      </c>
      <c r="K4833" s="0" t="str">
        <f aca="false">IF(A4833="","",MONTH(A4833))</f>
        <v/>
      </c>
      <c r="L4833" s="0" t="str">
        <f aca="false">IF(B4833="","",VALUE(LEFT(B4833,2)))</f>
        <v/>
      </c>
      <c r="M4833" s="0" t="str">
        <f aca="false">IF(A4833="","",IF(COUNTIFS($C$2:$C$5001,C4833,$J$2:$J$5001,J4833,$A$2:$A$5001,"&lt;"&amp;A4833)=0,1,0))</f>
        <v/>
      </c>
    </row>
    <row r="4834" customFormat="false" ht="15" hidden="false" customHeight="false" outlineLevel="0" collapsed="false">
      <c r="A4834" s="27"/>
      <c r="F4834" s="28"/>
      <c r="J4834" s="0" t="str">
        <f aca="false">IF(A4834="","",YEAR(A4834))</f>
        <v/>
      </c>
      <c r="K4834" s="0" t="str">
        <f aca="false">IF(A4834="","",MONTH(A4834))</f>
        <v/>
      </c>
      <c r="L4834" s="0" t="str">
        <f aca="false">IF(B4834="","",VALUE(LEFT(B4834,2)))</f>
        <v/>
      </c>
      <c r="M4834" s="0" t="str">
        <f aca="false">IF(A4834="","",IF(COUNTIFS($C$2:$C$5001,C4834,$J$2:$J$5001,J4834,$A$2:$A$5001,"&lt;"&amp;A4834)=0,1,0))</f>
        <v/>
      </c>
    </row>
    <row r="4835" customFormat="false" ht="15" hidden="false" customHeight="false" outlineLevel="0" collapsed="false">
      <c r="A4835" s="27"/>
      <c r="F4835" s="28"/>
      <c r="J4835" s="0" t="str">
        <f aca="false">IF(A4835="","",YEAR(A4835))</f>
        <v/>
      </c>
      <c r="K4835" s="0" t="str">
        <f aca="false">IF(A4835="","",MONTH(A4835))</f>
        <v/>
      </c>
      <c r="L4835" s="0" t="str">
        <f aca="false">IF(B4835="","",VALUE(LEFT(B4835,2)))</f>
        <v/>
      </c>
      <c r="M4835" s="0" t="str">
        <f aca="false">IF(A4835="","",IF(COUNTIFS($C$2:$C$5001,C4835,$J$2:$J$5001,J4835,$A$2:$A$5001,"&lt;"&amp;A4835)=0,1,0))</f>
        <v/>
      </c>
    </row>
    <row r="4836" customFormat="false" ht="15" hidden="false" customHeight="false" outlineLevel="0" collapsed="false">
      <c r="A4836" s="27"/>
      <c r="F4836" s="28"/>
      <c r="J4836" s="0" t="str">
        <f aca="false">IF(A4836="","",YEAR(A4836))</f>
        <v/>
      </c>
      <c r="K4836" s="0" t="str">
        <f aca="false">IF(A4836="","",MONTH(A4836))</f>
        <v/>
      </c>
      <c r="L4836" s="0" t="str">
        <f aca="false">IF(B4836="","",VALUE(LEFT(B4836,2)))</f>
        <v/>
      </c>
      <c r="M4836" s="0" t="str">
        <f aca="false">IF(A4836="","",IF(COUNTIFS($C$2:$C$5001,C4836,$J$2:$J$5001,J4836,$A$2:$A$5001,"&lt;"&amp;A4836)=0,1,0))</f>
        <v/>
      </c>
    </row>
    <row r="4837" customFormat="false" ht="15" hidden="false" customHeight="false" outlineLevel="0" collapsed="false">
      <c r="A4837" s="27"/>
      <c r="F4837" s="28"/>
      <c r="J4837" s="0" t="str">
        <f aca="false">IF(A4837="","",YEAR(A4837))</f>
        <v/>
      </c>
      <c r="K4837" s="0" t="str">
        <f aca="false">IF(A4837="","",MONTH(A4837))</f>
        <v/>
      </c>
      <c r="L4837" s="0" t="str">
        <f aca="false">IF(B4837="","",VALUE(LEFT(B4837,2)))</f>
        <v/>
      </c>
      <c r="M4837" s="0" t="str">
        <f aca="false">IF(A4837="","",IF(COUNTIFS($C$2:$C$5001,C4837,$J$2:$J$5001,J4837,$A$2:$A$5001,"&lt;"&amp;A4837)=0,1,0))</f>
        <v/>
      </c>
    </row>
    <row r="4838" customFormat="false" ht="15" hidden="false" customHeight="false" outlineLevel="0" collapsed="false">
      <c r="A4838" s="27"/>
      <c r="F4838" s="28"/>
      <c r="J4838" s="0" t="str">
        <f aca="false">IF(A4838="","",YEAR(A4838))</f>
        <v/>
      </c>
      <c r="K4838" s="0" t="str">
        <f aca="false">IF(A4838="","",MONTH(A4838))</f>
        <v/>
      </c>
      <c r="L4838" s="0" t="str">
        <f aca="false">IF(B4838="","",VALUE(LEFT(B4838,2)))</f>
        <v/>
      </c>
      <c r="M4838" s="0" t="str">
        <f aca="false">IF(A4838="","",IF(COUNTIFS($C$2:$C$5001,C4838,$J$2:$J$5001,J4838,$A$2:$A$5001,"&lt;"&amp;A4838)=0,1,0))</f>
        <v/>
      </c>
    </row>
    <row r="4839" customFormat="false" ht="15" hidden="false" customHeight="false" outlineLevel="0" collapsed="false">
      <c r="A4839" s="27"/>
      <c r="F4839" s="28"/>
      <c r="J4839" s="0" t="str">
        <f aca="false">IF(A4839="","",YEAR(A4839))</f>
        <v/>
      </c>
      <c r="K4839" s="0" t="str">
        <f aca="false">IF(A4839="","",MONTH(A4839))</f>
        <v/>
      </c>
      <c r="L4839" s="0" t="str">
        <f aca="false">IF(B4839="","",VALUE(LEFT(B4839,2)))</f>
        <v/>
      </c>
      <c r="M4839" s="0" t="str">
        <f aca="false">IF(A4839="","",IF(COUNTIFS($C$2:$C$5001,C4839,$J$2:$J$5001,J4839,$A$2:$A$5001,"&lt;"&amp;A4839)=0,1,0))</f>
        <v/>
      </c>
    </row>
    <row r="4840" customFormat="false" ht="15" hidden="false" customHeight="false" outlineLevel="0" collapsed="false">
      <c r="A4840" s="27"/>
      <c r="F4840" s="28"/>
      <c r="J4840" s="0" t="str">
        <f aca="false">IF(A4840="","",YEAR(A4840))</f>
        <v/>
      </c>
      <c r="K4840" s="0" t="str">
        <f aca="false">IF(A4840="","",MONTH(A4840))</f>
        <v/>
      </c>
      <c r="L4840" s="0" t="str">
        <f aca="false">IF(B4840="","",VALUE(LEFT(B4840,2)))</f>
        <v/>
      </c>
      <c r="M4840" s="0" t="str">
        <f aca="false">IF(A4840="","",IF(COUNTIFS($C$2:$C$5001,C4840,$J$2:$J$5001,J4840,$A$2:$A$5001,"&lt;"&amp;A4840)=0,1,0))</f>
        <v/>
      </c>
    </row>
    <row r="4841" customFormat="false" ht="15" hidden="false" customHeight="false" outlineLevel="0" collapsed="false">
      <c r="A4841" s="27"/>
      <c r="F4841" s="28"/>
      <c r="J4841" s="0" t="str">
        <f aca="false">IF(A4841="","",YEAR(A4841))</f>
        <v/>
      </c>
      <c r="K4841" s="0" t="str">
        <f aca="false">IF(A4841="","",MONTH(A4841))</f>
        <v/>
      </c>
      <c r="L4841" s="0" t="str">
        <f aca="false">IF(B4841="","",VALUE(LEFT(B4841,2)))</f>
        <v/>
      </c>
      <c r="M4841" s="0" t="str">
        <f aca="false">IF(A4841="","",IF(COUNTIFS($C$2:$C$5001,C4841,$J$2:$J$5001,J4841,$A$2:$A$5001,"&lt;"&amp;A4841)=0,1,0))</f>
        <v/>
      </c>
    </row>
    <row r="4842" customFormat="false" ht="15" hidden="false" customHeight="false" outlineLevel="0" collapsed="false">
      <c r="A4842" s="27"/>
      <c r="F4842" s="28"/>
      <c r="J4842" s="0" t="str">
        <f aca="false">IF(A4842="","",YEAR(A4842))</f>
        <v/>
      </c>
      <c r="K4842" s="0" t="str">
        <f aca="false">IF(A4842="","",MONTH(A4842))</f>
        <v/>
      </c>
      <c r="L4842" s="0" t="str">
        <f aca="false">IF(B4842="","",VALUE(LEFT(B4842,2)))</f>
        <v/>
      </c>
      <c r="M4842" s="0" t="str">
        <f aca="false">IF(A4842="","",IF(COUNTIFS($C$2:$C$5001,C4842,$J$2:$J$5001,J4842,$A$2:$A$5001,"&lt;"&amp;A4842)=0,1,0))</f>
        <v/>
      </c>
    </row>
    <row r="4843" customFormat="false" ht="15" hidden="false" customHeight="false" outlineLevel="0" collapsed="false">
      <c r="A4843" s="27"/>
      <c r="F4843" s="28"/>
      <c r="J4843" s="0" t="str">
        <f aca="false">IF(A4843="","",YEAR(A4843))</f>
        <v/>
      </c>
      <c r="K4843" s="0" t="str">
        <f aca="false">IF(A4843="","",MONTH(A4843))</f>
        <v/>
      </c>
      <c r="L4843" s="0" t="str">
        <f aca="false">IF(B4843="","",VALUE(LEFT(B4843,2)))</f>
        <v/>
      </c>
      <c r="M4843" s="0" t="str">
        <f aca="false">IF(A4843="","",IF(COUNTIFS($C$2:$C$5001,C4843,$J$2:$J$5001,J4843,$A$2:$A$5001,"&lt;"&amp;A4843)=0,1,0))</f>
        <v/>
      </c>
    </row>
    <row r="4844" customFormat="false" ht="15" hidden="false" customHeight="false" outlineLevel="0" collapsed="false">
      <c r="A4844" s="27"/>
      <c r="F4844" s="28"/>
      <c r="J4844" s="0" t="str">
        <f aca="false">IF(A4844="","",YEAR(A4844))</f>
        <v/>
      </c>
      <c r="K4844" s="0" t="str">
        <f aca="false">IF(A4844="","",MONTH(A4844))</f>
        <v/>
      </c>
      <c r="L4844" s="0" t="str">
        <f aca="false">IF(B4844="","",VALUE(LEFT(B4844,2)))</f>
        <v/>
      </c>
      <c r="M4844" s="0" t="str">
        <f aca="false">IF(A4844="","",IF(COUNTIFS($C$2:$C$5001,C4844,$J$2:$J$5001,J4844,$A$2:$A$5001,"&lt;"&amp;A4844)=0,1,0))</f>
        <v/>
      </c>
    </row>
    <row r="4845" customFormat="false" ht="15" hidden="false" customHeight="false" outlineLevel="0" collapsed="false">
      <c r="A4845" s="27"/>
      <c r="F4845" s="28"/>
      <c r="J4845" s="0" t="str">
        <f aca="false">IF(A4845="","",YEAR(A4845))</f>
        <v/>
      </c>
      <c r="K4845" s="0" t="str">
        <f aca="false">IF(A4845="","",MONTH(A4845))</f>
        <v/>
      </c>
      <c r="L4845" s="0" t="str">
        <f aca="false">IF(B4845="","",VALUE(LEFT(B4845,2)))</f>
        <v/>
      </c>
      <c r="M4845" s="0" t="str">
        <f aca="false">IF(A4845="","",IF(COUNTIFS($C$2:$C$5001,C4845,$J$2:$J$5001,J4845,$A$2:$A$5001,"&lt;"&amp;A4845)=0,1,0))</f>
        <v/>
      </c>
    </row>
    <row r="4846" customFormat="false" ht="15" hidden="false" customHeight="false" outlineLevel="0" collapsed="false">
      <c r="A4846" s="27"/>
      <c r="F4846" s="28"/>
      <c r="J4846" s="0" t="str">
        <f aca="false">IF(A4846="","",YEAR(A4846))</f>
        <v/>
      </c>
      <c r="K4846" s="0" t="str">
        <f aca="false">IF(A4846="","",MONTH(A4846))</f>
        <v/>
      </c>
      <c r="L4846" s="0" t="str">
        <f aca="false">IF(B4846="","",VALUE(LEFT(B4846,2)))</f>
        <v/>
      </c>
      <c r="M4846" s="0" t="str">
        <f aca="false">IF(A4846="","",IF(COUNTIFS($C$2:$C$5001,C4846,$J$2:$J$5001,J4846,$A$2:$A$5001,"&lt;"&amp;A4846)=0,1,0))</f>
        <v/>
      </c>
    </row>
    <row r="4847" customFormat="false" ht="15" hidden="false" customHeight="false" outlineLevel="0" collapsed="false">
      <c r="A4847" s="27"/>
      <c r="F4847" s="28"/>
      <c r="J4847" s="0" t="str">
        <f aca="false">IF(A4847="","",YEAR(A4847))</f>
        <v/>
      </c>
      <c r="K4847" s="0" t="str">
        <f aca="false">IF(A4847="","",MONTH(A4847))</f>
        <v/>
      </c>
      <c r="L4847" s="0" t="str">
        <f aca="false">IF(B4847="","",VALUE(LEFT(B4847,2)))</f>
        <v/>
      </c>
      <c r="M4847" s="0" t="str">
        <f aca="false">IF(A4847="","",IF(COUNTIFS($C$2:$C$5001,C4847,$J$2:$J$5001,J4847,$A$2:$A$5001,"&lt;"&amp;A4847)=0,1,0))</f>
        <v/>
      </c>
    </row>
    <row r="4848" customFormat="false" ht="15" hidden="false" customHeight="false" outlineLevel="0" collapsed="false">
      <c r="A4848" s="27"/>
      <c r="F4848" s="28"/>
      <c r="J4848" s="0" t="str">
        <f aca="false">IF(A4848="","",YEAR(A4848))</f>
        <v/>
      </c>
      <c r="K4848" s="0" t="str">
        <f aca="false">IF(A4848="","",MONTH(A4848))</f>
        <v/>
      </c>
      <c r="L4848" s="0" t="str">
        <f aca="false">IF(B4848="","",VALUE(LEFT(B4848,2)))</f>
        <v/>
      </c>
      <c r="M4848" s="0" t="str">
        <f aca="false">IF(A4848="","",IF(COUNTIFS($C$2:$C$5001,C4848,$J$2:$J$5001,J4848,$A$2:$A$5001,"&lt;"&amp;A4848)=0,1,0))</f>
        <v/>
      </c>
    </row>
    <row r="4849" customFormat="false" ht="15" hidden="false" customHeight="false" outlineLevel="0" collapsed="false">
      <c r="A4849" s="27"/>
      <c r="F4849" s="28"/>
      <c r="J4849" s="0" t="str">
        <f aca="false">IF(A4849="","",YEAR(A4849))</f>
        <v/>
      </c>
      <c r="K4849" s="0" t="str">
        <f aca="false">IF(A4849="","",MONTH(A4849))</f>
        <v/>
      </c>
      <c r="L4849" s="0" t="str">
        <f aca="false">IF(B4849="","",VALUE(LEFT(B4849,2)))</f>
        <v/>
      </c>
      <c r="M4849" s="0" t="str">
        <f aca="false">IF(A4849="","",IF(COUNTIFS($C$2:$C$5001,C4849,$J$2:$J$5001,J4849,$A$2:$A$5001,"&lt;"&amp;A4849)=0,1,0))</f>
        <v/>
      </c>
    </row>
    <row r="4850" customFormat="false" ht="15" hidden="false" customHeight="false" outlineLevel="0" collapsed="false">
      <c r="A4850" s="27"/>
      <c r="F4850" s="28"/>
      <c r="J4850" s="0" t="str">
        <f aca="false">IF(A4850="","",YEAR(A4850))</f>
        <v/>
      </c>
      <c r="K4850" s="0" t="str">
        <f aca="false">IF(A4850="","",MONTH(A4850))</f>
        <v/>
      </c>
      <c r="L4850" s="0" t="str">
        <f aca="false">IF(B4850="","",VALUE(LEFT(B4850,2)))</f>
        <v/>
      </c>
      <c r="M4850" s="0" t="str">
        <f aca="false">IF(A4850="","",IF(COUNTIFS($C$2:$C$5001,C4850,$J$2:$J$5001,J4850,$A$2:$A$5001,"&lt;"&amp;A4850)=0,1,0))</f>
        <v/>
      </c>
    </row>
    <row r="4851" customFormat="false" ht="15" hidden="false" customHeight="false" outlineLevel="0" collapsed="false">
      <c r="A4851" s="27"/>
      <c r="F4851" s="28"/>
      <c r="J4851" s="0" t="str">
        <f aca="false">IF(A4851="","",YEAR(A4851))</f>
        <v/>
      </c>
      <c r="K4851" s="0" t="str">
        <f aca="false">IF(A4851="","",MONTH(A4851))</f>
        <v/>
      </c>
      <c r="L4851" s="0" t="str">
        <f aca="false">IF(B4851="","",VALUE(LEFT(B4851,2)))</f>
        <v/>
      </c>
      <c r="M4851" s="0" t="str">
        <f aca="false">IF(A4851="","",IF(COUNTIFS($C$2:$C$5001,C4851,$J$2:$J$5001,J4851,$A$2:$A$5001,"&lt;"&amp;A4851)=0,1,0))</f>
        <v/>
      </c>
    </row>
    <row r="4852" customFormat="false" ht="15" hidden="false" customHeight="false" outlineLevel="0" collapsed="false">
      <c r="A4852" s="27"/>
      <c r="F4852" s="28"/>
      <c r="J4852" s="0" t="str">
        <f aca="false">IF(A4852="","",YEAR(A4852))</f>
        <v/>
      </c>
      <c r="K4852" s="0" t="str">
        <f aca="false">IF(A4852="","",MONTH(A4852))</f>
        <v/>
      </c>
      <c r="L4852" s="0" t="str">
        <f aca="false">IF(B4852="","",VALUE(LEFT(B4852,2)))</f>
        <v/>
      </c>
      <c r="M4852" s="0" t="str">
        <f aca="false">IF(A4852="","",IF(COUNTIFS($C$2:$C$5001,C4852,$J$2:$J$5001,J4852,$A$2:$A$5001,"&lt;"&amp;A4852)=0,1,0))</f>
        <v/>
      </c>
    </row>
    <row r="4853" customFormat="false" ht="15" hidden="false" customHeight="false" outlineLevel="0" collapsed="false">
      <c r="A4853" s="27"/>
      <c r="F4853" s="28"/>
      <c r="J4853" s="0" t="str">
        <f aca="false">IF(A4853="","",YEAR(A4853))</f>
        <v/>
      </c>
      <c r="K4853" s="0" t="str">
        <f aca="false">IF(A4853="","",MONTH(A4853))</f>
        <v/>
      </c>
      <c r="L4853" s="0" t="str">
        <f aca="false">IF(B4853="","",VALUE(LEFT(B4853,2)))</f>
        <v/>
      </c>
      <c r="M4853" s="0" t="str">
        <f aca="false">IF(A4853="","",IF(COUNTIFS($C$2:$C$5001,C4853,$J$2:$J$5001,J4853,$A$2:$A$5001,"&lt;"&amp;A4853)=0,1,0))</f>
        <v/>
      </c>
    </row>
    <row r="4854" customFormat="false" ht="15" hidden="false" customHeight="false" outlineLevel="0" collapsed="false">
      <c r="A4854" s="27"/>
      <c r="F4854" s="28"/>
      <c r="J4854" s="0" t="str">
        <f aca="false">IF(A4854="","",YEAR(A4854))</f>
        <v/>
      </c>
      <c r="K4854" s="0" t="str">
        <f aca="false">IF(A4854="","",MONTH(A4854))</f>
        <v/>
      </c>
      <c r="L4854" s="0" t="str">
        <f aca="false">IF(B4854="","",VALUE(LEFT(B4854,2)))</f>
        <v/>
      </c>
      <c r="M4854" s="0" t="str">
        <f aca="false">IF(A4854="","",IF(COUNTIFS($C$2:$C$5001,C4854,$J$2:$J$5001,J4854,$A$2:$A$5001,"&lt;"&amp;A4854)=0,1,0))</f>
        <v/>
      </c>
    </row>
    <row r="4855" customFormat="false" ht="15" hidden="false" customHeight="false" outlineLevel="0" collapsed="false">
      <c r="A4855" s="27"/>
      <c r="F4855" s="28"/>
      <c r="J4855" s="0" t="str">
        <f aca="false">IF(A4855="","",YEAR(A4855))</f>
        <v/>
      </c>
      <c r="K4855" s="0" t="str">
        <f aca="false">IF(A4855="","",MONTH(A4855))</f>
        <v/>
      </c>
      <c r="L4855" s="0" t="str">
        <f aca="false">IF(B4855="","",VALUE(LEFT(B4855,2)))</f>
        <v/>
      </c>
      <c r="M4855" s="0" t="str">
        <f aca="false">IF(A4855="","",IF(COUNTIFS($C$2:$C$5001,C4855,$J$2:$J$5001,J4855,$A$2:$A$5001,"&lt;"&amp;A4855)=0,1,0))</f>
        <v/>
      </c>
    </row>
    <row r="4856" customFormat="false" ht="15" hidden="false" customHeight="false" outlineLevel="0" collapsed="false">
      <c r="A4856" s="27"/>
      <c r="F4856" s="28"/>
      <c r="J4856" s="0" t="str">
        <f aca="false">IF(A4856="","",YEAR(A4856))</f>
        <v/>
      </c>
      <c r="K4856" s="0" t="str">
        <f aca="false">IF(A4856="","",MONTH(A4856))</f>
        <v/>
      </c>
      <c r="L4856" s="0" t="str">
        <f aca="false">IF(B4856="","",VALUE(LEFT(B4856,2)))</f>
        <v/>
      </c>
      <c r="M4856" s="0" t="str">
        <f aca="false">IF(A4856="","",IF(COUNTIFS($C$2:$C$5001,C4856,$J$2:$J$5001,J4856,$A$2:$A$5001,"&lt;"&amp;A4856)=0,1,0))</f>
        <v/>
      </c>
    </row>
    <row r="4857" customFormat="false" ht="15" hidden="false" customHeight="false" outlineLevel="0" collapsed="false">
      <c r="A4857" s="27"/>
      <c r="F4857" s="28"/>
      <c r="J4857" s="0" t="str">
        <f aca="false">IF(A4857="","",YEAR(A4857))</f>
        <v/>
      </c>
      <c r="K4857" s="0" t="str">
        <f aca="false">IF(A4857="","",MONTH(A4857))</f>
        <v/>
      </c>
      <c r="L4857" s="0" t="str">
        <f aca="false">IF(B4857="","",VALUE(LEFT(B4857,2)))</f>
        <v/>
      </c>
      <c r="M4857" s="0" t="str">
        <f aca="false">IF(A4857="","",IF(COUNTIFS($C$2:$C$5001,C4857,$J$2:$J$5001,J4857,$A$2:$A$5001,"&lt;"&amp;A4857)=0,1,0))</f>
        <v/>
      </c>
    </row>
    <row r="4858" customFormat="false" ht="15" hidden="false" customHeight="false" outlineLevel="0" collapsed="false">
      <c r="A4858" s="27"/>
      <c r="F4858" s="28"/>
      <c r="J4858" s="0" t="str">
        <f aca="false">IF(A4858="","",YEAR(A4858))</f>
        <v/>
      </c>
      <c r="K4858" s="0" t="str">
        <f aca="false">IF(A4858="","",MONTH(A4858))</f>
        <v/>
      </c>
      <c r="L4858" s="0" t="str">
        <f aca="false">IF(B4858="","",VALUE(LEFT(B4858,2)))</f>
        <v/>
      </c>
      <c r="M4858" s="0" t="str">
        <f aca="false">IF(A4858="","",IF(COUNTIFS($C$2:$C$5001,C4858,$J$2:$J$5001,J4858,$A$2:$A$5001,"&lt;"&amp;A4858)=0,1,0))</f>
        <v/>
      </c>
    </row>
    <row r="4859" customFormat="false" ht="15" hidden="false" customHeight="false" outlineLevel="0" collapsed="false">
      <c r="A4859" s="27"/>
      <c r="F4859" s="28"/>
      <c r="J4859" s="0" t="str">
        <f aca="false">IF(A4859="","",YEAR(A4859))</f>
        <v/>
      </c>
      <c r="K4859" s="0" t="str">
        <f aca="false">IF(A4859="","",MONTH(A4859))</f>
        <v/>
      </c>
      <c r="L4859" s="0" t="str">
        <f aca="false">IF(B4859="","",VALUE(LEFT(B4859,2)))</f>
        <v/>
      </c>
      <c r="M4859" s="0" t="str">
        <f aca="false">IF(A4859="","",IF(COUNTIFS($C$2:$C$5001,C4859,$J$2:$J$5001,J4859,$A$2:$A$5001,"&lt;"&amp;A4859)=0,1,0))</f>
        <v/>
      </c>
    </row>
    <row r="4860" customFormat="false" ht="15" hidden="false" customHeight="false" outlineLevel="0" collapsed="false">
      <c r="A4860" s="27"/>
      <c r="F4860" s="28"/>
      <c r="J4860" s="0" t="str">
        <f aca="false">IF(A4860="","",YEAR(A4860))</f>
        <v/>
      </c>
      <c r="K4860" s="0" t="str">
        <f aca="false">IF(A4860="","",MONTH(A4860))</f>
        <v/>
      </c>
      <c r="L4860" s="0" t="str">
        <f aca="false">IF(B4860="","",VALUE(LEFT(B4860,2)))</f>
        <v/>
      </c>
      <c r="M4860" s="0" t="str">
        <f aca="false">IF(A4860="","",IF(COUNTIFS($C$2:$C$5001,C4860,$J$2:$J$5001,J4860,$A$2:$A$5001,"&lt;"&amp;A4860)=0,1,0))</f>
        <v/>
      </c>
    </row>
    <row r="4861" customFormat="false" ht="15" hidden="false" customHeight="false" outlineLevel="0" collapsed="false">
      <c r="A4861" s="27"/>
      <c r="F4861" s="28"/>
      <c r="J4861" s="0" t="str">
        <f aca="false">IF(A4861="","",YEAR(A4861))</f>
        <v/>
      </c>
      <c r="K4861" s="0" t="str">
        <f aca="false">IF(A4861="","",MONTH(A4861))</f>
        <v/>
      </c>
      <c r="L4861" s="0" t="str">
        <f aca="false">IF(B4861="","",VALUE(LEFT(B4861,2)))</f>
        <v/>
      </c>
      <c r="M4861" s="0" t="str">
        <f aca="false">IF(A4861="","",IF(COUNTIFS($C$2:$C$5001,C4861,$J$2:$J$5001,J4861,$A$2:$A$5001,"&lt;"&amp;A4861)=0,1,0))</f>
        <v/>
      </c>
    </row>
    <row r="4862" customFormat="false" ht="15" hidden="false" customHeight="false" outlineLevel="0" collapsed="false">
      <c r="A4862" s="27"/>
      <c r="F4862" s="28"/>
      <c r="J4862" s="0" t="str">
        <f aca="false">IF(A4862="","",YEAR(A4862))</f>
        <v/>
      </c>
      <c r="K4862" s="0" t="str">
        <f aca="false">IF(A4862="","",MONTH(A4862))</f>
        <v/>
      </c>
      <c r="L4862" s="0" t="str">
        <f aca="false">IF(B4862="","",VALUE(LEFT(B4862,2)))</f>
        <v/>
      </c>
      <c r="M4862" s="0" t="str">
        <f aca="false">IF(A4862="","",IF(COUNTIFS($C$2:$C$5001,C4862,$J$2:$J$5001,J4862,$A$2:$A$5001,"&lt;"&amp;A4862)=0,1,0))</f>
        <v/>
      </c>
    </row>
    <row r="4863" customFormat="false" ht="15" hidden="false" customHeight="false" outlineLevel="0" collapsed="false">
      <c r="A4863" s="27"/>
      <c r="F4863" s="28"/>
      <c r="J4863" s="0" t="str">
        <f aca="false">IF(A4863="","",YEAR(A4863))</f>
        <v/>
      </c>
      <c r="K4863" s="0" t="str">
        <f aca="false">IF(A4863="","",MONTH(A4863))</f>
        <v/>
      </c>
      <c r="L4863" s="0" t="str">
        <f aca="false">IF(B4863="","",VALUE(LEFT(B4863,2)))</f>
        <v/>
      </c>
      <c r="M4863" s="0" t="str">
        <f aca="false">IF(A4863="","",IF(COUNTIFS($C$2:$C$5001,C4863,$J$2:$J$5001,J4863,$A$2:$A$5001,"&lt;"&amp;A4863)=0,1,0))</f>
        <v/>
      </c>
    </row>
    <row r="4864" customFormat="false" ht="15" hidden="false" customHeight="false" outlineLevel="0" collapsed="false">
      <c r="A4864" s="27"/>
      <c r="F4864" s="28"/>
      <c r="J4864" s="0" t="str">
        <f aca="false">IF(A4864="","",YEAR(A4864))</f>
        <v/>
      </c>
      <c r="K4864" s="0" t="str">
        <f aca="false">IF(A4864="","",MONTH(A4864))</f>
        <v/>
      </c>
      <c r="L4864" s="0" t="str">
        <f aca="false">IF(B4864="","",VALUE(LEFT(B4864,2)))</f>
        <v/>
      </c>
      <c r="M4864" s="0" t="str">
        <f aca="false">IF(A4864="","",IF(COUNTIFS($C$2:$C$5001,C4864,$J$2:$J$5001,J4864,$A$2:$A$5001,"&lt;"&amp;A4864)=0,1,0))</f>
        <v/>
      </c>
    </row>
    <row r="4865" customFormat="false" ht="15" hidden="false" customHeight="false" outlineLevel="0" collapsed="false">
      <c r="A4865" s="27"/>
      <c r="F4865" s="28"/>
      <c r="J4865" s="0" t="str">
        <f aca="false">IF(A4865="","",YEAR(A4865))</f>
        <v/>
      </c>
      <c r="K4865" s="0" t="str">
        <f aca="false">IF(A4865="","",MONTH(A4865))</f>
        <v/>
      </c>
      <c r="L4865" s="0" t="str">
        <f aca="false">IF(B4865="","",VALUE(LEFT(B4865,2)))</f>
        <v/>
      </c>
      <c r="M4865" s="0" t="str">
        <f aca="false">IF(A4865="","",IF(COUNTIFS($C$2:$C$5001,C4865,$J$2:$J$5001,J4865,$A$2:$A$5001,"&lt;"&amp;A4865)=0,1,0))</f>
        <v/>
      </c>
    </row>
    <row r="4866" customFormat="false" ht="15" hidden="false" customHeight="false" outlineLevel="0" collapsed="false">
      <c r="A4866" s="27"/>
      <c r="F4866" s="28"/>
      <c r="J4866" s="0" t="str">
        <f aca="false">IF(A4866="","",YEAR(A4866))</f>
        <v/>
      </c>
      <c r="K4866" s="0" t="str">
        <f aca="false">IF(A4866="","",MONTH(A4866))</f>
        <v/>
      </c>
      <c r="L4866" s="0" t="str">
        <f aca="false">IF(B4866="","",VALUE(LEFT(B4866,2)))</f>
        <v/>
      </c>
      <c r="M4866" s="0" t="str">
        <f aca="false">IF(A4866="","",IF(COUNTIFS($C$2:$C$5001,C4866,$J$2:$J$5001,J4866,$A$2:$A$5001,"&lt;"&amp;A4866)=0,1,0))</f>
        <v/>
      </c>
    </row>
    <row r="4867" customFormat="false" ht="15" hidden="false" customHeight="false" outlineLevel="0" collapsed="false">
      <c r="A4867" s="27"/>
      <c r="F4867" s="28"/>
      <c r="J4867" s="0" t="str">
        <f aca="false">IF(A4867="","",YEAR(A4867))</f>
        <v/>
      </c>
      <c r="K4867" s="0" t="str">
        <f aca="false">IF(A4867="","",MONTH(A4867))</f>
        <v/>
      </c>
      <c r="L4867" s="0" t="str">
        <f aca="false">IF(B4867="","",VALUE(LEFT(B4867,2)))</f>
        <v/>
      </c>
      <c r="M4867" s="0" t="str">
        <f aca="false">IF(A4867="","",IF(COUNTIFS($C$2:$C$5001,C4867,$J$2:$J$5001,J4867,$A$2:$A$5001,"&lt;"&amp;A4867)=0,1,0))</f>
        <v/>
      </c>
    </row>
    <row r="4868" customFormat="false" ht="15" hidden="false" customHeight="false" outlineLevel="0" collapsed="false">
      <c r="A4868" s="27"/>
      <c r="F4868" s="28"/>
      <c r="J4868" s="0" t="str">
        <f aca="false">IF(A4868="","",YEAR(A4868))</f>
        <v/>
      </c>
      <c r="K4868" s="0" t="str">
        <f aca="false">IF(A4868="","",MONTH(A4868))</f>
        <v/>
      </c>
      <c r="L4868" s="0" t="str">
        <f aca="false">IF(B4868="","",VALUE(LEFT(B4868,2)))</f>
        <v/>
      </c>
      <c r="M4868" s="0" t="str">
        <f aca="false">IF(A4868="","",IF(COUNTIFS($C$2:$C$5001,C4868,$J$2:$J$5001,J4868,$A$2:$A$5001,"&lt;"&amp;A4868)=0,1,0))</f>
        <v/>
      </c>
    </row>
    <row r="4869" customFormat="false" ht="15" hidden="false" customHeight="false" outlineLevel="0" collapsed="false">
      <c r="A4869" s="27"/>
      <c r="F4869" s="28"/>
      <c r="J4869" s="0" t="str">
        <f aca="false">IF(A4869="","",YEAR(A4869))</f>
        <v/>
      </c>
      <c r="K4869" s="0" t="str">
        <f aca="false">IF(A4869="","",MONTH(A4869))</f>
        <v/>
      </c>
      <c r="L4869" s="0" t="str">
        <f aca="false">IF(B4869="","",VALUE(LEFT(B4869,2)))</f>
        <v/>
      </c>
      <c r="M4869" s="0" t="str">
        <f aca="false">IF(A4869="","",IF(COUNTIFS($C$2:$C$5001,C4869,$J$2:$J$5001,J4869,$A$2:$A$5001,"&lt;"&amp;A4869)=0,1,0))</f>
        <v/>
      </c>
    </row>
    <row r="4870" customFormat="false" ht="15" hidden="false" customHeight="false" outlineLevel="0" collapsed="false">
      <c r="A4870" s="27"/>
      <c r="F4870" s="28"/>
      <c r="J4870" s="0" t="str">
        <f aca="false">IF(A4870="","",YEAR(A4870))</f>
        <v/>
      </c>
      <c r="K4870" s="0" t="str">
        <f aca="false">IF(A4870="","",MONTH(A4870))</f>
        <v/>
      </c>
      <c r="L4870" s="0" t="str">
        <f aca="false">IF(B4870="","",VALUE(LEFT(B4870,2)))</f>
        <v/>
      </c>
      <c r="M4870" s="0" t="str">
        <f aca="false">IF(A4870="","",IF(COUNTIFS($C$2:$C$5001,C4870,$J$2:$J$5001,J4870,$A$2:$A$5001,"&lt;"&amp;A4870)=0,1,0))</f>
        <v/>
      </c>
    </row>
    <row r="4871" customFormat="false" ht="15" hidden="false" customHeight="false" outlineLevel="0" collapsed="false">
      <c r="A4871" s="27"/>
      <c r="F4871" s="28"/>
      <c r="J4871" s="0" t="str">
        <f aca="false">IF(A4871="","",YEAR(A4871))</f>
        <v/>
      </c>
      <c r="K4871" s="0" t="str">
        <f aca="false">IF(A4871="","",MONTH(A4871))</f>
        <v/>
      </c>
      <c r="L4871" s="0" t="str">
        <f aca="false">IF(B4871="","",VALUE(LEFT(B4871,2)))</f>
        <v/>
      </c>
      <c r="M4871" s="0" t="str">
        <f aca="false">IF(A4871="","",IF(COUNTIFS($C$2:$C$5001,C4871,$J$2:$J$5001,J4871,$A$2:$A$5001,"&lt;"&amp;A4871)=0,1,0))</f>
        <v/>
      </c>
    </row>
    <row r="4872" customFormat="false" ht="15" hidden="false" customHeight="false" outlineLevel="0" collapsed="false">
      <c r="A4872" s="27"/>
      <c r="F4872" s="28"/>
      <c r="J4872" s="0" t="str">
        <f aca="false">IF(A4872="","",YEAR(A4872))</f>
        <v/>
      </c>
      <c r="K4872" s="0" t="str">
        <f aca="false">IF(A4872="","",MONTH(A4872))</f>
        <v/>
      </c>
      <c r="L4872" s="0" t="str">
        <f aca="false">IF(B4872="","",VALUE(LEFT(B4872,2)))</f>
        <v/>
      </c>
      <c r="M4872" s="0" t="str">
        <f aca="false">IF(A4872="","",IF(COUNTIFS($C$2:$C$5001,C4872,$J$2:$J$5001,J4872,$A$2:$A$5001,"&lt;"&amp;A4872)=0,1,0))</f>
        <v/>
      </c>
    </row>
    <row r="4873" customFormat="false" ht="15" hidden="false" customHeight="false" outlineLevel="0" collapsed="false">
      <c r="A4873" s="27"/>
      <c r="F4873" s="28"/>
      <c r="J4873" s="0" t="str">
        <f aca="false">IF(A4873="","",YEAR(A4873))</f>
        <v/>
      </c>
      <c r="K4873" s="0" t="str">
        <f aca="false">IF(A4873="","",MONTH(A4873))</f>
        <v/>
      </c>
      <c r="L4873" s="0" t="str">
        <f aca="false">IF(B4873="","",VALUE(LEFT(B4873,2)))</f>
        <v/>
      </c>
      <c r="M4873" s="0" t="str">
        <f aca="false">IF(A4873="","",IF(COUNTIFS($C$2:$C$5001,C4873,$J$2:$J$5001,J4873,$A$2:$A$5001,"&lt;"&amp;A4873)=0,1,0))</f>
        <v/>
      </c>
    </row>
    <row r="4874" customFormat="false" ht="15" hidden="false" customHeight="false" outlineLevel="0" collapsed="false">
      <c r="A4874" s="27"/>
      <c r="F4874" s="28"/>
      <c r="J4874" s="0" t="str">
        <f aca="false">IF(A4874="","",YEAR(A4874))</f>
        <v/>
      </c>
      <c r="K4874" s="0" t="str">
        <f aca="false">IF(A4874="","",MONTH(A4874))</f>
        <v/>
      </c>
      <c r="L4874" s="0" t="str">
        <f aca="false">IF(B4874="","",VALUE(LEFT(B4874,2)))</f>
        <v/>
      </c>
      <c r="M4874" s="0" t="str">
        <f aca="false">IF(A4874="","",IF(COUNTIFS($C$2:$C$5001,C4874,$J$2:$J$5001,J4874,$A$2:$A$5001,"&lt;"&amp;A4874)=0,1,0))</f>
        <v/>
      </c>
    </row>
    <row r="4875" customFormat="false" ht="15" hidden="false" customHeight="false" outlineLevel="0" collapsed="false">
      <c r="A4875" s="27"/>
      <c r="F4875" s="28"/>
      <c r="J4875" s="0" t="str">
        <f aca="false">IF(A4875="","",YEAR(A4875))</f>
        <v/>
      </c>
      <c r="K4875" s="0" t="str">
        <f aca="false">IF(A4875="","",MONTH(A4875))</f>
        <v/>
      </c>
      <c r="L4875" s="0" t="str">
        <f aca="false">IF(B4875="","",VALUE(LEFT(B4875,2)))</f>
        <v/>
      </c>
      <c r="M4875" s="0" t="str">
        <f aca="false">IF(A4875="","",IF(COUNTIFS($C$2:$C$5001,C4875,$J$2:$J$5001,J4875,$A$2:$A$5001,"&lt;"&amp;A4875)=0,1,0))</f>
        <v/>
      </c>
    </row>
    <row r="4876" customFormat="false" ht="15" hidden="false" customHeight="false" outlineLevel="0" collapsed="false">
      <c r="A4876" s="27"/>
      <c r="F4876" s="28"/>
      <c r="J4876" s="0" t="str">
        <f aca="false">IF(A4876="","",YEAR(A4876))</f>
        <v/>
      </c>
      <c r="K4876" s="0" t="str">
        <f aca="false">IF(A4876="","",MONTH(A4876))</f>
        <v/>
      </c>
      <c r="L4876" s="0" t="str">
        <f aca="false">IF(B4876="","",VALUE(LEFT(B4876,2)))</f>
        <v/>
      </c>
      <c r="M4876" s="0" t="str">
        <f aca="false">IF(A4876="","",IF(COUNTIFS($C$2:$C$5001,C4876,$J$2:$J$5001,J4876,$A$2:$A$5001,"&lt;"&amp;A4876)=0,1,0))</f>
        <v/>
      </c>
    </row>
    <row r="4877" customFormat="false" ht="15" hidden="false" customHeight="false" outlineLevel="0" collapsed="false">
      <c r="A4877" s="27"/>
      <c r="F4877" s="28"/>
      <c r="J4877" s="0" t="str">
        <f aca="false">IF(A4877="","",YEAR(A4877))</f>
        <v/>
      </c>
      <c r="K4877" s="0" t="str">
        <f aca="false">IF(A4877="","",MONTH(A4877))</f>
        <v/>
      </c>
      <c r="L4877" s="0" t="str">
        <f aca="false">IF(B4877="","",VALUE(LEFT(B4877,2)))</f>
        <v/>
      </c>
      <c r="M4877" s="0" t="str">
        <f aca="false">IF(A4877="","",IF(COUNTIFS($C$2:$C$5001,C4877,$J$2:$J$5001,J4877,$A$2:$A$5001,"&lt;"&amp;A4877)=0,1,0))</f>
        <v/>
      </c>
    </row>
    <row r="4878" customFormat="false" ht="15" hidden="false" customHeight="false" outlineLevel="0" collapsed="false">
      <c r="A4878" s="27"/>
      <c r="F4878" s="28"/>
      <c r="J4878" s="0" t="str">
        <f aca="false">IF(A4878="","",YEAR(A4878))</f>
        <v/>
      </c>
      <c r="K4878" s="0" t="str">
        <f aca="false">IF(A4878="","",MONTH(A4878))</f>
        <v/>
      </c>
      <c r="L4878" s="0" t="str">
        <f aca="false">IF(B4878="","",VALUE(LEFT(B4878,2)))</f>
        <v/>
      </c>
      <c r="M4878" s="0" t="str">
        <f aca="false">IF(A4878="","",IF(COUNTIFS($C$2:$C$5001,C4878,$J$2:$J$5001,J4878,$A$2:$A$5001,"&lt;"&amp;A4878)=0,1,0))</f>
        <v/>
      </c>
    </row>
    <row r="4879" customFormat="false" ht="15" hidden="false" customHeight="false" outlineLevel="0" collapsed="false">
      <c r="A4879" s="27"/>
      <c r="F4879" s="28"/>
      <c r="J4879" s="0" t="str">
        <f aca="false">IF(A4879="","",YEAR(A4879))</f>
        <v/>
      </c>
      <c r="K4879" s="0" t="str">
        <f aca="false">IF(A4879="","",MONTH(A4879))</f>
        <v/>
      </c>
      <c r="L4879" s="0" t="str">
        <f aca="false">IF(B4879="","",VALUE(LEFT(B4879,2)))</f>
        <v/>
      </c>
      <c r="M4879" s="0" t="str">
        <f aca="false">IF(A4879="","",IF(COUNTIFS($C$2:$C$5001,C4879,$J$2:$J$5001,J4879,$A$2:$A$5001,"&lt;"&amp;A4879)=0,1,0))</f>
        <v/>
      </c>
    </row>
    <row r="4880" customFormat="false" ht="15" hidden="false" customHeight="false" outlineLevel="0" collapsed="false">
      <c r="A4880" s="27"/>
      <c r="F4880" s="28"/>
      <c r="J4880" s="0" t="str">
        <f aca="false">IF(A4880="","",YEAR(A4880))</f>
        <v/>
      </c>
      <c r="K4880" s="0" t="str">
        <f aca="false">IF(A4880="","",MONTH(A4880))</f>
        <v/>
      </c>
      <c r="L4880" s="0" t="str">
        <f aca="false">IF(B4880="","",VALUE(LEFT(B4880,2)))</f>
        <v/>
      </c>
      <c r="M4880" s="0" t="str">
        <f aca="false">IF(A4880="","",IF(COUNTIFS($C$2:$C$5001,C4880,$J$2:$J$5001,J4880,$A$2:$A$5001,"&lt;"&amp;A4880)=0,1,0))</f>
        <v/>
      </c>
    </row>
    <row r="4881" customFormat="false" ht="15" hidden="false" customHeight="false" outlineLevel="0" collapsed="false">
      <c r="A4881" s="27"/>
      <c r="F4881" s="28"/>
      <c r="J4881" s="0" t="str">
        <f aca="false">IF(A4881="","",YEAR(A4881))</f>
        <v/>
      </c>
      <c r="K4881" s="0" t="str">
        <f aca="false">IF(A4881="","",MONTH(A4881))</f>
        <v/>
      </c>
      <c r="L4881" s="0" t="str">
        <f aca="false">IF(B4881="","",VALUE(LEFT(B4881,2)))</f>
        <v/>
      </c>
      <c r="M4881" s="0" t="str">
        <f aca="false">IF(A4881="","",IF(COUNTIFS($C$2:$C$5001,C4881,$J$2:$J$5001,J4881,$A$2:$A$5001,"&lt;"&amp;A4881)=0,1,0))</f>
        <v/>
      </c>
    </row>
    <row r="4882" customFormat="false" ht="15" hidden="false" customHeight="false" outlineLevel="0" collapsed="false">
      <c r="A4882" s="27"/>
      <c r="F4882" s="28"/>
      <c r="J4882" s="0" t="str">
        <f aca="false">IF(A4882="","",YEAR(A4882))</f>
        <v/>
      </c>
      <c r="K4882" s="0" t="str">
        <f aca="false">IF(A4882="","",MONTH(A4882))</f>
        <v/>
      </c>
      <c r="L4882" s="0" t="str">
        <f aca="false">IF(B4882="","",VALUE(LEFT(B4882,2)))</f>
        <v/>
      </c>
      <c r="M4882" s="0" t="str">
        <f aca="false">IF(A4882="","",IF(COUNTIFS($C$2:$C$5001,C4882,$J$2:$J$5001,J4882,$A$2:$A$5001,"&lt;"&amp;A4882)=0,1,0))</f>
        <v/>
      </c>
    </row>
    <row r="4883" customFormat="false" ht="15" hidden="false" customHeight="false" outlineLevel="0" collapsed="false">
      <c r="A4883" s="27"/>
      <c r="F4883" s="28"/>
      <c r="J4883" s="0" t="str">
        <f aca="false">IF(A4883="","",YEAR(A4883))</f>
        <v/>
      </c>
      <c r="K4883" s="0" t="str">
        <f aca="false">IF(A4883="","",MONTH(A4883))</f>
        <v/>
      </c>
      <c r="L4883" s="0" t="str">
        <f aca="false">IF(B4883="","",VALUE(LEFT(B4883,2)))</f>
        <v/>
      </c>
      <c r="M4883" s="0" t="str">
        <f aca="false">IF(A4883="","",IF(COUNTIFS($C$2:$C$5001,C4883,$J$2:$J$5001,J4883,$A$2:$A$5001,"&lt;"&amp;A4883)=0,1,0))</f>
        <v/>
      </c>
    </row>
    <row r="4884" customFormat="false" ht="15" hidden="false" customHeight="false" outlineLevel="0" collapsed="false">
      <c r="A4884" s="27"/>
      <c r="F4884" s="28"/>
      <c r="J4884" s="0" t="str">
        <f aca="false">IF(A4884="","",YEAR(A4884))</f>
        <v/>
      </c>
      <c r="K4884" s="0" t="str">
        <f aca="false">IF(A4884="","",MONTH(A4884))</f>
        <v/>
      </c>
      <c r="L4884" s="0" t="str">
        <f aca="false">IF(B4884="","",VALUE(LEFT(B4884,2)))</f>
        <v/>
      </c>
      <c r="M4884" s="0" t="str">
        <f aca="false">IF(A4884="","",IF(COUNTIFS($C$2:$C$5001,C4884,$J$2:$J$5001,J4884,$A$2:$A$5001,"&lt;"&amp;A4884)=0,1,0))</f>
        <v/>
      </c>
    </row>
    <row r="4885" customFormat="false" ht="15" hidden="false" customHeight="false" outlineLevel="0" collapsed="false">
      <c r="A4885" s="27"/>
      <c r="F4885" s="28"/>
      <c r="J4885" s="0" t="str">
        <f aca="false">IF(A4885="","",YEAR(A4885))</f>
        <v/>
      </c>
      <c r="K4885" s="0" t="str">
        <f aca="false">IF(A4885="","",MONTH(A4885))</f>
        <v/>
      </c>
      <c r="L4885" s="0" t="str">
        <f aca="false">IF(B4885="","",VALUE(LEFT(B4885,2)))</f>
        <v/>
      </c>
      <c r="M4885" s="0" t="str">
        <f aca="false">IF(A4885="","",IF(COUNTIFS($C$2:$C$5001,C4885,$J$2:$J$5001,J4885,$A$2:$A$5001,"&lt;"&amp;A4885)=0,1,0))</f>
        <v/>
      </c>
    </row>
    <row r="4886" customFormat="false" ht="15" hidden="false" customHeight="false" outlineLevel="0" collapsed="false">
      <c r="A4886" s="27"/>
      <c r="F4886" s="28"/>
      <c r="J4886" s="0" t="str">
        <f aca="false">IF(A4886="","",YEAR(A4886))</f>
        <v/>
      </c>
      <c r="K4886" s="0" t="str">
        <f aca="false">IF(A4886="","",MONTH(A4886))</f>
        <v/>
      </c>
      <c r="L4886" s="0" t="str">
        <f aca="false">IF(B4886="","",VALUE(LEFT(B4886,2)))</f>
        <v/>
      </c>
      <c r="M4886" s="0" t="str">
        <f aca="false">IF(A4886="","",IF(COUNTIFS($C$2:$C$5001,C4886,$J$2:$J$5001,J4886,$A$2:$A$5001,"&lt;"&amp;A4886)=0,1,0))</f>
        <v/>
      </c>
    </row>
    <row r="4887" customFormat="false" ht="15" hidden="false" customHeight="false" outlineLevel="0" collapsed="false">
      <c r="A4887" s="27"/>
      <c r="F4887" s="28"/>
      <c r="J4887" s="0" t="str">
        <f aca="false">IF(A4887="","",YEAR(A4887))</f>
        <v/>
      </c>
      <c r="K4887" s="0" t="str">
        <f aca="false">IF(A4887="","",MONTH(A4887))</f>
        <v/>
      </c>
      <c r="L4887" s="0" t="str">
        <f aca="false">IF(B4887="","",VALUE(LEFT(B4887,2)))</f>
        <v/>
      </c>
      <c r="M4887" s="0" t="str">
        <f aca="false">IF(A4887="","",IF(COUNTIFS($C$2:$C$5001,C4887,$J$2:$J$5001,J4887,$A$2:$A$5001,"&lt;"&amp;A4887)=0,1,0))</f>
        <v/>
      </c>
    </row>
    <row r="4888" customFormat="false" ht="15" hidden="false" customHeight="false" outlineLevel="0" collapsed="false">
      <c r="A4888" s="27"/>
      <c r="F4888" s="28"/>
      <c r="J4888" s="0" t="str">
        <f aca="false">IF(A4888="","",YEAR(A4888))</f>
        <v/>
      </c>
      <c r="K4888" s="0" t="str">
        <f aca="false">IF(A4888="","",MONTH(A4888))</f>
        <v/>
      </c>
      <c r="L4888" s="0" t="str">
        <f aca="false">IF(B4888="","",VALUE(LEFT(B4888,2)))</f>
        <v/>
      </c>
      <c r="M4888" s="0" t="str">
        <f aca="false">IF(A4888="","",IF(COUNTIFS($C$2:$C$5001,C4888,$J$2:$J$5001,J4888,$A$2:$A$5001,"&lt;"&amp;A4888)=0,1,0))</f>
        <v/>
      </c>
    </row>
    <row r="4889" customFormat="false" ht="15" hidden="false" customHeight="false" outlineLevel="0" collapsed="false">
      <c r="A4889" s="27"/>
      <c r="F4889" s="28"/>
      <c r="J4889" s="0" t="str">
        <f aca="false">IF(A4889="","",YEAR(A4889))</f>
        <v/>
      </c>
      <c r="K4889" s="0" t="str">
        <f aca="false">IF(A4889="","",MONTH(A4889))</f>
        <v/>
      </c>
      <c r="L4889" s="0" t="str">
        <f aca="false">IF(B4889="","",VALUE(LEFT(B4889,2)))</f>
        <v/>
      </c>
      <c r="M4889" s="0" t="str">
        <f aca="false">IF(A4889="","",IF(COUNTIFS($C$2:$C$5001,C4889,$J$2:$J$5001,J4889,$A$2:$A$5001,"&lt;"&amp;A4889)=0,1,0))</f>
        <v/>
      </c>
    </row>
    <row r="4890" customFormat="false" ht="15" hidden="false" customHeight="false" outlineLevel="0" collapsed="false">
      <c r="A4890" s="27"/>
      <c r="F4890" s="28"/>
      <c r="J4890" s="0" t="str">
        <f aca="false">IF(A4890="","",YEAR(A4890))</f>
        <v/>
      </c>
      <c r="K4890" s="0" t="str">
        <f aca="false">IF(A4890="","",MONTH(A4890))</f>
        <v/>
      </c>
      <c r="L4890" s="0" t="str">
        <f aca="false">IF(B4890="","",VALUE(LEFT(B4890,2)))</f>
        <v/>
      </c>
      <c r="M4890" s="0" t="str">
        <f aca="false">IF(A4890="","",IF(COUNTIFS($C$2:$C$5001,C4890,$J$2:$J$5001,J4890,$A$2:$A$5001,"&lt;"&amp;A4890)=0,1,0))</f>
        <v/>
      </c>
    </row>
    <row r="4891" customFormat="false" ht="15" hidden="false" customHeight="false" outlineLevel="0" collapsed="false">
      <c r="A4891" s="27"/>
      <c r="F4891" s="28"/>
      <c r="J4891" s="0" t="str">
        <f aca="false">IF(A4891="","",YEAR(A4891))</f>
        <v/>
      </c>
      <c r="K4891" s="0" t="str">
        <f aca="false">IF(A4891="","",MONTH(A4891))</f>
        <v/>
      </c>
      <c r="L4891" s="0" t="str">
        <f aca="false">IF(B4891="","",VALUE(LEFT(B4891,2)))</f>
        <v/>
      </c>
      <c r="M4891" s="0" t="str">
        <f aca="false">IF(A4891="","",IF(COUNTIFS($C$2:$C$5001,C4891,$J$2:$J$5001,J4891,$A$2:$A$5001,"&lt;"&amp;A4891)=0,1,0))</f>
        <v/>
      </c>
    </row>
    <row r="4892" customFormat="false" ht="15" hidden="false" customHeight="false" outlineLevel="0" collapsed="false">
      <c r="A4892" s="27"/>
      <c r="F4892" s="28"/>
      <c r="J4892" s="0" t="str">
        <f aca="false">IF(A4892="","",YEAR(A4892))</f>
        <v/>
      </c>
      <c r="K4892" s="0" t="str">
        <f aca="false">IF(A4892="","",MONTH(A4892))</f>
        <v/>
      </c>
      <c r="L4892" s="0" t="str">
        <f aca="false">IF(B4892="","",VALUE(LEFT(B4892,2)))</f>
        <v/>
      </c>
      <c r="M4892" s="0" t="str">
        <f aca="false">IF(A4892="","",IF(COUNTIFS($C$2:$C$5001,C4892,$J$2:$J$5001,J4892,$A$2:$A$5001,"&lt;"&amp;A4892)=0,1,0))</f>
        <v/>
      </c>
    </row>
    <row r="4893" customFormat="false" ht="15" hidden="false" customHeight="false" outlineLevel="0" collapsed="false">
      <c r="A4893" s="27"/>
      <c r="F4893" s="28"/>
      <c r="J4893" s="0" t="str">
        <f aca="false">IF(A4893="","",YEAR(A4893))</f>
        <v/>
      </c>
      <c r="K4893" s="0" t="str">
        <f aca="false">IF(A4893="","",MONTH(A4893))</f>
        <v/>
      </c>
      <c r="L4893" s="0" t="str">
        <f aca="false">IF(B4893="","",VALUE(LEFT(B4893,2)))</f>
        <v/>
      </c>
      <c r="M4893" s="0" t="str">
        <f aca="false">IF(A4893="","",IF(COUNTIFS($C$2:$C$5001,C4893,$J$2:$J$5001,J4893,$A$2:$A$5001,"&lt;"&amp;A4893)=0,1,0))</f>
        <v/>
      </c>
    </row>
    <row r="4894" customFormat="false" ht="15" hidden="false" customHeight="false" outlineLevel="0" collapsed="false">
      <c r="A4894" s="27"/>
      <c r="F4894" s="28"/>
      <c r="J4894" s="0" t="str">
        <f aca="false">IF(A4894="","",YEAR(A4894))</f>
        <v/>
      </c>
      <c r="K4894" s="0" t="str">
        <f aca="false">IF(A4894="","",MONTH(A4894))</f>
        <v/>
      </c>
      <c r="L4894" s="0" t="str">
        <f aca="false">IF(B4894="","",VALUE(LEFT(B4894,2)))</f>
        <v/>
      </c>
      <c r="M4894" s="0" t="str">
        <f aca="false">IF(A4894="","",IF(COUNTIFS($C$2:$C$5001,C4894,$J$2:$J$5001,J4894,$A$2:$A$5001,"&lt;"&amp;A4894)=0,1,0))</f>
        <v/>
      </c>
    </row>
    <row r="4895" customFormat="false" ht="15" hidden="false" customHeight="false" outlineLevel="0" collapsed="false">
      <c r="A4895" s="27"/>
      <c r="F4895" s="28"/>
      <c r="J4895" s="0" t="str">
        <f aca="false">IF(A4895="","",YEAR(A4895))</f>
        <v/>
      </c>
      <c r="K4895" s="0" t="str">
        <f aca="false">IF(A4895="","",MONTH(A4895))</f>
        <v/>
      </c>
      <c r="L4895" s="0" t="str">
        <f aca="false">IF(B4895="","",VALUE(LEFT(B4895,2)))</f>
        <v/>
      </c>
      <c r="M4895" s="0" t="str">
        <f aca="false">IF(A4895="","",IF(COUNTIFS($C$2:$C$5001,C4895,$J$2:$J$5001,J4895,$A$2:$A$5001,"&lt;"&amp;A4895)=0,1,0))</f>
        <v/>
      </c>
    </row>
    <row r="4896" customFormat="false" ht="15" hidden="false" customHeight="false" outlineLevel="0" collapsed="false">
      <c r="A4896" s="27"/>
      <c r="F4896" s="28"/>
      <c r="J4896" s="0" t="str">
        <f aca="false">IF(A4896="","",YEAR(A4896))</f>
        <v/>
      </c>
      <c r="K4896" s="0" t="str">
        <f aca="false">IF(A4896="","",MONTH(A4896))</f>
        <v/>
      </c>
      <c r="L4896" s="0" t="str">
        <f aca="false">IF(B4896="","",VALUE(LEFT(B4896,2)))</f>
        <v/>
      </c>
      <c r="M4896" s="0" t="str">
        <f aca="false">IF(A4896="","",IF(COUNTIFS($C$2:$C$5001,C4896,$J$2:$J$5001,J4896,$A$2:$A$5001,"&lt;"&amp;A4896)=0,1,0))</f>
        <v/>
      </c>
    </row>
    <row r="4897" customFormat="false" ht="15" hidden="false" customHeight="false" outlineLevel="0" collapsed="false">
      <c r="A4897" s="27"/>
      <c r="F4897" s="28"/>
      <c r="J4897" s="0" t="str">
        <f aca="false">IF(A4897="","",YEAR(A4897))</f>
        <v/>
      </c>
      <c r="K4897" s="0" t="str">
        <f aca="false">IF(A4897="","",MONTH(A4897))</f>
        <v/>
      </c>
      <c r="L4897" s="0" t="str">
        <f aca="false">IF(B4897="","",VALUE(LEFT(B4897,2)))</f>
        <v/>
      </c>
      <c r="M4897" s="0" t="str">
        <f aca="false">IF(A4897="","",IF(COUNTIFS($C$2:$C$5001,C4897,$J$2:$J$5001,J4897,$A$2:$A$5001,"&lt;"&amp;A4897)=0,1,0))</f>
        <v/>
      </c>
    </row>
    <row r="4898" customFormat="false" ht="15" hidden="false" customHeight="false" outlineLevel="0" collapsed="false">
      <c r="A4898" s="27"/>
      <c r="F4898" s="28"/>
      <c r="J4898" s="0" t="str">
        <f aca="false">IF(A4898="","",YEAR(A4898))</f>
        <v/>
      </c>
      <c r="K4898" s="0" t="str">
        <f aca="false">IF(A4898="","",MONTH(A4898))</f>
        <v/>
      </c>
      <c r="L4898" s="0" t="str">
        <f aca="false">IF(B4898="","",VALUE(LEFT(B4898,2)))</f>
        <v/>
      </c>
      <c r="M4898" s="0" t="str">
        <f aca="false">IF(A4898="","",IF(COUNTIFS($C$2:$C$5001,C4898,$J$2:$J$5001,J4898,$A$2:$A$5001,"&lt;"&amp;A4898)=0,1,0))</f>
        <v/>
      </c>
    </row>
    <row r="4899" customFormat="false" ht="15" hidden="false" customHeight="false" outlineLevel="0" collapsed="false">
      <c r="A4899" s="27"/>
      <c r="F4899" s="28"/>
      <c r="J4899" s="0" t="str">
        <f aca="false">IF(A4899="","",YEAR(A4899))</f>
        <v/>
      </c>
      <c r="K4899" s="0" t="str">
        <f aca="false">IF(A4899="","",MONTH(A4899))</f>
        <v/>
      </c>
      <c r="L4899" s="0" t="str">
        <f aca="false">IF(B4899="","",VALUE(LEFT(B4899,2)))</f>
        <v/>
      </c>
      <c r="M4899" s="0" t="str">
        <f aca="false">IF(A4899="","",IF(COUNTIFS($C$2:$C$5001,C4899,$J$2:$J$5001,J4899,$A$2:$A$5001,"&lt;"&amp;A4899)=0,1,0))</f>
        <v/>
      </c>
    </row>
    <row r="4900" customFormat="false" ht="15" hidden="false" customHeight="false" outlineLevel="0" collapsed="false">
      <c r="A4900" s="27"/>
      <c r="F4900" s="28"/>
      <c r="J4900" s="0" t="str">
        <f aca="false">IF(A4900="","",YEAR(A4900))</f>
        <v/>
      </c>
      <c r="K4900" s="0" t="str">
        <f aca="false">IF(A4900="","",MONTH(A4900))</f>
        <v/>
      </c>
      <c r="L4900" s="0" t="str">
        <f aca="false">IF(B4900="","",VALUE(LEFT(B4900,2)))</f>
        <v/>
      </c>
      <c r="M4900" s="0" t="str">
        <f aca="false">IF(A4900="","",IF(COUNTIFS($C$2:$C$5001,C4900,$J$2:$J$5001,J4900,$A$2:$A$5001,"&lt;"&amp;A4900)=0,1,0))</f>
        <v/>
      </c>
    </row>
    <row r="4901" customFormat="false" ht="15" hidden="false" customHeight="false" outlineLevel="0" collapsed="false">
      <c r="A4901" s="27"/>
      <c r="F4901" s="28"/>
      <c r="J4901" s="0" t="str">
        <f aca="false">IF(A4901="","",YEAR(A4901))</f>
        <v/>
      </c>
      <c r="K4901" s="0" t="str">
        <f aca="false">IF(A4901="","",MONTH(A4901))</f>
        <v/>
      </c>
      <c r="L4901" s="0" t="str">
        <f aca="false">IF(B4901="","",VALUE(LEFT(B4901,2)))</f>
        <v/>
      </c>
      <c r="M4901" s="0" t="str">
        <f aca="false">IF(A4901="","",IF(COUNTIFS($C$2:$C$5001,C4901,$J$2:$J$5001,J4901,$A$2:$A$5001,"&lt;"&amp;A4901)=0,1,0))</f>
        <v/>
      </c>
    </row>
    <row r="4902" customFormat="false" ht="15" hidden="false" customHeight="false" outlineLevel="0" collapsed="false">
      <c r="A4902" s="27"/>
      <c r="F4902" s="28"/>
      <c r="J4902" s="0" t="str">
        <f aca="false">IF(A4902="","",YEAR(A4902))</f>
        <v/>
      </c>
      <c r="K4902" s="0" t="str">
        <f aca="false">IF(A4902="","",MONTH(A4902))</f>
        <v/>
      </c>
      <c r="L4902" s="0" t="str">
        <f aca="false">IF(B4902="","",VALUE(LEFT(B4902,2)))</f>
        <v/>
      </c>
      <c r="M4902" s="0" t="str">
        <f aca="false">IF(A4902="","",IF(COUNTIFS($C$2:$C$5001,C4902,$J$2:$J$5001,J4902,$A$2:$A$5001,"&lt;"&amp;A4902)=0,1,0))</f>
        <v/>
      </c>
    </row>
    <row r="4903" customFormat="false" ht="15" hidden="false" customHeight="false" outlineLevel="0" collapsed="false">
      <c r="A4903" s="27"/>
      <c r="F4903" s="28"/>
      <c r="J4903" s="0" t="str">
        <f aca="false">IF(A4903="","",YEAR(A4903))</f>
        <v/>
      </c>
      <c r="K4903" s="0" t="str">
        <f aca="false">IF(A4903="","",MONTH(A4903))</f>
        <v/>
      </c>
      <c r="L4903" s="0" t="str">
        <f aca="false">IF(B4903="","",VALUE(LEFT(B4903,2)))</f>
        <v/>
      </c>
      <c r="M4903" s="0" t="str">
        <f aca="false">IF(A4903="","",IF(COUNTIFS($C$2:$C$5001,C4903,$J$2:$J$5001,J4903,$A$2:$A$5001,"&lt;"&amp;A4903)=0,1,0))</f>
        <v/>
      </c>
    </row>
    <row r="4904" customFormat="false" ht="15" hidden="false" customHeight="false" outlineLevel="0" collapsed="false">
      <c r="A4904" s="27"/>
      <c r="F4904" s="28"/>
      <c r="J4904" s="0" t="str">
        <f aca="false">IF(A4904="","",YEAR(A4904))</f>
        <v/>
      </c>
      <c r="K4904" s="0" t="str">
        <f aca="false">IF(A4904="","",MONTH(A4904))</f>
        <v/>
      </c>
      <c r="L4904" s="0" t="str">
        <f aca="false">IF(B4904="","",VALUE(LEFT(B4904,2)))</f>
        <v/>
      </c>
      <c r="M4904" s="0" t="str">
        <f aca="false">IF(A4904="","",IF(COUNTIFS($C$2:$C$5001,C4904,$J$2:$J$5001,J4904,$A$2:$A$5001,"&lt;"&amp;A4904)=0,1,0))</f>
        <v/>
      </c>
    </row>
    <row r="4905" customFormat="false" ht="15" hidden="false" customHeight="false" outlineLevel="0" collapsed="false">
      <c r="A4905" s="27"/>
      <c r="F4905" s="28"/>
      <c r="J4905" s="0" t="str">
        <f aca="false">IF(A4905="","",YEAR(A4905))</f>
        <v/>
      </c>
      <c r="K4905" s="0" t="str">
        <f aca="false">IF(A4905="","",MONTH(A4905))</f>
        <v/>
      </c>
      <c r="L4905" s="0" t="str">
        <f aca="false">IF(B4905="","",VALUE(LEFT(B4905,2)))</f>
        <v/>
      </c>
      <c r="M4905" s="0" t="str">
        <f aca="false">IF(A4905="","",IF(COUNTIFS($C$2:$C$5001,C4905,$J$2:$J$5001,J4905,$A$2:$A$5001,"&lt;"&amp;A4905)=0,1,0))</f>
        <v/>
      </c>
    </row>
    <row r="4906" customFormat="false" ht="15" hidden="false" customHeight="false" outlineLevel="0" collapsed="false">
      <c r="A4906" s="27"/>
      <c r="F4906" s="28"/>
      <c r="J4906" s="0" t="str">
        <f aca="false">IF(A4906="","",YEAR(A4906))</f>
        <v/>
      </c>
      <c r="K4906" s="0" t="str">
        <f aca="false">IF(A4906="","",MONTH(A4906))</f>
        <v/>
      </c>
      <c r="L4906" s="0" t="str">
        <f aca="false">IF(B4906="","",VALUE(LEFT(B4906,2)))</f>
        <v/>
      </c>
      <c r="M4906" s="0" t="str">
        <f aca="false">IF(A4906="","",IF(COUNTIFS($C$2:$C$5001,C4906,$J$2:$J$5001,J4906,$A$2:$A$5001,"&lt;"&amp;A4906)=0,1,0))</f>
        <v/>
      </c>
    </row>
    <row r="4907" customFormat="false" ht="15" hidden="false" customHeight="false" outlineLevel="0" collapsed="false">
      <c r="A4907" s="27"/>
      <c r="F4907" s="28"/>
      <c r="J4907" s="0" t="str">
        <f aca="false">IF(A4907="","",YEAR(A4907))</f>
        <v/>
      </c>
      <c r="K4907" s="0" t="str">
        <f aca="false">IF(A4907="","",MONTH(A4907))</f>
        <v/>
      </c>
      <c r="L4907" s="0" t="str">
        <f aca="false">IF(B4907="","",VALUE(LEFT(B4907,2)))</f>
        <v/>
      </c>
      <c r="M4907" s="0" t="str">
        <f aca="false">IF(A4907="","",IF(COUNTIFS($C$2:$C$5001,C4907,$J$2:$J$5001,J4907,$A$2:$A$5001,"&lt;"&amp;A4907)=0,1,0))</f>
        <v/>
      </c>
    </row>
    <row r="4908" customFormat="false" ht="15" hidden="false" customHeight="false" outlineLevel="0" collapsed="false">
      <c r="A4908" s="27"/>
      <c r="F4908" s="28"/>
      <c r="J4908" s="0" t="str">
        <f aca="false">IF(A4908="","",YEAR(A4908))</f>
        <v/>
      </c>
      <c r="K4908" s="0" t="str">
        <f aca="false">IF(A4908="","",MONTH(A4908))</f>
        <v/>
      </c>
      <c r="L4908" s="0" t="str">
        <f aca="false">IF(B4908="","",VALUE(LEFT(B4908,2)))</f>
        <v/>
      </c>
      <c r="M4908" s="0" t="str">
        <f aca="false">IF(A4908="","",IF(COUNTIFS($C$2:$C$5001,C4908,$J$2:$J$5001,J4908,$A$2:$A$5001,"&lt;"&amp;A4908)=0,1,0))</f>
        <v/>
      </c>
    </row>
    <row r="4909" customFormat="false" ht="15" hidden="false" customHeight="false" outlineLevel="0" collapsed="false">
      <c r="A4909" s="27"/>
      <c r="F4909" s="28"/>
      <c r="J4909" s="0" t="str">
        <f aca="false">IF(A4909="","",YEAR(A4909))</f>
        <v/>
      </c>
      <c r="K4909" s="0" t="str">
        <f aca="false">IF(A4909="","",MONTH(A4909))</f>
        <v/>
      </c>
      <c r="L4909" s="0" t="str">
        <f aca="false">IF(B4909="","",VALUE(LEFT(B4909,2)))</f>
        <v/>
      </c>
      <c r="M4909" s="0" t="str">
        <f aca="false">IF(A4909="","",IF(COUNTIFS($C$2:$C$5001,C4909,$J$2:$J$5001,J4909,$A$2:$A$5001,"&lt;"&amp;A4909)=0,1,0))</f>
        <v/>
      </c>
    </row>
    <row r="4910" customFormat="false" ht="15" hidden="false" customHeight="false" outlineLevel="0" collapsed="false">
      <c r="A4910" s="27"/>
      <c r="F4910" s="28"/>
      <c r="J4910" s="0" t="str">
        <f aca="false">IF(A4910="","",YEAR(A4910))</f>
        <v/>
      </c>
      <c r="K4910" s="0" t="str">
        <f aca="false">IF(A4910="","",MONTH(A4910))</f>
        <v/>
      </c>
      <c r="L4910" s="0" t="str">
        <f aca="false">IF(B4910="","",VALUE(LEFT(B4910,2)))</f>
        <v/>
      </c>
      <c r="M4910" s="0" t="str">
        <f aca="false">IF(A4910="","",IF(COUNTIFS($C$2:$C$5001,C4910,$J$2:$J$5001,J4910,$A$2:$A$5001,"&lt;"&amp;A4910)=0,1,0))</f>
        <v/>
      </c>
    </row>
    <row r="4911" customFormat="false" ht="15" hidden="false" customHeight="false" outlineLevel="0" collapsed="false">
      <c r="A4911" s="27"/>
      <c r="F4911" s="28"/>
      <c r="J4911" s="0" t="str">
        <f aca="false">IF(A4911="","",YEAR(A4911))</f>
        <v/>
      </c>
      <c r="K4911" s="0" t="str">
        <f aca="false">IF(A4911="","",MONTH(A4911))</f>
        <v/>
      </c>
      <c r="L4911" s="0" t="str">
        <f aca="false">IF(B4911="","",VALUE(LEFT(B4911,2)))</f>
        <v/>
      </c>
      <c r="M4911" s="0" t="str">
        <f aca="false">IF(A4911="","",IF(COUNTIFS($C$2:$C$5001,C4911,$J$2:$J$5001,J4911,$A$2:$A$5001,"&lt;"&amp;A4911)=0,1,0))</f>
        <v/>
      </c>
    </row>
    <row r="4912" customFormat="false" ht="15" hidden="false" customHeight="false" outlineLevel="0" collapsed="false">
      <c r="A4912" s="27"/>
      <c r="F4912" s="28"/>
      <c r="J4912" s="0" t="str">
        <f aca="false">IF(A4912="","",YEAR(A4912))</f>
        <v/>
      </c>
      <c r="K4912" s="0" t="str">
        <f aca="false">IF(A4912="","",MONTH(A4912))</f>
        <v/>
      </c>
      <c r="L4912" s="0" t="str">
        <f aca="false">IF(B4912="","",VALUE(LEFT(B4912,2)))</f>
        <v/>
      </c>
      <c r="M4912" s="0" t="str">
        <f aca="false">IF(A4912="","",IF(COUNTIFS($C$2:$C$5001,C4912,$J$2:$J$5001,J4912,$A$2:$A$5001,"&lt;"&amp;A4912)=0,1,0))</f>
        <v/>
      </c>
    </row>
    <row r="4913" customFormat="false" ht="15" hidden="false" customHeight="false" outlineLevel="0" collapsed="false">
      <c r="A4913" s="27"/>
      <c r="F4913" s="28"/>
      <c r="J4913" s="0" t="str">
        <f aca="false">IF(A4913="","",YEAR(A4913))</f>
        <v/>
      </c>
      <c r="K4913" s="0" t="str">
        <f aca="false">IF(A4913="","",MONTH(A4913))</f>
        <v/>
      </c>
      <c r="L4913" s="0" t="str">
        <f aca="false">IF(B4913="","",VALUE(LEFT(B4913,2)))</f>
        <v/>
      </c>
      <c r="M4913" s="0" t="str">
        <f aca="false">IF(A4913="","",IF(COUNTIFS($C$2:$C$5001,C4913,$J$2:$J$5001,J4913,$A$2:$A$5001,"&lt;"&amp;A4913)=0,1,0))</f>
        <v/>
      </c>
    </row>
    <row r="4914" customFormat="false" ht="15" hidden="false" customHeight="false" outlineLevel="0" collapsed="false">
      <c r="A4914" s="27"/>
      <c r="F4914" s="28"/>
      <c r="J4914" s="0" t="str">
        <f aca="false">IF(A4914="","",YEAR(A4914))</f>
        <v/>
      </c>
      <c r="K4914" s="0" t="str">
        <f aca="false">IF(A4914="","",MONTH(A4914))</f>
        <v/>
      </c>
      <c r="L4914" s="0" t="str">
        <f aca="false">IF(B4914="","",VALUE(LEFT(B4914,2)))</f>
        <v/>
      </c>
      <c r="M4914" s="0" t="str">
        <f aca="false">IF(A4914="","",IF(COUNTIFS($C$2:$C$5001,C4914,$J$2:$J$5001,J4914,$A$2:$A$5001,"&lt;"&amp;A4914)=0,1,0))</f>
        <v/>
      </c>
    </row>
    <row r="4915" customFormat="false" ht="15" hidden="false" customHeight="false" outlineLevel="0" collapsed="false">
      <c r="A4915" s="27"/>
      <c r="F4915" s="28"/>
      <c r="J4915" s="0" t="str">
        <f aca="false">IF(A4915="","",YEAR(A4915))</f>
        <v/>
      </c>
      <c r="K4915" s="0" t="str">
        <f aca="false">IF(A4915="","",MONTH(A4915))</f>
        <v/>
      </c>
      <c r="L4915" s="0" t="str">
        <f aca="false">IF(B4915="","",VALUE(LEFT(B4915,2)))</f>
        <v/>
      </c>
      <c r="M4915" s="0" t="str">
        <f aca="false">IF(A4915="","",IF(COUNTIFS($C$2:$C$5001,C4915,$J$2:$J$5001,J4915,$A$2:$A$5001,"&lt;"&amp;A4915)=0,1,0))</f>
        <v/>
      </c>
    </row>
    <row r="4916" customFormat="false" ht="15" hidden="false" customHeight="false" outlineLevel="0" collapsed="false">
      <c r="A4916" s="27"/>
      <c r="F4916" s="28"/>
      <c r="J4916" s="0" t="str">
        <f aca="false">IF(A4916="","",YEAR(A4916))</f>
        <v/>
      </c>
      <c r="K4916" s="0" t="str">
        <f aca="false">IF(A4916="","",MONTH(A4916))</f>
        <v/>
      </c>
      <c r="L4916" s="0" t="str">
        <f aca="false">IF(B4916="","",VALUE(LEFT(B4916,2)))</f>
        <v/>
      </c>
      <c r="M4916" s="0" t="str">
        <f aca="false">IF(A4916="","",IF(COUNTIFS($C$2:$C$5001,C4916,$J$2:$J$5001,J4916,$A$2:$A$5001,"&lt;"&amp;A4916)=0,1,0))</f>
        <v/>
      </c>
    </row>
    <row r="4917" customFormat="false" ht="15" hidden="false" customHeight="false" outlineLevel="0" collapsed="false">
      <c r="A4917" s="27"/>
      <c r="F4917" s="28"/>
      <c r="J4917" s="0" t="str">
        <f aca="false">IF(A4917="","",YEAR(A4917))</f>
        <v/>
      </c>
      <c r="K4917" s="0" t="str">
        <f aca="false">IF(A4917="","",MONTH(A4917))</f>
        <v/>
      </c>
      <c r="L4917" s="0" t="str">
        <f aca="false">IF(B4917="","",VALUE(LEFT(B4917,2)))</f>
        <v/>
      </c>
      <c r="M4917" s="0" t="str">
        <f aca="false">IF(A4917="","",IF(COUNTIFS($C$2:$C$5001,C4917,$J$2:$J$5001,J4917,$A$2:$A$5001,"&lt;"&amp;A4917)=0,1,0))</f>
        <v/>
      </c>
    </row>
    <row r="4918" customFormat="false" ht="15" hidden="false" customHeight="false" outlineLevel="0" collapsed="false">
      <c r="A4918" s="27"/>
      <c r="F4918" s="28"/>
      <c r="J4918" s="0" t="str">
        <f aca="false">IF(A4918="","",YEAR(A4918))</f>
        <v/>
      </c>
      <c r="K4918" s="0" t="str">
        <f aca="false">IF(A4918="","",MONTH(A4918))</f>
        <v/>
      </c>
      <c r="L4918" s="0" t="str">
        <f aca="false">IF(B4918="","",VALUE(LEFT(B4918,2)))</f>
        <v/>
      </c>
      <c r="M4918" s="0" t="str">
        <f aca="false">IF(A4918="","",IF(COUNTIFS($C$2:$C$5001,C4918,$J$2:$J$5001,J4918,$A$2:$A$5001,"&lt;"&amp;A4918)=0,1,0))</f>
        <v/>
      </c>
    </row>
    <row r="4919" customFormat="false" ht="15" hidden="false" customHeight="false" outlineLevel="0" collapsed="false">
      <c r="A4919" s="27"/>
      <c r="F4919" s="28"/>
      <c r="J4919" s="0" t="str">
        <f aca="false">IF(A4919="","",YEAR(A4919))</f>
        <v/>
      </c>
      <c r="K4919" s="0" t="str">
        <f aca="false">IF(A4919="","",MONTH(A4919))</f>
        <v/>
      </c>
      <c r="L4919" s="0" t="str">
        <f aca="false">IF(B4919="","",VALUE(LEFT(B4919,2)))</f>
        <v/>
      </c>
      <c r="M4919" s="0" t="str">
        <f aca="false">IF(A4919="","",IF(COUNTIFS($C$2:$C$5001,C4919,$J$2:$J$5001,J4919,$A$2:$A$5001,"&lt;"&amp;A4919)=0,1,0))</f>
        <v/>
      </c>
    </row>
    <row r="4920" customFormat="false" ht="15" hidden="false" customHeight="false" outlineLevel="0" collapsed="false">
      <c r="A4920" s="27"/>
      <c r="F4920" s="28"/>
      <c r="J4920" s="0" t="str">
        <f aca="false">IF(A4920="","",YEAR(A4920))</f>
        <v/>
      </c>
      <c r="K4920" s="0" t="str">
        <f aca="false">IF(A4920="","",MONTH(A4920))</f>
        <v/>
      </c>
      <c r="L4920" s="0" t="str">
        <f aca="false">IF(B4920="","",VALUE(LEFT(B4920,2)))</f>
        <v/>
      </c>
      <c r="M4920" s="0" t="str">
        <f aca="false">IF(A4920="","",IF(COUNTIFS($C$2:$C$5001,C4920,$J$2:$J$5001,J4920,$A$2:$A$5001,"&lt;"&amp;A4920)=0,1,0))</f>
        <v/>
      </c>
    </row>
    <row r="4921" customFormat="false" ht="15" hidden="false" customHeight="false" outlineLevel="0" collapsed="false">
      <c r="A4921" s="27"/>
      <c r="F4921" s="28"/>
      <c r="J4921" s="0" t="str">
        <f aca="false">IF(A4921="","",YEAR(A4921))</f>
        <v/>
      </c>
      <c r="K4921" s="0" t="str">
        <f aca="false">IF(A4921="","",MONTH(A4921))</f>
        <v/>
      </c>
      <c r="L4921" s="0" t="str">
        <f aca="false">IF(B4921="","",VALUE(LEFT(B4921,2)))</f>
        <v/>
      </c>
      <c r="M4921" s="0" t="str">
        <f aca="false">IF(A4921="","",IF(COUNTIFS($C$2:$C$5001,C4921,$J$2:$J$5001,J4921,$A$2:$A$5001,"&lt;"&amp;A4921)=0,1,0))</f>
        <v/>
      </c>
    </row>
    <row r="4922" customFormat="false" ht="15" hidden="false" customHeight="false" outlineLevel="0" collapsed="false">
      <c r="A4922" s="27"/>
      <c r="F4922" s="28"/>
      <c r="J4922" s="0" t="str">
        <f aca="false">IF(A4922="","",YEAR(A4922))</f>
        <v/>
      </c>
      <c r="K4922" s="0" t="str">
        <f aca="false">IF(A4922="","",MONTH(A4922))</f>
        <v/>
      </c>
      <c r="L4922" s="0" t="str">
        <f aca="false">IF(B4922="","",VALUE(LEFT(B4922,2)))</f>
        <v/>
      </c>
      <c r="M4922" s="0" t="str">
        <f aca="false">IF(A4922="","",IF(COUNTIFS($C$2:$C$5001,C4922,$J$2:$J$5001,J4922,$A$2:$A$5001,"&lt;"&amp;A4922)=0,1,0))</f>
        <v/>
      </c>
    </row>
    <row r="4923" customFormat="false" ht="15" hidden="false" customHeight="false" outlineLevel="0" collapsed="false">
      <c r="A4923" s="27"/>
      <c r="F4923" s="28"/>
      <c r="J4923" s="0" t="str">
        <f aca="false">IF(A4923="","",YEAR(A4923))</f>
        <v/>
      </c>
      <c r="K4923" s="0" t="str">
        <f aca="false">IF(A4923="","",MONTH(A4923))</f>
        <v/>
      </c>
      <c r="L4923" s="0" t="str">
        <f aca="false">IF(B4923="","",VALUE(LEFT(B4923,2)))</f>
        <v/>
      </c>
      <c r="M4923" s="0" t="str">
        <f aca="false">IF(A4923="","",IF(COUNTIFS($C$2:$C$5001,C4923,$J$2:$J$5001,J4923,$A$2:$A$5001,"&lt;"&amp;A4923)=0,1,0))</f>
        <v/>
      </c>
    </row>
    <row r="4924" customFormat="false" ht="15" hidden="false" customHeight="false" outlineLevel="0" collapsed="false">
      <c r="A4924" s="27"/>
      <c r="F4924" s="28"/>
      <c r="J4924" s="0" t="str">
        <f aca="false">IF(A4924="","",YEAR(A4924))</f>
        <v/>
      </c>
      <c r="K4924" s="0" t="str">
        <f aca="false">IF(A4924="","",MONTH(A4924))</f>
        <v/>
      </c>
      <c r="L4924" s="0" t="str">
        <f aca="false">IF(B4924="","",VALUE(LEFT(B4924,2)))</f>
        <v/>
      </c>
      <c r="M4924" s="0" t="str">
        <f aca="false">IF(A4924="","",IF(COUNTIFS($C$2:$C$5001,C4924,$J$2:$J$5001,J4924,$A$2:$A$5001,"&lt;"&amp;A4924)=0,1,0))</f>
        <v/>
      </c>
    </row>
    <row r="4925" customFormat="false" ht="15" hidden="false" customHeight="false" outlineLevel="0" collapsed="false">
      <c r="A4925" s="27"/>
      <c r="F4925" s="28"/>
      <c r="J4925" s="0" t="str">
        <f aca="false">IF(A4925="","",YEAR(A4925))</f>
        <v/>
      </c>
      <c r="K4925" s="0" t="str">
        <f aca="false">IF(A4925="","",MONTH(A4925))</f>
        <v/>
      </c>
      <c r="L4925" s="0" t="str">
        <f aca="false">IF(B4925="","",VALUE(LEFT(B4925,2)))</f>
        <v/>
      </c>
      <c r="M4925" s="0" t="str">
        <f aca="false">IF(A4925="","",IF(COUNTIFS($C$2:$C$5001,C4925,$J$2:$J$5001,J4925,$A$2:$A$5001,"&lt;"&amp;A4925)=0,1,0))</f>
        <v/>
      </c>
    </row>
    <row r="4926" customFormat="false" ht="15" hidden="false" customHeight="false" outlineLevel="0" collapsed="false">
      <c r="A4926" s="27"/>
      <c r="F4926" s="28"/>
      <c r="J4926" s="0" t="str">
        <f aca="false">IF(A4926="","",YEAR(A4926))</f>
        <v/>
      </c>
      <c r="K4926" s="0" t="str">
        <f aca="false">IF(A4926="","",MONTH(A4926))</f>
        <v/>
      </c>
      <c r="L4926" s="0" t="str">
        <f aca="false">IF(B4926="","",VALUE(LEFT(B4926,2)))</f>
        <v/>
      </c>
      <c r="M4926" s="0" t="str">
        <f aca="false">IF(A4926="","",IF(COUNTIFS($C$2:$C$5001,C4926,$J$2:$J$5001,J4926,$A$2:$A$5001,"&lt;"&amp;A4926)=0,1,0))</f>
        <v/>
      </c>
    </row>
    <row r="4927" customFormat="false" ht="15" hidden="false" customHeight="false" outlineLevel="0" collapsed="false">
      <c r="A4927" s="27"/>
      <c r="F4927" s="28"/>
      <c r="J4927" s="0" t="str">
        <f aca="false">IF(A4927="","",YEAR(A4927))</f>
        <v/>
      </c>
      <c r="K4927" s="0" t="str">
        <f aca="false">IF(A4927="","",MONTH(A4927))</f>
        <v/>
      </c>
      <c r="L4927" s="0" t="str">
        <f aca="false">IF(B4927="","",VALUE(LEFT(B4927,2)))</f>
        <v/>
      </c>
      <c r="M4927" s="0" t="str">
        <f aca="false">IF(A4927="","",IF(COUNTIFS($C$2:$C$5001,C4927,$J$2:$J$5001,J4927,$A$2:$A$5001,"&lt;"&amp;A4927)=0,1,0))</f>
        <v/>
      </c>
    </row>
    <row r="4928" customFormat="false" ht="15" hidden="false" customHeight="false" outlineLevel="0" collapsed="false">
      <c r="A4928" s="27"/>
      <c r="F4928" s="28"/>
      <c r="J4928" s="0" t="str">
        <f aca="false">IF(A4928="","",YEAR(A4928))</f>
        <v/>
      </c>
      <c r="K4928" s="0" t="str">
        <f aca="false">IF(A4928="","",MONTH(A4928))</f>
        <v/>
      </c>
      <c r="L4928" s="0" t="str">
        <f aca="false">IF(B4928="","",VALUE(LEFT(B4928,2)))</f>
        <v/>
      </c>
      <c r="M4928" s="0" t="str">
        <f aca="false">IF(A4928="","",IF(COUNTIFS($C$2:$C$5001,C4928,$J$2:$J$5001,J4928,$A$2:$A$5001,"&lt;"&amp;A4928)=0,1,0))</f>
        <v/>
      </c>
    </row>
    <row r="4929" customFormat="false" ht="15" hidden="false" customHeight="false" outlineLevel="0" collapsed="false">
      <c r="A4929" s="27"/>
      <c r="F4929" s="28"/>
      <c r="J4929" s="0" t="str">
        <f aca="false">IF(A4929="","",YEAR(A4929))</f>
        <v/>
      </c>
      <c r="K4929" s="0" t="str">
        <f aca="false">IF(A4929="","",MONTH(A4929))</f>
        <v/>
      </c>
      <c r="L4929" s="0" t="str">
        <f aca="false">IF(B4929="","",VALUE(LEFT(B4929,2)))</f>
        <v/>
      </c>
      <c r="M4929" s="0" t="str">
        <f aca="false">IF(A4929="","",IF(COUNTIFS($C$2:$C$5001,C4929,$J$2:$J$5001,J4929,$A$2:$A$5001,"&lt;"&amp;A4929)=0,1,0))</f>
        <v/>
      </c>
    </row>
    <row r="4930" customFormat="false" ht="15" hidden="false" customHeight="false" outlineLevel="0" collapsed="false">
      <c r="A4930" s="27"/>
      <c r="F4930" s="28"/>
      <c r="J4930" s="0" t="str">
        <f aca="false">IF(A4930="","",YEAR(A4930))</f>
        <v/>
      </c>
      <c r="K4930" s="0" t="str">
        <f aca="false">IF(A4930="","",MONTH(A4930))</f>
        <v/>
      </c>
      <c r="L4930" s="0" t="str">
        <f aca="false">IF(B4930="","",VALUE(LEFT(B4930,2)))</f>
        <v/>
      </c>
      <c r="M4930" s="0" t="str">
        <f aca="false">IF(A4930="","",IF(COUNTIFS($C$2:$C$5001,C4930,$J$2:$J$5001,J4930,$A$2:$A$5001,"&lt;"&amp;A4930)=0,1,0))</f>
        <v/>
      </c>
    </row>
    <row r="4931" customFormat="false" ht="15" hidden="false" customHeight="false" outlineLevel="0" collapsed="false">
      <c r="A4931" s="27"/>
      <c r="F4931" s="28"/>
      <c r="J4931" s="0" t="str">
        <f aca="false">IF(A4931="","",YEAR(A4931))</f>
        <v/>
      </c>
      <c r="K4931" s="0" t="str">
        <f aca="false">IF(A4931="","",MONTH(A4931))</f>
        <v/>
      </c>
      <c r="L4931" s="0" t="str">
        <f aca="false">IF(B4931="","",VALUE(LEFT(B4931,2)))</f>
        <v/>
      </c>
      <c r="M4931" s="0" t="str">
        <f aca="false">IF(A4931="","",IF(COUNTIFS($C$2:$C$5001,C4931,$J$2:$J$5001,J4931,$A$2:$A$5001,"&lt;"&amp;A4931)=0,1,0))</f>
        <v/>
      </c>
    </row>
    <row r="4932" customFormat="false" ht="15" hidden="false" customHeight="false" outlineLevel="0" collapsed="false">
      <c r="A4932" s="27"/>
      <c r="F4932" s="28"/>
      <c r="J4932" s="0" t="str">
        <f aca="false">IF(A4932="","",YEAR(A4932))</f>
        <v/>
      </c>
      <c r="K4932" s="0" t="str">
        <f aca="false">IF(A4932="","",MONTH(A4932))</f>
        <v/>
      </c>
      <c r="L4932" s="0" t="str">
        <f aca="false">IF(B4932="","",VALUE(LEFT(B4932,2)))</f>
        <v/>
      </c>
      <c r="M4932" s="0" t="str">
        <f aca="false">IF(A4932="","",IF(COUNTIFS($C$2:$C$5001,C4932,$J$2:$J$5001,J4932,$A$2:$A$5001,"&lt;"&amp;A4932)=0,1,0))</f>
        <v/>
      </c>
    </row>
    <row r="4933" customFormat="false" ht="15" hidden="false" customHeight="false" outlineLevel="0" collapsed="false">
      <c r="A4933" s="27"/>
      <c r="F4933" s="28"/>
      <c r="J4933" s="0" t="str">
        <f aca="false">IF(A4933="","",YEAR(A4933))</f>
        <v/>
      </c>
      <c r="K4933" s="0" t="str">
        <f aca="false">IF(A4933="","",MONTH(A4933))</f>
        <v/>
      </c>
      <c r="L4933" s="0" t="str">
        <f aca="false">IF(B4933="","",VALUE(LEFT(B4933,2)))</f>
        <v/>
      </c>
      <c r="M4933" s="0" t="str">
        <f aca="false">IF(A4933="","",IF(COUNTIFS($C$2:$C$5001,C4933,$J$2:$J$5001,J4933,$A$2:$A$5001,"&lt;"&amp;A4933)=0,1,0))</f>
        <v/>
      </c>
    </row>
    <row r="4934" customFormat="false" ht="15" hidden="false" customHeight="false" outlineLevel="0" collapsed="false">
      <c r="A4934" s="27"/>
      <c r="F4934" s="28"/>
      <c r="J4934" s="0" t="str">
        <f aca="false">IF(A4934="","",YEAR(A4934))</f>
        <v/>
      </c>
      <c r="K4934" s="0" t="str">
        <f aca="false">IF(A4934="","",MONTH(A4934))</f>
        <v/>
      </c>
      <c r="L4934" s="0" t="str">
        <f aca="false">IF(B4934="","",VALUE(LEFT(B4934,2)))</f>
        <v/>
      </c>
      <c r="M4934" s="0" t="str">
        <f aca="false">IF(A4934="","",IF(COUNTIFS($C$2:$C$5001,C4934,$J$2:$J$5001,J4934,$A$2:$A$5001,"&lt;"&amp;A4934)=0,1,0))</f>
        <v/>
      </c>
    </row>
    <row r="4935" customFormat="false" ht="15" hidden="false" customHeight="false" outlineLevel="0" collapsed="false">
      <c r="A4935" s="27"/>
      <c r="F4935" s="28"/>
      <c r="J4935" s="0" t="str">
        <f aca="false">IF(A4935="","",YEAR(A4935))</f>
        <v/>
      </c>
      <c r="K4935" s="0" t="str">
        <f aca="false">IF(A4935="","",MONTH(A4935))</f>
        <v/>
      </c>
      <c r="L4935" s="0" t="str">
        <f aca="false">IF(B4935="","",VALUE(LEFT(B4935,2)))</f>
        <v/>
      </c>
      <c r="M4935" s="0" t="str">
        <f aca="false">IF(A4935="","",IF(COUNTIFS($C$2:$C$5001,C4935,$J$2:$J$5001,J4935,$A$2:$A$5001,"&lt;"&amp;A4935)=0,1,0))</f>
        <v/>
      </c>
    </row>
    <row r="4936" customFormat="false" ht="15" hidden="false" customHeight="false" outlineLevel="0" collapsed="false">
      <c r="A4936" s="27"/>
      <c r="F4936" s="28"/>
      <c r="J4936" s="0" t="str">
        <f aca="false">IF(A4936="","",YEAR(A4936))</f>
        <v/>
      </c>
      <c r="K4936" s="0" t="str">
        <f aca="false">IF(A4936="","",MONTH(A4936))</f>
        <v/>
      </c>
      <c r="L4936" s="0" t="str">
        <f aca="false">IF(B4936="","",VALUE(LEFT(B4936,2)))</f>
        <v/>
      </c>
      <c r="M4936" s="0" t="str">
        <f aca="false">IF(A4936="","",IF(COUNTIFS($C$2:$C$5001,C4936,$J$2:$J$5001,J4936,$A$2:$A$5001,"&lt;"&amp;A4936)=0,1,0))</f>
        <v/>
      </c>
    </row>
    <row r="4937" customFormat="false" ht="15" hidden="false" customHeight="false" outlineLevel="0" collapsed="false">
      <c r="A4937" s="27"/>
      <c r="F4937" s="28"/>
      <c r="J4937" s="0" t="str">
        <f aca="false">IF(A4937="","",YEAR(A4937))</f>
        <v/>
      </c>
      <c r="K4937" s="0" t="str">
        <f aca="false">IF(A4937="","",MONTH(A4937))</f>
        <v/>
      </c>
      <c r="L4937" s="0" t="str">
        <f aca="false">IF(B4937="","",VALUE(LEFT(B4937,2)))</f>
        <v/>
      </c>
      <c r="M4937" s="0" t="str">
        <f aca="false">IF(A4937="","",IF(COUNTIFS($C$2:$C$5001,C4937,$J$2:$J$5001,J4937,$A$2:$A$5001,"&lt;"&amp;A4937)=0,1,0))</f>
        <v/>
      </c>
    </row>
    <row r="4938" customFormat="false" ht="15" hidden="false" customHeight="false" outlineLevel="0" collapsed="false">
      <c r="A4938" s="27"/>
      <c r="F4938" s="28"/>
      <c r="J4938" s="0" t="str">
        <f aca="false">IF(A4938="","",YEAR(A4938))</f>
        <v/>
      </c>
      <c r="K4938" s="0" t="str">
        <f aca="false">IF(A4938="","",MONTH(A4938))</f>
        <v/>
      </c>
      <c r="L4938" s="0" t="str">
        <f aca="false">IF(B4938="","",VALUE(LEFT(B4938,2)))</f>
        <v/>
      </c>
      <c r="M4938" s="0" t="str">
        <f aca="false">IF(A4938="","",IF(COUNTIFS($C$2:$C$5001,C4938,$J$2:$J$5001,J4938,$A$2:$A$5001,"&lt;"&amp;A4938)=0,1,0))</f>
        <v/>
      </c>
    </row>
    <row r="4939" customFormat="false" ht="15" hidden="false" customHeight="false" outlineLevel="0" collapsed="false">
      <c r="A4939" s="27"/>
      <c r="F4939" s="28"/>
      <c r="J4939" s="0" t="str">
        <f aca="false">IF(A4939="","",YEAR(A4939))</f>
        <v/>
      </c>
      <c r="K4939" s="0" t="str">
        <f aca="false">IF(A4939="","",MONTH(A4939))</f>
        <v/>
      </c>
      <c r="L4939" s="0" t="str">
        <f aca="false">IF(B4939="","",VALUE(LEFT(B4939,2)))</f>
        <v/>
      </c>
      <c r="M4939" s="0" t="str">
        <f aca="false">IF(A4939="","",IF(COUNTIFS($C$2:$C$5001,C4939,$J$2:$J$5001,J4939,$A$2:$A$5001,"&lt;"&amp;A4939)=0,1,0))</f>
        <v/>
      </c>
    </row>
    <row r="4940" customFormat="false" ht="15" hidden="false" customHeight="false" outlineLevel="0" collapsed="false">
      <c r="A4940" s="27"/>
      <c r="F4940" s="28"/>
      <c r="J4940" s="0" t="str">
        <f aca="false">IF(A4940="","",YEAR(A4940))</f>
        <v/>
      </c>
      <c r="K4940" s="0" t="str">
        <f aca="false">IF(A4940="","",MONTH(A4940))</f>
        <v/>
      </c>
      <c r="L4940" s="0" t="str">
        <f aca="false">IF(B4940="","",VALUE(LEFT(B4940,2)))</f>
        <v/>
      </c>
      <c r="M4940" s="0" t="str">
        <f aca="false">IF(A4940="","",IF(COUNTIFS($C$2:$C$5001,C4940,$J$2:$J$5001,J4940,$A$2:$A$5001,"&lt;"&amp;A4940)=0,1,0))</f>
        <v/>
      </c>
    </row>
    <row r="4941" customFormat="false" ht="15" hidden="false" customHeight="false" outlineLevel="0" collapsed="false">
      <c r="A4941" s="27"/>
      <c r="F4941" s="28"/>
      <c r="J4941" s="0" t="str">
        <f aca="false">IF(A4941="","",YEAR(A4941))</f>
        <v/>
      </c>
      <c r="K4941" s="0" t="str">
        <f aca="false">IF(A4941="","",MONTH(A4941))</f>
        <v/>
      </c>
      <c r="L4941" s="0" t="str">
        <f aca="false">IF(B4941="","",VALUE(LEFT(B4941,2)))</f>
        <v/>
      </c>
      <c r="M4941" s="0" t="str">
        <f aca="false">IF(A4941="","",IF(COUNTIFS($C$2:$C$5001,C4941,$J$2:$J$5001,J4941,$A$2:$A$5001,"&lt;"&amp;A4941)=0,1,0))</f>
        <v/>
      </c>
    </row>
    <row r="4942" customFormat="false" ht="15" hidden="false" customHeight="false" outlineLevel="0" collapsed="false">
      <c r="A4942" s="27"/>
      <c r="F4942" s="28"/>
      <c r="J4942" s="0" t="str">
        <f aca="false">IF(A4942="","",YEAR(A4942))</f>
        <v/>
      </c>
      <c r="K4942" s="0" t="str">
        <f aca="false">IF(A4942="","",MONTH(A4942))</f>
        <v/>
      </c>
      <c r="L4942" s="0" t="str">
        <f aca="false">IF(B4942="","",VALUE(LEFT(B4942,2)))</f>
        <v/>
      </c>
      <c r="M4942" s="0" t="str">
        <f aca="false">IF(A4942="","",IF(COUNTIFS($C$2:$C$5001,C4942,$J$2:$J$5001,J4942,$A$2:$A$5001,"&lt;"&amp;A4942)=0,1,0))</f>
        <v/>
      </c>
    </row>
    <row r="4943" customFormat="false" ht="15" hidden="false" customHeight="false" outlineLevel="0" collapsed="false">
      <c r="A4943" s="27"/>
      <c r="F4943" s="28"/>
      <c r="J4943" s="0" t="str">
        <f aca="false">IF(A4943="","",YEAR(A4943))</f>
        <v/>
      </c>
      <c r="K4943" s="0" t="str">
        <f aca="false">IF(A4943="","",MONTH(A4943))</f>
        <v/>
      </c>
      <c r="L4943" s="0" t="str">
        <f aca="false">IF(B4943="","",VALUE(LEFT(B4943,2)))</f>
        <v/>
      </c>
      <c r="M4943" s="0" t="str">
        <f aca="false">IF(A4943="","",IF(COUNTIFS($C$2:$C$5001,C4943,$J$2:$J$5001,J4943,$A$2:$A$5001,"&lt;"&amp;A4943)=0,1,0))</f>
        <v/>
      </c>
    </row>
    <row r="4944" customFormat="false" ht="15" hidden="false" customHeight="false" outlineLevel="0" collapsed="false">
      <c r="A4944" s="27"/>
      <c r="F4944" s="28"/>
      <c r="J4944" s="0" t="str">
        <f aca="false">IF(A4944="","",YEAR(A4944))</f>
        <v/>
      </c>
      <c r="K4944" s="0" t="str">
        <f aca="false">IF(A4944="","",MONTH(A4944))</f>
        <v/>
      </c>
      <c r="L4944" s="0" t="str">
        <f aca="false">IF(B4944="","",VALUE(LEFT(B4944,2)))</f>
        <v/>
      </c>
      <c r="M4944" s="0" t="str">
        <f aca="false">IF(A4944="","",IF(COUNTIFS($C$2:$C$5001,C4944,$J$2:$J$5001,J4944,$A$2:$A$5001,"&lt;"&amp;A4944)=0,1,0))</f>
        <v/>
      </c>
    </row>
    <row r="4945" customFormat="false" ht="15" hidden="false" customHeight="false" outlineLevel="0" collapsed="false">
      <c r="A4945" s="27"/>
      <c r="F4945" s="28"/>
      <c r="J4945" s="0" t="str">
        <f aca="false">IF(A4945="","",YEAR(A4945))</f>
        <v/>
      </c>
      <c r="K4945" s="0" t="str">
        <f aca="false">IF(A4945="","",MONTH(A4945))</f>
        <v/>
      </c>
      <c r="L4945" s="0" t="str">
        <f aca="false">IF(B4945="","",VALUE(LEFT(B4945,2)))</f>
        <v/>
      </c>
      <c r="M4945" s="0" t="str">
        <f aca="false">IF(A4945="","",IF(COUNTIFS($C$2:$C$5001,C4945,$J$2:$J$5001,J4945,$A$2:$A$5001,"&lt;"&amp;A4945)=0,1,0))</f>
        <v/>
      </c>
    </row>
    <row r="4946" customFormat="false" ht="15" hidden="false" customHeight="false" outlineLevel="0" collapsed="false">
      <c r="A4946" s="27"/>
      <c r="F4946" s="28"/>
      <c r="J4946" s="0" t="str">
        <f aca="false">IF(A4946="","",YEAR(A4946))</f>
        <v/>
      </c>
      <c r="K4946" s="0" t="str">
        <f aca="false">IF(A4946="","",MONTH(A4946))</f>
        <v/>
      </c>
      <c r="L4946" s="0" t="str">
        <f aca="false">IF(B4946="","",VALUE(LEFT(B4946,2)))</f>
        <v/>
      </c>
      <c r="M4946" s="0" t="str">
        <f aca="false">IF(A4946="","",IF(COUNTIFS($C$2:$C$5001,C4946,$J$2:$J$5001,J4946,$A$2:$A$5001,"&lt;"&amp;A4946)=0,1,0))</f>
        <v/>
      </c>
    </row>
    <row r="4947" customFormat="false" ht="15" hidden="false" customHeight="false" outlineLevel="0" collapsed="false">
      <c r="A4947" s="27"/>
      <c r="F4947" s="28"/>
      <c r="J4947" s="0" t="str">
        <f aca="false">IF(A4947="","",YEAR(A4947))</f>
        <v/>
      </c>
      <c r="K4947" s="0" t="str">
        <f aca="false">IF(A4947="","",MONTH(A4947))</f>
        <v/>
      </c>
      <c r="L4947" s="0" t="str">
        <f aca="false">IF(B4947="","",VALUE(LEFT(B4947,2)))</f>
        <v/>
      </c>
      <c r="M4947" s="0" t="str">
        <f aca="false">IF(A4947="","",IF(COUNTIFS($C$2:$C$5001,C4947,$J$2:$J$5001,J4947,$A$2:$A$5001,"&lt;"&amp;A4947)=0,1,0))</f>
        <v/>
      </c>
    </row>
    <row r="4948" customFormat="false" ht="15" hidden="false" customHeight="false" outlineLevel="0" collapsed="false">
      <c r="A4948" s="27"/>
      <c r="F4948" s="28"/>
      <c r="J4948" s="0" t="str">
        <f aca="false">IF(A4948="","",YEAR(A4948))</f>
        <v/>
      </c>
      <c r="K4948" s="0" t="str">
        <f aca="false">IF(A4948="","",MONTH(A4948))</f>
        <v/>
      </c>
      <c r="L4948" s="0" t="str">
        <f aca="false">IF(B4948="","",VALUE(LEFT(B4948,2)))</f>
        <v/>
      </c>
      <c r="M4948" s="0" t="str">
        <f aca="false">IF(A4948="","",IF(COUNTIFS($C$2:$C$5001,C4948,$J$2:$J$5001,J4948,$A$2:$A$5001,"&lt;"&amp;A4948)=0,1,0))</f>
        <v/>
      </c>
    </row>
    <row r="4949" customFormat="false" ht="15" hidden="false" customHeight="false" outlineLevel="0" collapsed="false">
      <c r="A4949" s="27"/>
      <c r="F4949" s="28"/>
      <c r="J4949" s="0" t="str">
        <f aca="false">IF(A4949="","",YEAR(A4949))</f>
        <v/>
      </c>
      <c r="K4949" s="0" t="str">
        <f aca="false">IF(A4949="","",MONTH(A4949))</f>
        <v/>
      </c>
      <c r="L4949" s="0" t="str">
        <f aca="false">IF(B4949="","",VALUE(LEFT(B4949,2)))</f>
        <v/>
      </c>
      <c r="M4949" s="0" t="str">
        <f aca="false">IF(A4949="","",IF(COUNTIFS($C$2:$C$5001,C4949,$J$2:$J$5001,J4949,$A$2:$A$5001,"&lt;"&amp;A4949)=0,1,0))</f>
        <v/>
      </c>
    </row>
    <row r="4950" customFormat="false" ht="15" hidden="false" customHeight="false" outlineLevel="0" collapsed="false">
      <c r="A4950" s="27"/>
      <c r="F4950" s="28"/>
      <c r="J4950" s="0" t="str">
        <f aca="false">IF(A4950="","",YEAR(A4950))</f>
        <v/>
      </c>
      <c r="K4950" s="0" t="str">
        <f aca="false">IF(A4950="","",MONTH(A4950))</f>
        <v/>
      </c>
      <c r="L4950" s="0" t="str">
        <f aca="false">IF(B4950="","",VALUE(LEFT(B4950,2)))</f>
        <v/>
      </c>
      <c r="M4950" s="0" t="str">
        <f aca="false">IF(A4950="","",IF(COUNTIFS($C$2:$C$5001,C4950,$J$2:$J$5001,J4950,$A$2:$A$5001,"&lt;"&amp;A4950)=0,1,0))</f>
        <v/>
      </c>
    </row>
    <row r="4951" customFormat="false" ht="15" hidden="false" customHeight="false" outlineLevel="0" collapsed="false">
      <c r="A4951" s="27"/>
      <c r="F4951" s="28"/>
      <c r="J4951" s="0" t="str">
        <f aca="false">IF(A4951="","",YEAR(A4951))</f>
        <v/>
      </c>
      <c r="K4951" s="0" t="str">
        <f aca="false">IF(A4951="","",MONTH(A4951))</f>
        <v/>
      </c>
      <c r="L4951" s="0" t="str">
        <f aca="false">IF(B4951="","",VALUE(LEFT(B4951,2)))</f>
        <v/>
      </c>
      <c r="M4951" s="0" t="str">
        <f aca="false">IF(A4951="","",IF(COUNTIFS($C$2:$C$5001,C4951,$J$2:$J$5001,J4951,$A$2:$A$5001,"&lt;"&amp;A4951)=0,1,0))</f>
        <v/>
      </c>
    </row>
    <row r="4952" customFormat="false" ht="15" hidden="false" customHeight="false" outlineLevel="0" collapsed="false">
      <c r="A4952" s="27"/>
      <c r="F4952" s="28"/>
      <c r="J4952" s="0" t="str">
        <f aca="false">IF(A4952="","",YEAR(A4952))</f>
        <v/>
      </c>
      <c r="K4952" s="0" t="str">
        <f aca="false">IF(A4952="","",MONTH(A4952))</f>
        <v/>
      </c>
      <c r="L4952" s="0" t="str">
        <f aca="false">IF(B4952="","",VALUE(LEFT(B4952,2)))</f>
        <v/>
      </c>
      <c r="M4952" s="0" t="str">
        <f aca="false">IF(A4952="","",IF(COUNTIFS($C$2:$C$5001,C4952,$J$2:$J$5001,J4952,$A$2:$A$5001,"&lt;"&amp;A4952)=0,1,0))</f>
        <v/>
      </c>
    </row>
    <row r="4953" customFormat="false" ht="15" hidden="false" customHeight="false" outlineLevel="0" collapsed="false">
      <c r="A4953" s="27"/>
      <c r="F4953" s="28"/>
      <c r="J4953" s="0" t="str">
        <f aca="false">IF(A4953="","",YEAR(A4953))</f>
        <v/>
      </c>
      <c r="K4953" s="0" t="str">
        <f aca="false">IF(A4953="","",MONTH(A4953))</f>
        <v/>
      </c>
      <c r="L4953" s="0" t="str">
        <f aca="false">IF(B4953="","",VALUE(LEFT(B4953,2)))</f>
        <v/>
      </c>
      <c r="M4953" s="0" t="str">
        <f aca="false">IF(A4953="","",IF(COUNTIFS($C$2:$C$5001,C4953,$J$2:$J$5001,J4953,$A$2:$A$5001,"&lt;"&amp;A4953)=0,1,0))</f>
        <v/>
      </c>
    </row>
    <row r="4954" customFormat="false" ht="15" hidden="false" customHeight="false" outlineLevel="0" collapsed="false">
      <c r="A4954" s="27"/>
      <c r="F4954" s="28"/>
      <c r="J4954" s="0" t="str">
        <f aca="false">IF(A4954="","",YEAR(A4954))</f>
        <v/>
      </c>
      <c r="K4954" s="0" t="str">
        <f aca="false">IF(A4954="","",MONTH(A4954))</f>
        <v/>
      </c>
      <c r="L4954" s="0" t="str">
        <f aca="false">IF(B4954="","",VALUE(LEFT(B4954,2)))</f>
        <v/>
      </c>
      <c r="M4954" s="0" t="str">
        <f aca="false">IF(A4954="","",IF(COUNTIFS($C$2:$C$5001,C4954,$J$2:$J$5001,J4954,$A$2:$A$5001,"&lt;"&amp;A4954)=0,1,0))</f>
        <v/>
      </c>
    </row>
    <row r="4955" customFormat="false" ht="15" hidden="false" customHeight="false" outlineLevel="0" collapsed="false">
      <c r="A4955" s="27"/>
      <c r="F4955" s="28"/>
      <c r="J4955" s="0" t="str">
        <f aca="false">IF(A4955="","",YEAR(A4955))</f>
        <v/>
      </c>
      <c r="K4955" s="0" t="str">
        <f aca="false">IF(A4955="","",MONTH(A4955))</f>
        <v/>
      </c>
      <c r="L4955" s="0" t="str">
        <f aca="false">IF(B4955="","",VALUE(LEFT(B4955,2)))</f>
        <v/>
      </c>
      <c r="M4955" s="0" t="str">
        <f aca="false">IF(A4955="","",IF(COUNTIFS($C$2:$C$5001,C4955,$J$2:$J$5001,J4955,$A$2:$A$5001,"&lt;"&amp;A4955)=0,1,0))</f>
        <v/>
      </c>
    </row>
    <row r="4956" customFormat="false" ht="15" hidden="false" customHeight="false" outlineLevel="0" collapsed="false">
      <c r="A4956" s="27"/>
      <c r="F4956" s="28"/>
      <c r="J4956" s="0" t="str">
        <f aca="false">IF(A4956="","",YEAR(A4956))</f>
        <v/>
      </c>
      <c r="K4956" s="0" t="str">
        <f aca="false">IF(A4956="","",MONTH(A4956))</f>
        <v/>
      </c>
      <c r="L4956" s="0" t="str">
        <f aca="false">IF(B4956="","",VALUE(LEFT(B4956,2)))</f>
        <v/>
      </c>
      <c r="M4956" s="0" t="str">
        <f aca="false">IF(A4956="","",IF(COUNTIFS($C$2:$C$5001,C4956,$J$2:$J$5001,J4956,$A$2:$A$5001,"&lt;"&amp;A4956)=0,1,0))</f>
        <v/>
      </c>
    </row>
    <row r="4957" customFormat="false" ht="15" hidden="false" customHeight="false" outlineLevel="0" collapsed="false">
      <c r="A4957" s="27"/>
      <c r="F4957" s="28"/>
      <c r="J4957" s="0" t="str">
        <f aca="false">IF(A4957="","",YEAR(A4957))</f>
        <v/>
      </c>
      <c r="K4957" s="0" t="str">
        <f aca="false">IF(A4957="","",MONTH(A4957))</f>
        <v/>
      </c>
      <c r="L4957" s="0" t="str">
        <f aca="false">IF(B4957="","",VALUE(LEFT(B4957,2)))</f>
        <v/>
      </c>
      <c r="M4957" s="0" t="str">
        <f aca="false">IF(A4957="","",IF(COUNTIFS($C$2:$C$5001,C4957,$J$2:$J$5001,J4957,$A$2:$A$5001,"&lt;"&amp;A4957)=0,1,0))</f>
        <v/>
      </c>
    </row>
    <row r="4958" customFormat="false" ht="15" hidden="false" customHeight="false" outlineLevel="0" collapsed="false">
      <c r="A4958" s="27"/>
      <c r="F4958" s="28"/>
      <c r="J4958" s="0" t="str">
        <f aca="false">IF(A4958="","",YEAR(A4958))</f>
        <v/>
      </c>
      <c r="K4958" s="0" t="str">
        <f aca="false">IF(A4958="","",MONTH(A4958))</f>
        <v/>
      </c>
      <c r="L4958" s="0" t="str">
        <f aca="false">IF(B4958="","",VALUE(LEFT(B4958,2)))</f>
        <v/>
      </c>
      <c r="M4958" s="0" t="str">
        <f aca="false">IF(A4958="","",IF(COUNTIFS($C$2:$C$5001,C4958,$J$2:$J$5001,J4958,$A$2:$A$5001,"&lt;"&amp;A4958)=0,1,0))</f>
        <v/>
      </c>
    </row>
    <row r="4959" customFormat="false" ht="15" hidden="false" customHeight="false" outlineLevel="0" collapsed="false">
      <c r="A4959" s="27"/>
      <c r="F4959" s="28"/>
      <c r="J4959" s="0" t="str">
        <f aca="false">IF(A4959="","",YEAR(A4959))</f>
        <v/>
      </c>
      <c r="K4959" s="0" t="str">
        <f aca="false">IF(A4959="","",MONTH(A4959))</f>
        <v/>
      </c>
      <c r="L4959" s="0" t="str">
        <f aca="false">IF(B4959="","",VALUE(LEFT(B4959,2)))</f>
        <v/>
      </c>
      <c r="M4959" s="0" t="str">
        <f aca="false">IF(A4959="","",IF(COUNTIFS($C$2:$C$5001,C4959,$J$2:$J$5001,J4959,$A$2:$A$5001,"&lt;"&amp;A4959)=0,1,0))</f>
        <v/>
      </c>
    </row>
    <row r="4960" customFormat="false" ht="15" hidden="false" customHeight="false" outlineLevel="0" collapsed="false">
      <c r="A4960" s="27"/>
      <c r="F4960" s="28"/>
      <c r="J4960" s="0" t="str">
        <f aca="false">IF(A4960="","",YEAR(A4960))</f>
        <v/>
      </c>
      <c r="K4960" s="0" t="str">
        <f aca="false">IF(A4960="","",MONTH(A4960))</f>
        <v/>
      </c>
      <c r="L4960" s="0" t="str">
        <f aca="false">IF(B4960="","",VALUE(LEFT(B4960,2)))</f>
        <v/>
      </c>
      <c r="M4960" s="0" t="str">
        <f aca="false">IF(A4960="","",IF(COUNTIFS($C$2:$C$5001,C4960,$J$2:$J$5001,J4960,$A$2:$A$5001,"&lt;"&amp;A4960)=0,1,0))</f>
        <v/>
      </c>
    </row>
    <row r="4961" customFormat="false" ht="15" hidden="false" customHeight="false" outlineLevel="0" collapsed="false">
      <c r="A4961" s="27"/>
      <c r="F4961" s="28"/>
      <c r="J4961" s="0" t="str">
        <f aca="false">IF(A4961="","",YEAR(A4961))</f>
        <v/>
      </c>
      <c r="K4961" s="0" t="str">
        <f aca="false">IF(A4961="","",MONTH(A4961))</f>
        <v/>
      </c>
      <c r="L4961" s="0" t="str">
        <f aca="false">IF(B4961="","",VALUE(LEFT(B4961,2)))</f>
        <v/>
      </c>
      <c r="M4961" s="0" t="str">
        <f aca="false">IF(A4961="","",IF(COUNTIFS($C$2:$C$5001,C4961,$J$2:$J$5001,J4961,$A$2:$A$5001,"&lt;"&amp;A4961)=0,1,0))</f>
        <v/>
      </c>
    </row>
    <row r="4962" customFormat="false" ht="15" hidden="false" customHeight="false" outlineLevel="0" collapsed="false">
      <c r="A4962" s="27"/>
      <c r="F4962" s="28"/>
      <c r="J4962" s="0" t="str">
        <f aca="false">IF(A4962="","",YEAR(A4962))</f>
        <v/>
      </c>
      <c r="K4962" s="0" t="str">
        <f aca="false">IF(A4962="","",MONTH(A4962))</f>
        <v/>
      </c>
      <c r="L4962" s="0" t="str">
        <f aca="false">IF(B4962="","",VALUE(LEFT(B4962,2)))</f>
        <v/>
      </c>
      <c r="M4962" s="0" t="str">
        <f aca="false">IF(A4962="","",IF(COUNTIFS($C$2:$C$5001,C4962,$J$2:$J$5001,J4962,$A$2:$A$5001,"&lt;"&amp;A4962)=0,1,0))</f>
        <v/>
      </c>
    </row>
    <row r="4963" customFormat="false" ht="15" hidden="false" customHeight="false" outlineLevel="0" collapsed="false">
      <c r="A4963" s="27"/>
      <c r="F4963" s="28"/>
      <c r="J4963" s="0" t="str">
        <f aca="false">IF(A4963="","",YEAR(A4963))</f>
        <v/>
      </c>
      <c r="K4963" s="0" t="str">
        <f aca="false">IF(A4963="","",MONTH(A4963))</f>
        <v/>
      </c>
      <c r="L4963" s="0" t="str">
        <f aca="false">IF(B4963="","",VALUE(LEFT(B4963,2)))</f>
        <v/>
      </c>
      <c r="M4963" s="0" t="str">
        <f aca="false">IF(A4963="","",IF(COUNTIFS($C$2:$C$5001,C4963,$J$2:$J$5001,J4963,$A$2:$A$5001,"&lt;"&amp;A4963)=0,1,0))</f>
        <v/>
      </c>
    </row>
    <row r="4964" customFormat="false" ht="15" hidden="false" customHeight="false" outlineLevel="0" collapsed="false">
      <c r="A4964" s="27"/>
      <c r="F4964" s="28"/>
      <c r="J4964" s="0" t="str">
        <f aca="false">IF(A4964="","",YEAR(A4964))</f>
        <v/>
      </c>
      <c r="K4964" s="0" t="str">
        <f aca="false">IF(A4964="","",MONTH(A4964))</f>
        <v/>
      </c>
      <c r="L4964" s="0" t="str">
        <f aca="false">IF(B4964="","",VALUE(LEFT(B4964,2)))</f>
        <v/>
      </c>
      <c r="M4964" s="0" t="str">
        <f aca="false">IF(A4964="","",IF(COUNTIFS($C$2:$C$5001,C4964,$J$2:$J$5001,J4964,$A$2:$A$5001,"&lt;"&amp;A4964)=0,1,0))</f>
        <v/>
      </c>
    </row>
    <row r="4965" customFormat="false" ht="15" hidden="false" customHeight="false" outlineLevel="0" collapsed="false">
      <c r="A4965" s="27"/>
      <c r="F4965" s="28"/>
      <c r="J4965" s="0" t="str">
        <f aca="false">IF(A4965="","",YEAR(A4965))</f>
        <v/>
      </c>
      <c r="K4965" s="0" t="str">
        <f aca="false">IF(A4965="","",MONTH(A4965))</f>
        <v/>
      </c>
      <c r="L4965" s="0" t="str">
        <f aca="false">IF(B4965="","",VALUE(LEFT(B4965,2)))</f>
        <v/>
      </c>
      <c r="M4965" s="0" t="str">
        <f aca="false">IF(A4965="","",IF(COUNTIFS($C$2:$C$5001,C4965,$J$2:$J$5001,J4965,$A$2:$A$5001,"&lt;"&amp;A4965)=0,1,0))</f>
        <v/>
      </c>
    </row>
    <row r="4966" customFormat="false" ht="15" hidden="false" customHeight="false" outlineLevel="0" collapsed="false">
      <c r="A4966" s="27"/>
      <c r="F4966" s="28"/>
      <c r="J4966" s="0" t="str">
        <f aca="false">IF(A4966="","",YEAR(A4966))</f>
        <v/>
      </c>
      <c r="K4966" s="0" t="str">
        <f aca="false">IF(A4966="","",MONTH(A4966))</f>
        <v/>
      </c>
      <c r="L4966" s="0" t="str">
        <f aca="false">IF(B4966="","",VALUE(LEFT(B4966,2)))</f>
        <v/>
      </c>
      <c r="M4966" s="0" t="str">
        <f aca="false">IF(A4966="","",IF(COUNTIFS($C$2:$C$5001,C4966,$J$2:$J$5001,J4966,$A$2:$A$5001,"&lt;"&amp;A4966)=0,1,0))</f>
        <v/>
      </c>
    </row>
    <row r="4967" customFormat="false" ht="15" hidden="false" customHeight="false" outlineLevel="0" collapsed="false">
      <c r="A4967" s="27"/>
      <c r="F4967" s="28"/>
      <c r="J4967" s="0" t="str">
        <f aca="false">IF(A4967="","",YEAR(A4967))</f>
        <v/>
      </c>
      <c r="K4967" s="0" t="str">
        <f aca="false">IF(A4967="","",MONTH(A4967))</f>
        <v/>
      </c>
      <c r="L4967" s="0" t="str">
        <f aca="false">IF(B4967="","",VALUE(LEFT(B4967,2)))</f>
        <v/>
      </c>
      <c r="M4967" s="0" t="str">
        <f aca="false">IF(A4967="","",IF(COUNTIFS($C$2:$C$5001,C4967,$J$2:$J$5001,J4967,$A$2:$A$5001,"&lt;"&amp;A4967)=0,1,0))</f>
        <v/>
      </c>
    </row>
    <row r="4968" customFormat="false" ht="15" hidden="false" customHeight="false" outlineLevel="0" collapsed="false">
      <c r="A4968" s="27"/>
      <c r="F4968" s="28"/>
      <c r="J4968" s="0" t="str">
        <f aca="false">IF(A4968="","",YEAR(A4968))</f>
        <v/>
      </c>
      <c r="K4968" s="0" t="str">
        <f aca="false">IF(A4968="","",MONTH(A4968))</f>
        <v/>
      </c>
      <c r="L4968" s="0" t="str">
        <f aca="false">IF(B4968="","",VALUE(LEFT(B4968,2)))</f>
        <v/>
      </c>
      <c r="M4968" s="0" t="str">
        <f aca="false">IF(A4968="","",IF(COUNTIFS($C$2:$C$5001,C4968,$J$2:$J$5001,J4968,$A$2:$A$5001,"&lt;"&amp;A4968)=0,1,0))</f>
        <v/>
      </c>
    </row>
    <row r="4969" customFormat="false" ht="15" hidden="false" customHeight="false" outlineLevel="0" collapsed="false">
      <c r="A4969" s="27"/>
      <c r="F4969" s="28"/>
      <c r="J4969" s="0" t="str">
        <f aca="false">IF(A4969="","",YEAR(A4969))</f>
        <v/>
      </c>
      <c r="K4969" s="0" t="str">
        <f aca="false">IF(A4969="","",MONTH(A4969))</f>
        <v/>
      </c>
      <c r="L4969" s="0" t="str">
        <f aca="false">IF(B4969="","",VALUE(LEFT(B4969,2)))</f>
        <v/>
      </c>
      <c r="M4969" s="0" t="str">
        <f aca="false">IF(A4969="","",IF(COUNTIFS($C$2:$C$5001,C4969,$J$2:$J$5001,J4969,$A$2:$A$5001,"&lt;"&amp;A4969)=0,1,0))</f>
        <v/>
      </c>
    </row>
    <row r="4970" customFormat="false" ht="15" hidden="false" customHeight="false" outlineLevel="0" collapsed="false">
      <c r="A4970" s="27"/>
      <c r="F4970" s="28"/>
      <c r="J4970" s="0" t="str">
        <f aca="false">IF(A4970="","",YEAR(A4970))</f>
        <v/>
      </c>
      <c r="K4970" s="0" t="str">
        <f aca="false">IF(A4970="","",MONTH(A4970))</f>
        <v/>
      </c>
      <c r="L4970" s="0" t="str">
        <f aca="false">IF(B4970="","",VALUE(LEFT(B4970,2)))</f>
        <v/>
      </c>
      <c r="M4970" s="0" t="str">
        <f aca="false">IF(A4970="","",IF(COUNTIFS($C$2:$C$5001,C4970,$J$2:$J$5001,J4970,$A$2:$A$5001,"&lt;"&amp;A4970)=0,1,0))</f>
        <v/>
      </c>
    </row>
    <row r="4971" customFormat="false" ht="15" hidden="false" customHeight="false" outlineLevel="0" collapsed="false">
      <c r="A4971" s="27"/>
      <c r="F4971" s="28"/>
      <c r="J4971" s="0" t="str">
        <f aca="false">IF(A4971="","",YEAR(A4971))</f>
        <v/>
      </c>
      <c r="K4971" s="0" t="str">
        <f aca="false">IF(A4971="","",MONTH(A4971))</f>
        <v/>
      </c>
      <c r="L4971" s="0" t="str">
        <f aca="false">IF(B4971="","",VALUE(LEFT(B4971,2)))</f>
        <v/>
      </c>
      <c r="M4971" s="0" t="str">
        <f aca="false">IF(A4971="","",IF(COUNTIFS($C$2:$C$5001,C4971,$J$2:$J$5001,J4971,$A$2:$A$5001,"&lt;"&amp;A4971)=0,1,0))</f>
        <v/>
      </c>
    </row>
    <row r="4972" customFormat="false" ht="15" hidden="false" customHeight="false" outlineLevel="0" collapsed="false">
      <c r="A4972" s="27"/>
      <c r="F4972" s="28"/>
      <c r="J4972" s="0" t="str">
        <f aca="false">IF(A4972="","",YEAR(A4972))</f>
        <v/>
      </c>
      <c r="K4972" s="0" t="str">
        <f aca="false">IF(A4972="","",MONTH(A4972))</f>
        <v/>
      </c>
      <c r="L4972" s="0" t="str">
        <f aca="false">IF(B4972="","",VALUE(LEFT(B4972,2)))</f>
        <v/>
      </c>
      <c r="M4972" s="0" t="str">
        <f aca="false">IF(A4972="","",IF(COUNTIFS($C$2:$C$5001,C4972,$J$2:$J$5001,J4972,$A$2:$A$5001,"&lt;"&amp;A4972)=0,1,0))</f>
        <v/>
      </c>
    </row>
    <row r="4973" customFormat="false" ht="15" hidden="false" customHeight="false" outlineLevel="0" collapsed="false">
      <c r="A4973" s="27"/>
      <c r="F4973" s="28"/>
      <c r="J4973" s="0" t="str">
        <f aca="false">IF(A4973="","",YEAR(A4973))</f>
        <v/>
      </c>
      <c r="K4973" s="0" t="str">
        <f aca="false">IF(A4973="","",MONTH(A4973))</f>
        <v/>
      </c>
      <c r="L4973" s="0" t="str">
        <f aca="false">IF(B4973="","",VALUE(LEFT(B4973,2)))</f>
        <v/>
      </c>
      <c r="M4973" s="0" t="str">
        <f aca="false">IF(A4973="","",IF(COUNTIFS($C$2:$C$5001,C4973,$J$2:$J$5001,J4973,$A$2:$A$5001,"&lt;"&amp;A4973)=0,1,0))</f>
        <v/>
      </c>
    </row>
    <row r="4974" customFormat="false" ht="15" hidden="false" customHeight="false" outlineLevel="0" collapsed="false">
      <c r="A4974" s="27"/>
      <c r="F4974" s="28"/>
      <c r="J4974" s="0" t="str">
        <f aca="false">IF(A4974="","",YEAR(A4974))</f>
        <v/>
      </c>
      <c r="K4974" s="0" t="str">
        <f aca="false">IF(A4974="","",MONTH(A4974))</f>
        <v/>
      </c>
      <c r="L4974" s="0" t="str">
        <f aca="false">IF(B4974="","",VALUE(LEFT(B4974,2)))</f>
        <v/>
      </c>
      <c r="M4974" s="0" t="str">
        <f aca="false">IF(A4974="","",IF(COUNTIFS($C$2:$C$5001,C4974,$J$2:$J$5001,J4974,$A$2:$A$5001,"&lt;"&amp;A4974)=0,1,0))</f>
        <v/>
      </c>
    </row>
    <row r="4975" customFormat="false" ht="15" hidden="false" customHeight="false" outlineLevel="0" collapsed="false">
      <c r="A4975" s="27"/>
      <c r="F4975" s="28"/>
      <c r="J4975" s="0" t="str">
        <f aca="false">IF(A4975="","",YEAR(A4975))</f>
        <v/>
      </c>
      <c r="K4975" s="0" t="str">
        <f aca="false">IF(A4975="","",MONTH(A4975))</f>
        <v/>
      </c>
      <c r="L4975" s="0" t="str">
        <f aca="false">IF(B4975="","",VALUE(LEFT(B4975,2)))</f>
        <v/>
      </c>
      <c r="M4975" s="0" t="str">
        <f aca="false">IF(A4975="","",IF(COUNTIFS($C$2:$C$5001,C4975,$J$2:$J$5001,J4975,$A$2:$A$5001,"&lt;"&amp;A4975)=0,1,0))</f>
        <v/>
      </c>
    </row>
    <row r="4976" customFormat="false" ht="15" hidden="false" customHeight="false" outlineLevel="0" collapsed="false">
      <c r="A4976" s="27"/>
      <c r="F4976" s="28"/>
      <c r="J4976" s="0" t="str">
        <f aca="false">IF(A4976="","",YEAR(A4976))</f>
        <v/>
      </c>
      <c r="K4976" s="0" t="str">
        <f aca="false">IF(A4976="","",MONTH(A4976))</f>
        <v/>
      </c>
      <c r="L4976" s="0" t="str">
        <f aca="false">IF(B4976="","",VALUE(LEFT(B4976,2)))</f>
        <v/>
      </c>
      <c r="M4976" s="0" t="str">
        <f aca="false">IF(A4976="","",IF(COUNTIFS($C$2:$C$5001,C4976,$J$2:$J$5001,J4976,$A$2:$A$5001,"&lt;"&amp;A4976)=0,1,0))</f>
        <v/>
      </c>
    </row>
    <row r="4977" customFormat="false" ht="15" hidden="false" customHeight="false" outlineLevel="0" collapsed="false">
      <c r="A4977" s="27"/>
      <c r="F4977" s="28"/>
      <c r="J4977" s="0" t="str">
        <f aca="false">IF(A4977="","",YEAR(A4977))</f>
        <v/>
      </c>
      <c r="K4977" s="0" t="str">
        <f aca="false">IF(A4977="","",MONTH(A4977))</f>
        <v/>
      </c>
      <c r="L4977" s="0" t="str">
        <f aca="false">IF(B4977="","",VALUE(LEFT(B4977,2)))</f>
        <v/>
      </c>
      <c r="M4977" s="0" t="str">
        <f aca="false">IF(A4977="","",IF(COUNTIFS($C$2:$C$5001,C4977,$J$2:$J$5001,J4977,$A$2:$A$5001,"&lt;"&amp;A4977)=0,1,0))</f>
        <v/>
      </c>
    </row>
    <row r="4978" customFormat="false" ht="15" hidden="false" customHeight="false" outlineLevel="0" collapsed="false">
      <c r="A4978" s="27"/>
      <c r="F4978" s="28"/>
      <c r="J4978" s="0" t="str">
        <f aca="false">IF(A4978="","",YEAR(A4978))</f>
        <v/>
      </c>
      <c r="K4978" s="0" t="str">
        <f aca="false">IF(A4978="","",MONTH(A4978))</f>
        <v/>
      </c>
      <c r="L4978" s="0" t="str">
        <f aca="false">IF(B4978="","",VALUE(LEFT(B4978,2)))</f>
        <v/>
      </c>
      <c r="M4978" s="0" t="str">
        <f aca="false">IF(A4978="","",IF(COUNTIFS($C$2:$C$5001,C4978,$J$2:$J$5001,J4978,$A$2:$A$5001,"&lt;"&amp;A4978)=0,1,0))</f>
        <v/>
      </c>
    </row>
    <row r="4979" customFormat="false" ht="15" hidden="false" customHeight="false" outlineLevel="0" collapsed="false">
      <c r="A4979" s="27"/>
      <c r="F4979" s="28"/>
      <c r="J4979" s="0" t="str">
        <f aca="false">IF(A4979="","",YEAR(A4979))</f>
        <v/>
      </c>
      <c r="K4979" s="0" t="str">
        <f aca="false">IF(A4979="","",MONTH(A4979))</f>
        <v/>
      </c>
      <c r="L4979" s="0" t="str">
        <f aca="false">IF(B4979="","",VALUE(LEFT(B4979,2)))</f>
        <v/>
      </c>
      <c r="M4979" s="0" t="str">
        <f aca="false">IF(A4979="","",IF(COUNTIFS($C$2:$C$5001,C4979,$J$2:$J$5001,J4979,$A$2:$A$5001,"&lt;"&amp;A4979)=0,1,0))</f>
        <v/>
      </c>
    </row>
    <row r="4980" customFormat="false" ht="15" hidden="false" customHeight="false" outlineLevel="0" collapsed="false">
      <c r="A4980" s="27"/>
      <c r="F4980" s="28"/>
      <c r="J4980" s="0" t="str">
        <f aca="false">IF(A4980="","",YEAR(A4980))</f>
        <v/>
      </c>
      <c r="K4980" s="0" t="str">
        <f aca="false">IF(A4980="","",MONTH(A4980))</f>
        <v/>
      </c>
      <c r="L4980" s="0" t="str">
        <f aca="false">IF(B4980="","",VALUE(LEFT(B4980,2)))</f>
        <v/>
      </c>
      <c r="M4980" s="0" t="str">
        <f aca="false">IF(A4980="","",IF(COUNTIFS($C$2:$C$5001,C4980,$J$2:$J$5001,J4980,$A$2:$A$5001,"&lt;"&amp;A4980)=0,1,0))</f>
        <v/>
      </c>
    </row>
    <row r="4981" customFormat="false" ht="15" hidden="false" customHeight="false" outlineLevel="0" collapsed="false">
      <c r="A4981" s="27"/>
      <c r="F4981" s="28"/>
      <c r="J4981" s="0" t="str">
        <f aca="false">IF(A4981="","",YEAR(A4981))</f>
        <v/>
      </c>
      <c r="K4981" s="0" t="str">
        <f aca="false">IF(A4981="","",MONTH(A4981))</f>
        <v/>
      </c>
      <c r="L4981" s="0" t="str">
        <f aca="false">IF(B4981="","",VALUE(LEFT(B4981,2)))</f>
        <v/>
      </c>
      <c r="M4981" s="0" t="str">
        <f aca="false">IF(A4981="","",IF(COUNTIFS($C$2:$C$5001,C4981,$J$2:$J$5001,J4981,$A$2:$A$5001,"&lt;"&amp;A4981)=0,1,0))</f>
        <v/>
      </c>
    </row>
    <row r="4982" customFormat="false" ht="15" hidden="false" customHeight="false" outlineLevel="0" collapsed="false">
      <c r="A4982" s="27"/>
      <c r="F4982" s="28"/>
      <c r="J4982" s="0" t="str">
        <f aca="false">IF(A4982="","",YEAR(A4982))</f>
        <v/>
      </c>
      <c r="K4982" s="0" t="str">
        <f aca="false">IF(A4982="","",MONTH(A4982))</f>
        <v/>
      </c>
      <c r="L4982" s="0" t="str">
        <f aca="false">IF(B4982="","",VALUE(LEFT(B4982,2)))</f>
        <v/>
      </c>
      <c r="M4982" s="0" t="str">
        <f aca="false">IF(A4982="","",IF(COUNTIFS($C$2:$C$5001,C4982,$J$2:$J$5001,J4982,$A$2:$A$5001,"&lt;"&amp;A4982)=0,1,0))</f>
        <v/>
      </c>
    </row>
    <row r="4983" customFormat="false" ht="15" hidden="false" customHeight="false" outlineLevel="0" collapsed="false">
      <c r="A4983" s="27"/>
      <c r="F4983" s="28"/>
      <c r="J4983" s="0" t="str">
        <f aca="false">IF(A4983="","",YEAR(A4983))</f>
        <v/>
      </c>
      <c r="K4983" s="0" t="str">
        <f aca="false">IF(A4983="","",MONTH(A4983))</f>
        <v/>
      </c>
      <c r="L4983" s="0" t="str">
        <f aca="false">IF(B4983="","",VALUE(LEFT(B4983,2)))</f>
        <v/>
      </c>
      <c r="M4983" s="0" t="str">
        <f aca="false">IF(A4983="","",IF(COUNTIFS($C$2:$C$5001,C4983,$J$2:$J$5001,J4983,$A$2:$A$5001,"&lt;"&amp;A4983)=0,1,0))</f>
        <v/>
      </c>
    </row>
    <row r="4984" customFormat="false" ht="15" hidden="false" customHeight="false" outlineLevel="0" collapsed="false">
      <c r="A4984" s="27"/>
      <c r="F4984" s="28"/>
      <c r="J4984" s="0" t="str">
        <f aca="false">IF(A4984="","",YEAR(A4984))</f>
        <v/>
      </c>
      <c r="K4984" s="0" t="str">
        <f aca="false">IF(A4984="","",MONTH(A4984))</f>
        <v/>
      </c>
      <c r="L4984" s="0" t="str">
        <f aca="false">IF(B4984="","",VALUE(LEFT(B4984,2)))</f>
        <v/>
      </c>
      <c r="M4984" s="0" t="str">
        <f aca="false">IF(A4984="","",IF(COUNTIFS($C$2:$C$5001,C4984,$J$2:$J$5001,J4984,$A$2:$A$5001,"&lt;"&amp;A4984)=0,1,0))</f>
        <v/>
      </c>
    </row>
    <row r="4985" customFormat="false" ht="15" hidden="false" customHeight="false" outlineLevel="0" collapsed="false">
      <c r="A4985" s="27"/>
      <c r="F4985" s="28"/>
      <c r="J4985" s="0" t="str">
        <f aca="false">IF(A4985="","",YEAR(A4985))</f>
        <v/>
      </c>
      <c r="K4985" s="0" t="str">
        <f aca="false">IF(A4985="","",MONTH(A4985))</f>
        <v/>
      </c>
      <c r="L4985" s="0" t="str">
        <f aca="false">IF(B4985="","",VALUE(LEFT(B4985,2)))</f>
        <v/>
      </c>
      <c r="M4985" s="0" t="str">
        <f aca="false">IF(A4985="","",IF(COUNTIFS($C$2:$C$5001,C4985,$J$2:$J$5001,J4985,$A$2:$A$5001,"&lt;"&amp;A4985)=0,1,0))</f>
        <v/>
      </c>
    </row>
    <row r="4986" customFormat="false" ht="15" hidden="false" customHeight="false" outlineLevel="0" collapsed="false">
      <c r="A4986" s="27"/>
      <c r="F4986" s="28"/>
      <c r="J4986" s="0" t="str">
        <f aca="false">IF(A4986="","",YEAR(A4986))</f>
        <v/>
      </c>
      <c r="K4986" s="0" t="str">
        <f aca="false">IF(A4986="","",MONTH(A4986))</f>
        <v/>
      </c>
      <c r="L4986" s="0" t="str">
        <f aca="false">IF(B4986="","",VALUE(LEFT(B4986,2)))</f>
        <v/>
      </c>
      <c r="M4986" s="0" t="str">
        <f aca="false">IF(A4986="","",IF(COUNTIFS($C$2:$C$5001,C4986,$J$2:$J$5001,J4986,$A$2:$A$5001,"&lt;"&amp;A4986)=0,1,0))</f>
        <v/>
      </c>
    </row>
    <row r="4987" customFormat="false" ht="15" hidden="false" customHeight="false" outlineLevel="0" collapsed="false">
      <c r="A4987" s="27"/>
      <c r="F4987" s="28"/>
      <c r="J4987" s="0" t="str">
        <f aca="false">IF(A4987="","",YEAR(A4987))</f>
        <v/>
      </c>
      <c r="K4987" s="0" t="str">
        <f aca="false">IF(A4987="","",MONTH(A4987))</f>
        <v/>
      </c>
      <c r="L4987" s="0" t="str">
        <f aca="false">IF(B4987="","",VALUE(LEFT(B4987,2)))</f>
        <v/>
      </c>
      <c r="M4987" s="0" t="str">
        <f aca="false">IF(A4987="","",IF(COUNTIFS($C$2:$C$5001,C4987,$J$2:$J$5001,J4987,$A$2:$A$5001,"&lt;"&amp;A4987)=0,1,0))</f>
        <v/>
      </c>
    </row>
    <row r="4988" customFormat="false" ht="15" hidden="false" customHeight="false" outlineLevel="0" collapsed="false">
      <c r="A4988" s="27"/>
      <c r="F4988" s="28"/>
      <c r="J4988" s="0" t="str">
        <f aca="false">IF(A4988="","",YEAR(A4988))</f>
        <v/>
      </c>
      <c r="K4988" s="0" t="str">
        <f aca="false">IF(A4988="","",MONTH(A4988))</f>
        <v/>
      </c>
      <c r="L4988" s="0" t="str">
        <f aca="false">IF(B4988="","",VALUE(LEFT(B4988,2)))</f>
        <v/>
      </c>
      <c r="M4988" s="0" t="str">
        <f aca="false">IF(A4988="","",IF(COUNTIFS($C$2:$C$5001,C4988,$J$2:$J$5001,J4988,$A$2:$A$5001,"&lt;"&amp;A4988)=0,1,0))</f>
        <v/>
      </c>
    </row>
    <row r="4989" customFormat="false" ht="15" hidden="false" customHeight="false" outlineLevel="0" collapsed="false">
      <c r="A4989" s="27"/>
      <c r="F4989" s="28"/>
      <c r="J4989" s="0" t="str">
        <f aca="false">IF(A4989="","",YEAR(A4989))</f>
        <v/>
      </c>
      <c r="K4989" s="0" t="str">
        <f aca="false">IF(A4989="","",MONTH(A4989))</f>
        <v/>
      </c>
      <c r="L4989" s="0" t="str">
        <f aca="false">IF(B4989="","",VALUE(LEFT(B4989,2)))</f>
        <v/>
      </c>
      <c r="M4989" s="0" t="str">
        <f aca="false">IF(A4989="","",IF(COUNTIFS($C$2:$C$5001,C4989,$J$2:$J$5001,J4989,$A$2:$A$5001,"&lt;"&amp;A4989)=0,1,0))</f>
        <v/>
      </c>
    </row>
    <row r="4990" customFormat="false" ht="15" hidden="false" customHeight="false" outlineLevel="0" collapsed="false">
      <c r="A4990" s="27"/>
      <c r="F4990" s="28"/>
      <c r="J4990" s="0" t="str">
        <f aca="false">IF(A4990="","",YEAR(A4990))</f>
        <v/>
      </c>
      <c r="K4990" s="0" t="str">
        <f aca="false">IF(A4990="","",MONTH(A4990))</f>
        <v/>
      </c>
      <c r="L4990" s="0" t="str">
        <f aca="false">IF(B4990="","",VALUE(LEFT(B4990,2)))</f>
        <v/>
      </c>
      <c r="M4990" s="0" t="str">
        <f aca="false">IF(A4990="","",IF(COUNTIFS($C$2:$C$5001,C4990,$J$2:$J$5001,J4990,$A$2:$A$5001,"&lt;"&amp;A4990)=0,1,0))</f>
        <v/>
      </c>
    </row>
    <row r="4991" customFormat="false" ht="15" hidden="false" customHeight="false" outlineLevel="0" collapsed="false">
      <c r="A4991" s="27"/>
      <c r="F4991" s="28"/>
      <c r="J4991" s="0" t="str">
        <f aca="false">IF(A4991="","",YEAR(A4991))</f>
        <v/>
      </c>
      <c r="K4991" s="0" t="str">
        <f aca="false">IF(A4991="","",MONTH(A4991))</f>
        <v/>
      </c>
      <c r="L4991" s="0" t="str">
        <f aca="false">IF(B4991="","",VALUE(LEFT(B4991,2)))</f>
        <v/>
      </c>
      <c r="M4991" s="0" t="str">
        <f aca="false">IF(A4991="","",IF(COUNTIFS($C$2:$C$5001,C4991,$J$2:$J$5001,J4991,$A$2:$A$5001,"&lt;"&amp;A4991)=0,1,0))</f>
        <v/>
      </c>
    </row>
    <row r="4992" customFormat="false" ht="15" hidden="false" customHeight="false" outlineLevel="0" collapsed="false">
      <c r="A4992" s="27"/>
      <c r="F4992" s="28"/>
      <c r="J4992" s="0" t="str">
        <f aca="false">IF(A4992="","",YEAR(A4992))</f>
        <v/>
      </c>
      <c r="K4992" s="0" t="str">
        <f aca="false">IF(A4992="","",MONTH(A4992))</f>
        <v/>
      </c>
      <c r="L4992" s="0" t="str">
        <f aca="false">IF(B4992="","",VALUE(LEFT(B4992,2)))</f>
        <v/>
      </c>
      <c r="M4992" s="0" t="str">
        <f aca="false">IF(A4992="","",IF(COUNTIFS($C$2:$C$5001,C4992,$J$2:$J$5001,J4992,$A$2:$A$5001,"&lt;"&amp;A4992)=0,1,0))</f>
        <v/>
      </c>
    </row>
    <row r="4993" customFormat="false" ht="15" hidden="false" customHeight="false" outlineLevel="0" collapsed="false">
      <c r="A4993" s="27"/>
      <c r="F4993" s="28"/>
      <c r="J4993" s="0" t="str">
        <f aca="false">IF(A4993="","",YEAR(A4993))</f>
        <v/>
      </c>
      <c r="K4993" s="0" t="str">
        <f aca="false">IF(A4993="","",MONTH(A4993))</f>
        <v/>
      </c>
      <c r="L4993" s="0" t="str">
        <f aca="false">IF(B4993="","",VALUE(LEFT(B4993,2)))</f>
        <v/>
      </c>
      <c r="M4993" s="0" t="str">
        <f aca="false">IF(A4993="","",IF(COUNTIFS($C$2:$C$5001,C4993,$J$2:$J$5001,J4993,$A$2:$A$5001,"&lt;"&amp;A4993)=0,1,0))</f>
        <v/>
      </c>
    </row>
    <row r="4994" customFormat="false" ht="15" hidden="false" customHeight="false" outlineLevel="0" collapsed="false">
      <c r="A4994" s="27"/>
      <c r="F4994" s="28"/>
      <c r="J4994" s="0" t="str">
        <f aca="false">IF(A4994="","",YEAR(A4994))</f>
        <v/>
      </c>
      <c r="K4994" s="0" t="str">
        <f aca="false">IF(A4994="","",MONTH(A4994))</f>
        <v/>
      </c>
      <c r="L4994" s="0" t="str">
        <f aca="false">IF(B4994="","",VALUE(LEFT(B4994,2)))</f>
        <v/>
      </c>
      <c r="M4994" s="0" t="str">
        <f aca="false">IF(A4994="","",IF(COUNTIFS($C$2:$C$5001,C4994,$J$2:$J$5001,J4994,$A$2:$A$5001,"&lt;"&amp;A4994)=0,1,0))</f>
        <v/>
      </c>
    </row>
    <row r="4995" customFormat="false" ht="15" hidden="false" customHeight="false" outlineLevel="0" collapsed="false">
      <c r="A4995" s="27"/>
      <c r="F4995" s="28"/>
      <c r="J4995" s="0" t="str">
        <f aca="false">IF(A4995="","",YEAR(A4995))</f>
        <v/>
      </c>
      <c r="K4995" s="0" t="str">
        <f aca="false">IF(A4995="","",MONTH(A4995))</f>
        <v/>
      </c>
      <c r="L4995" s="0" t="str">
        <f aca="false">IF(B4995="","",VALUE(LEFT(B4995,2)))</f>
        <v/>
      </c>
      <c r="M4995" s="0" t="str">
        <f aca="false">IF(A4995="","",IF(COUNTIFS($C$2:$C$5001,C4995,$J$2:$J$5001,J4995,$A$2:$A$5001,"&lt;"&amp;A4995)=0,1,0))</f>
        <v/>
      </c>
    </row>
    <row r="4996" customFormat="false" ht="15" hidden="false" customHeight="false" outlineLevel="0" collapsed="false">
      <c r="A4996" s="27"/>
      <c r="F4996" s="28"/>
      <c r="J4996" s="0" t="str">
        <f aca="false">IF(A4996="","",YEAR(A4996))</f>
        <v/>
      </c>
      <c r="K4996" s="0" t="str">
        <f aca="false">IF(A4996="","",MONTH(A4996))</f>
        <v/>
      </c>
      <c r="L4996" s="0" t="str">
        <f aca="false">IF(B4996="","",VALUE(LEFT(B4996,2)))</f>
        <v/>
      </c>
      <c r="M4996" s="0" t="str">
        <f aca="false">IF(A4996="","",IF(COUNTIFS($C$2:$C$5001,C4996,$J$2:$J$5001,J4996,$A$2:$A$5001,"&lt;"&amp;A4996)=0,1,0))</f>
        <v/>
      </c>
    </row>
    <row r="4997" customFormat="false" ht="15" hidden="false" customHeight="false" outlineLevel="0" collapsed="false">
      <c r="A4997" s="27"/>
      <c r="F4997" s="28"/>
      <c r="J4997" s="0" t="str">
        <f aca="false">IF(A4997="","",YEAR(A4997))</f>
        <v/>
      </c>
      <c r="K4997" s="0" t="str">
        <f aca="false">IF(A4997="","",MONTH(A4997))</f>
        <v/>
      </c>
      <c r="L4997" s="0" t="str">
        <f aca="false">IF(B4997="","",VALUE(LEFT(B4997,2)))</f>
        <v/>
      </c>
      <c r="M4997" s="0" t="str">
        <f aca="false">IF(A4997="","",IF(COUNTIFS($C$2:$C$5001,C4997,$J$2:$J$5001,J4997,$A$2:$A$5001,"&lt;"&amp;A4997)=0,1,0))</f>
        <v/>
      </c>
    </row>
    <row r="4998" customFormat="false" ht="15" hidden="false" customHeight="false" outlineLevel="0" collapsed="false">
      <c r="A4998" s="27"/>
      <c r="F4998" s="28"/>
      <c r="J4998" s="0" t="str">
        <f aca="false">IF(A4998="","",YEAR(A4998))</f>
        <v/>
      </c>
      <c r="K4998" s="0" t="str">
        <f aca="false">IF(A4998="","",MONTH(A4998))</f>
        <v/>
      </c>
      <c r="L4998" s="0" t="str">
        <f aca="false">IF(B4998="","",VALUE(LEFT(B4998,2)))</f>
        <v/>
      </c>
      <c r="M4998" s="0" t="str">
        <f aca="false">IF(A4998="","",IF(COUNTIFS($C$2:$C$5001,C4998,$J$2:$J$5001,J4998,$A$2:$A$5001,"&lt;"&amp;A4998)=0,1,0))</f>
        <v/>
      </c>
    </row>
    <row r="4999" customFormat="false" ht="15" hidden="false" customHeight="false" outlineLevel="0" collapsed="false">
      <c r="A4999" s="27"/>
      <c r="F4999" s="28"/>
      <c r="J4999" s="0" t="str">
        <f aca="false">IF(A4999="","",YEAR(A4999))</f>
        <v/>
      </c>
      <c r="K4999" s="0" t="str">
        <f aca="false">IF(A4999="","",MONTH(A4999))</f>
        <v/>
      </c>
      <c r="L4999" s="0" t="str">
        <f aca="false">IF(B4999="","",VALUE(LEFT(B4999,2)))</f>
        <v/>
      </c>
      <c r="M4999" s="0" t="str">
        <f aca="false">IF(A4999="","",IF(COUNTIFS($C$2:$C$5001,C4999,$J$2:$J$5001,J4999,$A$2:$A$5001,"&lt;"&amp;A4999)=0,1,0))</f>
        <v/>
      </c>
    </row>
    <row r="5000" customFormat="false" ht="15" hidden="false" customHeight="false" outlineLevel="0" collapsed="false">
      <c r="A5000" s="27"/>
      <c r="F5000" s="28"/>
      <c r="J5000" s="0" t="str">
        <f aca="false">IF(A5000="","",YEAR(A5000))</f>
        <v/>
      </c>
      <c r="K5000" s="0" t="str">
        <f aca="false">IF(A5000="","",MONTH(A5000))</f>
        <v/>
      </c>
      <c r="L5000" s="0" t="str">
        <f aca="false">IF(B5000="","",VALUE(LEFT(B5000,2)))</f>
        <v/>
      </c>
      <c r="M5000" s="0" t="str">
        <f aca="false">IF(A5000="","",IF(COUNTIFS($C$2:$C$5001,C5000,$J$2:$J$5001,J5000,$A$2:$A$5001,"&lt;"&amp;A5000)=0,1,0))</f>
        <v/>
      </c>
    </row>
    <row r="5001" customFormat="false" ht="15" hidden="false" customHeight="false" outlineLevel="0" collapsed="false">
      <c r="A5001" s="27"/>
      <c r="F5001" s="28"/>
      <c r="J5001" s="0" t="str">
        <f aca="false">IF(A5001="","",YEAR(A5001))</f>
        <v/>
      </c>
      <c r="K5001" s="0" t="str">
        <f aca="false">IF(A5001="","",MONTH(A5001))</f>
        <v/>
      </c>
      <c r="L5001" s="0" t="str">
        <f aca="false">IF(B5001="","",VALUE(LEFT(B5001,2)))</f>
        <v/>
      </c>
      <c r="M5001" s="0" t="str">
        <f aca="false">IF(A5001="","",IF(COUNTIFS($C$2:$C$5001,C5001,$J$2:$J$5001,J5001,$A$2:$A$5001,"&lt;"&amp;A5001)=0,1,0))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6"/>
  </cols>
  <sheetData>
    <row r="1" customFormat="false" ht="30" hidden="false" customHeight="true" outlineLevel="0" collapsed="false">
      <c r="A1" s="21" t="s">
        <v>1057</v>
      </c>
      <c r="B1" s="21" t="s">
        <v>1058</v>
      </c>
      <c r="C1" s="21" t="s">
        <v>1059</v>
      </c>
      <c r="D1" s="21" t="s">
        <v>1060</v>
      </c>
      <c r="E1" s="21" t="s">
        <v>1061</v>
      </c>
      <c r="F1" s="21" t="s">
        <v>1062</v>
      </c>
      <c r="G1" s="21" t="s">
        <v>43</v>
      </c>
      <c r="H1" s="21" t="s">
        <v>44</v>
      </c>
      <c r="I1" s="21" t="s">
        <v>42</v>
      </c>
      <c r="J1" s="21" t="s">
        <v>1063</v>
      </c>
      <c r="K1" s="21" t="s">
        <v>46</v>
      </c>
      <c r="L1" s="21" t="s">
        <v>47</v>
      </c>
      <c r="N1" s="22" t="s">
        <v>1064</v>
      </c>
    </row>
    <row r="2" customFormat="false" ht="15" hidden="false" customHeight="false" outlineLevel="0" collapsed="false">
      <c r="A2" s="23" t="n">
        <v>45660.5819444444</v>
      </c>
      <c r="B2" s="24" t="s">
        <v>1065</v>
      </c>
      <c r="C2" s="24" t="s">
        <v>1066</v>
      </c>
      <c r="D2" s="24" t="n">
        <v>2</v>
      </c>
      <c r="E2" s="25" t="n">
        <v>3000</v>
      </c>
      <c r="F2" s="25" t="n">
        <v>2000</v>
      </c>
      <c r="G2" s="24" t="s">
        <v>59</v>
      </c>
      <c r="H2" s="24" t="s">
        <v>55</v>
      </c>
      <c r="I2" s="28" t="n">
        <f aca="false">IF(A2="","",D2*E2)</f>
        <v>6000</v>
      </c>
      <c r="J2" s="28" t="n">
        <f aca="false">IF(A2="","",D2*F2)</f>
        <v>4000</v>
      </c>
      <c r="K2" s="26" t="n">
        <f aca="false">IF(A2="","",YEAR(A2))</f>
        <v>2025</v>
      </c>
      <c r="L2" s="26" t="n">
        <f aca="false">IF(A2="","",MONTH(A2))</f>
        <v>1</v>
      </c>
    </row>
    <row r="3" customFormat="false" ht="15" hidden="false" customHeight="false" outlineLevel="0" collapsed="false">
      <c r="A3" s="23" t="n">
        <v>45662.8881944444</v>
      </c>
      <c r="B3" s="24" t="s">
        <v>1067</v>
      </c>
      <c r="C3" s="24" t="s">
        <v>1068</v>
      </c>
      <c r="D3" s="24" t="n">
        <v>2</v>
      </c>
      <c r="E3" s="25" t="n">
        <v>4000</v>
      </c>
      <c r="F3" s="25" t="n">
        <v>2600</v>
      </c>
      <c r="G3" s="24" t="s">
        <v>59</v>
      </c>
      <c r="H3" s="24" t="s">
        <v>55</v>
      </c>
      <c r="I3" s="28" t="n">
        <f aca="false">IF(A3="","",D3*E3)</f>
        <v>8000</v>
      </c>
      <c r="J3" s="28" t="n">
        <f aca="false">IF(A3="","",D3*F3)</f>
        <v>5200</v>
      </c>
      <c r="K3" s="26" t="n">
        <f aca="false">IF(A3="","",YEAR(A3))</f>
        <v>2025</v>
      </c>
      <c r="L3" s="26" t="n">
        <f aca="false">IF(A3="","",MONTH(A3))</f>
        <v>1</v>
      </c>
    </row>
    <row r="4" customFormat="false" ht="15" hidden="false" customHeight="false" outlineLevel="0" collapsed="false">
      <c r="A4" s="23" t="n">
        <v>45663.5805555556</v>
      </c>
      <c r="B4" s="24" t="s">
        <v>1069</v>
      </c>
      <c r="C4" s="24" t="s">
        <v>1070</v>
      </c>
      <c r="D4" s="24" t="n">
        <v>1</v>
      </c>
      <c r="E4" s="25" t="n">
        <v>4500</v>
      </c>
      <c r="F4" s="25" t="n">
        <v>3000</v>
      </c>
      <c r="G4" s="24" t="s">
        <v>69</v>
      </c>
      <c r="H4" s="24" t="s">
        <v>80</v>
      </c>
      <c r="I4" s="28" t="n">
        <f aca="false">IF(A4="","",D4*E4)</f>
        <v>4500</v>
      </c>
      <c r="J4" s="28" t="n">
        <f aca="false">IF(A4="","",D4*F4)</f>
        <v>3000</v>
      </c>
      <c r="K4" s="26" t="n">
        <f aca="false">IF(A4="","",YEAR(A4))</f>
        <v>2025</v>
      </c>
      <c r="L4" s="26" t="n">
        <f aca="false">IF(A4="","",MONTH(A4))</f>
        <v>1</v>
      </c>
    </row>
    <row r="5" customFormat="false" ht="15" hidden="false" customHeight="false" outlineLevel="0" collapsed="false">
      <c r="A5" s="23" t="n">
        <v>45663.6027777778</v>
      </c>
      <c r="B5" s="24" t="s">
        <v>1067</v>
      </c>
      <c r="C5" s="24" t="s">
        <v>1068</v>
      </c>
      <c r="D5" s="24" t="n">
        <v>1</v>
      </c>
      <c r="E5" s="25" t="n">
        <v>4000</v>
      </c>
      <c r="F5" s="25" t="n">
        <v>2600</v>
      </c>
      <c r="G5" s="24" t="s">
        <v>59</v>
      </c>
      <c r="H5" s="24" t="s">
        <v>80</v>
      </c>
      <c r="I5" s="28" t="n">
        <f aca="false">IF(A5="","",D5*E5)</f>
        <v>4000</v>
      </c>
      <c r="J5" s="28" t="n">
        <f aca="false">IF(A5="","",D5*F5)</f>
        <v>2600</v>
      </c>
      <c r="K5" s="26" t="n">
        <f aca="false">IF(A5="","",YEAR(A5))</f>
        <v>2025</v>
      </c>
      <c r="L5" s="26" t="n">
        <f aca="false">IF(A5="","",MONTH(A5))</f>
        <v>1</v>
      </c>
    </row>
    <row r="6" customFormat="false" ht="15" hidden="false" customHeight="false" outlineLevel="0" collapsed="false">
      <c r="A6" s="23" t="n">
        <v>45663.7243055556</v>
      </c>
      <c r="B6" s="24" t="s">
        <v>1071</v>
      </c>
      <c r="C6" s="24" t="s">
        <v>1072</v>
      </c>
      <c r="D6" s="24" t="n">
        <v>1</v>
      </c>
      <c r="E6" s="25" t="n">
        <v>2000</v>
      </c>
      <c r="F6" s="25" t="n">
        <v>1100</v>
      </c>
      <c r="G6" s="24" t="s">
        <v>59</v>
      </c>
      <c r="H6" s="24" t="s">
        <v>80</v>
      </c>
      <c r="I6" s="28" t="n">
        <f aca="false">IF(A6="","",D6*E6)</f>
        <v>2000</v>
      </c>
      <c r="J6" s="28" t="n">
        <f aca="false">IF(A6="","",D6*F6)</f>
        <v>1100</v>
      </c>
      <c r="K6" s="26" t="n">
        <f aca="false">IF(A6="","",YEAR(A6))</f>
        <v>2025</v>
      </c>
      <c r="L6" s="26" t="n">
        <f aca="false">IF(A6="","",MONTH(A6))</f>
        <v>1</v>
      </c>
    </row>
    <row r="7" customFormat="false" ht="15" hidden="false" customHeight="false" outlineLevel="0" collapsed="false">
      <c r="A7" s="23" t="n">
        <v>45663.7847222222</v>
      </c>
      <c r="B7" s="24" t="s">
        <v>1073</v>
      </c>
      <c r="C7" s="24" t="s">
        <v>1074</v>
      </c>
      <c r="D7" s="24" t="n">
        <v>1</v>
      </c>
      <c r="E7" s="25" t="n">
        <v>7000</v>
      </c>
      <c r="F7" s="25" t="n">
        <v>4800</v>
      </c>
      <c r="G7" s="24" t="s">
        <v>59</v>
      </c>
      <c r="H7" s="24" t="s">
        <v>80</v>
      </c>
      <c r="I7" s="28" t="n">
        <f aca="false">IF(A7="","",D7*E7)</f>
        <v>7000</v>
      </c>
      <c r="J7" s="28" t="n">
        <f aca="false">IF(A7="","",D7*F7)</f>
        <v>4800</v>
      </c>
      <c r="K7" s="26" t="n">
        <f aca="false">IF(A7="","",YEAR(A7))</f>
        <v>2025</v>
      </c>
      <c r="L7" s="26" t="n">
        <f aca="false">IF(A7="","",MONTH(A7))</f>
        <v>1</v>
      </c>
    </row>
    <row r="8" customFormat="false" ht="15" hidden="false" customHeight="false" outlineLevel="0" collapsed="false">
      <c r="A8" s="23" t="n">
        <v>45663.8472222222</v>
      </c>
      <c r="B8" s="24" t="s">
        <v>1065</v>
      </c>
      <c r="C8" s="24" t="s">
        <v>1066</v>
      </c>
      <c r="D8" s="24" t="n">
        <v>2</v>
      </c>
      <c r="E8" s="25" t="n">
        <v>3000</v>
      </c>
      <c r="F8" s="25" t="n">
        <v>2000</v>
      </c>
      <c r="G8" s="24" t="s">
        <v>59</v>
      </c>
      <c r="H8" s="24" t="s">
        <v>60</v>
      </c>
      <c r="I8" s="28" t="n">
        <f aca="false">IF(A8="","",D8*E8)</f>
        <v>6000</v>
      </c>
      <c r="J8" s="28" t="n">
        <f aca="false">IF(A8="","",D8*F8)</f>
        <v>4000</v>
      </c>
      <c r="K8" s="26" t="n">
        <f aca="false">IF(A8="","",YEAR(A8))</f>
        <v>2025</v>
      </c>
      <c r="L8" s="26" t="n">
        <f aca="false">IF(A8="","",MONTH(A8))</f>
        <v>1</v>
      </c>
    </row>
    <row r="9" customFormat="false" ht="15" hidden="false" customHeight="false" outlineLevel="0" collapsed="false">
      <c r="A9" s="23" t="n">
        <v>45664.3618055556</v>
      </c>
      <c r="B9" s="24" t="s">
        <v>1065</v>
      </c>
      <c r="C9" s="24" t="s">
        <v>1066</v>
      </c>
      <c r="D9" s="24" t="n">
        <v>1</v>
      </c>
      <c r="E9" s="25" t="n">
        <v>3000</v>
      </c>
      <c r="F9" s="25" t="n">
        <v>2000</v>
      </c>
      <c r="G9" s="24" t="s">
        <v>59</v>
      </c>
      <c r="H9" s="24" t="s">
        <v>80</v>
      </c>
      <c r="I9" s="28" t="n">
        <f aca="false">IF(A9="","",D9*E9)</f>
        <v>3000</v>
      </c>
      <c r="J9" s="28" t="n">
        <f aca="false">IF(A9="","",D9*F9)</f>
        <v>2000</v>
      </c>
      <c r="K9" s="26" t="n">
        <f aca="false">IF(A9="","",YEAR(A9))</f>
        <v>2025</v>
      </c>
      <c r="L9" s="26" t="n">
        <f aca="false">IF(A9="","",MONTH(A9))</f>
        <v>1</v>
      </c>
    </row>
    <row r="10" customFormat="false" ht="15" hidden="false" customHeight="false" outlineLevel="0" collapsed="false">
      <c r="A10" s="23" t="n">
        <v>45664.4902777778</v>
      </c>
      <c r="B10" s="24" t="s">
        <v>1067</v>
      </c>
      <c r="C10" s="24" t="s">
        <v>1068</v>
      </c>
      <c r="D10" s="24" t="n">
        <v>1</v>
      </c>
      <c r="E10" s="25" t="n">
        <v>4000</v>
      </c>
      <c r="F10" s="25" t="n">
        <v>2600</v>
      </c>
      <c r="G10" s="24" t="s">
        <v>59</v>
      </c>
      <c r="H10" s="24" t="s">
        <v>55</v>
      </c>
      <c r="I10" s="28" t="n">
        <f aca="false">IF(A10="","",D10*E10)</f>
        <v>4000</v>
      </c>
      <c r="J10" s="28" t="n">
        <f aca="false">IF(A10="","",D10*F10)</f>
        <v>2600</v>
      </c>
      <c r="K10" s="26" t="n">
        <f aca="false">IF(A10="","",YEAR(A10))</f>
        <v>2025</v>
      </c>
      <c r="L10" s="26" t="n">
        <f aca="false">IF(A10="","",MONTH(A10))</f>
        <v>1</v>
      </c>
    </row>
    <row r="11" customFormat="false" ht="15" hidden="false" customHeight="false" outlineLevel="0" collapsed="false">
      <c r="A11" s="23" t="n">
        <v>45664.5479166667</v>
      </c>
      <c r="B11" s="24" t="s">
        <v>1071</v>
      </c>
      <c r="C11" s="24" t="s">
        <v>1072</v>
      </c>
      <c r="D11" s="24" t="n">
        <v>1</v>
      </c>
      <c r="E11" s="25" t="n">
        <v>2000</v>
      </c>
      <c r="F11" s="25" t="n">
        <v>1100</v>
      </c>
      <c r="G11" s="24" t="s">
        <v>69</v>
      </c>
      <c r="H11" s="24" t="s">
        <v>55</v>
      </c>
      <c r="I11" s="28" t="n">
        <f aca="false">IF(A11="","",D11*E11)</f>
        <v>2000</v>
      </c>
      <c r="J11" s="28" t="n">
        <f aca="false">IF(A11="","",D11*F11)</f>
        <v>1100</v>
      </c>
      <c r="K11" s="26" t="n">
        <f aca="false">IF(A11="","",YEAR(A11))</f>
        <v>2025</v>
      </c>
      <c r="L11" s="26" t="n">
        <f aca="false">IF(A11="","",MONTH(A11))</f>
        <v>1</v>
      </c>
    </row>
    <row r="12" customFormat="false" ht="15" hidden="false" customHeight="false" outlineLevel="0" collapsed="false">
      <c r="A12" s="23" t="n">
        <v>45664.7680555556</v>
      </c>
      <c r="B12" s="24" t="s">
        <v>1065</v>
      </c>
      <c r="C12" s="24" t="s">
        <v>1066</v>
      </c>
      <c r="D12" s="24" t="n">
        <v>1</v>
      </c>
      <c r="E12" s="25" t="n">
        <v>3000</v>
      </c>
      <c r="F12" s="25" t="n">
        <v>2000</v>
      </c>
      <c r="G12" s="24" t="s">
        <v>59</v>
      </c>
      <c r="H12" s="24" t="s">
        <v>55</v>
      </c>
      <c r="I12" s="28" t="n">
        <f aca="false">IF(A12="","",D12*E12)</f>
        <v>3000</v>
      </c>
      <c r="J12" s="28" t="n">
        <f aca="false">IF(A12="","",D12*F12)</f>
        <v>2000</v>
      </c>
      <c r="K12" s="26" t="n">
        <f aca="false">IF(A12="","",YEAR(A12))</f>
        <v>2025</v>
      </c>
      <c r="L12" s="26" t="n">
        <f aca="false">IF(A12="","",MONTH(A12))</f>
        <v>1</v>
      </c>
    </row>
    <row r="13" customFormat="false" ht="15" hidden="false" customHeight="false" outlineLevel="0" collapsed="false">
      <c r="A13" s="23" t="n">
        <v>45664.8916666667</v>
      </c>
      <c r="B13" s="24" t="s">
        <v>1075</v>
      </c>
      <c r="C13" s="24" t="s">
        <v>1076</v>
      </c>
      <c r="D13" s="24" t="n">
        <v>2</v>
      </c>
      <c r="E13" s="25" t="n">
        <v>1000</v>
      </c>
      <c r="F13" s="25" t="n">
        <v>300</v>
      </c>
      <c r="G13" s="24" t="s">
        <v>59</v>
      </c>
      <c r="H13" s="24" t="s">
        <v>60</v>
      </c>
      <c r="I13" s="28" t="n">
        <f aca="false">IF(A13="","",D13*E13)</f>
        <v>2000</v>
      </c>
      <c r="J13" s="28" t="n">
        <f aca="false">IF(A13="","",D13*F13)</f>
        <v>600</v>
      </c>
      <c r="K13" s="26" t="n">
        <f aca="false">IF(A13="","",YEAR(A13))</f>
        <v>2025</v>
      </c>
      <c r="L13" s="26" t="n">
        <f aca="false">IF(A13="","",MONTH(A13))</f>
        <v>1</v>
      </c>
    </row>
    <row r="14" customFormat="false" ht="15" hidden="false" customHeight="false" outlineLevel="0" collapsed="false">
      <c r="A14" s="23" t="n">
        <v>45665.5902777778</v>
      </c>
      <c r="B14" s="24" t="s">
        <v>1077</v>
      </c>
      <c r="C14" s="24" t="s">
        <v>1078</v>
      </c>
      <c r="D14" s="24" t="n">
        <v>3</v>
      </c>
      <c r="E14" s="25" t="n">
        <v>1500</v>
      </c>
      <c r="F14" s="25" t="n">
        <v>900</v>
      </c>
      <c r="G14" s="24" t="s">
        <v>59</v>
      </c>
      <c r="H14" s="24" t="s">
        <v>55</v>
      </c>
      <c r="I14" s="28" t="n">
        <f aca="false">IF(A14="","",D14*E14)</f>
        <v>4500</v>
      </c>
      <c r="J14" s="28" t="n">
        <f aca="false">IF(A14="","",D14*F14)</f>
        <v>2700</v>
      </c>
      <c r="K14" s="26" t="n">
        <f aca="false">IF(A14="","",YEAR(A14))</f>
        <v>2025</v>
      </c>
      <c r="L14" s="26" t="n">
        <f aca="false">IF(A14="","",MONTH(A14))</f>
        <v>1</v>
      </c>
    </row>
    <row r="15" customFormat="false" ht="15" hidden="false" customHeight="false" outlineLevel="0" collapsed="false">
      <c r="A15" s="23" t="n">
        <v>45665.8090277778</v>
      </c>
      <c r="B15" s="24" t="s">
        <v>1069</v>
      </c>
      <c r="C15" s="24" t="s">
        <v>1070</v>
      </c>
      <c r="D15" s="24" t="n">
        <v>2</v>
      </c>
      <c r="E15" s="25" t="n">
        <v>4500</v>
      </c>
      <c r="F15" s="25" t="n">
        <v>3000</v>
      </c>
      <c r="G15" s="24" t="s">
        <v>59</v>
      </c>
      <c r="H15" s="24" t="s">
        <v>80</v>
      </c>
      <c r="I15" s="28" t="n">
        <f aca="false">IF(A15="","",D15*E15)</f>
        <v>9000</v>
      </c>
      <c r="J15" s="28" t="n">
        <f aca="false">IF(A15="","",D15*F15)</f>
        <v>6000</v>
      </c>
      <c r="K15" s="26" t="n">
        <f aca="false">IF(A15="","",YEAR(A15))</f>
        <v>2025</v>
      </c>
      <c r="L15" s="26" t="n">
        <f aca="false">IF(A15="","",MONTH(A15))</f>
        <v>1</v>
      </c>
    </row>
    <row r="16" customFormat="false" ht="15" hidden="false" customHeight="false" outlineLevel="0" collapsed="false">
      <c r="A16" s="23" t="n">
        <v>45666.8520833333</v>
      </c>
      <c r="B16" s="24" t="s">
        <v>1079</v>
      </c>
      <c r="C16" s="24" t="s">
        <v>1080</v>
      </c>
      <c r="D16" s="24" t="n">
        <v>2</v>
      </c>
      <c r="E16" s="25" t="n">
        <v>2500</v>
      </c>
      <c r="F16" s="25" t="n">
        <v>1600</v>
      </c>
      <c r="G16" s="24" t="s">
        <v>59</v>
      </c>
      <c r="H16" s="24" t="s">
        <v>55</v>
      </c>
      <c r="I16" s="28" t="n">
        <f aca="false">IF(A16="","",D16*E16)</f>
        <v>5000</v>
      </c>
      <c r="J16" s="28" t="n">
        <f aca="false">IF(A16="","",D16*F16)</f>
        <v>3200</v>
      </c>
      <c r="K16" s="26" t="n">
        <f aca="false">IF(A16="","",YEAR(A16))</f>
        <v>2025</v>
      </c>
      <c r="L16" s="26" t="n">
        <f aca="false">IF(A16="","",MONTH(A16))</f>
        <v>1</v>
      </c>
    </row>
    <row r="17" customFormat="false" ht="15" hidden="false" customHeight="false" outlineLevel="0" collapsed="false">
      <c r="A17" s="23" t="n">
        <v>45668.6048611111</v>
      </c>
      <c r="B17" s="24" t="s">
        <v>1075</v>
      </c>
      <c r="C17" s="24" t="s">
        <v>1076</v>
      </c>
      <c r="D17" s="24" t="n">
        <v>2</v>
      </c>
      <c r="E17" s="25" t="n">
        <v>1000</v>
      </c>
      <c r="F17" s="25" t="n">
        <v>300</v>
      </c>
      <c r="G17" s="24" t="s">
        <v>59</v>
      </c>
      <c r="H17" s="24" t="s">
        <v>80</v>
      </c>
      <c r="I17" s="28" t="n">
        <f aca="false">IF(A17="","",D17*E17)</f>
        <v>2000</v>
      </c>
      <c r="J17" s="28" t="n">
        <f aca="false">IF(A17="","",D17*F17)</f>
        <v>600</v>
      </c>
      <c r="K17" s="26" t="n">
        <f aca="false">IF(A17="","",YEAR(A17))</f>
        <v>2025</v>
      </c>
      <c r="L17" s="26" t="n">
        <f aca="false">IF(A17="","",MONTH(A17))</f>
        <v>1</v>
      </c>
    </row>
    <row r="18" customFormat="false" ht="15" hidden="false" customHeight="false" outlineLevel="0" collapsed="false">
      <c r="A18" s="23" t="n">
        <v>45668.6173611111</v>
      </c>
      <c r="B18" s="24" t="s">
        <v>1067</v>
      </c>
      <c r="C18" s="24" t="s">
        <v>1068</v>
      </c>
      <c r="D18" s="24" t="n">
        <v>3</v>
      </c>
      <c r="E18" s="25" t="n">
        <v>4000</v>
      </c>
      <c r="F18" s="25" t="n">
        <v>2600</v>
      </c>
      <c r="G18" s="24" t="s">
        <v>59</v>
      </c>
      <c r="H18" s="24" t="s">
        <v>80</v>
      </c>
      <c r="I18" s="28" t="n">
        <f aca="false">IF(A18="","",D18*E18)</f>
        <v>12000</v>
      </c>
      <c r="J18" s="28" t="n">
        <f aca="false">IF(A18="","",D18*F18)</f>
        <v>7800</v>
      </c>
      <c r="K18" s="26" t="n">
        <f aca="false">IF(A18="","",YEAR(A18))</f>
        <v>2025</v>
      </c>
      <c r="L18" s="26" t="n">
        <f aca="false">IF(A18="","",MONTH(A18))</f>
        <v>1</v>
      </c>
    </row>
    <row r="19" customFormat="false" ht="15" hidden="false" customHeight="false" outlineLevel="0" collapsed="false">
      <c r="A19" s="23" t="n">
        <v>45669.4298611111</v>
      </c>
      <c r="B19" s="24" t="s">
        <v>1065</v>
      </c>
      <c r="C19" s="24" t="s">
        <v>1066</v>
      </c>
      <c r="D19" s="24" t="n">
        <v>1</v>
      </c>
      <c r="E19" s="25" t="n">
        <v>3000</v>
      </c>
      <c r="F19" s="25" t="n">
        <v>2000</v>
      </c>
      <c r="G19" s="24" t="s">
        <v>59</v>
      </c>
      <c r="H19" s="24" t="s">
        <v>55</v>
      </c>
      <c r="I19" s="28" t="n">
        <f aca="false">IF(A19="","",D19*E19)</f>
        <v>3000</v>
      </c>
      <c r="J19" s="28" t="n">
        <f aca="false">IF(A19="","",D19*F19)</f>
        <v>2000</v>
      </c>
      <c r="K19" s="26" t="n">
        <f aca="false">IF(A19="","",YEAR(A19))</f>
        <v>2025</v>
      </c>
      <c r="L19" s="26" t="n">
        <f aca="false">IF(A19="","",MONTH(A19))</f>
        <v>1</v>
      </c>
    </row>
    <row r="20" customFormat="false" ht="15" hidden="false" customHeight="false" outlineLevel="0" collapsed="false">
      <c r="A20" s="23" t="n">
        <v>45669.8548611111</v>
      </c>
      <c r="B20" s="24" t="s">
        <v>1075</v>
      </c>
      <c r="C20" s="24" t="s">
        <v>1076</v>
      </c>
      <c r="D20" s="24" t="n">
        <v>2</v>
      </c>
      <c r="E20" s="25" t="n">
        <v>1000</v>
      </c>
      <c r="F20" s="25" t="n">
        <v>300</v>
      </c>
      <c r="G20" s="24" t="s">
        <v>59</v>
      </c>
      <c r="H20" s="24" t="s">
        <v>60</v>
      </c>
      <c r="I20" s="28" t="n">
        <f aca="false">IF(A20="","",D20*E20)</f>
        <v>2000</v>
      </c>
      <c r="J20" s="28" t="n">
        <f aca="false">IF(A20="","",D20*F20)</f>
        <v>600</v>
      </c>
      <c r="K20" s="26" t="n">
        <f aca="false">IF(A20="","",YEAR(A20))</f>
        <v>2025</v>
      </c>
      <c r="L20" s="26" t="n">
        <f aca="false">IF(A20="","",MONTH(A20))</f>
        <v>1</v>
      </c>
    </row>
    <row r="21" customFormat="false" ht="15" hidden="false" customHeight="false" outlineLevel="0" collapsed="false">
      <c r="A21" s="23" t="n">
        <v>45670.6583333333</v>
      </c>
      <c r="B21" s="24" t="s">
        <v>1079</v>
      </c>
      <c r="C21" s="24" t="s">
        <v>1080</v>
      </c>
      <c r="D21" s="24" t="n">
        <v>1</v>
      </c>
      <c r="E21" s="25" t="n">
        <v>2500</v>
      </c>
      <c r="F21" s="25" t="n">
        <v>1600</v>
      </c>
      <c r="G21" s="24" t="s">
        <v>59</v>
      </c>
      <c r="H21" s="24" t="s">
        <v>55</v>
      </c>
      <c r="I21" s="28" t="n">
        <f aca="false">IF(A21="","",D21*E21)</f>
        <v>2500</v>
      </c>
      <c r="J21" s="28" t="n">
        <f aca="false">IF(A21="","",D21*F21)</f>
        <v>1600</v>
      </c>
      <c r="K21" s="26" t="n">
        <f aca="false">IF(A21="","",YEAR(A21))</f>
        <v>2025</v>
      </c>
      <c r="L21" s="26" t="n">
        <f aca="false">IF(A21="","",MONTH(A21))</f>
        <v>1</v>
      </c>
    </row>
    <row r="22" customFormat="false" ht="15" hidden="false" customHeight="false" outlineLevel="0" collapsed="false">
      <c r="A22" s="23" t="n">
        <v>45670.8152777778</v>
      </c>
      <c r="B22" s="24" t="s">
        <v>1073</v>
      </c>
      <c r="C22" s="24" t="s">
        <v>1074</v>
      </c>
      <c r="D22" s="24" t="n">
        <v>1</v>
      </c>
      <c r="E22" s="25" t="n">
        <v>7000</v>
      </c>
      <c r="F22" s="25" t="n">
        <v>4800</v>
      </c>
      <c r="G22" s="24" t="s">
        <v>59</v>
      </c>
      <c r="H22" s="24" t="s">
        <v>55</v>
      </c>
      <c r="I22" s="28" t="n">
        <f aca="false">IF(A22="","",D22*E22)</f>
        <v>7000</v>
      </c>
      <c r="J22" s="28" t="n">
        <f aca="false">IF(A22="","",D22*F22)</f>
        <v>4800</v>
      </c>
      <c r="K22" s="26" t="n">
        <f aca="false">IF(A22="","",YEAR(A22))</f>
        <v>2025</v>
      </c>
      <c r="L22" s="26" t="n">
        <f aca="false">IF(A22="","",MONTH(A22))</f>
        <v>1</v>
      </c>
    </row>
    <row r="23" customFormat="false" ht="15" hidden="false" customHeight="false" outlineLevel="0" collapsed="false">
      <c r="A23" s="23" t="n">
        <v>45670.8548611111</v>
      </c>
      <c r="B23" s="24" t="s">
        <v>1065</v>
      </c>
      <c r="C23" s="24" t="s">
        <v>1066</v>
      </c>
      <c r="D23" s="24" t="n">
        <v>1</v>
      </c>
      <c r="E23" s="25" t="n">
        <v>3000</v>
      </c>
      <c r="F23" s="25" t="n">
        <v>2000</v>
      </c>
      <c r="G23" s="24" t="s">
        <v>59</v>
      </c>
      <c r="H23" s="24" t="s">
        <v>55</v>
      </c>
      <c r="I23" s="28" t="n">
        <f aca="false">IF(A23="","",D23*E23)</f>
        <v>3000</v>
      </c>
      <c r="J23" s="28" t="n">
        <f aca="false">IF(A23="","",D23*F23)</f>
        <v>2000</v>
      </c>
      <c r="K23" s="26" t="n">
        <f aca="false">IF(A23="","",YEAR(A23))</f>
        <v>2025</v>
      </c>
      <c r="L23" s="26" t="n">
        <f aca="false">IF(A23="","",MONTH(A23))</f>
        <v>1</v>
      </c>
    </row>
    <row r="24" customFormat="false" ht="15" hidden="false" customHeight="false" outlineLevel="0" collapsed="false">
      <c r="A24" s="23" t="n">
        <v>45671.4513888889</v>
      </c>
      <c r="B24" s="24" t="s">
        <v>1071</v>
      </c>
      <c r="C24" s="24" t="s">
        <v>1072</v>
      </c>
      <c r="D24" s="24" t="n">
        <v>2</v>
      </c>
      <c r="E24" s="25" t="n">
        <v>2000</v>
      </c>
      <c r="F24" s="25" t="n">
        <v>1100</v>
      </c>
      <c r="G24" s="24" t="s">
        <v>59</v>
      </c>
      <c r="H24" s="24" t="s">
        <v>55</v>
      </c>
      <c r="I24" s="28" t="n">
        <f aca="false">IF(A24="","",D24*E24)</f>
        <v>4000</v>
      </c>
      <c r="J24" s="28" t="n">
        <f aca="false">IF(A24="","",D24*F24)</f>
        <v>2200</v>
      </c>
      <c r="K24" s="26" t="n">
        <f aca="false">IF(A24="","",YEAR(A24))</f>
        <v>2025</v>
      </c>
      <c r="L24" s="26" t="n">
        <f aca="false">IF(A24="","",MONTH(A24))</f>
        <v>1</v>
      </c>
    </row>
    <row r="25" customFormat="false" ht="15" hidden="false" customHeight="false" outlineLevel="0" collapsed="false">
      <c r="A25" s="23" t="n">
        <v>45671.4666666667</v>
      </c>
      <c r="B25" s="24" t="s">
        <v>1075</v>
      </c>
      <c r="C25" s="24" t="s">
        <v>1076</v>
      </c>
      <c r="D25" s="24" t="n">
        <v>1</v>
      </c>
      <c r="E25" s="25" t="n">
        <v>1000</v>
      </c>
      <c r="F25" s="25" t="n">
        <v>300</v>
      </c>
      <c r="G25" s="24" t="s">
        <v>59</v>
      </c>
      <c r="H25" s="24" t="s">
        <v>80</v>
      </c>
      <c r="I25" s="28" t="n">
        <f aca="false">IF(A25="","",D25*E25)</f>
        <v>1000</v>
      </c>
      <c r="J25" s="28" t="n">
        <f aca="false">IF(A25="","",D25*F25)</f>
        <v>300</v>
      </c>
      <c r="K25" s="26" t="n">
        <f aca="false">IF(A25="","",YEAR(A25))</f>
        <v>2025</v>
      </c>
      <c r="L25" s="26" t="n">
        <f aca="false">IF(A25="","",MONTH(A25))</f>
        <v>1</v>
      </c>
    </row>
    <row r="26" customFormat="false" ht="15" hidden="false" customHeight="false" outlineLevel="0" collapsed="false">
      <c r="A26" s="23" t="n">
        <v>45671.51875</v>
      </c>
      <c r="B26" s="24" t="s">
        <v>1075</v>
      </c>
      <c r="C26" s="24" t="s">
        <v>1076</v>
      </c>
      <c r="D26" s="24" t="n">
        <v>1</v>
      </c>
      <c r="E26" s="25" t="n">
        <v>1000</v>
      </c>
      <c r="F26" s="25" t="n">
        <v>300</v>
      </c>
      <c r="G26" s="24" t="s">
        <v>59</v>
      </c>
      <c r="H26" s="24" t="s">
        <v>60</v>
      </c>
      <c r="I26" s="28" t="n">
        <f aca="false">IF(A26="","",D26*E26)</f>
        <v>1000</v>
      </c>
      <c r="J26" s="28" t="n">
        <f aca="false">IF(A26="","",D26*F26)</f>
        <v>300</v>
      </c>
      <c r="K26" s="26" t="n">
        <f aca="false">IF(A26="","",YEAR(A26))</f>
        <v>2025</v>
      </c>
      <c r="L26" s="26" t="n">
        <f aca="false">IF(A26="","",MONTH(A26))</f>
        <v>1</v>
      </c>
    </row>
    <row r="27" customFormat="false" ht="15" hidden="false" customHeight="false" outlineLevel="0" collapsed="false">
      <c r="A27" s="23" t="n">
        <v>45672.7472222222</v>
      </c>
      <c r="B27" s="24" t="s">
        <v>1067</v>
      </c>
      <c r="C27" s="24" t="s">
        <v>1068</v>
      </c>
      <c r="D27" s="24" t="n">
        <v>1</v>
      </c>
      <c r="E27" s="25" t="n">
        <v>4000</v>
      </c>
      <c r="F27" s="25" t="n">
        <v>2600</v>
      </c>
      <c r="G27" s="24" t="s">
        <v>59</v>
      </c>
      <c r="H27" s="24" t="s">
        <v>60</v>
      </c>
      <c r="I27" s="28" t="n">
        <f aca="false">IF(A27="","",D27*E27)</f>
        <v>4000</v>
      </c>
      <c r="J27" s="28" t="n">
        <f aca="false">IF(A27="","",D27*F27)</f>
        <v>2600</v>
      </c>
      <c r="K27" s="26" t="n">
        <f aca="false">IF(A27="","",YEAR(A27))</f>
        <v>2025</v>
      </c>
      <c r="L27" s="26" t="n">
        <f aca="false">IF(A27="","",MONTH(A27))</f>
        <v>1</v>
      </c>
    </row>
    <row r="28" customFormat="false" ht="15" hidden="false" customHeight="false" outlineLevel="0" collapsed="false">
      <c r="A28" s="23" t="n">
        <v>45673.3270833333</v>
      </c>
      <c r="B28" s="24" t="s">
        <v>1079</v>
      </c>
      <c r="C28" s="24" t="s">
        <v>1080</v>
      </c>
      <c r="D28" s="24" t="n">
        <v>1</v>
      </c>
      <c r="E28" s="25" t="n">
        <v>2500</v>
      </c>
      <c r="F28" s="25" t="n">
        <v>1600</v>
      </c>
      <c r="G28" s="24" t="s">
        <v>59</v>
      </c>
      <c r="H28" s="24" t="s">
        <v>55</v>
      </c>
      <c r="I28" s="28" t="n">
        <f aca="false">IF(A28="","",D28*E28)</f>
        <v>2500</v>
      </c>
      <c r="J28" s="28" t="n">
        <f aca="false">IF(A28="","",D28*F28)</f>
        <v>1600</v>
      </c>
      <c r="K28" s="26" t="n">
        <f aca="false">IF(A28="","",YEAR(A28))</f>
        <v>2025</v>
      </c>
      <c r="L28" s="26" t="n">
        <f aca="false">IF(A28="","",MONTH(A28))</f>
        <v>1</v>
      </c>
    </row>
    <row r="29" customFormat="false" ht="15" hidden="false" customHeight="false" outlineLevel="0" collapsed="false">
      <c r="A29" s="23" t="n">
        <v>45673.6270833333</v>
      </c>
      <c r="B29" s="24" t="s">
        <v>1077</v>
      </c>
      <c r="C29" s="24" t="s">
        <v>1078</v>
      </c>
      <c r="D29" s="24" t="n">
        <v>2</v>
      </c>
      <c r="E29" s="25" t="n">
        <v>1500</v>
      </c>
      <c r="F29" s="25" t="n">
        <v>900</v>
      </c>
      <c r="G29" s="24" t="s">
        <v>59</v>
      </c>
      <c r="H29" s="24" t="s">
        <v>80</v>
      </c>
      <c r="I29" s="28" t="n">
        <f aca="false">IF(A29="","",D29*E29)</f>
        <v>3000</v>
      </c>
      <c r="J29" s="28" t="n">
        <f aca="false">IF(A29="","",D29*F29)</f>
        <v>1800</v>
      </c>
      <c r="K29" s="26" t="n">
        <f aca="false">IF(A29="","",YEAR(A29))</f>
        <v>2025</v>
      </c>
      <c r="L29" s="26" t="n">
        <f aca="false">IF(A29="","",MONTH(A29))</f>
        <v>1</v>
      </c>
    </row>
    <row r="30" customFormat="false" ht="15" hidden="false" customHeight="false" outlineLevel="0" collapsed="false">
      <c r="A30" s="23" t="n">
        <v>45673.7590277778</v>
      </c>
      <c r="B30" s="24" t="s">
        <v>1073</v>
      </c>
      <c r="C30" s="24" t="s">
        <v>1074</v>
      </c>
      <c r="D30" s="24" t="n">
        <v>3</v>
      </c>
      <c r="E30" s="25" t="n">
        <v>7000</v>
      </c>
      <c r="F30" s="25" t="n">
        <v>4800</v>
      </c>
      <c r="G30" s="24" t="s">
        <v>59</v>
      </c>
      <c r="H30" s="24" t="s">
        <v>60</v>
      </c>
      <c r="I30" s="28" t="n">
        <f aca="false">IF(A30="","",D30*E30)</f>
        <v>21000</v>
      </c>
      <c r="J30" s="28" t="n">
        <f aca="false">IF(A30="","",D30*F30)</f>
        <v>14400</v>
      </c>
      <c r="K30" s="26" t="n">
        <f aca="false">IF(A30="","",YEAR(A30))</f>
        <v>2025</v>
      </c>
      <c r="L30" s="26" t="n">
        <f aca="false">IF(A30="","",MONTH(A30))</f>
        <v>1</v>
      </c>
    </row>
    <row r="31" customFormat="false" ht="15" hidden="false" customHeight="false" outlineLevel="0" collapsed="false">
      <c r="A31" s="23" t="n">
        <v>45674.4131944445</v>
      </c>
      <c r="B31" s="24" t="s">
        <v>1067</v>
      </c>
      <c r="C31" s="24" t="s">
        <v>1068</v>
      </c>
      <c r="D31" s="24" t="n">
        <v>2</v>
      </c>
      <c r="E31" s="25" t="n">
        <v>4000</v>
      </c>
      <c r="F31" s="25" t="n">
        <v>2600</v>
      </c>
      <c r="G31" s="24" t="s">
        <v>59</v>
      </c>
      <c r="H31" s="24" t="s">
        <v>55</v>
      </c>
      <c r="I31" s="28" t="n">
        <f aca="false">IF(A31="","",D31*E31)</f>
        <v>8000</v>
      </c>
      <c r="J31" s="28" t="n">
        <f aca="false">IF(A31="","",D31*F31)</f>
        <v>5200</v>
      </c>
      <c r="K31" s="26" t="n">
        <f aca="false">IF(A31="","",YEAR(A31))</f>
        <v>2025</v>
      </c>
      <c r="L31" s="26" t="n">
        <f aca="false">IF(A31="","",MONTH(A31))</f>
        <v>1</v>
      </c>
    </row>
    <row r="32" customFormat="false" ht="15" hidden="false" customHeight="false" outlineLevel="0" collapsed="false">
      <c r="A32" s="23" t="n">
        <v>45674.5180555556</v>
      </c>
      <c r="B32" s="24" t="s">
        <v>1067</v>
      </c>
      <c r="C32" s="24" t="s">
        <v>1068</v>
      </c>
      <c r="D32" s="24" t="n">
        <v>2</v>
      </c>
      <c r="E32" s="25" t="n">
        <v>4000</v>
      </c>
      <c r="F32" s="25" t="n">
        <v>2600</v>
      </c>
      <c r="G32" s="24" t="s">
        <v>59</v>
      </c>
      <c r="H32" s="24" t="s">
        <v>55</v>
      </c>
      <c r="I32" s="28" t="n">
        <f aca="false">IF(A32="","",D32*E32)</f>
        <v>8000</v>
      </c>
      <c r="J32" s="28" t="n">
        <f aca="false">IF(A32="","",D32*F32)</f>
        <v>5200</v>
      </c>
      <c r="K32" s="26" t="n">
        <f aca="false">IF(A32="","",YEAR(A32))</f>
        <v>2025</v>
      </c>
      <c r="L32" s="26" t="n">
        <f aca="false">IF(A32="","",MONTH(A32))</f>
        <v>1</v>
      </c>
    </row>
    <row r="33" customFormat="false" ht="15" hidden="false" customHeight="false" outlineLevel="0" collapsed="false">
      <c r="A33" s="23" t="n">
        <v>45674.7375</v>
      </c>
      <c r="B33" s="24" t="s">
        <v>1081</v>
      </c>
      <c r="C33" s="24" t="s">
        <v>1082</v>
      </c>
      <c r="D33" s="24" t="n">
        <v>1</v>
      </c>
      <c r="E33" s="25" t="n">
        <v>2500</v>
      </c>
      <c r="F33" s="25" t="n">
        <v>1500</v>
      </c>
      <c r="G33" s="24" t="s">
        <v>69</v>
      </c>
      <c r="H33" s="24" t="s">
        <v>60</v>
      </c>
      <c r="I33" s="28" t="n">
        <f aca="false">IF(A33="","",D33*E33)</f>
        <v>2500</v>
      </c>
      <c r="J33" s="28" t="n">
        <f aca="false">IF(A33="","",D33*F33)</f>
        <v>1500</v>
      </c>
      <c r="K33" s="26" t="n">
        <f aca="false">IF(A33="","",YEAR(A33))</f>
        <v>2025</v>
      </c>
      <c r="L33" s="26" t="n">
        <f aca="false">IF(A33="","",MONTH(A33))</f>
        <v>1</v>
      </c>
    </row>
    <row r="34" customFormat="false" ht="15" hidden="false" customHeight="false" outlineLevel="0" collapsed="false">
      <c r="A34" s="23" t="n">
        <v>45675.3444444445</v>
      </c>
      <c r="B34" s="24" t="s">
        <v>1071</v>
      </c>
      <c r="C34" s="24" t="s">
        <v>1072</v>
      </c>
      <c r="D34" s="24" t="n">
        <v>2</v>
      </c>
      <c r="E34" s="25" t="n">
        <v>2000</v>
      </c>
      <c r="F34" s="25" t="n">
        <v>1100</v>
      </c>
      <c r="G34" s="24" t="s">
        <v>59</v>
      </c>
      <c r="H34" s="24" t="s">
        <v>80</v>
      </c>
      <c r="I34" s="28" t="n">
        <f aca="false">IF(A34="","",D34*E34)</f>
        <v>4000</v>
      </c>
      <c r="J34" s="28" t="n">
        <f aca="false">IF(A34="","",D34*F34)</f>
        <v>2200</v>
      </c>
      <c r="K34" s="26" t="n">
        <f aca="false">IF(A34="","",YEAR(A34))</f>
        <v>2025</v>
      </c>
      <c r="L34" s="26" t="n">
        <f aca="false">IF(A34="","",MONTH(A34))</f>
        <v>1</v>
      </c>
    </row>
    <row r="35" customFormat="false" ht="15" hidden="false" customHeight="false" outlineLevel="0" collapsed="false">
      <c r="A35" s="23" t="n">
        <v>45675.4479166667</v>
      </c>
      <c r="B35" s="24" t="s">
        <v>1077</v>
      </c>
      <c r="C35" s="24" t="s">
        <v>1078</v>
      </c>
      <c r="D35" s="24" t="n">
        <v>2</v>
      </c>
      <c r="E35" s="25" t="n">
        <v>1500</v>
      </c>
      <c r="F35" s="25" t="n">
        <v>900</v>
      </c>
      <c r="G35" s="24" t="s">
        <v>59</v>
      </c>
      <c r="H35" s="24" t="s">
        <v>55</v>
      </c>
      <c r="I35" s="28" t="n">
        <f aca="false">IF(A35="","",D35*E35)</f>
        <v>3000</v>
      </c>
      <c r="J35" s="28" t="n">
        <f aca="false">IF(A35="","",D35*F35)</f>
        <v>1800</v>
      </c>
      <c r="K35" s="26" t="n">
        <f aca="false">IF(A35="","",YEAR(A35))</f>
        <v>2025</v>
      </c>
      <c r="L35" s="26" t="n">
        <f aca="false">IF(A35="","",MONTH(A35))</f>
        <v>1</v>
      </c>
    </row>
    <row r="36" customFormat="false" ht="15" hidden="false" customHeight="false" outlineLevel="0" collapsed="false">
      <c r="A36" s="23" t="n">
        <v>45676.4625</v>
      </c>
      <c r="B36" s="24" t="s">
        <v>1067</v>
      </c>
      <c r="C36" s="24" t="s">
        <v>1068</v>
      </c>
      <c r="D36" s="24" t="n">
        <v>1</v>
      </c>
      <c r="E36" s="25" t="n">
        <v>4000</v>
      </c>
      <c r="F36" s="25" t="n">
        <v>2600</v>
      </c>
      <c r="G36" s="24" t="s">
        <v>59</v>
      </c>
      <c r="H36" s="24" t="s">
        <v>60</v>
      </c>
      <c r="I36" s="28" t="n">
        <f aca="false">IF(A36="","",D36*E36)</f>
        <v>4000</v>
      </c>
      <c r="J36" s="28" t="n">
        <f aca="false">IF(A36="","",D36*F36)</f>
        <v>2600</v>
      </c>
      <c r="K36" s="26" t="n">
        <f aca="false">IF(A36="","",YEAR(A36))</f>
        <v>2025</v>
      </c>
      <c r="L36" s="26" t="n">
        <f aca="false">IF(A36="","",MONTH(A36))</f>
        <v>1</v>
      </c>
    </row>
    <row r="37" customFormat="false" ht="15" hidden="false" customHeight="false" outlineLevel="0" collapsed="false">
      <c r="A37" s="23" t="n">
        <v>45677.7673611111</v>
      </c>
      <c r="B37" s="24" t="s">
        <v>1075</v>
      </c>
      <c r="C37" s="24" t="s">
        <v>1076</v>
      </c>
      <c r="D37" s="24" t="n">
        <v>1</v>
      </c>
      <c r="E37" s="25" t="n">
        <v>1000</v>
      </c>
      <c r="F37" s="25" t="n">
        <v>300</v>
      </c>
      <c r="G37" s="24" t="s">
        <v>59</v>
      </c>
      <c r="H37" s="24" t="s">
        <v>60</v>
      </c>
      <c r="I37" s="28" t="n">
        <f aca="false">IF(A37="","",D37*E37)</f>
        <v>1000</v>
      </c>
      <c r="J37" s="28" t="n">
        <f aca="false">IF(A37="","",D37*F37)</f>
        <v>300</v>
      </c>
      <c r="K37" s="26" t="n">
        <f aca="false">IF(A37="","",YEAR(A37))</f>
        <v>2025</v>
      </c>
      <c r="L37" s="26" t="n">
        <f aca="false">IF(A37="","",MONTH(A37))</f>
        <v>1</v>
      </c>
    </row>
    <row r="38" customFormat="false" ht="15" hidden="false" customHeight="false" outlineLevel="0" collapsed="false">
      <c r="A38" s="23" t="n">
        <v>45677.8222222222</v>
      </c>
      <c r="B38" s="24" t="s">
        <v>1069</v>
      </c>
      <c r="C38" s="24" t="s">
        <v>1070</v>
      </c>
      <c r="D38" s="24" t="n">
        <v>3</v>
      </c>
      <c r="E38" s="25" t="n">
        <v>4500</v>
      </c>
      <c r="F38" s="25" t="n">
        <v>3000</v>
      </c>
      <c r="G38" s="24" t="s">
        <v>59</v>
      </c>
      <c r="H38" s="24" t="s">
        <v>60</v>
      </c>
      <c r="I38" s="28" t="n">
        <f aca="false">IF(A38="","",D38*E38)</f>
        <v>13500</v>
      </c>
      <c r="J38" s="28" t="n">
        <f aca="false">IF(A38="","",D38*F38)</f>
        <v>9000</v>
      </c>
      <c r="K38" s="26" t="n">
        <f aca="false">IF(A38="","",YEAR(A38))</f>
        <v>2025</v>
      </c>
      <c r="L38" s="26" t="n">
        <f aca="false">IF(A38="","",MONTH(A38))</f>
        <v>1</v>
      </c>
    </row>
    <row r="39" customFormat="false" ht="15" hidden="false" customHeight="false" outlineLevel="0" collapsed="false">
      <c r="A39" s="23" t="n">
        <v>45678.3027777778</v>
      </c>
      <c r="B39" s="24" t="s">
        <v>1067</v>
      </c>
      <c r="C39" s="24" t="s">
        <v>1068</v>
      </c>
      <c r="D39" s="24" t="n">
        <v>1</v>
      </c>
      <c r="E39" s="25" t="n">
        <v>4000</v>
      </c>
      <c r="F39" s="25" t="n">
        <v>2600</v>
      </c>
      <c r="G39" s="24" t="s">
        <v>59</v>
      </c>
      <c r="H39" s="24" t="s">
        <v>80</v>
      </c>
      <c r="I39" s="28" t="n">
        <f aca="false">IF(A39="","",D39*E39)</f>
        <v>4000</v>
      </c>
      <c r="J39" s="28" t="n">
        <f aca="false">IF(A39="","",D39*F39)</f>
        <v>2600</v>
      </c>
      <c r="K39" s="26" t="n">
        <f aca="false">IF(A39="","",YEAR(A39))</f>
        <v>2025</v>
      </c>
      <c r="L39" s="26" t="n">
        <f aca="false">IF(A39="","",MONTH(A39))</f>
        <v>1</v>
      </c>
    </row>
    <row r="40" customFormat="false" ht="15" hidden="false" customHeight="false" outlineLevel="0" collapsed="false">
      <c r="A40" s="23" t="n">
        <v>45678.3534722222</v>
      </c>
      <c r="B40" s="24" t="s">
        <v>1079</v>
      </c>
      <c r="C40" s="24" t="s">
        <v>1080</v>
      </c>
      <c r="D40" s="24" t="n">
        <v>2</v>
      </c>
      <c r="E40" s="25" t="n">
        <v>2500</v>
      </c>
      <c r="F40" s="25" t="n">
        <v>1600</v>
      </c>
      <c r="G40" s="24" t="s">
        <v>59</v>
      </c>
      <c r="H40" s="24" t="s">
        <v>55</v>
      </c>
      <c r="I40" s="28" t="n">
        <f aca="false">IF(A40="","",D40*E40)</f>
        <v>5000</v>
      </c>
      <c r="J40" s="28" t="n">
        <f aca="false">IF(A40="","",D40*F40)</f>
        <v>3200</v>
      </c>
      <c r="K40" s="26" t="n">
        <f aca="false">IF(A40="","",YEAR(A40))</f>
        <v>2025</v>
      </c>
      <c r="L40" s="26" t="n">
        <f aca="false">IF(A40="","",MONTH(A40))</f>
        <v>1</v>
      </c>
    </row>
    <row r="41" customFormat="false" ht="15" hidden="false" customHeight="false" outlineLevel="0" collapsed="false">
      <c r="A41" s="23" t="n">
        <v>45678.4090277778</v>
      </c>
      <c r="B41" s="24" t="s">
        <v>1069</v>
      </c>
      <c r="C41" s="24" t="s">
        <v>1070</v>
      </c>
      <c r="D41" s="24" t="n">
        <v>2</v>
      </c>
      <c r="E41" s="25" t="n">
        <v>4500</v>
      </c>
      <c r="F41" s="25" t="n">
        <v>3000</v>
      </c>
      <c r="G41" s="24" t="s">
        <v>59</v>
      </c>
      <c r="H41" s="24" t="s">
        <v>80</v>
      </c>
      <c r="I41" s="28" t="n">
        <f aca="false">IF(A41="","",D41*E41)</f>
        <v>9000</v>
      </c>
      <c r="J41" s="28" t="n">
        <f aca="false">IF(A41="","",D41*F41)</f>
        <v>6000</v>
      </c>
      <c r="K41" s="26" t="n">
        <f aca="false">IF(A41="","",YEAR(A41))</f>
        <v>2025</v>
      </c>
      <c r="L41" s="26" t="n">
        <f aca="false">IF(A41="","",MONTH(A41))</f>
        <v>1</v>
      </c>
    </row>
    <row r="42" customFormat="false" ht="15" hidden="false" customHeight="false" outlineLevel="0" collapsed="false">
      <c r="A42" s="23" t="n">
        <v>45679.9145833333</v>
      </c>
      <c r="B42" s="24" t="s">
        <v>1071</v>
      </c>
      <c r="C42" s="24" t="s">
        <v>1072</v>
      </c>
      <c r="D42" s="24" t="n">
        <v>3</v>
      </c>
      <c r="E42" s="25" t="n">
        <v>2000</v>
      </c>
      <c r="F42" s="25" t="n">
        <v>1100</v>
      </c>
      <c r="G42" s="24" t="s">
        <v>69</v>
      </c>
      <c r="H42" s="24" t="s">
        <v>60</v>
      </c>
      <c r="I42" s="28" t="n">
        <f aca="false">IF(A42="","",D42*E42)</f>
        <v>6000</v>
      </c>
      <c r="J42" s="28" t="n">
        <f aca="false">IF(A42="","",D42*F42)</f>
        <v>3300</v>
      </c>
      <c r="K42" s="26" t="n">
        <f aca="false">IF(A42="","",YEAR(A42))</f>
        <v>2025</v>
      </c>
      <c r="L42" s="26" t="n">
        <f aca="false">IF(A42="","",MONTH(A42))</f>
        <v>1</v>
      </c>
    </row>
    <row r="43" customFormat="false" ht="15" hidden="false" customHeight="false" outlineLevel="0" collapsed="false">
      <c r="A43" s="23" t="n">
        <v>45680.4388888889</v>
      </c>
      <c r="B43" s="24" t="s">
        <v>1081</v>
      </c>
      <c r="C43" s="24" t="s">
        <v>1082</v>
      </c>
      <c r="D43" s="24" t="n">
        <v>1</v>
      </c>
      <c r="E43" s="25" t="n">
        <v>2500</v>
      </c>
      <c r="F43" s="25" t="n">
        <v>1500</v>
      </c>
      <c r="G43" s="24" t="s">
        <v>59</v>
      </c>
      <c r="H43" s="24" t="s">
        <v>80</v>
      </c>
      <c r="I43" s="28" t="n">
        <f aca="false">IF(A43="","",D43*E43)</f>
        <v>2500</v>
      </c>
      <c r="J43" s="28" t="n">
        <f aca="false">IF(A43="","",D43*F43)</f>
        <v>1500</v>
      </c>
      <c r="K43" s="26" t="n">
        <f aca="false">IF(A43="","",YEAR(A43))</f>
        <v>2025</v>
      </c>
      <c r="L43" s="26" t="n">
        <f aca="false">IF(A43="","",MONTH(A43))</f>
        <v>1</v>
      </c>
    </row>
    <row r="44" customFormat="false" ht="15" hidden="false" customHeight="false" outlineLevel="0" collapsed="false">
      <c r="A44" s="23" t="n">
        <v>45680.5715277778</v>
      </c>
      <c r="B44" s="24" t="s">
        <v>1075</v>
      </c>
      <c r="C44" s="24" t="s">
        <v>1076</v>
      </c>
      <c r="D44" s="24" t="n">
        <v>1</v>
      </c>
      <c r="E44" s="25" t="n">
        <v>1000</v>
      </c>
      <c r="F44" s="25" t="n">
        <v>300</v>
      </c>
      <c r="G44" s="24" t="s">
        <v>69</v>
      </c>
      <c r="H44" s="24" t="s">
        <v>55</v>
      </c>
      <c r="I44" s="28" t="n">
        <f aca="false">IF(A44="","",D44*E44)</f>
        <v>1000</v>
      </c>
      <c r="J44" s="28" t="n">
        <f aca="false">IF(A44="","",D44*F44)</f>
        <v>300</v>
      </c>
      <c r="K44" s="26" t="n">
        <f aca="false">IF(A44="","",YEAR(A44))</f>
        <v>2025</v>
      </c>
      <c r="L44" s="26" t="n">
        <f aca="false">IF(A44="","",MONTH(A44))</f>
        <v>1</v>
      </c>
    </row>
    <row r="45" customFormat="false" ht="15" hidden="false" customHeight="false" outlineLevel="0" collapsed="false">
      <c r="A45" s="23" t="n">
        <v>45681.5263888889</v>
      </c>
      <c r="B45" s="24" t="s">
        <v>1073</v>
      </c>
      <c r="C45" s="24" t="s">
        <v>1074</v>
      </c>
      <c r="D45" s="24" t="n">
        <v>3</v>
      </c>
      <c r="E45" s="25" t="n">
        <v>7000</v>
      </c>
      <c r="F45" s="25" t="n">
        <v>4800</v>
      </c>
      <c r="G45" s="24" t="s">
        <v>59</v>
      </c>
      <c r="H45" s="24" t="s">
        <v>80</v>
      </c>
      <c r="I45" s="28" t="n">
        <f aca="false">IF(A45="","",D45*E45)</f>
        <v>21000</v>
      </c>
      <c r="J45" s="28" t="n">
        <f aca="false">IF(A45="","",D45*F45)</f>
        <v>14400</v>
      </c>
      <c r="K45" s="26" t="n">
        <f aca="false">IF(A45="","",YEAR(A45))</f>
        <v>2025</v>
      </c>
      <c r="L45" s="26" t="n">
        <f aca="false">IF(A45="","",MONTH(A45))</f>
        <v>1</v>
      </c>
    </row>
    <row r="46" customFormat="false" ht="15" hidden="false" customHeight="false" outlineLevel="0" collapsed="false">
      <c r="A46" s="23" t="n">
        <v>45682.7861111111</v>
      </c>
      <c r="B46" s="24" t="s">
        <v>1075</v>
      </c>
      <c r="C46" s="24" t="s">
        <v>1076</v>
      </c>
      <c r="D46" s="24" t="n">
        <v>3</v>
      </c>
      <c r="E46" s="25" t="n">
        <v>1000</v>
      </c>
      <c r="F46" s="25" t="n">
        <v>300</v>
      </c>
      <c r="G46" s="24" t="s">
        <v>59</v>
      </c>
      <c r="H46" s="24" t="s">
        <v>80</v>
      </c>
      <c r="I46" s="28" t="n">
        <f aca="false">IF(A46="","",D46*E46)</f>
        <v>3000</v>
      </c>
      <c r="J46" s="28" t="n">
        <f aca="false">IF(A46="","",D46*F46)</f>
        <v>900</v>
      </c>
      <c r="K46" s="26" t="n">
        <f aca="false">IF(A46="","",YEAR(A46))</f>
        <v>2025</v>
      </c>
      <c r="L46" s="26" t="n">
        <f aca="false">IF(A46="","",MONTH(A46))</f>
        <v>1</v>
      </c>
    </row>
    <row r="47" customFormat="false" ht="15" hidden="false" customHeight="false" outlineLevel="0" collapsed="false">
      <c r="A47" s="23" t="n">
        <v>45683.3555555556</v>
      </c>
      <c r="B47" s="24" t="s">
        <v>1067</v>
      </c>
      <c r="C47" s="24" t="s">
        <v>1068</v>
      </c>
      <c r="D47" s="24" t="n">
        <v>2</v>
      </c>
      <c r="E47" s="25" t="n">
        <v>4000</v>
      </c>
      <c r="F47" s="25" t="n">
        <v>2600</v>
      </c>
      <c r="G47" s="24" t="s">
        <v>59</v>
      </c>
      <c r="H47" s="24" t="s">
        <v>80</v>
      </c>
      <c r="I47" s="28" t="n">
        <f aca="false">IF(A47="","",D47*E47)</f>
        <v>8000</v>
      </c>
      <c r="J47" s="28" t="n">
        <f aca="false">IF(A47="","",D47*F47)</f>
        <v>5200</v>
      </c>
      <c r="K47" s="26" t="n">
        <f aca="false">IF(A47="","",YEAR(A47))</f>
        <v>2025</v>
      </c>
      <c r="L47" s="26" t="n">
        <f aca="false">IF(A47="","",MONTH(A47))</f>
        <v>1</v>
      </c>
    </row>
    <row r="48" customFormat="false" ht="15" hidden="false" customHeight="false" outlineLevel="0" collapsed="false">
      <c r="A48" s="23" t="n">
        <v>45683.3979166667</v>
      </c>
      <c r="B48" s="24" t="s">
        <v>1067</v>
      </c>
      <c r="C48" s="24" t="s">
        <v>1068</v>
      </c>
      <c r="D48" s="24" t="n">
        <v>1</v>
      </c>
      <c r="E48" s="25" t="n">
        <v>4000</v>
      </c>
      <c r="F48" s="25" t="n">
        <v>2600</v>
      </c>
      <c r="G48" s="24" t="s">
        <v>59</v>
      </c>
      <c r="H48" s="24" t="s">
        <v>80</v>
      </c>
      <c r="I48" s="28" t="n">
        <f aca="false">IF(A48="","",D48*E48)</f>
        <v>4000</v>
      </c>
      <c r="J48" s="28" t="n">
        <f aca="false">IF(A48="","",D48*F48)</f>
        <v>2600</v>
      </c>
      <c r="K48" s="26" t="n">
        <f aca="false">IF(A48="","",YEAR(A48))</f>
        <v>2025</v>
      </c>
      <c r="L48" s="26" t="n">
        <f aca="false">IF(A48="","",MONTH(A48))</f>
        <v>1</v>
      </c>
    </row>
    <row r="49" customFormat="false" ht="15" hidden="false" customHeight="false" outlineLevel="0" collapsed="false">
      <c r="A49" s="23" t="n">
        <v>45683.8194444445</v>
      </c>
      <c r="B49" s="24" t="s">
        <v>1071</v>
      </c>
      <c r="C49" s="24" t="s">
        <v>1072</v>
      </c>
      <c r="D49" s="24" t="n">
        <v>1</v>
      </c>
      <c r="E49" s="25" t="n">
        <v>2000</v>
      </c>
      <c r="F49" s="25" t="n">
        <v>1100</v>
      </c>
      <c r="G49" s="24" t="s">
        <v>59</v>
      </c>
      <c r="H49" s="24" t="s">
        <v>55</v>
      </c>
      <c r="I49" s="28" t="n">
        <f aca="false">IF(A49="","",D49*E49)</f>
        <v>2000</v>
      </c>
      <c r="J49" s="28" t="n">
        <f aca="false">IF(A49="","",D49*F49)</f>
        <v>1100</v>
      </c>
      <c r="K49" s="26" t="n">
        <f aca="false">IF(A49="","",YEAR(A49))</f>
        <v>2025</v>
      </c>
      <c r="L49" s="26" t="n">
        <f aca="false">IF(A49="","",MONTH(A49))</f>
        <v>1</v>
      </c>
    </row>
    <row r="50" customFormat="false" ht="15" hidden="false" customHeight="false" outlineLevel="0" collapsed="false">
      <c r="A50" s="23" t="n">
        <v>45684.3902777778</v>
      </c>
      <c r="B50" s="24" t="s">
        <v>1073</v>
      </c>
      <c r="C50" s="24" t="s">
        <v>1074</v>
      </c>
      <c r="D50" s="24" t="n">
        <v>2</v>
      </c>
      <c r="E50" s="25" t="n">
        <v>7000</v>
      </c>
      <c r="F50" s="25" t="n">
        <v>4800</v>
      </c>
      <c r="G50" s="24" t="s">
        <v>59</v>
      </c>
      <c r="H50" s="24" t="s">
        <v>60</v>
      </c>
      <c r="I50" s="28" t="n">
        <f aca="false">IF(A50="","",D50*E50)</f>
        <v>14000</v>
      </c>
      <c r="J50" s="28" t="n">
        <f aca="false">IF(A50="","",D50*F50)</f>
        <v>9600</v>
      </c>
      <c r="K50" s="26" t="n">
        <f aca="false">IF(A50="","",YEAR(A50))</f>
        <v>2025</v>
      </c>
      <c r="L50" s="26" t="n">
        <f aca="false">IF(A50="","",MONTH(A50))</f>
        <v>1</v>
      </c>
    </row>
    <row r="51" customFormat="false" ht="15" hidden="false" customHeight="false" outlineLevel="0" collapsed="false">
      <c r="A51" s="23" t="n">
        <v>45684.5993055556</v>
      </c>
      <c r="B51" s="24" t="s">
        <v>1075</v>
      </c>
      <c r="C51" s="24" t="s">
        <v>1076</v>
      </c>
      <c r="D51" s="24" t="n">
        <v>2</v>
      </c>
      <c r="E51" s="25" t="n">
        <v>1000</v>
      </c>
      <c r="F51" s="25" t="n">
        <v>300</v>
      </c>
      <c r="G51" s="24" t="s">
        <v>59</v>
      </c>
      <c r="H51" s="24" t="s">
        <v>55</v>
      </c>
      <c r="I51" s="28" t="n">
        <f aca="false">IF(A51="","",D51*E51)</f>
        <v>2000</v>
      </c>
      <c r="J51" s="28" t="n">
        <f aca="false">IF(A51="","",D51*F51)</f>
        <v>600</v>
      </c>
      <c r="K51" s="26" t="n">
        <f aca="false">IF(A51="","",YEAR(A51))</f>
        <v>2025</v>
      </c>
      <c r="L51" s="26" t="n">
        <f aca="false">IF(A51="","",MONTH(A51))</f>
        <v>1</v>
      </c>
    </row>
    <row r="52" customFormat="false" ht="15" hidden="false" customHeight="false" outlineLevel="0" collapsed="false">
      <c r="A52" s="23" t="n">
        <v>45685.4243055556</v>
      </c>
      <c r="B52" s="24" t="s">
        <v>1079</v>
      </c>
      <c r="C52" s="24" t="s">
        <v>1080</v>
      </c>
      <c r="D52" s="24" t="n">
        <v>2</v>
      </c>
      <c r="E52" s="25" t="n">
        <v>2500</v>
      </c>
      <c r="F52" s="25" t="n">
        <v>1600</v>
      </c>
      <c r="G52" s="24" t="s">
        <v>59</v>
      </c>
      <c r="H52" s="24" t="s">
        <v>80</v>
      </c>
      <c r="I52" s="28" t="n">
        <f aca="false">IF(A52="","",D52*E52)</f>
        <v>5000</v>
      </c>
      <c r="J52" s="28" t="n">
        <f aca="false">IF(A52="","",D52*F52)</f>
        <v>3200</v>
      </c>
      <c r="K52" s="26" t="n">
        <f aca="false">IF(A52="","",YEAR(A52))</f>
        <v>2025</v>
      </c>
      <c r="L52" s="26" t="n">
        <f aca="false">IF(A52="","",MONTH(A52))</f>
        <v>1</v>
      </c>
    </row>
    <row r="53" customFormat="false" ht="15" hidden="false" customHeight="false" outlineLevel="0" collapsed="false">
      <c r="A53" s="23" t="n">
        <v>45685.4458333333</v>
      </c>
      <c r="B53" s="24" t="s">
        <v>1081</v>
      </c>
      <c r="C53" s="24" t="s">
        <v>1082</v>
      </c>
      <c r="D53" s="24" t="n">
        <v>3</v>
      </c>
      <c r="E53" s="25" t="n">
        <v>2500</v>
      </c>
      <c r="F53" s="25" t="n">
        <v>1500</v>
      </c>
      <c r="G53" s="24" t="s">
        <v>69</v>
      </c>
      <c r="H53" s="24" t="s">
        <v>55</v>
      </c>
      <c r="I53" s="28" t="n">
        <f aca="false">IF(A53="","",D53*E53)</f>
        <v>7500</v>
      </c>
      <c r="J53" s="28" t="n">
        <f aca="false">IF(A53="","",D53*F53)</f>
        <v>4500</v>
      </c>
      <c r="K53" s="26" t="n">
        <f aca="false">IF(A53="","",YEAR(A53))</f>
        <v>2025</v>
      </c>
      <c r="L53" s="26" t="n">
        <f aca="false">IF(A53="","",MONTH(A53))</f>
        <v>1</v>
      </c>
    </row>
    <row r="54" customFormat="false" ht="15" hidden="false" customHeight="false" outlineLevel="0" collapsed="false">
      <c r="A54" s="23" t="n">
        <v>45689.4152777778</v>
      </c>
      <c r="B54" s="24" t="s">
        <v>1079</v>
      </c>
      <c r="C54" s="24" t="s">
        <v>1080</v>
      </c>
      <c r="D54" s="24" t="n">
        <v>1</v>
      </c>
      <c r="E54" s="25" t="n">
        <v>2500</v>
      </c>
      <c r="F54" s="25" t="n">
        <v>1600</v>
      </c>
      <c r="G54" s="24" t="s">
        <v>59</v>
      </c>
      <c r="H54" s="24" t="s">
        <v>55</v>
      </c>
      <c r="I54" s="28" t="n">
        <f aca="false">IF(A54="","",D54*E54)</f>
        <v>2500</v>
      </c>
      <c r="J54" s="28" t="n">
        <f aca="false">IF(A54="","",D54*F54)</f>
        <v>1600</v>
      </c>
      <c r="K54" s="26" t="n">
        <f aca="false">IF(A54="","",YEAR(A54))</f>
        <v>2025</v>
      </c>
      <c r="L54" s="26" t="n">
        <f aca="false">IF(A54="","",MONTH(A54))</f>
        <v>2</v>
      </c>
    </row>
    <row r="55" customFormat="false" ht="15" hidden="false" customHeight="false" outlineLevel="0" collapsed="false">
      <c r="A55" s="23" t="n">
        <v>45689.4701388889</v>
      </c>
      <c r="B55" s="24" t="s">
        <v>1079</v>
      </c>
      <c r="C55" s="24" t="s">
        <v>1080</v>
      </c>
      <c r="D55" s="24" t="n">
        <v>1</v>
      </c>
      <c r="E55" s="25" t="n">
        <v>2500</v>
      </c>
      <c r="F55" s="25" t="n">
        <v>1600</v>
      </c>
      <c r="G55" s="24" t="s">
        <v>69</v>
      </c>
      <c r="H55" s="24" t="s">
        <v>80</v>
      </c>
      <c r="I55" s="28" t="n">
        <f aca="false">IF(A55="","",D55*E55)</f>
        <v>2500</v>
      </c>
      <c r="J55" s="28" t="n">
        <f aca="false">IF(A55="","",D55*F55)</f>
        <v>1600</v>
      </c>
      <c r="K55" s="26" t="n">
        <f aca="false">IF(A55="","",YEAR(A55))</f>
        <v>2025</v>
      </c>
      <c r="L55" s="26" t="n">
        <f aca="false">IF(A55="","",MONTH(A55))</f>
        <v>2</v>
      </c>
    </row>
    <row r="56" customFormat="false" ht="15" hidden="false" customHeight="false" outlineLevel="0" collapsed="false">
      <c r="A56" s="23" t="n">
        <v>45689.6458333333</v>
      </c>
      <c r="B56" s="24" t="s">
        <v>1075</v>
      </c>
      <c r="C56" s="24" t="s">
        <v>1076</v>
      </c>
      <c r="D56" s="24" t="n">
        <v>1</v>
      </c>
      <c r="E56" s="25" t="n">
        <v>1000</v>
      </c>
      <c r="F56" s="25" t="n">
        <v>300</v>
      </c>
      <c r="G56" s="24" t="s">
        <v>59</v>
      </c>
      <c r="H56" s="24" t="s">
        <v>60</v>
      </c>
      <c r="I56" s="28" t="n">
        <f aca="false">IF(A56="","",D56*E56)</f>
        <v>1000</v>
      </c>
      <c r="J56" s="28" t="n">
        <f aca="false">IF(A56="","",D56*F56)</f>
        <v>300</v>
      </c>
      <c r="K56" s="26" t="n">
        <f aca="false">IF(A56="","",YEAR(A56))</f>
        <v>2025</v>
      </c>
      <c r="L56" s="26" t="n">
        <f aca="false">IF(A56="","",MONTH(A56))</f>
        <v>2</v>
      </c>
    </row>
    <row r="57" customFormat="false" ht="15" hidden="false" customHeight="false" outlineLevel="0" collapsed="false">
      <c r="A57" s="23" t="n">
        <v>45689.8888888889</v>
      </c>
      <c r="B57" s="24" t="s">
        <v>1065</v>
      </c>
      <c r="C57" s="24" t="s">
        <v>1066</v>
      </c>
      <c r="D57" s="24" t="n">
        <v>3</v>
      </c>
      <c r="E57" s="25" t="n">
        <v>3000</v>
      </c>
      <c r="F57" s="25" t="n">
        <v>2000</v>
      </c>
      <c r="G57" s="24" t="s">
        <v>59</v>
      </c>
      <c r="H57" s="24" t="s">
        <v>60</v>
      </c>
      <c r="I57" s="28" t="n">
        <f aca="false">IF(A57="","",D57*E57)</f>
        <v>9000</v>
      </c>
      <c r="J57" s="28" t="n">
        <f aca="false">IF(A57="","",D57*F57)</f>
        <v>6000</v>
      </c>
      <c r="K57" s="26" t="n">
        <f aca="false">IF(A57="","",YEAR(A57))</f>
        <v>2025</v>
      </c>
      <c r="L57" s="26" t="n">
        <f aca="false">IF(A57="","",MONTH(A57))</f>
        <v>2</v>
      </c>
    </row>
    <row r="58" customFormat="false" ht="15" hidden="false" customHeight="false" outlineLevel="0" collapsed="false">
      <c r="A58" s="23" t="n">
        <v>45690.5763888889</v>
      </c>
      <c r="B58" s="24" t="s">
        <v>1069</v>
      </c>
      <c r="C58" s="24" t="s">
        <v>1070</v>
      </c>
      <c r="D58" s="24" t="n">
        <v>3</v>
      </c>
      <c r="E58" s="25" t="n">
        <v>4500</v>
      </c>
      <c r="F58" s="25" t="n">
        <v>3000</v>
      </c>
      <c r="G58" s="24" t="s">
        <v>69</v>
      </c>
      <c r="H58" s="24" t="s">
        <v>60</v>
      </c>
      <c r="I58" s="28" t="n">
        <f aca="false">IF(A58="","",D58*E58)</f>
        <v>13500</v>
      </c>
      <c r="J58" s="28" t="n">
        <f aca="false">IF(A58="","",D58*F58)</f>
        <v>9000</v>
      </c>
      <c r="K58" s="26" t="n">
        <f aca="false">IF(A58="","",YEAR(A58))</f>
        <v>2025</v>
      </c>
      <c r="L58" s="26" t="n">
        <f aca="false">IF(A58="","",MONTH(A58))</f>
        <v>2</v>
      </c>
    </row>
    <row r="59" customFormat="false" ht="15" hidden="false" customHeight="false" outlineLevel="0" collapsed="false">
      <c r="A59" s="23" t="n">
        <v>45690.6743055556</v>
      </c>
      <c r="B59" s="24" t="s">
        <v>1075</v>
      </c>
      <c r="C59" s="24" t="s">
        <v>1076</v>
      </c>
      <c r="D59" s="24" t="n">
        <v>1</v>
      </c>
      <c r="E59" s="25" t="n">
        <v>1000</v>
      </c>
      <c r="F59" s="25" t="n">
        <v>300</v>
      </c>
      <c r="G59" s="24" t="s">
        <v>59</v>
      </c>
      <c r="H59" s="24" t="s">
        <v>60</v>
      </c>
      <c r="I59" s="28" t="n">
        <f aca="false">IF(A59="","",D59*E59)</f>
        <v>1000</v>
      </c>
      <c r="J59" s="28" t="n">
        <f aca="false">IF(A59="","",D59*F59)</f>
        <v>300</v>
      </c>
      <c r="K59" s="26" t="n">
        <f aca="false">IF(A59="","",YEAR(A59))</f>
        <v>2025</v>
      </c>
      <c r="L59" s="26" t="n">
        <f aca="false">IF(A59="","",MONTH(A59))</f>
        <v>2</v>
      </c>
    </row>
    <row r="60" customFormat="false" ht="15" hidden="false" customHeight="false" outlineLevel="0" collapsed="false">
      <c r="A60" s="23" t="n">
        <v>45690.7694444444</v>
      </c>
      <c r="B60" s="24" t="s">
        <v>1067</v>
      </c>
      <c r="C60" s="24" t="s">
        <v>1068</v>
      </c>
      <c r="D60" s="24" t="n">
        <v>2</v>
      </c>
      <c r="E60" s="25" t="n">
        <v>4000</v>
      </c>
      <c r="F60" s="25" t="n">
        <v>2600</v>
      </c>
      <c r="G60" s="24" t="s">
        <v>59</v>
      </c>
      <c r="H60" s="24" t="s">
        <v>55</v>
      </c>
      <c r="I60" s="28" t="n">
        <f aca="false">IF(A60="","",D60*E60)</f>
        <v>8000</v>
      </c>
      <c r="J60" s="28" t="n">
        <f aca="false">IF(A60="","",D60*F60)</f>
        <v>5200</v>
      </c>
      <c r="K60" s="26" t="n">
        <f aca="false">IF(A60="","",YEAR(A60))</f>
        <v>2025</v>
      </c>
      <c r="L60" s="26" t="n">
        <f aca="false">IF(A60="","",MONTH(A60))</f>
        <v>2</v>
      </c>
    </row>
    <row r="61" customFormat="false" ht="15" hidden="false" customHeight="false" outlineLevel="0" collapsed="false">
      <c r="A61" s="23" t="n">
        <v>45690.8513888889</v>
      </c>
      <c r="B61" s="24" t="s">
        <v>1079</v>
      </c>
      <c r="C61" s="24" t="s">
        <v>1080</v>
      </c>
      <c r="D61" s="24" t="n">
        <v>1</v>
      </c>
      <c r="E61" s="25" t="n">
        <v>2500</v>
      </c>
      <c r="F61" s="25" t="n">
        <v>1600</v>
      </c>
      <c r="G61" s="24" t="s">
        <v>59</v>
      </c>
      <c r="H61" s="24" t="s">
        <v>55</v>
      </c>
      <c r="I61" s="28" t="n">
        <f aca="false">IF(A61="","",D61*E61)</f>
        <v>2500</v>
      </c>
      <c r="J61" s="28" t="n">
        <f aca="false">IF(A61="","",D61*F61)</f>
        <v>1600</v>
      </c>
      <c r="K61" s="26" t="n">
        <f aca="false">IF(A61="","",YEAR(A61))</f>
        <v>2025</v>
      </c>
      <c r="L61" s="26" t="n">
        <f aca="false">IF(A61="","",MONTH(A61))</f>
        <v>2</v>
      </c>
    </row>
    <row r="62" customFormat="false" ht="15" hidden="false" customHeight="false" outlineLevel="0" collapsed="false">
      <c r="A62" s="23" t="n">
        <v>45691.7173611111</v>
      </c>
      <c r="B62" s="24" t="s">
        <v>1067</v>
      </c>
      <c r="C62" s="24" t="s">
        <v>1068</v>
      </c>
      <c r="D62" s="24" t="n">
        <v>1</v>
      </c>
      <c r="E62" s="25" t="n">
        <v>4000</v>
      </c>
      <c r="F62" s="25" t="n">
        <v>2600</v>
      </c>
      <c r="G62" s="24" t="s">
        <v>69</v>
      </c>
      <c r="H62" s="24" t="s">
        <v>80</v>
      </c>
      <c r="I62" s="28" t="n">
        <f aca="false">IF(A62="","",D62*E62)</f>
        <v>4000</v>
      </c>
      <c r="J62" s="28" t="n">
        <f aca="false">IF(A62="","",D62*F62)</f>
        <v>2600</v>
      </c>
      <c r="K62" s="26" t="n">
        <f aca="false">IF(A62="","",YEAR(A62))</f>
        <v>2025</v>
      </c>
      <c r="L62" s="26" t="n">
        <f aca="false">IF(A62="","",MONTH(A62))</f>
        <v>2</v>
      </c>
    </row>
    <row r="63" customFormat="false" ht="15" hidden="false" customHeight="false" outlineLevel="0" collapsed="false">
      <c r="A63" s="23" t="n">
        <v>45691.8798611111</v>
      </c>
      <c r="B63" s="24" t="s">
        <v>1067</v>
      </c>
      <c r="C63" s="24" t="s">
        <v>1068</v>
      </c>
      <c r="D63" s="24" t="n">
        <v>1</v>
      </c>
      <c r="E63" s="25" t="n">
        <v>4000</v>
      </c>
      <c r="F63" s="25" t="n">
        <v>2600</v>
      </c>
      <c r="G63" s="24" t="s">
        <v>69</v>
      </c>
      <c r="H63" s="24" t="s">
        <v>80</v>
      </c>
      <c r="I63" s="28" t="n">
        <f aca="false">IF(A63="","",D63*E63)</f>
        <v>4000</v>
      </c>
      <c r="J63" s="28" t="n">
        <f aca="false">IF(A63="","",D63*F63)</f>
        <v>2600</v>
      </c>
      <c r="K63" s="26" t="n">
        <f aca="false">IF(A63="","",YEAR(A63))</f>
        <v>2025</v>
      </c>
      <c r="L63" s="26" t="n">
        <f aca="false">IF(A63="","",MONTH(A63))</f>
        <v>2</v>
      </c>
    </row>
    <row r="64" customFormat="false" ht="15" hidden="false" customHeight="false" outlineLevel="0" collapsed="false">
      <c r="A64" s="23" t="n">
        <v>45692.3152777778</v>
      </c>
      <c r="B64" s="24" t="s">
        <v>1079</v>
      </c>
      <c r="C64" s="24" t="s">
        <v>1080</v>
      </c>
      <c r="D64" s="24" t="n">
        <v>3</v>
      </c>
      <c r="E64" s="25" t="n">
        <v>2500</v>
      </c>
      <c r="F64" s="25" t="n">
        <v>1600</v>
      </c>
      <c r="G64" s="24" t="s">
        <v>59</v>
      </c>
      <c r="H64" s="24" t="s">
        <v>80</v>
      </c>
      <c r="I64" s="28" t="n">
        <f aca="false">IF(A64="","",D64*E64)</f>
        <v>7500</v>
      </c>
      <c r="J64" s="28" t="n">
        <f aca="false">IF(A64="","",D64*F64)</f>
        <v>4800</v>
      </c>
      <c r="K64" s="26" t="n">
        <f aca="false">IF(A64="","",YEAR(A64))</f>
        <v>2025</v>
      </c>
      <c r="L64" s="26" t="n">
        <f aca="false">IF(A64="","",MONTH(A64))</f>
        <v>2</v>
      </c>
    </row>
    <row r="65" customFormat="false" ht="15" hidden="false" customHeight="false" outlineLevel="0" collapsed="false">
      <c r="A65" s="23" t="n">
        <v>45692.3430555556</v>
      </c>
      <c r="B65" s="24" t="s">
        <v>1077</v>
      </c>
      <c r="C65" s="24" t="s">
        <v>1078</v>
      </c>
      <c r="D65" s="24" t="n">
        <v>1</v>
      </c>
      <c r="E65" s="25" t="n">
        <v>1500</v>
      </c>
      <c r="F65" s="25" t="n">
        <v>900</v>
      </c>
      <c r="G65" s="24" t="s">
        <v>59</v>
      </c>
      <c r="H65" s="24" t="s">
        <v>80</v>
      </c>
      <c r="I65" s="28" t="n">
        <f aca="false">IF(A65="","",D65*E65)</f>
        <v>1500</v>
      </c>
      <c r="J65" s="28" t="n">
        <f aca="false">IF(A65="","",D65*F65)</f>
        <v>900</v>
      </c>
      <c r="K65" s="26" t="n">
        <f aca="false">IF(A65="","",YEAR(A65))</f>
        <v>2025</v>
      </c>
      <c r="L65" s="26" t="n">
        <f aca="false">IF(A65="","",MONTH(A65))</f>
        <v>2</v>
      </c>
    </row>
    <row r="66" customFormat="false" ht="15" hidden="false" customHeight="false" outlineLevel="0" collapsed="false">
      <c r="A66" s="23" t="n">
        <v>45692.5479166667</v>
      </c>
      <c r="B66" s="24" t="s">
        <v>1081</v>
      </c>
      <c r="C66" s="24" t="s">
        <v>1082</v>
      </c>
      <c r="D66" s="24" t="n">
        <v>1</v>
      </c>
      <c r="E66" s="25" t="n">
        <v>2500</v>
      </c>
      <c r="F66" s="25" t="n">
        <v>1500</v>
      </c>
      <c r="G66" s="24" t="s">
        <v>59</v>
      </c>
      <c r="H66" s="24" t="s">
        <v>60</v>
      </c>
      <c r="I66" s="28" t="n">
        <f aca="false">IF(A66="","",D66*E66)</f>
        <v>2500</v>
      </c>
      <c r="J66" s="28" t="n">
        <f aca="false">IF(A66="","",D66*F66)</f>
        <v>1500</v>
      </c>
      <c r="K66" s="26" t="n">
        <f aca="false">IF(A66="","",YEAR(A66))</f>
        <v>2025</v>
      </c>
      <c r="L66" s="26" t="n">
        <f aca="false">IF(A66="","",MONTH(A66))</f>
        <v>2</v>
      </c>
    </row>
    <row r="67" customFormat="false" ht="15" hidden="false" customHeight="false" outlineLevel="0" collapsed="false">
      <c r="A67" s="23" t="n">
        <v>45692.6916666667</v>
      </c>
      <c r="B67" s="24" t="s">
        <v>1065</v>
      </c>
      <c r="C67" s="24" t="s">
        <v>1066</v>
      </c>
      <c r="D67" s="24" t="n">
        <v>2</v>
      </c>
      <c r="E67" s="25" t="n">
        <v>3000</v>
      </c>
      <c r="F67" s="25" t="n">
        <v>2000</v>
      </c>
      <c r="G67" s="24" t="s">
        <v>69</v>
      </c>
      <c r="H67" s="24" t="s">
        <v>55</v>
      </c>
      <c r="I67" s="28" t="n">
        <f aca="false">IF(A67="","",D67*E67)</f>
        <v>6000</v>
      </c>
      <c r="J67" s="28" t="n">
        <f aca="false">IF(A67="","",D67*F67)</f>
        <v>4000</v>
      </c>
      <c r="K67" s="26" t="n">
        <f aca="false">IF(A67="","",YEAR(A67))</f>
        <v>2025</v>
      </c>
      <c r="L67" s="26" t="n">
        <f aca="false">IF(A67="","",MONTH(A67))</f>
        <v>2</v>
      </c>
    </row>
    <row r="68" customFormat="false" ht="15" hidden="false" customHeight="false" outlineLevel="0" collapsed="false">
      <c r="A68" s="23" t="n">
        <v>45692.7402777778</v>
      </c>
      <c r="B68" s="24" t="s">
        <v>1065</v>
      </c>
      <c r="C68" s="24" t="s">
        <v>1066</v>
      </c>
      <c r="D68" s="24" t="n">
        <v>1</v>
      </c>
      <c r="E68" s="25" t="n">
        <v>3000</v>
      </c>
      <c r="F68" s="25" t="n">
        <v>2000</v>
      </c>
      <c r="G68" s="24" t="s">
        <v>59</v>
      </c>
      <c r="H68" s="24" t="s">
        <v>55</v>
      </c>
      <c r="I68" s="28" t="n">
        <f aca="false">IF(A68="","",D68*E68)</f>
        <v>3000</v>
      </c>
      <c r="J68" s="28" t="n">
        <f aca="false">IF(A68="","",D68*F68)</f>
        <v>2000</v>
      </c>
      <c r="K68" s="26" t="n">
        <f aca="false">IF(A68="","",YEAR(A68))</f>
        <v>2025</v>
      </c>
      <c r="L68" s="26" t="n">
        <f aca="false">IF(A68="","",MONTH(A68))</f>
        <v>2</v>
      </c>
    </row>
    <row r="69" customFormat="false" ht="15" hidden="false" customHeight="false" outlineLevel="0" collapsed="false">
      <c r="A69" s="23" t="n">
        <v>45692.7986111111</v>
      </c>
      <c r="B69" s="24" t="s">
        <v>1067</v>
      </c>
      <c r="C69" s="24" t="s">
        <v>1068</v>
      </c>
      <c r="D69" s="24" t="n">
        <v>2</v>
      </c>
      <c r="E69" s="25" t="n">
        <v>4000</v>
      </c>
      <c r="F69" s="25" t="n">
        <v>2600</v>
      </c>
      <c r="G69" s="24" t="s">
        <v>59</v>
      </c>
      <c r="H69" s="24" t="s">
        <v>80</v>
      </c>
      <c r="I69" s="28" t="n">
        <f aca="false">IF(A69="","",D69*E69)</f>
        <v>8000</v>
      </c>
      <c r="J69" s="28" t="n">
        <f aca="false">IF(A69="","",D69*F69)</f>
        <v>5200</v>
      </c>
      <c r="K69" s="26" t="n">
        <f aca="false">IF(A69="","",YEAR(A69))</f>
        <v>2025</v>
      </c>
      <c r="L69" s="26" t="n">
        <f aca="false">IF(A69="","",MONTH(A69))</f>
        <v>2</v>
      </c>
    </row>
    <row r="70" customFormat="false" ht="15" hidden="false" customHeight="false" outlineLevel="0" collapsed="false">
      <c r="A70" s="23" t="n">
        <v>45695.3979166667</v>
      </c>
      <c r="B70" s="24" t="s">
        <v>1079</v>
      </c>
      <c r="C70" s="24" t="s">
        <v>1080</v>
      </c>
      <c r="D70" s="24" t="n">
        <v>1</v>
      </c>
      <c r="E70" s="25" t="n">
        <v>2500</v>
      </c>
      <c r="F70" s="25" t="n">
        <v>1600</v>
      </c>
      <c r="G70" s="24" t="s">
        <v>59</v>
      </c>
      <c r="H70" s="24" t="s">
        <v>60</v>
      </c>
      <c r="I70" s="28" t="n">
        <f aca="false">IF(A70="","",D70*E70)</f>
        <v>2500</v>
      </c>
      <c r="J70" s="28" t="n">
        <f aca="false">IF(A70="","",D70*F70)</f>
        <v>1600</v>
      </c>
      <c r="K70" s="26" t="n">
        <f aca="false">IF(A70="","",YEAR(A70))</f>
        <v>2025</v>
      </c>
      <c r="L70" s="26" t="n">
        <f aca="false">IF(A70="","",MONTH(A70))</f>
        <v>2</v>
      </c>
    </row>
    <row r="71" customFormat="false" ht="15" hidden="false" customHeight="false" outlineLevel="0" collapsed="false">
      <c r="A71" s="23" t="n">
        <v>45695.8194444445</v>
      </c>
      <c r="B71" s="24" t="s">
        <v>1073</v>
      </c>
      <c r="C71" s="24" t="s">
        <v>1074</v>
      </c>
      <c r="D71" s="24" t="n">
        <v>1</v>
      </c>
      <c r="E71" s="25" t="n">
        <v>7000</v>
      </c>
      <c r="F71" s="25" t="n">
        <v>4800</v>
      </c>
      <c r="G71" s="24" t="s">
        <v>59</v>
      </c>
      <c r="H71" s="24" t="s">
        <v>55</v>
      </c>
      <c r="I71" s="28" t="n">
        <f aca="false">IF(A71="","",D71*E71)</f>
        <v>7000</v>
      </c>
      <c r="J71" s="28" t="n">
        <f aca="false">IF(A71="","",D71*F71)</f>
        <v>4800</v>
      </c>
      <c r="K71" s="26" t="n">
        <f aca="false">IF(A71="","",YEAR(A71))</f>
        <v>2025</v>
      </c>
      <c r="L71" s="26" t="n">
        <f aca="false">IF(A71="","",MONTH(A71))</f>
        <v>2</v>
      </c>
    </row>
    <row r="72" customFormat="false" ht="15" hidden="false" customHeight="false" outlineLevel="0" collapsed="false">
      <c r="A72" s="23" t="n">
        <v>45695.8722222222</v>
      </c>
      <c r="B72" s="24" t="s">
        <v>1067</v>
      </c>
      <c r="C72" s="24" t="s">
        <v>1068</v>
      </c>
      <c r="D72" s="24" t="n">
        <v>1</v>
      </c>
      <c r="E72" s="25" t="n">
        <v>4000</v>
      </c>
      <c r="F72" s="25" t="n">
        <v>2600</v>
      </c>
      <c r="G72" s="24" t="s">
        <v>59</v>
      </c>
      <c r="H72" s="24" t="s">
        <v>60</v>
      </c>
      <c r="I72" s="28" t="n">
        <f aca="false">IF(A72="","",D72*E72)</f>
        <v>4000</v>
      </c>
      <c r="J72" s="28" t="n">
        <f aca="false">IF(A72="","",D72*F72)</f>
        <v>2600</v>
      </c>
      <c r="K72" s="26" t="n">
        <f aca="false">IF(A72="","",YEAR(A72))</f>
        <v>2025</v>
      </c>
      <c r="L72" s="26" t="n">
        <f aca="false">IF(A72="","",MONTH(A72))</f>
        <v>2</v>
      </c>
    </row>
    <row r="73" customFormat="false" ht="15" hidden="false" customHeight="false" outlineLevel="0" collapsed="false">
      <c r="A73" s="23" t="n">
        <v>45696.7159722222</v>
      </c>
      <c r="B73" s="24" t="s">
        <v>1067</v>
      </c>
      <c r="C73" s="24" t="s">
        <v>1068</v>
      </c>
      <c r="D73" s="24" t="n">
        <v>1</v>
      </c>
      <c r="E73" s="25" t="n">
        <v>4000</v>
      </c>
      <c r="F73" s="25" t="n">
        <v>2600</v>
      </c>
      <c r="G73" s="24" t="s">
        <v>69</v>
      </c>
      <c r="H73" s="24" t="s">
        <v>60</v>
      </c>
      <c r="I73" s="28" t="n">
        <f aca="false">IF(A73="","",D73*E73)</f>
        <v>4000</v>
      </c>
      <c r="J73" s="28" t="n">
        <f aca="false">IF(A73="","",D73*F73)</f>
        <v>2600</v>
      </c>
      <c r="K73" s="26" t="n">
        <f aca="false">IF(A73="","",YEAR(A73))</f>
        <v>2025</v>
      </c>
      <c r="L73" s="26" t="n">
        <f aca="false">IF(A73="","",MONTH(A73))</f>
        <v>2</v>
      </c>
    </row>
    <row r="74" customFormat="false" ht="15" hidden="false" customHeight="false" outlineLevel="0" collapsed="false">
      <c r="A74" s="23" t="n">
        <v>45696.7770833333</v>
      </c>
      <c r="B74" s="24" t="s">
        <v>1067</v>
      </c>
      <c r="C74" s="24" t="s">
        <v>1068</v>
      </c>
      <c r="D74" s="24" t="n">
        <v>1</v>
      </c>
      <c r="E74" s="25" t="n">
        <v>4000</v>
      </c>
      <c r="F74" s="25" t="n">
        <v>2600</v>
      </c>
      <c r="G74" s="24" t="s">
        <v>69</v>
      </c>
      <c r="H74" s="24" t="s">
        <v>60</v>
      </c>
      <c r="I74" s="28" t="n">
        <f aca="false">IF(A74="","",D74*E74)</f>
        <v>4000</v>
      </c>
      <c r="J74" s="28" t="n">
        <f aca="false">IF(A74="","",D74*F74)</f>
        <v>2600</v>
      </c>
      <c r="K74" s="26" t="n">
        <f aca="false">IF(A74="","",YEAR(A74))</f>
        <v>2025</v>
      </c>
      <c r="L74" s="26" t="n">
        <f aca="false">IF(A74="","",MONTH(A74))</f>
        <v>2</v>
      </c>
    </row>
    <row r="75" customFormat="false" ht="15" hidden="false" customHeight="false" outlineLevel="0" collapsed="false">
      <c r="A75" s="23" t="n">
        <v>45696.8416666667</v>
      </c>
      <c r="B75" s="24" t="s">
        <v>1081</v>
      </c>
      <c r="C75" s="24" t="s">
        <v>1082</v>
      </c>
      <c r="D75" s="24" t="n">
        <v>1</v>
      </c>
      <c r="E75" s="25" t="n">
        <v>2500</v>
      </c>
      <c r="F75" s="25" t="n">
        <v>1500</v>
      </c>
      <c r="G75" s="24" t="s">
        <v>59</v>
      </c>
      <c r="H75" s="24" t="s">
        <v>55</v>
      </c>
      <c r="I75" s="28" t="n">
        <f aca="false">IF(A75="","",D75*E75)</f>
        <v>2500</v>
      </c>
      <c r="J75" s="28" t="n">
        <f aca="false">IF(A75="","",D75*F75)</f>
        <v>1500</v>
      </c>
      <c r="K75" s="26" t="n">
        <f aca="false">IF(A75="","",YEAR(A75))</f>
        <v>2025</v>
      </c>
      <c r="L75" s="26" t="n">
        <f aca="false">IF(A75="","",MONTH(A75))</f>
        <v>2</v>
      </c>
    </row>
    <row r="76" customFormat="false" ht="15" hidden="false" customHeight="false" outlineLevel="0" collapsed="false">
      <c r="A76" s="23" t="n">
        <v>45697.4277777778</v>
      </c>
      <c r="B76" s="24" t="s">
        <v>1067</v>
      </c>
      <c r="C76" s="24" t="s">
        <v>1068</v>
      </c>
      <c r="D76" s="24" t="n">
        <v>2</v>
      </c>
      <c r="E76" s="25" t="n">
        <v>4000</v>
      </c>
      <c r="F76" s="25" t="n">
        <v>2600</v>
      </c>
      <c r="G76" s="24" t="s">
        <v>59</v>
      </c>
      <c r="H76" s="24" t="s">
        <v>55</v>
      </c>
      <c r="I76" s="28" t="n">
        <f aca="false">IF(A76="","",D76*E76)</f>
        <v>8000</v>
      </c>
      <c r="J76" s="28" t="n">
        <f aca="false">IF(A76="","",D76*F76)</f>
        <v>5200</v>
      </c>
      <c r="K76" s="26" t="n">
        <f aca="false">IF(A76="","",YEAR(A76))</f>
        <v>2025</v>
      </c>
      <c r="L76" s="26" t="n">
        <f aca="false">IF(A76="","",MONTH(A76))</f>
        <v>2</v>
      </c>
    </row>
    <row r="77" customFormat="false" ht="15" hidden="false" customHeight="false" outlineLevel="0" collapsed="false">
      <c r="A77" s="23" t="n">
        <v>45697.5229166667</v>
      </c>
      <c r="B77" s="24" t="s">
        <v>1069</v>
      </c>
      <c r="C77" s="24" t="s">
        <v>1070</v>
      </c>
      <c r="D77" s="24" t="n">
        <v>3</v>
      </c>
      <c r="E77" s="25" t="n">
        <v>4500</v>
      </c>
      <c r="F77" s="25" t="n">
        <v>3000</v>
      </c>
      <c r="G77" s="24" t="s">
        <v>69</v>
      </c>
      <c r="H77" s="24" t="s">
        <v>80</v>
      </c>
      <c r="I77" s="28" t="n">
        <f aca="false">IF(A77="","",D77*E77)</f>
        <v>13500</v>
      </c>
      <c r="J77" s="28" t="n">
        <f aca="false">IF(A77="","",D77*F77)</f>
        <v>9000</v>
      </c>
      <c r="K77" s="26" t="n">
        <f aca="false">IF(A77="","",YEAR(A77))</f>
        <v>2025</v>
      </c>
      <c r="L77" s="26" t="n">
        <f aca="false">IF(A77="","",MONTH(A77))</f>
        <v>2</v>
      </c>
    </row>
    <row r="78" customFormat="false" ht="15" hidden="false" customHeight="false" outlineLevel="0" collapsed="false">
      <c r="A78" s="23" t="n">
        <v>45697.5541666667</v>
      </c>
      <c r="B78" s="24" t="s">
        <v>1071</v>
      </c>
      <c r="C78" s="24" t="s">
        <v>1072</v>
      </c>
      <c r="D78" s="24" t="n">
        <v>2</v>
      </c>
      <c r="E78" s="25" t="n">
        <v>2000</v>
      </c>
      <c r="F78" s="25" t="n">
        <v>1100</v>
      </c>
      <c r="G78" s="24" t="s">
        <v>59</v>
      </c>
      <c r="H78" s="24" t="s">
        <v>60</v>
      </c>
      <c r="I78" s="28" t="n">
        <f aca="false">IF(A78="","",D78*E78)</f>
        <v>4000</v>
      </c>
      <c r="J78" s="28" t="n">
        <f aca="false">IF(A78="","",D78*F78)</f>
        <v>2200</v>
      </c>
      <c r="K78" s="26" t="n">
        <f aca="false">IF(A78="","",YEAR(A78))</f>
        <v>2025</v>
      </c>
      <c r="L78" s="26" t="n">
        <f aca="false">IF(A78="","",MONTH(A78))</f>
        <v>2</v>
      </c>
    </row>
    <row r="79" customFormat="false" ht="15" hidden="false" customHeight="false" outlineLevel="0" collapsed="false">
      <c r="A79" s="23" t="n">
        <v>45698.3479166667</v>
      </c>
      <c r="B79" s="24" t="s">
        <v>1075</v>
      </c>
      <c r="C79" s="24" t="s">
        <v>1076</v>
      </c>
      <c r="D79" s="24" t="n">
        <v>1</v>
      </c>
      <c r="E79" s="25" t="n">
        <v>1000</v>
      </c>
      <c r="F79" s="25" t="n">
        <v>300</v>
      </c>
      <c r="G79" s="24" t="s">
        <v>59</v>
      </c>
      <c r="H79" s="24" t="s">
        <v>80</v>
      </c>
      <c r="I79" s="28" t="n">
        <f aca="false">IF(A79="","",D79*E79)</f>
        <v>1000</v>
      </c>
      <c r="J79" s="28" t="n">
        <f aca="false">IF(A79="","",D79*F79)</f>
        <v>300</v>
      </c>
      <c r="K79" s="26" t="n">
        <f aca="false">IF(A79="","",YEAR(A79))</f>
        <v>2025</v>
      </c>
      <c r="L79" s="26" t="n">
        <f aca="false">IF(A79="","",MONTH(A79))</f>
        <v>2</v>
      </c>
    </row>
    <row r="80" customFormat="false" ht="15" hidden="false" customHeight="false" outlineLevel="0" collapsed="false">
      <c r="A80" s="23" t="n">
        <v>45699.5083333333</v>
      </c>
      <c r="B80" s="24" t="s">
        <v>1079</v>
      </c>
      <c r="C80" s="24" t="s">
        <v>1080</v>
      </c>
      <c r="D80" s="24" t="n">
        <v>3</v>
      </c>
      <c r="E80" s="25" t="n">
        <v>2500</v>
      </c>
      <c r="F80" s="25" t="n">
        <v>1600</v>
      </c>
      <c r="G80" s="24" t="s">
        <v>69</v>
      </c>
      <c r="H80" s="24" t="s">
        <v>80</v>
      </c>
      <c r="I80" s="28" t="n">
        <f aca="false">IF(A80="","",D80*E80)</f>
        <v>7500</v>
      </c>
      <c r="J80" s="28" t="n">
        <f aca="false">IF(A80="","",D80*F80)</f>
        <v>4800</v>
      </c>
      <c r="K80" s="26" t="n">
        <f aca="false">IF(A80="","",YEAR(A80))</f>
        <v>2025</v>
      </c>
      <c r="L80" s="26" t="n">
        <f aca="false">IF(A80="","",MONTH(A80))</f>
        <v>2</v>
      </c>
    </row>
    <row r="81" customFormat="false" ht="15" hidden="false" customHeight="false" outlineLevel="0" collapsed="false">
      <c r="A81" s="23" t="n">
        <v>45699.7354166667</v>
      </c>
      <c r="B81" s="24" t="s">
        <v>1079</v>
      </c>
      <c r="C81" s="24" t="s">
        <v>1080</v>
      </c>
      <c r="D81" s="24" t="n">
        <v>3</v>
      </c>
      <c r="E81" s="25" t="n">
        <v>2500</v>
      </c>
      <c r="F81" s="25" t="n">
        <v>1600</v>
      </c>
      <c r="G81" s="24" t="s">
        <v>69</v>
      </c>
      <c r="H81" s="24" t="s">
        <v>80</v>
      </c>
      <c r="I81" s="28" t="n">
        <f aca="false">IF(A81="","",D81*E81)</f>
        <v>7500</v>
      </c>
      <c r="J81" s="28" t="n">
        <f aca="false">IF(A81="","",D81*F81)</f>
        <v>4800</v>
      </c>
      <c r="K81" s="26" t="n">
        <f aca="false">IF(A81="","",YEAR(A81))</f>
        <v>2025</v>
      </c>
      <c r="L81" s="26" t="n">
        <f aca="false">IF(A81="","",MONTH(A81))</f>
        <v>2</v>
      </c>
    </row>
    <row r="82" customFormat="false" ht="15" hidden="false" customHeight="false" outlineLevel="0" collapsed="false">
      <c r="A82" s="23" t="n">
        <v>45699.7486111111</v>
      </c>
      <c r="B82" s="24" t="s">
        <v>1081</v>
      </c>
      <c r="C82" s="24" t="s">
        <v>1082</v>
      </c>
      <c r="D82" s="24" t="n">
        <v>2</v>
      </c>
      <c r="E82" s="25" t="n">
        <v>2500</v>
      </c>
      <c r="F82" s="25" t="n">
        <v>1500</v>
      </c>
      <c r="G82" s="24" t="s">
        <v>69</v>
      </c>
      <c r="H82" s="24" t="s">
        <v>80</v>
      </c>
      <c r="I82" s="28" t="n">
        <f aca="false">IF(A82="","",D82*E82)</f>
        <v>5000</v>
      </c>
      <c r="J82" s="28" t="n">
        <f aca="false">IF(A82="","",D82*F82)</f>
        <v>3000</v>
      </c>
      <c r="K82" s="26" t="n">
        <f aca="false">IF(A82="","",YEAR(A82))</f>
        <v>2025</v>
      </c>
      <c r="L82" s="26" t="n">
        <f aca="false">IF(A82="","",MONTH(A82))</f>
        <v>2</v>
      </c>
    </row>
    <row r="83" customFormat="false" ht="15" hidden="false" customHeight="false" outlineLevel="0" collapsed="false">
      <c r="A83" s="23" t="n">
        <v>45699.7513888889</v>
      </c>
      <c r="B83" s="24" t="s">
        <v>1065</v>
      </c>
      <c r="C83" s="24" t="s">
        <v>1066</v>
      </c>
      <c r="D83" s="24" t="n">
        <v>2</v>
      </c>
      <c r="E83" s="25" t="n">
        <v>3000</v>
      </c>
      <c r="F83" s="25" t="n">
        <v>2000</v>
      </c>
      <c r="G83" s="24" t="s">
        <v>59</v>
      </c>
      <c r="H83" s="24" t="s">
        <v>55</v>
      </c>
      <c r="I83" s="28" t="n">
        <f aca="false">IF(A83="","",D83*E83)</f>
        <v>6000</v>
      </c>
      <c r="J83" s="28" t="n">
        <f aca="false">IF(A83="","",D83*F83)</f>
        <v>4000</v>
      </c>
      <c r="K83" s="26" t="n">
        <f aca="false">IF(A83="","",YEAR(A83))</f>
        <v>2025</v>
      </c>
      <c r="L83" s="26" t="n">
        <f aca="false">IF(A83="","",MONTH(A83))</f>
        <v>2</v>
      </c>
    </row>
    <row r="84" customFormat="false" ht="15" hidden="false" customHeight="false" outlineLevel="0" collapsed="false">
      <c r="A84" s="23" t="n">
        <v>45700.60625</v>
      </c>
      <c r="B84" s="24" t="s">
        <v>1079</v>
      </c>
      <c r="C84" s="24" t="s">
        <v>1080</v>
      </c>
      <c r="D84" s="24" t="n">
        <v>1</v>
      </c>
      <c r="E84" s="25" t="n">
        <v>2500</v>
      </c>
      <c r="F84" s="25" t="n">
        <v>1600</v>
      </c>
      <c r="G84" s="24" t="s">
        <v>59</v>
      </c>
      <c r="H84" s="24" t="s">
        <v>55</v>
      </c>
      <c r="I84" s="28" t="n">
        <f aca="false">IF(A84="","",D84*E84)</f>
        <v>2500</v>
      </c>
      <c r="J84" s="28" t="n">
        <f aca="false">IF(A84="","",D84*F84)</f>
        <v>1600</v>
      </c>
      <c r="K84" s="26" t="n">
        <f aca="false">IF(A84="","",YEAR(A84))</f>
        <v>2025</v>
      </c>
      <c r="L84" s="26" t="n">
        <f aca="false">IF(A84="","",MONTH(A84))</f>
        <v>2</v>
      </c>
    </row>
    <row r="85" customFormat="false" ht="15" hidden="false" customHeight="false" outlineLevel="0" collapsed="false">
      <c r="A85" s="23" t="n">
        <v>45700.6548611111</v>
      </c>
      <c r="B85" s="24" t="s">
        <v>1081</v>
      </c>
      <c r="C85" s="24" t="s">
        <v>1082</v>
      </c>
      <c r="D85" s="24" t="n">
        <v>3</v>
      </c>
      <c r="E85" s="25" t="n">
        <v>2500</v>
      </c>
      <c r="F85" s="25" t="n">
        <v>1500</v>
      </c>
      <c r="G85" s="24" t="s">
        <v>69</v>
      </c>
      <c r="H85" s="24" t="s">
        <v>80</v>
      </c>
      <c r="I85" s="28" t="n">
        <f aca="false">IF(A85="","",D85*E85)</f>
        <v>7500</v>
      </c>
      <c r="J85" s="28" t="n">
        <f aca="false">IF(A85="","",D85*F85)</f>
        <v>4500</v>
      </c>
      <c r="K85" s="26" t="n">
        <f aca="false">IF(A85="","",YEAR(A85))</f>
        <v>2025</v>
      </c>
      <c r="L85" s="26" t="n">
        <f aca="false">IF(A85="","",MONTH(A85))</f>
        <v>2</v>
      </c>
    </row>
    <row r="86" customFormat="false" ht="15" hidden="false" customHeight="false" outlineLevel="0" collapsed="false">
      <c r="A86" s="23" t="n">
        <v>45701.4527777778</v>
      </c>
      <c r="B86" s="24" t="s">
        <v>1069</v>
      </c>
      <c r="C86" s="24" t="s">
        <v>1070</v>
      </c>
      <c r="D86" s="24" t="n">
        <v>2</v>
      </c>
      <c r="E86" s="25" t="n">
        <v>4500</v>
      </c>
      <c r="F86" s="25" t="n">
        <v>3000</v>
      </c>
      <c r="G86" s="24" t="s">
        <v>59</v>
      </c>
      <c r="H86" s="24" t="s">
        <v>80</v>
      </c>
      <c r="I86" s="28" t="n">
        <f aca="false">IF(A86="","",D86*E86)</f>
        <v>9000</v>
      </c>
      <c r="J86" s="28" t="n">
        <f aca="false">IF(A86="","",D86*F86)</f>
        <v>6000</v>
      </c>
      <c r="K86" s="26" t="n">
        <f aca="false">IF(A86="","",YEAR(A86))</f>
        <v>2025</v>
      </c>
      <c r="L86" s="26" t="n">
        <f aca="false">IF(A86="","",MONTH(A86))</f>
        <v>2</v>
      </c>
    </row>
    <row r="87" customFormat="false" ht="15" hidden="false" customHeight="false" outlineLevel="0" collapsed="false">
      <c r="A87" s="23" t="n">
        <v>45701.5645833333</v>
      </c>
      <c r="B87" s="24" t="s">
        <v>1077</v>
      </c>
      <c r="C87" s="24" t="s">
        <v>1078</v>
      </c>
      <c r="D87" s="24" t="n">
        <v>2</v>
      </c>
      <c r="E87" s="25" t="n">
        <v>1500</v>
      </c>
      <c r="F87" s="25" t="n">
        <v>900</v>
      </c>
      <c r="G87" s="24" t="s">
        <v>59</v>
      </c>
      <c r="H87" s="24" t="s">
        <v>55</v>
      </c>
      <c r="I87" s="28" t="n">
        <f aca="false">IF(A87="","",D87*E87)</f>
        <v>3000</v>
      </c>
      <c r="J87" s="28" t="n">
        <f aca="false">IF(A87="","",D87*F87)</f>
        <v>1800</v>
      </c>
      <c r="K87" s="26" t="n">
        <f aca="false">IF(A87="","",YEAR(A87))</f>
        <v>2025</v>
      </c>
      <c r="L87" s="26" t="n">
        <f aca="false">IF(A87="","",MONTH(A87))</f>
        <v>2</v>
      </c>
    </row>
    <row r="88" customFormat="false" ht="15" hidden="false" customHeight="false" outlineLevel="0" collapsed="false">
      <c r="A88" s="23" t="n">
        <v>45701.6263888889</v>
      </c>
      <c r="B88" s="24" t="s">
        <v>1073</v>
      </c>
      <c r="C88" s="24" t="s">
        <v>1074</v>
      </c>
      <c r="D88" s="24" t="n">
        <v>1</v>
      </c>
      <c r="E88" s="25" t="n">
        <v>7000</v>
      </c>
      <c r="F88" s="25" t="n">
        <v>4800</v>
      </c>
      <c r="G88" s="24" t="s">
        <v>59</v>
      </c>
      <c r="H88" s="24" t="s">
        <v>60</v>
      </c>
      <c r="I88" s="28" t="n">
        <f aca="false">IF(A88="","",D88*E88)</f>
        <v>7000</v>
      </c>
      <c r="J88" s="28" t="n">
        <f aca="false">IF(A88="","",D88*F88)</f>
        <v>4800</v>
      </c>
      <c r="K88" s="26" t="n">
        <f aca="false">IF(A88="","",YEAR(A88))</f>
        <v>2025</v>
      </c>
      <c r="L88" s="26" t="n">
        <f aca="false">IF(A88="","",MONTH(A88))</f>
        <v>2</v>
      </c>
    </row>
    <row r="89" customFormat="false" ht="15" hidden="false" customHeight="false" outlineLevel="0" collapsed="false">
      <c r="A89" s="23" t="n">
        <v>45701.7361111111</v>
      </c>
      <c r="B89" s="24" t="s">
        <v>1081</v>
      </c>
      <c r="C89" s="24" t="s">
        <v>1082</v>
      </c>
      <c r="D89" s="24" t="n">
        <v>1</v>
      </c>
      <c r="E89" s="25" t="n">
        <v>2500</v>
      </c>
      <c r="F89" s="25" t="n">
        <v>1500</v>
      </c>
      <c r="G89" s="24" t="s">
        <v>59</v>
      </c>
      <c r="H89" s="24" t="s">
        <v>80</v>
      </c>
      <c r="I89" s="28" t="n">
        <f aca="false">IF(A89="","",D89*E89)</f>
        <v>2500</v>
      </c>
      <c r="J89" s="28" t="n">
        <f aca="false">IF(A89="","",D89*F89)</f>
        <v>1500</v>
      </c>
      <c r="K89" s="26" t="n">
        <f aca="false">IF(A89="","",YEAR(A89))</f>
        <v>2025</v>
      </c>
      <c r="L89" s="26" t="n">
        <f aca="false">IF(A89="","",MONTH(A89))</f>
        <v>2</v>
      </c>
    </row>
    <row r="90" customFormat="false" ht="15" hidden="false" customHeight="false" outlineLevel="0" collapsed="false">
      <c r="A90" s="23" t="n">
        <v>45701.8590277778</v>
      </c>
      <c r="B90" s="24" t="s">
        <v>1073</v>
      </c>
      <c r="C90" s="24" t="s">
        <v>1074</v>
      </c>
      <c r="D90" s="24" t="n">
        <v>1</v>
      </c>
      <c r="E90" s="25" t="n">
        <v>7000</v>
      </c>
      <c r="F90" s="25" t="n">
        <v>4800</v>
      </c>
      <c r="G90" s="24" t="s">
        <v>69</v>
      </c>
      <c r="H90" s="24" t="s">
        <v>80</v>
      </c>
      <c r="I90" s="28" t="n">
        <f aca="false">IF(A90="","",D90*E90)</f>
        <v>7000</v>
      </c>
      <c r="J90" s="28" t="n">
        <f aca="false">IF(A90="","",D90*F90)</f>
        <v>4800</v>
      </c>
      <c r="K90" s="26" t="n">
        <f aca="false">IF(A90="","",YEAR(A90))</f>
        <v>2025</v>
      </c>
      <c r="L90" s="26" t="n">
        <f aca="false">IF(A90="","",MONTH(A90))</f>
        <v>2</v>
      </c>
    </row>
    <row r="91" customFormat="false" ht="15" hidden="false" customHeight="false" outlineLevel="0" collapsed="false">
      <c r="A91" s="23" t="n">
        <v>45702.2993055556</v>
      </c>
      <c r="B91" s="24" t="s">
        <v>1069</v>
      </c>
      <c r="C91" s="24" t="s">
        <v>1070</v>
      </c>
      <c r="D91" s="24" t="n">
        <v>1</v>
      </c>
      <c r="E91" s="25" t="n">
        <v>4500</v>
      </c>
      <c r="F91" s="25" t="n">
        <v>3000</v>
      </c>
      <c r="G91" s="24" t="s">
        <v>59</v>
      </c>
      <c r="H91" s="24" t="s">
        <v>80</v>
      </c>
      <c r="I91" s="28" t="n">
        <f aca="false">IF(A91="","",D91*E91)</f>
        <v>4500</v>
      </c>
      <c r="J91" s="28" t="n">
        <f aca="false">IF(A91="","",D91*F91)</f>
        <v>3000</v>
      </c>
      <c r="K91" s="26" t="n">
        <f aca="false">IF(A91="","",YEAR(A91))</f>
        <v>2025</v>
      </c>
      <c r="L91" s="26" t="n">
        <f aca="false">IF(A91="","",MONTH(A91))</f>
        <v>2</v>
      </c>
    </row>
    <row r="92" customFormat="false" ht="15" hidden="false" customHeight="false" outlineLevel="0" collapsed="false">
      <c r="A92" s="23" t="n">
        <v>45702.5479166667</v>
      </c>
      <c r="B92" s="24" t="s">
        <v>1069</v>
      </c>
      <c r="C92" s="24" t="s">
        <v>1070</v>
      </c>
      <c r="D92" s="24" t="n">
        <v>2</v>
      </c>
      <c r="E92" s="25" t="n">
        <v>4500</v>
      </c>
      <c r="F92" s="25" t="n">
        <v>3000</v>
      </c>
      <c r="G92" s="24" t="s">
        <v>69</v>
      </c>
      <c r="H92" s="24" t="s">
        <v>60</v>
      </c>
      <c r="I92" s="28" t="n">
        <f aca="false">IF(A92="","",D92*E92)</f>
        <v>9000</v>
      </c>
      <c r="J92" s="28" t="n">
        <f aca="false">IF(A92="","",D92*F92)</f>
        <v>6000</v>
      </c>
      <c r="K92" s="26" t="n">
        <f aca="false">IF(A92="","",YEAR(A92))</f>
        <v>2025</v>
      </c>
      <c r="L92" s="26" t="n">
        <f aca="false">IF(A92="","",MONTH(A92))</f>
        <v>2</v>
      </c>
    </row>
    <row r="93" customFormat="false" ht="15" hidden="false" customHeight="false" outlineLevel="0" collapsed="false">
      <c r="A93" s="23" t="n">
        <v>45702.5701388889</v>
      </c>
      <c r="B93" s="24" t="s">
        <v>1075</v>
      </c>
      <c r="C93" s="24" t="s">
        <v>1076</v>
      </c>
      <c r="D93" s="24" t="n">
        <v>3</v>
      </c>
      <c r="E93" s="25" t="n">
        <v>1000</v>
      </c>
      <c r="F93" s="25" t="n">
        <v>300</v>
      </c>
      <c r="G93" s="24" t="s">
        <v>69</v>
      </c>
      <c r="H93" s="24" t="s">
        <v>60</v>
      </c>
      <c r="I93" s="28" t="n">
        <f aca="false">IF(A93="","",D93*E93)</f>
        <v>3000</v>
      </c>
      <c r="J93" s="28" t="n">
        <f aca="false">IF(A93="","",D93*F93)</f>
        <v>900</v>
      </c>
      <c r="K93" s="26" t="n">
        <f aca="false">IF(A93="","",YEAR(A93))</f>
        <v>2025</v>
      </c>
      <c r="L93" s="26" t="n">
        <f aca="false">IF(A93="","",MONTH(A93))</f>
        <v>2</v>
      </c>
    </row>
    <row r="94" customFormat="false" ht="15" hidden="false" customHeight="false" outlineLevel="0" collapsed="false">
      <c r="A94" s="23" t="n">
        <v>45702.5909722222</v>
      </c>
      <c r="B94" s="24" t="s">
        <v>1081</v>
      </c>
      <c r="C94" s="24" t="s">
        <v>1082</v>
      </c>
      <c r="D94" s="24" t="n">
        <v>1</v>
      </c>
      <c r="E94" s="25" t="n">
        <v>2500</v>
      </c>
      <c r="F94" s="25" t="n">
        <v>1500</v>
      </c>
      <c r="G94" s="24" t="s">
        <v>59</v>
      </c>
      <c r="H94" s="24" t="s">
        <v>60</v>
      </c>
      <c r="I94" s="28" t="n">
        <f aca="false">IF(A94="","",D94*E94)</f>
        <v>2500</v>
      </c>
      <c r="J94" s="28" t="n">
        <f aca="false">IF(A94="","",D94*F94)</f>
        <v>1500</v>
      </c>
      <c r="K94" s="26" t="n">
        <f aca="false">IF(A94="","",YEAR(A94))</f>
        <v>2025</v>
      </c>
      <c r="L94" s="26" t="n">
        <f aca="false">IF(A94="","",MONTH(A94))</f>
        <v>2</v>
      </c>
    </row>
    <row r="95" customFormat="false" ht="15" hidden="false" customHeight="false" outlineLevel="0" collapsed="false">
      <c r="A95" s="23" t="n">
        <v>45702.6979166667</v>
      </c>
      <c r="B95" s="24" t="s">
        <v>1065</v>
      </c>
      <c r="C95" s="24" t="s">
        <v>1066</v>
      </c>
      <c r="D95" s="24" t="n">
        <v>1</v>
      </c>
      <c r="E95" s="25" t="n">
        <v>3000</v>
      </c>
      <c r="F95" s="25" t="n">
        <v>2000</v>
      </c>
      <c r="G95" s="24" t="s">
        <v>59</v>
      </c>
      <c r="H95" s="24" t="s">
        <v>80</v>
      </c>
      <c r="I95" s="28" t="n">
        <f aca="false">IF(A95="","",D95*E95)</f>
        <v>3000</v>
      </c>
      <c r="J95" s="28" t="n">
        <f aca="false">IF(A95="","",D95*F95)</f>
        <v>2000</v>
      </c>
      <c r="K95" s="26" t="n">
        <f aca="false">IF(A95="","",YEAR(A95))</f>
        <v>2025</v>
      </c>
      <c r="L95" s="26" t="n">
        <f aca="false">IF(A95="","",MONTH(A95))</f>
        <v>2</v>
      </c>
    </row>
    <row r="96" customFormat="false" ht="15" hidden="false" customHeight="false" outlineLevel="0" collapsed="false">
      <c r="A96" s="23" t="n">
        <v>45702.8388888889</v>
      </c>
      <c r="B96" s="24" t="s">
        <v>1079</v>
      </c>
      <c r="C96" s="24" t="s">
        <v>1080</v>
      </c>
      <c r="D96" s="24" t="n">
        <v>1</v>
      </c>
      <c r="E96" s="25" t="n">
        <v>2500</v>
      </c>
      <c r="F96" s="25" t="n">
        <v>1600</v>
      </c>
      <c r="G96" s="24" t="s">
        <v>59</v>
      </c>
      <c r="H96" s="24" t="s">
        <v>80</v>
      </c>
      <c r="I96" s="28" t="n">
        <f aca="false">IF(A96="","",D96*E96)</f>
        <v>2500</v>
      </c>
      <c r="J96" s="28" t="n">
        <f aca="false">IF(A96="","",D96*F96)</f>
        <v>1600</v>
      </c>
      <c r="K96" s="26" t="n">
        <f aca="false">IF(A96="","",YEAR(A96))</f>
        <v>2025</v>
      </c>
      <c r="L96" s="26" t="n">
        <f aca="false">IF(A96="","",MONTH(A96))</f>
        <v>2</v>
      </c>
    </row>
    <row r="97" customFormat="false" ht="15" hidden="false" customHeight="false" outlineLevel="0" collapsed="false">
      <c r="A97" s="23" t="n">
        <v>45704.3708333333</v>
      </c>
      <c r="B97" s="24" t="s">
        <v>1071</v>
      </c>
      <c r="C97" s="24" t="s">
        <v>1072</v>
      </c>
      <c r="D97" s="24" t="n">
        <v>1</v>
      </c>
      <c r="E97" s="25" t="n">
        <v>2000</v>
      </c>
      <c r="F97" s="25" t="n">
        <v>1100</v>
      </c>
      <c r="G97" s="24" t="s">
        <v>59</v>
      </c>
      <c r="H97" s="24" t="s">
        <v>80</v>
      </c>
      <c r="I97" s="28" t="n">
        <f aca="false">IF(A97="","",D97*E97)</f>
        <v>2000</v>
      </c>
      <c r="J97" s="28" t="n">
        <f aca="false">IF(A97="","",D97*F97)</f>
        <v>1100</v>
      </c>
      <c r="K97" s="26" t="n">
        <f aca="false">IF(A97="","",YEAR(A97))</f>
        <v>2025</v>
      </c>
      <c r="L97" s="26" t="n">
        <f aca="false">IF(A97="","",MONTH(A97))</f>
        <v>2</v>
      </c>
    </row>
    <row r="98" customFormat="false" ht="15" hidden="false" customHeight="false" outlineLevel="0" collapsed="false">
      <c r="A98" s="23" t="n">
        <v>45704.8743055556</v>
      </c>
      <c r="B98" s="24" t="s">
        <v>1079</v>
      </c>
      <c r="C98" s="24" t="s">
        <v>1080</v>
      </c>
      <c r="D98" s="24" t="n">
        <v>1</v>
      </c>
      <c r="E98" s="25" t="n">
        <v>2500</v>
      </c>
      <c r="F98" s="25" t="n">
        <v>1600</v>
      </c>
      <c r="G98" s="24" t="s">
        <v>69</v>
      </c>
      <c r="H98" s="24" t="s">
        <v>80</v>
      </c>
      <c r="I98" s="28" t="n">
        <f aca="false">IF(A98="","",D98*E98)</f>
        <v>2500</v>
      </c>
      <c r="J98" s="28" t="n">
        <f aca="false">IF(A98="","",D98*F98)</f>
        <v>1600</v>
      </c>
      <c r="K98" s="26" t="n">
        <f aca="false">IF(A98="","",YEAR(A98))</f>
        <v>2025</v>
      </c>
      <c r="L98" s="26" t="n">
        <f aca="false">IF(A98="","",MONTH(A98))</f>
        <v>2</v>
      </c>
    </row>
    <row r="99" customFormat="false" ht="15" hidden="false" customHeight="false" outlineLevel="0" collapsed="false">
      <c r="A99" s="23" t="n">
        <v>45705.3069444444</v>
      </c>
      <c r="B99" s="24" t="s">
        <v>1079</v>
      </c>
      <c r="C99" s="24" t="s">
        <v>1080</v>
      </c>
      <c r="D99" s="24" t="n">
        <v>1</v>
      </c>
      <c r="E99" s="25" t="n">
        <v>2500</v>
      </c>
      <c r="F99" s="25" t="n">
        <v>1600</v>
      </c>
      <c r="G99" s="24" t="s">
        <v>59</v>
      </c>
      <c r="H99" s="24" t="s">
        <v>60</v>
      </c>
      <c r="I99" s="28" t="n">
        <f aca="false">IF(A99="","",D99*E99)</f>
        <v>2500</v>
      </c>
      <c r="J99" s="28" t="n">
        <f aca="false">IF(A99="","",D99*F99)</f>
        <v>1600</v>
      </c>
      <c r="K99" s="26" t="n">
        <f aca="false">IF(A99="","",YEAR(A99))</f>
        <v>2025</v>
      </c>
      <c r="L99" s="26" t="n">
        <f aca="false">IF(A99="","",MONTH(A99))</f>
        <v>2</v>
      </c>
    </row>
    <row r="100" customFormat="false" ht="15" hidden="false" customHeight="false" outlineLevel="0" collapsed="false">
      <c r="A100" s="23" t="n">
        <v>45705.35625</v>
      </c>
      <c r="B100" s="24" t="s">
        <v>1069</v>
      </c>
      <c r="C100" s="24" t="s">
        <v>1070</v>
      </c>
      <c r="D100" s="24" t="n">
        <v>1</v>
      </c>
      <c r="E100" s="25" t="n">
        <v>4500</v>
      </c>
      <c r="F100" s="25" t="n">
        <v>3000</v>
      </c>
      <c r="G100" s="24" t="s">
        <v>69</v>
      </c>
      <c r="H100" s="24" t="s">
        <v>80</v>
      </c>
      <c r="I100" s="28" t="n">
        <f aca="false">IF(A100="","",D100*E100)</f>
        <v>4500</v>
      </c>
      <c r="J100" s="28" t="n">
        <f aca="false">IF(A100="","",D100*F100)</f>
        <v>3000</v>
      </c>
      <c r="K100" s="26" t="n">
        <f aca="false">IF(A100="","",YEAR(A100))</f>
        <v>2025</v>
      </c>
      <c r="L100" s="26" t="n">
        <f aca="false">IF(A100="","",MONTH(A100))</f>
        <v>2</v>
      </c>
    </row>
    <row r="101" customFormat="false" ht="15" hidden="false" customHeight="false" outlineLevel="0" collapsed="false">
      <c r="A101" s="23" t="n">
        <v>45705.4854166667</v>
      </c>
      <c r="B101" s="24" t="s">
        <v>1081</v>
      </c>
      <c r="C101" s="24" t="s">
        <v>1082</v>
      </c>
      <c r="D101" s="24" t="n">
        <v>1</v>
      </c>
      <c r="E101" s="25" t="n">
        <v>2500</v>
      </c>
      <c r="F101" s="25" t="n">
        <v>1500</v>
      </c>
      <c r="G101" s="24" t="s">
        <v>59</v>
      </c>
      <c r="H101" s="24" t="s">
        <v>55</v>
      </c>
      <c r="I101" s="28" t="n">
        <f aca="false">IF(A101="","",D101*E101)</f>
        <v>2500</v>
      </c>
      <c r="J101" s="28" t="n">
        <f aca="false">IF(A101="","",D101*F101)</f>
        <v>1500</v>
      </c>
      <c r="K101" s="26" t="n">
        <f aca="false">IF(A101="","",YEAR(A101))</f>
        <v>2025</v>
      </c>
      <c r="L101" s="26" t="n">
        <f aca="false">IF(A101="","",MONTH(A101))</f>
        <v>2</v>
      </c>
    </row>
    <row r="102" customFormat="false" ht="15" hidden="false" customHeight="false" outlineLevel="0" collapsed="false">
      <c r="A102" s="23" t="n">
        <v>45705.6875</v>
      </c>
      <c r="B102" s="24" t="s">
        <v>1067</v>
      </c>
      <c r="C102" s="24" t="s">
        <v>1068</v>
      </c>
      <c r="D102" s="24" t="n">
        <v>3</v>
      </c>
      <c r="E102" s="25" t="n">
        <v>4000</v>
      </c>
      <c r="F102" s="25" t="n">
        <v>2600</v>
      </c>
      <c r="G102" s="24" t="s">
        <v>59</v>
      </c>
      <c r="H102" s="24" t="s">
        <v>80</v>
      </c>
      <c r="I102" s="28" t="n">
        <f aca="false">IF(A102="","",D102*E102)</f>
        <v>12000</v>
      </c>
      <c r="J102" s="28" t="n">
        <f aca="false">IF(A102="","",D102*F102)</f>
        <v>7800</v>
      </c>
      <c r="K102" s="26" t="n">
        <f aca="false">IF(A102="","",YEAR(A102))</f>
        <v>2025</v>
      </c>
      <c r="L102" s="26" t="n">
        <f aca="false">IF(A102="","",MONTH(A102))</f>
        <v>2</v>
      </c>
    </row>
    <row r="103" customFormat="false" ht="15" hidden="false" customHeight="false" outlineLevel="0" collapsed="false">
      <c r="A103" s="23" t="n">
        <v>45705.8277777778</v>
      </c>
      <c r="B103" s="24" t="s">
        <v>1079</v>
      </c>
      <c r="C103" s="24" t="s">
        <v>1080</v>
      </c>
      <c r="D103" s="24" t="n">
        <v>1</v>
      </c>
      <c r="E103" s="25" t="n">
        <v>2500</v>
      </c>
      <c r="F103" s="25" t="n">
        <v>1600</v>
      </c>
      <c r="G103" s="24" t="s">
        <v>59</v>
      </c>
      <c r="H103" s="24" t="s">
        <v>55</v>
      </c>
      <c r="I103" s="28" t="n">
        <f aca="false">IF(A103="","",D103*E103)</f>
        <v>2500</v>
      </c>
      <c r="J103" s="28" t="n">
        <f aca="false">IF(A103="","",D103*F103)</f>
        <v>1600</v>
      </c>
      <c r="K103" s="26" t="n">
        <f aca="false">IF(A103="","",YEAR(A103))</f>
        <v>2025</v>
      </c>
      <c r="L103" s="26" t="n">
        <f aca="false">IF(A103="","",MONTH(A103))</f>
        <v>2</v>
      </c>
    </row>
    <row r="104" customFormat="false" ht="15" hidden="false" customHeight="false" outlineLevel="0" collapsed="false">
      <c r="A104" s="23" t="n">
        <v>45706.7222222222</v>
      </c>
      <c r="B104" s="24" t="s">
        <v>1077</v>
      </c>
      <c r="C104" s="24" t="s">
        <v>1078</v>
      </c>
      <c r="D104" s="24" t="n">
        <v>2</v>
      </c>
      <c r="E104" s="25" t="n">
        <v>1500</v>
      </c>
      <c r="F104" s="25" t="n">
        <v>900</v>
      </c>
      <c r="G104" s="24" t="s">
        <v>69</v>
      </c>
      <c r="H104" s="24" t="s">
        <v>80</v>
      </c>
      <c r="I104" s="28" t="n">
        <f aca="false">IF(A104="","",D104*E104)</f>
        <v>3000</v>
      </c>
      <c r="J104" s="28" t="n">
        <f aca="false">IF(A104="","",D104*F104)</f>
        <v>1800</v>
      </c>
      <c r="K104" s="26" t="n">
        <f aca="false">IF(A104="","",YEAR(A104))</f>
        <v>2025</v>
      </c>
      <c r="L104" s="26" t="n">
        <f aca="false">IF(A104="","",MONTH(A104))</f>
        <v>2</v>
      </c>
    </row>
    <row r="105" customFormat="false" ht="15" hidden="false" customHeight="false" outlineLevel="0" collapsed="false">
      <c r="A105" s="23" t="n">
        <v>45707.5722222222</v>
      </c>
      <c r="B105" s="24" t="s">
        <v>1073</v>
      </c>
      <c r="C105" s="24" t="s">
        <v>1074</v>
      </c>
      <c r="D105" s="24" t="n">
        <v>1</v>
      </c>
      <c r="E105" s="25" t="n">
        <v>7000</v>
      </c>
      <c r="F105" s="25" t="n">
        <v>4800</v>
      </c>
      <c r="G105" s="24" t="s">
        <v>59</v>
      </c>
      <c r="H105" s="24" t="s">
        <v>80</v>
      </c>
      <c r="I105" s="28" t="n">
        <f aca="false">IF(A105="","",D105*E105)</f>
        <v>7000</v>
      </c>
      <c r="J105" s="28" t="n">
        <f aca="false">IF(A105="","",D105*F105)</f>
        <v>4800</v>
      </c>
      <c r="K105" s="26" t="n">
        <f aca="false">IF(A105="","",YEAR(A105))</f>
        <v>2025</v>
      </c>
      <c r="L105" s="26" t="n">
        <f aca="false">IF(A105="","",MONTH(A105))</f>
        <v>2</v>
      </c>
    </row>
    <row r="106" customFormat="false" ht="15" hidden="false" customHeight="false" outlineLevel="0" collapsed="false">
      <c r="A106" s="23" t="n">
        <v>45708.5326388889</v>
      </c>
      <c r="B106" s="24" t="s">
        <v>1075</v>
      </c>
      <c r="C106" s="24" t="s">
        <v>1076</v>
      </c>
      <c r="D106" s="24" t="n">
        <v>1</v>
      </c>
      <c r="E106" s="25" t="n">
        <v>1000</v>
      </c>
      <c r="F106" s="25" t="n">
        <v>300</v>
      </c>
      <c r="G106" s="24" t="s">
        <v>69</v>
      </c>
      <c r="H106" s="24" t="s">
        <v>55</v>
      </c>
      <c r="I106" s="28" t="n">
        <f aca="false">IF(A106="","",D106*E106)</f>
        <v>1000</v>
      </c>
      <c r="J106" s="28" t="n">
        <f aca="false">IF(A106="","",D106*F106)</f>
        <v>300</v>
      </c>
      <c r="K106" s="26" t="n">
        <f aca="false">IF(A106="","",YEAR(A106))</f>
        <v>2025</v>
      </c>
      <c r="L106" s="26" t="n">
        <f aca="false">IF(A106="","",MONTH(A106))</f>
        <v>2</v>
      </c>
    </row>
    <row r="107" customFormat="false" ht="15" hidden="false" customHeight="false" outlineLevel="0" collapsed="false">
      <c r="A107" s="23" t="n">
        <v>45708.8027777778</v>
      </c>
      <c r="B107" s="24" t="s">
        <v>1073</v>
      </c>
      <c r="C107" s="24" t="s">
        <v>1074</v>
      </c>
      <c r="D107" s="24" t="n">
        <v>1</v>
      </c>
      <c r="E107" s="25" t="n">
        <v>7000</v>
      </c>
      <c r="F107" s="25" t="n">
        <v>4800</v>
      </c>
      <c r="G107" s="24" t="s">
        <v>69</v>
      </c>
      <c r="H107" s="24" t="s">
        <v>60</v>
      </c>
      <c r="I107" s="28" t="n">
        <f aca="false">IF(A107="","",D107*E107)</f>
        <v>7000</v>
      </c>
      <c r="J107" s="28" t="n">
        <f aca="false">IF(A107="","",D107*F107)</f>
        <v>4800</v>
      </c>
      <c r="K107" s="26" t="n">
        <f aca="false">IF(A107="","",YEAR(A107))</f>
        <v>2025</v>
      </c>
      <c r="L107" s="26" t="n">
        <f aca="false">IF(A107="","",MONTH(A107))</f>
        <v>2</v>
      </c>
    </row>
    <row r="108" customFormat="false" ht="15" hidden="false" customHeight="false" outlineLevel="0" collapsed="false">
      <c r="A108" s="23" t="n">
        <v>45709.3020833333</v>
      </c>
      <c r="B108" s="24" t="s">
        <v>1079</v>
      </c>
      <c r="C108" s="24" t="s">
        <v>1080</v>
      </c>
      <c r="D108" s="24" t="n">
        <v>3</v>
      </c>
      <c r="E108" s="25" t="n">
        <v>2500</v>
      </c>
      <c r="F108" s="25" t="n">
        <v>1600</v>
      </c>
      <c r="G108" s="24" t="s">
        <v>59</v>
      </c>
      <c r="H108" s="24" t="s">
        <v>60</v>
      </c>
      <c r="I108" s="28" t="n">
        <f aca="false">IF(A108="","",D108*E108)</f>
        <v>7500</v>
      </c>
      <c r="J108" s="28" t="n">
        <f aca="false">IF(A108="","",D108*F108)</f>
        <v>4800</v>
      </c>
      <c r="K108" s="26" t="n">
        <f aca="false">IF(A108="","",YEAR(A108))</f>
        <v>2025</v>
      </c>
      <c r="L108" s="26" t="n">
        <f aca="false">IF(A108="","",MONTH(A108))</f>
        <v>2</v>
      </c>
    </row>
    <row r="109" customFormat="false" ht="15" hidden="false" customHeight="false" outlineLevel="0" collapsed="false">
      <c r="A109" s="23" t="n">
        <v>45709.4340277778</v>
      </c>
      <c r="B109" s="24" t="s">
        <v>1079</v>
      </c>
      <c r="C109" s="24" t="s">
        <v>1080</v>
      </c>
      <c r="D109" s="24" t="n">
        <v>1</v>
      </c>
      <c r="E109" s="25" t="n">
        <v>2500</v>
      </c>
      <c r="F109" s="25" t="n">
        <v>1600</v>
      </c>
      <c r="G109" s="24" t="s">
        <v>69</v>
      </c>
      <c r="H109" s="24" t="s">
        <v>55</v>
      </c>
      <c r="I109" s="28" t="n">
        <f aca="false">IF(A109="","",D109*E109)</f>
        <v>2500</v>
      </c>
      <c r="J109" s="28" t="n">
        <f aca="false">IF(A109="","",D109*F109)</f>
        <v>1600</v>
      </c>
      <c r="K109" s="26" t="n">
        <f aca="false">IF(A109="","",YEAR(A109))</f>
        <v>2025</v>
      </c>
      <c r="L109" s="26" t="n">
        <f aca="false">IF(A109="","",MONTH(A109))</f>
        <v>2</v>
      </c>
    </row>
    <row r="110" customFormat="false" ht="15" hidden="false" customHeight="false" outlineLevel="0" collapsed="false">
      <c r="A110" s="23" t="n">
        <v>45709.4715277778</v>
      </c>
      <c r="B110" s="24" t="s">
        <v>1081</v>
      </c>
      <c r="C110" s="24" t="s">
        <v>1082</v>
      </c>
      <c r="D110" s="24" t="n">
        <v>2</v>
      </c>
      <c r="E110" s="25" t="n">
        <v>2500</v>
      </c>
      <c r="F110" s="25" t="n">
        <v>1500</v>
      </c>
      <c r="G110" s="24" t="s">
        <v>59</v>
      </c>
      <c r="H110" s="24" t="s">
        <v>55</v>
      </c>
      <c r="I110" s="28" t="n">
        <f aca="false">IF(A110="","",D110*E110)</f>
        <v>5000</v>
      </c>
      <c r="J110" s="28" t="n">
        <f aca="false">IF(A110="","",D110*F110)</f>
        <v>3000</v>
      </c>
      <c r="K110" s="26" t="n">
        <f aca="false">IF(A110="","",YEAR(A110))</f>
        <v>2025</v>
      </c>
      <c r="L110" s="26" t="n">
        <f aca="false">IF(A110="","",MONTH(A110))</f>
        <v>2</v>
      </c>
    </row>
    <row r="111" customFormat="false" ht="15" hidden="false" customHeight="false" outlineLevel="0" collapsed="false">
      <c r="A111" s="23" t="n">
        <v>45709.5409722222</v>
      </c>
      <c r="B111" s="24" t="s">
        <v>1065</v>
      </c>
      <c r="C111" s="24" t="s">
        <v>1066</v>
      </c>
      <c r="D111" s="24" t="n">
        <v>1</v>
      </c>
      <c r="E111" s="25" t="n">
        <v>3000</v>
      </c>
      <c r="F111" s="25" t="n">
        <v>2000</v>
      </c>
      <c r="G111" s="24" t="s">
        <v>59</v>
      </c>
      <c r="H111" s="24" t="s">
        <v>60</v>
      </c>
      <c r="I111" s="28" t="n">
        <f aca="false">IF(A111="","",D111*E111)</f>
        <v>3000</v>
      </c>
      <c r="J111" s="28" t="n">
        <f aca="false">IF(A111="","",D111*F111)</f>
        <v>2000</v>
      </c>
      <c r="K111" s="26" t="n">
        <f aca="false">IF(A111="","",YEAR(A111))</f>
        <v>2025</v>
      </c>
      <c r="L111" s="26" t="n">
        <f aca="false">IF(A111="","",MONTH(A111))</f>
        <v>2</v>
      </c>
    </row>
    <row r="112" customFormat="false" ht="15" hidden="false" customHeight="false" outlineLevel="0" collapsed="false">
      <c r="A112" s="23" t="n">
        <v>45709.6006944445</v>
      </c>
      <c r="B112" s="24" t="s">
        <v>1065</v>
      </c>
      <c r="C112" s="24" t="s">
        <v>1066</v>
      </c>
      <c r="D112" s="24" t="n">
        <v>3</v>
      </c>
      <c r="E112" s="25" t="n">
        <v>3000</v>
      </c>
      <c r="F112" s="25" t="n">
        <v>2000</v>
      </c>
      <c r="G112" s="24" t="s">
        <v>59</v>
      </c>
      <c r="H112" s="24" t="s">
        <v>60</v>
      </c>
      <c r="I112" s="28" t="n">
        <f aca="false">IF(A112="","",D112*E112)</f>
        <v>9000</v>
      </c>
      <c r="J112" s="28" t="n">
        <f aca="false">IF(A112="","",D112*F112)</f>
        <v>6000</v>
      </c>
      <c r="K112" s="26" t="n">
        <f aca="false">IF(A112="","",YEAR(A112))</f>
        <v>2025</v>
      </c>
      <c r="L112" s="26" t="n">
        <f aca="false">IF(A112="","",MONTH(A112))</f>
        <v>2</v>
      </c>
    </row>
    <row r="113" customFormat="false" ht="15" hidden="false" customHeight="false" outlineLevel="0" collapsed="false">
      <c r="A113" s="23" t="n">
        <v>45709.8708333333</v>
      </c>
      <c r="B113" s="24" t="s">
        <v>1079</v>
      </c>
      <c r="C113" s="24" t="s">
        <v>1080</v>
      </c>
      <c r="D113" s="24" t="n">
        <v>1</v>
      </c>
      <c r="E113" s="25" t="n">
        <v>2500</v>
      </c>
      <c r="F113" s="25" t="n">
        <v>1600</v>
      </c>
      <c r="G113" s="24" t="s">
        <v>59</v>
      </c>
      <c r="H113" s="24" t="s">
        <v>60</v>
      </c>
      <c r="I113" s="28" t="n">
        <f aca="false">IF(A113="","",D113*E113)</f>
        <v>2500</v>
      </c>
      <c r="J113" s="28" t="n">
        <f aca="false">IF(A113="","",D113*F113)</f>
        <v>1600</v>
      </c>
      <c r="K113" s="26" t="n">
        <f aca="false">IF(A113="","",YEAR(A113))</f>
        <v>2025</v>
      </c>
      <c r="L113" s="26" t="n">
        <f aca="false">IF(A113="","",MONTH(A113))</f>
        <v>2</v>
      </c>
    </row>
    <row r="114" customFormat="false" ht="15" hidden="false" customHeight="false" outlineLevel="0" collapsed="false">
      <c r="A114" s="23" t="n">
        <v>45709.8902777778</v>
      </c>
      <c r="B114" s="24" t="s">
        <v>1073</v>
      </c>
      <c r="C114" s="24" t="s">
        <v>1074</v>
      </c>
      <c r="D114" s="24" t="n">
        <v>2</v>
      </c>
      <c r="E114" s="25" t="n">
        <v>7000</v>
      </c>
      <c r="F114" s="25" t="n">
        <v>4800</v>
      </c>
      <c r="G114" s="24" t="s">
        <v>59</v>
      </c>
      <c r="H114" s="24" t="s">
        <v>60</v>
      </c>
      <c r="I114" s="28" t="n">
        <f aca="false">IF(A114="","",D114*E114)</f>
        <v>14000</v>
      </c>
      <c r="J114" s="28" t="n">
        <f aca="false">IF(A114="","",D114*F114)</f>
        <v>9600</v>
      </c>
      <c r="K114" s="26" t="n">
        <f aca="false">IF(A114="","",YEAR(A114))</f>
        <v>2025</v>
      </c>
      <c r="L114" s="26" t="n">
        <f aca="false">IF(A114="","",MONTH(A114))</f>
        <v>2</v>
      </c>
    </row>
    <row r="115" customFormat="false" ht="15" hidden="false" customHeight="false" outlineLevel="0" collapsed="false">
      <c r="A115" s="23" t="n">
        <v>45710.8145833333</v>
      </c>
      <c r="B115" s="24" t="s">
        <v>1067</v>
      </c>
      <c r="C115" s="24" t="s">
        <v>1068</v>
      </c>
      <c r="D115" s="24" t="n">
        <v>3</v>
      </c>
      <c r="E115" s="25" t="n">
        <v>4000</v>
      </c>
      <c r="F115" s="25" t="n">
        <v>2600</v>
      </c>
      <c r="G115" s="24" t="s">
        <v>59</v>
      </c>
      <c r="H115" s="24" t="s">
        <v>55</v>
      </c>
      <c r="I115" s="28" t="n">
        <f aca="false">IF(A115="","",D115*E115)</f>
        <v>12000</v>
      </c>
      <c r="J115" s="28" t="n">
        <f aca="false">IF(A115="","",D115*F115)</f>
        <v>7800</v>
      </c>
      <c r="K115" s="26" t="n">
        <f aca="false">IF(A115="","",YEAR(A115))</f>
        <v>2025</v>
      </c>
      <c r="L115" s="26" t="n">
        <f aca="false">IF(A115="","",MONTH(A115))</f>
        <v>2</v>
      </c>
    </row>
    <row r="116" customFormat="false" ht="15" hidden="false" customHeight="false" outlineLevel="0" collapsed="false">
      <c r="A116" s="23" t="n">
        <v>45710.8486111111</v>
      </c>
      <c r="B116" s="24" t="s">
        <v>1081</v>
      </c>
      <c r="C116" s="24" t="s">
        <v>1082</v>
      </c>
      <c r="D116" s="24" t="n">
        <v>1</v>
      </c>
      <c r="E116" s="25" t="n">
        <v>2500</v>
      </c>
      <c r="F116" s="25" t="n">
        <v>1500</v>
      </c>
      <c r="G116" s="24" t="s">
        <v>59</v>
      </c>
      <c r="H116" s="24" t="s">
        <v>60</v>
      </c>
      <c r="I116" s="28" t="n">
        <f aca="false">IF(A116="","",D116*E116)</f>
        <v>2500</v>
      </c>
      <c r="J116" s="28" t="n">
        <f aca="false">IF(A116="","",D116*F116)</f>
        <v>1500</v>
      </c>
      <c r="K116" s="26" t="n">
        <f aca="false">IF(A116="","",YEAR(A116))</f>
        <v>2025</v>
      </c>
      <c r="L116" s="26" t="n">
        <f aca="false">IF(A116="","",MONTH(A116))</f>
        <v>2</v>
      </c>
    </row>
    <row r="117" customFormat="false" ht="15" hidden="false" customHeight="false" outlineLevel="0" collapsed="false">
      <c r="A117" s="23" t="n">
        <v>45711.3090277778</v>
      </c>
      <c r="B117" s="24" t="s">
        <v>1065</v>
      </c>
      <c r="C117" s="24" t="s">
        <v>1066</v>
      </c>
      <c r="D117" s="24" t="n">
        <v>3</v>
      </c>
      <c r="E117" s="25" t="n">
        <v>3000</v>
      </c>
      <c r="F117" s="25" t="n">
        <v>2000</v>
      </c>
      <c r="G117" s="24" t="s">
        <v>59</v>
      </c>
      <c r="H117" s="24" t="s">
        <v>55</v>
      </c>
      <c r="I117" s="28" t="n">
        <f aca="false">IF(A117="","",D117*E117)</f>
        <v>9000</v>
      </c>
      <c r="J117" s="28" t="n">
        <f aca="false">IF(A117="","",D117*F117)</f>
        <v>6000</v>
      </c>
      <c r="K117" s="26" t="n">
        <f aca="false">IF(A117="","",YEAR(A117))</f>
        <v>2025</v>
      </c>
      <c r="L117" s="26" t="n">
        <f aca="false">IF(A117="","",MONTH(A117))</f>
        <v>2</v>
      </c>
    </row>
    <row r="118" customFormat="false" ht="15" hidden="false" customHeight="false" outlineLevel="0" collapsed="false">
      <c r="A118" s="23" t="n">
        <v>45711.5208333333</v>
      </c>
      <c r="B118" s="24" t="s">
        <v>1073</v>
      </c>
      <c r="C118" s="24" t="s">
        <v>1074</v>
      </c>
      <c r="D118" s="24" t="n">
        <v>1</v>
      </c>
      <c r="E118" s="25" t="n">
        <v>7000</v>
      </c>
      <c r="F118" s="25" t="n">
        <v>4800</v>
      </c>
      <c r="G118" s="24" t="s">
        <v>59</v>
      </c>
      <c r="H118" s="24" t="s">
        <v>55</v>
      </c>
      <c r="I118" s="28" t="n">
        <f aca="false">IF(A118="","",D118*E118)</f>
        <v>7000</v>
      </c>
      <c r="J118" s="28" t="n">
        <f aca="false">IF(A118="","",D118*F118)</f>
        <v>4800</v>
      </c>
      <c r="K118" s="26" t="n">
        <f aca="false">IF(A118="","",YEAR(A118))</f>
        <v>2025</v>
      </c>
      <c r="L118" s="26" t="n">
        <f aca="false">IF(A118="","",MONTH(A118))</f>
        <v>2</v>
      </c>
    </row>
    <row r="119" customFormat="false" ht="15" hidden="false" customHeight="false" outlineLevel="0" collapsed="false">
      <c r="A119" s="23" t="n">
        <v>45711.5520833333</v>
      </c>
      <c r="B119" s="24" t="s">
        <v>1075</v>
      </c>
      <c r="C119" s="24" t="s">
        <v>1076</v>
      </c>
      <c r="D119" s="24" t="n">
        <v>1</v>
      </c>
      <c r="E119" s="25" t="n">
        <v>1000</v>
      </c>
      <c r="F119" s="25" t="n">
        <v>300</v>
      </c>
      <c r="G119" s="24" t="s">
        <v>59</v>
      </c>
      <c r="H119" s="24" t="s">
        <v>60</v>
      </c>
      <c r="I119" s="28" t="n">
        <f aca="false">IF(A119="","",D119*E119)</f>
        <v>1000</v>
      </c>
      <c r="J119" s="28" t="n">
        <f aca="false">IF(A119="","",D119*F119)</f>
        <v>300</v>
      </c>
      <c r="K119" s="26" t="n">
        <f aca="false">IF(A119="","",YEAR(A119))</f>
        <v>2025</v>
      </c>
      <c r="L119" s="26" t="n">
        <f aca="false">IF(A119="","",MONTH(A119))</f>
        <v>2</v>
      </c>
    </row>
    <row r="120" customFormat="false" ht="15" hidden="false" customHeight="false" outlineLevel="0" collapsed="false">
      <c r="A120" s="23" t="n">
        <v>45711.5798611111</v>
      </c>
      <c r="B120" s="24" t="s">
        <v>1067</v>
      </c>
      <c r="C120" s="24" t="s">
        <v>1068</v>
      </c>
      <c r="D120" s="24" t="n">
        <v>1</v>
      </c>
      <c r="E120" s="25" t="n">
        <v>4000</v>
      </c>
      <c r="F120" s="25" t="n">
        <v>2600</v>
      </c>
      <c r="G120" s="24" t="s">
        <v>59</v>
      </c>
      <c r="H120" s="24" t="s">
        <v>60</v>
      </c>
      <c r="I120" s="28" t="n">
        <f aca="false">IF(A120="","",D120*E120)</f>
        <v>4000</v>
      </c>
      <c r="J120" s="28" t="n">
        <f aca="false">IF(A120="","",D120*F120)</f>
        <v>2600</v>
      </c>
      <c r="K120" s="26" t="n">
        <f aca="false">IF(A120="","",YEAR(A120))</f>
        <v>2025</v>
      </c>
      <c r="L120" s="26" t="n">
        <f aca="false">IF(A120="","",MONTH(A120))</f>
        <v>2</v>
      </c>
    </row>
    <row r="121" customFormat="false" ht="15" hidden="false" customHeight="false" outlineLevel="0" collapsed="false">
      <c r="A121" s="23" t="n">
        <v>45712.375</v>
      </c>
      <c r="B121" s="24" t="s">
        <v>1067</v>
      </c>
      <c r="C121" s="24" t="s">
        <v>1068</v>
      </c>
      <c r="D121" s="24" t="n">
        <v>1</v>
      </c>
      <c r="E121" s="25" t="n">
        <v>4000</v>
      </c>
      <c r="F121" s="25" t="n">
        <v>2600</v>
      </c>
      <c r="G121" s="24" t="s">
        <v>59</v>
      </c>
      <c r="H121" s="24" t="s">
        <v>55</v>
      </c>
      <c r="I121" s="28" t="n">
        <f aca="false">IF(A121="","",D121*E121)</f>
        <v>4000</v>
      </c>
      <c r="J121" s="28" t="n">
        <f aca="false">IF(A121="","",D121*F121)</f>
        <v>2600</v>
      </c>
      <c r="K121" s="26" t="n">
        <f aca="false">IF(A121="","",YEAR(A121))</f>
        <v>2025</v>
      </c>
      <c r="L121" s="26" t="n">
        <f aca="false">IF(A121="","",MONTH(A121))</f>
        <v>2</v>
      </c>
    </row>
    <row r="122" customFormat="false" ht="15" hidden="false" customHeight="false" outlineLevel="0" collapsed="false">
      <c r="A122" s="23" t="n">
        <v>45712.7458333333</v>
      </c>
      <c r="B122" s="24" t="s">
        <v>1077</v>
      </c>
      <c r="C122" s="24" t="s">
        <v>1078</v>
      </c>
      <c r="D122" s="24" t="n">
        <v>2</v>
      </c>
      <c r="E122" s="25" t="n">
        <v>1500</v>
      </c>
      <c r="F122" s="25" t="n">
        <v>900</v>
      </c>
      <c r="G122" s="24" t="s">
        <v>59</v>
      </c>
      <c r="H122" s="24" t="s">
        <v>55</v>
      </c>
      <c r="I122" s="28" t="n">
        <f aca="false">IF(A122="","",D122*E122)</f>
        <v>3000</v>
      </c>
      <c r="J122" s="28" t="n">
        <f aca="false">IF(A122="","",D122*F122)</f>
        <v>1800</v>
      </c>
      <c r="K122" s="26" t="n">
        <f aca="false">IF(A122="","",YEAR(A122))</f>
        <v>2025</v>
      </c>
      <c r="L122" s="26" t="n">
        <f aca="false">IF(A122="","",MONTH(A122))</f>
        <v>2</v>
      </c>
    </row>
    <row r="123" customFormat="false" ht="15" hidden="false" customHeight="false" outlineLevel="0" collapsed="false">
      <c r="A123" s="23" t="n">
        <v>45712.7993055556</v>
      </c>
      <c r="B123" s="24" t="s">
        <v>1077</v>
      </c>
      <c r="C123" s="24" t="s">
        <v>1078</v>
      </c>
      <c r="D123" s="24" t="n">
        <v>3</v>
      </c>
      <c r="E123" s="25" t="n">
        <v>1500</v>
      </c>
      <c r="F123" s="25" t="n">
        <v>900</v>
      </c>
      <c r="G123" s="24" t="s">
        <v>59</v>
      </c>
      <c r="H123" s="24" t="s">
        <v>55</v>
      </c>
      <c r="I123" s="28" t="n">
        <f aca="false">IF(A123="","",D123*E123)</f>
        <v>4500</v>
      </c>
      <c r="J123" s="28" t="n">
        <f aca="false">IF(A123="","",D123*F123)</f>
        <v>2700</v>
      </c>
      <c r="K123" s="26" t="n">
        <f aca="false">IF(A123="","",YEAR(A123))</f>
        <v>2025</v>
      </c>
      <c r="L123" s="26" t="n">
        <f aca="false">IF(A123="","",MONTH(A123))</f>
        <v>2</v>
      </c>
    </row>
    <row r="124" customFormat="false" ht="15" hidden="false" customHeight="false" outlineLevel="0" collapsed="false">
      <c r="A124" s="23" t="n">
        <v>45713.6097222222</v>
      </c>
      <c r="B124" s="24" t="s">
        <v>1067</v>
      </c>
      <c r="C124" s="24" t="s">
        <v>1068</v>
      </c>
      <c r="D124" s="24" t="n">
        <v>2</v>
      </c>
      <c r="E124" s="25" t="n">
        <v>4000</v>
      </c>
      <c r="F124" s="25" t="n">
        <v>2600</v>
      </c>
      <c r="G124" s="24" t="s">
        <v>59</v>
      </c>
      <c r="H124" s="24" t="s">
        <v>60</v>
      </c>
      <c r="I124" s="28" t="n">
        <f aca="false">IF(A124="","",D124*E124)</f>
        <v>8000</v>
      </c>
      <c r="J124" s="28" t="n">
        <f aca="false">IF(A124="","",D124*F124)</f>
        <v>5200</v>
      </c>
      <c r="K124" s="26" t="n">
        <f aca="false">IF(A124="","",YEAR(A124))</f>
        <v>2025</v>
      </c>
      <c r="L124" s="26" t="n">
        <f aca="false">IF(A124="","",MONTH(A124))</f>
        <v>2</v>
      </c>
    </row>
    <row r="125" customFormat="false" ht="15" hidden="false" customHeight="false" outlineLevel="0" collapsed="false">
      <c r="A125" s="23" t="n">
        <v>45713.6409722222</v>
      </c>
      <c r="B125" s="24" t="s">
        <v>1071</v>
      </c>
      <c r="C125" s="24" t="s">
        <v>1072</v>
      </c>
      <c r="D125" s="24" t="n">
        <v>3</v>
      </c>
      <c r="E125" s="25" t="n">
        <v>2000</v>
      </c>
      <c r="F125" s="25" t="n">
        <v>1100</v>
      </c>
      <c r="G125" s="24" t="s">
        <v>59</v>
      </c>
      <c r="H125" s="24" t="s">
        <v>80</v>
      </c>
      <c r="I125" s="28" t="n">
        <f aca="false">IF(A125="","",D125*E125)</f>
        <v>6000</v>
      </c>
      <c r="J125" s="28" t="n">
        <f aca="false">IF(A125="","",D125*F125)</f>
        <v>3300</v>
      </c>
      <c r="K125" s="26" t="n">
        <f aca="false">IF(A125="","",YEAR(A125))</f>
        <v>2025</v>
      </c>
      <c r="L125" s="26" t="n">
        <f aca="false">IF(A125="","",MONTH(A125))</f>
        <v>2</v>
      </c>
    </row>
    <row r="126" customFormat="false" ht="15" hidden="false" customHeight="false" outlineLevel="0" collapsed="false">
      <c r="A126" s="23" t="n">
        <v>45713.7215277778</v>
      </c>
      <c r="B126" s="24" t="s">
        <v>1065</v>
      </c>
      <c r="C126" s="24" t="s">
        <v>1066</v>
      </c>
      <c r="D126" s="24" t="n">
        <v>3</v>
      </c>
      <c r="E126" s="25" t="n">
        <v>3000</v>
      </c>
      <c r="F126" s="25" t="n">
        <v>2000</v>
      </c>
      <c r="G126" s="24" t="s">
        <v>69</v>
      </c>
      <c r="H126" s="24" t="s">
        <v>60</v>
      </c>
      <c r="I126" s="28" t="n">
        <f aca="false">IF(A126="","",D126*E126)</f>
        <v>9000</v>
      </c>
      <c r="J126" s="28" t="n">
        <f aca="false">IF(A126="","",D126*F126)</f>
        <v>6000</v>
      </c>
      <c r="K126" s="26" t="n">
        <f aca="false">IF(A126="","",YEAR(A126))</f>
        <v>2025</v>
      </c>
      <c r="L126" s="26" t="n">
        <f aca="false">IF(A126="","",MONTH(A126))</f>
        <v>2</v>
      </c>
    </row>
    <row r="127" customFormat="false" ht="15" hidden="false" customHeight="false" outlineLevel="0" collapsed="false">
      <c r="A127" s="23" t="n">
        <v>45714.4541666667</v>
      </c>
      <c r="B127" s="24" t="s">
        <v>1065</v>
      </c>
      <c r="C127" s="24" t="s">
        <v>1066</v>
      </c>
      <c r="D127" s="24" t="n">
        <v>1</v>
      </c>
      <c r="E127" s="25" t="n">
        <v>3000</v>
      </c>
      <c r="F127" s="25" t="n">
        <v>2000</v>
      </c>
      <c r="G127" s="24" t="s">
        <v>59</v>
      </c>
      <c r="H127" s="24" t="s">
        <v>60</v>
      </c>
      <c r="I127" s="28" t="n">
        <f aca="false">IF(A127="","",D127*E127)</f>
        <v>3000</v>
      </c>
      <c r="J127" s="28" t="n">
        <f aca="false">IF(A127="","",D127*F127)</f>
        <v>2000</v>
      </c>
      <c r="K127" s="26" t="n">
        <f aca="false">IF(A127="","",YEAR(A127))</f>
        <v>2025</v>
      </c>
      <c r="L127" s="26" t="n">
        <f aca="false">IF(A127="","",MONTH(A127))</f>
        <v>2</v>
      </c>
    </row>
    <row r="128" customFormat="false" ht="15" hidden="false" customHeight="false" outlineLevel="0" collapsed="false">
      <c r="A128" s="23" t="n">
        <v>45714.5527777778</v>
      </c>
      <c r="B128" s="24" t="s">
        <v>1067</v>
      </c>
      <c r="C128" s="24" t="s">
        <v>1068</v>
      </c>
      <c r="D128" s="24" t="n">
        <v>1</v>
      </c>
      <c r="E128" s="25" t="n">
        <v>4000</v>
      </c>
      <c r="F128" s="25" t="n">
        <v>2600</v>
      </c>
      <c r="G128" s="24" t="s">
        <v>59</v>
      </c>
      <c r="H128" s="24" t="s">
        <v>80</v>
      </c>
      <c r="I128" s="28" t="n">
        <f aca="false">IF(A128="","",D128*E128)</f>
        <v>4000</v>
      </c>
      <c r="J128" s="28" t="n">
        <f aca="false">IF(A128="","",D128*F128)</f>
        <v>2600</v>
      </c>
      <c r="K128" s="26" t="n">
        <f aca="false">IF(A128="","",YEAR(A128))</f>
        <v>2025</v>
      </c>
      <c r="L128" s="26" t="n">
        <f aca="false">IF(A128="","",MONTH(A128))</f>
        <v>2</v>
      </c>
    </row>
    <row r="129" customFormat="false" ht="15" hidden="false" customHeight="false" outlineLevel="0" collapsed="false">
      <c r="A129" s="23" t="n">
        <v>45715.6722222222</v>
      </c>
      <c r="B129" s="24" t="s">
        <v>1081</v>
      </c>
      <c r="C129" s="24" t="s">
        <v>1082</v>
      </c>
      <c r="D129" s="24" t="n">
        <v>2</v>
      </c>
      <c r="E129" s="25" t="n">
        <v>2500</v>
      </c>
      <c r="F129" s="25" t="n">
        <v>1500</v>
      </c>
      <c r="G129" s="24" t="s">
        <v>69</v>
      </c>
      <c r="H129" s="24" t="s">
        <v>55</v>
      </c>
      <c r="I129" s="28" t="n">
        <f aca="false">IF(A129="","",D129*E129)</f>
        <v>5000</v>
      </c>
      <c r="J129" s="28" t="n">
        <f aca="false">IF(A129="","",D129*F129)</f>
        <v>3000</v>
      </c>
      <c r="K129" s="26" t="n">
        <f aca="false">IF(A129="","",YEAR(A129))</f>
        <v>2025</v>
      </c>
      <c r="L129" s="26" t="n">
        <f aca="false">IF(A129="","",MONTH(A129))</f>
        <v>2</v>
      </c>
    </row>
    <row r="130" customFormat="false" ht="15" hidden="false" customHeight="false" outlineLevel="0" collapsed="false">
      <c r="A130" s="23" t="n">
        <v>45716.3416666667</v>
      </c>
      <c r="B130" s="24" t="s">
        <v>1077</v>
      </c>
      <c r="C130" s="24" t="s">
        <v>1078</v>
      </c>
      <c r="D130" s="24" t="n">
        <v>1</v>
      </c>
      <c r="E130" s="25" t="n">
        <v>1500</v>
      </c>
      <c r="F130" s="25" t="n">
        <v>900</v>
      </c>
      <c r="G130" s="24" t="s">
        <v>59</v>
      </c>
      <c r="H130" s="24" t="s">
        <v>60</v>
      </c>
      <c r="I130" s="28" t="n">
        <f aca="false">IF(A130="","",D130*E130)</f>
        <v>1500</v>
      </c>
      <c r="J130" s="28" t="n">
        <f aca="false">IF(A130="","",D130*F130)</f>
        <v>900</v>
      </c>
      <c r="K130" s="26" t="n">
        <f aca="false">IF(A130="","",YEAR(A130))</f>
        <v>2025</v>
      </c>
      <c r="L130" s="26" t="n">
        <f aca="false">IF(A130="","",MONTH(A130))</f>
        <v>2</v>
      </c>
    </row>
    <row r="131" customFormat="false" ht="15" hidden="false" customHeight="false" outlineLevel="0" collapsed="false">
      <c r="A131" s="23" t="n">
        <v>45717.6166666667</v>
      </c>
      <c r="B131" s="24" t="s">
        <v>1077</v>
      </c>
      <c r="C131" s="24" t="s">
        <v>1078</v>
      </c>
      <c r="D131" s="24" t="n">
        <v>1</v>
      </c>
      <c r="E131" s="25" t="n">
        <v>1500</v>
      </c>
      <c r="F131" s="25" t="n">
        <v>900</v>
      </c>
      <c r="G131" s="24" t="s">
        <v>69</v>
      </c>
      <c r="H131" s="24" t="s">
        <v>55</v>
      </c>
      <c r="I131" s="28" t="n">
        <f aca="false">IF(A131="","",D131*E131)</f>
        <v>1500</v>
      </c>
      <c r="J131" s="28" t="n">
        <f aca="false">IF(A131="","",D131*F131)</f>
        <v>900</v>
      </c>
      <c r="K131" s="26" t="n">
        <f aca="false">IF(A131="","",YEAR(A131))</f>
        <v>2025</v>
      </c>
      <c r="L131" s="26" t="n">
        <f aca="false">IF(A131="","",MONTH(A131))</f>
        <v>3</v>
      </c>
    </row>
    <row r="132" customFormat="false" ht="15" hidden="false" customHeight="false" outlineLevel="0" collapsed="false">
      <c r="A132" s="23" t="n">
        <v>45717.8256944444</v>
      </c>
      <c r="B132" s="24" t="s">
        <v>1067</v>
      </c>
      <c r="C132" s="24" t="s">
        <v>1068</v>
      </c>
      <c r="D132" s="24" t="n">
        <v>1</v>
      </c>
      <c r="E132" s="25" t="n">
        <v>4000</v>
      </c>
      <c r="F132" s="25" t="n">
        <v>2600</v>
      </c>
      <c r="G132" s="24" t="s">
        <v>69</v>
      </c>
      <c r="H132" s="24" t="s">
        <v>80</v>
      </c>
      <c r="I132" s="28" t="n">
        <f aca="false">IF(A132="","",D132*E132)</f>
        <v>4000</v>
      </c>
      <c r="J132" s="28" t="n">
        <f aca="false">IF(A132="","",D132*F132)</f>
        <v>2600</v>
      </c>
      <c r="K132" s="26" t="n">
        <f aca="false">IF(A132="","",YEAR(A132))</f>
        <v>2025</v>
      </c>
      <c r="L132" s="26" t="n">
        <f aca="false">IF(A132="","",MONTH(A132))</f>
        <v>3</v>
      </c>
    </row>
    <row r="133" customFormat="false" ht="15" hidden="false" customHeight="false" outlineLevel="0" collapsed="false">
      <c r="A133" s="23" t="n">
        <v>45717.8354166667</v>
      </c>
      <c r="B133" s="24" t="s">
        <v>1071</v>
      </c>
      <c r="C133" s="24" t="s">
        <v>1072</v>
      </c>
      <c r="D133" s="24" t="n">
        <v>1</v>
      </c>
      <c r="E133" s="25" t="n">
        <v>2000</v>
      </c>
      <c r="F133" s="25" t="n">
        <v>1100</v>
      </c>
      <c r="G133" s="24" t="s">
        <v>59</v>
      </c>
      <c r="H133" s="24" t="s">
        <v>80</v>
      </c>
      <c r="I133" s="28" t="n">
        <f aca="false">IF(A133="","",D133*E133)</f>
        <v>2000</v>
      </c>
      <c r="J133" s="28" t="n">
        <f aca="false">IF(A133="","",D133*F133)</f>
        <v>1100</v>
      </c>
      <c r="K133" s="26" t="n">
        <f aca="false">IF(A133="","",YEAR(A133))</f>
        <v>2025</v>
      </c>
      <c r="L133" s="26" t="n">
        <f aca="false">IF(A133="","",MONTH(A133))</f>
        <v>3</v>
      </c>
    </row>
    <row r="134" customFormat="false" ht="15" hidden="false" customHeight="false" outlineLevel="0" collapsed="false">
      <c r="A134" s="23" t="n">
        <v>45718.5854166667</v>
      </c>
      <c r="B134" s="24" t="s">
        <v>1065</v>
      </c>
      <c r="C134" s="24" t="s">
        <v>1066</v>
      </c>
      <c r="D134" s="24" t="n">
        <v>2</v>
      </c>
      <c r="E134" s="25" t="n">
        <v>3000</v>
      </c>
      <c r="F134" s="25" t="n">
        <v>2000</v>
      </c>
      <c r="G134" s="24" t="s">
        <v>59</v>
      </c>
      <c r="H134" s="24" t="s">
        <v>80</v>
      </c>
      <c r="I134" s="28" t="n">
        <f aca="false">IF(A134="","",D134*E134)</f>
        <v>6000</v>
      </c>
      <c r="J134" s="28" t="n">
        <f aca="false">IF(A134="","",D134*F134)</f>
        <v>4000</v>
      </c>
      <c r="K134" s="26" t="n">
        <f aca="false">IF(A134="","",YEAR(A134))</f>
        <v>2025</v>
      </c>
      <c r="L134" s="26" t="n">
        <f aca="false">IF(A134="","",MONTH(A134))</f>
        <v>3</v>
      </c>
    </row>
    <row r="135" customFormat="false" ht="15" hidden="false" customHeight="false" outlineLevel="0" collapsed="false">
      <c r="A135" s="23" t="n">
        <v>45719.2965277778</v>
      </c>
      <c r="B135" s="24" t="s">
        <v>1071</v>
      </c>
      <c r="C135" s="24" t="s">
        <v>1072</v>
      </c>
      <c r="D135" s="24" t="n">
        <v>3</v>
      </c>
      <c r="E135" s="25" t="n">
        <v>2000</v>
      </c>
      <c r="F135" s="25" t="n">
        <v>1100</v>
      </c>
      <c r="G135" s="24" t="s">
        <v>59</v>
      </c>
      <c r="H135" s="24" t="s">
        <v>60</v>
      </c>
      <c r="I135" s="28" t="n">
        <f aca="false">IF(A135="","",D135*E135)</f>
        <v>6000</v>
      </c>
      <c r="J135" s="28" t="n">
        <f aca="false">IF(A135="","",D135*F135)</f>
        <v>3300</v>
      </c>
      <c r="K135" s="26" t="n">
        <f aca="false">IF(A135="","",YEAR(A135))</f>
        <v>2025</v>
      </c>
      <c r="L135" s="26" t="n">
        <f aca="false">IF(A135="","",MONTH(A135))</f>
        <v>3</v>
      </c>
    </row>
    <row r="136" customFormat="false" ht="15" hidden="false" customHeight="false" outlineLevel="0" collapsed="false">
      <c r="A136" s="23" t="n">
        <v>45719.5118055556</v>
      </c>
      <c r="B136" s="24" t="s">
        <v>1071</v>
      </c>
      <c r="C136" s="24" t="s">
        <v>1072</v>
      </c>
      <c r="D136" s="24" t="n">
        <v>1</v>
      </c>
      <c r="E136" s="25" t="n">
        <v>2000</v>
      </c>
      <c r="F136" s="25" t="n">
        <v>1100</v>
      </c>
      <c r="G136" s="24" t="s">
        <v>59</v>
      </c>
      <c r="H136" s="24" t="s">
        <v>60</v>
      </c>
      <c r="I136" s="28" t="n">
        <f aca="false">IF(A136="","",D136*E136)</f>
        <v>2000</v>
      </c>
      <c r="J136" s="28" t="n">
        <f aca="false">IF(A136="","",D136*F136)</f>
        <v>1100</v>
      </c>
      <c r="K136" s="26" t="n">
        <f aca="false">IF(A136="","",YEAR(A136))</f>
        <v>2025</v>
      </c>
      <c r="L136" s="26" t="n">
        <f aca="false">IF(A136="","",MONTH(A136))</f>
        <v>3</v>
      </c>
    </row>
    <row r="137" customFormat="false" ht="15" hidden="false" customHeight="false" outlineLevel="0" collapsed="false">
      <c r="A137" s="23" t="n">
        <v>45719.6298611111</v>
      </c>
      <c r="B137" s="24" t="s">
        <v>1067</v>
      </c>
      <c r="C137" s="24" t="s">
        <v>1068</v>
      </c>
      <c r="D137" s="24" t="n">
        <v>2</v>
      </c>
      <c r="E137" s="25" t="n">
        <v>4000</v>
      </c>
      <c r="F137" s="25" t="n">
        <v>2600</v>
      </c>
      <c r="G137" s="24" t="s">
        <v>59</v>
      </c>
      <c r="H137" s="24" t="s">
        <v>55</v>
      </c>
      <c r="I137" s="28" t="n">
        <f aca="false">IF(A137="","",D137*E137)</f>
        <v>8000</v>
      </c>
      <c r="J137" s="28" t="n">
        <f aca="false">IF(A137="","",D137*F137)</f>
        <v>5200</v>
      </c>
      <c r="K137" s="26" t="n">
        <f aca="false">IF(A137="","",YEAR(A137))</f>
        <v>2025</v>
      </c>
      <c r="L137" s="26" t="n">
        <f aca="false">IF(A137="","",MONTH(A137))</f>
        <v>3</v>
      </c>
    </row>
    <row r="138" customFormat="false" ht="15" hidden="false" customHeight="false" outlineLevel="0" collapsed="false">
      <c r="A138" s="23" t="n">
        <v>45719.7520833333</v>
      </c>
      <c r="B138" s="24" t="s">
        <v>1069</v>
      </c>
      <c r="C138" s="24" t="s">
        <v>1070</v>
      </c>
      <c r="D138" s="24" t="n">
        <v>3</v>
      </c>
      <c r="E138" s="25" t="n">
        <v>4500</v>
      </c>
      <c r="F138" s="25" t="n">
        <v>3000</v>
      </c>
      <c r="G138" s="24" t="s">
        <v>59</v>
      </c>
      <c r="H138" s="24" t="s">
        <v>60</v>
      </c>
      <c r="I138" s="28" t="n">
        <f aca="false">IF(A138="","",D138*E138)</f>
        <v>13500</v>
      </c>
      <c r="J138" s="28" t="n">
        <f aca="false">IF(A138="","",D138*F138)</f>
        <v>9000</v>
      </c>
      <c r="K138" s="26" t="n">
        <f aca="false">IF(A138="","",YEAR(A138))</f>
        <v>2025</v>
      </c>
      <c r="L138" s="26" t="n">
        <f aca="false">IF(A138="","",MONTH(A138))</f>
        <v>3</v>
      </c>
    </row>
    <row r="139" customFormat="false" ht="15" hidden="false" customHeight="false" outlineLevel="0" collapsed="false">
      <c r="A139" s="23" t="n">
        <v>45719.7527777778</v>
      </c>
      <c r="B139" s="24" t="s">
        <v>1071</v>
      </c>
      <c r="C139" s="24" t="s">
        <v>1072</v>
      </c>
      <c r="D139" s="24" t="n">
        <v>3</v>
      </c>
      <c r="E139" s="25" t="n">
        <v>2000</v>
      </c>
      <c r="F139" s="25" t="n">
        <v>1100</v>
      </c>
      <c r="G139" s="24" t="s">
        <v>59</v>
      </c>
      <c r="H139" s="24" t="s">
        <v>60</v>
      </c>
      <c r="I139" s="28" t="n">
        <f aca="false">IF(A139="","",D139*E139)</f>
        <v>6000</v>
      </c>
      <c r="J139" s="28" t="n">
        <f aca="false">IF(A139="","",D139*F139)</f>
        <v>3300</v>
      </c>
      <c r="K139" s="26" t="n">
        <f aca="false">IF(A139="","",YEAR(A139))</f>
        <v>2025</v>
      </c>
      <c r="L139" s="26" t="n">
        <f aca="false">IF(A139="","",MONTH(A139))</f>
        <v>3</v>
      </c>
    </row>
    <row r="140" customFormat="false" ht="15" hidden="false" customHeight="false" outlineLevel="0" collapsed="false">
      <c r="A140" s="23" t="n">
        <v>45720.6597222222</v>
      </c>
      <c r="B140" s="24" t="s">
        <v>1067</v>
      </c>
      <c r="C140" s="24" t="s">
        <v>1068</v>
      </c>
      <c r="D140" s="24" t="n">
        <v>2</v>
      </c>
      <c r="E140" s="25" t="n">
        <v>4000</v>
      </c>
      <c r="F140" s="25" t="n">
        <v>2600</v>
      </c>
      <c r="G140" s="24" t="s">
        <v>69</v>
      </c>
      <c r="H140" s="24" t="s">
        <v>80</v>
      </c>
      <c r="I140" s="28" t="n">
        <f aca="false">IF(A140="","",D140*E140)</f>
        <v>8000</v>
      </c>
      <c r="J140" s="28" t="n">
        <f aca="false">IF(A140="","",D140*F140)</f>
        <v>5200</v>
      </c>
      <c r="K140" s="26" t="n">
        <f aca="false">IF(A140="","",YEAR(A140))</f>
        <v>2025</v>
      </c>
      <c r="L140" s="26" t="n">
        <f aca="false">IF(A140="","",MONTH(A140))</f>
        <v>3</v>
      </c>
    </row>
    <row r="141" customFormat="false" ht="15" hidden="false" customHeight="false" outlineLevel="0" collapsed="false">
      <c r="A141" s="23" t="n">
        <v>45721.6298611111</v>
      </c>
      <c r="B141" s="24" t="s">
        <v>1071</v>
      </c>
      <c r="C141" s="24" t="s">
        <v>1072</v>
      </c>
      <c r="D141" s="24" t="n">
        <v>2</v>
      </c>
      <c r="E141" s="25" t="n">
        <v>2000</v>
      </c>
      <c r="F141" s="25" t="n">
        <v>1100</v>
      </c>
      <c r="G141" s="24" t="s">
        <v>59</v>
      </c>
      <c r="H141" s="24" t="s">
        <v>55</v>
      </c>
      <c r="I141" s="28" t="n">
        <f aca="false">IF(A141="","",D141*E141)</f>
        <v>4000</v>
      </c>
      <c r="J141" s="28" t="n">
        <f aca="false">IF(A141="","",D141*F141)</f>
        <v>2200</v>
      </c>
      <c r="K141" s="26" t="n">
        <f aca="false">IF(A141="","",YEAR(A141))</f>
        <v>2025</v>
      </c>
      <c r="L141" s="26" t="n">
        <f aca="false">IF(A141="","",MONTH(A141))</f>
        <v>3</v>
      </c>
    </row>
    <row r="142" customFormat="false" ht="15" hidden="false" customHeight="false" outlineLevel="0" collapsed="false">
      <c r="A142" s="23" t="n">
        <v>45722.3347222222</v>
      </c>
      <c r="B142" s="24" t="s">
        <v>1069</v>
      </c>
      <c r="C142" s="24" t="s">
        <v>1070</v>
      </c>
      <c r="D142" s="24" t="n">
        <v>1</v>
      </c>
      <c r="E142" s="25" t="n">
        <v>4500</v>
      </c>
      <c r="F142" s="25" t="n">
        <v>3000</v>
      </c>
      <c r="G142" s="24" t="s">
        <v>59</v>
      </c>
      <c r="H142" s="24" t="s">
        <v>60</v>
      </c>
      <c r="I142" s="28" t="n">
        <f aca="false">IF(A142="","",D142*E142)</f>
        <v>4500</v>
      </c>
      <c r="J142" s="28" t="n">
        <f aca="false">IF(A142="","",D142*F142)</f>
        <v>3000</v>
      </c>
      <c r="K142" s="26" t="n">
        <f aca="false">IF(A142="","",YEAR(A142))</f>
        <v>2025</v>
      </c>
      <c r="L142" s="26" t="n">
        <f aca="false">IF(A142="","",MONTH(A142))</f>
        <v>3</v>
      </c>
    </row>
    <row r="143" customFormat="false" ht="15" hidden="false" customHeight="false" outlineLevel="0" collapsed="false">
      <c r="A143" s="23" t="n">
        <v>45722.4104166667</v>
      </c>
      <c r="B143" s="24" t="s">
        <v>1071</v>
      </c>
      <c r="C143" s="24" t="s">
        <v>1072</v>
      </c>
      <c r="D143" s="24" t="n">
        <v>3</v>
      </c>
      <c r="E143" s="25" t="n">
        <v>2000</v>
      </c>
      <c r="F143" s="25" t="n">
        <v>1100</v>
      </c>
      <c r="G143" s="24" t="s">
        <v>59</v>
      </c>
      <c r="H143" s="24" t="s">
        <v>55</v>
      </c>
      <c r="I143" s="28" t="n">
        <f aca="false">IF(A143="","",D143*E143)</f>
        <v>6000</v>
      </c>
      <c r="J143" s="28" t="n">
        <f aca="false">IF(A143="","",D143*F143)</f>
        <v>3300</v>
      </c>
      <c r="K143" s="26" t="n">
        <f aca="false">IF(A143="","",YEAR(A143))</f>
        <v>2025</v>
      </c>
      <c r="L143" s="26" t="n">
        <f aca="false">IF(A143="","",MONTH(A143))</f>
        <v>3</v>
      </c>
    </row>
    <row r="144" customFormat="false" ht="15" hidden="false" customHeight="false" outlineLevel="0" collapsed="false">
      <c r="A144" s="23" t="n">
        <v>45722.6861111111</v>
      </c>
      <c r="B144" s="24" t="s">
        <v>1071</v>
      </c>
      <c r="C144" s="24" t="s">
        <v>1072</v>
      </c>
      <c r="D144" s="24" t="n">
        <v>3</v>
      </c>
      <c r="E144" s="25" t="n">
        <v>2000</v>
      </c>
      <c r="F144" s="25" t="n">
        <v>1100</v>
      </c>
      <c r="G144" s="24" t="s">
        <v>59</v>
      </c>
      <c r="H144" s="24" t="s">
        <v>55</v>
      </c>
      <c r="I144" s="28" t="n">
        <f aca="false">IF(A144="","",D144*E144)</f>
        <v>6000</v>
      </c>
      <c r="J144" s="28" t="n">
        <f aca="false">IF(A144="","",D144*F144)</f>
        <v>3300</v>
      </c>
      <c r="K144" s="26" t="n">
        <f aca="false">IF(A144="","",YEAR(A144))</f>
        <v>2025</v>
      </c>
      <c r="L144" s="26" t="n">
        <f aca="false">IF(A144="","",MONTH(A144))</f>
        <v>3</v>
      </c>
    </row>
    <row r="145" customFormat="false" ht="15" hidden="false" customHeight="false" outlineLevel="0" collapsed="false">
      <c r="A145" s="23" t="n">
        <v>45723.3645833333</v>
      </c>
      <c r="B145" s="24" t="s">
        <v>1077</v>
      </c>
      <c r="C145" s="24" t="s">
        <v>1078</v>
      </c>
      <c r="D145" s="24" t="n">
        <v>1</v>
      </c>
      <c r="E145" s="25" t="n">
        <v>1500</v>
      </c>
      <c r="F145" s="25" t="n">
        <v>900</v>
      </c>
      <c r="G145" s="24" t="s">
        <v>59</v>
      </c>
      <c r="H145" s="24" t="s">
        <v>80</v>
      </c>
      <c r="I145" s="28" t="n">
        <f aca="false">IF(A145="","",D145*E145)</f>
        <v>1500</v>
      </c>
      <c r="J145" s="28" t="n">
        <f aca="false">IF(A145="","",D145*F145)</f>
        <v>900</v>
      </c>
      <c r="K145" s="26" t="n">
        <f aca="false">IF(A145="","",YEAR(A145))</f>
        <v>2025</v>
      </c>
      <c r="L145" s="26" t="n">
        <f aca="false">IF(A145="","",MONTH(A145))</f>
        <v>3</v>
      </c>
    </row>
    <row r="146" customFormat="false" ht="15" hidden="false" customHeight="false" outlineLevel="0" collapsed="false">
      <c r="A146" s="23" t="n">
        <v>45725.7555555556</v>
      </c>
      <c r="B146" s="24" t="s">
        <v>1077</v>
      </c>
      <c r="C146" s="24" t="s">
        <v>1078</v>
      </c>
      <c r="D146" s="24" t="n">
        <v>1</v>
      </c>
      <c r="E146" s="25" t="n">
        <v>1500</v>
      </c>
      <c r="F146" s="25" t="n">
        <v>900</v>
      </c>
      <c r="G146" s="24" t="s">
        <v>69</v>
      </c>
      <c r="H146" s="24" t="s">
        <v>60</v>
      </c>
      <c r="I146" s="28" t="n">
        <f aca="false">IF(A146="","",D146*E146)</f>
        <v>1500</v>
      </c>
      <c r="J146" s="28" t="n">
        <f aca="false">IF(A146="","",D146*F146)</f>
        <v>900</v>
      </c>
      <c r="K146" s="26" t="n">
        <f aca="false">IF(A146="","",YEAR(A146))</f>
        <v>2025</v>
      </c>
      <c r="L146" s="26" t="n">
        <f aca="false">IF(A146="","",MONTH(A146))</f>
        <v>3</v>
      </c>
    </row>
    <row r="147" customFormat="false" ht="15" hidden="false" customHeight="false" outlineLevel="0" collapsed="false">
      <c r="A147" s="23" t="n">
        <v>45727.5458333333</v>
      </c>
      <c r="B147" s="24" t="s">
        <v>1065</v>
      </c>
      <c r="C147" s="24" t="s">
        <v>1066</v>
      </c>
      <c r="D147" s="24" t="n">
        <v>1</v>
      </c>
      <c r="E147" s="25" t="n">
        <v>3000</v>
      </c>
      <c r="F147" s="25" t="n">
        <v>2000</v>
      </c>
      <c r="G147" s="24" t="s">
        <v>59</v>
      </c>
      <c r="H147" s="24" t="s">
        <v>55</v>
      </c>
      <c r="I147" s="28" t="n">
        <f aca="false">IF(A147="","",D147*E147)</f>
        <v>3000</v>
      </c>
      <c r="J147" s="28" t="n">
        <f aca="false">IF(A147="","",D147*F147)</f>
        <v>2000</v>
      </c>
      <c r="K147" s="26" t="n">
        <f aca="false">IF(A147="","",YEAR(A147))</f>
        <v>2025</v>
      </c>
      <c r="L147" s="26" t="n">
        <f aca="false">IF(A147="","",MONTH(A147))</f>
        <v>3</v>
      </c>
    </row>
    <row r="148" customFormat="false" ht="15" hidden="false" customHeight="false" outlineLevel="0" collapsed="false">
      <c r="A148" s="23" t="n">
        <v>45729.8791666667</v>
      </c>
      <c r="B148" s="24" t="s">
        <v>1067</v>
      </c>
      <c r="C148" s="24" t="s">
        <v>1068</v>
      </c>
      <c r="D148" s="24" t="n">
        <v>1</v>
      </c>
      <c r="E148" s="25" t="n">
        <v>4000</v>
      </c>
      <c r="F148" s="25" t="n">
        <v>2600</v>
      </c>
      <c r="G148" s="24" t="s">
        <v>59</v>
      </c>
      <c r="H148" s="24" t="s">
        <v>80</v>
      </c>
      <c r="I148" s="28" t="n">
        <f aca="false">IF(A148="","",D148*E148)</f>
        <v>4000</v>
      </c>
      <c r="J148" s="28" t="n">
        <f aca="false">IF(A148="","",D148*F148)</f>
        <v>2600</v>
      </c>
      <c r="K148" s="26" t="n">
        <f aca="false">IF(A148="","",YEAR(A148))</f>
        <v>2025</v>
      </c>
      <c r="L148" s="26" t="n">
        <f aca="false">IF(A148="","",MONTH(A148))</f>
        <v>3</v>
      </c>
    </row>
    <row r="149" customFormat="false" ht="15" hidden="false" customHeight="false" outlineLevel="0" collapsed="false">
      <c r="A149" s="23" t="n">
        <v>45730.6256944445</v>
      </c>
      <c r="B149" s="24" t="s">
        <v>1065</v>
      </c>
      <c r="C149" s="24" t="s">
        <v>1066</v>
      </c>
      <c r="D149" s="24" t="n">
        <v>1</v>
      </c>
      <c r="E149" s="25" t="n">
        <v>3000</v>
      </c>
      <c r="F149" s="25" t="n">
        <v>2000</v>
      </c>
      <c r="G149" s="24" t="s">
        <v>59</v>
      </c>
      <c r="H149" s="24" t="s">
        <v>60</v>
      </c>
      <c r="I149" s="28" t="n">
        <f aca="false">IF(A149="","",D149*E149)</f>
        <v>3000</v>
      </c>
      <c r="J149" s="28" t="n">
        <f aca="false">IF(A149="","",D149*F149)</f>
        <v>2000</v>
      </c>
      <c r="K149" s="26" t="n">
        <f aca="false">IF(A149="","",YEAR(A149))</f>
        <v>2025</v>
      </c>
      <c r="L149" s="26" t="n">
        <f aca="false">IF(A149="","",MONTH(A149))</f>
        <v>3</v>
      </c>
    </row>
    <row r="150" customFormat="false" ht="15" hidden="false" customHeight="false" outlineLevel="0" collapsed="false">
      <c r="A150" s="23" t="n">
        <v>45730.9020833333</v>
      </c>
      <c r="B150" s="24" t="s">
        <v>1077</v>
      </c>
      <c r="C150" s="24" t="s">
        <v>1078</v>
      </c>
      <c r="D150" s="24" t="n">
        <v>3</v>
      </c>
      <c r="E150" s="25" t="n">
        <v>1500</v>
      </c>
      <c r="F150" s="25" t="n">
        <v>900</v>
      </c>
      <c r="G150" s="24" t="s">
        <v>59</v>
      </c>
      <c r="H150" s="24" t="s">
        <v>55</v>
      </c>
      <c r="I150" s="28" t="n">
        <f aca="false">IF(A150="","",D150*E150)</f>
        <v>4500</v>
      </c>
      <c r="J150" s="28" t="n">
        <f aca="false">IF(A150="","",D150*F150)</f>
        <v>2700</v>
      </c>
      <c r="K150" s="26" t="n">
        <f aca="false">IF(A150="","",YEAR(A150))</f>
        <v>2025</v>
      </c>
      <c r="L150" s="26" t="n">
        <f aca="false">IF(A150="","",MONTH(A150))</f>
        <v>3</v>
      </c>
    </row>
    <row r="151" customFormat="false" ht="15" hidden="false" customHeight="false" outlineLevel="0" collapsed="false">
      <c r="A151" s="23" t="n">
        <v>45731.6083333333</v>
      </c>
      <c r="B151" s="24" t="s">
        <v>1073</v>
      </c>
      <c r="C151" s="24" t="s">
        <v>1074</v>
      </c>
      <c r="D151" s="24" t="n">
        <v>3</v>
      </c>
      <c r="E151" s="25" t="n">
        <v>7000</v>
      </c>
      <c r="F151" s="25" t="n">
        <v>4800</v>
      </c>
      <c r="G151" s="24" t="s">
        <v>69</v>
      </c>
      <c r="H151" s="24" t="s">
        <v>55</v>
      </c>
      <c r="I151" s="28" t="n">
        <f aca="false">IF(A151="","",D151*E151)</f>
        <v>21000</v>
      </c>
      <c r="J151" s="28" t="n">
        <f aca="false">IF(A151="","",D151*F151)</f>
        <v>14400</v>
      </c>
      <c r="K151" s="26" t="n">
        <f aca="false">IF(A151="","",YEAR(A151))</f>
        <v>2025</v>
      </c>
      <c r="L151" s="26" t="n">
        <f aca="false">IF(A151="","",MONTH(A151))</f>
        <v>3</v>
      </c>
    </row>
    <row r="152" customFormat="false" ht="15" hidden="false" customHeight="false" outlineLevel="0" collapsed="false">
      <c r="A152" s="23" t="n">
        <v>45731.6173611111</v>
      </c>
      <c r="B152" s="24" t="s">
        <v>1069</v>
      </c>
      <c r="C152" s="24" t="s">
        <v>1070</v>
      </c>
      <c r="D152" s="24" t="n">
        <v>1</v>
      </c>
      <c r="E152" s="25" t="n">
        <v>4500</v>
      </c>
      <c r="F152" s="25" t="n">
        <v>3000</v>
      </c>
      <c r="G152" s="24" t="s">
        <v>59</v>
      </c>
      <c r="H152" s="24" t="s">
        <v>80</v>
      </c>
      <c r="I152" s="28" t="n">
        <f aca="false">IF(A152="","",D152*E152)</f>
        <v>4500</v>
      </c>
      <c r="J152" s="28" t="n">
        <f aca="false">IF(A152="","",D152*F152)</f>
        <v>3000</v>
      </c>
      <c r="K152" s="26" t="n">
        <f aca="false">IF(A152="","",YEAR(A152))</f>
        <v>2025</v>
      </c>
      <c r="L152" s="26" t="n">
        <f aca="false">IF(A152="","",MONTH(A152))</f>
        <v>3</v>
      </c>
    </row>
    <row r="153" customFormat="false" ht="15" hidden="false" customHeight="false" outlineLevel="0" collapsed="false">
      <c r="A153" s="23" t="n">
        <v>45732.6916666667</v>
      </c>
      <c r="B153" s="24" t="s">
        <v>1079</v>
      </c>
      <c r="C153" s="24" t="s">
        <v>1080</v>
      </c>
      <c r="D153" s="24" t="n">
        <v>1</v>
      </c>
      <c r="E153" s="25" t="n">
        <v>2500</v>
      </c>
      <c r="F153" s="25" t="n">
        <v>1600</v>
      </c>
      <c r="G153" s="24" t="s">
        <v>69</v>
      </c>
      <c r="H153" s="24" t="s">
        <v>80</v>
      </c>
      <c r="I153" s="28" t="n">
        <f aca="false">IF(A153="","",D153*E153)</f>
        <v>2500</v>
      </c>
      <c r="J153" s="28" t="n">
        <f aca="false">IF(A153="","",D153*F153)</f>
        <v>1600</v>
      </c>
      <c r="K153" s="26" t="n">
        <f aca="false">IF(A153="","",YEAR(A153))</f>
        <v>2025</v>
      </c>
      <c r="L153" s="26" t="n">
        <f aca="false">IF(A153="","",MONTH(A153))</f>
        <v>3</v>
      </c>
    </row>
    <row r="154" customFormat="false" ht="15" hidden="false" customHeight="false" outlineLevel="0" collapsed="false">
      <c r="A154" s="23" t="n">
        <v>45734.6402777778</v>
      </c>
      <c r="B154" s="24" t="s">
        <v>1071</v>
      </c>
      <c r="C154" s="24" t="s">
        <v>1072</v>
      </c>
      <c r="D154" s="24" t="n">
        <v>1</v>
      </c>
      <c r="E154" s="25" t="n">
        <v>2000</v>
      </c>
      <c r="F154" s="25" t="n">
        <v>1100</v>
      </c>
      <c r="G154" s="24" t="s">
        <v>59</v>
      </c>
      <c r="H154" s="24" t="s">
        <v>80</v>
      </c>
      <c r="I154" s="28" t="n">
        <f aca="false">IF(A154="","",D154*E154)</f>
        <v>2000</v>
      </c>
      <c r="J154" s="28" t="n">
        <f aca="false">IF(A154="","",D154*F154)</f>
        <v>1100</v>
      </c>
      <c r="K154" s="26" t="n">
        <f aca="false">IF(A154="","",YEAR(A154))</f>
        <v>2025</v>
      </c>
      <c r="L154" s="26" t="n">
        <f aca="false">IF(A154="","",MONTH(A154))</f>
        <v>3</v>
      </c>
    </row>
    <row r="155" customFormat="false" ht="15" hidden="false" customHeight="false" outlineLevel="0" collapsed="false">
      <c r="A155" s="23" t="n">
        <v>45734.7333333333</v>
      </c>
      <c r="B155" s="24" t="s">
        <v>1065</v>
      </c>
      <c r="C155" s="24" t="s">
        <v>1066</v>
      </c>
      <c r="D155" s="24" t="n">
        <v>2</v>
      </c>
      <c r="E155" s="25" t="n">
        <v>3000</v>
      </c>
      <c r="F155" s="25" t="n">
        <v>2000</v>
      </c>
      <c r="G155" s="24" t="s">
        <v>59</v>
      </c>
      <c r="H155" s="24" t="s">
        <v>80</v>
      </c>
      <c r="I155" s="28" t="n">
        <f aca="false">IF(A155="","",D155*E155)</f>
        <v>6000</v>
      </c>
      <c r="J155" s="28" t="n">
        <f aca="false">IF(A155="","",D155*F155)</f>
        <v>4000</v>
      </c>
      <c r="K155" s="26" t="n">
        <f aca="false">IF(A155="","",YEAR(A155))</f>
        <v>2025</v>
      </c>
      <c r="L155" s="26" t="n">
        <f aca="false">IF(A155="","",MONTH(A155))</f>
        <v>3</v>
      </c>
    </row>
    <row r="156" customFormat="false" ht="15" hidden="false" customHeight="false" outlineLevel="0" collapsed="false">
      <c r="A156" s="23" t="n">
        <v>45736.3798611111</v>
      </c>
      <c r="B156" s="24" t="s">
        <v>1077</v>
      </c>
      <c r="C156" s="24" t="s">
        <v>1078</v>
      </c>
      <c r="D156" s="24" t="n">
        <v>2</v>
      </c>
      <c r="E156" s="25" t="n">
        <v>1500</v>
      </c>
      <c r="F156" s="25" t="n">
        <v>900</v>
      </c>
      <c r="G156" s="24" t="s">
        <v>59</v>
      </c>
      <c r="H156" s="24" t="s">
        <v>80</v>
      </c>
      <c r="I156" s="28" t="n">
        <f aca="false">IF(A156="","",D156*E156)</f>
        <v>3000</v>
      </c>
      <c r="J156" s="28" t="n">
        <f aca="false">IF(A156="","",D156*F156)</f>
        <v>1800</v>
      </c>
      <c r="K156" s="26" t="n">
        <f aca="false">IF(A156="","",YEAR(A156))</f>
        <v>2025</v>
      </c>
      <c r="L156" s="26" t="n">
        <f aca="false">IF(A156="","",MONTH(A156))</f>
        <v>3</v>
      </c>
    </row>
    <row r="157" customFormat="false" ht="15" hidden="false" customHeight="false" outlineLevel="0" collapsed="false">
      <c r="A157" s="23" t="n">
        <v>45737.3597222222</v>
      </c>
      <c r="B157" s="24" t="s">
        <v>1079</v>
      </c>
      <c r="C157" s="24" t="s">
        <v>1080</v>
      </c>
      <c r="D157" s="24" t="n">
        <v>1</v>
      </c>
      <c r="E157" s="25" t="n">
        <v>2500</v>
      </c>
      <c r="F157" s="25" t="n">
        <v>1600</v>
      </c>
      <c r="G157" s="24" t="s">
        <v>59</v>
      </c>
      <c r="H157" s="24" t="s">
        <v>60</v>
      </c>
      <c r="I157" s="28" t="n">
        <f aca="false">IF(A157="","",D157*E157)</f>
        <v>2500</v>
      </c>
      <c r="J157" s="28" t="n">
        <f aca="false">IF(A157="","",D157*F157)</f>
        <v>1600</v>
      </c>
      <c r="K157" s="26" t="n">
        <f aca="false">IF(A157="","",YEAR(A157))</f>
        <v>2025</v>
      </c>
      <c r="L157" s="26" t="n">
        <f aca="false">IF(A157="","",MONTH(A157))</f>
        <v>3</v>
      </c>
    </row>
    <row r="158" customFormat="false" ht="15" hidden="false" customHeight="false" outlineLevel="0" collapsed="false">
      <c r="A158" s="23" t="n">
        <v>45737.7319444444</v>
      </c>
      <c r="B158" s="24" t="s">
        <v>1065</v>
      </c>
      <c r="C158" s="24" t="s">
        <v>1066</v>
      </c>
      <c r="D158" s="24" t="n">
        <v>1</v>
      </c>
      <c r="E158" s="25" t="n">
        <v>3000</v>
      </c>
      <c r="F158" s="25" t="n">
        <v>2000</v>
      </c>
      <c r="G158" s="24" t="s">
        <v>69</v>
      </c>
      <c r="H158" s="24" t="s">
        <v>60</v>
      </c>
      <c r="I158" s="28" t="n">
        <f aca="false">IF(A158="","",D158*E158)</f>
        <v>3000</v>
      </c>
      <c r="J158" s="28" t="n">
        <f aca="false">IF(A158="","",D158*F158)</f>
        <v>2000</v>
      </c>
      <c r="K158" s="26" t="n">
        <f aca="false">IF(A158="","",YEAR(A158))</f>
        <v>2025</v>
      </c>
      <c r="L158" s="26" t="n">
        <f aca="false">IF(A158="","",MONTH(A158))</f>
        <v>3</v>
      </c>
    </row>
    <row r="159" customFormat="false" ht="15" hidden="false" customHeight="false" outlineLevel="0" collapsed="false">
      <c r="A159" s="23" t="n">
        <v>45737.7465277778</v>
      </c>
      <c r="B159" s="24" t="s">
        <v>1081</v>
      </c>
      <c r="C159" s="24" t="s">
        <v>1082</v>
      </c>
      <c r="D159" s="24" t="n">
        <v>1</v>
      </c>
      <c r="E159" s="25" t="n">
        <v>2500</v>
      </c>
      <c r="F159" s="25" t="n">
        <v>1500</v>
      </c>
      <c r="G159" s="24" t="s">
        <v>59</v>
      </c>
      <c r="H159" s="24" t="s">
        <v>60</v>
      </c>
      <c r="I159" s="28" t="n">
        <f aca="false">IF(A159="","",D159*E159)</f>
        <v>2500</v>
      </c>
      <c r="J159" s="28" t="n">
        <f aca="false">IF(A159="","",D159*F159)</f>
        <v>1500</v>
      </c>
      <c r="K159" s="26" t="n">
        <f aca="false">IF(A159="","",YEAR(A159))</f>
        <v>2025</v>
      </c>
      <c r="L159" s="26" t="n">
        <f aca="false">IF(A159="","",MONTH(A159))</f>
        <v>3</v>
      </c>
    </row>
    <row r="160" customFormat="false" ht="15" hidden="false" customHeight="false" outlineLevel="0" collapsed="false">
      <c r="A160" s="23" t="n">
        <v>45737.7826388889</v>
      </c>
      <c r="B160" s="24" t="s">
        <v>1073</v>
      </c>
      <c r="C160" s="24" t="s">
        <v>1074</v>
      </c>
      <c r="D160" s="24" t="n">
        <v>1</v>
      </c>
      <c r="E160" s="25" t="n">
        <v>7000</v>
      </c>
      <c r="F160" s="25" t="n">
        <v>4800</v>
      </c>
      <c r="G160" s="24" t="s">
        <v>59</v>
      </c>
      <c r="H160" s="24" t="s">
        <v>80</v>
      </c>
      <c r="I160" s="28" t="n">
        <f aca="false">IF(A160="","",D160*E160)</f>
        <v>7000</v>
      </c>
      <c r="J160" s="28" t="n">
        <f aca="false">IF(A160="","",D160*F160)</f>
        <v>4800</v>
      </c>
      <c r="K160" s="26" t="n">
        <f aca="false">IF(A160="","",YEAR(A160))</f>
        <v>2025</v>
      </c>
      <c r="L160" s="26" t="n">
        <f aca="false">IF(A160="","",MONTH(A160))</f>
        <v>3</v>
      </c>
    </row>
    <row r="161" customFormat="false" ht="15" hidden="false" customHeight="false" outlineLevel="0" collapsed="false">
      <c r="A161" s="23" t="n">
        <v>45738.3159722222</v>
      </c>
      <c r="B161" s="24" t="s">
        <v>1081</v>
      </c>
      <c r="C161" s="24" t="s">
        <v>1082</v>
      </c>
      <c r="D161" s="24" t="n">
        <v>1</v>
      </c>
      <c r="E161" s="25" t="n">
        <v>2500</v>
      </c>
      <c r="F161" s="25" t="n">
        <v>1500</v>
      </c>
      <c r="G161" s="24" t="s">
        <v>59</v>
      </c>
      <c r="H161" s="24" t="s">
        <v>55</v>
      </c>
      <c r="I161" s="28" t="n">
        <f aca="false">IF(A161="","",D161*E161)</f>
        <v>2500</v>
      </c>
      <c r="J161" s="28" t="n">
        <f aca="false">IF(A161="","",D161*F161)</f>
        <v>1500</v>
      </c>
      <c r="K161" s="26" t="n">
        <f aca="false">IF(A161="","",YEAR(A161))</f>
        <v>2025</v>
      </c>
      <c r="L161" s="26" t="n">
        <f aca="false">IF(A161="","",MONTH(A161))</f>
        <v>3</v>
      </c>
    </row>
    <row r="162" customFormat="false" ht="15" hidden="false" customHeight="false" outlineLevel="0" collapsed="false">
      <c r="A162" s="23" t="n">
        <v>45739.8194444445</v>
      </c>
      <c r="B162" s="24" t="s">
        <v>1069</v>
      </c>
      <c r="C162" s="24" t="s">
        <v>1070</v>
      </c>
      <c r="D162" s="24" t="n">
        <v>1</v>
      </c>
      <c r="E162" s="25" t="n">
        <v>4500</v>
      </c>
      <c r="F162" s="25" t="n">
        <v>3000</v>
      </c>
      <c r="G162" s="24" t="s">
        <v>59</v>
      </c>
      <c r="H162" s="24" t="s">
        <v>80</v>
      </c>
      <c r="I162" s="28" t="n">
        <f aca="false">IF(A162="","",D162*E162)</f>
        <v>4500</v>
      </c>
      <c r="J162" s="28" t="n">
        <f aca="false">IF(A162="","",D162*F162)</f>
        <v>3000</v>
      </c>
      <c r="K162" s="26" t="n">
        <f aca="false">IF(A162="","",YEAR(A162))</f>
        <v>2025</v>
      </c>
      <c r="L162" s="26" t="n">
        <f aca="false">IF(A162="","",MONTH(A162))</f>
        <v>3</v>
      </c>
    </row>
    <row r="163" customFormat="false" ht="15" hidden="false" customHeight="false" outlineLevel="0" collapsed="false">
      <c r="A163" s="23" t="n">
        <v>45739.8423611111</v>
      </c>
      <c r="B163" s="24" t="s">
        <v>1071</v>
      </c>
      <c r="C163" s="24" t="s">
        <v>1072</v>
      </c>
      <c r="D163" s="24" t="n">
        <v>1</v>
      </c>
      <c r="E163" s="25" t="n">
        <v>2000</v>
      </c>
      <c r="F163" s="25" t="n">
        <v>1100</v>
      </c>
      <c r="G163" s="24" t="s">
        <v>59</v>
      </c>
      <c r="H163" s="24" t="s">
        <v>55</v>
      </c>
      <c r="I163" s="28" t="n">
        <f aca="false">IF(A163="","",D163*E163)</f>
        <v>2000</v>
      </c>
      <c r="J163" s="28" t="n">
        <f aca="false">IF(A163="","",D163*F163)</f>
        <v>1100</v>
      </c>
      <c r="K163" s="26" t="n">
        <f aca="false">IF(A163="","",YEAR(A163))</f>
        <v>2025</v>
      </c>
      <c r="L163" s="26" t="n">
        <f aca="false">IF(A163="","",MONTH(A163))</f>
        <v>3</v>
      </c>
    </row>
    <row r="164" customFormat="false" ht="15" hidden="false" customHeight="false" outlineLevel="0" collapsed="false">
      <c r="A164" s="23" t="n">
        <v>45741.3583333333</v>
      </c>
      <c r="B164" s="24" t="s">
        <v>1077</v>
      </c>
      <c r="C164" s="24" t="s">
        <v>1078</v>
      </c>
      <c r="D164" s="24" t="n">
        <v>1</v>
      </c>
      <c r="E164" s="25" t="n">
        <v>1500</v>
      </c>
      <c r="F164" s="25" t="n">
        <v>900</v>
      </c>
      <c r="G164" s="24" t="s">
        <v>69</v>
      </c>
      <c r="H164" s="24" t="s">
        <v>80</v>
      </c>
      <c r="I164" s="28" t="n">
        <f aca="false">IF(A164="","",D164*E164)</f>
        <v>1500</v>
      </c>
      <c r="J164" s="28" t="n">
        <f aca="false">IF(A164="","",D164*F164)</f>
        <v>900</v>
      </c>
      <c r="K164" s="26" t="n">
        <f aca="false">IF(A164="","",YEAR(A164))</f>
        <v>2025</v>
      </c>
      <c r="L164" s="26" t="n">
        <f aca="false">IF(A164="","",MONTH(A164))</f>
        <v>3</v>
      </c>
    </row>
    <row r="165" customFormat="false" ht="15" hidden="false" customHeight="false" outlineLevel="0" collapsed="false">
      <c r="A165" s="23" t="n">
        <v>45741.5520833333</v>
      </c>
      <c r="B165" s="24" t="s">
        <v>1075</v>
      </c>
      <c r="C165" s="24" t="s">
        <v>1076</v>
      </c>
      <c r="D165" s="24" t="n">
        <v>1</v>
      </c>
      <c r="E165" s="25" t="n">
        <v>1000</v>
      </c>
      <c r="F165" s="25" t="n">
        <v>300</v>
      </c>
      <c r="G165" s="24" t="s">
        <v>59</v>
      </c>
      <c r="H165" s="24" t="s">
        <v>80</v>
      </c>
      <c r="I165" s="28" t="n">
        <f aca="false">IF(A165="","",D165*E165)</f>
        <v>1000</v>
      </c>
      <c r="J165" s="28" t="n">
        <f aca="false">IF(A165="","",D165*F165)</f>
        <v>300</v>
      </c>
      <c r="K165" s="26" t="n">
        <f aca="false">IF(A165="","",YEAR(A165))</f>
        <v>2025</v>
      </c>
      <c r="L165" s="26" t="n">
        <f aca="false">IF(A165="","",MONTH(A165))</f>
        <v>3</v>
      </c>
    </row>
    <row r="166" customFormat="false" ht="15" hidden="false" customHeight="false" outlineLevel="0" collapsed="false">
      <c r="A166" s="23" t="n">
        <v>45741.7034722222</v>
      </c>
      <c r="B166" s="24" t="s">
        <v>1077</v>
      </c>
      <c r="C166" s="24" t="s">
        <v>1078</v>
      </c>
      <c r="D166" s="24" t="n">
        <v>1</v>
      </c>
      <c r="E166" s="25" t="n">
        <v>1500</v>
      </c>
      <c r="F166" s="25" t="n">
        <v>900</v>
      </c>
      <c r="G166" s="24" t="s">
        <v>59</v>
      </c>
      <c r="H166" s="24" t="s">
        <v>80</v>
      </c>
      <c r="I166" s="28" t="n">
        <f aca="false">IF(A166="","",D166*E166)</f>
        <v>1500</v>
      </c>
      <c r="J166" s="28" t="n">
        <f aca="false">IF(A166="","",D166*F166)</f>
        <v>900</v>
      </c>
      <c r="K166" s="26" t="n">
        <f aca="false">IF(A166="","",YEAR(A166))</f>
        <v>2025</v>
      </c>
      <c r="L166" s="26" t="n">
        <f aca="false">IF(A166="","",MONTH(A166))</f>
        <v>3</v>
      </c>
    </row>
    <row r="167" customFormat="false" ht="15" hidden="false" customHeight="false" outlineLevel="0" collapsed="false">
      <c r="A167" s="23" t="n">
        <v>45741.9138888889</v>
      </c>
      <c r="B167" s="24" t="s">
        <v>1075</v>
      </c>
      <c r="C167" s="24" t="s">
        <v>1076</v>
      </c>
      <c r="D167" s="24" t="n">
        <v>1</v>
      </c>
      <c r="E167" s="25" t="n">
        <v>1000</v>
      </c>
      <c r="F167" s="25" t="n">
        <v>300</v>
      </c>
      <c r="G167" s="24" t="s">
        <v>59</v>
      </c>
      <c r="H167" s="24" t="s">
        <v>60</v>
      </c>
      <c r="I167" s="28" t="n">
        <f aca="false">IF(A167="","",D167*E167)</f>
        <v>1000</v>
      </c>
      <c r="J167" s="28" t="n">
        <f aca="false">IF(A167="","",D167*F167)</f>
        <v>300</v>
      </c>
      <c r="K167" s="26" t="n">
        <f aca="false">IF(A167="","",YEAR(A167))</f>
        <v>2025</v>
      </c>
      <c r="L167" s="26" t="n">
        <f aca="false">IF(A167="","",MONTH(A167))</f>
        <v>3</v>
      </c>
    </row>
    <row r="168" customFormat="false" ht="15" hidden="false" customHeight="false" outlineLevel="0" collapsed="false">
      <c r="A168" s="23" t="n">
        <v>45742.8770833333</v>
      </c>
      <c r="B168" s="24" t="s">
        <v>1081</v>
      </c>
      <c r="C168" s="24" t="s">
        <v>1082</v>
      </c>
      <c r="D168" s="24" t="n">
        <v>1</v>
      </c>
      <c r="E168" s="25" t="n">
        <v>2500</v>
      </c>
      <c r="F168" s="25" t="n">
        <v>1500</v>
      </c>
      <c r="G168" s="24" t="s">
        <v>59</v>
      </c>
      <c r="H168" s="24" t="s">
        <v>60</v>
      </c>
      <c r="I168" s="28" t="n">
        <f aca="false">IF(A168="","",D168*E168)</f>
        <v>2500</v>
      </c>
      <c r="J168" s="28" t="n">
        <f aca="false">IF(A168="","",D168*F168)</f>
        <v>1500</v>
      </c>
      <c r="K168" s="26" t="n">
        <f aca="false">IF(A168="","",YEAR(A168))</f>
        <v>2025</v>
      </c>
      <c r="L168" s="26" t="n">
        <f aca="false">IF(A168="","",MONTH(A168))</f>
        <v>3</v>
      </c>
    </row>
    <row r="169" customFormat="false" ht="15" hidden="false" customHeight="false" outlineLevel="0" collapsed="false">
      <c r="A169" s="23" t="n">
        <v>45742.8847222222</v>
      </c>
      <c r="B169" s="24" t="s">
        <v>1073</v>
      </c>
      <c r="C169" s="24" t="s">
        <v>1074</v>
      </c>
      <c r="D169" s="24" t="n">
        <v>1</v>
      </c>
      <c r="E169" s="25" t="n">
        <v>7000</v>
      </c>
      <c r="F169" s="25" t="n">
        <v>4800</v>
      </c>
      <c r="G169" s="24" t="s">
        <v>59</v>
      </c>
      <c r="H169" s="24" t="s">
        <v>55</v>
      </c>
      <c r="I169" s="28" t="n">
        <f aca="false">IF(A169="","",D169*E169)</f>
        <v>7000</v>
      </c>
      <c r="J169" s="28" t="n">
        <f aca="false">IF(A169="","",D169*F169)</f>
        <v>4800</v>
      </c>
      <c r="K169" s="26" t="n">
        <f aca="false">IF(A169="","",YEAR(A169))</f>
        <v>2025</v>
      </c>
      <c r="L169" s="26" t="n">
        <f aca="false">IF(A169="","",MONTH(A169))</f>
        <v>3</v>
      </c>
    </row>
    <row r="170" customFormat="false" ht="15" hidden="false" customHeight="false" outlineLevel="0" collapsed="false">
      <c r="A170" s="23" t="n">
        <v>45744.3159722222</v>
      </c>
      <c r="B170" s="24" t="s">
        <v>1071</v>
      </c>
      <c r="C170" s="24" t="s">
        <v>1072</v>
      </c>
      <c r="D170" s="24" t="n">
        <v>1</v>
      </c>
      <c r="E170" s="25" t="n">
        <v>2000</v>
      </c>
      <c r="F170" s="25" t="n">
        <v>1100</v>
      </c>
      <c r="G170" s="24" t="s">
        <v>59</v>
      </c>
      <c r="H170" s="24" t="s">
        <v>55</v>
      </c>
      <c r="I170" s="28" t="n">
        <f aca="false">IF(A170="","",D170*E170)</f>
        <v>2000</v>
      </c>
      <c r="J170" s="28" t="n">
        <f aca="false">IF(A170="","",D170*F170)</f>
        <v>1100</v>
      </c>
      <c r="K170" s="26" t="n">
        <f aca="false">IF(A170="","",YEAR(A170))</f>
        <v>2025</v>
      </c>
      <c r="L170" s="26" t="n">
        <f aca="false">IF(A170="","",MONTH(A170))</f>
        <v>3</v>
      </c>
    </row>
    <row r="171" customFormat="false" ht="15" hidden="false" customHeight="false" outlineLevel="0" collapsed="false">
      <c r="A171" s="23" t="n">
        <v>45748.5583333333</v>
      </c>
      <c r="B171" s="24" t="s">
        <v>1075</v>
      </c>
      <c r="C171" s="24" t="s">
        <v>1076</v>
      </c>
      <c r="D171" s="24" t="n">
        <v>1</v>
      </c>
      <c r="E171" s="25" t="n">
        <v>1000</v>
      </c>
      <c r="F171" s="25" t="n">
        <v>300</v>
      </c>
      <c r="G171" s="24" t="s">
        <v>59</v>
      </c>
      <c r="H171" s="24" t="s">
        <v>80</v>
      </c>
      <c r="I171" s="28" t="n">
        <f aca="false">IF(A171="","",D171*E171)</f>
        <v>1000</v>
      </c>
      <c r="J171" s="28" t="n">
        <f aca="false">IF(A171="","",D171*F171)</f>
        <v>300</v>
      </c>
      <c r="K171" s="26" t="n">
        <f aca="false">IF(A171="","",YEAR(A171))</f>
        <v>2025</v>
      </c>
      <c r="L171" s="26" t="n">
        <f aca="false">IF(A171="","",MONTH(A171))</f>
        <v>4</v>
      </c>
    </row>
    <row r="172" customFormat="false" ht="15" hidden="false" customHeight="false" outlineLevel="0" collapsed="false">
      <c r="A172" s="23" t="n">
        <v>45749.35625</v>
      </c>
      <c r="B172" s="24" t="s">
        <v>1067</v>
      </c>
      <c r="C172" s="24" t="s">
        <v>1068</v>
      </c>
      <c r="D172" s="24" t="n">
        <v>1</v>
      </c>
      <c r="E172" s="25" t="n">
        <v>4000</v>
      </c>
      <c r="F172" s="25" t="n">
        <v>2600</v>
      </c>
      <c r="G172" s="24" t="s">
        <v>59</v>
      </c>
      <c r="H172" s="24" t="s">
        <v>80</v>
      </c>
      <c r="I172" s="28" t="n">
        <f aca="false">IF(A172="","",D172*E172)</f>
        <v>4000</v>
      </c>
      <c r="J172" s="28" t="n">
        <f aca="false">IF(A172="","",D172*F172)</f>
        <v>2600</v>
      </c>
      <c r="K172" s="26" t="n">
        <f aca="false">IF(A172="","",YEAR(A172))</f>
        <v>2025</v>
      </c>
      <c r="L172" s="26" t="n">
        <f aca="false">IF(A172="","",MONTH(A172))</f>
        <v>4</v>
      </c>
    </row>
    <row r="173" customFormat="false" ht="15" hidden="false" customHeight="false" outlineLevel="0" collapsed="false">
      <c r="A173" s="23" t="n">
        <v>45749.4423611111</v>
      </c>
      <c r="B173" s="24" t="s">
        <v>1073</v>
      </c>
      <c r="C173" s="24" t="s">
        <v>1074</v>
      </c>
      <c r="D173" s="24" t="n">
        <v>1</v>
      </c>
      <c r="E173" s="25" t="n">
        <v>7000</v>
      </c>
      <c r="F173" s="25" t="n">
        <v>4800</v>
      </c>
      <c r="G173" s="24" t="s">
        <v>59</v>
      </c>
      <c r="H173" s="24" t="s">
        <v>55</v>
      </c>
      <c r="I173" s="28" t="n">
        <f aca="false">IF(A173="","",D173*E173)</f>
        <v>7000</v>
      </c>
      <c r="J173" s="28" t="n">
        <f aca="false">IF(A173="","",D173*F173)</f>
        <v>4800</v>
      </c>
      <c r="K173" s="26" t="n">
        <f aca="false">IF(A173="","",YEAR(A173))</f>
        <v>2025</v>
      </c>
      <c r="L173" s="26" t="n">
        <f aca="false">IF(A173="","",MONTH(A173))</f>
        <v>4</v>
      </c>
    </row>
    <row r="174" customFormat="false" ht="15" hidden="false" customHeight="false" outlineLevel="0" collapsed="false">
      <c r="A174" s="23" t="n">
        <v>45749.6375</v>
      </c>
      <c r="B174" s="24" t="s">
        <v>1079</v>
      </c>
      <c r="C174" s="24" t="s">
        <v>1080</v>
      </c>
      <c r="D174" s="24" t="n">
        <v>1</v>
      </c>
      <c r="E174" s="25" t="n">
        <v>2500</v>
      </c>
      <c r="F174" s="25" t="n">
        <v>1600</v>
      </c>
      <c r="G174" s="24" t="s">
        <v>59</v>
      </c>
      <c r="H174" s="24" t="s">
        <v>55</v>
      </c>
      <c r="I174" s="28" t="n">
        <f aca="false">IF(A174="","",D174*E174)</f>
        <v>2500</v>
      </c>
      <c r="J174" s="28" t="n">
        <f aca="false">IF(A174="","",D174*F174)</f>
        <v>1600</v>
      </c>
      <c r="K174" s="26" t="n">
        <f aca="false">IF(A174="","",YEAR(A174))</f>
        <v>2025</v>
      </c>
      <c r="L174" s="26" t="n">
        <f aca="false">IF(A174="","",MONTH(A174))</f>
        <v>4</v>
      </c>
    </row>
    <row r="175" customFormat="false" ht="15" hidden="false" customHeight="false" outlineLevel="0" collapsed="false">
      <c r="A175" s="23" t="n">
        <v>45750.3909722222</v>
      </c>
      <c r="B175" s="24" t="s">
        <v>1071</v>
      </c>
      <c r="C175" s="24" t="s">
        <v>1072</v>
      </c>
      <c r="D175" s="24" t="n">
        <v>1</v>
      </c>
      <c r="E175" s="25" t="n">
        <v>2000</v>
      </c>
      <c r="F175" s="25" t="n">
        <v>1100</v>
      </c>
      <c r="G175" s="24" t="s">
        <v>59</v>
      </c>
      <c r="H175" s="24" t="s">
        <v>55</v>
      </c>
      <c r="I175" s="28" t="n">
        <f aca="false">IF(A175="","",D175*E175)</f>
        <v>2000</v>
      </c>
      <c r="J175" s="28" t="n">
        <f aca="false">IF(A175="","",D175*F175)</f>
        <v>1100</v>
      </c>
      <c r="K175" s="26" t="n">
        <f aca="false">IF(A175="","",YEAR(A175))</f>
        <v>2025</v>
      </c>
      <c r="L175" s="26" t="n">
        <f aca="false">IF(A175="","",MONTH(A175))</f>
        <v>4</v>
      </c>
    </row>
    <row r="176" customFormat="false" ht="15" hidden="false" customHeight="false" outlineLevel="0" collapsed="false">
      <c r="A176" s="23" t="n">
        <v>45750.4618055556</v>
      </c>
      <c r="B176" s="24" t="s">
        <v>1073</v>
      </c>
      <c r="C176" s="24" t="s">
        <v>1074</v>
      </c>
      <c r="D176" s="24" t="n">
        <v>1</v>
      </c>
      <c r="E176" s="25" t="n">
        <v>7000</v>
      </c>
      <c r="F176" s="25" t="n">
        <v>4800</v>
      </c>
      <c r="G176" s="24" t="s">
        <v>69</v>
      </c>
      <c r="H176" s="24" t="s">
        <v>60</v>
      </c>
      <c r="I176" s="28" t="n">
        <f aca="false">IF(A176="","",D176*E176)</f>
        <v>7000</v>
      </c>
      <c r="J176" s="28" t="n">
        <f aca="false">IF(A176="","",D176*F176)</f>
        <v>4800</v>
      </c>
      <c r="K176" s="26" t="n">
        <f aca="false">IF(A176="","",YEAR(A176))</f>
        <v>2025</v>
      </c>
      <c r="L176" s="26" t="n">
        <f aca="false">IF(A176="","",MONTH(A176))</f>
        <v>4</v>
      </c>
    </row>
    <row r="177" customFormat="false" ht="15" hidden="false" customHeight="false" outlineLevel="0" collapsed="false">
      <c r="A177" s="23" t="n">
        <v>45750.4784722222</v>
      </c>
      <c r="B177" s="24" t="s">
        <v>1077</v>
      </c>
      <c r="C177" s="24" t="s">
        <v>1078</v>
      </c>
      <c r="D177" s="24" t="n">
        <v>1</v>
      </c>
      <c r="E177" s="25" t="n">
        <v>1500</v>
      </c>
      <c r="F177" s="25" t="n">
        <v>900</v>
      </c>
      <c r="G177" s="24" t="s">
        <v>59</v>
      </c>
      <c r="H177" s="24" t="s">
        <v>80</v>
      </c>
      <c r="I177" s="28" t="n">
        <f aca="false">IF(A177="","",D177*E177)</f>
        <v>1500</v>
      </c>
      <c r="J177" s="28" t="n">
        <f aca="false">IF(A177="","",D177*F177)</f>
        <v>900</v>
      </c>
      <c r="K177" s="26" t="n">
        <f aca="false">IF(A177="","",YEAR(A177))</f>
        <v>2025</v>
      </c>
      <c r="L177" s="26" t="n">
        <f aca="false">IF(A177="","",MONTH(A177))</f>
        <v>4</v>
      </c>
    </row>
    <row r="178" customFormat="false" ht="15" hidden="false" customHeight="false" outlineLevel="0" collapsed="false">
      <c r="A178" s="23" t="n">
        <v>45750.7180555556</v>
      </c>
      <c r="B178" s="24" t="s">
        <v>1081</v>
      </c>
      <c r="C178" s="24" t="s">
        <v>1082</v>
      </c>
      <c r="D178" s="24" t="n">
        <v>1</v>
      </c>
      <c r="E178" s="25" t="n">
        <v>2500</v>
      </c>
      <c r="F178" s="25" t="n">
        <v>1500</v>
      </c>
      <c r="G178" s="24" t="s">
        <v>59</v>
      </c>
      <c r="H178" s="24" t="s">
        <v>60</v>
      </c>
      <c r="I178" s="28" t="n">
        <f aca="false">IF(A178="","",D178*E178)</f>
        <v>2500</v>
      </c>
      <c r="J178" s="28" t="n">
        <f aca="false">IF(A178="","",D178*F178)</f>
        <v>1500</v>
      </c>
      <c r="K178" s="26" t="n">
        <f aca="false">IF(A178="","",YEAR(A178))</f>
        <v>2025</v>
      </c>
      <c r="L178" s="26" t="n">
        <f aca="false">IF(A178="","",MONTH(A178))</f>
        <v>4</v>
      </c>
    </row>
    <row r="179" customFormat="false" ht="15" hidden="false" customHeight="false" outlineLevel="0" collapsed="false">
      <c r="A179" s="23" t="n">
        <v>45750.9006944444</v>
      </c>
      <c r="B179" s="24" t="s">
        <v>1075</v>
      </c>
      <c r="C179" s="24" t="s">
        <v>1076</v>
      </c>
      <c r="D179" s="24" t="n">
        <v>2</v>
      </c>
      <c r="E179" s="25" t="n">
        <v>1000</v>
      </c>
      <c r="F179" s="25" t="n">
        <v>300</v>
      </c>
      <c r="G179" s="24" t="s">
        <v>59</v>
      </c>
      <c r="H179" s="24" t="s">
        <v>80</v>
      </c>
      <c r="I179" s="28" t="n">
        <f aca="false">IF(A179="","",D179*E179)</f>
        <v>2000</v>
      </c>
      <c r="J179" s="28" t="n">
        <f aca="false">IF(A179="","",D179*F179)</f>
        <v>600</v>
      </c>
      <c r="K179" s="26" t="n">
        <f aca="false">IF(A179="","",YEAR(A179))</f>
        <v>2025</v>
      </c>
      <c r="L179" s="26" t="n">
        <f aca="false">IF(A179="","",MONTH(A179))</f>
        <v>4</v>
      </c>
    </row>
    <row r="180" customFormat="false" ht="15" hidden="false" customHeight="false" outlineLevel="0" collapsed="false">
      <c r="A180" s="23" t="n">
        <v>45751.3166666667</v>
      </c>
      <c r="B180" s="24" t="s">
        <v>1067</v>
      </c>
      <c r="C180" s="24" t="s">
        <v>1068</v>
      </c>
      <c r="D180" s="24" t="n">
        <v>1</v>
      </c>
      <c r="E180" s="25" t="n">
        <v>4000</v>
      </c>
      <c r="F180" s="25" t="n">
        <v>2600</v>
      </c>
      <c r="G180" s="24" t="s">
        <v>59</v>
      </c>
      <c r="H180" s="24" t="s">
        <v>55</v>
      </c>
      <c r="I180" s="28" t="n">
        <f aca="false">IF(A180="","",D180*E180)</f>
        <v>4000</v>
      </c>
      <c r="J180" s="28" t="n">
        <f aca="false">IF(A180="","",D180*F180)</f>
        <v>2600</v>
      </c>
      <c r="K180" s="26" t="n">
        <f aca="false">IF(A180="","",YEAR(A180))</f>
        <v>2025</v>
      </c>
      <c r="L180" s="26" t="n">
        <f aca="false">IF(A180="","",MONTH(A180))</f>
        <v>4</v>
      </c>
    </row>
    <row r="181" customFormat="false" ht="15" hidden="false" customHeight="false" outlineLevel="0" collapsed="false">
      <c r="A181" s="23" t="n">
        <v>45751.3729166667</v>
      </c>
      <c r="B181" s="24" t="s">
        <v>1069</v>
      </c>
      <c r="C181" s="24" t="s">
        <v>1070</v>
      </c>
      <c r="D181" s="24" t="n">
        <v>1</v>
      </c>
      <c r="E181" s="25" t="n">
        <v>4500</v>
      </c>
      <c r="F181" s="25" t="n">
        <v>3000</v>
      </c>
      <c r="G181" s="24" t="s">
        <v>59</v>
      </c>
      <c r="H181" s="24" t="s">
        <v>60</v>
      </c>
      <c r="I181" s="28" t="n">
        <f aca="false">IF(A181="","",D181*E181)</f>
        <v>4500</v>
      </c>
      <c r="J181" s="28" t="n">
        <f aca="false">IF(A181="","",D181*F181)</f>
        <v>3000</v>
      </c>
      <c r="K181" s="26" t="n">
        <f aca="false">IF(A181="","",YEAR(A181))</f>
        <v>2025</v>
      </c>
      <c r="L181" s="26" t="n">
        <f aca="false">IF(A181="","",MONTH(A181))</f>
        <v>4</v>
      </c>
    </row>
    <row r="182" customFormat="false" ht="15" hidden="false" customHeight="false" outlineLevel="0" collapsed="false">
      <c r="A182" s="23" t="n">
        <v>45751.6479166667</v>
      </c>
      <c r="B182" s="24" t="s">
        <v>1079</v>
      </c>
      <c r="C182" s="24" t="s">
        <v>1080</v>
      </c>
      <c r="D182" s="24" t="n">
        <v>2</v>
      </c>
      <c r="E182" s="25" t="n">
        <v>2500</v>
      </c>
      <c r="F182" s="25" t="n">
        <v>1600</v>
      </c>
      <c r="G182" s="24" t="s">
        <v>59</v>
      </c>
      <c r="H182" s="24" t="s">
        <v>60</v>
      </c>
      <c r="I182" s="28" t="n">
        <f aca="false">IF(A182="","",D182*E182)</f>
        <v>5000</v>
      </c>
      <c r="J182" s="28" t="n">
        <f aca="false">IF(A182="","",D182*F182)</f>
        <v>3200</v>
      </c>
      <c r="K182" s="26" t="n">
        <f aca="false">IF(A182="","",YEAR(A182))</f>
        <v>2025</v>
      </c>
      <c r="L182" s="26" t="n">
        <f aca="false">IF(A182="","",MONTH(A182))</f>
        <v>4</v>
      </c>
    </row>
    <row r="183" customFormat="false" ht="15" hidden="false" customHeight="false" outlineLevel="0" collapsed="false">
      <c r="A183" s="23" t="n">
        <v>45751.8055555556</v>
      </c>
      <c r="B183" s="24" t="s">
        <v>1067</v>
      </c>
      <c r="C183" s="24" t="s">
        <v>1068</v>
      </c>
      <c r="D183" s="24" t="n">
        <v>1</v>
      </c>
      <c r="E183" s="25" t="n">
        <v>4000</v>
      </c>
      <c r="F183" s="25" t="n">
        <v>2600</v>
      </c>
      <c r="G183" s="24" t="s">
        <v>59</v>
      </c>
      <c r="H183" s="24" t="s">
        <v>80</v>
      </c>
      <c r="I183" s="28" t="n">
        <f aca="false">IF(A183="","",D183*E183)</f>
        <v>4000</v>
      </c>
      <c r="J183" s="28" t="n">
        <f aca="false">IF(A183="","",D183*F183)</f>
        <v>2600</v>
      </c>
      <c r="K183" s="26" t="n">
        <f aca="false">IF(A183="","",YEAR(A183))</f>
        <v>2025</v>
      </c>
      <c r="L183" s="26" t="n">
        <f aca="false">IF(A183="","",MONTH(A183))</f>
        <v>4</v>
      </c>
    </row>
    <row r="184" customFormat="false" ht="15" hidden="false" customHeight="false" outlineLevel="0" collapsed="false">
      <c r="A184" s="23" t="n">
        <v>45752.4576388889</v>
      </c>
      <c r="B184" s="24" t="s">
        <v>1081</v>
      </c>
      <c r="C184" s="24" t="s">
        <v>1082</v>
      </c>
      <c r="D184" s="24" t="n">
        <v>1</v>
      </c>
      <c r="E184" s="25" t="n">
        <v>2500</v>
      </c>
      <c r="F184" s="25" t="n">
        <v>1500</v>
      </c>
      <c r="G184" s="24" t="s">
        <v>59</v>
      </c>
      <c r="H184" s="24" t="s">
        <v>60</v>
      </c>
      <c r="I184" s="28" t="n">
        <f aca="false">IF(A184="","",D184*E184)</f>
        <v>2500</v>
      </c>
      <c r="J184" s="28" t="n">
        <f aca="false">IF(A184="","",D184*F184)</f>
        <v>1500</v>
      </c>
      <c r="K184" s="26" t="n">
        <f aca="false">IF(A184="","",YEAR(A184))</f>
        <v>2025</v>
      </c>
      <c r="L184" s="26" t="n">
        <f aca="false">IF(A184="","",MONTH(A184))</f>
        <v>4</v>
      </c>
    </row>
    <row r="185" customFormat="false" ht="15" hidden="false" customHeight="false" outlineLevel="0" collapsed="false">
      <c r="A185" s="23" t="n">
        <v>45753.2972222222</v>
      </c>
      <c r="B185" s="24" t="s">
        <v>1077</v>
      </c>
      <c r="C185" s="24" t="s">
        <v>1078</v>
      </c>
      <c r="D185" s="24" t="n">
        <v>1</v>
      </c>
      <c r="E185" s="25" t="n">
        <v>1500</v>
      </c>
      <c r="F185" s="25" t="n">
        <v>900</v>
      </c>
      <c r="G185" s="24" t="s">
        <v>59</v>
      </c>
      <c r="H185" s="24" t="s">
        <v>60</v>
      </c>
      <c r="I185" s="28" t="n">
        <f aca="false">IF(A185="","",D185*E185)</f>
        <v>1500</v>
      </c>
      <c r="J185" s="28" t="n">
        <f aca="false">IF(A185="","",D185*F185)</f>
        <v>900</v>
      </c>
      <c r="K185" s="26" t="n">
        <f aca="false">IF(A185="","",YEAR(A185))</f>
        <v>2025</v>
      </c>
      <c r="L185" s="26" t="n">
        <f aca="false">IF(A185="","",MONTH(A185))</f>
        <v>4</v>
      </c>
    </row>
    <row r="186" customFormat="false" ht="15" hidden="false" customHeight="false" outlineLevel="0" collapsed="false">
      <c r="A186" s="23" t="n">
        <v>45753.38125</v>
      </c>
      <c r="B186" s="24" t="s">
        <v>1079</v>
      </c>
      <c r="C186" s="24" t="s">
        <v>1080</v>
      </c>
      <c r="D186" s="24" t="n">
        <v>1</v>
      </c>
      <c r="E186" s="25" t="n">
        <v>2500</v>
      </c>
      <c r="F186" s="25" t="n">
        <v>1600</v>
      </c>
      <c r="G186" s="24" t="s">
        <v>59</v>
      </c>
      <c r="H186" s="24" t="s">
        <v>80</v>
      </c>
      <c r="I186" s="28" t="n">
        <f aca="false">IF(A186="","",D186*E186)</f>
        <v>2500</v>
      </c>
      <c r="J186" s="28" t="n">
        <f aca="false">IF(A186="","",D186*F186)</f>
        <v>1600</v>
      </c>
      <c r="K186" s="26" t="n">
        <f aca="false">IF(A186="","",YEAR(A186))</f>
        <v>2025</v>
      </c>
      <c r="L186" s="26" t="n">
        <f aca="false">IF(A186="","",MONTH(A186))</f>
        <v>4</v>
      </c>
    </row>
    <row r="187" customFormat="false" ht="15" hidden="false" customHeight="false" outlineLevel="0" collapsed="false">
      <c r="A187" s="23" t="n">
        <v>45754.3173611111</v>
      </c>
      <c r="B187" s="24" t="s">
        <v>1073</v>
      </c>
      <c r="C187" s="24" t="s">
        <v>1074</v>
      </c>
      <c r="D187" s="24" t="n">
        <v>3</v>
      </c>
      <c r="E187" s="25" t="n">
        <v>7000</v>
      </c>
      <c r="F187" s="25" t="n">
        <v>4800</v>
      </c>
      <c r="G187" s="24" t="s">
        <v>59</v>
      </c>
      <c r="H187" s="24" t="s">
        <v>60</v>
      </c>
      <c r="I187" s="28" t="n">
        <f aca="false">IF(A187="","",D187*E187)</f>
        <v>21000</v>
      </c>
      <c r="J187" s="28" t="n">
        <f aca="false">IF(A187="","",D187*F187)</f>
        <v>14400</v>
      </c>
      <c r="K187" s="26" t="n">
        <f aca="false">IF(A187="","",YEAR(A187))</f>
        <v>2025</v>
      </c>
      <c r="L187" s="26" t="n">
        <f aca="false">IF(A187="","",MONTH(A187))</f>
        <v>4</v>
      </c>
    </row>
    <row r="188" customFormat="false" ht="15" hidden="false" customHeight="false" outlineLevel="0" collapsed="false">
      <c r="A188" s="23" t="n">
        <v>45754.4555555556</v>
      </c>
      <c r="B188" s="24" t="s">
        <v>1069</v>
      </c>
      <c r="C188" s="24" t="s">
        <v>1070</v>
      </c>
      <c r="D188" s="24" t="n">
        <v>2</v>
      </c>
      <c r="E188" s="25" t="n">
        <v>4500</v>
      </c>
      <c r="F188" s="25" t="n">
        <v>3000</v>
      </c>
      <c r="G188" s="24" t="s">
        <v>59</v>
      </c>
      <c r="H188" s="24" t="s">
        <v>60</v>
      </c>
      <c r="I188" s="28" t="n">
        <f aca="false">IF(A188="","",D188*E188)</f>
        <v>9000</v>
      </c>
      <c r="J188" s="28" t="n">
        <f aca="false">IF(A188="","",D188*F188)</f>
        <v>6000</v>
      </c>
      <c r="K188" s="26" t="n">
        <f aca="false">IF(A188="","",YEAR(A188))</f>
        <v>2025</v>
      </c>
      <c r="L188" s="26" t="n">
        <f aca="false">IF(A188="","",MONTH(A188))</f>
        <v>4</v>
      </c>
    </row>
    <row r="189" customFormat="false" ht="15" hidden="false" customHeight="false" outlineLevel="0" collapsed="false">
      <c r="A189" s="23" t="n">
        <v>45754.48125</v>
      </c>
      <c r="B189" s="24" t="s">
        <v>1069</v>
      </c>
      <c r="C189" s="24" t="s">
        <v>1070</v>
      </c>
      <c r="D189" s="24" t="n">
        <v>1</v>
      </c>
      <c r="E189" s="25" t="n">
        <v>4500</v>
      </c>
      <c r="F189" s="25" t="n">
        <v>3000</v>
      </c>
      <c r="G189" s="24" t="s">
        <v>59</v>
      </c>
      <c r="H189" s="24" t="s">
        <v>60</v>
      </c>
      <c r="I189" s="28" t="n">
        <f aca="false">IF(A189="","",D189*E189)</f>
        <v>4500</v>
      </c>
      <c r="J189" s="28" t="n">
        <f aca="false">IF(A189="","",D189*F189)</f>
        <v>3000</v>
      </c>
      <c r="K189" s="26" t="n">
        <f aca="false">IF(A189="","",YEAR(A189))</f>
        <v>2025</v>
      </c>
      <c r="L189" s="26" t="n">
        <f aca="false">IF(A189="","",MONTH(A189))</f>
        <v>4</v>
      </c>
    </row>
    <row r="190" customFormat="false" ht="15" hidden="false" customHeight="false" outlineLevel="0" collapsed="false">
      <c r="A190" s="23" t="n">
        <v>45754.7875</v>
      </c>
      <c r="B190" s="24" t="s">
        <v>1071</v>
      </c>
      <c r="C190" s="24" t="s">
        <v>1072</v>
      </c>
      <c r="D190" s="24" t="n">
        <v>1</v>
      </c>
      <c r="E190" s="25" t="n">
        <v>2000</v>
      </c>
      <c r="F190" s="25" t="n">
        <v>1100</v>
      </c>
      <c r="G190" s="24" t="s">
        <v>59</v>
      </c>
      <c r="H190" s="24" t="s">
        <v>55</v>
      </c>
      <c r="I190" s="28" t="n">
        <f aca="false">IF(A190="","",D190*E190)</f>
        <v>2000</v>
      </c>
      <c r="J190" s="28" t="n">
        <f aca="false">IF(A190="","",D190*F190)</f>
        <v>1100</v>
      </c>
      <c r="K190" s="26" t="n">
        <f aca="false">IF(A190="","",YEAR(A190))</f>
        <v>2025</v>
      </c>
      <c r="L190" s="26" t="n">
        <f aca="false">IF(A190="","",MONTH(A190))</f>
        <v>4</v>
      </c>
    </row>
    <row r="191" customFormat="false" ht="15" hidden="false" customHeight="false" outlineLevel="0" collapsed="false">
      <c r="A191" s="23" t="n">
        <v>45756.4208333333</v>
      </c>
      <c r="B191" s="24" t="s">
        <v>1077</v>
      </c>
      <c r="C191" s="24" t="s">
        <v>1078</v>
      </c>
      <c r="D191" s="24" t="n">
        <v>2</v>
      </c>
      <c r="E191" s="25" t="n">
        <v>1500</v>
      </c>
      <c r="F191" s="25" t="n">
        <v>900</v>
      </c>
      <c r="G191" s="24" t="s">
        <v>59</v>
      </c>
      <c r="H191" s="24" t="s">
        <v>60</v>
      </c>
      <c r="I191" s="28" t="n">
        <f aca="false">IF(A191="","",D191*E191)</f>
        <v>3000</v>
      </c>
      <c r="J191" s="28" t="n">
        <f aca="false">IF(A191="","",D191*F191)</f>
        <v>1800</v>
      </c>
      <c r="K191" s="26" t="n">
        <f aca="false">IF(A191="","",YEAR(A191))</f>
        <v>2025</v>
      </c>
      <c r="L191" s="26" t="n">
        <f aca="false">IF(A191="","",MONTH(A191))</f>
        <v>4</v>
      </c>
    </row>
    <row r="192" customFormat="false" ht="15" hidden="false" customHeight="false" outlineLevel="0" collapsed="false">
      <c r="A192" s="23" t="n">
        <v>45756.7375</v>
      </c>
      <c r="B192" s="24" t="s">
        <v>1073</v>
      </c>
      <c r="C192" s="24" t="s">
        <v>1074</v>
      </c>
      <c r="D192" s="24" t="n">
        <v>1</v>
      </c>
      <c r="E192" s="25" t="n">
        <v>7000</v>
      </c>
      <c r="F192" s="25" t="n">
        <v>4800</v>
      </c>
      <c r="G192" s="24" t="s">
        <v>59</v>
      </c>
      <c r="H192" s="24" t="s">
        <v>60</v>
      </c>
      <c r="I192" s="28" t="n">
        <f aca="false">IF(A192="","",D192*E192)</f>
        <v>7000</v>
      </c>
      <c r="J192" s="28" t="n">
        <f aca="false">IF(A192="","",D192*F192)</f>
        <v>4800</v>
      </c>
      <c r="K192" s="26" t="n">
        <f aca="false">IF(A192="","",YEAR(A192))</f>
        <v>2025</v>
      </c>
      <c r="L192" s="26" t="n">
        <f aca="false">IF(A192="","",MONTH(A192))</f>
        <v>4</v>
      </c>
    </row>
    <row r="193" customFormat="false" ht="15" hidden="false" customHeight="false" outlineLevel="0" collapsed="false">
      <c r="A193" s="23" t="n">
        <v>45757.65</v>
      </c>
      <c r="B193" s="24" t="s">
        <v>1079</v>
      </c>
      <c r="C193" s="24" t="s">
        <v>1080</v>
      </c>
      <c r="D193" s="24" t="n">
        <v>3</v>
      </c>
      <c r="E193" s="25" t="n">
        <v>2500</v>
      </c>
      <c r="F193" s="25" t="n">
        <v>1600</v>
      </c>
      <c r="G193" s="24" t="s">
        <v>59</v>
      </c>
      <c r="H193" s="24" t="s">
        <v>60</v>
      </c>
      <c r="I193" s="28" t="n">
        <f aca="false">IF(A193="","",D193*E193)</f>
        <v>7500</v>
      </c>
      <c r="J193" s="28" t="n">
        <f aca="false">IF(A193="","",D193*F193)</f>
        <v>4800</v>
      </c>
      <c r="K193" s="26" t="n">
        <f aca="false">IF(A193="","",YEAR(A193))</f>
        <v>2025</v>
      </c>
      <c r="L193" s="26" t="n">
        <f aca="false">IF(A193="","",MONTH(A193))</f>
        <v>4</v>
      </c>
    </row>
    <row r="194" customFormat="false" ht="15" hidden="false" customHeight="false" outlineLevel="0" collapsed="false">
      <c r="A194" s="23" t="n">
        <v>45757.9055555556</v>
      </c>
      <c r="B194" s="24" t="s">
        <v>1077</v>
      </c>
      <c r="C194" s="24" t="s">
        <v>1078</v>
      </c>
      <c r="D194" s="24" t="n">
        <v>1</v>
      </c>
      <c r="E194" s="25" t="n">
        <v>1500</v>
      </c>
      <c r="F194" s="25" t="n">
        <v>900</v>
      </c>
      <c r="G194" s="24" t="s">
        <v>59</v>
      </c>
      <c r="H194" s="24" t="s">
        <v>55</v>
      </c>
      <c r="I194" s="28" t="n">
        <f aca="false">IF(A194="","",D194*E194)</f>
        <v>1500</v>
      </c>
      <c r="J194" s="28" t="n">
        <f aca="false">IF(A194="","",D194*F194)</f>
        <v>900</v>
      </c>
      <c r="K194" s="26" t="n">
        <f aca="false">IF(A194="","",YEAR(A194))</f>
        <v>2025</v>
      </c>
      <c r="L194" s="26" t="n">
        <f aca="false">IF(A194="","",MONTH(A194))</f>
        <v>4</v>
      </c>
    </row>
    <row r="195" customFormat="false" ht="15" hidden="false" customHeight="false" outlineLevel="0" collapsed="false">
      <c r="A195" s="23" t="n">
        <v>45759.33125</v>
      </c>
      <c r="B195" s="24" t="s">
        <v>1081</v>
      </c>
      <c r="C195" s="24" t="s">
        <v>1082</v>
      </c>
      <c r="D195" s="24" t="n">
        <v>1</v>
      </c>
      <c r="E195" s="25" t="n">
        <v>2500</v>
      </c>
      <c r="F195" s="25" t="n">
        <v>1500</v>
      </c>
      <c r="G195" s="24" t="s">
        <v>59</v>
      </c>
      <c r="H195" s="24" t="s">
        <v>60</v>
      </c>
      <c r="I195" s="28" t="n">
        <f aca="false">IF(A195="","",D195*E195)</f>
        <v>2500</v>
      </c>
      <c r="J195" s="28" t="n">
        <f aca="false">IF(A195="","",D195*F195)</f>
        <v>1500</v>
      </c>
      <c r="K195" s="26" t="n">
        <f aca="false">IF(A195="","",YEAR(A195))</f>
        <v>2025</v>
      </c>
      <c r="L195" s="26" t="n">
        <f aca="false">IF(A195="","",MONTH(A195))</f>
        <v>4</v>
      </c>
    </row>
    <row r="196" customFormat="false" ht="15" hidden="false" customHeight="false" outlineLevel="0" collapsed="false">
      <c r="A196" s="23" t="n">
        <v>45759.4604166667</v>
      </c>
      <c r="B196" s="24" t="s">
        <v>1079</v>
      </c>
      <c r="C196" s="24" t="s">
        <v>1080</v>
      </c>
      <c r="D196" s="24" t="n">
        <v>1</v>
      </c>
      <c r="E196" s="25" t="n">
        <v>2500</v>
      </c>
      <c r="F196" s="25" t="n">
        <v>1600</v>
      </c>
      <c r="G196" s="24" t="s">
        <v>59</v>
      </c>
      <c r="H196" s="24" t="s">
        <v>80</v>
      </c>
      <c r="I196" s="28" t="n">
        <f aca="false">IF(A196="","",D196*E196)</f>
        <v>2500</v>
      </c>
      <c r="J196" s="28" t="n">
        <f aca="false">IF(A196="","",D196*F196)</f>
        <v>1600</v>
      </c>
      <c r="K196" s="26" t="n">
        <f aca="false">IF(A196="","",YEAR(A196))</f>
        <v>2025</v>
      </c>
      <c r="L196" s="26" t="n">
        <f aca="false">IF(A196="","",MONTH(A196))</f>
        <v>4</v>
      </c>
    </row>
    <row r="197" customFormat="false" ht="15" hidden="false" customHeight="false" outlineLevel="0" collapsed="false">
      <c r="A197" s="23" t="n">
        <v>45759.5222222222</v>
      </c>
      <c r="B197" s="24" t="s">
        <v>1079</v>
      </c>
      <c r="C197" s="24" t="s">
        <v>1080</v>
      </c>
      <c r="D197" s="24" t="n">
        <v>3</v>
      </c>
      <c r="E197" s="25" t="n">
        <v>2500</v>
      </c>
      <c r="F197" s="25" t="n">
        <v>1600</v>
      </c>
      <c r="G197" s="24" t="s">
        <v>59</v>
      </c>
      <c r="H197" s="24" t="s">
        <v>80</v>
      </c>
      <c r="I197" s="28" t="n">
        <f aca="false">IF(A197="","",D197*E197)</f>
        <v>7500</v>
      </c>
      <c r="J197" s="28" t="n">
        <f aca="false">IF(A197="","",D197*F197)</f>
        <v>4800</v>
      </c>
      <c r="K197" s="26" t="n">
        <f aca="false">IF(A197="","",YEAR(A197))</f>
        <v>2025</v>
      </c>
      <c r="L197" s="26" t="n">
        <f aca="false">IF(A197="","",MONTH(A197))</f>
        <v>4</v>
      </c>
    </row>
    <row r="198" customFormat="false" ht="15" hidden="false" customHeight="false" outlineLevel="0" collapsed="false">
      <c r="A198" s="23" t="n">
        <v>45759.5430555556</v>
      </c>
      <c r="B198" s="24" t="s">
        <v>1067</v>
      </c>
      <c r="C198" s="24" t="s">
        <v>1068</v>
      </c>
      <c r="D198" s="24" t="n">
        <v>2</v>
      </c>
      <c r="E198" s="25" t="n">
        <v>4000</v>
      </c>
      <c r="F198" s="25" t="n">
        <v>2600</v>
      </c>
      <c r="G198" s="24" t="s">
        <v>69</v>
      </c>
      <c r="H198" s="24" t="s">
        <v>55</v>
      </c>
      <c r="I198" s="28" t="n">
        <f aca="false">IF(A198="","",D198*E198)</f>
        <v>8000</v>
      </c>
      <c r="J198" s="28" t="n">
        <f aca="false">IF(A198="","",D198*F198)</f>
        <v>5200</v>
      </c>
      <c r="K198" s="26" t="n">
        <f aca="false">IF(A198="","",YEAR(A198))</f>
        <v>2025</v>
      </c>
      <c r="L198" s="26" t="n">
        <f aca="false">IF(A198="","",MONTH(A198))</f>
        <v>4</v>
      </c>
    </row>
    <row r="199" customFormat="false" ht="15" hidden="false" customHeight="false" outlineLevel="0" collapsed="false">
      <c r="A199" s="23" t="n">
        <v>45760.6375</v>
      </c>
      <c r="B199" s="24" t="s">
        <v>1069</v>
      </c>
      <c r="C199" s="24" t="s">
        <v>1070</v>
      </c>
      <c r="D199" s="24" t="n">
        <v>1</v>
      </c>
      <c r="E199" s="25" t="n">
        <v>4500</v>
      </c>
      <c r="F199" s="25" t="n">
        <v>3000</v>
      </c>
      <c r="G199" s="24" t="s">
        <v>59</v>
      </c>
      <c r="H199" s="24" t="s">
        <v>55</v>
      </c>
      <c r="I199" s="28" t="n">
        <f aca="false">IF(A199="","",D199*E199)</f>
        <v>4500</v>
      </c>
      <c r="J199" s="28" t="n">
        <f aca="false">IF(A199="","",D199*F199)</f>
        <v>3000</v>
      </c>
      <c r="K199" s="26" t="n">
        <f aca="false">IF(A199="","",YEAR(A199))</f>
        <v>2025</v>
      </c>
      <c r="L199" s="26" t="n">
        <f aca="false">IF(A199="","",MONTH(A199))</f>
        <v>4</v>
      </c>
    </row>
    <row r="200" customFormat="false" ht="15" hidden="false" customHeight="false" outlineLevel="0" collapsed="false">
      <c r="A200" s="23" t="n">
        <v>45761.3569444444</v>
      </c>
      <c r="B200" s="24" t="s">
        <v>1073</v>
      </c>
      <c r="C200" s="24" t="s">
        <v>1074</v>
      </c>
      <c r="D200" s="24" t="n">
        <v>1</v>
      </c>
      <c r="E200" s="25" t="n">
        <v>7000</v>
      </c>
      <c r="F200" s="25" t="n">
        <v>4800</v>
      </c>
      <c r="G200" s="24" t="s">
        <v>69</v>
      </c>
      <c r="H200" s="24" t="s">
        <v>60</v>
      </c>
      <c r="I200" s="28" t="n">
        <f aca="false">IF(A200="","",D200*E200)</f>
        <v>7000</v>
      </c>
      <c r="J200" s="28" t="n">
        <f aca="false">IF(A200="","",D200*F200)</f>
        <v>4800</v>
      </c>
      <c r="K200" s="26" t="n">
        <f aca="false">IF(A200="","",YEAR(A200))</f>
        <v>2025</v>
      </c>
      <c r="L200" s="26" t="n">
        <f aca="false">IF(A200="","",MONTH(A200))</f>
        <v>4</v>
      </c>
    </row>
    <row r="201" customFormat="false" ht="15" hidden="false" customHeight="false" outlineLevel="0" collapsed="false">
      <c r="A201" s="23" t="n">
        <v>45761.3888888889</v>
      </c>
      <c r="B201" s="24" t="s">
        <v>1075</v>
      </c>
      <c r="C201" s="24" t="s">
        <v>1076</v>
      </c>
      <c r="D201" s="24" t="n">
        <v>1</v>
      </c>
      <c r="E201" s="25" t="n">
        <v>1000</v>
      </c>
      <c r="F201" s="25" t="n">
        <v>300</v>
      </c>
      <c r="G201" s="24" t="s">
        <v>69</v>
      </c>
      <c r="H201" s="24" t="s">
        <v>80</v>
      </c>
      <c r="I201" s="28" t="n">
        <f aca="false">IF(A201="","",D201*E201)</f>
        <v>1000</v>
      </c>
      <c r="J201" s="28" t="n">
        <f aca="false">IF(A201="","",D201*F201)</f>
        <v>300</v>
      </c>
      <c r="K201" s="26" t="n">
        <f aca="false">IF(A201="","",YEAR(A201))</f>
        <v>2025</v>
      </c>
      <c r="L201" s="26" t="n">
        <f aca="false">IF(A201="","",MONTH(A201))</f>
        <v>4</v>
      </c>
    </row>
    <row r="202" customFormat="false" ht="15" hidden="false" customHeight="false" outlineLevel="0" collapsed="false">
      <c r="A202" s="23" t="n">
        <v>45761.4041666667</v>
      </c>
      <c r="B202" s="24" t="s">
        <v>1077</v>
      </c>
      <c r="C202" s="24" t="s">
        <v>1078</v>
      </c>
      <c r="D202" s="24" t="n">
        <v>1</v>
      </c>
      <c r="E202" s="25" t="n">
        <v>1500</v>
      </c>
      <c r="F202" s="25" t="n">
        <v>900</v>
      </c>
      <c r="G202" s="24" t="s">
        <v>59</v>
      </c>
      <c r="H202" s="24" t="s">
        <v>55</v>
      </c>
      <c r="I202" s="28" t="n">
        <f aca="false">IF(A202="","",D202*E202)</f>
        <v>1500</v>
      </c>
      <c r="J202" s="28" t="n">
        <f aca="false">IF(A202="","",D202*F202)</f>
        <v>900</v>
      </c>
      <c r="K202" s="26" t="n">
        <f aca="false">IF(A202="","",YEAR(A202))</f>
        <v>2025</v>
      </c>
      <c r="L202" s="26" t="n">
        <f aca="false">IF(A202="","",MONTH(A202))</f>
        <v>4</v>
      </c>
    </row>
    <row r="203" customFormat="false" ht="15" hidden="false" customHeight="false" outlineLevel="0" collapsed="false">
      <c r="A203" s="23" t="n">
        <v>45761.55</v>
      </c>
      <c r="B203" s="24" t="s">
        <v>1065</v>
      </c>
      <c r="C203" s="24" t="s">
        <v>1066</v>
      </c>
      <c r="D203" s="24" t="n">
        <v>1</v>
      </c>
      <c r="E203" s="25" t="n">
        <v>3000</v>
      </c>
      <c r="F203" s="25" t="n">
        <v>2000</v>
      </c>
      <c r="G203" s="24" t="s">
        <v>69</v>
      </c>
      <c r="H203" s="24" t="s">
        <v>60</v>
      </c>
      <c r="I203" s="28" t="n">
        <f aca="false">IF(A203="","",D203*E203)</f>
        <v>3000</v>
      </c>
      <c r="J203" s="28" t="n">
        <f aca="false">IF(A203="","",D203*F203)</f>
        <v>2000</v>
      </c>
      <c r="K203" s="26" t="n">
        <f aca="false">IF(A203="","",YEAR(A203))</f>
        <v>2025</v>
      </c>
      <c r="L203" s="26" t="n">
        <f aca="false">IF(A203="","",MONTH(A203))</f>
        <v>4</v>
      </c>
    </row>
    <row r="204" customFormat="false" ht="15" hidden="false" customHeight="false" outlineLevel="0" collapsed="false">
      <c r="A204" s="23" t="n">
        <v>45761.7861111111</v>
      </c>
      <c r="B204" s="24" t="s">
        <v>1067</v>
      </c>
      <c r="C204" s="24" t="s">
        <v>1068</v>
      </c>
      <c r="D204" s="24" t="n">
        <v>1</v>
      </c>
      <c r="E204" s="25" t="n">
        <v>4000</v>
      </c>
      <c r="F204" s="25" t="n">
        <v>2600</v>
      </c>
      <c r="G204" s="24" t="s">
        <v>59</v>
      </c>
      <c r="H204" s="24" t="s">
        <v>60</v>
      </c>
      <c r="I204" s="28" t="n">
        <f aca="false">IF(A204="","",D204*E204)</f>
        <v>4000</v>
      </c>
      <c r="J204" s="28" t="n">
        <f aca="false">IF(A204="","",D204*F204)</f>
        <v>2600</v>
      </c>
      <c r="K204" s="26" t="n">
        <f aca="false">IF(A204="","",YEAR(A204))</f>
        <v>2025</v>
      </c>
      <c r="L204" s="26" t="n">
        <f aca="false">IF(A204="","",MONTH(A204))</f>
        <v>4</v>
      </c>
    </row>
    <row r="205" customFormat="false" ht="15" hidden="false" customHeight="false" outlineLevel="0" collapsed="false">
      <c r="A205" s="23" t="n">
        <v>45761.8048611111</v>
      </c>
      <c r="B205" s="24" t="s">
        <v>1071</v>
      </c>
      <c r="C205" s="24" t="s">
        <v>1072</v>
      </c>
      <c r="D205" s="24" t="n">
        <v>1</v>
      </c>
      <c r="E205" s="25" t="n">
        <v>2000</v>
      </c>
      <c r="F205" s="25" t="n">
        <v>1100</v>
      </c>
      <c r="G205" s="24" t="s">
        <v>59</v>
      </c>
      <c r="H205" s="24" t="s">
        <v>60</v>
      </c>
      <c r="I205" s="28" t="n">
        <f aca="false">IF(A205="","",D205*E205)</f>
        <v>2000</v>
      </c>
      <c r="J205" s="28" t="n">
        <f aca="false">IF(A205="","",D205*F205)</f>
        <v>1100</v>
      </c>
      <c r="K205" s="26" t="n">
        <f aca="false">IF(A205="","",YEAR(A205))</f>
        <v>2025</v>
      </c>
      <c r="L205" s="26" t="n">
        <f aca="false">IF(A205="","",MONTH(A205))</f>
        <v>4</v>
      </c>
    </row>
    <row r="206" customFormat="false" ht="15" hidden="false" customHeight="false" outlineLevel="0" collapsed="false">
      <c r="A206" s="23" t="n">
        <v>45761.8819444445</v>
      </c>
      <c r="B206" s="24" t="s">
        <v>1069</v>
      </c>
      <c r="C206" s="24" t="s">
        <v>1070</v>
      </c>
      <c r="D206" s="24" t="n">
        <v>3</v>
      </c>
      <c r="E206" s="25" t="n">
        <v>4500</v>
      </c>
      <c r="F206" s="25" t="n">
        <v>3000</v>
      </c>
      <c r="G206" s="24" t="s">
        <v>59</v>
      </c>
      <c r="H206" s="24" t="s">
        <v>80</v>
      </c>
      <c r="I206" s="28" t="n">
        <f aca="false">IF(A206="","",D206*E206)</f>
        <v>13500</v>
      </c>
      <c r="J206" s="28" t="n">
        <f aca="false">IF(A206="","",D206*F206)</f>
        <v>9000</v>
      </c>
      <c r="K206" s="26" t="n">
        <f aca="false">IF(A206="","",YEAR(A206))</f>
        <v>2025</v>
      </c>
      <c r="L206" s="26" t="n">
        <f aca="false">IF(A206="","",MONTH(A206))</f>
        <v>4</v>
      </c>
    </row>
    <row r="207" customFormat="false" ht="15" hidden="false" customHeight="false" outlineLevel="0" collapsed="false">
      <c r="A207" s="23" t="n">
        <v>45762.3222222222</v>
      </c>
      <c r="B207" s="24" t="s">
        <v>1073</v>
      </c>
      <c r="C207" s="24" t="s">
        <v>1074</v>
      </c>
      <c r="D207" s="24" t="n">
        <v>1</v>
      </c>
      <c r="E207" s="25" t="n">
        <v>7000</v>
      </c>
      <c r="F207" s="25" t="n">
        <v>4800</v>
      </c>
      <c r="G207" s="24" t="s">
        <v>59</v>
      </c>
      <c r="H207" s="24" t="s">
        <v>80</v>
      </c>
      <c r="I207" s="28" t="n">
        <f aca="false">IF(A207="","",D207*E207)</f>
        <v>7000</v>
      </c>
      <c r="J207" s="28" t="n">
        <f aca="false">IF(A207="","",D207*F207)</f>
        <v>4800</v>
      </c>
      <c r="K207" s="26" t="n">
        <f aca="false">IF(A207="","",YEAR(A207))</f>
        <v>2025</v>
      </c>
      <c r="L207" s="26" t="n">
        <f aca="false">IF(A207="","",MONTH(A207))</f>
        <v>4</v>
      </c>
    </row>
    <row r="208" customFormat="false" ht="15" hidden="false" customHeight="false" outlineLevel="0" collapsed="false">
      <c r="A208" s="23" t="n">
        <v>45762.4430555556</v>
      </c>
      <c r="B208" s="24" t="s">
        <v>1081</v>
      </c>
      <c r="C208" s="24" t="s">
        <v>1082</v>
      </c>
      <c r="D208" s="24" t="n">
        <v>3</v>
      </c>
      <c r="E208" s="25" t="n">
        <v>2500</v>
      </c>
      <c r="F208" s="25" t="n">
        <v>1500</v>
      </c>
      <c r="G208" s="24" t="s">
        <v>59</v>
      </c>
      <c r="H208" s="24" t="s">
        <v>55</v>
      </c>
      <c r="I208" s="28" t="n">
        <f aca="false">IF(A208="","",D208*E208)</f>
        <v>7500</v>
      </c>
      <c r="J208" s="28" t="n">
        <f aca="false">IF(A208="","",D208*F208)</f>
        <v>4500</v>
      </c>
      <c r="K208" s="26" t="n">
        <f aca="false">IF(A208="","",YEAR(A208))</f>
        <v>2025</v>
      </c>
      <c r="L208" s="26" t="n">
        <f aca="false">IF(A208="","",MONTH(A208))</f>
        <v>4</v>
      </c>
    </row>
    <row r="209" customFormat="false" ht="15" hidden="false" customHeight="false" outlineLevel="0" collapsed="false">
      <c r="A209" s="23" t="n">
        <v>45762.6583333333</v>
      </c>
      <c r="B209" s="24" t="s">
        <v>1081</v>
      </c>
      <c r="C209" s="24" t="s">
        <v>1082</v>
      </c>
      <c r="D209" s="24" t="n">
        <v>1</v>
      </c>
      <c r="E209" s="25" t="n">
        <v>2500</v>
      </c>
      <c r="F209" s="25" t="n">
        <v>1500</v>
      </c>
      <c r="G209" s="24" t="s">
        <v>59</v>
      </c>
      <c r="H209" s="24" t="s">
        <v>80</v>
      </c>
      <c r="I209" s="28" t="n">
        <f aca="false">IF(A209="","",D209*E209)</f>
        <v>2500</v>
      </c>
      <c r="J209" s="28" t="n">
        <f aca="false">IF(A209="","",D209*F209)</f>
        <v>1500</v>
      </c>
      <c r="K209" s="26" t="n">
        <f aca="false">IF(A209="","",YEAR(A209))</f>
        <v>2025</v>
      </c>
      <c r="L209" s="26" t="n">
        <f aca="false">IF(A209="","",MONTH(A209))</f>
        <v>4</v>
      </c>
    </row>
    <row r="210" customFormat="false" ht="15" hidden="false" customHeight="false" outlineLevel="0" collapsed="false">
      <c r="A210" s="23" t="n">
        <v>45763.3493055556</v>
      </c>
      <c r="B210" s="24" t="s">
        <v>1079</v>
      </c>
      <c r="C210" s="24" t="s">
        <v>1080</v>
      </c>
      <c r="D210" s="24" t="n">
        <v>1</v>
      </c>
      <c r="E210" s="25" t="n">
        <v>2500</v>
      </c>
      <c r="F210" s="25" t="n">
        <v>1600</v>
      </c>
      <c r="G210" s="24" t="s">
        <v>59</v>
      </c>
      <c r="H210" s="24" t="s">
        <v>60</v>
      </c>
      <c r="I210" s="28" t="n">
        <f aca="false">IF(A210="","",D210*E210)</f>
        <v>2500</v>
      </c>
      <c r="J210" s="28" t="n">
        <f aca="false">IF(A210="","",D210*F210)</f>
        <v>1600</v>
      </c>
      <c r="K210" s="26" t="n">
        <f aca="false">IF(A210="","",YEAR(A210))</f>
        <v>2025</v>
      </c>
      <c r="L210" s="26" t="n">
        <f aca="false">IF(A210="","",MONTH(A210))</f>
        <v>4</v>
      </c>
    </row>
    <row r="211" customFormat="false" ht="15" hidden="false" customHeight="false" outlineLevel="0" collapsed="false">
      <c r="A211" s="23" t="n">
        <v>45763.7930555556</v>
      </c>
      <c r="B211" s="24" t="s">
        <v>1067</v>
      </c>
      <c r="C211" s="24" t="s">
        <v>1068</v>
      </c>
      <c r="D211" s="24" t="n">
        <v>1</v>
      </c>
      <c r="E211" s="25" t="n">
        <v>4000</v>
      </c>
      <c r="F211" s="25" t="n">
        <v>2600</v>
      </c>
      <c r="G211" s="24" t="s">
        <v>69</v>
      </c>
      <c r="H211" s="24" t="s">
        <v>80</v>
      </c>
      <c r="I211" s="28" t="n">
        <f aca="false">IF(A211="","",D211*E211)</f>
        <v>4000</v>
      </c>
      <c r="J211" s="28" t="n">
        <f aca="false">IF(A211="","",D211*F211)</f>
        <v>2600</v>
      </c>
      <c r="K211" s="26" t="n">
        <f aca="false">IF(A211="","",YEAR(A211))</f>
        <v>2025</v>
      </c>
      <c r="L211" s="26" t="n">
        <f aca="false">IF(A211="","",MONTH(A211))</f>
        <v>4</v>
      </c>
    </row>
    <row r="212" customFormat="false" ht="15" hidden="false" customHeight="false" outlineLevel="0" collapsed="false">
      <c r="A212" s="23" t="n">
        <v>45764.4576388889</v>
      </c>
      <c r="B212" s="24" t="s">
        <v>1077</v>
      </c>
      <c r="C212" s="24" t="s">
        <v>1078</v>
      </c>
      <c r="D212" s="24" t="n">
        <v>1</v>
      </c>
      <c r="E212" s="25" t="n">
        <v>1500</v>
      </c>
      <c r="F212" s="25" t="n">
        <v>900</v>
      </c>
      <c r="G212" s="24" t="s">
        <v>59</v>
      </c>
      <c r="H212" s="24" t="s">
        <v>80</v>
      </c>
      <c r="I212" s="28" t="n">
        <f aca="false">IF(A212="","",D212*E212)</f>
        <v>1500</v>
      </c>
      <c r="J212" s="28" t="n">
        <f aca="false">IF(A212="","",D212*F212)</f>
        <v>900</v>
      </c>
      <c r="K212" s="26" t="n">
        <f aca="false">IF(A212="","",YEAR(A212))</f>
        <v>2025</v>
      </c>
      <c r="L212" s="26" t="n">
        <f aca="false">IF(A212="","",MONTH(A212))</f>
        <v>4</v>
      </c>
    </row>
    <row r="213" customFormat="false" ht="15" hidden="false" customHeight="false" outlineLevel="0" collapsed="false">
      <c r="A213" s="23" t="n">
        <v>45764.5881944444</v>
      </c>
      <c r="B213" s="24" t="s">
        <v>1071</v>
      </c>
      <c r="C213" s="24" t="s">
        <v>1072</v>
      </c>
      <c r="D213" s="24" t="n">
        <v>1</v>
      </c>
      <c r="E213" s="25" t="n">
        <v>2000</v>
      </c>
      <c r="F213" s="25" t="n">
        <v>1100</v>
      </c>
      <c r="G213" s="24" t="s">
        <v>59</v>
      </c>
      <c r="H213" s="24" t="s">
        <v>60</v>
      </c>
      <c r="I213" s="28" t="n">
        <f aca="false">IF(A213="","",D213*E213)</f>
        <v>2000</v>
      </c>
      <c r="J213" s="28" t="n">
        <f aca="false">IF(A213="","",D213*F213)</f>
        <v>1100</v>
      </c>
      <c r="K213" s="26" t="n">
        <f aca="false">IF(A213="","",YEAR(A213))</f>
        <v>2025</v>
      </c>
      <c r="L213" s="26" t="n">
        <f aca="false">IF(A213="","",MONTH(A213))</f>
        <v>4</v>
      </c>
    </row>
    <row r="214" customFormat="false" ht="15" hidden="false" customHeight="false" outlineLevel="0" collapsed="false">
      <c r="A214" s="23" t="n">
        <v>45765.4277777778</v>
      </c>
      <c r="B214" s="24" t="s">
        <v>1065</v>
      </c>
      <c r="C214" s="24" t="s">
        <v>1066</v>
      </c>
      <c r="D214" s="24" t="n">
        <v>1</v>
      </c>
      <c r="E214" s="25" t="n">
        <v>3000</v>
      </c>
      <c r="F214" s="25" t="n">
        <v>2000</v>
      </c>
      <c r="G214" s="24" t="s">
        <v>59</v>
      </c>
      <c r="H214" s="24" t="s">
        <v>55</v>
      </c>
      <c r="I214" s="28" t="n">
        <f aca="false">IF(A214="","",D214*E214)</f>
        <v>3000</v>
      </c>
      <c r="J214" s="28" t="n">
        <f aca="false">IF(A214="","",D214*F214)</f>
        <v>2000</v>
      </c>
      <c r="K214" s="26" t="n">
        <f aca="false">IF(A214="","",YEAR(A214))</f>
        <v>2025</v>
      </c>
      <c r="L214" s="26" t="n">
        <f aca="false">IF(A214="","",MONTH(A214))</f>
        <v>4</v>
      </c>
    </row>
    <row r="215" customFormat="false" ht="15" hidden="false" customHeight="false" outlineLevel="0" collapsed="false">
      <c r="A215" s="23" t="n">
        <v>45765.5486111111</v>
      </c>
      <c r="B215" s="24" t="s">
        <v>1077</v>
      </c>
      <c r="C215" s="24" t="s">
        <v>1078</v>
      </c>
      <c r="D215" s="24" t="n">
        <v>1</v>
      </c>
      <c r="E215" s="25" t="n">
        <v>1500</v>
      </c>
      <c r="F215" s="25" t="n">
        <v>900</v>
      </c>
      <c r="G215" s="24" t="s">
        <v>69</v>
      </c>
      <c r="H215" s="24" t="s">
        <v>55</v>
      </c>
      <c r="I215" s="28" t="n">
        <f aca="false">IF(A215="","",D215*E215)</f>
        <v>1500</v>
      </c>
      <c r="J215" s="28" t="n">
        <f aca="false">IF(A215="","",D215*F215)</f>
        <v>900</v>
      </c>
      <c r="K215" s="26" t="n">
        <f aca="false">IF(A215="","",YEAR(A215))</f>
        <v>2025</v>
      </c>
      <c r="L215" s="26" t="n">
        <f aca="false">IF(A215="","",MONTH(A215))</f>
        <v>4</v>
      </c>
    </row>
    <row r="216" customFormat="false" ht="15" hidden="false" customHeight="false" outlineLevel="0" collapsed="false">
      <c r="A216" s="23" t="n">
        <v>45768.3145833333</v>
      </c>
      <c r="B216" s="24" t="s">
        <v>1081</v>
      </c>
      <c r="C216" s="24" t="s">
        <v>1082</v>
      </c>
      <c r="D216" s="24" t="n">
        <v>3</v>
      </c>
      <c r="E216" s="25" t="n">
        <v>2500</v>
      </c>
      <c r="F216" s="25" t="n">
        <v>1500</v>
      </c>
      <c r="G216" s="24" t="s">
        <v>69</v>
      </c>
      <c r="H216" s="24" t="s">
        <v>60</v>
      </c>
      <c r="I216" s="28" t="n">
        <f aca="false">IF(A216="","",D216*E216)</f>
        <v>7500</v>
      </c>
      <c r="J216" s="28" t="n">
        <f aca="false">IF(A216="","",D216*F216)</f>
        <v>4500</v>
      </c>
      <c r="K216" s="26" t="n">
        <f aca="false">IF(A216="","",YEAR(A216))</f>
        <v>2025</v>
      </c>
      <c r="L216" s="26" t="n">
        <f aca="false">IF(A216="","",MONTH(A216))</f>
        <v>4</v>
      </c>
    </row>
    <row r="217" customFormat="false" ht="15" hidden="false" customHeight="false" outlineLevel="0" collapsed="false">
      <c r="A217" s="23" t="n">
        <v>45768.5305555556</v>
      </c>
      <c r="B217" s="24" t="s">
        <v>1075</v>
      </c>
      <c r="C217" s="24" t="s">
        <v>1076</v>
      </c>
      <c r="D217" s="24" t="n">
        <v>1</v>
      </c>
      <c r="E217" s="25" t="n">
        <v>1000</v>
      </c>
      <c r="F217" s="25" t="n">
        <v>300</v>
      </c>
      <c r="G217" s="24" t="s">
        <v>59</v>
      </c>
      <c r="H217" s="24" t="s">
        <v>80</v>
      </c>
      <c r="I217" s="28" t="n">
        <f aca="false">IF(A217="","",D217*E217)</f>
        <v>1000</v>
      </c>
      <c r="J217" s="28" t="n">
        <f aca="false">IF(A217="","",D217*F217)</f>
        <v>300</v>
      </c>
      <c r="K217" s="26" t="n">
        <f aca="false">IF(A217="","",YEAR(A217))</f>
        <v>2025</v>
      </c>
      <c r="L217" s="26" t="n">
        <f aca="false">IF(A217="","",MONTH(A217))</f>
        <v>4</v>
      </c>
    </row>
    <row r="218" customFormat="false" ht="15" hidden="false" customHeight="false" outlineLevel="0" collapsed="false">
      <c r="A218" s="23" t="n">
        <v>45768.8520833333</v>
      </c>
      <c r="B218" s="24" t="s">
        <v>1073</v>
      </c>
      <c r="C218" s="24" t="s">
        <v>1074</v>
      </c>
      <c r="D218" s="24" t="n">
        <v>1</v>
      </c>
      <c r="E218" s="25" t="n">
        <v>7000</v>
      </c>
      <c r="F218" s="25" t="n">
        <v>4800</v>
      </c>
      <c r="G218" s="24" t="s">
        <v>59</v>
      </c>
      <c r="H218" s="24" t="s">
        <v>80</v>
      </c>
      <c r="I218" s="28" t="n">
        <f aca="false">IF(A218="","",D218*E218)</f>
        <v>7000</v>
      </c>
      <c r="J218" s="28" t="n">
        <f aca="false">IF(A218="","",D218*F218)</f>
        <v>4800</v>
      </c>
      <c r="K218" s="26" t="n">
        <f aca="false">IF(A218="","",YEAR(A218))</f>
        <v>2025</v>
      </c>
      <c r="L218" s="26" t="n">
        <f aca="false">IF(A218="","",MONTH(A218))</f>
        <v>4</v>
      </c>
    </row>
    <row r="219" customFormat="false" ht="15" hidden="false" customHeight="false" outlineLevel="0" collapsed="false">
      <c r="A219" s="23" t="n">
        <v>45768.88125</v>
      </c>
      <c r="B219" s="24" t="s">
        <v>1073</v>
      </c>
      <c r="C219" s="24" t="s">
        <v>1074</v>
      </c>
      <c r="D219" s="24" t="n">
        <v>1</v>
      </c>
      <c r="E219" s="25" t="n">
        <v>7000</v>
      </c>
      <c r="F219" s="25" t="n">
        <v>4800</v>
      </c>
      <c r="G219" s="24" t="s">
        <v>59</v>
      </c>
      <c r="H219" s="24" t="s">
        <v>80</v>
      </c>
      <c r="I219" s="28" t="n">
        <f aca="false">IF(A219="","",D219*E219)</f>
        <v>7000</v>
      </c>
      <c r="J219" s="28" t="n">
        <f aca="false">IF(A219="","",D219*F219)</f>
        <v>4800</v>
      </c>
      <c r="K219" s="26" t="n">
        <f aca="false">IF(A219="","",YEAR(A219))</f>
        <v>2025</v>
      </c>
      <c r="L219" s="26" t="n">
        <f aca="false">IF(A219="","",MONTH(A219))</f>
        <v>4</v>
      </c>
    </row>
    <row r="220" customFormat="false" ht="15" hidden="false" customHeight="false" outlineLevel="0" collapsed="false">
      <c r="A220" s="23" t="n">
        <v>45769.3826388889</v>
      </c>
      <c r="B220" s="24" t="s">
        <v>1073</v>
      </c>
      <c r="C220" s="24" t="s">
        <v>1074</v>
      </c>
      <c r="D220" s="24" t="n">
        <v>1</v>
      </c>
      <c r="E220" s="25" t="n">
        <v>7000</v>
      </c>
      <c r="F220" s="25" t="n">
        <v>4800</v>
      </c>
      <c r="G220" s="24" t="s">
        <v>59</v>
      </c>
      <c r="H220" s="24" t="s">
        <v>80</v>
      </c>
      <c r="I220" s="28" t="n">
        <f aca="false">IF(A220="","",D220*E220)</f>
        <v>7000</v>
      </c>
      <c r="J220" s="28" t="n">
        <f aca="false">IF(A220="","",D220*F220)</f>
        <v>4800</v>
      </c>
      <c r="K220" s="26" t="n">
        <f aca="false">IF(A220="","",YEAR(A220))</f>
        <v>2025</v>
      </c>
      <c r="L220" s="26" t="n">
        <f aca="false">IF(A220="","",MONTH(A220))</f>
        <v>4</v>
      </c>
    </row>
    <row r="221" customFormat="false" ht="15" hidden="false" customHeight="false" outlineLevel="0" collapsed="false">
      <c r="A221" s="23" t="n">
        <v>45769.4354166667</v>
      </c>
      <c r="B221" s="24" t="s">
        <v>1073</v>
      </c>
      <c r="C221" s="24" t="s">
        <v>1074</v>
      </c>
      <c r="D221" s="24" t="n">
        <v>1</v>
      </c>
      <c r="E221" s="25" t="n">
        <v>7000</v>
      </c>
      <c r="F221" s="25" t="n">
        <v>4800</v>
      </c>
      <c r="G221" s="24" t="s">
        <v>59</v>
      </c>
      <c r="H221" s="24" t="s">
        <v>80</v>
      </c>
      <c r="I221" s="28" t="n">
        <f aca="false">IF(A221="","",D221*E221)</f>
        <v>7000</v>
      </c>
      <c r="J221" s="28" t="n">
        <f aca="false">IF(A221="","",D221*F221)</f>
        <v>4800</v>
      </c>
      <c r="K221" s="26" t="n">
        <f aca="false">IF(A221="","",YEAR(A221))</f>
        <v>2025</v>
      </c>
      <c r="L221" s="26" t="n">
        <f aca="false">IF(A221="","",MONTH(A221))</f>
        <v>4</v>
      </c>
    </row>
    <row r="222" customFormat="false" ht="15" hidden="false" customHeight="false" outlineLevel="0" collapsed="false">
      <c r="A222" s="23" t="n">
        <v>45769.6305555556</v>
      </c>
      <c r="B222" s="24" t="s">
        <v>1075</v>
      </c>
      <c r="C222" s="24" t="s">
        <v>1076</v>
      </c>
      <c r="D222" s="24" t="n">
        <v>3</v>
      </c>
      <c r="E222" s="25" t="n">
        <v>1000</v>
      </c>
      <c r="F222" s="25" t="n">
        <v>300</v>
      </c>
      <c r="G222" s="24" t="s">
        <v>59</v>
      </c>
      <c r="H222" s="24" t="s">
        <v>60</v>
      </c>
      <c r="I222" s="28" t="n">
        <f aca="false">IF(A222="","",D222*E222)</f>
        <v>3000</v>
      </c>
      <c r="J222" s="28" t="n">
        <f aca="false">IF(A222="","",D222*F222)</f>
        <v>900</v>
      </c>
      <c r="K222" s="26" t="n">
        <f aca="false">IF(A222="","",YEAR(A222))</f>
        <v>2025</v>
      </c>
      <c r="L222" s="26" t="n">
        <f aca="false">IF(A222="","",MONTH(A222))</f>
        <v>4</v>
      </c>
    </row>
    <row r="223" customFormat="false" ht="15" hidden="false" customHeight="false" outlineLevel="0" collapsed="false">
      <c r="A223" s="23" t="n">
        <v>45770.4145833333</v>
      </c>
      <c r="B223" s="24" t="s">
        <v>1065</v>
      </c>
      <c r="C223" s="24" t="s">
        <v>1066</v>
      </c>
      <c r="D223" s="24" t="n">
        <v>1</v>
      </c>
      <c r="E223" s="25" t="n">
        <v>3000</v>
      </c>
      <c r="F223" s="25" t="n">
        <v>2000</v>
      </c>
      <c r="G223" s="24" t="s">
        <v>69</v>
      </c>
      <c r="H223" s="24" t="s">
        <v>60</v>
      </c>
      <c r="I223" s="28" t="n">
        <f aca="false">IF(A223="","",D223*E223)</f>
        <v>3000</v>
      </c>
      <c r="J223" s="28" t="n">
        <f aca="false">IF(A223="","",D223*F223)</f>
        <v>2000</v>
      </c>
      <c r="K223" s="26" t="n">
        <f aca="false">IF(A223="","",YEAR(A223))</f>
        <v>2025</v>
      </c>
      <c r="L223" s="26" t="n">
        <f aca="false">IF(A223="","",MONTH(A223))</f>
        <v>4</v>
      </c>
    </row>
    <row r="224" customFormat="false" ht="15" hidden="false" customHeight="false" outlineLevel="0" collapsed="false">
      <c r="A224" s="23" t="n">
        <v>45770.8520833333</v>
      </c>
      <c r="B224" s="24" t="s">
        <v>1081</v>
      </c>
      <c r="C224" s="24" t="s">
        <v>1082</v>
      </c>
      <c r="D224" s="24" t="n">
        <v>1</v>
      </c>
      <c r="E224" s="25" t="n">
        <v>2500</v>
      </c>
      <c r="F224" s="25" t="n">
        <v>1500</v>
      </c>
      <c r="G224" s="24" t="s">
        <v>59</v>
      </c>
      <c r="H224" s="24" t="s">
        <v>80</v>
      </c>
      <c r="I224" s="28" t="n">
        <f aca="false">IF(A224="","",D224*E224)</f>
        <v>2500</v>
      </c>
      <c r="J224" s="28" t="n">
        <f aca="false">IF(A224="","",D224*F224)</f>
        <v>1500</v>
      </c>
      <c r="K224" s="26" t="n">
        <f aca="false">IF(A224="","",YEAR(A224))</f>
        <v>2025</v>
      </c>
      <c r="L224" s="26" t="n">
        <f aca="false">IF(A224="","",MONTH(A224))</f>
        <v>4</v>
      </c>
    </row>
    <row r="225" customFormat="false" ht="15" hidden="false" customHeight="false" outlineLevel="0" collapsed="false">
      <c r="A225" s="23" t="n">
        <v>45771.7173611111</v>
      </c>
      <c r="B225" s="24" t="s">
        <v>1067</v>
      </c>
      <c r="C225" s="24" t="s">
        <v>1068</v>
      </c>
      <c r="D225" s="24" t="n">
        <v>1</v>
      </c>
      <c r="E225" s="25" t="n">
        <v>4000</v>
      </c>
      <c r="F225" s="25" t="n">
        <v>2600</v>
      </c>
      <c r="G225" s="24" t="s">
        <v>69</v>
      </c>
      <c r="H225" s="24" t="s">
        <v>60</v>
      </c>
      <c r="I225" s="28" t="n">
        <f aca="false">IF(A225="","",D225*E225)</f>
        <v>4000</v>
      </c>
      <c r="J225" s="28" t="n">
        <f aca="false">IF(A225="","",D225*F225)</f>
        <v>2600</v>
      </c>
      <c r="K225" s="26" t="n">
        <f aca="false">IF(A225="","",YEAR(A225))</f>
        <v>2025</v>
      </c>
      <c r="L225" s="26" t="n">
        <f aca="false">IF(A225="","",MONTH(A225))</f>
        <v>4</v>
      </c>
    </row>
    <row r="226" customFormat="false" ht="15" hidden="false" customHeight="false" outlineLevel="0" collapsed="false">
      <c r="A226" s="23" t="n">
        <v>45772.3701388889</v>
      </c>
      <c r="B226" s="24" t="s">
        <v>1073</v>
      </c>
      <c r="C226" s="24" t="s">
        <v>1074</v>
      </c>
      <c r="D226" s="24" t="n">
        <v>2</v>
      </c>
      <c r="E226" s="25" t="n">
        <v>7000</v>
      </c>
      <c r="F226" s="25" t="n">
        <v>4800</v>
      </c>
      <c r="G226" s="24" t="s">
        <v>59</v>
      </c>
      <c r="H226" s="24" t="s">
        <v>60</v>
      </c>
      <c r="I226" s="28" t="n">
        <f aca="false">IF(A226="","",D226*E226)</f>
        <v>14000</v>
      </c>
      <c r="J226" s="28" t="n">
        <f aca="false">IF(A226="","",D226*F226)</f>
        <v>9600</v>
      </c>
      <c r="K226" s="26" t="n">
        <f aca="false">IF(A226="","",YEAR(A226))</f>
        <v>2025</v>
      </c>
      <c r="L226" s="26" t="n">
        <f aca="false">IF(A226="","",MONTH(A226))</f>
        <v>4</v>
      </c>
    </row>
    <row r="227" customFormat="false" ht="15" hidden="false" customHeight="false" outlineLevel="0" collapsed="false">
      <c r="A227" s="23" t="n">
        <v>45772.5229166667</v>
      </c>
      <c r="B227" s="24" t="s">
        <v>1077</v>
      </c>
      <c r="C227" s="24" t="s">
        <v>1078</v>
      </c>
      <c r="D227" s="24" t="n">
        <v>2</v>
      </c>
      <c r="E227" s="25" t="n">
        <v>1500</v>
      </c>
      <c r="F227" s="25" t="n">
        <v>900</v>
      </c>
      <c r="G227" s="24" t="s">
        <v>59</v>
      </c>
      <c r="H227" s="24" t="s">
        <v>55</v>
      </c>
      <c r="I227" s="28" t="n">
        <f aca="false">IF(A227="","",D227*E227)</f>
        <v>3000</v>
      </c>
      <c r="J227" s="28" t="n">
        <f aca="false">IF(A227="","",D227*F227)</f>
        <v>1800</v>
      </c>
      <c r="K227" s="26" t="n">
        <f aca="false">IF(A227="","",YEAR(A227))</f>
        <v>2025</v>
      </c>
      <c r="L227" s="26" t="n">
        <f aca="false">IF(A227="","",MONTH(A227))</f>
        <v>4</v>
      </c>
    </row>
    <row r="228" customFormat="false" ht="15" hidden="false" customHeight="false" outlineLevel="0" collapsed="false">
      <c r="A228" s="23" t="n">
        <v>45772.7708333333</v>
      </c>
      <c r="B228" s="24" t="s">
        <v>1077</v>
      </c>
      <c r="C228" s="24" t="s">
        <v>1078</v>
      </c>
      <c r="D228" s="24" t="n">
        <v>2</v>
      </c>
      <c r="E228" s="25" t="n">
        <v>1500</v>
      </c>
      <c r="F228" s="25" t="n">
        <v>900</v>
      </c>
      <c r="G228" s="24" t="s">
        <v>69</v>
      </c>
      <c r="H228" s="24" t="s">
        <v>80</v>
      </c>
      <c r="I228" s="28" t="n">
        <f aca="false">IF(A228="","",D228*E228)</f>
        <v>3000</v>
      </c>
      <c r="J228" s="28" t="n">
        <f aca="false">IF(A228="","",D228*F228)</f>
        <v>1800</v>
      </c>
      <c r="K228" s="26" t="n">
        <f aca="false">IF(A228="","",YEAR(A228))</f>
        <v>2025</v>
      </c>
      <c r="L228" s="26" t="n">
        <f aca="false">IF(A228="","",MONTH(A228))</f>
        <v>4</v>
      </c>
    </row>
    <row r="229" customFormat="false" ht="15" hidden="false" customHeight="false" outlineLevel="0" collapsed="false">
      <c r="A229" s="23" t="n">
        <v>45773.7847222222</v>
      </c>
      <c r="B229" s="24" t="s">
        <v>1065</v>
      </c>
      <c r="C229" s="24" t="s">
        <v>1066</v>
      </c>
      <c r="D229" s="24" t="n">
        <v>1</v>
      </c>
      <c r="E229" s="25" t="n">
        <v>3000</v>
      </c>
      <c r="F229" s="25" t="n">
        <v>2000</v>
      </c>
      <c r="G229" s="24" t="s">
        <v>59</v>
      </c>
      <c r="H229" s="24" t="s">
        <v>60</v>
      </c>
      <c r="I229" s="28" t="n">
        <f aca="false">IF(A229="","",D229*E229)</f>
        <v>3000</v>
      </c>
      <c r="J229" s="28" t="n">
        <f aca="false">IF(A229="","",D229*F229)</f>
        <v>2000</v>
      </c>
      <c r="K229" s="26" t="n">
        <f aca="false">IF(A229="","",YEAR(A229))</f>
        <v>2025</v>
      </c>
      <c r="L229" s="26" t="n">
        <f aca="false">IF(A229="","",MONTH(A229))</f>
        <v>4</v>
      </c>
    </row>
    <row r="230" customFormat="false" ht="15" hidden="false" customHeight="false" outlineLevel="0" collapsed="false">
      <c r="A230" s="23" t="n">
        <v>45773.8013888889</v>
      </c>
      <c r="B230" s="24" t="s">
        <v>1075</v>
      </c>
      <c r="C230" s="24" t="s">
        <v>1076</v>
      </c>
      <c r="D230" s="24" t="n">
        <v>1</v>
      </c>
      <c r="E230" s="25" t="n">
        <v>1000</v>
      </c>
      <c r="F230" s="25" t="n">
        <v>300</v>
      </c>
      <c r="G230" s="24" t="s">
        <v>59</v>
      </c>
      <c r="H230" s="24" t="s">
        <v>80</v>
      </c>
      <c r="I230" s="28" t="n">
        <f aca="false">IF(A230="","",D230*E230)</f>
        <v>1000</v>
      </c>
      <c r="J230" s="28" t="n">
        <f aca="false">IF(A230="","",D230*F230)</f>
        <v>300</v>
      </c>
      <c r="K230" s="26" t="n">
        <f aca="false">IF(A230="","",YEAR(A230))</f>
        <v>2025</v>
      </c>
      <c r="L230" s="26" t="n">
        <f aca="false">IF(A230="","",MONTH(A230))</f>
        <v>4</v>
      </c>
    </row>
    <row r="231" customFormat="false" ht="15" hidden="false" customHeight="false" outlineLevel="0" collapsed="false">
      <c r="A231" s="23" t="n">
        <v>45774.4791666667</v>
      </c>
      <c r="B231" s="24" t="s">
        <v>1065</v>
      </c>
      <c r="C231" s="24" t="s">
        <v>1066</v>
      </c>
      <c r="D231" s="24" t="n">
        <v>1</v>
      </c>
      <c r="E231" s="25" t="n">
        <v>3000</v>
      </c>
      <c r="F231" s="25" t="n">
        <v>2000</v>
      </c>
      <c r="G231" s="24" t="s">
        <v>59</v>
      </c>
      <c r="H231" s="24" t="s">
        <v>80</v>
      </c>
      <c r="I231" s="28" t="n">
        <f aca="false">IF(A231="","",D231*E231)</f>
        <v>3000</v>
      </c>
      <c r="J231" s="28" t="n">
        <f aca="false">IF(A231="","",D231*F231)</f>
        <v>2000</v>
      </c>
      <c r="K231" s="26" t="n">
        <f aca="false">IF(A231="","",YEAR(A231))</f>
        <v>2025</v>
      </c>
      <c r="L231" s="26" t="n">
        <f aca="false">IF(A231="","",MONTH(A231))</f>
        <v>4</v>
      </c>
    </row>
    <row r="232" customFormat="false" ht="15" hidden="false" customHeight="false" outlineLevel="0" collapsed="false">
      <c r="A232" s="23" t="n">
        <v>45774.7430555556</v>
      </c>
      <c r="B232" s="24" t="s">
        <v>1079</v>
      </c>
      <c r="C232" s="24" t="s">
        <v>1080</v>
      </c>
      <c r="D232" s="24" t="n">
        <v>1</v>
      </c>
      <c r="E232" s="25" t="n">
        <v>2500</v>
      </c>
      <c r="F232" s="25" t="n">
        <v>1600</v>
      </c>
      <c r="G232" s="24" t="s">
        <v>59</v>
      </c>
      <c r="H232" s="24" t="s">
        <v>80</v>
      </c>
      <c r="I232" s="28" t="n">
        <f aca="false">IF(A232="","",D232*E232)</f>
        <v>2500</v>
      </c>
      <c r="J232" s="28" t="n">
        <f aca="false">IF(A232="","",D232*F232)</f>
        <v>1600</v>
      </c>
      <c r="K232" s="26" t="n">
        <f aca="false">IF(A232="","",YEAR(A232))</f>
        <v>2025</v>
      </c>
      <c r="L232" s="26" t="n">
        <f aca="false">IF(A232="","",MONTH(A232))</f>
        <v>4</v>
      </c>
    </row>
    <row r="233" customFormat="false" ht="15" hidden="false" customHeight="false" outlineLevel="0" collapsed="false">
      <c r="A233" s="23" t="n">
        <v>45775.4840277778</v>
      </c>
      <c r="B233" s="24" t="s">
        <v>1071</v>
      </c>
      <c r="C233" s="24" t="s">
        <v>1072</v>
      </c>
      <c r="D233" s="24" t="n">
        <v>1</v>
      </c>
      <c r="E233" s="25" t="n">
        <v>2000</v>
      </c>
      <c r="F233" s="25" t="n">
        <v>1100</v>
      </c>
      <c r="G233" s="24" t="s">
        <v>69</v>
      </c>
      <c r="H233" s="24" t="s">
        <v>55</v>
      </c>
      <c r="I233" s="28" t="n">
        <f aca="false">IF(A233="","",D233*E233)</f>
        <v>2000</v>
      </c>
      <c r="J233" s="28" t="n">
        <f aca="false">IF(A233="","",D233*F233)</f>
        <v>1100</v>
      </c>
      <c r="K233" s="26" t="n">
        <f aca="false">IF(A233="","",YEAR(A233))</f>
        <v>2025</v>
      </c>
      <c r="L233" s="26" t="n">
        <f aca="false">IF(A233="","",MONTH(A233))</f>
        <v>4</v>
      </c>
    </row>
    <row r="234" customFormat="false" ht="15" hidden="false" customHeight="false" outlineLevel="0" collapsed="false">
      <c r="A234" s="23" t="n">
        <v>45775.53125</v>
      </c>
      <c r="B234" s="24" t="s">
        <v>1077</v>
      </c>
      <c r="C234" s="24" t="s">
        <v>1078</v>
      </c>
      <c r="D234" s="24" t="n">
        <v>1</v>
      </c>
      <c r="E234" s="25" t="n">
        <v>1500</v>
      </c>
      <c r="F234" s="25" t="n">
        <v>900</v>
      </c>
      <c r="G234" s="24" t="s">
        <v>59</v>
      </c>
      <c r="H234" s="24" t="s">
        <v>80</v>
      </c>
      <c r="I234" s="28" t="n">
        <f aca="false">IF(A234="","",D234*E234)</f>
        <v>1500</v>
      </c>
      <c r="J234" s="28" t="n">
        <f aca="false">IF(A234="","",D234*F234)</f>
        <v>900</v>
      </c>
      <c r="K234" s="26" t="n">
        <f aca="false">IF(A234="","",YEAR(A234))</f>
        <v>2025</v>
      </c>
      <c r="L234" s="26" t="n">
        <f aca="false">IF(A234="","",MONTH(A234))</f>
        <v>4</v>
      </c>
    </row>
    <row r="235" customFormat="false" ht="15" hidden="false" customHeight="false" outlineLevel="0" collapsed="false">
      <c r="A235" s="23" t="n">
        <v>45775.9006944444</v>
      </c>
      <c r="B235" s="24" t="s">
        <v>1069</v>
      </c>
      <c r="C235" s="24" t="s">
        <v>1070</v>
      </c>
      <c r="D235" s="24" t="n">
        <v>2</v>
      </c>
      <c r="E235" s="25" t="n">
        <v>4500</v>
      </c>
      <c r="F235" s="25" t="n">
        <v>3000</v>
      </c>
      <c r="G235" s="24" t="s">
        <v>69</v>
      </c>
      <c r="H235" s="24" t="s">
        <v>55</v>
      </c>
      <c r="I235" s="28" t="n">
        <f aca="false">IF(A235="","",D235*E235)</f>
        <v>9000</v>
      </c>
      <c r="J235" s="28" t="n">
        <f aca="false">IF(A235="","",D235*F235)</f>
        <v>6000</v>
      </c>
      <c r="K235" s="26" t="n">
        <f aca="false">IF(A235="","",YEAR(A235))</f>
        <v>2025</v>
      </c>
      <c r="L235" s="26" t="n">
        <f aca="false">IF(A235="","",MONTH(A235))</f>
        <v>4</v>
      </c>
    </row>
    <row r="236" customFormat="false" ht="15" hidden="false" customHeight="false" outlineLevel="0" collapsed="false">
      <c r="A236" s="23" t="n">
        <v>45778.5013888889</v>
      </c>
      <c r="B236" s="24" t="s">
        <v>1069</v>
      </c>
      <c r="C236" s="24" t="s">
        <v>1070</v>
      </c>
      <c r="D236" s="24" t="n">
        <v>3</v>
      </c>
      <c r="E236" s="25" t="n">
        <v>4500</v>
      </c>
      <c r="F236" s="25" t="n">
        <v>3000</v>
      </c>
      <c r="G236" s="24" t="s">
        <v>69</v>
      </c>
      <c r="H236" s="24" t="s">
        <v>60</v>
      </c>
      <c r="I236" s="28" t="n">
        <f aca="false">IF(A236="","",D236*E236)</f>
        <v>13500</v>
      </c>
      <c r="J236" s="28" t="n">
        <f aca="false">IF(A236="","",D236*F236)</f>
        <v>9000</v>
      </c>
      <c r="K236" s="26" t="n">
        <f aca="false">IF(A236="","",YEAR(A236))</f>
        <v>2025</v>
      </c>
      <c r="L236" s="26" t="n">
        <f aca="false">IF(A236="","",MONTH(A236))</f>
        <v>5</v>
      </c>
    </row>
    <row r="237" customFormat="false" ht="15" hidden="false" customHeight="false" outlineLevel="0" collapsed="false">
      <c r="A237" s="23" t="n">
        <v>45779.525</v>
      </c>
      <c r="B237" s="24" t="s">
        <v>1073</v>
      </c>
      <c r="C237" s="24" t="s">
        <v>1074</v>
      </c>
      <c r="D237" s="24" t="n">
        <v>1</v>
      </c>
      <c r="E237" s="25" t="n">
        <v>7000</v>
      </c>
      <c r="F237" s="25" t="n">
        <v>4800</v>
      </c>
      <c r="G237" s="24" t="s">
        <v>69</v>
      </c>
      <c r="H237" s="24" t="s">
        <v>80</v>
      </c>
      <c r="I237" s="28" t="n">
        <f aca="false">IF(A237="","",D237*E237)</f>
        <v>7000</v>
      </c>
      <c r="J237" s="28" t="n">
        <f aca="false">IF(A237="","",D237*F237)</f>
        <v>4800</v>
      </c>
      <c r="K237" s="26" t="n">
        <f aca="false">IF(A237="","",YEAR(A237))</f>
        <v>2025</v>
      </c>
      <c r="L237" s="26" t="n">
        <f aca="false">IF(A237="","",MONTH(A237))</f>
        <v>5</v>
      </c>
    </row>
    <row r="238" customFormat="false" ht="15" hidden="false" customHeight="false" outlineLevel="0" collapsed="false">
      <c r="A238" s="23" t="n">
        <v>45781.30625</v>
      </c>
      <c r="B238" s="24" t="s">
        <v>1069</v>
      </c>
      <c r="C238" s="24" t="s">
        <v>1070</v>
      </c>
      <c r="D238" s="24" t="n">
        <v>1</v>
      </c>
      <c r="E238" s="25" t="n">
        <v>4500</v>
      </c>
      <c r="F238" s="25" t="n">
        <v>3000</v>
      </c>
      <c r="G238" s="24" t="s">
        <v>59</v>
      </c>
      <c r="H238" s="24" t="s">
        <v>55</v>
      </c>
      <c r="I238" s="28" t="n">
        <f aca="false">IF(A238="","",D238*E238)</f>
        <v>4500</v>
      </c>
      <c r="J238" s="28" t="n">
        <f aca="false">IF(A238="","",D238*F238)</f>
        <v>3000</v>
      </c>
      <c r="K238" s="26" t="n">
        <f aca="false">IF(A238="","",YEAR(A238))</f>
        <v>2025</v>
      </c>
      <c r="L238" s="26" t="n">
        <f aca="false">IF(A238="","",MONTH(A238))</f>
        <v>5</v>
      </c>
    </row>
    <row r="239" customFormat="false" ht="15" hidden="false" customHeight="false" outlineLevel="0" collapsed="false">
      <c r="A239" s="23" t="n">
        <v>45783.3395833333</v>
      </c>
      <c r="B239" s="24" t="s">
        <v>1079</v>
      </c>
      <c r="C239" s="24" t="s">
        <v>1080</v>
      </c>
      <c r="D239" s="24" t="n">
        <v>3</v>
      </c>
      <c r="E239" s="25" t="n">
        <v>2500</v>
      </c>
      <c r="F239" s="25" t="n">
        <v>1600</v>
      </c>
      <c r="G239" s="24" t="s">
        <v>59</v>
      </c>
      <c r="H239" s="24" t="s">
        <v>60</v>
      </c>
      <c r="I239" s="28" t="n">
        <f aca="false">IF(A239="","",D239*E239)</f>
        <v>7500</v>
      </c>
      <c r="J239" s="28" t="n">
        <f aca="false">IF(A239="","",D239*F239)</f>
        <v>4800</v>
      </c>
      <c r="K239" s="26" t="n">
        <f aca="false">IF(A239="","",YEAR(A239))</f>
        <v>2025</v>
      </c>
      <c r="L239" s="26" t="n">
        <f aca="false">IF(A239="","",MONTH(A239))</f>
        <v>5</v>
      </c>
    </row>
    <row r="240" customFormat="false" ht="15" hidden="false" customHeight="false" outlineLevel="0" collapsed="false">
      <c r="A240" s="23" t="n">
        <v>45785.5</v>
      </c>
      <c r="B240" s="24" t="s">
        <v>1073</v>
      </c>
      <c r="C240" s="24" t="s">
        <v>1074</v>
      </c>
      <c r="D240" s="24" t="n">
        <v>1</v>
      </c>
      <c r="E240" s="25" t="n">
        <v>7000</v>
      </c>
      <c r="F240" s="25" t="n">
        <v>4800</v>
      </c>
      <c r="G240" s="24" t="s">
        <v>59</v>
      </c>
      <c r="H240" s="24" t="s">
        <v>80</v>
      </c>
      <c r="I240" s="28" t="n">
        <f aca="false">IF(A240="","",D240*E240)</f>
        <v>7000</v>
      </c>
      <c r="J240" s="28" t="n">
        <f aca="false">IF(A240="","",D240*F240)</f>
        <v>4800</v>
      </c>
      <c r="K240" s="26" t="n">
        <f aca="false">IF(A240="","",YEAR(A240))</f>
        <v>2025</v>
      </c>
      <c r="L240" s="26" t="n">
        <f aca="false">IF(A240="","",MONTH(A240))</f>
        <v>5</v>
      </c>
    </row>
    <row r="241" customFormat="false" ht="15" hidden="false" customHeight="false" outlineLevel="0" collapsed="false">
      <c r="A241" s="23" t="n">
        <v>45785.5131944444</v>
      </c>
      <c r="B241" s="24" t="s">
        <v>1081</v>
      </c>
      <c r="C241" s="24" t="s">
        <v>1082</v>
      </c>
      <c r="D241" s="24" t="n">
        <v>2</v>
      </c>
      <c r="E241" s="25" t="n">
        <v>2500</v>
      </c>
      <c r="F241" s="25" t="n">
        <v>1500</v>
      </c>
      <c r="G241" s="24" t="s">
        <v>59</v>
      </c>
      <c r="H241" s="24" t="s">
        <v>80</v>
      </c>
      <c r="I241" s="28" t="n">
        <f aca="false">IF(A241="","",D241*E241)</f>
        <v>5000</v>
      </c>
      <c r="J241" s="28" t="n">
        <f aca="false">IF(A241="","",D241*F241)</f>
        <v>3000</v>
      </c>
      <c r="K241" s="26" t="n">
        <f aca="false">IF(A241="","",YEAR(A241))</f>
        <v>2025</v>
      </c>
      <c r="L241" s="26" t="n">
        <f aca="false">IF(A241="","",MONTH(A241))</f>
        <v>5</v>
      </c>
    </row>
    <row r="242" customFormat="false" ht="15" hidden="false" customHeight="false" outlineLevel="0" collapsed="false">
      <c r="A242" s="23" t="n">
        <v>45790.46875</v>
      </c>
      <c r="B242" s="24" t="s">
        <v>1073</v>
      </c>
      <c r="C242" s="24" t="s">
        <v>1074</v>
      </c>
      <c r="D242" s="24" t="n">
        <v>1</v>
      </c>
      <c r="E242" s="25" t="n">
        <v>7000</v>
      </c>
      <c r="F242" s="25" t="n">
        <v>4800</v>
      </c>
      <c r="G242" s="24" t="s">
        <v>59</v>
      </c>
      <c r="H242" s="24" t="s">
        <v>60</v>
      </c>
      <c r="I242" s="28" t="n">
        <f aca="false">IF(A242="","",D242*E242)</f>
        <v>7000</v>
      </c>
      <c r="J242" s="28" t="n">
        <f aca="false">IF(A242="","",D242*F242)</f>
        <v>4800</v>
      </c>
      <c r="K242" s="26" t="n">
        <f aca="false">IF(A242="","",YEAR(A242))</f>
        <v>2025</v>
      </c>
      <c r="L242" s="26" t="n">
        <f aca="false">IF(A242="","",MONTH(A242))</f>
        <v>5</v>
      </c>
    </row>
    <row r="243" customFormat="false" ht="15" hidden="false" customHeight="false" outlineLevel="0" collapsed="false">
      <c r="A243" s="23" t="n">
        <v>45790.875</v>
      </c>
      <c r="B243" s="24" t="s">
        <v>1073</v>
      </c>
      <c r="C243" s="24" t="s">
        <v>1074</v>
      </c>
      <c r="D243" s="24" t="n">
        <v>2</v>
      </c>
      <c r="E243" s="25" t="n">
        <v>7000</v>
      </c>
      <c r="F243" s="25" t="n">
        <v>4800</v>
      </c>
      <c r="G243" s="24" t="s">
        <v>59</v>
      </c>
      <c r="H243" s="24" t="s">
        <v>60</v>
      </c>
      <c r="I243" s="28" t="n">
        <f aca="false">IF(A243="","",D243*E243)</f>
        <v>14000</v>
      </c>
      <c r="J243" s="28" t="n">
        <f aca="false">IF(A243="","",D243*F243)</f>
        <v>9600</v>
      </c>
      <c r="K243" s="26" t="n">
        <f aca="false">IF(A243="","",YEAR(A243))</f>
        <v>2025</v>
      </c>
      <c r="L243" s="26" t="n">
        <f aca="false">IF(A243="","",MONTH(A243))</f>
        <v>5</v>
      </c>
    </row>
    <row r="244" customFormat="false" ht="15" hidden="false" customHeight="false" outlineLevel="0" collapsed="false">
      <c r="A244" s="23" t="n">
        <v>45792.3361111111</v>
      </c>
      <c r="B244" s="24" t="s">
        <v>1079</v>
      </c>
      <c r="C244" s="24" t="s">
        <v>1080</v>
      </c>
      <c r="D244" s="24" t="n">
        <v>2</v>
      </c>
      <c r="E244" s="25" t="n">
        <v>2500</v>
      </c>
      <c r="F244" s="25" t="n">
        <v>1600</v>
      </c>
      <c r="G244" s="24" t="s">
        <v>59</v>
      </c>
      <c r="H244" s="24" t="s">
        <v>60</v>
      </c>
      <c r="I244" s="28" t="n">
        <f aca="false">IF(A244="","",D244*E244)</f>
        <v>5000</v>
      </c>
      <c r="J244" s="28" t="n">
        <f aca="false">IF(A244="","",D244*F244)</f>
        <v>3200</v>
      </c>
      <c r="K244" s="26" t="n">
        <f aca="false">IF(A244="","",YEAR(A244))</f>
        <v>2025</v>
      </c>
      <c r="L244" s="26" t="n">
        <f aca="false">IF(A244="","",MONTH(A244))</f>
        <v>5</v>
      </c>
    </row>
    <row r="245" customFormat="false" ht="15" hidden="false" customHeight="false" outlineLevel="0" collapsed="false">
      <c r="A245" s="23" t="n">
        <v>45792.6166666667</v>
      </c>
      <c r="B245" s="24" t="s">
        <v>1077</v>
      </c>
      <c r="C245" s="24" t="s">
        <v>1078</v>
      </c>
      <c r="D245" s="24" t="n">
        <v>3</v>
      </c>
      <c r="E245" s="25" t="n">
        <v>1500</v>
      </c>
      <c r="F245" s="25" t="n">
        <v>900</v>
      </c>
      <c r="G245" s="24" t="s">
        <v>59</v>
      </c>
      <c r="H245" s="24" t="s">
        <v>80</v>
      </c>
      <c r="I245" s="28" t="n">
        <f aca="false">IF(A245="","",D245*E245)</f>
        <v>4500</v>
      </c>
      <c r="J245" s="28" t="n">
        <f aca="false">IF(A245="","",D245*F245)</f>
        <v>2700</v>
      </c>
      <c r="K245" s="26" t="n">
        <f aca="false">IF(A245="","",YEAR(A245))</f>
        <v>2025</v>
      </c>
      <c r="L245" s="26" t="n">
        <f aca="false">IF(A245="","",MONTH(A245))</f>
        <v>5</v>
      </c>
    </row>
    <row r="246" customFormat="false" ht="15" hidden="false" customHeight="false" outlineLevel="0" collapsed="false">
      <c r="A246" s="23" t="n">
        <v>45792.8611111111</v>
      </c>
      <c r="B246" s="24" t="s">
        <v>1065</v>
      </c>
      <c r="C246" s="24" t="s">
        <v>1066</v>
      </c>
      <c r="D246" s="24" t="n">
        <v>2</v>
      </c>
      <c r="E246" s="25" t="n">
        <v>3000</v>
      </c>
      <c r="F246" s="25" t="n">
        <v>2000</v>
      </c>
      <c r="G246" s="24" t="s">
        <v>69</v>
      </c>
      <c r="H246" s="24" t="s">
        <v>80</v>
      </c>
      <c r="I246" s="28" t="n">
        <f aca="false">IF(A246="","",D246*E246)</f>
        <v>6000</v>
      </c>
      <c r="J246" s="28" t="n">
        <f aca="false">IF(A246="","",D246*F246)</f>
        <v>4000</v>
      </c>
      <c r="K246" s="26" t="n">
        <f aca="false">IF(A246="","",YEAR(A246))</f>
        <v>2025</v>
      </c>
      <c r="L246" s="26" t="n">
        <f aca="false">IF(A246="","",MONTH(A246))</f>
        <v>5</v>
      </c>
    </row>
    <row r="247" customFormat="false" ht="15" hidden="false" customHeight="false" outlineLevel="0" collapsed="false">
      <c r="A247" s="23" t="n">
        <v>45794.3513888889</v>
      </c>
      <c r="B247" s="24" t="s">
        <v>1081</v>
      </c>
      <c r="C247" s="24" t="s">
        <v>1082</v>
      </c>
      <c r="D247" s="24" t="n">
        <v>1</v>
      </c>
      <c r="E247" s="25" t="n">
        <v>2500</v>
      </c>
      <c r="F247" s="25" t="n">
        <v>1500</v>
      </c>
      <c r="G247" s="24" t="s">
        <v>69</v>
      </c>
      <c r="H247" s="24" t="s">
        <v>80</v>
      </c>
      <c r="I247" s="28" t="n">
        <f aca="false">IF(A247="","",D247*E247)</f>
        <v>2500</v>
      </c>
      <c r="J247" s="28" t="n">
        <f aca="false">IF(A247="","",D247*F247)</f>
        <v>1500</v>
      </c>
      <c r="K247" s="26" t="n">
        <f aca="false">IF(A247="","",YEAR(A247))</f>
        <v>2025</v>
      </c>
      <c r="L247" s="26" t="n">
        <f aca="false">IF(A247="","",MONTH(A247))</f>
        <v>5</v>
      </c>
    </row>
    <row r="248" customFormat="false" ht="15" hidden="false" customHeight="false" outlineLevel="0" collapsed="false">
      <c r="A248" s="23" t="n">
        <v>45795.5951388889</v>
      </c>
      <c r="B248" s="24" t="s">
        <v>1079</v>
      </c>
      <c r="C248" s="24" t="s">
        <v>1080</v>
      </c>
      <c r="D248" s="24" t="n">
        <v>1</v>
      </c>
      <c r="E248" s="25" t="n">
        <v>2500</v>
      </c>
      <c r="F248" s="25" t="n">
        <v>1600</v>
      </c>
      <c r="G248" s="24" t="s">
        <v>59</v>
      </c>
      <c r="H248" s="24" t="s">
        <v>80</v>
      </c>
      <c r="I248" s="28" t="n">
        <f aca="false">IF(A248="","",D248*E248)</f>
        <v>2500</v>
      </c>
      <c r="J248" s="28" t="n">
        <f aca="false">IF(A248="","",D248*F248)</f>
        <v>1600</v>
      </c>
      <c r="K248" s="26" t="n">
        <f aca="false">IF(A248="","",YEAR(A248))</f>
        <v>2025</v>
      </c>
      <c r="L248" s="26" t="n">
        <f aca="false">IF(A248="","",MONTH(A248))</f>
        <v>5</v>
      </c>
    </row>
    <row r="249" customFormat="false" ht="15" hidden="false" customHeight="false" outlineLevel="0" collapsed="false">
      <c r="A249" s="23" t="n">
        <v>45796.7222222222</v>
      </c>
      <c r="B249" s="24" t="s">
        <v>1075</v>
      </c>
      <c r="C249" s="24" t="s">
        <v>1076</v>
      </c>
      <c r="D249" s="24" t="n">
        <v>1</v>
      </c>
      <c r="E249" s="25" t="n">
        <v>1000</v>
      </c>
      <c r="F249" s="25" t="n">
        <v>300</v>
      </c>
      <c r="G249" s="24" t="s">
        <v>69</v>
      </c>
      <c r="H249" s="24" t="s">
        <v>60</v>
      </c>
      <c r="I249" s="28" t="n">
        <f aca="false">IF(A249="","",D249*E249)</f>
        <v>1000</v>
      </c>
      <c r="J249" s="28" t="n">
        <f aca="false">IF(A249="","",D249*F249)</f>
        <v>300</v>
      </c>
      <c r="K249" s="26" t="n">
        <f aca="false">IF(A249="","",YEAR(A249))</f>
        <v>2025</v>
      </c>
      <c r="L249" s="26" t="n">
        <f aca="false">IF(A249="","",MONTH(A249))</f>
        <v>5</v>
      </c>
    </row>
    <row r="250" customFormat="false" ht="15" hidden="false" customHeight="false" outlineLevel="0" collapsed="false">
      <c r="A250" s="23" t="n">
        <v>45796.7305555556</v>
      </c>
      <c r="B250" s="24" t="s">
        <v>1081</v>
      </c>
      <c r="C250" s="24" t="s">
        <v>1082</v>
      </c>
      <c r="D250" s="24" t="n">
        <v>1</v>
      </c>
      <c r="E250" s="25" t="n">
        <v>2500</v>
      </c>
      <c r="F250" s="25" t="n">
        <v>1500</v>
      </c>
      <c r="G250" s="24" t="s">
        <v>59</v>
      </c>
      <c r="H250" s="24" t="s">
        <v>60</v>
      </c>
      <c r="I250" s="28" t="n">
        <f aca="false">IF(A250="","",D250*E250)</f>
        <v>2500</v>
      </c>
      <c r="J250" s="28" t="n">
        <f aca="false">IF(A250="","",D250*F250)</f>
        <v>1500</v>
      </c>
      <c r="K250" s="26" t="n">
        <f aca="false">IF(A250="","",YEAR(A250))</f>
        <v>2025</v>
      </c>
      <c r="L250" s="26" t="n">
        <f aca="false">IF(A250="","",MONTH(A250))</f>
        <v>5</v>
      </c>
    </row>
    <row r="251" customFormat="false" ht="15" hidden="false" customHeight="false" outlineLevel="0" collapsed="false">
      <c r="A251" s="23" t="n">
        <v>45798.7756944444</v>
      </c>
      <c r="B251" s="24" t="s">
        <v>1065</v>
      </c>
      <c r="C251" s="24" t="s">
        <v>1066</v>
      </c>
      <c r="D251" s="24" t="n">
        <v>2</v>
      </c>
      <c r="E251" s="25" t="n">
        <v>3000</v>
      </c>
      <c r="F251" s="25" t="n">
        <v>2000</v>
      </c>
      <c r="G251" s="24" t="s">
        <v>59</v>
      </c>
      <c r="H251" s="24" t="s">
        <v>60</v>
      </c>
      <c r="I251" s="28" t="n">
        <f aca="false">IF(A251="","",D251*E251)</f>
        <v>6000</v>
      </c>
      <c r="J251" s="28" t="n">
        <f aca="false">IF(A251="","",D251*F251)</f>
        <v>4000</v>
      </c>
      <c r="K251" s="26" t="n">
        <f aca="false">IF(A251="","",YEAR(A251))</f>
        <v>2025</v>
      </c>
      <c r="L251" s="26" t="n">
        <f aca="false">IF(A251="","",MONTH(A251))</f>
        <v>5</v>
      </c>
    </row>
    <row r="252" customFormat="false" ht="15" hidden="false" customHeight="false" outlineLevel="0" collapsed="false">
      <c r="A252" s="23" t="n">
        <v>45799.4993055556</v>
      </c>
      <c r="B252" s="24" t="s">
        <v>1075</v>
      </c>
      <c r="C252" s="24" t="s">
        <v>1076</v>
      </c>
      <c r="D252" s="24" t="n">
        <v>2</v>
      </c>
      <c r="E252" s="25" t="n">
        <v>1000</v>
      </c>
      <c r="F252" s="25" t="n">
        <v>300</v>
      </c>
      <c r="G252" s="24" t="s">
        <v>69</v>
      </c>
      <c r="H252" s="24" t="s">
        <v>60</v>
      </c>
      <c r="I252" s="28" t="n">
        <f aca="false">IF(A252="","",D252*E252)</f>
        <v>2000</v>
      </c>
      <c r="J252" s="28" t="n">
        <f aca="false">IF(A252="","",D252*F252)</f>
        <v>600</v>
      </c>
      <c r="K252" s="26" t="n">
        <f aca="false">IF(A252="","",YEAR(A252))</f>
        <v>2025</v>
      </c>
      <c r="L252" s="26" t="n">
        <f aca="false">IF(A252="","",MONTH(A252))</f>
        <v>5</v>
      </c>
    </row>
    <row r="253" customFormat="false" ht="15" hidden="false" customHeight="false" outlineLevel="0" collapsed="false">
      <c r="A253" s="23" t="n">
        <v>45799.5083333333</v>
      </c>
      <c r="B253" s="24" t="s">
        <v>1077</v>
      </c>
      <c r="C253" s="24" t="s">
        <v>1078</v>
      </c>
      <c r="D253" s="24" t="n">
        <v>1</v>
      </c>
      <c r="E253" s="25" t="n">
        <v>1500</v>
      </c>
      <c r="F253" s="25" t="n">
        <v>900</v>
      </c>
      <c r="G253" s="24" t="s">
        <v>69</v>
      </c>
      <c r="H253" s="24" t="s">
        <v>60</v>
      </c>
      <c r="I253" s="28" t="n">
        <f aca="false">IF(A253="","",D253*E253)</f>
        <v>1500</v>
      </c>
      <c r="J253" s="28" t="n">
        <f aca="false">IF(A253="","",D253*F253)</f>
        <v>900</v>
      </c>
      <c r="K253" s="26" t="n">
        <f aca="false">IF(A253="","",YEAR(A253))</f>
        <v>2025</v>
      </c>
      <c r="L253" s="26" t="n">
        <f aca="false">IF(A253="","",MONTH(A253))</f>
        <v>5</v>
      </c>
    </row>
    <row r="254" customFormat="false" ht="15" hidden="false" customHeight="false" outlineLevel="0" collapsed="false">
      <c r="A254" s="23" t="n">
        <v>45800.7013888889</v>
      </c>
      <c r="B254" s="24" t="s">
        <v>1071</v>
      </c>
      <c r="C254" s="24" t="s">
        <v>1072</v>
      </c>
      <c r="D254" s="24" t="n">
        <v>1</v>
      </c>
      <c r="E254" s="25" t="n">
        <v>2000</v>
      </c>
      <c r="F254" s="25" t="n">
        <v>1100</v>
      </c>
      <c r="G254" s="24" t="s">
        <v>59</v>
      </c>
      <c r="H254" s="24" t="s">
        <v>80</v>
      </c>
      <c r="I254" s="28" t="n">
        <f aca="false">IF(A254="","",D254*E254)</f>
        <v>2000</v>
      </c>
      <c r="J254" s="28" t="n">
        <f aca="false">IF(A254="","",D254*F254)</f>
        <v>1100</v>
      </c>
      <c r="K254" s="26" t="n">
        <f aca="false">IF(A254="","",YEAR(A254))</f>
        <v>2025</v>
      </c>
      <c r="L254" s="26" t="n">
        <f aca="false">IF(A254="","",MONTH(A254))</f>
        <v>5</v>
      </c>
    </row>
    <row r="255" customFormat="false" ht="15" hidden="false" customHeight="false" outlineLevel="0" collapsed="false">
      <c r="A255" s="23" t="n">
        <v>45803.3194444445</v>
      </c>
      <c r="B255" s="24" t="s">
        <v>1077</v>
      </c>
      <c r="C255" s="24" t="s">
        <v>1078</v>
      </c>
      <c r="D255" s="24" t="n">
        <v>1</v>
      </c>
      <c r="E255" s="25" t="n">
        <v>1500</v>
      </c>
      <c r="F255" s="25" t="n">
        <v>900</v>
      </c>
      <c r="G255" s="24" t="s">
        <v>69</v>
      </c>
      <c r="H255" s="24" t="s">
        <v>80</v>
      </c>
      <c r="I255" s="28" t="n">
        <f aca="false">IF(A255="","",D255*E255)</f>
        <v>1500</v>
      </c>
      <c r="J255" s="28" t="n">
        <f aca="false">IF(A255="","",D255*F255)</f>
        <v>900</v>
      </c>
      <c r="K255" s="26" t="n">
        <f aca="false">IF(A255="","",YEAR(A255))</f>
        <v>2025</v>
      </c>
      <c r="L255" s="26" t="n">
        <f aca="false">IF(A255="","",MONTH(A255))</f>
        <v>5</v>
      </c>
    </row>
    <row r="256" customFormat="false" ht="15" hidden="false" customHeight="false" outlineLevel="0" collapsed="false">
      <c r="A256" s="23" t="n">
        <v>45803.34375</v>
      </c>
      <c r="B256" s="24" t="s">
        <v>1079</v>
      </c>
      <c r="C256" s="24" t="s">
        <v>1080</v>
      </c>
      <c r="D256" s="24" t="n">
        <v>1</v>
      </c>
      <c r="E256" s="25" t="n">
        <v>2500</v>
      </c>
      <c r="F256" s="25" t="n">
        <v>1600</v>
      </c>
      <c r="G256" s="24" t="s">
        <v>59</v>
      </c>
      <c r="H256" s="24" t="s">
        <v>80</v>
      </c>
      <c r="I256" s="28" t="n">
        <f aca="false">IF(A256="","",D256*E256)</f>
        <v>2500</v>
      </c>
      <c r="J256" s="28" t="n">
        <f aca="false">IF(A256="","",D256*F256)</f>
        <v>1600</v>
      </c>
      <c r="K256" s="26" t="n">
        <f aca="false">IF(A256="","",YEAR(A256))</f>
        <v>2025</v>
      </c>
      <c r="L256" s="26" t="n">
        <f aca="false">IF(A256="","",MONTH(A256))</f>
        <v>5</v>
      </c>
    </row>
    <row r="257" customFormat="false" ht="15" hidden="false" customHeight="false" outlineLevel="0" collapsed="false">
      <c r="A257" s="23" t="n">
        <v>45803.4979166667</v>
      </c>
      <c r="B257" s="24" t="s">
        <v>1067</v>
      </c>
      <c r="C257" s="24" t="s">
        <v>1068</v>
      </c>
      <c r="D257" s="24" t="n">
        <v>2</v>
      </c>
      <c r="E257" s="25" t="n">
        <v>4000</v>
      </c>
      <c r="F257" s="25" t="n">
        <v>2600</v>
      </c>
      <c r="G257" s="24" t="s">
        <v>59</v>
      </c>
      <c r="H257" s="24" t="s">
        <v>60</v>
      </c>
      <c r="I257" s="28" t="n">
        <f aca="false">IF(A257="","",D257*E257)</f>
        <v>8000</v>
      </c>
      <c r="J257" s="28" t="n">
        <f aca="false">IF(A257="","",D257*F257)</f>
        <v>5200</v>
      </c>
      <c r="K257" s="26" t="n">
        <f aca="false">IF(A257="","",YEAR(A257))</f>
        <v>2025</v>
      </c>
      <c r="L257" s="26" t="n">
        <f aca="false">IF(A257="","",MONTH(A257))</f>
        <v>5</v>
      </c>
    </row>
    <row r="258" customFormat="false" ht="15" hidden="false" customHeight="false" outlineLevel="0" collapsed="false">
      <c r="A258" s="23" t="n">
        <v>45803.9118055556</v>
      </c>
      <c r="B258" s="24" t="s">
        <v>1067</v>
      </c>
      <c r="C258" s="24" t="s">
        <v>1068</v>
      </c>
      <c r="D258" s="24" t="n">
        <v>1</v>
      </c>
      <c r="E258" s="25" t="n">
        <v>4000</v>
      </c>
      <c r="F258" s="25" t="n">
        <v>2600</v>
      </c>
      <c r="G258" s="24" t="s">
        <v>69</v>
      </c>
      <c r="H258" s="24" t="s">
        <v>55</v>
      </c>
      <c r="I258" s="28" t="n">
        <f aca="false">IF(A258="","",D258*E258)</f>
        <v>4000</v>
      </c>
      <c r="J258" s="28" t="n">
        <f aca="false">IF(A258="","",D258*F258)</f>
        <v>2600</v>
      </c>
      <c r="K258" s="26" t="n">
        <f aca="false">IF(A258="","",YEAR(A258))</f>
        <v>2025</v>
      </c>
      <c r="L258" s="26" t="n">
        <f aca="false">IF(A258="","",MONTH(A258))</f>
        <v>5</v>
      </c>
    </row>
    <row r="259" customFormat="false" ht="15" hidden="false" customHeight="false" outlineLevel="0" collapsed="false">
      <c r="A259" s="23" t="n">
        <v>45804.34375</v>
      </c>
      <c r="B259" s="24" t="s">
        <v>1065</v>
      </c>
      <c r="C259" s="24" t="s">
        <v>1066</v>
      </c>
      <c r="D259" s="24" t="n">
        <v>1</v>
      </c>
      <c r="E259" s="25" t="n">
        <v>3000</v>
      </c>
      <c r="F259" s="25" t="n">
        <v>2000</v>
      </c>
      <c r="G259" s="24" t="s">
        <v>59</v>
      </c>
      <c r="H259" s="24" t="s">
        <v>80</v>
      </c>
      <c r="I259" s="28" t="n">
        <f aca="false">IF(A259="","",D259*E259)</f>
        <v>3000</v>
      </c>
      <c r="J259" s="28" t="n">
        <f aca="false">IF(A259="","",D259*F259)</f>
        <v>2000</v>
      </c>
      <c r="K259" s="26" t="n">
        <f aca="false">IF(A259="","",YEAR(A259))</f>
        <v>2025</v>
      </c>
      <c r="L259" s="26" t="n">
        <f aca="false">IF(A259="","",MONTH(A259))</f>
        <v>5</v>
      </c>
    </row>
    <row r="260" customFormat="false" ht="15" hidden="false" customHeight="false" outlineLevel="0" collapsed="false">
      <c r="A260" s="23" t="n">
        <v>45805.35625</v>
      </c>
      <c r="B260" s="24" t="s">
        <v>1067</v>
      </c>
      <c r="C260" s="24" t="s">
        <v>1068</v>
      </c>
      <c r="D260" s="24" t="n">
        <v>1</v>
      </c>
      <c r="E260" s="25" t="n">
        <v>4000</v>
      </c>
      <c r="F260" s="25" t="n">
        <v>2600</v>
      </c>
      <c r="G260" s="24" t="s">
        <v>59</v>
      </c>
      <c r="H260" s="24" t="s">
        <v>55</v>
      </c>
      <c r="I260" s="28" t="n">
        <f aca="false">IF(A260="","",D260*E260)</f>
        <v>4000</v>
      </c>
      <c r="J260" s="28" t="n">
        <f aca="false">IF(A260="","",D260*F260)</f>
        <v>2600</v>
      </c>
      <c r="K260" s="26" t="n">
        <f aca="false">IF(A260="","",YEAR(A260))</f>
        <v>2025</v>
      </c>
      <c r="L260" s="26" t="n">
        <f aca="false">IF(A260="","",MONTH(A260))</f>
        <v>5</v>
      </c>
    </row>
    <row r="261" customFormat="false" ht="15" hidden="false" customHeight="false" outlineLevel="0" collapsed="false">
      <c r="A261" s="23" t="n">
        <v>45805.80625</v>
      </c>
      <c r="B261" s="24" t="s">
        <v>1073</v>
      </c>
      <c r="C261" s="24" t="s">
        <v>1074</v>
      </c>
      <c r="D261" s="24" t="n">
        <v>1</v>
      </c>
      <c r="E261" s="25" t="n">
        <v>7000</v>
      </c>
      <c r="F261" s="25" t="n">
        <v>4800</v>
      </c>
      <c r="G261" s="24" t="s">
        <v>59</v>
      </c>
      <c r="H261" s="24" t="s">
        <v>60</v>
      </c>
      <c r="I261" s="28" t="n">
        <f aca="false">IF(A261="","",D261*E261)</f>
        <v>7000</v>
      </c>
      <c r="J261" s="28" t="n">
        <f aca="false">IF(A261="","",D261*F261)</f>
        <v>4800</v>
      </c>
      <c r="K261" s="26" t="n">
        <f aca="false">IF(A261="","",YEAR(A261))</f>
        <v>2025</v>
      </c>
      <c r="L261" s="26" t="n">
        <f aca="false">IF(A261="","",MONTH(A261))</f>
        <v>5</v>
      </c>
    </row>
    <row r="262" customFormat="false" ht="15" hidden="false" customHeight="false" outlineLevel="0" collapsed="false">
      <c r="A262" s="23" t="n">
        <v>45805.8548611111</v>
      </c>
      <c r="B262" s="24" t="s">
        <v>1081</v>
      </c>
      <c r="C262" s="24" t="s">
        <v>1082</v>
      </c>
      <c r="D262" s="24" t="n">
        <v>2</v>
      </c>
      <c r="E262" s="25" t="n">
        <v>2500</v>
      </c>
      <c r="F262" s="25" t="n">
        <v>1500</v>
      </c>
      <c r="G262" s="24" t="s">
        <v>69</v>
      </c>
      <c r="H262" s="24" t="s">
        <v>80</v>
      </c>
      <c r="I262" s="28" t="n">
        <f aca="false">IF(A262="","",D262*E262)</f>
        <v>5000</v>
      </c>
      <c r="J262" s="28" t="n">
        <f aca="false">IF(A262="","",D262*F262)</f>
        <v>3000</v>
      </c>
      <c r="K262" s="26" t="n">
        <f aca="false">IF(A262="","",YEAR(A262))</f>
        <v>2025</v>
      </c>
      <c r="L262" s="26" t="n">
        <f aca="false">IF(A262="","",MONTH(A262))</f>
        <v>5</v>
      </c>
    </row>
    <row r="263" customFormat="false" ht="15" hidden="false" customHeight="false" outlineLevel="0" collapsed="false">
      <c r="A263" s="23" t="n">
        <v>45809.3104166667</v>
      </c>
      <c r="B263" s="24" t="s">
        <v>1067</v>
      </c>
      <c r="C263" s="24" t="s">
        <v>1068</v>
      </c>
      <c r="D263" s="24" t="n">
        <v>1</v>
      </c>
      <c r="E263" s="25" t="n">
        <v>4000</v>
      </c>
      <c r="F263" s="25" t="n">
        <v>2600</v>
      </c>
      <c r="G263" s="24" t="s">
        <v>59</v>
      </c>
      <c r="H263" s="24" t="s">
        <v>55</v>
      </c>
      <c r="I263" s="28" t="n">
        <f aca="false">IF(A263="","",D263*E263)</f>
        <v>4000</v>
      </c>
      <c r="J263" s="28" t="n">
        <f aca="false">IF(A263="","",D263*F263)</f>
        <v>2600</v>
      </c>
      <c r="K263" s="26" t="n">
        <f aca="false">IF(A263="","",YEAR(A263))</f>
        <v>2025</v>
      </c>
      <c r="L263" s="26" t="n">
        <f aca="false">IF(A263="","",MONTH(A263))</f>
        <v>6</v>
      </c>
    </row>
    <row r="264" customFormat="false" ht="15" hidden="false" customHeight="false" outlineLevel="0" collapsed="false">
      <c r="A264" s="23" t="n">
        <v>45809.5208333333</v>
      </c>
      <c r="B264" s="24" t="s">
        <v>1079</v>
      </c>
      <c r="C264" s="24" t="s">
        <v>1080</v>
      </c>
      <c r="D264" s="24" t="n">
        <v>2</v>
      </c>
      <c r="E264" s="25" t="n">
        <v>2500</v>
      </c>
      <c r="F264" s="25" t="n">
        <v>1600</v>
      </c>
      <c r="G264" s="24" t="s">
        <v>59</v>
      </c>
      <c r="H264" s="24" t="s">
        <v>80</v>
      </c>
      <c r="I264" s="28" t="n">
        <f aca="false">IF(A264="","",D264*E264)</f>
        <v>5000</v>
      </c>
      <c r="J264" s="28" t="n">
        <f aca="false">IF(A264="","",D264*F264)</f>
        <v>3200</v>
      </c>
      <c r="K264" s="26" t="n">
        <f aca="false">IF(A264="","",YEAR(A264))</f>
        <v>2025</v>
      </c>
      <c r="L264" s="26" t="n">
        <f aca="false">IF(A264="","",MONTH(A264))</f>
        <v>6</v>
      </c>
    </row>
    <row r="265" customFormat="false" ht="15" hidden="false" customHeight="false" outlineLevel="0" collapsed="false">
      <c r="A265" s="23" t="n">
        <v>45810.8798611111</v>
      </c>
      <c r="B265" s="24" t="s">
        <v>1077</v>
      </c>
      <c r="C265" s="24" t="s">
        <v>1078</v>
      </c>
      <c r="D265" s="24" t="n">
        <v>2</v>
      </c>
      <c r="E265" s="25" t="n">
        <v>1500</v>
      </c>
      <c r="F265" s="25" t="n">
        <v>900</v>
      </c>
      <c r="G265" s="24" t="s">
        <v>59</v>
      </c>
      <c r="H265" s="24" t="s">
        <v>55</v>
      </c>
      <c r="I265" s="28" t="n">
        <f aca="false">IF(A265="","",D265*E265)</f>
        <v>3000</v>
      </c>
      <c r="J265" s="28" t="n">
        <f aca="false">IF(A265="","",D265*F265)</f>
        <v>1800</v>
      </c>
      <c r="K265" s="26" t="n">
        <f aca="false">IF(A265="","",YEAR(A265))</f>
        <v>2025</v>
      </c>
      <c r="L265" s="26" t="n">
        <f aca="false">IF(A265="","",MONTH(A265))</f>
        <v>6</v>
      </c>
    </row>
    <row r="266" customFormat="false" ht="15" hidden="false" customHeight="false" outlineLevel="0" collapsed="false">
      <c r="A266" s="23" t="n">
        <v>45811.3465277778</v>
      </c>
      <c r="B266" s="24" t="s">
        <v>1067</v>
      </c>
      <c r="C266" s="24" t="s">
        <v>1068</v>
      </c>
      <c r="D266" s="24" t="n">
        <v>1</v>
      </c>
      <c r="E266" s="25" t="n">
        <v>4000</v>
      </c>
      <c r="F266" s="25" t="n">
        <v>2600</v>
      </c>
      <c r="G266" s="24" t="s">
        <v>59</v>
      </c>
      <c r="H266" s="24" t="s">
        <v>55</v>
      </c>
      <c r="I266" s="28" t="n">
        <f aca="false">IF(A266="","",D266*E266)</f>
        <v>4000</v>
      </c>
      <c r="J266" s="28" t="n">
        <f aca="false">IF(A266="","",D266*F266)</f>
        <v>2600</v>
      </c>
      <c r="K266" s="26" t="n">
        <f aca="false">IF(A266="","",YEAR(A266))</f>
        <v>2025</v>
      </c>
      <c r="L266" s="26" t="n">
        <f aca="false">IF(A266="","",MONTH(A266))</f>
        <v>6</v>
      </c>
    </row>
    <row r="267" customFormat="false" ht="15" hidden="false" customHeight="false" outlineLevel="0" collapsed="false">
      <c r="A267" s="23" t="n">
        <v>45811.6909722222</v>
      </c>
      <c r="B267" s="24" t="s">
        <v>1067</v>
      </c>
      <c r="C267" s="24" t="s">
        <v>1068</v>
      </c>
      <c r="D267" s="24" t="n">
        <v>2</v>
      </c>
      <c r="E267" s="25" t="n">
        <v>4000</v>
      </c>
      <c r="F267" s="25" t="n">
        <v>2600</v>
      </c>
      <c r="G267" s="24" t="s">
        <v>69</v>
      </c>
      <c r="H267" s="24" t="s">
        <v>60</v>
      </c>
      <c r="I267" s="28" t="n">
        <f aca="false">IF(A267="","",D267*E267)</f>
        <v>8000</v>
      </c>
      <c r="J267" s="28" t="n">
        <f aca="false">IF(A267="","",D267*F267)</f>
        <v>5200</v>
      </c>
      <c r="K267" s="26" t="n">
        <f aca="false">IF(A267="","",YEAR(A267))</f>
        <v>2025</v>
      </c>
      <c r="L267" s="26" t="n">
        <f aca="false">IF(A267="","",MONTH(A267))</f>
        <v>6</v>
      </c>
    </row>
    <row r="268" customFormat="false" ht="15" hidden="false" customHeight="false" outlineLevel="0" collapsed="false">
      <c r="A268" s="23" t="n">
        <v>45811.8340277778</v>
      </c>
      <c r="B268" s="24" t="s">
        <v>1073</v>
      </c>
      <c r="C268" s="24" t="s">
        <v>1074</v>
      </c>
      <c r="D268" s="24" t="n">
        <v>3</v>
      </c>
      <c r="E268" s="25" t="n">
        <v>7000</v>
      </c>
      <c r="F268" s="25" t="n">
        <v>4800</v>
      </c>
      <c r="G268" s="24" t="s">
        <v>59</v>
      </c>
      <c r="H268" s="24" t="s">
        <v>55</v>
      </c>
      <c r="I268" s="28" t="n">
        <f aca="false">IF(A268="","",D268*E268)</f>
        <v>21000</v>
      </c>
      <c r="J268" s="28" t="n">
        <f aca="false">IF(A268="","",D268*F268)</f>
        <v>14400</v>
      </c>
      <c r="K268" s="26" t="n">
        <f aca="false">IF(A268="","",YEAR(A268))</f>
        <v>2025</v>
      </c>
      <c r="L268" s="26" t="n">
        <f aca="false">IF(A268="","",MONTH(A268))</f>
        <v>6</v>
      </c>
    </row>
    <row r="269" customFormat="false" ht="15" hidden="false" customHeight="false" outlineLevel="0" collapsed="false">
      <c r="A269" s="23" t="n">
        <v>45812.6402777778</v>
      </c>
      <c r="B269" s="24" t="s">
        <v>1081</v>
      </c>
      <c r="C269" s="24" t="s">
        <v>1082</v>
      </c>
      <c r="D269" s="24" t="n">
        <v>1</v>
      </c>
      <c r="E269" s="25" t="n">
        <v>2500</v>
      </c>
      <c r="F269" s="25" t="n">
        <v>1500</v>
      </c>
      <c r="G269" s="24" t="s">
        <v>59</v>
      </c>
      <c r="H269" s="24" t="s">
        <v>55</v>
      </c>
      <c r="I269" s="28" t="n">
        <f aca="false">IF(A269="","",D269*E269)</f>
        <v>2500</v>
      </c>
      <c r="J269" s="28" t="n">
        <f aca="false">IF(A269="","",D269*F269)</f>
        <v>1500</v>
      </c>
      <c r="K269" s="26" t="n">
        <f aca="false">IF(A269="","",YEAR(A269))</f>
        <v>2025</v>
      </c>
      <c r="L269" s="26" t="n">
        <f aca="false">IF(A269="","",MONTH(A269))</f>
        <v>6</v>
      </c>
    </row>
    <row r="270" customFormat="false" ht="15" hidden="false" customHeight="false" outlineLevel="0" collapsed="false">
      <c r="A270" s="23" t="n">
        <v>45812.7069444444</v>
      </c>
      <c r="B270" s="24" t="s">
        <v>1077</v>
      </c>
      <c r="C270" s="24" t="s">
        <v>1078</v>
      </c>
      <c r="D270" s="24" t="n">
        <v>1</v>
      </c>
      <c r="E270" s="25" t="n">
        <v>1500</v>
      </c>
      <c r="F270" s="25" t="n">
        <v>900</v>
      </c>
      <c r="G270" s="24" t="s">
        <v>59</v>
      </c>
      <c r="H270" s="24" t="s">
        <v>55</v>
      </c>
      <c r="I270" s="28" t="n">
        <f aca="false">IF(A270="","",D270*E270)</f>
        <v>1500</v>
      </c>
      <c r="J270" s="28" t="n">
        <f aca="false">IF(A270="","",D270*F270)</f>
        <v>900</v>
      </c>
      <c r="K270" s="26" t="n">
        <f aca="false">IF(A270="","",YEAR(A270))</f>
        <v>2025</v>
      </c>
      <c r="L270" s="26" t="n">
        <f aca="false">IF(A270="","",MONTH(A270))</f>
        <v>6</v>
      </c>
    </row>
    <row r="271" customFormat="false" ht="15" hidden="false" customHeight="false" outlineLevel="0" collapsed="false">
      <c r="A271" s="23" t="n">
        <v>45813.4097222222</v>
      </c>
      <c r="B271" s="24" t="s">
        <v>1075</v>
      </c>
      <c r="C271" s="24" t="s">
        <v>1076</v>
      </c>
      <c r="D271" s="24" t="n">
        <v>1</v>
      </c>
      <c r="E271" s="25" t="n">
        <v>1000</v>
      </c>
      <c r="F271" s="25" t="n">
        <v>300</v>
      </c>
      <c r="G271" s="24" t="s">
        <v>59</v>
      </c>
      <c r="H271" s="24" t="s">
        <v>80</v>
      </c>
      <c r="I271" s="28" t="n">
        <f aca="false">IF(A271="","",D271*E271)</f>
        <v>1000</v>
      </c>
      <c r="J271" s="28" t="n">
        <f aca="false">IF(A271="","",D271*F271)</f>
        <v>300</v>
      </c>
      <c r="K271" s="26" t="n">
        <f aca="false">IF(A271="","",YEAR(A271))</f>
        <v>2025</v>
      </c>
      <c r="L271" s="26" t="n">
        <f aca="false">IF(A271="","",MONTH(A271))</f>
        <v>6</v>
      </c>
    </row>
    <row r="272" customFormat="false" ht="15" hidden="false" customHeight="false" outlineLevel="0" collapsed="false">
      <c r="A272" s="23" t="n">
        <v>45813.8326388889</v>
      </c>
      <c r="B272" s="24" t="s">
        <v>1065</v>
      </c>
      <c r="C272" s="24" t="s">
        <v>1066</v>
      </c>
      <c r="D272" s="24" t="n">
        <v>2</v>
      </c>
      <c r="E272" s="25" t="n">
        <v>3000</v>
      </c>
      <c r="F272" s="25" t="n">
        <v>2000</v>
      </c>
      <c r="G272" s="24" t="s">
        <v>59</v>
      </c>
      <c r="H272" s="24" t="s">
        <v>60</v>
      </c>
      <c r="I272" s="28" t="n">
        <f aca="false">IF(A272="","",D272*E272)</f>
        <v>6000</v>
      </c>
      <c r="J272" s="28" t="n">
        <f aca="false">IF(A272="","",D272*F272)</f>
        <v>4000</v>
      </c>
      <c r="K272" s="26" t="n">
        <f aca="false">IF(A272="","",YEAR(A272))</f>
        <v>2025</v>
      </c>
      <c r="L272" s="26" t="n">
        <f aca="false">IF(A272="","",MONTH(A272))</f>
        <v>6</v>
      </c>
    </row>
    <row r="273" customFormat="false" ht="15" hidden="false" customHeight="false" outlineLevel="0" collapsed="false">
      <c r="A273" s="23" t="n">
        <v>45814.5159722222</v>
      </c>
      <c r="B273" s="24" t="s">
        <v>1069</v>
      </c>
      <c r="C273" s="24" t="s">
        <v>1070</v>
      </c>
      <c r="D273" s="24" t="n">
        <v>1</v>
      </c>
      <c r="E273" s="25" t="n">
        <v>4500</v>
      </c>
      <c r="F273" s="25" t="n">
        <v>3000</v>
      </c>
      <c r="G273" s="24" t="s">
        <v>59</v>
      </c>
      <c r="H273" s="24" t="s">
        <v>55</v>
      </c>
      <c r="I273" s="28" t="n">
        <f aca="false">IF(A273="","",D273*E273)</f>
        <v>4500</v>
      </c>
      <c r="J273" s="28" t="n">
        <f aca="false">IF(A273="","",D273*F273)</f>
        <v>3000</v>
      </c>
      <c r="K273" s="26" t="n">
        <f aca="false">IF(A273="","",YEAR(A273))</f>
        <v>2025</v>
      </c>
      <c r="L273" s="26" t="n">
        <f aca="false">IF(A273="","",MONTH(A273))</f>
        <v>6</v>
      </c>
    </row>
    <row r="274" customFormat="false" ht="15" hidden="false" customHeight="false" outlineLevel="0" collapsed="false">
      <c r="A274" s="23" t="n">
        <v>45814.8951388889</v>
      </c>
      <c r="B274" s="24" t="s">
        <v>1077</v>
      </c>
      <c r="C274" s="24" t="s">
        <v>1078</v>
      </c>
      <c r="D274" s="24" t="n">
        <v>1</v>
      </c>
      <c r="E274" s="25" t="n">
        <v>1500</v>
      </c>
      <c r="F274" s="25" t="n">
        <v>900</v>
      </c>
      <c r="G274" s="24" t="s">
        <v>59</v>
      </c>
      <c r="H274" s="24" t="s">
        <v>55</v>
      </c>
      <c r="I274" s="28" t="n">
        <f aca="false">IF(A274="","",D274*E274)</f>
        <v>1500</v>
      </c>
      <c r="J274" s="28" t="n">
        <f aca="false">IF(A274="","",D274*F274)</f>
        <v>900</v>
      </c>
      <c r="K274" s="26" t="n">
        <f aca="false">IF(A274="","",YEAR(A274))</f>
        <v>2025</v>
      </c>
      <c r="L274" s="26" t="n">
        <f aca="false">IF(A274="","",MONTH(A274))</f>
        <v>6</v>
      </c>
    </row>
    <row r="275" customFormat="false" ht="15" hidden="false" customHeight="false" outlineLevel="0" collapsed="false">
      <c r="A275" s="23" t="n">
        <v>45816.3013888889</v>
      </c>
      <c r="B275" s="24" t="s">
        <v>1065</v>
      </c>
      <c r="C275" s="24" t="s">
        <v>1066</v>
      </c>
      <c r="D275" s="24" t="n">
        <v>1</v>
      </c>
      <c r="E275" s="25" t="n">
        <v>3000</v>
      </c>
      <c r="F275" s="25" t="n">
        <v>2000</v>
      </c>
      <c r="G275" s="24" t="s">
        <v>59</v>
      </c>
      <c r="H275" s="24" t="s">
        <v>80</v>
      </c>
      <c r="I275" s="28" t="n">
        <f aca="false">IF(A275="","",D275*E275)</f>
        <v>3000</v>
      </c>
      <c r="J275" s="28" t="n">
        <f aca="false">IF(A275="","",D275*F275)</f>
        <v>2000</v>
      </c>
      <c r="K275" s="26" t="n">
        <f aca="false">IF(A275="","",YEAR(A275))</f>
        <v>2025</v>
      </c>
      <c r="L275" s="26" t="n">
        <f aca="false">IF(A275="","",MONTH(A275))</f>
        <v>6</v>
      </c>
    </row>
    <row r="276" customFormat="false" ht="15" hidden="false" customHeight="false" outlineLevel="0" collapsed="false">
      <c r="A276" s="23" t="n">
        <v>45816.4208333333</v>
      </c>
      <c r="B276" s="24" t="s">
        <v>1071</v>
      </c>
      <c r="C276" s="24" t="s">
        <v>1072</v>
      </c>
      <c r="D276" s="24" t="n">
        <v>2</v>
      </c>
      <c r="E276" s="25" t="n">
        <v>2000</v>
      </c>
      <c r="F276" s="25" t="n">
        <v>1100</v>
      </c>
      <c r="G276" s="24" t="s">
        <v>59</v>
      </c>
      <c r="H276" s="24" t="s">
        <v>80</v>
      </c>
      <c r="I276" s="28" t="n">
        <f aca="false">IF(A276="","",D276*E276)</f>
        <v>4000</v>
      </c>
      <c r="J276" s="28" t="n">
        <f aca="false">IF(A276="","",D276*F276)</f>
        <v>2200</v>
      </c>
      <c r="K276" s="26" t="n">
        <f aca="false">IF(A276="","",YEAR(A276))</f>
        <v>2025</v>
      </c>
      <c r="L276" s="26" t="n">
        <f aca="false">IF(A276="","",MONTH(A276))</f>
        <v>6</v>
      </c>
    </row>
    <row r="277" customFormat="false" ht="15" hidden="false" customHeight="false" outlineLevel="0" collapsed="false">
      <c r="A277" s="23" t="n">
        <v>45816.4270833333</v>
      </c>
      <c r="B277" s="24" t="s">
        <v>1073</v>
      </c>
      <c r="C277" s="24" t="s">
        <v>1074</v>
      </c>
      <c r="D277" s="24" t="n">
        <v>1</v>
      </c>
      <c r="E277" s="25" t="n">
        <v>7000</v>
      </c>
      <c r="F277" s="25" t="n">
        <v>4800</v>
      </c>
      <c r="G277" s="24" t="s">
        <v>59</v>
      </c>
      <c r="H277" s="24" t="s">
        <v>60</v>
      </c>
      <c r="I277" s="28" t="n">
        <f aca="false">IF(A277="","",D277*E277)</f>
        <v>7000</v>
      </c>
      <c r="J277" s="28" t="n">
        <f aca="false">IF(A277="","",D277*F277)</f>
        <v>4800</v>
      </c>
      <c r="K277" s="26" t="n">
        <f aca="false">IF(A277="","",YEAR(A277))</f>
        <v>2025</v>
      </c>
      <c r="L277" s="26" t="n">
        <f aca="false">IF(A277="","",MONTH(A277))</f>
        <v>6</v>
      </c>
    </row>
    <row r="278" customFormat="false" ht="15" hidden="false" customHeight="false" outlineLevel="0" collapsed="false">
      <c r="A278" s="23" t="n">
        <v>45816.6138888889</v>
      </c>
      <c r="B278" s="24" t="s">
        <v>1073</v>
      </c>
      <c r="C278" s="24" t="s">
        <v>1074</v>
      </c>
      <c r="D278" s="24" t="n">
        <v>2</v>
      </c>
      <c r="E278" s="25" t="n">
        <v>7000</v>
      </c>
      <c r="F278" s="25" t="n">
        <v>4800</v>
      </c>
      <c r="G278" s="24" t="s">
        <v>59</v>
      </c>
      <c r="H278" s="24" t="s">
        <v>60</v>
      </c>
      <c r="I278" s="28" t="n">
        <f aca="false">IF(A278="","",D278*E278)</f>
        <v>14000</v>
      </c>
      <c r="J278" s="28" t="n">
        <f aca="false">IF(A278="","",D278*F278)</f>
        <v>9600</v>
      </c>
      <c r="K278" s="26" t="n">
        <f aca="false">IF(A278="","",YEAR(A278))</f>
        <v>2025</v>
      </c>
      <c r="L278" s="26" t="n">
        <f aca="false">IF(A278="","",MONTH(A278))</f>
        <v>6</v>
      </c>
    </row>
    <row r="279" customFormat="false" ht="15" hidden="false" customHeight="false" outlineLevel="0" collapsed="false">
      <c r="A279" s="23" t="n">
        <v>45818.2916666667</v>
      </c>
      <c r="B279" s="24" t="s">
        <v>1075</v>
      </c>
      <c r="C279" s="24" t="s">
        <v>1076</v>
      </c>
      <c r="D279" s="24" t="n">
        <v>3</v>
      </c>
      <c r="E279" s="25" t="n">
        <v>1000</v>
      </c>
      <c r="F279" s="25" t="n">
        <v>300</v>
      </c>
      <c r="G279" s="24" t="s">
        <v>59</v>
      </c>
      <c r="H279" s="24" t="s">
        <v>55</v>
      </c>
      <c r="I279" s="28" t="n">
        <f aca="false">IF(A279="","",D279*E279)</f>
        <v>3000</v>
      </c>
      <c r="J279" s="28" t="n">
        <f aca="false">IF(A279="","",D279*F279)</f>
        <v>900</v>
      </c>
      <c r="K279" s="26" t="n">
        <f aca="false">IF(A279="","",YEAR(A279))</f>
        <v>2025</v>
      </c>
      <c r="L279" s="26" t="n">
        <f aca="false">IF(A279="","",MONTH(A279))</f>
        <v>6</v>
      </c>
    </row>
    <row r="280" customFormat="false" ht="15" hidden="false" customHeight="false" outlineLevel="0" collapsed="false">
      <c r="A280" s="23" t="n">
        <v>45818.6569444445</v>
      </c>
      <c r="B280" s="24" t="s">
        <v>1067</v>
      </c>
      <c r="C280" s="24" t="s">
        <v>1068</v>
      </c>
      <c r="D280" s="24" t="n">
        <v>2</v>
      </c>
      <c r="E280" s="25" t="n">
        <v>4000</v>
      </c>
      <c r="F280" s="25" t="n">
        <v>2600</v>
      </c>
      <c r="G280" s="24" t="s">
        <v>69</v>
      </c>
      <c r="H280" s="24" t="s">
        <v>80</v>
      </c>
      <c r="I280" s="28" t="n">
        <f aca="false">IF(A280="","",D280*E280)</f>
        <v>8000</v>
      </c>
      <c r="J280" s="28" t="n">
        <f aca="false">IF(A280="","",D280*F280)</f>
        <v>5200</v>
      </c>
      <c r="K280" s="26" t="n">
        <f aca="false">IF(A280="","",YEAR(A280))</f>
        <v>2025</v>
      </c>
      <c r="L280" s="26" t="n">
        <f aca="false">IF(A280="","",MONTH(A280))</f>
        <v>6</v>
      </c>
    </row>
    <row r="281" customFormat="false" ht="15" hidden="false" customHeight="false" outlineLevel="0" collapsed="false">
      <c r="A281" s="23" t="n">
        <v>45819.3173611111</v>
      </c>
      <c r="B281" s="24" t="s">
        <v>1071</v>
      </c>
      <c r="C281" s="24" t="s">
        <v>1072</v>
      </c>
      <c r="D281" s="24" t="n">
        <v>1</v>
      </c>
      <c r="E281" s="25" t="n">
        <v>2000</v>
      </c>
      <c r="F281" s="25" t="n">
        <v>1100</v>
      </c>
      <c r="G281" s="24" t="s">
        <v>69</v>
      </c>
      <c r="H281" s="24" t="s">
        <v>60</v>
      </c>
      <c r="I281" s="28" t="n">
        <f aca="false">IF(A281="","",D281*E281)</f>
        <v>2000</v>
      </c>
      <c r="J281" s="28" t="n">
        <f aca="false">IF(A281="","",D281*F281)</f>
        <v>1100</v>
      </c>
      <c r="K281" s="26" t="n">
        <f aca="false">IF(A281="","",YEAR(A281))</f>
        <v>2025</v>
      </c>
      <c r="L281" s="26" t="n">
        <f aca="false">IF(A281="","",MONTH(A281))</f>
        <v>6</v>
      </c>
    </row>
    <row r="282" customFormat="false" ht="15" hidden="false" customHeight="false" outlineLevel="0" collapsed="false">
      <c r="A282" s="23" t="n">
        <v>45819.4277777778</v>
      </c>
      <c r="B282" s="24" t="s">
        <v>1081</v>
      </c>
      <c r="C282" s="24" t="s">
        <v>1082</v>
      </c>
      <c r="D282" s="24" t="n">
        <v>2</v>
      </c>
      <c r="E282" s="25" t="n">
        <v>2500</v>
      </c>
      <c r="F282" s="25" t="n">
        <v>1500</v>
      </c>
      <c r="G282" s="24" t="s">
        <v>59</v>
      </c>
      <c r="H282" s="24" t="s">
        <v>60</v>
      </c>
      <c r="I282" s="28" t="n">
        <f aca="false">IF(A282="","",D282*E282)</f>
        <v>5000</v>
      </c>
      <c r="J282" s="28" t="n">
        <f aca="false">IF(A282="","",D282*F282)</f>
        <v>3000</v>
      </c>
      <c r="K282" s="26" t="n">
        <f aca="false">IF(A282="","",YEAR(A282))</f>
        <v>2025</v>
      </c>
      <c r="L282" s="26" t="n">
        <f aca="false">IF(A282="","",MONTH(A282))</f>
        <v>6</v>
      </c>
    </row>
    <row r="283" customFormat="false" ht="15" hidden="false" customHeight="false" outlineLevel="0" collapsed="false">
      <c r="A283" s="23" t="n">
        <v>45819.5763888889</v>
      </c>
      <c r="B283" s="24" t="s">
        <v>1079</v>
      </c>
      <c r="C283" s="24" t="s">
        <v>1080</v>
      </c>
      <c r="D283" s="24" t="n">
        <v>2</v>
      </c>
      <c r="E283" s="25" t="n">
        <v>2500</v>
      </c>
      <c r="F283" s="25" t="n">
        <v>1600</v>
      </c>
      <c r="G283" s="24" t="s">
        <v>59</v>
      </c>
      <c r="H283" s="24" t="s">
        <v>80</v>
      </c>
      <c r="I283" s="28" t="n">
        <f aca="false">IF(A283="","",D283*E283)</f>
        <v>5000</v>
      </c>
      <c r="J283" s="28" t="n">
        <f aca="false">IF(A283="","",D283*F283)</f>
        <v>3200</v>
      </c>
      <c r="K283" s="26" t="n">
        <f aca="false">IF(A283="","",YEAR(A283))</f>
        <v>2025</v>
      </c>
      <c r="L283" s="26" t="n">
        <f aca="false">IF(A283="","",MONTH(A283))</f>
        <v>6</v>
      </c>
    </row>
    <row r="284" customFormat="false" ht="15" hidden="false" customHeight="false" outlineLevel="0" collapsed="false">
      <c r="A284" s="23" t="n">
        <v>45819.7083333333</v>
      </c>
      <c r="B284" s="24" t="s">
        <v>1069</v>
      </c>
      <c r="C284" s="24" t="s">
        <v>1070</v>
      </c>
      <c r="D284" s="24" t="n">
        <v>2</v>
      </c>
      <c r="E284" s="25" t="n">
        <v>4500</v>
      </c>
      <c r="F284" s="25" t="n">
        <v>3000</v>
      </c>
      <c r="G284" s="24" t="s">
        <v>59</v>
      </c>
      <c r="H284" s="24" t="s">
        <v>55</v>
      </c>
      <c r="I284" s="28" t="n">
        <f aca="false">IF(A284="","",D284*E284)</f>
        <v>9000</v>
      </c>
      <c r="J284" s="28" t="n">
        <f aca="false">IF(A284="","",D284*F284)</f>
        <v>6000</v>
      </c>
      <c r="K284" s="26" t="n">
        <f aca="false">IF(A284="","",YEAR(A284))</f>
        <v>2025</v>
      </c>
      <c r="L284" s="26" t="n">
        <f aca="false">IF(A284="","",MONTH(A284))</f>
        <v>6</v>
      </c>
    </row>
    <row r="285" customFormat="false" ht="15" hidden="false" customHeight="false" outlineLevel="0" collapsed="false">
      <c r="A285" s="23" t="n">
        <v>45820.3395833333</v>
      </c>
      <c r="B285" s="24" t="s">
        <v>1075</v>
      </c>
      <c r="C285" s="24" t="s">
        <v>1076</v>
      </c>
      <c r="D285" s="24" t="n">
        <v>1</v>
      </c>
      <c r="E285" s="25" t="n">
        <v>1000</v>
      </c>
      <c r="F285" s="25" t="n">
        <v>300</v>
      </c>
      <c r="G285" s="24" t="s">
        <v>59</v>
      </c>
      <c r="H285" s="24" t="s">
        <v>60</v>
      </c>
      <c r="I285" s="28" t="n">
        <f aca="false">IF(A285="","",D285*E285)</f>
        <v>1000</v>
      </c>
      <c r="J285" s="28" t="n">
        <f aca="false">IF(A285="","",D285*F285)</f>
        <v>300</v>
      </c>
      <c r="K285" s="26" t="n">
        <f aca="false">IF(A285="","",YEAR(A285))</f>
        <v>2025</v>
      </c>
      <c r="L285" s="26" t="n">
        <f aca="false">IF(A285="","",MONTH(A285))</f>
        <v>6</v>
      </c>
    </row>
    <row r="286" customFormat="false" ht="15" hidden="false" customHeight="false" outlineLevel="0" collapsed="false">
      <c r="A286" s="23" t="n">
        <v>45820.4347222222</v>
      </c>
      <c r="B286" s="24" t="s">
        <v>1065</v>
      </c>
      <c r="C286" s="24" t="s">
        <v>1066</v>
      </c>
      <c r="D286" s="24" t="n">
        <v>3</v>
      </c>
      <c r="E286" s="25" t="n">
        <v>3000</v>
      </c>
      <c r="F286" s="25" t="n">
        <v>2000</v>
      </c>
      <c r="G286" s="24" t="s">
        <v>59</v>
      </c>
      <c r="H286" s="24" t="s">
        <v>60</v>
      </c>
      <c r="I286" s="28" t="n">
        <f aca="false">IF(A286="","",D286*E286)</f>
        <v>9000</v>
      </c>
      <c r="J286" s="28" t="n">
        <f aca="false">IF(A286="","",D286*F286)</f>
        <v>6000</v>
      </c>
      <c r="K286" s="26" t="n">
        <f aca="false">IF(A286="","",YEAR(A286))</f>
        <v>2025</v>
      </c>
      <c r="L286" s="26" t="n">
        <f aca="false">IF(A286="","",MONTH(A286))</f>
        <v>6</v>
      </c>
    </row>
    <row r="287" customFormat="false" ht="15" hidden="false" customHeight="false" outlineLevel="0" collapsed="false">
      <c r="A287" s="23" t="n">
        <v>45820.5423611111</v>
      </c>
      <c r="B287" s="24" t="s">
        <v>1065</v>
      </c>
      <c r="C287" s="24" t="s">
        <v>1066</v>
      </c>
      <c r="D287" s="24" t="n">
        <v>1</v>
      </c>
      <c r="E287" s="25" t="n">
        <v>3000</v>
      </c>
      <c r="F287" s="25" t="n">
        <v>2000</v>
      </c>
      <c r="G287" s="24" t="s">
        <v>59</v>
      </c>
      <c r="H287" s="24" t="s">
        <v>60</v>
      </c>
      <c r="I287" s="28" t="n">
        <f aca="false">IF(A287="","",D287*E287)</f>
        <v>3000</v>
      </c>
      <c r="J287" s="28" t="n">
        <f aca="false">IF(A287="","",D287*F287)</f>
        <v>2000</v>
      </c>
      <c r="K287" s="26" t="n">
        <f aca="false">IF(A287="","",YEAR(A287))</f>
        <v>2025</v>
      </c>
      <c r="L287" s="26" t="n">
        <f aca="false">IF(A287="","",MONTH(A287))</f>
        <v>6</v>
      </c>
    </row>
    <row r="288" customFormat="false" ht="15" hidden="false" customHeight="false" outlineLevel="0" collapsed="false">
      <c r="A288" s="23" t="n">
        <v>45820.6208333333</v>
      </c>
      <c r="B288" s="24" t="s">
        <v>1069</v>
      </c>
      <c r="C288" s="24" t="s">
        <v>1070</v>
      </c>
      <c r="D288" s="24" t="n">
        <v>1</v>
      </c>
      <c r="E288" s="25" t="n">
        <v>4500</v>
      </c>
      <c r="F288" s="25" t="n">
        <v>3000</v>
      </c>
      <c r="G288" s="24" t="s">
        <v>69</v>
      </c>
      <c r="H288" s="24" t="s">
        <v>80</v>
      </c>
      <c r="I288" s="28" t="n">
        <f aca="false">IF(A288="","",D288*E288)</f>
        <v>4500</v>
      </c>
      <c r="J288" s="28" t="n">
        <f aca="false">IF(A288="","",D288*F288)</f>
        <v>3000</v>
      </c>
      <c r="K288" s="26" t="n">
        <f aca="false">IF(A288="","",YEAR(A288))</f>
        <v>2025</v>
      </c>
      <c r="L288" s="26" t="n">
        <f aca="false">IF(A288="","",MONTH(A288))</f>
        <v>6</v>
      </c>
    </row>
    <row r="289" customFormat="false" ht="15" hidden="false" customHeight="false" outlineLevel="0" collapsed="false">
      <c r="A289" s="23" t="n">
        <v>45821.6986111111</v>
      </c>
      <c r="B289" s="24" t="s">
        <v>1069</v>
      </c>
      <c r="C289" s="24" t="s">
        <v>1070</v>
      </c>
      <c r="D289" s="24" t="n">
        <v>1</v>
      </c>
      <c r="E289" s="25" t="n">
        <v>4500</v>
      </c>
      <c r="F289" s="25" t="n">
        <v>3000</v>
      </c>
      <c r="G289" s="24" t="s">
        <v>69</v>
      </c>
      <c r="H289" s="24" t="s">
        <v>55</v>
      </c>
      <c r="I289" s="28" t="n">
        <f aca="false">IF(A289="","",D289*E289)</f>
        <v>4500</v>
      </c>
      <c r="J289" s="28" t="n">
        <f aca="false">IF(A289="","",D289*F289)</f>
        <v>3000</v>
      </c>
      <c r="K289" s="26" t="n">
        <f aca="false">IF(A289="","",YEAR(A289))</f>
        <v>2025</v>
      </c>
      <c r="L289" s="26" t="n">
        <f aca="false">IF(A289="","",MONTH(A289))</f>
        <v>6</v>
      </c>
    </row>
    <row r="290" customFormat="false" ht="15" hidden="false" customHeight="false" outlineLevel="0" collapsed="false">
      <c r="A290" s="23" t="n">
        <v>45822.5208333333</v>
      </c>
      <c r="B290" s="24" t="s">
        <v>1067</v>
      </c>
      <c r="C290" s="24" t="s">
        <v>1068</v>
      </c>
      <c r="D290" s="24" t="n">
        <v>1</v>
      </c>
      <c r="E290" s="25" t="n">
        <v>4000</v>
      </c>
      <c r="F290" s="25" t="n">
        <v>2600</v>
      </c>
      <c r="G290" s="24" t="s">
        <v>69</v>
      </c>
      <c r="H290" s="24" t="s">
        <v>60</v>
      </c>
      <c r="I290" s="28" t="n">
        <f aca="false">IF(A290="","",D290*E290)</f>
        <v>4000</v>
      </c>
      <c r="J290" s="28" t="n">
        <f aca="false">IF(A290="","",D290*F290)</f>
        <v>2600</v>
      </c>
      <c r="K290" s="26" t="n">
        <f aca="false">IF(A290="","",YEAR(A290))</f>
        <v>2025</v>
      </c>
      <c r="L290" s="26" t="n">
        <f aca="false">IF(A290="","",MONTH(A290))</f>
        <v>6</v>
      </c>
    </row>
    <row r="291" customFormat="false" ht="15" hidden="false" customHeight="false" outlineLevel="0" collapsed="false">
      <c r="A291" s="23" t="n">
        <v>45822.8805555556</v>
      </c>
      <c r="B291" s="24" t="s">
        <v>1067</v>
      </c>
      <c r="C291" s="24" t="s">
        <v>1068</v>
      </c>
      <c r="D291" s="24" t="n">
        <v>3</v>
      </c>
      <c r="E291" s="25" t="n">
        <v>4000</v>
      </c>
      <c r="F291" s="25" t="n">
        <v>2600</v>
      </c>
      <c r="G291" s="24" t="s">
        <v>59</v>
      </c>
      <c r="H291" s="24" t="s">
        <v>55</v>
      </c>
      <c r="I291" s="28" t="n">
        <f aca="false">IF(A291="","",D291*E291)</f>
        <v>12000</v>
      </c>
      <c r="J291" s="28" t="n">
        <f aca="false">IF(A291="","",D291*F291)</f>
        <v>7800</v>
      </c>
      <c r="K291" s="26" t="n">
        <f aca="false">IF(A291="","",YEAR(A291))</f>
        <v>2025</v>
      </c>
      <c r="L291" s="26" t="n">
        <f aca="false">IF(A291="","",MONTH(A291))</f>
        <v>6</v>
      </c>
    </row>
    <row r="292" customFormat="false" ht="15" hidden="false" customHeight="false" outlineLevel="0" collapsed="false">
      <c r="A292" s="23" t="n">
        <v>45822.8993055556</v>
      </c>
      <c r="B292" s="24" t="s">
        <v>1079</v>
      </c>
      <c r="C292" s="24" t="s">
        <v>1080</v>
      </c>
      <c r="D292" s="24" t="n">
        <v>3</v>
      </c>
      <c r="E292" s="25" t="n">
        <v>2500</v>
      </c>
      <c r="F292" s="25" t="n">
        <v>1600</v>
      </c>
      <c r="G292" s="24" t="s">
        <v>59</v>
      </c>
      <c r="H292" s="24" t="s">
        <v>80</v>
      </c>
      <c r="I292" s="28" t="n">
        <f aca="false">IF(A292="","",D292*E292)</f>
        <v>7500</v>
      </c>
      <c r="J292" s="28" t="n">
        <f aca="false">IF(A292="","",D292*F292)</f>
        <v>4800</v>
      </c>
      <c r="K292" s="26" t="n">
        <f aca="false">IF(A292="","",YEAR(A292))</f>
        <v>2025</v>
      </c>
      <c r="L292" s="26" t="n">
        <f aca="false">IF(A292="","",MONTH(A292))</f>
        <v>6</v>
      </c>
    </row>
    <row r="293" customFormat="false" ht="15" hidden="false" customHeight="false" outlineLevel="0" collapsed="false">
      <c r="A293" s="23" t="n">
        <v>45823.4576388889</v>
      </c>
      <c r="B293" s="24" t="s">
        <v>1071</v>
      </c>
      <c r="C293" s="24" t="s">
        <v>1072</v>
      </c>
      <c r="D293" s="24" t="n">
        <v>1</v>
      </c>
      <c r="E293" s="25" t="n">
        <v>2000</v>
      </c>
      <c r="F293" s="25" t="n">
        <v>1100</v>
      </c>
      <c r="G293" s="24" t="s">
        <v>59</v>
      </c>
      <c r="H293" s="24" t="s">
        <v>80</v>
      </c>
      <c r="I293" s="28" t="n">
        <f aca="false">IF(A293="","",D293*E293)</f>
        <v>2000</v>
      </c>
      <c r="J293" s="28" t="n">
        <f aca="false">IF(A293="","",D293*F293)</f>
        <v>1100</v>
      </c>
      <c r="K293" s="26" t="n">
        <f aca="false">IF(A293="","",YEAR(A293))</f>
        <v>2025</v>
      </c>
      <c r="L293" s="26" t="n">
        <f aca="false">IF(A293="","",MONTH(A293))</f>
        <v>6</v>
      </c>
    </row>
    <row r="294" customFormat="false" ht="15" hidden="false" customHeight="false" outlineLevel="0" collapsed="false">
      <c r="A294" s="23" t="n">
        <v>45823.6652777778</v>
      </c>
      <c r="B294" s="24" t="s">
        <v>1071</v>
      </c>
      <c r="C294" s="24" t="s">
        <v>1072</v>
      </c>
      <c r="D294" s="24" t="n">
        <v>2</v>
      </c>
      <c r="E294" s="25" t="n">
        <v>2000</v>
      </c>
      <c r="F294" s="25" t="n">
        <v>1100</v>
      </c>
      <c r="G294" s="24" t="s">
        <v>59</v>
      </c>
      <c r="H294" s="24" t="s">
        <v>55</v>
      </c>
      <c r="I294" s="28" t="n">
        <f aca="false">IF(A294="","",D294*E294)</f>
        <v>4000</v>
      </c>
      <c r="J294" s="28" t="n">
        <f aca="false">IF(A294="","",D294*F294)</f>
        <v>2200</v>
      </c>
      <c r="K294" s="26" t="n">
        <f aca="false">IF(A294="","",YEAR(A294))</f>
        <v>2025</v>
      </c>
      <c r="L294" s="26" t="n">
        <f aca="false">IF(A294="","",MONTH(A294))</f>
        <v>6</v>
      </c>
    </row>
    <row r="295" customFormat="false" ht="15" hidden="false" customHeight="false" outlineLevel="0" collapsed="false">
      <c r="A295" s="23" t="n">
        <v>45824.6</v>
      </c>
      <c r="B295" s="24" t="s">
        <v>1081</v>
      </c>
      <c r="C295" s="24" t="s">
        <v>1082</v>
      </c>
      <c r="D295" s="24" t="n">
        <v>1</v>
      </c>
      <c r="E295" s="25" t="n">
        <v>2500</v>
      </c>
      <c r="F295" s="25" t="n">
        <v>1500</v>
      </c>
      <c r="G295" s="24" t="s">
        <v>59</v>
      </c>
      <c r="H295" s="24" t="s">
        <v>60</v>
      </c>
      <c r="I295" s="28" t="n">
        <f aca="false">IF(A295="","",D295*E295)</f>
        <v>2500</v>
      </c>
      <c r="J295" s="28" t="n">
        <f aca="false">IF(A295="","",D295*F295)</f>
        <v>1500</v>
      </c>
      <c r="K295" s="26" t="n">
        <f aca="false">IF(A295="","",YEAR(A295))</f>
        <v>2025</v>
      </c>
      <c r="L295" s="26" t="n">
        <f aca="false">IF(A295="","",MONTH(A295))</f>
        <v>6</v>
      </c>
    </row>
    <row r="296" customFormat="false" ht="15" hidden="false" customHeight="false" outlineLevel="0" collapsed="false">
      <c r="A296" s="23" t="n">
        <v>45824.6034722222</v>
      </c>
      <c r="B296" s="24" t="s">
        <v>1079</v>
      </c>
      <c r="C296" s="24" t="s">
        <v>1080</v>
      </c>
      <c r="D296" s="24" t="n">
        <v>1</v>
      </c>
      <c r="E296" s="25" t="n">
        <v>2500</v>
      </c>
      <c r="F296" s="25" t="n">
        <v>1600</v>
      </c>
      <c r="G296" s="24" t="s">
        <v>59</v>
      </c>
      <c r="H296" s="24" t="s">
        <v>80</v>
      </c>
      <c r="I296" s="28" t="n">
        <f aca="false">IF(A296="","",D296*E296)</f>
        <v>2500</v>
      </c>
      <c r="J296" s="28" t="n">
        <f aca="false">IF(A296="","",D296*F296)</f>
        <v>1600</v>
      </c>
      <c r="K296" s="26" t="n">
        <f aca="false">IF(A296="","",YEAR(A296))</f>
        <v>2025</v>
      </c>
      <c r="L296" s="26" t="n">
        <f aca="false">IF(A296="","",MONTH(A296))</f>
        <v>6</v>
      </c>
    </row>
    <row r="297" customFormat="false" ht="15" hidden="false" customHeight="false" outlineLevel="0" collapsed="false">
      <c r="A297" s="23" t="n">
        <v>45824.8034722222</v>
      </c>
      <c r="B297" s="24" t="s">
        <v>1081</v>
      </c>
      <c r="C297" s="24" t="s">
        <v>1082</v>
      </c>
      <c r="D297" s="24" t="n">
        <v>1</v>
      </c>
      <c r="E297" s="25" t="n">
        <v>2500</v>
      </c>
      <c r="F297" s="25" t="n">
        <v>1500</v>
      </c>
      <c r="G297" s="24" t="s">
        <v>69</v>
      </c>
      <c r="H297" s="24" t="s">
        <v>80</v>
      </c>
      <c r="I297" s="28" t="n">
        <f aca="false">IF(A297="","",D297*E297)</f>
        <v>2500</v>
      </c>
      <c r="J297" s="28" t="n">
        <f aca="false">IF(A297="","",D297*F297)</f>
        <v>1500</v>
      </c>
      <c r="K297" s="26" t="n">
        <f aca="false">IF(A297="","",YEAR(A297))</f>
        <v>2025</v>
      </c>
      <c r="L297" s="26" t="n">
        <f aca="false">IF(A297="","",MONTH(A297))</f>
        <v>6</v>
      </c>
    </row>
    <row r="298" customFormat="false" ht="15" hidden="false" customHeight="false" outlineLevel="0" collapsed="false">
      <c r="A298" s="23" t="n">
        <v>45826.2944444444</v>
      </c>
      <c r="B298" s="24" t="s">
        <v>1075</v>
      </c>
      <c r="C298" s="24" t="s">
        <v>1076</v>
      </c>
      <c r="D298" s="24" t="n">
        <v>3</v>
      </c>
      <c r="E298" s="25" t="n">
        <v>1000</v>
      </c>
      <c r="F298" s="25" t="n">
        <v>300</v>
      </c>
      <c r="G298" s="24" t="s">
        <v>59</v>
      </c>
      <c r="H298" s="24" t="s">
        <v>55</v>
      </c>
      <c r="I298" s="28" t="n">
        <f aca="false">IF(A298="","",D298*E298)</f>
        <v>3000</v>
      </c>
      <c r="J298" s="28" t="n">
        <f aca="false">IF(A298="","",D298*F298)</f>
        <v>900</v>
      </c>
      <c r="K298" s="26" t="n">
        <f aca="false">IF(A298="","",YEAR(A298))</f>
        <v>2025</v>
      </c>
      <c r="L298" s="26" t="n">
        <f aca="false">IF(A298="","",MONTH(A298))</f>
        <v>6</v>
      </c>
    </row>
    <row r="299" customFormat="false" ht="15" hidden="false" customHeight="false" outlineLevel="0" collapsed="false">
      <c r="A299" s="23" t="n">
        <v>45826.7430555556</v>
      </c>
      <c r="B299" s="24" t="s">
        <v>1081</v>
      </c>
      <c r="C299" s="24" t="s">
        <v>1082</v>
      </c>
      <c r="D299" s="24" t="n">
        <v>1</v>
      </c>
      <c r="E299" s="25" t="n">
        <v>2500</v>
      </c>
      <c r="F299" s="25" t="n">
        <v>1500</v>
      </c>
      <c r="G299" s="24" t="s">
        <v>59</v>
      </c>
      <c r="H299" s="24" t="s">
        <v>60</v>
      </c>
      <c r="I299" s="28" t="n">
        <f aca="false">IF(A299="","",D299*E299)</f>
        <v>2500</v>
      </c>
      <c r="J299" s="28" t="n">
        <f aca="false">IF(A299="","",D299*F299)</f>
        <v>1500</v>
      </c>
      <c r="K299" s="26" t="n">
        <f aca="false">IF(A299="","",YEAR(A299))</f>
        <v>2025</v>
      </c>
      <c r="L299" s="26" t="n">
        <f aca="false">IF(A299="","",MONTH(A299))</f>
        <v>6</v>
      </c>
    </row>
    <row r="300" customFormat="false" ht="15" hidden="false" customHeight="false" outlineLevel="0" collapsed="false">
      <c r="A300" s="23" t="n">
        <v>45826.7638888889</v>
      </c>
      <c r="B300" s="24" t="s">
        <v>1077</v>
      </c>
      <c r="C300" s="24" t="s">
        <v>1078</v>
      </c>
      <c r="D300" s="24" t="n">
        <v>1</v>
      </c>
      <c r="E300" s="25" t="n">
        <v>1500</v>
      </c>
      <c r="F300" s="25" t="n">
        <v>900</v>
      </c>
      <c r="G300" s="24" t="s">
        <v>69</v>
      </c>
      <c r="H300" s="24" t="s">
        <v>80</v>
      </c>
      <c r="I300" s="28" t="n">
        <f aca="false">IF(A300="","",D300*E300)</f>
        <v>1500</v>
      </c>
      <c r="J300" s="28" t="n">
        <f aca="false">IF(A300="","",D300*F300)</f>
        <v>900</v>
      </c>
      <c r="K300" s="26" t="n">
        <f aca="false">IF(A300="","",YEAR(A300))</f>
        <v>2025</v>
      </c>
      <c r="L300" s="26" t="n">
        <f aca="false">IF(A300="","",MONTH(A300))</f>
        <v>6</v>
      </c>
    </row>
    <row r="301" customFormat="false" ht="15" hidden="false" customHeight="false" outlineLevel="0" collapsed="false">
      <c r="A301" s="23" t="n">
        <v>45826.9090277778</v>
      </c>
      <c r="B301" s="24" t="s">
        <v>1081</v>
      </c>
      <c r="C301" s="24" t="s">
        <v>1082</v>
      </c>
      <c r="D301" s="24" t="n">
        <v>1</v>
      </c>
      <c r="E301" s="25" t="n">
        <v>2500</v>
      </c>
      <c r="F301" s="25" t="n">
        <v>1500</v>
      </c>
      <c r="G301" s="24" t="s">
        <v>59</v>
      </c>
      <c r="H301" s="24" t="s">
        <v>55</v>
      </c>
      <c r="I301" s="28" t="n">
        <f aca="false">IF(A301="","",D301*E301)</f>
        <v>2500</v>
      </c>
      <c r="J301" s="28" t="n">
        <f aca="false">IF(A301="","",D301*F301)</f>
        <v>1500</v>
      </c>
      <c r="K301" s="26" t="n">
        <f aca="false">IF(A301="","",YEAR(A301))</f>
        <v>2025</v>
      </c>
      <c r="L301" s="26" t="n">
        <f aca="false">IF(A301="","",MONTH(A301))</f>
        <v>6</v>
      </c>
    </row>
    <row r="302" customFormat="false" ht="15" hidden="false" customHeight="false" outlineLevel="0" collapsed="false">
      <c r="A302" s="23" t="n">
        <v>45827.3020833333</v>
      </c>
      <c r="B302" s="24" t="s">
        <v>1065</v>
      </c>
      <c r="C302" s="24" t="s">
        <v>1066</v>
      </c>
      <c r="D302" s="24" t="n">
        <v>3</v>
      </c>
      <c r="E302" s="25" t="n">
        <v>3000</v>
      </c>
      <c r="F302" s="25" t="n">
        <v>2000</v>
      </c>
      <c r="G302" s="24" t="s">
        <v>59</v>
      </c>
      <c r="H302" s="24" t="s">
        <v>55</v>
      </c>
      <c r="I302" s="28" t="n">
        <f aca="false">IF(A302="","",D302*E302)</f>
        <v>9000</v>
      </c>
      <c r="J302" s="28" t="n">
        <f aca="false">IF(A302="","",D302*F302)</f>
        <v>6000</v>
      </c>
      <c r="K302" s="26" t="n">
        <f aca="false">IF(A302="","",YEAR(A302))</f>
        <v>2025</v>
      </c>
      <c r="L302" s="26" t="n">
        <f aca="false">IF(A302="","",MONTH(A302))</f>
        <v>6</v>
      </c>
    </row>
    <row r="303" customFormat="false" ht="15" hidden="false" customHeight="false" outlineLevel="0" collapsed="false">
      <c r="A303" s="23" t="n">
        <v>45828.5076388889</v>
      </c>
      <c r="B303" s="24" t="s">
        <v>1077</v>
      </c>
      <c r="C303" s="24" t="s">
        <v>1078</v>
      </c>
      <c r="D303" s="24" t="n">
        <v>3</v>
      </c>
      <c r="E303" s="25" t="n">
        <v>1500</v>
      </c>
      <c r="F303" s="25" t="n">
        <v>900</v>
      </c>
      <c r="G303" s="24" t="s">
        <v>69</v>
      </c>
      <c r="H303" s="24" t="s">
        <v>55</v>
      </c>
      <c r="I303" s="28" t="n">
        <f aca="false">IF(A303="","",D303*E303)</f>
        <v>4500</v>
      </c>
      <c r="J303" s="28" t="n">
        <f aca="false">IF(A303="","",D303*F303)</f>
        <v>2700</v>
      </c>
      <c r="K303" s="26" t="n">
        <f aca="false">IF(A303="","",YEAR(A303))</f>
        <v>2025</v>
      </c>
      <c r="L303" s="26" t="n">
        <f aca="false">IF(A303="","",MONTH(A303))</f>
        <v>6</v>
      </c>
    </row>
    <row r="304" customFormat="false" ht="15" hidden="false" customHeight="false" outlineLevel="0" collapsed="false">
      <c r="A304" s="23" t="n">
        <v>45829.9138888889</v>
      </c>
      <c r="B304" s="24" t="s">
        <v>1077</v>
      </c>
      <c r="C304" s="24" t="s">
        <v>1078</v>
      </c>
      <c r="D304" s="24" t="n">
        <v>2</v>
      </c>
      <c r="E304" s="25" t="n">
        <v>1500</v>
      </c>
      <c r="F304" s="25" t="n">
        <v>900</v>
      </c>
      <c r="G304" s="24" t="s">
        <v>59</v>
      </c>
      <c r="H304" s="24" t="s">
        <v>80</v>
      </c>
      <c r="I304" s="28" t="n">
        <f aca="false">IF(A304="","",D304*E304)</f>
        <v>3000</v>
      </c>
      <c r="J304" s="28" t="n">
        <f aca="false">IF(A304="","",D304*F304)</f>
        <v>1800</v>
      </c>
      <c r="K304" s="26" t="n">
        <f aca="false">IF(A304="","",YEAR(A304))</f>
        <v>2025</v>
      </c>
      <c r="L304" s="26" t="n">
        <f aca="false">IF(A304="","",MONTH(A304))</f>
        <v>6</v>
      </c>
    </row>
    <row r="305" customFormat="false" ht="15" hidden="false" customHeight="false" outlineLevel="0" collapsed="false">
      <c r="A305" s="23" t="n">
        <v>45830.4048611111</v>
      </c>
      <c r="B305" s="24" t="s">
        <v>1071</v>
      </c>
      <c r="C305" s="24" t="s">
        <v>1072</v>
      </c>
      <c r="D305" s="24" t="n">
        <v>2</v>
      </c>
      <c r="E305" s="25" t="n">
        <v>2000</v>
      </c>
      <c r="F305" s="25" t="n">
        <v>1100</v>
      </c>
      <c r="G305" s="24" t="s">
        <v>59</v>
      </c>
      <c r="H305" s="24" t="s">
        <v>55</v>
      </c>
      <c r="I305" s="28" t="n">
        <f aca="false">IF(A305="","",D305*E305)</f>
        <v>4000</v>
      </c>
      <c r="J305" s="28" t="n">
        <f aca="false">IF(A305="","",D305*F305)</f>
        <v>2200</v>
      </c>
      <c r="K305" s="26" t="n">
        <f aca="false">IF(A305="","",YEAR(A305))</f>
        <v>2025</v>
      </c>
      <c r="L305" s="26" t="n">
        <f aca="false">IF(A305="","",MONTH(A305))</f>
        <v>6</v>
      </c>
    </row>
    <row r="306" customFormat="false" ht="15" hidden="false" customHeight="false" outlineLevel="0" collapsed="false">
      <c r="A306" s="23" t="n">
        <v>45830.8076388889</v>
      </c>
      <c r="B306" s="24" t="s">
        <v>1073</v>
      </c>
      <c r="C306" s="24" t="s">
        <v>1074</v>
      </c>
      <c r="D306" s="24" t="n">
        <v>1</v>
      </c>
      <c r="E306" s="25" t="n">
        <v>7000</v>
      </c>
      <c r="F306" s="25" t="n">
        <v>4800</v>
      </c>
      <c r="G306" s="24" t="s">
        <v>59</v>
      </c>
      <c r="H306" s="24" t="s">
        <v>55</v>
      </c>
      <c r="I306" s="28" t="n">
        <f aca="false">IF(A306="","",D306*E306)</f>
        <v>7000</v>
      </c>
      <c r="J306" s="28" t="n">
        <f aca="false">IF(A306="","",D306*F306)</f>
        <v>4800</v>
      </c>
      <c r="K306" s="26" t="n">
        <f aca="false">IF(A306="","",YEAR(A306))</f>
        <v>2025</v>
      </c>
      <c r="L306" s="26" t="n">
        <f aca="false">IF(A306="","",MONTH(A306))</f>
        <v>6</v>
      </c>
    </row>
    <row r="307" customFormat="false" ht="15" hidden="false" customHeight="false" outlineLevel="0" collapsed="false">
      <c r="A307" s="23" t="n">
        <v>45831.325</v>
      </c>
      <c r="B307" s="24" t="s">
        <v>1079</v>
      </c>
      <c r="C307" s="24" t="s">
        <v>1080</v>
      </c>
      <c r="D307" s="24" t="n">
        <v>1</v>
      </c>
      <c r="E307" s="25" t="n">
        <v>2500</v>
      </c>
      <c r="F307" s="25" t="n">
        <v>1600</v>
      </c>
      <c r="G307" s="24" t="s">
        <v>59</v>
      </c>
      <c r="H307" s="24" t="s">
        <v>60</v>
      </c>
      <c r="I307" s="28" t="n">
        <f aca="false">IF(A307="","",D307*E307)</f>
        <v>2500</v>
      </c>
      <c r="J307" s="28" t="n">
        <f aca="false">IF(A307="","",D307*F307)</f>
        <v>1600</v>
      </c>
      <c r="K307" s="26" t="n">
        <f aca="false">IF(A307="","",YEAR(A307))</f>
        <v>2025</v>
      </c>
      <c r="L307" s="26" t="n">
        <f aca="false">IF(A307="","",MONTH(A307))</f>
        <v>6</v>
      </c>
    </row>
    <row r="308" customFormat="false" ht="15" hidden="false" customHeight="false" outlineLevel="0" collapsed="false">
      <c r="A308" s="23" t="n">
        <v>45834.4243055556</v>
      </c>
      <c r="B308" s="24" t="s">
        <v>1077</v>
      </c>
      <c r="C308" s="24" t="s">
        <v>1078</v>
      </c>
      <c r="D308" s="24" t="n">
        <v>3</v>
      </c>
      <c r="E308" s="25" t="n">
        <v>1500</v>
      </c>
      <c r="F308" s="25" t="n">
        <v>900</v>
      </c>
      <c r="G308" s="24" t="s">
        <v>69</v>
      </c>
      <c r="H308" s="24" t="s">
        <v>55</v>
      </c>
      <c r="I308" s="28" t="n">
        <f aca="false">IF(A308="","",D308*E308)</f>
        <v>4500</v>
      </c>
      <c r="J308" s="28" t="n">
        <f aca="false">IF(A308="","",D308*F308)</f>
        <v>2700</v>
      </c>
      <c r="K308" s="26" t="n">
        <f aca="false">IF(A308="","",YEAR(A308))</f>
        <v>2025</v>
      </c>
      <c r="L308" s="26" t="n">
        <f aca="false">IF(A308="","",MONTH(A308))</f>
        <v>6</v>
      </c>
    </row>
    <row r="309" customFormat="false" ht="15" hidden="false" customHeight="false" outlineLevel="0" collapsed="false">
      <c r="A309" s="23" t="n">
        <v>45835.7708333333</v>
      </c>
      <c r="B309" s="24" t="s">
        <v>1067</v>
      </c>
      <c r="C309" s="24" t="s">
        <v>1068</v>
      </c>
      <c r="D309" s="24" t="n">
        <v>1</v>
      </c>
      <c r="E309" s="25" t="n">
        <v>4000</v>
      </c>
      <c r="F309" s="25" t="n">
        <v>2600</v>
      </c>
      <c r="G309" s="24" t="s">
        <v>59</v>
      </c>
      <c r="H309" s="24" t="s">
        <v>55</v>
      </c>
      <c r="I309" s="28" t="n">
        <f aca="false">IF(A309="","",D309*E309)</f>
        <v>4000</v>
      </c>
      <c r="J309" s="28" t="n">
        <f aca="false">IF(A309="","",D309*F309)</f>
        <v>2600</v>
      </c>
      <c r="K309" s="26" t="n">
        <f aca="false">IF(A309="","",YEAR(A309))</f>
        <v>2025</v>
      </c>
      <c r="L309" s="26" t="n">
        <f aca="false">IF(A309="","",MONTH(A309))</f>
        <v>6</v>
      </c>
    </row>
    <row r="310" customFormat="false" ht="15" hidden="false" customHeight="false" outlineLevel="0" collapsed="false">
      <c r="A310" s="23" t="n">
        <v>45835.7736111111</v>
      </c>
      <c r="B310" s="24" t="s">
        <v>1071</v>
      </c>
      <c r="C310" s="24" t="s">
        <v>1072</v>
      </c>
      <c r="D310" s="24" t="n">
        <v>1</v>
      </c>
      <c r="E310" s="25" t="n">
        <v>2000</v>
      </c>
      <c r="F310" s="25" t="n">
        <v>1100</v>
      </c>
      <c r="G310" s="24" t="s">
        <v>59</v>
      </c>
      <c r="H310" s="24" t="s">
        <v>60</v>
      </c>
      <c r="I310" s="28" t="n">
        <f aca="false">IF(A310="","",D310*E310)</f>
        <v>2000</v>
      </c>
      <c r="J310" s="28" t="n">
        <f aca="false">IF(A310="","",D310*F310)</f>
        <v>1100</v>
      </c>
      <c r="K310" s="26" t="n">
        <f aca="false">IF(A310="","",YEAR(A310))</f>
        <v>2025</v>
      </c>
      <c r="L310" s="26" t="n">
        <f aca="false">IF(A310="","",MONTH(A310))</f>
        <v>6</v>
      </c>
    </row>
    <row r="311" customFormat="false" ht="15" hidden="false" customHeight="false" outlineLevel="0" collapsed="false">
      <c r="A311" s="23" t="n">
        <v>45835.8576388889</v>
      </c>
      <c r="B311" s="24" t="s">
        <v>1069</v>
      </c>
      <c r="C311" s="24" t="s">
        <v>1070</v>
      </c>
      <c r="D311" s="24" t="n">
        <v>2</v>
      </c>
      <c r="E311" s="25" t="n">
        <v>4500</v>
      </c>
      <c r="F311" s="25" t="n">
        <v>3000</v>
      </c>
      <c r="G311" s="24" t="s">
        <v>59</v>
      </c>
      <c r="H311" s="24" t="s">
        <v>55</v>
      </c>
      <c r="I311" s="28" t="n">
        <f aca="false">IF(A311="","",D311*E311)</f>
        <v>9000</v>
      </c>
      <c r="J311" s="28" t="n">
        <f aca="false">IF(A311="","",D311*F311)</f>
        <v>6000</v>
      </c>
      <c r="K311" s="26" t="n">
        <f aca="false">IF(A311="","",YEAR(A311))</f>
        <v>2025</v>
      </c>
      <c r="L311" s="26" t="n">
        <f aca="false">IF(A311="","",MONTH(A311))</f>
        <v>6</v>
      </c>
    </row>
    <row r="312" customFormat="false" ht="15" hidden="false" customHeight="false" outlineLevel="0" collapsed="false">
      <c r="A312" s="23" t="n">
        <v>45836.3847222222</v>
      </c>
      <c r="B312" s="24" t="s">
        <v>1077</v>
      </c>
      <c r="C312" s="24" t="s">
        <v>1078</v>
      </c>
      <c r="D312" s="24" t="n">
        <v>1</v>
      </c>
      <c r="E312" s="25" t="n">
        <v>1500</v>
      </c>
      <c r="F312" s="25" t="n">
        <v>900</v>
      </c>
      <c r="G312" s="24" t="s">
        <v>59</v>
      </c>
      <c r="H312" s="24" t="s">
        <v>55</v>
      </c>
      <c r="I312" s="28" t="n">
        <f aca="false">IF(A312="","",D312*E312)</f>
        <v>1500</v>
      </c>
      <c r="J312" s="28" t="n">
        <f aca="false">IF(A312="","",D312*F312)</f>
        <v>900</v>
      </c>
      <c r="K312" s="26" t="n">
        <f aca="false">IF(A312="","",YEAR(A312))</f>
        <v>2025</v>
      </c>
      <c r="L312" s="26" t="n">
        <f aca="false">IF(A312="","",MONTH(A312))</f>
        <v>6</v>
      </c>
    </row>
    <row r="313" customFormat="false" ht="15" hidden="false" customHeight="false" outlineLevel="0" collapsed="false">
      <c r="A313" s="23" t="n">
        <v>45836.6791666667</v>
      </c>
      <c r="B313" s="24" t="s">
        <v>1081</v>
      </c>
      <c r="C313" s="24" t="s">
        <v>1082</v>
      </c>
      <c r="D313" s="24" t="n">
        <v>2</v>
      </c>
      <c r="E313" s="25" t="n">
        <v>2500</v>
      </c>
      <c r="F313" s="25" t="n">
        <v>1500</v>
      </c>
      <c r="G313" s="24" t="s">
        <v>59</v>
      </c>
      <c r="H313" s="24" t="s">
        <v>55</v>
      </c>
      <c r="I313" s="28" t="n">
        <f aca="false">IF(A313="","",D313*E313)</f>
        <v>5000</v>
      </c>
      <c r="J313" s="28" t="n">
        <f aca="false">IF(A313="","",D313*F313)</f>
        <v>3000</v>
      </c>
      <c r="K313" s="26" t="n">
        <f aca="false">IF(A313="","",YEAR(A313))</f>
        <v>2025</v>
      </c>
      <c r="L313" s="26" t="n">
        <f aca="false">IF(A313="","",MONTH(A313))</f>
        <v>6</v>
      </c>
    </row>
    <row r="314" customFormat="false" ht="15" hidden="false" customHeight="false" outlineLevel="0" collapsed="false">
      <c r="A314" s="23" t="n">
        <v>45836.8895833333</v>
      </c>
      <c r="B314" s="24" t="s">
        <v>1071</v>
      </c>
      <c r="C314" s="24" t="s">
        <v>1072</v>
      </c>
      <c r="D314" s="24" t="n">
        <v>1</v>
      </c>
      <c r="E314" s="25" t="n">
        <v>2000</v>
      </c>
      <c r="F314" s="25" t="n">
        <v>1100</v>
      </c>
      <c r="G314" s="24" t="s">
        <v>69</v>
      </c>
      <c r="H314" s="24" t="s">
        <v>60</v>
      </c>
      <c r="I314" s="28" t="n">
        <f aca="false">IF(A314="","",D314*E314)</f>
        <v>2000</v>
      </c>
      <c r="J314" s="28" t="n">
        <f aca="false">IF(A314="","",D314*F314)</f>
        <v>1100</v>
      </c>
      <c r="K314" s="26" t="n">
        <f aca="false">IF(A314="","",YEAR(A314))</f>
        <v>2025</v>
      </c>
      <c r="L314" s="26" t="n">
        <f aca="false">IF(A314="","",MONTH(A314))</f>
        <v>6</v>
      </c>
    </row>
    <row r="315" customFormat="false" ht="15" hidden="false" customHeight="false" outlineLevel="0" collapsed="false">
      <c r="A315" s="23" t="n">
        <v>45839.4118055556</v>
      </c>
      <c r="B315" s="24" t="s">
        <v>1077</v>
      </c>
      <c r="C315" s="24" t="s">
        <v>1078</v>
      </c>
      <c r="D315" s="24" t="n">
        <v>3</v>
      </c>
      <c r="E315" s="25" t="n">
        <v>1500</v>
      </c>
      <c r="F315" s="25" t="n">
        <v>900</v>
      </c>
      <c r="G315" s="24" t="s">
        <v>59</v>
      </c>
      <c r="H315" s="24" t="s">
        <v>55</v>
      </c>
      <c r="I315" s="28" t="n">
        <f aca="false">IF(A315="","",D315*E315)</f>
        <v>4500</v>
      </c>
      <c r="J315" s="28" t="n">
        <f aca="false">IF(A315="","",D315*F315)</f>
        <v>2700</v>
      </c>
      <c r="K315" s="26" t="n">
        <f aca="false">IF(A315="","",YEAR(A315))</f>
        <v>2025</v>
      </c>
      <c r="L315" s="26" t="n">
        <f aca="false">IF(A315="","",MONTH(A315))</f>
        <v>7</v>
      </c>
    </row>
    <row r="316" customFormat="false" ht="15" hidden="false" customHeight="false" outlineLevel="0" collapsed="false">
      <c r="A316" s="23" t="n">
        <v>45840.3576388889</v>
      </c>
      <c r="B316" s="24" t="s">
        <v>1065</v>
      </c>
      <c r="C316" s="24" t="s">
        <v>1066</v>
      </c>
      <c r="D316" s="24" t="n">
        <v>1</v>
      </c>
      <c r="E316" s="25" t="n">
        <v>3000</v>
      </c>
      <c r="F316" s="25" t="n">
        <v>2000</v>
      </c>
      <c r="G316" s="24" t="s">
        <v>59</v>
      </c>
      <c r="H316" s="24" t="s">
        <v>80</v>
      </c>
      <c r="I316" s="28" t="n">
        <f aca="false">IF(A316="","",D316*E316)</f>
        <v>3000</v>
      </c>
      <c r="J316" s="28" t="n">
        <f aca="false">IF(A316="","",D316*F316)</f>
        <v>2000</v>
      </c>
      <c r="K316" s="26" t="n">
        <f aca="false">IF(A316="","",YEAR(A316))</f>
        <v>2025</v>
      </c>
      <c r="L316" s="26" t="n">
        <f aca="false">IF(A316="","",MONTH(A316))</f>
        <v>7</v>
      </c>
    </row>
    <row r="317" customFormat="false" ht="15" hidden="false" customHeight="false" outlineLevel="0" collapsed="false">
      <c r="A317" s="23" t="n">
        <v>45840.4305555556</v>
      </c>
      <c r="B317" s="24" t="s">
        <v>1065</v>
      </c>
      <c r="C317" s="24" t="s">
        <v>1066</v>
      </c>
      <c r="D317" s="24" t="n">
        <v>1</v>
      </c>
      <c r="E317" s="25" t="n">
        <v>3000</v>
      </c>
      <c r="F317" s="25" t="n">
        <v>2000</v>
      </c>
      <c r="G317" s="24" t="s">
        <v>69</v>
      </c>
      <c r="H317" s="24" t="s">
        <v>55</v>
      </c>
      <c r="I317" s="28" t="n">
        <f aca="false">IF(A317="","",D317*E317)</f>
        <v>3000</v>
      </c>
      <c r="J317" s="28" t="n">
        <f aca="false">IF(A317="","",D317*F317)</f>
        <v>2000</v>
      </c>
      <c r="K317" s="26" t="n">
        <f aca="false">IF(A317="","",YEAR(A317))</f>
        <v>2025</v>
      </c>
      <c r="L317" s="26" t="n">
        <f aca="false">IF(A317="","",MONTH(A317))</f>
        <v>7</v>
      </c>
    </row>
    <row r="318" customFormat="false" ht="15" hidden="false" customHeight="false" outlineLevel="0" collapsed="false">
      <c r="A318" s="23" t="n">
        <v>45840.4506944444</v>
      </c>
      <c r="B318" s="24" t="s">
        <v>1065</v>
      </c>
      <c r="C318" s="24" t="s">
        <v>1066</v>
      </c>
      <c r="D318" s="24" t="n">
        <v>1</v>
      </c>
      <c r="E318" s="25" t="n">
        <v>3000</v>
      </c>
      <c r="F318" s="25" t="n">
        <v>2000</v>
      </c>
      <c r="G318" s="24" t="s">
        <v>69</v>
      </c>
      <c r="H318" s="24" t="s">
        <v>80</v>
      </c>
      <c r="I318" s="28" t="n">
        <f aca="false">IF(A318="","",D318*E318)</f>
        <v>3000</v>
      </c>
      <c r="J318" s="28" t="n">
        <f aca="false">IF(A318="","",D318*F318)</f>
        <v>2000</v>
      </c>
      <c r="K318" s="26" t="n">
        <f aca="false">IF(A318="","",YEAR(A318))</f>
        <v>2025</v>
      </c>
      <c r="L318" s="26" t="n">
        <f aca="false">IF(A318="","",MONTH(A318))</f>
        <v>7</v>
      </c>
    </row>
    <row r="319" customFormat="false" ht="15" hidden="false" customHeight="false" outlineLevel="0" collapsed="false">
      <c r="A319" s="23" t="n">
        <v>45840.8597222222</v>
      </c>
      <c r="B319" s="24" t="s">
        <v>1067</v>
      </c>
      <c r="C319" s="24" t="s">
        <v>1068</v>
      </c>
      <c r="D319" s="24" t="n">
        <v>1</v>
      </c>
      <c r="E319" s="25" t="n">
        <v>4000</v>
      </c>
      <c r="F319" s="25" t="n">
        <v>2600</v>
      </c>
      <c r="G319" s="24" t="s">
        <v>59</v>
      </c>
      <c r="H319" s="24" t="s">
        <v>80</v>
      </c>
      <c r="I319" s="28" t="n">
        <f aca="false">IF(A319="","",D319*E319)</f>
        <v>4000</v>
      </c>
      <c r="J319" s="28" t="n">
        <f aca="false">IF(A319="","",D319*F319)</f>
        <v>2600</v>
      </c>
      <c r="K319" s="26" t="n">
        <f aca="false">IF(A319="","",YEAR(A319))</f>
        <v>2025</v>
      </c>
      <c r="L319" s="26" t="n">
        <f aca="false">IF(A319="","",MONTH(A319))</f>
        <v>7</v>
      </c>
    </row>
    <row r="320" customFormat="false" ht="15" hidden="false" customHeight="false" outlineLevel="0" collapsed="false">
      <c r="A320" s="23" t="n">
        <v>45841.3145833333</v>
      </c>
      <c r="B320" s="24" t="s">
        <v>1065</v>
      </c>
      <c r="C320" s="24" t="s">
        <v>1066</v>
      </c>
      <c r="D320" s="24" t="n">
        <v>2</v>
      </c>
      <c r="E320" s="25" t="n">
        <v>3000</v>
      </c>
      <c r="F320" s="25" t="n">
        <v>2000</v>
      </c>
      <c r="G320" s="24" t="s">
        <v>59</v>
      </c>
      <c r="H320" s="24" t="s">
        <v>55</v>
      </c>
      <c r="I320" s="28" t="n">
        <f aca="false">IF(A320="","",D320*E320)</f>
        <v>6000</v>
      </c>
      <c r="J320" s="28" t="n">
        <f aca="false">IF(A320="","",D320*F320)</f>
        <v>4000</v>
      </c>
      <c r="K320" s="26" t="n">
        <f aca="false">IF(A320="","",YEAR(A320))</f>
        <v>2025</v>
      </c>
      <c r="L320" s="26" t="n">
        <f aca="false">IF(A320="","",MONTH(A320))</f>
        <v>7</v>
      </c>
    </row>
    <row r="321" customFormat="false" ht="15" hidden="false" customHeight="false" outlineLevel="0" collapsed="false">
      <c r="A321" s="23" t="n">
        <v>45842.4159722222</v>
      </c>
      <c r="B321" s="24" t="s">
        <v>1065</v>
      </c>
      <c r="C321" s="24" t="s">
        <v>1066</v>
      </c>
      <c r="D321" s="24" t="n">
        <v>1</v>
      </c>
      <c r="E321" s="25" t="n">
        <v>3000</v>
      </c>
      <c r="F321" s="25" t="n">
        <v>2000</v>
      </c>
      <c r="G321" s="24" t="s">
        <v>59</v>
      </c>
      <c r="H321" s="24" t="s">
        <v>60</v>
      </c>
      <c r="I321" s="28" t="n">
        <f aca="false">IF(A321="","",D321*E321)</f>
        <v>3000</v>
      </c>
      <c r="J321" s="28" t="n">
        <f aca="false">IF(A321="","",D321*F321)</f>
        <v>2000</v>
      </c>
      <c r="K321" s="26" t="n">
        <f aca="false">IF(A321="","",YEAR(A321))</f>
        <v>2025</v>
      </c>
      <c r="L321" s="26" t="n">
        <f aca="false">IF(A321="","",MONTH(A321))</f>
        <v>7</v>
      </c>
    </row>
    <row r="322" customFormat="false" ht="15" hidden="false" customHeight="false" outlineLevel="0" collapsed="false">
      <c r="A322" s="23" t="n">
        <v>45842.8291666667</v>
      </c>
      <c r="B322" s="24" t="s">
        <v>1069</v>
      </c>
      <c r="C322" s="24" t="s">
        <v>1070</v>
      </c>
      <c r="D322" s="24" t="n">
        <v>1</v>
      </c>
      <c r="E322" s="25" t="n">
        <v>4500</v>
      </c>
      <c r="F322" s="25" t="n">
        <v>3000</v>
      </c>
      <c r="G322" s="24" t="s">
        <v>59</v>
      </c>
      <c r="H322" s="24" t="s">
        <v>60</v>
      </c>
      <c r="I322" s="28" t="n">
        <f aca="false">IF(A322="","",D322*E322)</f>
        <v>4500</v>
      </c>
      <c r="J322" s="28" t="n">
        <f aca="false">IF(A322="","",D322*F322)</f>
        <v>3000</v>
      </c>
      <c r="K322" s="26" t="n">
        <f aca="false">IF(A322="","",YEAR(A322))</f>
        <v>2025</v>
      </c>
      <c r="L322" s="26" t="n">
        <f aca="false">IF(A322="","",MONTH(A322))</f>
        <v>7</v>
      </c>
    </row>
    <row r="323" customFormat="false" ht="15" hidden="false" customHeight="false" outlineLevel="0" collapsed="false">
      <c r="A323" s="23" t="n">
        <v>45842.8506944445</v>
      </c>
      <c r="B323" s="24" t="s">
        <v>1075</v>
      </c>
      <c r="C323" s="24" t="s">
        <v>1076</v>
      </c>
      <c r="D323" s="24" t="n">
        <v>1</v>
      </c>
      <c r="E323" s="25" t="n">
        <v>1000</v>
      </c>
      <c r="F323" s="25" t="n">
        <v>300</v>
      </c>
      <c r="G323" s="24" t="s">
        <v>59</v>
      </c>
      <c r="H323" s="24" t="s">
        <v>80</v>
      </c>
      <c r="I323" s="28" t="n">
        <f aca="false">IF(A323="","",D323*E323)</f>
        <v>1000</v>
      </c>
      <c r="J323" s="28" t="n">
        <f aca="false">IF(A323="","",D323*F323)</f>
        <v>300</v>
      </c>
      <c r="K323" s="26" t="n">
        <f aca="false">IF(A323="","",YEAR(A323))</f>
        <v>2025</v>
      </c>
      <c r="L323" s="26" t="n">
        <f aca="false">IF(A323="","",MONTH(A323))</f>
        <v>7</v>
      </c>
    </row>
    <row r="324" customFormat="false" ht="15" hidden="false" customHeight="false" outlineLevel="0" collapsed="false">
      <c r="A324" s="23" t="n">
        <v>45842.8680555556</v>
      </c>
      <c r="B324" s="24" t="s">
        <v>1075</v>
      </c>
      <c r="C324" s="24" t="s">
        <v>1076</v>
      </c>
      <c r="D324" s="24" t="n">
        <v>1</v>
      </c>
      <c r="E324" s="25" t="n">
        <v>1000</v>
      </c>
      <c r="F324" s="25" t="n">
        <v>300</v>
      </c>
      <c r="G324" s="24" t="s">
        <v>59</v>
      </c>
      <c r="H324" s="24" t="s">
        <v>60</v>
      </c>
      <c r="I324" s="28" t="n">
        <f aca="false">IF(A324="","",D324*E324)</f>
        <v>1000</v>
      </c>
      <c r="J324" s="28" t="n">
        <f aca="false">IF(A324="","",D324*F324)</f>
        <v>300</v>
      </c>
      <c r="K324" s="26" t="n">
        <f aca="false">IF(A324="","",YEAR(A324))</f>
        <v>2025</v>
      </c>
      <c r="L324" s="26" t="n">
        <f aca="false">IF(A324="","",MONTH(A324))</f>
        <v>7</v>
      </c>
    </row>
    <row r="325" customFormat="false" ht="15" hidden="false" customHeight="false" outlineLevel="0" collapsed="false">
      <c r="A325" s="23" t="n">
        <v>45843.3402777778</v>
      </c>
      <c r="B325" s="24" t="s">
        <v>1075</v>
      </c>
      <c r="C325" s="24" t="s">
        <v>1076</v>
      </c>
      <c r="D325" s="24" t="n">
        <v>1</v>
      </c>
      <c r="E325" s="25" t="n">
        <v>1000</v>
      </c>
      <c r="F325" s="25" t="n">
        <v>300</v>
      </c>
      <c r="G325" s="24" t="s">
        <v>59</v>
      </c>
      <c r="H325" s="24" t="s">
        <v>55</v>
      </c>
      <c r="I325" s="28" t="n">
        <f aca="false">IF(A325="","",D325*E325)</f>
        <v>1000</v>
      </c>
      <c r="J325" s="28" t="n">
        <f aca="false">IF(A325="","",D325*F325)</f>
        <v>300</v>
      </c>
      <c r="K325" s="26" t="n">
        <f aca="false">IF(A325="","",YEAR(A325))</f>
        <v>2025</v>
      </c>
      <c r="L325" s="26" t="n">
        <f aca="false">IF(A325="","",MONTH(A325))</f>
        <v>7</v>
      </c>
    </row>
    <row r="326" customFormat="false" ht="15" hidden="false" customHeight="false" outlineLevel="0" collapsed="false">
      <c r="A326" s="23" t="n">
        <v>45843.3506944445</v>
      </c>
      <c r="B326" s="24" t="s">
        <v>1081</v>
      </c>
      <c r="C326" s="24" t="s">
        <v>1082</v>
      </c>
      <c r="D326" s="24" t="n">
        <v>3</v>
      </c>
      <c r="E326" s="25" t="n">
        <v>2500</v>
      </c>
      <c r="F326" s="25" t="n">
        <v>1500</v>
      </c>
      <c r="G326" s="24" t="s">
        <v>59</v>
      </c>
      <c r="H326" s="24" t="s">
        <v>60</v>
      </c>
      <c r="I326" s="28" t="n">
        <f aca="false">IF(A326="","",D326*E326)</f>
        <v>7500</v>
      </c>
      <c r="J326" s="28" t="n">
        <f aca="false">IF(A326="","",D326*F326)</f>
        <v>4500</v>
      </c>
      <c r="K326" s="26" t="n">
        <f aca="false">IF(A326="","",YEAR(A326))</f>
        <v>2025</v>
      </c>
      <c r="L326" s="26" t="n">
        <f aca="false">IF(A326="","",MONTH(A326))</f>
        <v>7</v>
      </c>
    </row>
    <row r="327" customFormat="false" ht="15" hidden="false" customHeight="false" outlineLevel="0" collapsed="false">
      <c r="A327" s="23" t="n">
        <v>45844.4270833333</v>
      </c>
      <c r="B327" s="24" t="s">
        <v>1079</v>
      </c>
      <c r="C327" s="24" t="s">
        <v>1080</v>
      </c>
      <c r="D327" s="24" t="n">
        <v>1</v>
      </c>
      <c r="E327" s="25" t="n">
        <v>2500</v>
      </c>
      <c r="F327" s="25" t="n">
        <v>1600</v>
      </c>
      <c r="G327" s="24" t="s">
        <v>59</v>
      </c>
      <c r="H327" s="24" t="s">
        <v>55</v>
      </c>
      <c r="I327" s="28" t="n">
        <f aca="false">IF(A327="","",D327*E327)</f>
        <v>2500</v>
      </c>
      <c r="J327" s="28" t="n">
        <f aca="false">IF(A327="","",D327*F327)</f>
        <v>1600</v>
      </c>
      <c r="K327" s="26" t="n">
        <f aca="false">IF(A327="","",YEAR(A327))</f>
        <v>2025</v>
      </c>
      <c r="L327" s="26" t="n">
        <f aca="false">IF(A327="","",MONTH(A327))</f>
        <v>7</v>
      </c>
    </row>
    <row r="328" customFormat="false" ht="15" hidden="false" customHeight="false" outlineLevel="0" collapsed="false">
      <c r="A328" s="23" t="n">
        <v>45844.6819444444</v>
      </c>
      <c r="B328" s="24" t="s">
        <v>1081</v>
      </c>
      <c r="C328" s="24" t="s">
        <v>1082</v>
      </c>
      <c r="D328" s="24" t="n">
        <v>1</v>
      </c>
      <c r="E328" s="25" t="n">
        <v>2500</v>
      </c>
      <c r="F328" s="25" t="n">
        <v>1500</v>
      </c>
      <c r="G328" s="24" t="s">
        <v>59</v>
      </c>
      <c r="H328" s="24" t="s">
        <v>60</v>
      </c>
      <c r="I328" s="28" t="n">
        <f aca="false">IF(A328="","",D328*E328)</f>
        <v>2500</v>
      </c>
      <c r="J328" s="28" t="n">
        <f aca="false">IF(A328="","",D328*F328)</f>
        <v>1500</v>
      </c>
      <c r="K328" s="26" t="n">
        <f aca="false">IF(A328="","",YEAR(A328))</f>
        <v>2025</v>
      </c>
      <c r="L328" s="26" t="n">
        <f aca="false">IF(A328="","",MONTH(A328))</f>
        <v>7</v>
      </c>
    </row>
    <row r="329" customFormat="false" ht="15" hidden="false" customHeight="false" outlineLevel="0" collapsed="false">
      <c r="A329" s="23" t="n">
        <v>45844.8194444445</v>
      </c>
      <c r="B329" s="24" t="s">
        <v>1067</v>
      </c>
      <c r="C329" s="24" t="s">
        <v>1068</v>
      </c>
      <c r="D329" s="24" t="n">
        <v>1</v>
      </c>
      <c r="E329" s="25" t="n">
        <v>4000</v>
      </c>
      <c r="F329" s="25" t="n">
        <v>2600</v>
      </c>
      <c r="G329" s="24" t="s">
        <v>69</v>
      </c>
      <c r="H329" s="24" t="s">
        <v>60</v>
      </c>
      <c r="I329" s="28" t="n">
        <f aca="false">IF(A329="","",D329*E329)</f>
        <v>4000</v>
      </c>
      <c r="J329" s="28" t="n">
        <f aca="false">IF(A329="","",D329*F329)</f>
        <v>2600</v>
      </c>
      <c r="K329" s="26" t="n">
        <f aca="false">IF(A329="","",YEAR(A329))</f>
        <v>2025</v>
      </c>
      <c r="L329" s="26" t="n">
        <f aca="false">IF(A329="","",MONTH(A329))</f>
        <v>7</v>
      </c>
    </row>
    <row r="330" customFormat="false" ht="15" hidden="false" customHeight="false" outlineLevel="0" collapsed="false">
      <c r="A330" s="23" t="n">
        <v>45844.9159722222</v>
      </c>
      <c r="B330" s="24" t="s">
        <v>1071</v>
      </c>
      <c r="C330" s="24" t="s">
        <v>1072</v>
      </c>
      <c r="D330" s="24" t="n">
        <v>2</v>
      </c>
      <c r="E330" s="25" t="n">
        <v>2000</v>
      </c>
      <c r="F330" s="25" t="n">
        <v>1100</v>
      </c>
      <c r="G330" s="24" t="s">
        <v>59</v>
      </c>
      <c r="H330" s="24" t="s">
        <v>60</v>
      </c>
      <c r="I330" s="28" t="n">
        <f aca="false">IF(A330="","",D330*E330)</f>
        <v>4000</v>
      </c>
      <c r="J330" s="28" t="n">
        <f aca="false">IF(A330="","",D330*F330)</f>
        <v>2200</v>
      </c>
      <c r="K330" s="26" t="n">
        <f aca="false">IF(A330="","",YEAR(A330))</f>
        <v>2025</v>
      </c>
      <c r="L330" s="26" t="n">
        <f aca="false">IF(A330="","",MONTH(A330))</f>
        <v>7</v>
      </c>
    </row>
    <row r="331" customFormat="false" ht="15" hidden="false" customHeight="false" outlineLevel="0" collapsed="false">
      <c r="A331" s="23" t="n">
        <v>45845.4541666667</v>
      </c>
      <c r="B331" s="24" t="s">
        <v>1071</v>
      </c>
      <c r="C331" s="24" t="s">
        <v>1072</v>
      </c>
      <c r="D331" s="24" t="n">
        <v>1</v>
      </c>
      <c r="E331" s="25" t="n">
        <v>2000</v>
      </c>
      <c r="F331" s="25" t="n">
        <v>1100</v>
      </c>
      <c r="G331" s="24" t="s">
        <v>59</v>
      </c>
      <c r="H331" s="24" t="s">
        <v>80</v>
      </c>
      <c r="I331" s="28" t="n">
        <f aca="false">IF(A331="","",D331*E331)</f>
        <v>2000</v>
      </c>
      <c r="J331" s="28" t="n">
        <f aca="false">IF(A331="","",D331*F331)</f>
        <v>1100</v>
      </c>
      <c r="K331" s="26" t="n">
        <f aca="false">IF(A331="","",YEAR(A331))</f>
        <v>2025</v>
      </c>
      <c r="L331" s="26" t="n">
        <f aca="false">IF(A331="","",MONTH(A331))</f>
        <v>7</v>
      </c>
    </row>
    <row r="332" customFormat="false" ht="15" hidden="false" customHeight="false" outlineLevel="0" collapsed="false">
      <c r="A332" s="23" t="n">
        <v>45845.4597222222</v>
      </c>
      <c r="B332" s="24" t="s">
        <v>1065</v>
      </c>
      <c r="C332" s="24" t="s">
        <v>1066</v>
      </c>
      <c r="D332" s="24" t="n">
        <v>2</v>
      </c>
      <c r="E332" s="25" t="n">
        <v>3000</v>
      </c>
      <c r="F332" s="25" t="n">
        <v>2000</v>
      </c>
      <c r="G332" s="24" t="s">
        <v>59</v>
      </c>
      <c r="H332" s="24" t="s">
        <v>55</v>
      </c>
      <c r="I332" s="28" t="n">
        <f aca="false">IF(A332="","",D332*E332)</f>
        <v>6000</v>
      </c>
      <c r="J332" s="28" t="n">
        <f aca="false">IF(A332="","",D332*F332)</f>
        <v>4000</v>
      </c>
      <c r="K332" s="26" t="n">
        <f aca="false">IF(A332="","",YEAR(A332))</f>
        <v>2025</v>
      </c>
      <c r="L332" s="26" t="n">
        <f aca="false">IF(A332="","",MONTH(A332))</f>
        <v>7</v>
      </c>
    </row>
    <row r="333" customFormat="false" ht="15" hidden="false" customHeight="false" outlineLevel="0" collapsed="false">
      <c r="A333" s="23" t="n">
        <v>45845.6465277778</v>
      </c>
      <c r="B333" s="24" t="s">
        <v>1065</v>
      </c>
      <c r="C333" s="24" t="s">
        <v>1066</v>
      </c>
      <c r="D333" s="24" t="n">
        <v>2</v>
      </c>
      <c r="E333" s="25" t="n">
        <v>3000</v>
      </c>
      <c r="F333" s="25" t="n">
        <v>2000</v>
      </c>
      <c r="G333" s="24" t="s">
        <v>59</v>
      </c>
      <c r="H333" s="24" t="s">
        <v>60</v>
      </c>
      <c r="I333" s="28" t="n">
        <f aca="false">IF(A333="","",D333*E333)</f>
        <v>6000</v>
      </c>
      <c r="J333" s="28" t="n">
        <f aca="false">IF(A333="","",D333*F333)</f>
        <v>4000</v>
      </c>
      <c r="K333" s="26" t="n">
        <f aca="false">IF(A333="","",YEAR(A333))</f>
        <v>2025</v>
      </c>
      <c r="L333" s="26" t="n">
        <f aca="false">IF(A333="","",MONTH(A333))</f>
        <v>7</v>
      </c>
    </row>
    <row r="334" customFormat="false" ht="15" hidden="false" customHeight="false" outlineLevel="0" collapsed="false">
      <c r="A334" s="23" t="n">
        <v>45845.6930555556</v>
      </c>
      <c r="B334" s="24" t="s">
        <v>1069</v>
      </c>
      <c r="C334" s="24" t="s">
        <v>1070</v>
      </c>
      <c r="D334" s="24" t="n">
        <v>2</v>
      </c>
      <c r="E334" s="25" t="n">
        <v>4500</v>
      </c>
      <c r="F334" s="25" t="n">
        <v>3000</v>
      </c>
      <c r="G334" s="24" t="s">
        <v>59</v>
      </c>
      <c r="H334" s="24" t="s">
        <v>55</v>
      </c>
      <c r="I334" s="28" t="n">
        <f aca="false">IF(A334="","",D334*E334)</f>
        <v>9000</v>
      </c>
      <c r="J334" s="28" t="n">
        <f aca="false">IF(A334="","",D334*F334)</f>
        <v>6000</v>
      </c>
      <c r="K334" s="26" t="n">
        <f aca="false">IF(A334="","",YEAR(A334))</f>
        <v>2025</v>
      </c>
      <c r="L334" s="26" t="n">
        <f aca="false">IF(A334="","",MONTH(A334))</f>
        <v>7</v>
      </c>
    </row>
    <row r="335" customFormat="false" ht="15" hidden="false" customHeight="false" outlineLevel="0" collapsed="false">
      <c r="A335" s="23" t="n">
        <v>45846.4152777778</v>
      </c>
      <c r="B335" s="24" t="s">
        <v>1067</v>
      </c>
      <c r="C335" s="24" t="s">
        <v>1068</v>
      </c>
      <c r="D335" s="24" t="n">
        <v>1</v>
      </c>
      <c r="E335" s="25" t="n">
        <v>4000</v>
      </c>
      <c r="F335" s="25" t="n">
        <v>2600</v>
      </c>
      <c r="G335" s="24" t="s">
        <v>59</v>
      </c>
      <c r="H335" s="24" t="s">
        <v>60</v>
      </c>
      <c r="I335" s="28" t="n">
        <f aca="false">IF(A335="","",D335*E335)</f>
        <v>4000</v>
      </c>
      <c r="J335" s="28" t="n">
        <f aca="false">IF(A335="","",D335*F335)</f>
        <v>2600</v>
      </c>
      <c r="K335" s="26" t="n">
        <f aca="false">IF(A335="","",YEAR(A335))</f>
        <v>2025</v>
      </c>
      <c r="L335" s="26" t="n">
        <f aca="false">IF(A335="","",MONTH(A335))</f>
        <v>7</v>
      </c>
    </row>
    <row r="336" customFormat="false" ht="15" hidden="false" customHeight="false" outlineLevel="0" collapsed="false">
      <c r="A336" s="23" t="n">
        <v>45846.7631944444</v>
      </c>
      <c r="B336" s="24" t="s">
        <v>1077</v>
      </c>
      <c r="C336" s="24" t="s">
        <v>1078</v>
      </c>
      <c r="D336" s="24" t="n">
        <v>1</v>
      </c>
      <c r="E336" s="25" t="n">
        <v>1500</v>
      </c>
      <c r="F336" s="25" t="n">
        <v>900</v>
      </c>
      <c r="G336" s="24" t="s">
        <v>59</v>
      </c>
      <c r="H336" s="24" t="s">
        <v>55</v>
      </c>
      <c r="I336" s="28" t="n">
        <f aca="false">IF(A336="","",D336*E336)</f>
        <v>1500</v>
      </c>
      <c r="J336" s="28" t="n">
        <f aca="false">IF(A336="","",D336*F336)</f>
        <v>900</v>
      </c>
      <c r="K336" s="26" t="n">
        <f aca="false">IF(A336="","",YEAR(A336))</f>
        <v>2025</v>
      </c>
      <c r="L336" s="26" t="n">
        <f aca="false">IF(A336="","",MONTH(A336))</f>
        <v>7</v>
      </c>
    </row>
    <row r="337" customFormat="false" ht="15" hidden="false" customHeight="false" outlineLevel="0" collapsed="false">
      <c r="A337" s="23" t="n">
        <v>45846.7673611111</v>
      </c>
      <c r="B337" s="24" t="s">
        <v>1075</v>
      </c>
      <c r="C337" s="24" t="s">
        <v>1076</v>
      </c>
      <c r="D337" s="24" t="n">
        <v>1</v>
      </c>
      <c r="E337" s="25" t="n">
        <v>1000</v>
      </c>
      <c r="F337" s="25" t="n">
        <v>300</v>
      </c>
      <c r="G337" s="24" t="s">
        <v>59</v>
      </c>
      <c r="H337" s="24" t="s">
        <v>55</v>
      </c>
      <c r="I337" s="28" t="n">
        <f aca="false">IF(A337="","",D337*E337)</f>
        <v>1000</v>
      </c>
      <c r="J337" s="28" t="n">
        <f aca="false">IF(A337="","",D337*F337)</f>
        <v>300</v>
      </c>
      <c r="K337" s="26" t="n">
        <f aca="false">IF(A337="","",YEAR(A337))</f>
        <v>2025</v>
      </c>
      <c r="L337" s="26" t="n">
        <f aca="false">IF(A337="","",MONTH(A337))</f>
        <v>7</v>
      </c>
    </row>
    <row r="338" customFormat="false" ht="15" hidden="false" customHeight="false" outlineLevel="0" collapsed="false">
      <c r="A338" s="23" t="n">
        <v>45846.8465277778</v>
      </c>
      <c r="B338" s="24" t="s">
        <v>1065</v>
      </c>
      <c r="C338" s="24" t="s">
        <v>1066</v>
      </c>
      <c r="D338" s="24" t="n">
        <v>1</v>
      </c>
      <c r="E338" s="25" t="n">
        <v>3000</v>
      </c>
      <c r="F338" s="25" t="n">
        <v>2000</v>
      </c>
      <c r="G338" s="24" t="s">
        <v>69</v>
      </c>
      <c r="H338" s="24" t="s">
        <v>60</v>
      </c>
      <c r="I338" s="28" t="n">
        <f aca="false">IF(A338="","",D338*E338)</f>
        <v>3000</v>
      </c>
      <c r="J338" s="28" t="n">
        <f aca="false">IF(A338="","",D338*F338)</f>
        <v>2000</v>
      </c>
      <c r="K338" s="26" t="n">
        <f aca="false">IF(A338="","",YEAR(A338))</f>
        <v>2025</v>
      </c>
      <c r="L338" s="26" t="n">
        <f aca="false">IF(A338="","",MONTH(A338))</f>
        <v>7</v>
      </c>
    </row>
    <row r="339" customFormat="false" ht="15" hidden="false" customHeight="false" outlineLevel="0" collapsed="false">
      <c r="A339" s="23" t="n">
        <v>45847.4673611111</v>
      </c>
      <c r="B339" s="24" t="s">
        <v>1069</v>
      </c>
      <c r="C339" s="24" t="s">
        <v>1070</v>
      </c>
      <c r="D339" s="24" t="n">
        <v>3</v>
      </c>
      <c r="E339" s="25" t="n">
        <v>4500</v>
      </c>
      <c r="F339" s="25" t="n">
        <v>3000</v>
      </c>
      <c r="G339" s="24" t="s">
        <v>69</v>
      </c>
      <c r="H339" s="24" t="s">
        <v>60</v>
      </c>
      <c r="I339" s="28" t="n">
        <f aca="false">IF(A339="","",D339*E339)</f>
        <v>13500</v>
      </c>
      <c r="J339" s="28" t="n">
        <f aca="false">IF(A339="","",D339*F339)</f>
        <v>9000</v>
      </c>
      <c r="K339" s="26" t="n">
        <f aca="false">IF(A339="","",YEAR(A339))</f>
        <v>2025</v>
      </c>
      <c r="L339" s="26" t="n">
        <f aca="false">IF(A339="","",MONTH(A339))</f>
        <v>7</v>
      </c>
    </row>
    <row r="340" customFormat="false" ht="15" hidden="false" customHeight="false" outlineLevel="0" collapsed="false">
      <c r="A340" s="23" t="n">
        <v>45847.7590277778</v>
      </c>
      <c r="B340" s="24" t="s">
        <v>1081</v>
      </c>
      <c r="C340" s="24" t="s">
        <v>1082</v>
      </c>
      <c r="D340" s="24" t="n">
        <v>1</v>
      </c>
      <c r="E340" s="25" t="n">
        <v>2500</v>
      </c>
      <c r="F340" s="25" t="n">
        <v>1500</v>
      </c>
      <c r="G340" s="24" t="s">
        <v>59</v>
      </c>
      <c r="H340" s="24" t="s">
        <v>55</v>
      </c>
      <c r="I340" s="28" t="n">
        <f aca="false">IF(A340="","",D340*E340)</f>
        <v>2500</v>
      </c>
      <c r="J340" s="28" t="n">
        <f aca="false">IF(A340="","",D340*F340)</f>
        <v>1500</v>
      </c>
      <c r="K340" s="26" t="n">
        <f aca="false">IF(A340="","",YEAR(A340))</f>
        <v>2025</v>
      </c>
      <c r="L340" s="26" t="n">
        <f aca="false">IF(A340="","",MONTH(A340))</f>
        <v>7</v>
      </c>
    </row>
    <row r="341" customFormat="false" ht="15" hidden="false" customHeight="false" outlineLevel="0" collapsed="false">
      <c r="A341" s="23" t="n">
        <v>45847.7840277778</v>
      </c>
      <c r="B341" s="24" t="s">
        <v>1071</v>
      </c>
      <c r="C341" s="24" t="s">
        <v>1072</v>
      </c>
      <c r="D341" s="24" t="n">
        <v>3</v>
      </c>
      <c r="E341" s="25" t="n">
        <v>2000</v>
      </c>
      <c r="F341" s="25" t="n">
        <v>1100</v>
      </c>
      <c r="G341" s="24" t="s">
        <v>59</v>
      </c>
      <c r="H341" s="24" t="s">
        <v>60</v>
      </c>
      <c r="I341" s="28" t="n">
        <f aca="false">IF(A341="","",D341*E341)</f>
        <v>6000</v>
      </c>
      <c r="J341" s="28" t="n">
        <f aca="false">IF(A341="","",D341*F341)</f>
        <v>3300</v>
      </c>
      <c r="K341" s="26" t="n">
        <f aca="false">IF(A341="","",YEAR(A341))</f>
        <v>2025</v>
      </c>
      <c r="L341" s="26" t="n">
        <f aca="false">IF(A341="","",MONTH(A341))</f>
        <v>7</v>
      </c>
    </row>
    <row r="342" customFormat="false" ht="15" hidden="false" customHeight="false" outlineLevel="0" collapsed="false">
      <c r="A342" s="23" t="n">
        <v>45849.4590277778</v>
      </c>
      <c r="B342" s="24" t="s">
        <v>1065</v>
      </c>
      <c r="C342" s="24" t="s">
        <v>1066</v>
      </c>
      <c r="D342" s="24" t="n">
        <v>1</v>
      </c>
      <c r="E342" s="25" t="n">
        <v>3000</v>
      </c>
      <c r="F342" s="25" t="n">
        <v>2000</v>
      </c>
      <c r="G342" s="24" t="s">
        <v>69</v>
      </c>
      <c r="H342" s="24" t="s">
        <v>60</v>
      </c>
      <c r="I342" s="28" t="n">
        <f aca="false">IF(A342="","",D342*E342)</f>
        <v>3000</v>
      </c>
      <c r="J342" s="28" t="n">
        <f aca="false">IF(A342="","",D342*F342)</f>
        <v>2000</v>
      </c>
      <c r="K342" s="26" t="n">
        <f aca="false">IF(A342="","",YEAR(A342))</f>
        <v>2025</v>
      </c>
      <c r="L342" s="26" t="n">
        <f aca="false">IF(A342="","",MONTH(A342))</f>
        <v>7</v>
      </c>
    </row>
    <row r="343" customFormat="false" ht="15" hidden="false" customHeight="false" outlineLevel="0" collapsed="false">
      <c r="A343" s="23" t="n">
        <v>45849.4736111111</v>
      </c>
      <c r="B343" s="24" t="s">
        <v>1081</v>
      </c>
      <c r="C343" s="24" t="s">
        <v>1082</v>
      </c>
      <c r="D343" s="24" t="n">
        <v>1</v>
      </c>
      <c r="E343" s="25" t="n">
        <v>2500</v>
      </c>
      <c r="F343" s="25" t="n">
        <v>1500</v>
      </c>
      <c r="G343" s="24" t="s">
        <v>59</v>
      </c>
      <c r="H343" s="24" t="s">
        <v>60</v>
      </c>
      <c r="I343" s="28" t="n">
        <f aca="false">IF(A343="","",D343*E343)</f>
        <v>2500</v>
      </c>
      <c r="J343" s="28" t="n">
        <f aca="false">IF(A343="","",D343*F343)</f>
        <v>1500</v>
      </c>
      <c r="K343" s="26" t="n">
        <f aca="false">IF(A343="","",YEAR(A343))</f>
        <v>2025</v>
      </c>
      <c r="L343" s="26" t="n">
        <f aca="false">IF(A343="","",MONTH(A343))</f>
        <v>7</v>
      </c>
    </row>
    <row r="344" customFormat="false" ht="15" hidden="false" customHeight="false" outlineLevel="0" collapsed="false">
      <c r="A344" s="23" t="n">
        <v>45849.6340277778</v>
      </c>
      <c r="B344" s="24" t="s">
        <v>1069</v>
      </c>
      <c r="C344" s="24" t="s">
        <v>1070</v>
      </c>
      <c r="D344" s="24" t="n">
        <v>1</v>
      </c>
      <c r="E344" s="25" t="n">
        <v>4500</v>
      </c>
      <c r="F344" s="25" t="n">
        <v>3000</v>
      </c>
      <c r="G344" s="24" t="s">
        <v>59</v>
      </c>
      <c r="H344" s="24" t="s">
        <v>60</v>
      </c>
      <c r="I344" s="28" t="n">
        <f aca="false">IF(A344="","",D344*E344)</f>
        <v>4500</v>
      </c>
      <c r="J344" s="28" t="n">
        <f aca="false">IF(A344="","",D344*F344)</f>
        <v>3000</v>
      </c>
      <c r="K344" s="26" t="n">
        <f aca="false">IF(A344="","",YEAR(A344))</f>
        <v>2025</v>
      </c>
      <c r="L344" s="26" t="n">
        <f aca="false">IF(A344="","",MONTH(A344))</f>
        <v>7</v>
      </c>
    </row>
    <row r="345" customFormat="false" ht="15" hidden="false" customHeight="false" outlineLevel="0" collapsed="false">
      <c r="A345" s="23" t="n">
        <v>45849.6354166667</v>
      </c>
      <c r="B345" s="24" t="s">
        <v>1069</v>
      </c>
      <c r="C345" s="24" t="s">
        <v>1070</v>
      </c>
      <c r="D345" s="24" t="n">
        <v>1</v>
      </c>
      <c r="E345" s="25" t="n">
        <v>4500</v>
      </c>
      <c r="F345" s="25" t="n">
        <v>3000</v>
      </c>
      <c r="G345" s="24" t="s">
        <v>59</v>
      </c>
      <c r="H345" s="24" t="s">
        <v>80</v>
      </c>
      <c r="I345" s="28" t="n">
        <f aca="false">IF(A345="","",D345*E345)</f>
        <v>4500</v>
      </c>
      <c r="J345" s="28" t="n">
        <f aca="false">IF(A345="","",D345*F345)</f>
        <v>3000</v>
      </c>
      <c r="K345" s="26" t="n">
        <f aca="false">IF(A345="","",YEAR(A345))</f>
        <v>2025</v>
      </c>
      <c r="L345" s="26" t="n">
        <f aca="false">IF(A345="","",MONTH(A345))</f>
        <v>7</v>
      </c>
    </row>
    <row r="346" customFormat="false" ht="15" hidden="false" customHeight="false" outlineLevel="0" collapsed="false">
      <c r="A346" s="23" t="n">
        <v>45850.7034722222</v>
      </c>
      <c r="B346" s="24" t="s">
        <v>1071</v>
      </c>
      <c r="C346" s="24" t="s">
        <v>1072</v>
      </c>
      <c r="D346" s="24" t="n">
        <v>1</v>
      </c>
      <c r="E346" s="25" t="n">
        <v>2000</v>
      </c>
      <c r="F346" s="25" t="n">
        <v>1100</v>
      </c>
      <c r="G346" s="24" t="s">
        <v>69</v>
      </c>
      <c r="H346" s="24" t="s">
        <v>60</v>
      </c>
      <c r="I346" s="28" t="n">
        <f aca="false">IF(A346="","",D346*E346)</f>
        <v>2000</v>
      </c>
      <c r="J346" s="28" t="n">
        <f aca="false">IF(A346="","",D346*F346)</f>
        <v>1100</v>
      </c>
      <c r="K346" s="26" t="n">
        <f aca="false">IF(A346="","",YEAR(A346))</f>
        <v>2025</v>
      </c>
      <c r="L346" s="26" t="n">
        <f aca="false">IF(A346="","",MONTH(A346))</f>
        <v>7</v>
      </c>
    </row>
    <row r="347" customFormat="false" ht="15" hidden="false" customHeight="false" outlineLevel="0" collapsed="false">
      <c r="A347" s="23" t="n">
        <v>45850.9076388889</v>
      </c>
      <c r="B347" s="24" t="s">
        <v>1075</v>
      </c>
      <c r="C347" s="24" t="s">
        <v>1076</v>
      </c>
      <c r="D347" s="24" t="n">
        <v>1</v>
      </c>
      <c r="E347" s="25" t="n">
        <v>1000</v>
      </c>
      <c r="F347" s="25" t="n">
        <v>300</v>
      </c>
      <c r="G347" s="24" t="s">
        <v>59</v>
      </c>
      <c r="H347" s="24" t="s">
        <v>80</v>
      </c>
      <c r="I347" s="28" t="n">
        <f aca="false">IF(A347="","",D347*E347)</f>
        <v>1000</v>
      </c>
      <c r="J347" s="28" t="n">
        <f aca="false">IF(A347="","",D347*F347)</f>
        <v>300</v>
      </c>
      <c r="K347" s="26" t="n">
        <f aca="false">IF(A347="","",YEAR(A347))</f>
        <v>2025</v>
      </c>
      <c r="L347" s="26" t="n">
        <f aca="false">IF(A347="","",MONTH(A347))</f>
        <v>7</v>
      </c>
    </row>
    <row r="348" customFormat="false" ht="15" hidden="false" customHeight="false" outlineLevel="0" collapsed="false">
      <c r="A348" s="23" t="n">
        <v>45851.2951388889</v>
      </c>
      <c r="B348" s="24" t="s">
        <v>1073</v>
      </c>
      <c r="C348" s="24" t="s">
        <v>1074</v>
      </c>
      <c r="D348" s="24" t="n">
        <v>3</v>
      </c>
      <c r="E348" s="25" t="n">
        <v>7000</v>
      </c>
      <c r="F348" s="25" t="n">
        <v>4800</v>
      </c>
      <c r="G348" s="24" t="s">
        <v>59</v>
      </c>
      <c r="H348" s="24" t="s">
        <v>60</v>
      </c>
      <c r="I348" s="28" t="n">
        <f aca="false">IF(A348="","",D348*E348)</f>
        <v>21000</v>
      </c>
      <c r="J348" s="28" t="n">
        <f aca="false">IF(A348="","",D348*F348)</f>
        <v>14400</v>
      </c>
      <c r="K348" s="26" t="n">
        <f aca="false">IF(A348="","",YEAR(A348))</f>
        <v>2025</v>
      </c>
      <c r="L348" s="26" t="n">
        <f aca="false">IF(A348="","",MONTH(A348))</f>
        <v>7</v>
      </c>
    </row>
    <row r="349" customFormat="false" ht="15" hidden="false" customHeight="false" outlineLevel="0" collapsed="false">
      <c r="A349" s="23" t="n">
        <v>45851.6541666667</v>
      </c>
      <c r="B349" s="24" t="s">
        <v>1065</v>
      </c>
      <c r="C349" s="24" t="s">
        <v>1066</v>
      </c>
      <c r="D349" s="24" t="n">
        <v>1</v>
      </c>
      <c r="E349" s="25" t="n">
        <v>3000</v>
      </c>
      <c r="F349" s="25" t="n">
        <v>2000</v>
      </c>
      <c r="G349" s="24" t="s">
        <v>59</v>
      </c>
      <c r="H349" s="24" t="s">
        <v>55</v>
      </c>
      <c r="I349" s="28" t="n">
        <f aca="false">IF(A349="","",D349*E349)</f>
        <v>3000</v>
      </c>
      <c r="J349" s="28" t="n">
        <f aca="false">IF(A349="","",D349*F349)</f>
        <v>2000</v>
      </c>
      <c r="K349" s="26" t="n">
        <f aca="false">IF(A349="","",YEAR(A349))</f>
        <v>2025</v>
      </c>
      <c r="L349" s="26" t="n">
        <f aca="false">IF(A349="","",MONTH(A349))</f>
        <v>7</v>
      </c>
    </row>
    <row r="350" customFormat="false" ht="15" hidden="false" customHeight="false" outlineLevel="0" collapsed="false">
      <c r="A350" s="23" t="n">
        <v>45851.7229166667</v>
      </c>
      <c r="B350" s="24" t="s">
        <v>1065</v>
      </c>
      <c r="C350" s="24" t="s">
        <v>1066</v>
      </c>
      <c r="D350" s="24" t="n">
        <v>1</v>
      </c>
      <c r="E350" s="25" t="n">
        <v>3000</v>
      </c>
      <c r="F350" s="25" t="n">
        <v>2000</v>
      </c>
      <c r="G350" s="24" t="s">
        <v>59</v>
      </c>
      <c r="H350" s="24" t="s">
        <v>55</v>
      </c>
      <c r="I350" s="28" t="n">
        <f aca="false">IF(A350="","",D350*E350)</f>
        <v>3000</v>
      </c>
      <c r="J350" s="28" t="n">
        <f aca="false">IF(A350="","",D350*F350)</f>
        <v>2000</v>
      </c>
      <c r="K350" s="26" t="n">
        <f aca="false">IF(A350="","",YEAR(A350))</f>
        <v>2025</v>
      </c>
      <c r="L350" s="26" t="n">
        <f aca="false">IF(A350="","",MONTH(A350))</f>
        <v>7</v>
      </c>
    </row>
    <row r="351" customFormat="false" ht="15" hidden="false" customHeight="false" outlineLevel="0" collapsed="false">
      <c r="A351" s="23" t="n">
        <v>45851.8611111111</v>
      </c>
      <c r="B351" s="24" t="s">
        <v>1073</v>
      </c>
      <c r="C351" s="24" t="s">
        <v>1074</v>
      </c>
      <c r="D351" s="24" t="n">
        <v>3</v>
      </c>
      <c r="E351" s="25" t="n">
        <v>7000</v>
      </c>
      <c r="F351" s="25" t="n">
        <v>4800</v>
      </c>
      <c r="G351" s="24" t="s">
        <v>59</v>
      </c>
      <c r="H351" s="24" t="s">
        <v>60</v>
      </c>
      <c r="I351" s="28" t="n">
        <f aca="false">IF(A351="","",D351*E351)</f>
        <v>21000</v>
      </c>
      <c r="J351" s="28" t="n">
        <f aca="false">IF(A351="","",D351*F351)</f>
        <v>14400</v>
      </c>
      <c r="K351" s="26" t="n">
        <f aca="false">IF(A351="","",YEAR(A351))</f>
        <v>2025</v>
      </c>
      <c r="L351" s="26" t="n">
        <f aca="false">IF(A351="","",MONTH(A351))</f>
        <v>7</v>
      </c>
    </row>
    <row r="352" customFormat="false" ht="15" hidden="false" customHeight="false" outlineLevel="0" collapsed="false">
      <c r="A352" s="23" t="n">
        <v>45852.4527777778</v>
      </c>
      <c r="B352" s="24" t="s">
        <v>1071</v>
      </c>
      <c r="C352" s="24" t="s">
        <v>1072</v>
      </c>
      <c r="D352" s="24" t="n">
        <v>1</v>
      </c>
      <c r="E352" s="25" t="n">
        <v>2000</v>
      </c>
      <c r="F352" s="25" t="n">
        <v>1100</v>
      </c>
      <c r="G352" s="24" t="s">
        <v>59</v>
      </c>
      <c r="H352" s="24" t="s">
        <v>80</v>
      </c>
      <c r="I352" s="28" t="n">
        <f aca="false">IF(A352="","",D352*E352)</f>
        <v>2000</v>
      </c>
      <c r="J352" s="28" t="n">
        <f aca="false">IF(A352="","",D352*F352)</f>
        <v>1100</v>
      </c>
      <c r="K352" s="26" t="n">
        <f aca="false">IF(A352="","",YEAR(A352))</f>
        <v>2025</v>
      </c>
      <c r="L352" s="26" t="n">
        <f aca="false">IF(A352="","",MONTH(A352))</f>
        <v>7</v>
      </c>
    </row>
    <row r="353" customFormat="false" ht="15" hidden="false" customHeight="false" outlineLevel="0" collapsed="false">
      <c r="A353" s="23" t="n">
        <v>45852.6104166667</v>
      </c>
      <c r="B353" s="24" t="s">
        <v>1077</v>
      </c>
      <c r="C353" s="24" t="s">
        <v>1078</v>
      </c>
      <c r="D353" s="24" t="n">
        <v>1</v>
      </c>
      <c r="E353" s="25" t="n">
        <v>1500</v>
      </c>
      <c r="F353" s="25" t="n">
        <v>900</v>
      </c>
      <c r="G353" s="24" t="s">
        <v>59</v>
      </c>
      <c r="H353" s="24" t="s">
        <v>55</v>
      </c>
      <c r="I353" s="28" t="n">
        <f aca="false">IF(A353="","",D353*E353)</f>
        <v>1500</v>
      </c>
      <c r="J353" s="28" t="n">
        <f aca="false">IF(A353="","",D353*F353)</f>
        <v>900</v>
      </c>
      <c r="K353" s="26" t="n">
        <f aca="false">IF(A353="","",YEAR(A353))</f>
        <v>2025</v>
      </c>
      <c r="L353" s="26" t="n">
        <f aca="false">IF(A353="","",MONTH(A353))</f>
        <v>7</v>
      </c>
    </row>
    <row r="354" customFormat="false" ht="15" hidden="false" customHeight="false" outlineLevel="0" collapsed="false">
      <c r="A354" s="23" t="n">
        <v>45853.5159722222</v>
      </c>
      <c r="B354" s="24" t="s">
        <v>1081</v>
      </c>
      <c r="C354" s="24" t="s">
        <v>1082</v>
      </c>
      <c r="D354" s="24" t="n">
        <v>2</v>
      </c>
      <c r="E354" s="25" t="n">
        <v>2500</v>
      </c>
      <c r="F354" s="25" t="n">
        <v>1500</v>
      </c>
      <c r="G354" s="24" t="s">
        <v>69</v>
      </c>
      <c r="H354" s="24" t="s">
        <v>60</v>
      </c>
      <c r="I354" s="28" t="n">
        <f aca="false">IF(A354="","",D354*E354)</f>
        <v>5000</v>
      </c>
      <c r="J354" s="28" t="n">
        <f aca="false">IF(A354="","",D354*F354)</f>
        <v>3000</v>
      </c>
      <c r="K354" s="26" t="n">
        <f aca="false">IF(A354="","",YEAR(A354))</f>
        <v>2025</v>
      </c>
      <c r="L354" s="26" t="n">
        <f aca="false">IF(A354="","",MONTH(A354))</f>
        <v>7</v>
      </c>
    </row>
    <row r="355" customFormat="false" ht="15" hidden="false" customHeight="false" outlineLevel="0" collapsed="false">
      <c r="A355" s="23" t="n">
        <v>45853.8972222222</v>
      </c>
      <c r="B355" s="24" t="s">
        <v>1065</v>
      </c>
      <c r="C355" s="24" t="s">
        <v>1066</v>
      </c>
      <c r="D355" s="24" t="n">
        <v>2</v>
      </c>
      <c r="E355" s="25" t="n">
        <v>3000</v>
      </c>
      <c r="F355" s="25" t="n">
        <v>2000</v>
      </c>
      <c r="G355" s="24" t="s">
        <v>69</v>
      </c>
      <c r="H355" s="24" t="s">
        <v>55</v>
      </c>
      <c r="I355" s="28" t="n">
        <f aca="false">IF(A355="","",D355*E355)</f>
        <v>6000</v>
      </c>
      <c r="J355" s="28" t="n">
        <f aca="false">IF(A355="","",D355*F355)</f>
        <v>4000</v>
      </c>
      <c r="K355" s="26" t="n">
        <f aca="false">IF(A355="","",YEAR(A355))</f>
        <v>2025</v>
      </c>
      <c r="L355" s="26" t="n">
        <f aca="false">IF(A355="","",MONTH(A355))</f>
        <v>7</v>
      </c>
    </row>
    <row r="356" customFormat="false" ht="15" hidden="false" customHeight="false" outlineLevel="0" collapsed="false">
      <c r="A356" s="23" t="n">
        <v>45854.40625</v>
      </c>
      <c r="B356" s="24" t="s">
        <v>1077</v>
      </c>
      <c r="C356" s="24" t="s">
        <v>1078</v>
      </c>
      <c r="D356" s="24" t="n">
        <v>2</v>
      </c>
      <c r="E356" s="25" t="n">
        <v>1500</v>
      </c>
      <c r="F356" s="25" t="n">
        <v>900</v>
      </c>
      <c r="G356" s="24" t="s">
        <v>59</v>
      </c>
      <c r="H356" s="24" t="s">
        <v>60</v>
      </c>
      <c r="I356" s="28" t="n">
        <f aca="false">IF(A356="","",D356*E356)</f>
        <v>3000</v>
      </c>
      <c r="J356" s="28" t="n">
        <f aca="false">IF(A356="","",D356*F356)</f>
        <v>1800</v>
      </c>
      <c r="K356" s="26" t="n">
        <f aca="false">IF(A356="","",YEAR(A356))</f>
        <v>2025</v>
      </c>
      <c r="L356" s="26" t="n">
        <f aca="false">IF(A356="","",MONTH(A356))</f>
        <v>7</v>
      </c>
    </row>
    <row r="357" customFormat="false" ht="15" hidden="false" customHeight="false" outlineLevel="0" collapsed="false">
      <c r="A357" s="23" t="n">
        <v>45854.4166666667</v>
      </c>
      <c r="B357" s="24" t="s">
        <v>1077</v>
      </c>
      <c r="C357" s="24" t="s">
        <v>1078</v>
      </c>
      <c r="D357" s="24" t="n">
        <v>3</v>
      </c>
      <c r="E357" s="25" t="n">
        <v>1500</v>
      </c>
      <c r="F357" s="25" t="n">
        <v>900</v>
      </c>
      <c r="G357" s="24" t="s">
        <v>69</v>
      </c>
      <c r="H357" s="24" t="s">
        <v>80</v>
      </c>
      <c r="I357" s="28" t="n">
        <f aca="false">IF(A357="","",D357*E357)</f>
        <v>4500</v>
      </c>
      <c r="J357" s="28" t="n">
        <f aca="false">IF(A357="","",D357*F357)</f>
        <v>2700</v>
      </c>
      <c r="K357" s="26" t="n">
        <f aca="false">IF(A357="","",YEAR(A357))</f>
        <v>2025</v>
      </c>
      <c r="L357" s="26" t="n">
        <f aca="false">IF(A357="","",MONTH(A357))</f>
        <v>7</v>
      </c>
    </row>
    <row r="358" customFormat="false" ht="15" hidden="false" customHeight="false" outlineLevel="0" collapsed="false">
      <c r="A358" s="23" t="n">
        <v>45854.8097222222</v>
      </c>
      <c r="B358" s="24" t="s">
        <v>1071</v>
      </c>
      <c r="C358" s="24" t="s">
        <v>1072</v>
      </c>
      <c r="D358" s="24" t="n">
        <v>1</v>
      </c>
      <c r="E358" s="25" t="n">
        <v>2000</v>
      </c>
      <c r="F358" s="25" t="n">
        <v>1100</v>
      </c>
      <c r="G358" s="24" t="s">
        <v>59</v>
      </c>
      <c r="H358" s="24" t="s">
        <v>60</v>
      </c>
      <c r="I358" s="28" t="n">
        <f aca="false">IF(A358="","",D358*E358)</f>
        <v>2000</v>
      </c>
      <c r="J358" s="28" t="n">
        <f aca="false">IF(A358="","",D358*F358)</f>
        <v>1100</v>
      </c>
      <c r="K358" s="26" t="n">
        <f aca="false">IF(A358="","",YEAR(A358))</f>
        <v>2025</v>
      </c>
      <c r="L358" s="26" t="n">
        <f aca="false">IF(A358="","",MONTH(A358))</f>
        <v>7</v>
      </c>
    </row>
    <row r="359" customFormat="false" ht="15" hidden="false" customHeight="false" outlineLevel="0" collapsed="false">
      <c r="A359" s="23" t="n">
        <v>45855.5979166667</v>
      </c>
      <c r="B359" s="24" t="s">
        <v>1081</v>
      </c>
      <c r="C359" s="24" t="s">
        <v>1082</v>
      </c>
      <c r="D359" s="24" t="n">
        <v>1</v>
      </c>
      <c r="E359" s="25" t="n">
        <v>2500</v>
      </c>
      <c r="F359" s="25" t="n">
        <v>1500</v>
      </c>
      <c r="G359" s="24" t="s">
        <v>69</v>
      </c>
      <c r="H359" s="24" t="s">
        <v>60</v>
      </c>
      <c r="I359" s="28" t="n">
        <f aca="false">IF(A359="","",D359*E359)</f>
        <v>2500</v>
      </c>
      <c r="J359" s="28" t="n">
        <f aca="false">IF(A359="","",D359*F359)</f>
        <v>1500</v>
      </c>
      <c r="K359" s="26" t="n">
        <f aca="false">IF(A359="","",YEAR(A359))</f>
        <v>2025</v>
      </c>
      <c r="L359" s="26" t="n">
        <f aca="false">IF(A359="","",MONTH(A359))</f>
        <v>7</v>
      </c>
    </row>
    <row r="360" customFormat="false" ht="15" hidden="false" customHeight="false" outlineLevel="0" collapsed="false">
      <c r="A360" s="23" t="n">
        <v>45855.6416666667</v>
      </c>
      <c r="B360" s="24" t="s">
        <v>1075</v>
      </c>
      <c r="C360" s="24" t="s">
        <v>1076</v>
      </c>
      <c r="D360" s="24" t="n">
        <v>1</v>
      </c>
      <c r="E360" s="25" t="n">
        <v>1000</v>
      </c>
      <c r="F360" s="25" t="n">
        <v>300</v>
      </c>
      <c r="G360" s="24" t="s">
        <v>59</v>
      </c>
      <c r="H360" s="24" t="s">
        <v>80</v>
      </c>
      <c r="I360" s="28" t="n">
        <f aca="false">IF(A360="","",D360*E360)</f>
        <v>1000</v>
      </c>
      <c r="J360" s="28" t="n">
        <f aca="false">IF(A360="","",D360*F360)</f>
        <v>300</v>
      </c>
      <c r="K360" s="26" t="n">
        <f aca="false">IF(A360="","",YEAR(A360))</f>
        <v>2025</v>
      </c>
      <c r="L360" s="26" t="n">
        <f aca="false">IF(A360="","",MONTH(A360))</f>
        <v>7</v>
      </c>
    </row>
    <row r="361" customFormat="false" ht="15" hidden="false" customHeight="false" outlineLevel="0" collapsed="false">
      <c r="A361" s="23" t="n">
        <v>45855.8076388889</v>
      </c>
      <c r="B361" s="24" t="s">
        <v>1081</v>
      </c>
      <c r="C361" s="24" t="s">
        <v>1082</v>
      </c>
      <c r="D361" s="24" t="n">
        <v>1</v>
      </c>
      <c r="E361" s="25" t="n">
        <v>2500</v>
      </c>
      <c r="F361" s="25" t="n">
        <v>1500</v>
      </c>
      <c r="G361" s="24" t="s">
        <v>69</v>
      </c>
      <c r="H361" s="24" t="s">
        <v>80</v>
      </c>
      <c r="I361" s="28" t="n">
        <f aca="false">IF(A361="","",D361*E361)</f>
        <v>2500</v>
      </c>
      <c r="J361" s="28" t="n">
        <f aca="false">IF(A361="","",D361*F361)</f>
        <v>1500</v>
      </c>
      <c r="K361" s="26" t="n">
        <f aca="false">IF(A361="","",YEAR(A361))</f>
        <v>2025</v>
      </c>
      <c r="L361" s="26" t="n">
        <f aca="false">IF(A361="","",MONTH(A361))</f>
        <v>7</v>
      </c>
    </row>
    <row r="362" customFormat="false" ht="15" hidden="false" customHeight="false" outlineLevel="0" collapsed="false">
      <c r="A362" s="23" t="n">
        <v>45856.41875</v>
      </c>
      <c r="B362" s="24" t="s">
        <v>1065</v>
      </c>
      <c r="C362" s="24" t="s">
        <v>1066</v>
      </c>
      <c r="D362" s="24" t="n">
        <v>1</v>
      </c>
      <c r="E362" s="25" t="n">
        <v>3000</v>
      </c>
      <c r="F362" s="25" t="n">
        <v>2000</v>
      </c>
      <c r="G362" s="24" t="s">
        <v>59</v>
      </c>
      <c r="H362" s="24" t="s">
        <v>60</v>
      </c>
      <c r="I362" s="28" t="n">
        <f aca="false">IF(A362="","",D362*E362)</f>
        <v>3000</v>
      </c>
      <c r="J362" s="28" t="n">
        <f aca="false">IF(A362="","",D362*F362)</f>
        <v>2000</v>
      </c>
      <c r="K362" s="26" t="n">
        <f aca="false">IF(A362="","",YEAR(A362))</f>
        <v>2025</v>
      </c>
      <c r="L362" s="26" t="n">
        <f aca="false">IF(A362="","",MONTH(A362))</f>
        <v>7</v>
      </c>
    </row>
    <row r="363" customFormat="false" ht="15" hidden="false" customHeight="false" outlineLevel="0" collapsed="false">
      <c r="A363" s="23" t="n">
        <v>45856.4222222222</v>
      </c>
      <c r="B363" s="24" t="s">
        <v>1065</v>
      </c>
      <c r="C363" s="24" t="s">
        <v>1066</v>
      </c>
      <c r="D363" s="24" t="n">
        <v>3</v>
      </c>
      <c r="E363" s="25" t="n">
        <v>3000</v>
      </c>
      <c r="F363" s="25" t="n">
        <v>2000</v>
      </c>
      <c r="G363" s="24" t="s">
        <v>59</v>
      </c>
      <c r="H363" s="24" t="s">
        <v>80</v>
      </c>
      <c r="I363" s="28" t="n">
        <f aca="false">IF(A363="","",D363*E363)</f>
        <v>9000</v>
      </c>
      <c r="J363" s="28" t="n">
        <f aca="false">IF(A363="","",D363*F363)</f>
        <v>6000</v>
      </c>
      <c r="K363" s="26" t="n">
        <f aca="false">IF(A363="","",YEAR(A363))</f>
        <v>2025</v>
      </c>
      <c r="L363" s="26" t="n">
        <f aca="false">IF(A363="","",MONTH(A363))</f>
        <v>7</v>
      </c>
    </row>
    <row r="364" customFormat="false" ht="15" hidden="false" customHeight="false" outlineLevel="0" collapsed="false">
      <c r="A364" s="23" t="n">
        <v>45857.6152777778</v>
      </c>
      <c r="B364" s="24" t="s">
        <v>1065</v>
      </c>
      <c r="C364" s="24" t="s">
        <v>1066</v>
      </c>
      <c r="D364" s="24" t="n">
        <v>1</v>
      </c>
      <c r="E364" s="25" t="n">
        <v>3000</v>
      </c>
      <c r="F364" s="25" t="n">
        <v>2000</v>
      </c>
      <c r="G364" s="24" t="s">
        <v>59</v>
      </c>
      <c r="H364" s="24" t="s">
        <v>55</v>
      </c>
      <c r="I364" s="28" t="n">
        <f aca="false">IF(A364="","",D364*E364)</f>
        <v>3000</v>
      </c>
      <c r="J364" s="28" t="n">
        <f aca="false">IF(A364="","",D364*F364)</f>
        <v>2000</v>
      </c>
      <c r="K364" s="26" t="n">
        <f aca="false">IF(A364="","",YEAR(A364))</f>
        <v>2025</v>
      </c>
      <c r="L364" s="26" t="n">
        <f aca="false">IF(A364="","",MONTH(A364))</f>
        <v>7</v>
      </c>
    </row>
    <row r="365" customFormat="false" ht="15" hidden="false" customHeight="false" outlineLevel="0" collapsed="false">
      <c r="A365" s="23" t="n">
        <v>45858.3784722222</v>
      </c>
      <c r="B365" s="24" t="s">
        <v>1065</v>
      </c>
      <c r="C365" s="24" t="s">
        <v>1066</v>
      </c>
      <c r="D365" s="24" t="n">
        <v>1</v>
      </c>
      <c r="E365" s="25" t="n">
        <v>3000</v>
      </c>
      <c r="F365" s="25" t="n">
        <v>2000</v>
      </c>
      <c r="G365" s="24" t="s">
        <v>59</v>
      </c>
      <c r="H365" s="24" t="s">
        <v>55</v>
      </c>
      <c r="I365" s="28" t="n">
        <f aca="false">IF(A365="","",D365*E365)</f>
        <v>3000</v>
      </c>
      <c r="J365" s="28" t="n">
        <f aca="false">IF(A365="","",D365*F365)</f>
        <v>2000</v>
      </c>
      <c r="K365" s="26" t="n">
        <f aca="false">IF(A365="","",YEAR(A365))</f>
        <v>2025</v>
      </c>
      <c r="L365" s="26" t="n">
        <f aca="false">IF(A365="","",MONTH(A365))</f>
        <v>7</v>
      </c>
    </row>
    <row r="366" customFormat="false" ht="15" hidden="false" customHeight="false" outlineLevel="0" collapsed="false">
      <c r="A366" s="23" t="n">
        <v>45858.4173611111</v>
      </c>
      <c r="B366" s="24" t="s">
        <v>1073</v>
      </c>
      <c r="C366" s="24" t="s">
        <v>1074</v>
      </c>
      <c r="D366" s="24" t="n">
        <v>3</v>
      </c>
      <c r="E366" s="25" t="n">
        <v>7000</v>
      </c>
      <c r="F366" s="25" t="n">
        <v>4800</v>
      </c>
      <c r="G366" s="24" t="s">
        <v>59</v>
      </c>
      <c r="H366" s="24" t="s">
        <v>80</v>
      </c>
      <c r="I366" s="28" t="n">
        <f aca="false">IF(A366="","",D366*E366)</f>
        <v>21000</v>
      </c>
      <c r="J366" s="28" t="n">
        <f aca="false">IF(A366="","",D366*F366)</f>
        <v>14400</v>
      </c>
      <c r="K366" s="26" t="n">
        <f aca="false">IF(A366="","",YEAR(A366))</f>
        <v>2025</v>
      </c>
      <c r="L366" s="26" t="n">
        <f aca="false">IF(A366="","",MONTH(A366))</f>
        <v>7</v>
      </c>
    </row>
    <row r="367" customFormat="false" ht="15" hidden="false" customHeight="false" outlineLevel="0" collapsed="false">
      <c r="A367" s="23" t="n">
        <v>45858.6951388889</v>
      </c>
      <c r="B367" s="24" t="s">
        <v>1079</v>
      </c>
      <c r="C367" s="24" t="s">
        <v>1080</v>
      </c>
      <c r="D367" s="24" t="n">
        <v>1</v>
      </c>
      <c r="E367" s="25" t="n">
        <v>2500</v>
      </c>
      <c r="F367" s="25" t="n">
        <v>1600</v>
      </c>
      <c r="G367" s="24" t="s">
        <v>69</v>
      </c>
      <c r="H367" s="24" t="s">
        <v>80</v>
      </c>
      <c r="I367" s="28" t="n">
        <f aca="false">IF(A367="","",D367*E367)</f>
        <v>2500</v>
      </c>
      <c r="J367" s="28" t="n">
        <f aca="false">IF(A367="","",D367*F367)</f>
        <v>1600</v>
      </c>
      <c r="K367" s="26" t="n">
        <f aca="false">IF(A367="","",YEAR(A367))</f>
        <v>2025</v>
      </c>
      <c r="L367" s="26" t="n">
        <f aca="false">IF(A367="","",MONTH(A367))</f>
        <v>7</v>
      </c>
    </row>
    <row r="368" customFormat="false" ht="15" hidden="false" customHeight="false" outlineLevel="0" collapsed="false">
      <c r="A368" s="23" t="n">
        <v>45859.3486111111</v>
      </c>
      <c r="B368" s="24" t="s">
        <v>1077</v>
      </c>
      <c r="C368" s="24" t="s">
        <v>1078</v>
      </c>
      <c r="D368" s="24" t="n">
        <v>1</v>
      </c>
      <c r="E368" s="25" t="n">
        <v>1500</v>
      </c>
      <c r="F368" s="25" t="n">
        <v>900</v>
      </c>
      <c r="G368" s="24" t="s">
        <v>59</v>
      </c>
      <c r="H368" s="24" t="s">
        <v>80</v>
      </c>
      <c r="I368" s="28" t="n">
        <f aca="false">IF(A368="","",D368*E368)</f>
        <v>1500</v>
      </c>
      <c r="J368" s="28" t="n">
        <f aca="false">IF(A368="","",D368*F368)</f>
        <v>900</v>
      </c>
      <c r="K368" s="26" t="n">
        <f aca="false">IF(A368="","",YEAR(A368))</f>
        <v>2025</v>
      </c>
      <c r="L368" s="26" t="n">
        <f aca="false">IF(A368="","",MONTH(A368))</f>
        <v>7</v>
      </c>
    </row>
    <row r="369" customFormat="false" ht="15" hidden="false" customHeight="false" outlineLevel="0" collapsed="false">
      <c r="A369" s="23" t="n">
        <v>45859.5236111111</v>
      </c>
      <c r="B369" s="24" t="s">
        <v>1065</v>
      </c>
      <c r="C369" s="24" t="s">
        <v>1066</v>
      </c>
      <c r="D369" s="24" t="n">
        <v>1</v>
      </c>
      <c r="E369" s="25" t="n">
        <v>3000</v>
      </c>
      <c r="F369" s="25" t="n">
        <v>2000</v>
      </c>
      <c r="G369" s="24" t="s">
        <v>59</v>
      </c>
      <c r="H369" s="24" t="s">
        <v>55</v>
      </c>
      <c r="I369" s="28" t="n">
        <f aca="false">IF(A369="","",D369*E369)</f>
        <v>3000</v>
      </c>
      <c r="J369" s="28" t="n">
        <f aca="false">IF(A369="","",D369*F369)</f>
        <v>2000</v>
      </c>
      <c r="K369" s="26" t="n">
        <f aca="false">IF(A369="","",YEAR(A369))</f>
        <v>2025</v>
      </c>
      <c r="L369" s="26" t="n">
        <f aca="false">IF(A369="","",MONTH(A369))</f>
        <v>7</v>
      </c>
    </row>
    <row r="370" customFormat="false" ht="15" hidden="false" customHeight="false" outlineLevel="0" collapsed="false">
      <c r="A370" s="23" t="n">
        <v>45859.5409722222</v>
      </c>
      <c r="B370" s="24" t="s">
        <v>1073</v>
      </c>
      <c r="C370" s="24" t="s">
        <v>1074</v>
      </c>
      <c r="D370" s="24" t="n">
        <v>1</v>
      </c>
      <c r="E370" s="25" t="n">
        <v>7000</v>
      </c>
      <c r="F370" s="25" t="n">
        <v>4800</v>
      </c>
      <c r="G370" s="24" t="s">
        <v>59</v>
      </c>
      <c r="H370" s="24" t="s">
        <v>55</v>
      </c>
      <c r="I370" s="28" t="n">
        <f aca="false">IF(A370="","",D370*E370)</f>
        <v>7000</v>
      </c>
      <c r="J370" s="28" t="n">
        <f aca="false">IF(A370="","",D370*F370)</f>
        <v>4800</v>
      </c>
      <c r="K370" s="26" t="n">
        <f aca="false">IF(A370="","",YEAR(A370))</f>
        <v>2025</v>
      </c>
      <c r="L370" s="26" t="n">
        <f aca="false">IF(A370="","",MONTH(A370))</f>
        <v>7</v>
      </c>
    </row>
    <row r="371" customFormat="false" ht="15" hidden="false" customHeight="false" outlineLevel="0" collapsed="false">
      <c r="A371" s="23" t="n">
        <v>45859.5819444444</v>
      </c>
      <c r="B371" s="24" t="s">
        <v>1075</v>
      </c>
      <c r="C371" s="24" t="s">
        <v>1076</v>
      </c>
      <c r="D371" s="24" t="n">
        <v>1</v>
      </c>
      <c r="E371" s="25" t="n">
        <v>1000</v>
      </c>
      <c r="F371" s="25" t="n">
        <v>300</v>
      </c>
      <c r="G371" s="24" t="s">
        <v>59</v>
      </c>
      <c r="H371" s="24" t="s">
        <v>80</v>
      </c>
      <c r="I371" s="28" t="n">
        <f aca="false">IF(A371="","",D371*E371)</f>
        <v>1000</v>
      </c>
      <c r="J371" s="28" t="n">
        <f aca="false">IF(A371="","",D371*F371)</f>
        <v>300</v>
      </c>
      <c r="K371" s="26" t="n">
        <f aca="false">IF(A371="","",YEAR(A371))</f>
        <v>2025</v>
      </c>
      <c r="L371" s="26" t="n">
        <f aca="false">IF(A371="","",MONTH(A371))</f>
        <v>7</v>
      </c>
    </row>
    <row r="372" customFormat="false" ht="15" hidden="false" customHeight="false" outlineLevel="0" collapsed="false">
      <c r="A372" s="23" t="n">
        <v>45859.5826388889</v>
      </c>
      <c r="B372" s="24" t="s">
        <v>1079</v>
      </c>
      <c r="C372" s="24" t="s">
        <v>1080</v>
      </c>
      <c r="D372" s="24" t="n">
        <v>3</v>
      </c>
      <c r="E372" s="25" t="n">
        <v>2500</v>
      </c>
      <c r="F372" s="25" t="n">
        <v>1600</v>
      </c>
      <c r="G372" s="24" t="s">
        <v>59</v>
      </c>
      <c r="H372" s="24" t="s">
        <v>60</v>
      </c>
      <c r="I372" s="28" t="n">
        <f aca="false">IF(A372="","",D372*E372)</f>
        <v>7500</v>
      </c>
      <c r="J372" s="28" t="n">
        <f aca="false">IF(A372="","",D372*F372)</f>
        <v>4800</v>
      </c>
      <c r="K372" s="26" t="n">
        <f aca="false">IF(A372="","",YEAR(A372))</f>
        <v>2025</v>
      </c>
      <c r="L372" s="26" t="n">
        <f aca="false">IF(A372="","",MONTH(A372))</f>
        <v>7</v>
      </c>
    </row>
    <row r="373" customFormat="false" ht="15" hidden="false" customHeight="false" outlineLevel="0" collapsed="false">
      <c r="A373" s="23" t="n">
        <v>45859.7076388889</v>
      </c>
      <c r="B373" s="24" t="s">
        <v>1077</v>
      </c>
      <c r="C373" s="24" t="s">
        <v>1078</v>
      </c>
      <c r="D373" s="24" t="n">
        <v>2</v>
      </c>
      <c r="E373" s="25" t="n">
        <v>1500</v>
      </c>
      <c r="F373" s="25" t="n">
        <v>900</v>
      </c>
      <c r="G373" s="24" t="s">
        <v>59</v>
      </c>
      <c r="H373" s="24" t="s">
        <v>80</v>
      </c>
      <c r="I373" s="28" t="n">
        <f aca="false">IF(A373="","",D373*E373)</f>
        <v>3000</v>
      </c>
      <c r="J373" s="28" t="n">
        <f aca="false">IF(A373="","",D373*F373)</f>
        <v>1800</v>
      </c>
      <c r="K373" s="26" t="n">
        <f aca="false">IF(A373="","",YEAR(A373))</f>
        <v>2025</v>
      </c>
      <c r="L373" s="26" t="n">
        <f aca="false">IF(A373="","",MONTH(A373))</f>
        <v>7</v>
      </c>
    </row>
    <row r="374" customFormat="false" ht="15" hidden="false" customHeight="false" outlineLevel="0" collapsed="false">
      <c r="A374" s="23" t="n">
        <v>45861.3180555556</v>
      </c>
      <c r="B374" s="24" t="s">
        <v>1075</v>
      </c>
      <c r="C374" s="24" t="s">
        <v>1076</v>
      </c>
      <c r="D374" s="24" t="n">
        <v>2</v>
      </c>
      <c r="E374" s="25" t="n">
        <v>1000</v>
      </c>
      <c r="F374" s="25" t="n">
        <v>300</v>
      </c>
      <c r="G374" s="24" t="s">
        <v>59</v>
      </c>
      <c r="H374" s="24" t="s">
        <v>60</v>
      </c>
      <c r="I374" s="28" t="n">
        <f aca="false">IF(A374="","",D374*E374)</f>
        <v>2000</v>
      </c>
      <c r="J374" s="28" t="n">
        <f aca="false">IF(A374="","",D374*F374)</f>
        <v>600</v>
      </c>
      <c r="K374" s="26" t="n">
        <f aca="false">IF(A374="","",YEAR(A374))</f>
        <v>2025</v>
      </c>
      <c r="L374" s="26" t="n">
        <f aca="false">IF(A374="","",MONTH(A374))</f>
        <v>7</v>
      </c>
    </row>
    <row r="375" customFormat="false" ht="15" hidden="false" customHeight="false" outlineLevel="0" collapsed="false">
      <c r="A375" s="23" t="n">
        <v>45861.5409722222</v>
      </c>
      <c r="B375" s="24" t="s">
        <v>1079</v>
      </c>
      <c r="C375" s="24" t="s">
        <v>1080</v>
      </c>
      <c r="D375" s="24" t="n">
        <v>3</v>
      </c>
      <c r="E375" s="25" t="n">
        <v>2500</v>
      </c>
      <c r="F375" s="25" t="n">
        <v>1600</v>
      </c>
      <c r="G375" s="24" t="s">
        <v>59</v>
      </c>
      <c r="H375" s="24" t="s">
        <v>60</v>
      </c>
      <c r="I375" s="28" t="n">
        <f aca="false">IF(A375="","",D375*E375)</f>
        <v>7500</v>
      </c>
      <c r="J375" s="28" t="n">
        <f aca="false">IF(A375="","",D375*F375)</f>
        <v>4800</v>
      </c>
      <c r="K375" s="26" t="n">
        <f aca="false">IF(A375="","",YEAR(A375))</f>
        <v>2025</v>
      </c>
      <c r="L375" s="26" t="n">
        <f aca="false">IF(A375="","",MONTH(A375))</f>
        <v>7</v>
      </c>
    </row>
    <row r="376" customFormat="false" ht="15" hidden="false" customHeight="false" outlineLevel="0" collapsed="false">
      <c r="A376" s="23" t="n">
        <v>45861.8069444444</v>
      </c>
      <c r="B376" s="24" t="s">
        <v>1071</v>
      </c>
      <c r="C376" s="24" t="s">
        <v>1072</v>
      </c>
      <c r="D376" s="24" t="n">
        <v>3</v>
      </c>
      <c r="E376" s="25" t="n">
        <v>2000</v>
      </c>
      <c r="F376" s="25" t="n">
        <v>1100</v>
      </c>
      <c r="G376" s="24" t="s">
        <v>59</v>
      </c>
      <c r="H376" s="24" t="s">
        <v>55</v>
      </c>
      <c r="I376" s="28" t="n">
        <f aca="false">IF(A376="","",D376*E376)</f>
        <v>6000</v>
      </c>
      <c r="J376" s="28" t="n">
        <f aca="false">IF(A376="","",D376*F376)</f>
        <v>3300</v>
      </c>
      <c r="K376" s="26" t="n">
        <f aca="false">IF(A376="","",YEAR(A376))</f>
        <v>2025</v>
      </c>
      <c r="L376" s="26" t="n">
        <f aca="false">IF(A376="","",MONTH(A376))</f>
        <v>7</v>
      </c>
    </row>
    <row r="377" customFormat="false" ht="15" hidden="false" customHeight="false" outlineLevel="0" collapsed="false">
      <c r="A377" s="23" t="n">
        <v>45862.3083333333</v>
      </c>
      <c r="B377" s="24" t="s">
        <v>1081</v>
      </c>
      <c r="C377" s="24" t="s">
        <v>1082</v>
      </c>
      <c r="D377" s="24" t="n">
        <v>1</v>
      </c>
      <c r="E377" s="25" t="n">
        <v>2500</v>
      </c>
      <c r="F377" s="25" t="n">
        <v>1500</v>
      </c>
      <c r="G377" s="24" t="s">
        <v>59</v>
      </c>
      <c r="H377" s="24" t="s">
        <v>80</v>
      </c>
      <c r="I377" s="28" t="n">
        <f aca="false">IF(A377="","",D377*E377)</f>
        <v>2500</v>
      </c>
      <c r="J377" s="28" t="n">
        <f aca="false">IF(A377="","",D377*F377)</f>
        <v>1500</v>
      </c>
      <c r="K377" s="26" t="n">
        <f aca="false">IF(A377="","",YEAR(A377))</f>
        <v>2025</v>
      </c>
      <c r="L377" s="26" t="n">
        <f aca="false">IF(A377="","",MONTH(A377))</f>
        <v>7</v>
      </c>
    </row>
    <row r="378" customFormat="false" ht="15" hidden="false" customHeight="false" outlineLevel="0" collapsed="false">
      <c r="A378" s="23" t="n">
        <v>45862.7430555556</v>
      </c>
      <c r="B378" s="24" t="s">
        <v>1081</v>
      </c>
      <c r="C378" s="24" t="s">
        <v>1082</v>
      </c>
      <c r="D378" s="24" t="n">
        <v>1</v>
      </c>
      <c r="E378" s="25" t="n">
        <v>2500</v>
      </c>
      <c r="F378" s="25" t="n">
        <v>1500</v>
      </c>
      <c r="G378" s="24" t="s">
        <v>59</v>
      </c>
      <c r="H378" s="24" t="s">
        <v>80</v>
      </c>
      <c r="I378" s="28" t="n">
        <f aca="false">IF(A378="","",D378*E378)</f>
        <v>2500</v>
      </c>
      <c r="J378" s="28" t="n">
        <f aca="false">IF(A378="","",D378*F378)</f>
        <v>1500</v>
      </c>
      <c r="K378" s="26" t="n">
        <f aca="false">IF(A378="","",YEAR(A378))</f>
        <v>2025</v>
      </c>
      <c r="L378" s="26" t="n">
        <f aca="false">IF(A378="","",MONTH(A378))</f>
        <v>7</v>
      </c>
    </row>
    <row r="379" customFormat="false" ht="15" hidden="false" customHeight="false" outlineLevel="0" collapsed="false">
      <c r="A379" s="23" t="n">
        <v>45863.5465277778</v>
      </c>
      <c r="B379" s="24" t="s">
        <v>1065</v>
      </c>
      <c r="C379" s="24" t="s">
        <v>1066</v>
      </c>
      <c r="D379" s="24" t="n">
        <v>1</v>
      </c>
      <c r="E379" s="25" t="n">
        <v>3000</v>
      </c>
      <c r="F379" s="25" t="n">
        <v>2000</v>
      </c>
      <c r="G379" s="24" t="s">
        <v>59</v>
      </c>
      <c r="H379" s="24" t="s">
        <v>60</v>
      </c>
      <c r="I379" s="28" t="n">
        <f aca="false">IF(A379="","",D379*E379)</f>
        <v>3000</v>
      </c>
      <c r="J379" s="28" t="n">
        <f aca="false">IF(A379="","",D379*F379)</f>
        <v>2000</v>
      </c>
      <c r="K379" s="26" t="n">
        <f aca="false">IF(A379="","",YEAR(A379))</f>
        <v>2025</v>
      </c>
      <c r="L379" s="26" t="n">
        <f aca="false">IF(A379="","",MONTH(A379))</f>
        <v>7</v>
      </c>
    </row>
    <row r="380" customFormat="false" ht="15" hidden="false" customHeight="false" outlineLevel="0" collapsed="false">
      <c r="A380" s="23" t="n">
        <v>45863.7208333333</v>
      </c>
      <c r="B380" s="24" t="s">
        <v>1079</v>
      </c>
      <c r="C380" s="24" t="s">
        <v>1080</v>
      </c>
      <c r="D380" s="24" t="n">
        <v>2</v>
      </c>
      <c r="E380" s="25" t="n">
        <v>2500</v>
      </c>
      <c r="F380" s="25" t="n">
        <v>1600</v>
      </c>
      <c r="G380" s="24" t="s">
        <v>59</v>
      </c>
      <c r="H380" s="24" t="s">
        <v>60</v>
      </c>
      <c r="I380" s="28" t="n">
        <f aca="false">IF(A380="","",D380*E380)</f>
        <v>5000</v>
      </c>
      <c r="J380" s="28" t="n">
        <f aca="false">IF(A380="","",D380*F380)</f>
        <v>3200</v>
      </c>
      <c r="K380" s="26" t="n">
        <f aca="false">IF(A380="","",YEAR(A380))</f>
        <v>2025</v>
      </c>
      <c r="L380" s="26" t="n">
        <f aca="false">IF(A380="","",MONTH(A380))</f>
        <v>7</v>
      </c>
    </row>
    <row r="381" customFormat="false" ht="15" hidden="false" customHeight="false" outlineLevel="0" collapsed="false">
      <c r="A381" s="23" t="n">
        <v>45863.8319444444</v>
      </c>
      <c r="B381" s="24" t="s">
        <v>1067</v>
      </c>
      <c r="C381" s="24" t="s">
        <v>1068</v>
      </c>
      <c r="D381" s="24" t="n">
        <v>2</v>
      </c>
      <c r="E381" s="25" t="n">
        <v>4000</v>
      </c>
      <c r="F381" s="25" t="n">
        <v>2600</v>
      </c>
      <c r="G381" s="24" t="s">
        <v>59</v>
      </c>
      <c r="H381" s="24" t="s">
        <v>55</v>
      </c>
      <c r="I381" s="28" t="n">
        <f aca="false">IF(A381="","",D381*E381)</f>
        <v>8000</v>
      </c>
      <c r="J381" s="28" t="n">
        <f aca="false">IF(A381="","",D381*F381)</f>
        <v>5200</v>
      </c>
      <c r="K381" s="26" t="n">
        <f aca="false">IF(A381="","",YEAR(A381))</f>
        <v>2025</v>
      </c>
      <c r="L381" s="26" t="n">
        <f aca="false">IF(A381="","",MONTH(A381))</f>
        <v>7</v>
      </c>
    </row>
    <row r="382" customFormat="false" ht="15" hidden="false" customHeight="false" outlineLevel="0" collapsed="false">
      <c r="A382" s="23" t="n">
        <v>45863.8916666667</v>
      </c>
      <c r="B382" s="24" t="s">
        <v>1071</v>
      </c>
      <c r="C382" s="24" t="s">
        <v>1072</v>
      </c>
      <c r="D382" s="24" t="n">
        <v>2</v>
      </c>
      <c r="E382" s="25" t="n">
        <v>2000</v>
      </c>
      <c r="F382" s="25" t="n">
        <v>1100</v>
      </c>
      <c r="G382" s="24" t="s">
        <v>59</v>
      </c>
      <c r="H382" s="24" t="s">
        <v>55</v>
      </c>
      <c r="I382" s="28" t="n">
        <f aca="false">IF(A382="","",D382*E382)</f>
        <v>4000</v>
      </c>
      <c r="J382" s="28" t="n">
        <f aca="false">IF(A382="","",D382*F382)</f>
        <v>2200</v>
      </c>
      <c r="K382" s="26" t="n">
        <f aca="false">IF(A382="","",YEAR(A382))</f>
        <v>2025</v>
      </c>
      <c r="L382" s="26" t="n">
        <f aca="false">IF(A382="","",MONTH(A382))</f>
        <v>7</v>
      </c>
    </row>
    <row r="383" customFormat="false" ht="15" hidden="false" customHeight="false" outlineLevel="0" collapsed="false">
      <c r="A383" s="23" t="n">
        <v>45864.3215277778</v>
      </c>
      <c r="B383" s="24" t="s">
        <v>1065</v>
      </c>
      <c r="C383" s="24" t="s">
        <v>1066</v>
      </c>
      <c r="D383" s="24" t="n">
        <v>2</v>
      </c>
      <c r="E383" s="25" t="n">
        <v>3000</v>
      </c>
      <c r="F383" s="25" t="n">
        <v>2000</v>
      </c>
      <c r="G383" s="24" t="s">
        <v>59</v>
      </c>
      <c r="H383" s="24" t="s">
        <v>60</v>
      </c>
      <c r="I383" s="28" t="n">
        <f aca="false">IF(A383="","",D383*E383)</f>
        <v>6000</v>
      </c>
      <c r="J383" s="28" t="n">
        <f aca="false">IF(A383="","",D383*F383)</f>
        <v>4000</v>
      </c>
      <c r="K383" s="26" t="n">
        <f aca="false">IF(A383="","",YEAR(A383))</f>
        <v>2025</v>
      </c>
      <c r="L383" s="26" t="n">
        <f aca="false">IF(A383="","",MONTH(A383))</f>
        <v>7</v>
      </c>
    </row>
    <row r="384" customFormat="false" ht="15" hidden="false" customHeight="false" outlineLevel="0" collapsed="false">
      <c r="A384" s="23" t="n">
        <v>45864.4006944444</v>
      </c>
      <c r="B384" s="24" t="s">
        <v>1079</v>
      </c>
      <c r="C384" s="24" t="s">
        <v>1080</v>
      </c>
      <c r="D384" s="24" t="n">
        <v>3</v>
      </c>
      <c r="E384" s="25" t="n">
        <v>2500</v>
      </c>
      <c r="F384" s="25" t="n">
        <v>1600</v>
      </c>
      <c r="G384" s="24" t="s">
        <v>59</v>
      </c>
      <c r="H384" s="24" t="s">
        <v>80</v>
      </c>
      <c r="I384" s="28" t="n">
        <f aca="false">IF(A384="","",D384*E384)</f>
        <v>7500</v>
      </c>
      <c r="J384" s="28" t="n">
        <f aca="false">IF(A384="","",D384*F384)</f>
        <v>4800</v>
      </c>
      <c r="K384" s="26" t="n">
        <f aca="false">IF(A384="","",YEAR(A384))</f>
        <v>2025</v>
      </c>
      <c r="L384" s="26" t="n">
        <f aca="false">IF(A384="","",MONTH(A384))</f>
        <v>7</v>
      </c>
    </row>
    <row r="385" customFormat="false" ht="15" hidden="false" customHeight="false" outlineLevel="0" collapsed="false">
      <c r="A385" s="23" t="n">
        <v>45864.4159722222</v>
      </c>
      <c r="B385" s="24" t="s">
        <v>1075</v>
      </c>
      <c r="C385" s="24" t="s">
        <v>1076</v>
      </c>
      <c r="D385" s="24" t="n">
        <v>2</v>
      </c>
      <c r="E385" s="25" t="n">
        <v>1000</v>
      </c>
      <c r="F385" s="25" t="n">
        <v>300</v>
      </c>
      <c r="G385" s="24" t="s">
        <v>59</v>
      </c>
      <c r="H385" s="24" t="s">
        <v>60</v>
      </c>
      <c r="I385" s="28" t="n">
        <f aca="false">IF(A385="","",D385*E385)</f>
        <v>2000</v>
      </c>
      <c r="J385" s="28" t="n">
        <f aca="false">IF(A385="","",D385*F385)</f>
        <v>600</v>
      </c>
      <c r="K385" s="26" t="n">
        <f aca="false">IF(A385="","",YEAR(A385))</f>
        <v>2025</v>
      </c>
      <c r="L385" s="26" t="n">
        <f aca="false">IF(A385="","",MONTH(A385))</f>
        <v>7</v>
      </c>
    </row>
    <row r="386" customFormat="false" ht="15" hidden="false" customHeight="false" outlineLevel="0" collapsed="false">
      <c r="A386" s="23" t="n">
        <v>45864.4513888889</v>
      </c>
      <c r="B386" s="24" t="s">
        <v>1079</v>
      </c>
      <c r="C386" s="24" t="s">
        <v>1080</v>
      </c>
      <c r="D386" s="24" t="n">
        <v>1</v>
      </c>
      <c r="E386" s="25" t="n">
        <v>2500</v>
      </c>
      <c r="F386" s="25" t="n">
        <v>1600</v>
      </c>
      <c r="G386" s="24" t="s">
        <v>59</v>
      </c>
      <c r="H386" s="24" t="s">
        <v>60</v>
      </c>
      <c r="I386" s="28" t="n">
        <f aca="false">IF(A386="","",D386*E386)</f>
        <v>2500</v>
      </c>
      <c r="J386" s="28" t="n">
        <f aca="false">IF(A386="","",D386*F386)</f>
        <v>1600</v>
      </c>
      <c r="K386" s="26" t="n">
        <f aca="false">IF(A386="","",YEAR(A386))</f>
        <v>2025</v>
      </c>
      <c r="L386" s="26" t="n">
        <f aca="false">IF(A386="","",MONTH(A386))</f>
        <v>7</v>
      </c>
    </row>
    <row r="387" customFormat="false" ht="15" hidden="false" customHeight="false" outlineLevel="0" collapsed="false">
      <c r="A387" s="23" t="n">
        <v>45865.6819444444</v>
      </c>
      <c r="B387" s="24" t="s">
        <v>1069</v>
      </c>
      <c r="C387" s="24" t="s">
        <v>1070</v>
      </c>
      <c r="D387" s="24" t="n">
        <v>1</v>
      </c>
      <c r="E387" s="25" t="n">
        <v>4500</v>
      </c>
      <c r="F387" s="25" t="n">
        <v>3000</v>
      </c>
      <c r="G387" s="24" t="s">
        <v>69</v>
      </c>
      <c r="H387" s="24" t="s">
        <v>60</v>
      </c>
      <c r="I387" s="28" t="n">
        <f aca="false">IF(A387="","",D387*E387)</f>
        <v>4500</v>
      </c>
      <c r="J387" s="28" t="n">
        <f aca="false">IF(A387="","",D387*F387)</f>
        <v>3000</v>
      </c>
      <c r="K387" s="26" t="n">
        <f aca="false">IF(A387="","",YEAR(A387))</f>
        <v>2025</v>
      </c>
      <c r="L387" s="26" t="n">
        <f aca="false">IF(A387="","",MONTH(A387))</f>
        <v>7</v>
      </c>
    </row>
    <row r="388" customFormat="false" ht="15" hidden="false" customHeight="false" outlineLevel="0" collapsed="false">
      <c r="A388" s="23" t="n">
        <v>45866.6305555556</v>
      </c>
      <c r="B388" s="24" t="s">
        <v>1073</v>
      </c>
      <c r="C388" s="24" t="s">
        <v>1074</v>
      </c>
      <c r="D388" s="24" t="n">
        <v>1</v>
      </c>
      <c r="E388" s="25" t="n">
        <v>7000</v>
      </c>
      <c r="F388" s="25" t="n">
        <v>4800</v>
      </c>
      <c r="G388" s="24" t="s">
        <v>59</v>
      </c>
      <c r="H388" s="24" t="s">
        <v>55</v>
      </c>
      <c r="I388" s="28" t="n">
        <f aca="false">IF(A388="","",D388*E388)</f>
        <v>7000</v>
      </c>
      <c r="J388" s="28" t="n">
        <f aca="false">IF(A388="","",D388*F388)</f>
        <v>4800</v>
      </c>
      <c r="K388" s="26" t="n">
        <f aca="false">IF(A388="","",YEAR(A388))</f>
        <v>2025</v>
      </c>
      <c r="L388" s="26" t="n">
        <f aca="false">IF(A388="","",MONTH(A388))</f>
        <v>7</v>
      </c>
    </row>
    <row r="389" customFormat="false" ht="15" hidden="false" customHeight="false" outlineLevel="0" collapsed="false">
      <c r="A389" s="23" t="n">
        <v>45866.6402777778</v>
      </c>
      <c r="B389" s="24" t="s">
        <v>1079</v>
      </c>
      <c r="C389" s="24" t="s">
        <v>1080</v>
      </c>
      <c r="D389" s="24" t="n">
        <v>2</v>
      </c>
      <c r="E389" s="25" t="n">
        <v>2500</v>
      </c>
      <c r="F389" s="25" t="n">
        <v>1600</v>
      </c>
      <c r="G389" s="24" t="s">
        <v>69</v>
      </c>
      <c r="H389" s="24" t="s">
        <v>80</v>
      </c>
      <c r="I389" s="28" t="n">
        <f aca="false">IF(A389="","",D389*E389)</f>
        <v>5000</v>
      </c>
      <c r="J389" s="28" t="n">
        <f aca="false">IF(A389="","",D389*F389)</f>
        <v>3200</v>
      </c>
      <c r="K389" s="26" t="n">
        <f aca="false">IF(A389="","",YEAR(A389))</f>
        <v>2025</v>
      </c>
      <c r="L389" s="26" t="n">
        <f aca="false">IF(A389="","",MONTH(A389))</f>
        <v>7</v>
      </c>
    </row>
    <row r="390" customFormat="false" ht="15" hidden="false" customHeight="false" outlineLevel="0" collapsed="false">
      <c r="A390" s="23" t="n">
        <v>45866.8361111111</v>
      </c>
      <c r="B390" s="24" t="s">
        <v>1071</v>
      </c>
      <c r="C390" s="24" t="s">
        <v>1072</v>
      </c>
      <c r="D390" s="24" t="n">
        <v>3</v>
      </c>
      <c r="E390" s="25" t="n">
        <v>2000</v>
      </c>
      <c r="F390" s="25" t="n">
        <v>1100</v>
      </c>
      <c r="G390" s="24" t="s">
        <v>59</v>
      </c>
      <c r="H390" s="24" t="s">
        <v>80</v>
      </c>
      <c r="I390" s="28" t="n">
        <f aca="false">IF(A390="","",D390*E390)</f>
        <v>6000</v>
      </c>
      <c r="J390" s="28" t="n">
        <f aca="false">IF(A390="","",D390*F390)</f>
        <v>3300</v>
      </c>
      <c r="K390" s="26" t="n">
        <f aca="false">IF(A390="","",YEAR(A390))</f>
        <v>2025</v>
      </c>
      <c r="L390" s="26" t="n">
        <f aca="false">IF(A390="","",MONTH(A390))</f>
        <v>7</v>
      </c>
    </row>
    <row r="391" customFormat="false" ht="15" hidden="false" customHeight="false" outlineLevel="0" collapsed="false">
      <c r="A391" s="23" t="n">
        <v>45866.8881944444</v>
      </c>
      <c r="B391" s="24" t="s">
        <v>1081</v>
      </c>
      <c r="C391" s="24" t="s">
        <v>1082</v>
      </c>
      <c r="D391" s="24" t="n">
        <v>1</v>
      </c>
      <c r="E391" s="25" t="n">
        <v>2500</v>
      </c>
      <c r="F391" s="25" t="n">
        <v>1500</v>
      </c>
      <c r="G391" s="24" t="s">
        <v>69</v>
      </c>
      <c r="H391" s="24" t="s">
        <v>55</v>
      </c>
      <c r="I391" s="28" t="n">
        <f aca="false">IF(A391="","",D391*E391)</f>
        <v>2500</v>
      </c>
      <c r="J391" s="28" t="n">
        <f aca="false">IF(A391="","",D391*F391)</f>
        <v>1500</v>
      </c>
      <c r="K391" s="26" t="n">
        <f aca="false">IF(A391="","",YEAR(A391))</f>
        <v>2025</v>
      </c>
      <c r="L391" s="26" t="n">
        <f aca="false">IF(A391="","",MONTH(A391))</f>
        <v>7</v>
      </c>
    </row>
    <row r="392" customFormat="false" ht="15" hidden="false" customHeight="false" outlineLevel="0" collapsed="false">
      <c r="A392" s="23" t="n">
        <v>45870.5131944444</v>
      </c>
      <c r="B392" s="24" t="s">
        <v>1071</v>
      </c>
      <c r="C392" s="24" t="s">
        <v>1072</v>
      </c>
      <c r="D392" s="24" t="n">
        <v>1</v>
      </c>
      <c r="E392" s="25" t="n">
        <v>2000</v>
      </c>
      <c r="F392" s="25" t="n">
        <v>1100</v>
      </c>
      <c r="G392" s="24" t="s">
        <v>59</v>
      </c>
      <c r="H392" s="24" t="s">
        <v>80</v>
      </c>
      <c r="I392" s="28" t="n">
        <f aca="false">IF(A392="","",D392*E392)</f>
        <v>2000</v>
      </c>
      <c r="J392" s="28" t="n">
        <f aca="false">IF(A392="","",D392*F392)</f>
        <v>1100</v>
      </c>
      <c r="K392" s="26" t="n">
        <f aca="false">IF(A392="","",YEAR(A392))</f>
        <v>2025</v>
      </c>
      <c r="L392" s="26" t="n">
        <f aca="false">IF(A392="","",MONTH(A392))</f>
        <v>8</v>
      </c>
    </row>
    <row r="393" customFormat="false" ht="15" hidden="false" customHeight="false" outlineLevel="0" collapsed="false">
      <c r="A393" s="23" t="n">
        <v>45872.4527777778</v>
      </c>
      <c r="B393" s="24" t="s">
        <v>1081</v>
      </c>
      <c r="C393" s="24" t="s">
        <v>1082</v>
      </c>
      <c r="D393" s="24" t="n">
        <v>1</v>
      </c>
      <c r="E393" s="25" t="n">
        <v>2500</v>
      </c>
      <c r="F393" s="25" t="n">
        <v>1500</v>
      </c>
      <c r="G393" s="24" t="s">
        <v>59</v>
      </c>
      <c r="H393" s="24" t="s">
        <v>80</v>
      </c>
      <c r="I393" s="28" t="n">
        <f aca="false">IF(A393="","",D393*E393)</f>
        <v>2500</v>
      </c>
      <c r="J393" s="28" t="n">
        <f aca="false">IF(A393="","",D393*F393)</f>
        <v>1500</v>
      </c>
      <c r="K393" s="26" t="n">
        <f aca="false">IF(A393="","",YEAR(A393))</f>
        <v>2025</v>
      </c>
      <c r="L393" s="26" t="n">
        <f aca="false">IF(A393="","",MONTH(A393))</f>
        <v>8</v>
      </c>
    </row>
    <row r="394" customFormat="false" ht="15" hidden="false" customHeight="false" outlineLevel="0" collapsed="false">
      <c r="A394" s="23" t="n">
        <v>45873.30625</v>
      </c>
      <c r="B394" s="24" t="s">
        <v>1075</v>
      </c>
      <c r="C394" s="24" t="s">
        <v>1076</v>
      </c>
      <c r="D394" s="24" t="n">
        <v>1</v>
      </c>
      <c r="E394" s="25" t="n">
        <v>1000</v>
      </c>
      <c r="F394" s="25" t="n">
        <v>300</v>
      </c>
      <c r="G394" s="24" t="s">
        <v>59</v>
      </c>
      <c r="H394" s="24" t="s">
        <v>55</v>
      </c>
      <c r="I394" s="28" t="n">
        <f aca="false">IF(A394="","",D394*E394)</f>
        <v>1000</v>
      </c>
      <c r="J394" s="28" t="n">
        <f aca="false">IF(A394="","",D394*F394)</f>
        <v>300</v>
      </c>
      <c r="K394" s="26" t="n">
        <f aca="false">IF(A394="","",YEAR(A394))</f>
        <v>2025</v>
      </c>
      <c r="L394" s="26" t="n">
        <f aca="false">IF(A394="","",MONTH(A394))</f>
        <v>8</v>
      </c>
    </row>
    <row r="395" customFormat="false" ht="15" hidden="false" customHeight="false" outlineLevel="0" collapsed="false">
      <c r="A395" s="23" t="n">
        <v>45873.4034722222</v>
      </c>
      <c r="B395" s="24" t="s">
        <v>1081</v>
      </c>
      <c r="C395" s="24" t="s">
        <v>1082</v>
      </c>
      <c r="D395" s="24" t="n">
        <v>1</v>
      </c>
      <c r="E395" s="25" t="n">
        <v>2500</v>
      </c>
      <c r="F395" s="25" t="n">
        <v>1500</v>
      </c>
      <c r="G395" s="24" t="s">
        <v>59</v>
      </c>
      <c r="H395" s="24" t="s">
        <v>80</v>
      </c>
      <c r="I395" s="28" t="n">
        <f aca="false">IF(A395="","",D395*E395)</f>
        <v>2500</v>
      </c>
      <c r="J395" s="28" t="n">
        <f aca="false">IF(A395="","",D395*F395)</f>
        <v>1500</v>
      </c>
      <c r="K395" s="26" t="n">
        <f aca="false">IF(A395="","",YEAR(A395))</f>
        <v>2025</v>
      </c>
      <c r="L395" s="26" t="n">
        <f aca="false">IF(A395="","",MONTH(A395))</f>
        <v>8</v>
      </c>
    </row>
    <row r="396" customFormat="false" ht="15" hidden="false" customHeight="false" outlineLevel="0" collapsed="false">
      <c r="A396" s="23" t="n">
        <v>45873.6729166667</v>
      </c>
      <c r="B396" s="24" t="s">
        <v>1079</v>
      </c>
      <c r="C396" s="24" t="s">
        <v>1080</v>
      </c>
      <c r="D396" s="24" t="n">
        <v>2</v>
      </c>
      <c r="E396" s="25" t="n">
        <v>2500</v>
      </c>
      <c r="F396" s="25" t="n">
        <v>1600</v>
      </c>
      <c r="G396" s="24" t="s">
        <v>59</v>
      </c>
      <c r="H396" s="24" t="s">
        <v>60</v>
      </c>
      <c r="I396" s="28" t="n">
        <f aca="false">IF(A396="","",D396*E396)</f>
        <v>5000</v>
      </c>
      <c r="J396" s="28" t="n">
        <f aca="false">IF(A396="","",D396*F396)</f>
        <v>3200</v>
      </c>
      <c r="K396" s="26" t="n">
        <f aca="false">IF(A396="","",YEAR(A396))</f>
        <v>2025</v>
      </c>
      <c r="L396" s="26" t="n">
        <f aca="false">IF(A396="","",MONTH(A396))</f>
        <v>8</v>
      </c>
    </row>
    <row r="397" customFormat="false" ht="15" hidden="false" customHeight="false" outlineLevel="0" collapsed="false">
      <c r="A397" s="23" t="n">
        <v>45874.3166666667</v>
      </c>
      <c r="B397" s="24" t="s">
        <v>1065</v>
      </c>
      <c r="C397" s="24" t="s">
        <v>1066</v>
      </c>
      <c r="D397" s="24" t="n">
        <v>1</v>
      </c>
      <c r="E397" s="25" t="n">
        <v>3000</v>
      </c>
      <c r="F397" s="25" t="n">
        <v>2000</v>
      </c>
      <c r="G397" s="24" t="s">
        <v>59</v>
      </c>
      <c r="H397" s="24" t="s">
        <v>60</v>
      </c>
      <c r="I397" s="28" t="n">
        <f aca="false">IF(A397="","",D397*E397)</f>
        <v>3000</v>
      </c>
      <c r="J397" s="28" t="n">
        <f aca="false">IF(A397="","",D397*F397)</f>
        <v>2000</v>
      </c>
      <c r="K397" s="26" t="n">
        <f aca="false">IF(A397="","",YEAR(A397))</f>
        <v>2025</v>
      </c>
      <c r="L397" s="26" t="n">
        <f aca="false">IF(A397="","",MONTH(A397))</f>
        <v>8</v>
      </c>
    </row>
    <row r="398" customFormat="false" ht="15" hidden="false" customHeight="false" outlineLevel="0" collapsed="false">
      <c r="A398" s="23" t="n">
        <v>45874.73125</v>
      </c>
      <c r="B398" s="24" t="s">
        <v>1071</v>
      </c>
      <c r="C398" s="24" t="s">
        <v>1072</v>
      </c>
      <c r="D398" s="24" t="n">
        <v>1</v>
      </c>
      <c r="E398" s="25" t="n">
        <v>2000</v>
      </c>
      <c r="F398" s="25" t="n">
        <v>1100</v>
      </c>
      <c r="G398" s="24" t="s">
        <v>59</v>
      </c>
      <c r="H398" s="24" t="s">
        <v>55</v>
      </c>
      <c r="I398" s="28" t="n">
        <f aca="false">IF(A398="","",D398*E398)</f>
        <v>2000</v>
      </c>
      <c r="J398" s="28" t="n">
        <f aca="false">IF(A398="","",D398*F398)</f>
        <v>1100</v>
      </c>
      <c r="K398" s="26" t="n">
        <f aca="false">IF(A398="","",YEAR(A398))</f>
        <v>2025</v>
      </c>
      <c r="L398" s="26" t="n">
        <f aca="false">IF(A398="","",MONTH(A398))</f>
        <v>8</v>
      </c>
    </row>
    <row r="399" customFormat="false" ht="15" hidden="false" customHeight="false" outlineLevel="0" collapsed="false">
      <c r="A399" s="23" t="n">
        <v>45875.3902777778</v>
      </c>
      <c r="B399" s="24" t="s">
        <v>1075</v>
      </c>
      <c r="C399" s="24" t="s">
        <v>1076</v>
      </c>
      <c r="D399" s="24" t="n">
        <v>3</v>
      </c>
      <c r="E399" s="25" t="n">
        <v>1000</v>
      </c>
      <c r="F399" s="25" t="n">
        <v>300</v>
      </c>
      <c r="G399" s="24" t="s">
        <v>69</v>
      </c>
      <c r="H399" s="24" t="s">
        <v>55</v>
      </c>
      <c r="I399" s="28" t="n">
        <f aca="false">IF(A399="","",D399*E399)</f>
        <v>3000</v>
      </c>
      <c r="J399" s="28" t="n">
        <f aca="false">IF(A399="","",D399*F399)</f>
        <v>900</v>
      </c>
      <c r="K399" s="26" t="n">
        <f aca="false">IF(A399="","",YEAR(A399))</f>
        <v>2025</v>
      </c>
      <c r="L399" s="26" t="n">
        <f aca="false">IF(A399="","",MONTH(A399))</f>
        <v>8</v>
      </c>
    </row>
    <row r="400" customFormat="false" ht="15" hidden="false" customHeight="false" outlineLevel="0" collapsed="false">
      <c r="A400" s="23" t="n">
        <v>45875.4152777778</v>
      </c>
      <c r="B400" s="24" t="s">
        <v>1071</v>
      </c>
      <c r="C400" s="24" t="s">
        <v>1072</v>
      </c>
      <c r="D400" s="24" t="n">
        <v>1</v>
      </c>
      <c r="E400" s="25" t="n">
        <v>2000</v>
      </c>
      <c r="F400" s="25" t="n">
        <v>1100</v>
      </c>
      <c r="G400" s="24" t="s">
        <v>59</v>
      </c>
      <c r="H400" s="24" t="s">
        <v>55</v>
      </c>
      <c r="I400" s="28" t="n">
        <f aca="false">IF(A400="","",D400*E400)</f>
        <v>2000</v>
      </c>
      <c r="J400" s="28" t="n">
        <f aca="false">IF(A400="","",D400*F400)</f>
        <v>1100</v>
      </c>
      <c r="K400" s="26" t="n">
        <f aca="false">IF(A400="","",YEAR(A400))</f>
        <v>2025</v>
      </c>
      <c r="L400" s="26" t="n">
        <f aca="false">IF(A400="","",MONTH(A400))</f>
        <v>8</v>
      </c>
    </row>
    <row r="401" customFormat="false" ht="15" hidden="false" customHeight="false" outlineLevel="0" collapsed="false">
      <c r="A401" s="23" t="n">
        <v>45875.4354166667</v>
      </c>
      <c r="B401" s="24" t="s">
        <v>1079</v>
      </c>
      <c r="C401" s="24" t="s">
        <v>1080</v>
      </c>
      <c r="D401" s="24" t="n">
        <v>3</v>
      </c>
      <c r="E401" s="25" t="n">
        <v>2500</v>
      </c>
      <c r="F401" s="25" t="n">
        <v>1600</v>
      </c>
      <c r="G401" s="24" t="s">
        <v>69</v>
      </c>
      <c r="H401" s="24" t="s">
        <v>80</v>
      </c>
      <c r="I401" s="28" t="n">
        <f aca="false">IF(A401="","",D401*E401)</f>
        <v>7500</v>
      </c>
      <c r="J401" s="28" t="n">
        <f aca="false">IF(A401="","",D401*F401)</f>
        <v>4800</v>
      </c>
      <c r="K401" s="26" t="n">
        <f aca="false">IF(A401="","",YEAR(A401))</f>
        <v>2025</v>
      </c>
      <c r="L401" s="26" t="n">
        <f aca="false">IF(A401="","",MONTH(A401))</f>
        <v>8</v>
      </c>
    </row>
    <row r="402" customFormat="false" ht="15" hidden="false" customHeight="false" outlineLevel="0" collapsed="false">
      <c r="A402" s="23" t="n">
        <v>45876.8055555556</v>
      </c>
      <c r="B402" s="24" t="s">
        <v>1067</v>
      </c>
      <c r="C402" s="24" t="s">
        <v>1068</v>
      </c>
      <c r="D402" s="24" t="n">
        <v>1</v>
      </c>
      <c r="E402" s="25" t="n">
        <v>4000</v>
      </c>
      <c r="F402" s="25" t="n">
        <v>2600</v>
      </c>
      <c r="G402" s="24" t="s">
        <v>59</v>
      </c>
      <c r="H402" s="24" t="s">
        <v>60</v>
      </c>
      <c r="I402" s="28" t="n">
        <f aca="false">IF(A402="","",D402*E402)</f>
        <v>4000</v>
      </c>
      <c r="J402" s="28" t="n">
        <f aca="false">IF(A402="","",D402*F402)</f>
        <v>2600</v>
      </c>
      <c r="K402" s="26" t="n">
        <f aca="false">IF(A402="","",YEAR(A402))</f>
        <v>2025</v>
      </c>
      <c r="L402" s="26" t="n">
        <f aca="false">IF(A402="","",MONTH(A402))</f>
        <v>8</v>
      </c>
    </row>
    <row r="403" customFormat="false" ht="15" hidden="false" customHeight="false" outlineLevel="0" collapsed="false">
      <c r="A403" s="23" t="n">
        <v>45877.7805555556</v>
      </c>
      <c r="B403" s="24" t="s">
        <v>1065</v>
      </c>
      <c r="C403" s="24" t="s">
        <v>1066</v>
      </c>
      <c r="D403" s="24" t="n">
        <v>1</v>
      </c>
      <c r="E403" s="25" t="n">
        <v>3000</v>
      </c>
      <c r="F403" s="25" t="n">
        <v>2000</v>
      </c>
      <c r="G403" s="24" t="s">
        <v>69</v>
      </c>
      <c r="H403" s="24" t="s">
        <v>60</v>
      </c>
      <c r="I403" s="28" t="n">
        <f aca="false">IF(A403="","",D403*E403)</f>
        <v>3000</v>
      </c>
      <c r="J403" s="28" t="n">
        <f aca="false">IF(A403="","",D403*F403)</f>
        <v>2000</v>
      </c>
      <c r="K403" s="26" t="n">
        <f aca="false">IF(A403="","",YEAR(A403))</f>
        <v>2025</v>
      </c>
      <c r="L403" s="26" t="n">
        <f aca="false">IF(A403="","",MONTH(A403))</f>
        <v>8</v>
      </c>
    </row>
    <row r="404" customFormat="false" ht="15" hidden="false" customHeight="false" outlineLevel="0" collapsed="false">
      <c r="A404" s="23" t="n">
        <v>45878.5979166667</v>
      </c>
      <c r="B404" s="24" t="s">
        <v>1067</v>
      </c>
      <c r="C404" s="24" t="s">
        <v>1068</v>
      </c>
      <c r="D404" s="24" t="n">
        <v>3</v>
      </c>
      <c r="E404" s="25" t="n">
        <v>4000</v>
      </c>
      <c r="F404" s="25" t="n">
        <v>2600</v>
      </c>
      <c r="G404" s="24" t="s">
        <v>59</v>
      </c>
      <c r="H404" s="24" t="s">
        <v>60</v>
      </c>
      <c r="I404" s="28" t="n">
        <f aca="false">IF(A404="","",D404*E404)</f>
        <v>12000</v>
      </c>
      <c r="J404" s="28" t="n">
        <f aca="false">IF(A404="","",D404*F404)</f>
        <v>7800</v>
      </c>
      <c r="K404" s="26" t="n">
        <f aca="false">IF(A404="","",YEAR(A404))</f>
        <v>2025</v>
      </c>
      <c r="L404" s="26" t="n">
        <f aca="false">IF(A404="","",MONTH(A404))</f>
        <v>8</v>
      </c>
    </row>
    <row r="405" customFormat="false" ht="15" hidden="false" customHeight="false" outlineLevel="0" collapsed="false">
      <c r="A405" s="23" t="n">
        <v>45879.29375</v>
      </c>
      <c r="B405" s="24" t="s">
        <v>1079</v>
      </c>
      <c r="C405" s="24" t="s">
        <v>1080</v>
      </c>
      <c r="D405" s="24" t="n">
        <v>3</v>
      </c>
      <c r="E405" s="25" t="n">
        <v>2500</v>
      </c>
      <c r="F405" s="25" t="n">
        <v>1600</v>
      </c>
      <c r="G405" s="24" t="s">
        <v>69</v>
      </c>
      <c r="H405" s="24" t="s">
        <v>60</v>
      </c>
      <c r="I405" s="28" t="n">
        <f aca="false">IF(A405="","",D405*E405)</f>
        <v>7500</v>
      </c>
      <c r="J405" s="28" t="n">
        <f aca="false">IF(A405="","",D405*F405)</f>
        <v>4800</v>
      </c>
      <c r="K405" s="26" t="n">
        <f aca="false">IF(A405="","",YEAR(A405))</f>
        <v>2025</v>
      </c>
      <c r="L405" s="26" t="n">
        <f aca="false">IF(A405="","",MONTH(A405))</f>
        <v>8</v>
      </c>
    </row>
    <row r="406" customFormat="false" ht="15" hidden="false" customHeight="false" outlineLevel="0" collapsed="false">
      <c r="A406" s="23" t="n">
        <v>45880.3256944444</v>
      </c>
      <c r="B406" s="24" t="s">
        <v>1077</v>
      </c>
      <c r="C406" s="24" t="s">
        <v>1078</v>
      </c>
      <c r="D406" s="24" t="n">
        <v>1</v>
      </c>
      <c r="E406" s="25" t="n">
        <v>1500</v>
      </c>
      <c r="F406" s="25" t="n">
        <v>900</v>
      </c>
      <c r="G406" s="24" t="s">
        <v>59</v>
      </c>
      <c r="H406" s="24" t="s">
        <v>60</v>
      </c>
      <c r="I406" s="28" t="n">
        <f aca="false">IF(A406="","",D406*E406)</f>
        <v>1500</v>
      </c>
      <c r="J406" s="28" t="n">
        <f aca="false">IF(A406="","",D406*F406)</f>
        <v>900</v>
      </c>
      <c r="K406" s="26" t="n">
        <f aca="false">IF(A406="","",YEAR(A406))</f>
        <v>2025</v>
      </c>
      <c r="L406" s="26" t="n">
        <f aca="false">IF(A406="","",MONTH(A406))</f>
        <v>8</v>
      </c>
    </row>
    <row r="407" customFormat="false" ht="15" hidden="false" customHeight="false" outlineLevel="0" collapsed="false">
      <c r="A407" s="23" t="n">
        <v>45880.575</v>
      </c>
      <c r="B407" s="24" t="s">
        <v>1081</v>
      </c>
      <c r="C407" s="24" t="s">
        <v>1082</v>
      </c>
      <c r="D407" s="24" t="n">
        <v>3</v>
      </c>
      <c r="E407" s="25" t="n">
        <v>2500</v>
      </c>
      <c r="F407" s="25" t="n">
        <v>1500</v>
      </c>
      <c r="G407" s="24" t="s">
        <v>59</v>
      </c>
      <c r="H407" s="24" t="s">
        <v>60</v>
      </c>
      <c r="I407" s="28" t="n">
        <f aca="false">IF(A407="","",D407*E407)</f>
        <v>7500</v>
      </c>
      <c r="J407" s="28" t="n">
        <f aca="false">IF(A407="","",D407*F407)</f>
        <v>4500</v>
      </c>
      <c r="K407" s="26" t="n">
        <f aca="false">IF(A407="","",YEAR(A407))</f>
        <v>2025</v>
      </c>
      <c r="L407" s="26" t="n">
        <f aca="false">IF(A407="","",MONTH(A407))</f>
        <v>8</v>
      </c>
    </row>
    <row r="408" customFormat="false" ht="15" hidden="false" customHeight="false" outlineLevel="0" collapsed="false">
      <c r="A408" s="23" t="n">
        <v>45881.3402777778</v>
      </c>
      <c r="B408" s="24" t="s">
        <v>1079</v>
      </c>
      <c r="C408" s="24" t="s">
        <v>1080</v>
      </c>
      <c r="D408" s="24" t="n">
        <v>2</v>
      </c>
      <c r="E408" s="25" t="n">
        <v>2500</v>
      </c>
      <c r="F408" s="25" t="n">
        <v>1600</v>
      </c>
      <c r="G408" s="24" t="s">
        <v>69</v>
      </c>
      <c r="H408" s="24" t="s">
        <v>55</v>
      </c>
      <c r="I408" s="28" t="n">
        <f aca="false">IF(A408="","",D408*E408)</f>
        <v>5000</v>
      </c>
      <c r="J408" s="28" t="n">
        <f aca="false">IF(A408="","",D408*F408)</f>
        <v>3200</v>
      </c>
      <c r="K408" s="26" t="n">
        <f aca="false">IF(A408="","",YEAR(A408))</f>
        <v>2025</v>
      </c>
      <c r="L408" s="26" t="n">
        <f aca="false">IF(A408="","",MONTH(A408))</f>
        <v>8</v>
      </c>
    </row>
    <row r="409" customFormat="false" ht="15" hidden="false" customHeight="false" outlineLevel="0" collapsed="false">
      <c r="A409" s="23" t="n">
        <v>45881.7756944444</v>
      </c>
      <c r="B409" s="24" t="s">
        <v>1065</v>
      </c>
      <c r="C409" s="24" t="s">
        <v>1066</v>
      </c>
      <c r="D409" s="24" t="n">
        <v>2</v>
      </c>
      <c r="E409" s="25" t="n">
        <v>3000</v>
      </c>
      <c r="F409" s="25" t="n">
        <v>2000</v>
      </c>
      <c r="G409" s="24" t="s">
        <v>59</v>
      </c>
      <c r="H409" s="24" t="s">
        <v>80</v>
      </c>
      <c r="I409" s="28" t="n">
        <f aca="false">IF(A409="","",D409*E409)</f>
        <v>6000</v>
      </c>
      <c r="J409" s="28" t="n">
        <f aca="false">IF(A409="","",D409*F409)</f>
        <v>4000</v>
      </c>
      <c r="K409" s="26" t="n">
        <f aca="false">IF(A409="","",YEAR(A409))</f>
        <v>2025</v>
      </c>
      <c r="L409" s="26" t="n">
        <f aca="false">IF(A409="","",MONTH(A409))</f>
        <v>8</v>
      </c>
    </row>
    <row r="410" customFormat="false" ht="15" hidden="false" customHeight="false" outlineLevel="0" collapsed="false">
      <c r="A410" s="23" t="n">
        <v>45882.3930555556</v>
      </c>
      <c r="B410" s="24" t="s">
        <v>1077</v>
      </c>
      <c r="C410" s="24" t="s">
        <v>1078</v>
      </c>
      <c r="D410" s="24" t="n">
        <v>3</v>
      </c>
      <c r="E410" s="25" t="n">
        <v>1500</v>
      </c>
      <c r="F410" s="25" t="n">
        <v>900</v>
      </c>
      <c r="G410" s="24" t="s">
        <v>59</v>
      </c>
      <c r="H410" s="24" t="s">
        <v>60</v>
      </c>
      <c r="I410" s="28" t="n">
        <f aca="false">IF(A410="","",D410*E410)</f>
        <v>4500</v>
      </c>
      <c r="J410" s="28" t="n">
        <f aca="false">IF(A410="","",D410*F410)</f>
        <v>2700</v>
      </c>
      <c r="K410" s="26" t="n">
        <f aca="false">IF(A410="","",YEAR(A410))</f>
        <v>2025</v>
      </c>
      <c r="L410" s="26" t="n">
        <f aca="false">IF(A410="","",MONTH(A410))</f>
        <v>8</v>
      </c>
    </row>
    <row r="411" customFormat="false" ht="15" hidden="false" customHeight="false" outlineLevel="0" collapsed="false">
      <c r="A411" s="23" t="n">
        <v>45882.6048611111</v>
      </c>
      <c r="B411" s="24" t="s">
        <v>1075</v>
      </c>
      <c r="C411" s="24" t="s">
        <v>1076</v>
      </c>
      <c r="D411" s="24" t="n">
        <v>1</v>
      </c>
      <c r="E411" s="25" t="n">
        <v>1000</v>
      </c>
      <c r="F411" s="25" t="n">
        <v>300</v>
      </c>
      <c r="G411" s="24" t="s">
        <v>59</v>
      </c>
      <c r="H411" s="24" t="s">
        <v>60</v>
      </c>
      <c r="I411" s="28" t="n">
        <f aca="false">IF(A411="","",D411*E411)</f>
        <v>1000</v>
      </c>
      <c r="J411" s="28" t="n">
        <f aca="false">IF(A411="","",D411*F411)</f>
        <v>300</v>
      </c>
      <c r="K411" s="26" t="n">
        <f aca="false">IF(A411="","",YEAR(A411))</f>
        <v>2025</v>
      </c>
      <c r="L411" s="26" t="n">
        <f aca="false">IF(A411="","",MONTH(A411))</f>
        <v>8</v>
      </c>
    </row>
    <row r="412" customFormat="false" ht="15" hidden="false" customHeight="false" outlineLevel="0" collapsed="false">
      <c r="A412" s="23" t="n">
        <v>45883.3326388889</v>
      </c>
      <c r="B412" s="24" t="s">
        <v>1069</v>
      </c>
      <c r="C412" s="24" t="s">
        <v>1070</v>
      </c>
      <c r="D412" s="24" t="n">
        <v>1</v>
      </c>
      <c r="E412" s="25" t="n">
        <v>4500</v>
      </c>
      <c r="F412" s="25" t="n">
        <v>3000</v>
      </c>
      <c r="G412" s="24" t="s">
        <v>59</v>
      </c>
      <c r="H412" s="24" t="s">
        <v>60</v>
      </c>
      <c r="I412" s="28" t="n">
        <f aca="false">IF(A412="","",D412*E412)</f>
        <v>4500</v>
      </c>
      <c r="J412" s="28" t="n">
        <f aca="false">IF(A412="","",D412*F412)</f>
        <v>3000</v>
      </c>
      <c r="K412" s="26" t="n">
        <f aca="false">IF(A412="","",YEAR(A412))</f>
        <v>2025</v>
      </c>
      <c r="L412" s="26" t="n">
        <f aca="false">IF(A412="","",MONTH(A412))</f>
        <v>8</v>
      </c>
    </row>
    <row r="413" customFormat="false" ht="15" hidden="false" customHeight="false" outlineLevel="0" collapsed="false">
      <c r="A413" s="23" t="n">
        <v>45886.8145833333</v>
      </c>
      <c r="B413" s="24" t="s">
        <v>1067</v>
      </c>
      <c r="C413" s="24" t="s">
        <v>1068</v>
      </c>
      <c r="D413" s="24" t="n">
        <v>3</v>
      </c>
      <c r="E413" s="25" t="n">
        <v>4000</v>
      </c>
      <c r="F413" s="25" t="n">
        <v>2600</v>
      </c>
      <c r="G413" s="24" t="s">
        <v>59</v>
      </c>
      <c r="H413" s="24" t="s">
        <v>60</v>
      </c>
      <c r="I413" s="28" t="n">
        <f aca="false">IF(A413="","",D413*E413)</f>
        <v>12000</v>
      </c>
      <c r="J413" s="28" t="n">
        <f aca="false">IF(A413="","",D413*F413)</f>
        <v>7800</v>
      </c>
      <c r="K413" s="26" t="n">
        <f aca="false">IF(A413="","",YEAR(A413))</f>
        <v>2025</v>
      </c>
      <c r="L413" s="26" t="n">
        <f aca="false">IF(A413="","",MONTH(A413))</f>
        <v>8</v>
      </c>
    </row>
    <row r="414" customFormat="false" ht="15" hidden="false" customHeight="false" outlineLevel="0" collapsed="false">
      <c r="A414" s="23" t="n">
        <v>45887.3479166667</v>
      </c>
      <c r="B414" s="24" t="s">
        <v>1077</v>
      </c>
      <c r="C414" s="24" t="s">
        <v>1078</v>
      </c>
      <c r="D414" s="24" t="n">
        <v>1</v>
      </c>
      <c r="E414" s="25" t="n">
        <v>1500</v>
      </c>
      <c r="F414" s="25" t="n">
        <v>900</v>
      </c>
      <c r="G414" s="24" t="s">
        <v>59</v>
      </c>
      <c r="H414" s="24" t="s">
        <v>55</v>
      </c>
      <c r="I414" s="28" t="n">
        <f aca="false">IF(A414="","",D414*E414)</f>
        <v>1500</v>
      </c>
      <c r="J414" s="28" t="n">
        <f aca="false">IF(A414="","",D414*F414)</f>
        <v>900</v>
      </c>
      <c r="K414" s="26" t="n">
        <f aca="false">IF(A414="","",YEAR(A414))</f>
        <v>2025</v>
      </c>
      <c r="L414" s="26" t="n">
        <f aca="false">IF(A414="","",MONTH(A414))</f>
        <v>8</v>
      </c>
    </row>
    <row r="415" customFormat="false" ht="15" hidden="false" customHeight="false" outlineLevel="0" collapsed="false">
      <c r="A415" s="23" t="n">
        <v>45887.56875</v>
      </c>
      <c r="B415" s="24" t="s">
        <v>1069</v>
      </c>
      <c r="C415" s="24" t="s">
        <v>1070</v>
      </c>
      <c r="D415" s="24" t="n">
        <v>1</v>
      </c>
      <c r="E415" s="25" t="n">
        <v>4500</v>
      </c>
      <c r="F415" s="25" t="n">
        <v>3000</v>
      </c>
      <c r="G415" s="24" t="s">
        <v>59</v>
      </c>
      <c r="H415" s="24" t="s">
        <v>60</v>
      </c>
      <c r="I415" s="28" t="n">
        <f aca="false">IF(A415="","",D415*E415)</f>
        <v>4500</v>
      </c>
      <c r="J415" s="28" t="n">
        <f aca="false">IF(A415="","",D415*F415)</f>
        <v>3000</v>
      </c>
      <c r="K415" s="26" t="n">
        <f aca="false">IF(A415="","",YEAR(A415))</f>
        <v>2025</v>
      </c>
      <c r="L415" s="26" t="n">
        <f aca="false">IF(A415="","",MONTH(A415))</f>
        <v>8</v>
      </c>
    </row>
    <row r="416" customFormat="false" ht="15" hidden="false" customHeight="false" outlineLevel="0" collapsed="false">
      <c r="A416" s="23" t="n">
        <v>45888.4055555556</v>
      </c>
      <c r="B416" s="24" t="s">
        <v>1065</v>
      </c>
      <c r="C416" s="24" t="s">
        <v>1066</v>
      </c>
      <c r="D416" s="24" t="n">
        <v>2</v>
      </c>
      <c r="E416" s="25" t="n">
        <v>3000</v>
      </c>
      <c r="F416" s="25" t="n">
        <v>2000</v>
      </c>
      <c r="G416" s="24" t="s">
        <v>59</v>
      </c>
      <c r="H416" s="24" t="s">
        <v>80</v>
      </c>
      <c r="I416" s="28" t="n">
        <f aca="false">IF(A416="","",D416*E416)</f>
        <v>6000</v>
      </c>
      <c r="J416" s="28" t="n">
        <f aca="false">IF(A416="","",D416*F416)</f>
        <v>4000</v>
      </c>
      <c r="K416" s="26" t="n">
        <f aca="false">IF(A416="","",YEAR(A416))</f>
        <v>2025</v>
      </c>
      <c r="L416" s="26" t="n">
        <f aca="false">IF(A416="","",MONTH(A416))</f>
        <v>8</v>
      </c>
    </row>
    <row r="417" customFormat="false" ht="15" hidden="false" customHeight="false" outlineLevel="0" collapsed="false">
      <c r="A417" s="23" t="n">
        <v>45888.4340277778</v>
      </c>
      <c r="B417" s="24" t="s">
        <v>1071</v>
      </c>
      <c r="C417" s="24" t="s">
        <v>1072</v>
      </c>
      <c r="D417" s="24" t="n">
        <v>1</v>
      </c>
      <c r="E417" s="25" t="n">
        <v>2000</v>
      </c>
      <c r="F417" s="25" t="n">
        <v>1100</v>
      </c>
      <c r="G417" s="24" t="s">
        <v>69</v>
      </c>
      <c r="H417" s="24" t="s">
        <v>60</v>
      </c>
      <c r="I417" s="28" t="n">
        <f aca="false">IF(A417="","",D417*E417)</f>
        <v>2000</v>
      </c>
      <c r="J417" s="28" t="n">
        <f aca="false">IF(A417="","",D417*F417)</f>
        <v>1100</v>
      </c>
      <c r="K417" s="26" t="n">
        <f aca="false">IF(A417="","",YEAR(A417))</f>
        <v>2025</v>
      </c>
      <c r="L417" s="26" t="n">
        <f aca="false">IF(A417="","",MONTH(A417))</f>
        <v>8</v>
      </c>
    </row>
    <row r="418" customFormat="false" ht="15" hidden="false" customHeight="false" outlineLevel="0" collapsed="false">
      <c r="A418" s="23" t="n">
        <v>45889.5729166667</v>
      </c>
      <c r="B418" s="24" t="s">
        <v>1081</v>
      </c>
      <c r="C418" s="24" t="s">
        <v>1082</v>
      </c>
      <c r="D418" s="24" t="n">
        <v>2</v>
      </c>
      <c r="E418" s="25" t="n">
        <v>2500</v>
      </c>
      <c r="F418" s="25" t="n">
        <v>1500</v>
      </c>
      <c r="G418" s="24" t="s">
        <v>59</v>
      </c>
      <c r="H418" s="24" t="s">
        <v>55</v>
      </c>
      <c r="I418" s="28" t="n">
        <f aca="false">IF(A418="","",D418*E418)</f>
        <v>5000</v>
      </c>
      <c r="J418" s="28" t="n">
        <f aca="false">IF(A418="","",D418*F418)</f>
        <v>3000</v>
      </c>
      <c r="K418" s="26" t="n">
        <f aca="false">IF(A418="","",YEAR(A418))</f>
        <v>2025</v>
      </c>
      <c r="L418" s="26" t="n">
        <f aca="false">IF(A418="","",MONTH(A418))</f>
        <v>8</v>
      </c>
    </row>
    <row r="419" customFormat="false" ht="15" hidden="false" customHeight="false" outlineLevel="0" collapsed="false">
      <c r="A419" s="23" t="n">
        <v>45889.7125</v>
      </c>
      <c r="B419" s="24" t="s">
        <v>1075</v>
      </c>
      <c r="C419" s="24" t="s">
        <v>1076</v>
      </c>
      <c r="D419" s="24" t="n">
        <v>3</v>
      </c>
      <c r="E419" s="25" t="n">
        <v>1000</v>
      </c>
      <c r="F419" s="25" t="n">
        <v>300</v>
      </c>
      <c r="G419" s="24" t="s">
        <v>59</v>
      </c>
      <c r="H419" s="24" t="s">
        <v>55</v>
      </c>
      <c r="I419" s="28" t="n">
        <f aca="false">IF(A419="","",D419*E419)</f>
        <v>3000</v>
      </c>
      <c r="J419" s="28" t="n">
        <f aca="false">IF(A419="","",D419*F419)</f>
        <v>900</v>
      </c>
      <c r="K419" s="26" t="n">
        <f aca="false">IF(A419="","",YEAR(A419))</f>
        <v>2025</v>
      </c>
      <c r="L419" s="26" t="n">
        <f aca="false">IF(A419="","",MONTH(A419))</f>
        <v>8</v>
      </c>
    </row>
    <row r="420" customFormat="false" ht="15" hidden="false" customHeight="false" outlineLevel="0" collapsed="false">
      <c r="A420" s="23" t="n">
        <v>45890.8208333333</v>
      </c>
      <c r="B420" s="24" t="s">
        <v>1081</v>
      </c>
      <c r="C420" s="24" t="s">
        <v>1082</v>
      </c>
      <c r="D420" s="24" t="n">
        <v>3</v>
      </c>
      <c r="E420" s="25" t="n">
        <v>2500</v>
      </c>
      <c r="F420" s="25" t="n">
        <v>1500</v>
      </c>
      <c r="G420" s="24" t="s">
        <v>59</v>
      </c>
      <c r="H420" s="24" t="s">
        <v>80</v>
      </c>
      <c r="I420" s="28" t="n">
        <f aca="false">IF(A420="","",D420*E420)</f>
        <v>7500</v>
      </c>
      <c r="J420" s="28" t="n">
        <f aca="false">IF(A420="","",D420*F420)</f>
        <v>4500</v>
      </c>
      <c r="K420" s="26" t="n">
        <f aca="false">IF(A420="","",YEAR(A420))</f>
        <v>2025</v>
      </c>
      <c r="L420" s="26" t="n">
        <f aca="false">IF(A420="","",MONTH(A420))</f>
        <v>8</v>
      </c>
    </row>
    <row r="421" customFormat="false" ht="15" hidden="false" customHeight="false" outlineLevel="0" collapsed="false">
      <c r="A421" s="23" t="n">
        <v>45891.8590277778</v>
      </c>
      <c r="B421" s="24" t="s">
        <v>1067</v>
      </c>
      <c r="C421" s="24" t="s">
        <v>1068</v>
      </c>
      <c r="D421" s="24" t="n">
        <v>1</v>
      </c>
      <c r="E421" s="25" t="n">
        <v>4000</v>
      </c>
      <c r="F421" s="25" t="n">
        <v>2600</v>
      </c>
      <c r="G421" s="24" t="s">
        <v>69</v>
      </c>
      <c r="H421" s="24" t="s">
        <v>55</v>
      </c>
      <c r="I421" s="28" t="n">
        <f aca="false">IF(A421="","",D421*E421)</f>
        <v>4000</v>
      </c>
      <c r="J421" s="28" t="n">
        <f aca="false">IF(A421="","",D421*F421)</f>
        <v>2600</v>
      </c>
      <c r="K421" s="26" t="n">
        <f aca="false">IF(A421="","",YEAR(A421))</f>
        <v>2025</v>
      </c>
      <c r="L421" s="26" t="n">
        <f aca="false">IF(A421="","",MONTH(A421))</f>
        <v>8</v>
      </c>
    </row>
    <row r="422" customFormat="false" ht="15" hidden="false" customHeight="false" outlineLevel="0" collapsed="false">
      <c r="A422" s="23" t="n">
        <v>45891.9013888889</v>
      </c>
      <c r="B422" s="24" t="s">
        <v>1071</v>
      </c>
      <c r="C422" s="24" t="s">
        <v>1072</v>
      </c>
      <c r="D422" s="24" t="n">
        <v>1</v>
      </c>
      <c r="E422" s="25" t="n">
        <v>2000</v>
      </c>
      <c r="F422" s="25" t="n">
        <v>1100</v>
      </c>
      <c r="G422" s="24" t="s">
        <v>59</v>
      </c>
      <c r="H422" s="24" t="s">
        <v>80</v>
      </c>
      <c r="I422" s="28" t="n">
        <f aca="false">IF(A422="","",D422*E422)</f>
        <v>2000</v>
      </c>
      <c r="J422" s="28" t="n">
        <f aca="false">IF(A422="","",D422*F422)</f>
        <v>1100</v>
      </c>
      <c r="K422" s="26" t="n">
        <f aca="false">IF(A422="","",YEAR(A422))</f>
        <v>2025</v>
      </c>
      <c r="L422" s="26" t="n">
        <f aca="false">IF(A422="","",MONTH(A422))</f>
        <v>8</v>
      </c>
    </row>
    <row r="423" customFormat="false" ht="15" hidden="false" customHeight="false" outlineLevel="0" collapsed="false">
      <c r="A423" s="23" t="n">
        <v>45892.7118055556</v>
      </c>
      <c r="B423" s="24" t="s">
        <v>1081</v>
      </c>
      <c r="C423" s="24" t="s">
        <v>1082</v>
      </c>
      <c r="D423" s="24" t="n">
        <v>3</v>
      </c>
      <c r="E423" s="25" t="n">
        <v>2500</v>
      </c>
      <c r="F423" s="25" t="n">
        <v>1500</v>
      </c>
      <c r="G423" s="24" t="s">
        <v>59</v>
      </c>
      <c r="H423" s="24" t="s">
        <v>55</v>
      </c>
      <c r="I423" s="28" t="n">
        <f aca="false">IF(A423="","",D423*E423)</f>
        <v>7500</v>
      </c>
      <c r="J423" s="28" t="n">
        <f aca="false">IF(A423="","",D423*F423)</f>
        <v>4500</v>
      </c>
      <c r="K423" s="26" t="n">
        <f aca="false">IF(A423="","",YEAR(A423))</f>
        <v>2025</v>
      </c>
      <c r="L423" s="26" t="n">
        <f aca="false">IF(A423="","",MONTH(A423))</f>
        <v>8</v>
      </c>
    </row>
    <row r="424" customFormat="false" ht="15" hidden="false" customHeight="false" outlineLevel="0" collapsed="false">
      <c r="A424" s="23" t="n">
        <v>45892.7243055556</v>
      </c>
      <c r="B424" s="24" t="s">
        <v>1071</v>
      </c>
      <c r="C424" s="24" t="s">
        <v>1072</v>
      </c>
      <c r="D424" s="24" t="n">
        <v>1</v>
      </c>
      <c r="E424" s="25" t="n">
        <v>2000</v>
      </c>
      <c r="F424" s="25" t="n">
        <v>1100</v>
      </c>
      <c r="G424" s="24" t="s">
        <v>69</v>
      </c>
      <c r="H424" s="24" t="s">
        <v>60</v>
      </c>
      <c r="I424" s="28" t="n">
        <f aca="false">IF(A424="","",D424*E424)</f>
        <v>2000</v>
      </c>
      <c r="J424" s="28" t="n">
        <f aca="false">IF(A424="","",D424*F424)</f>
        <v>1100</v>
      </c>
      <c r="K424" s="26" t="n">
        <f aca="false">IF(A424="","",YEAR(A424))</f>
        <v>2025</v>
      </c>
      <c r="L424" s="26" t="n">
        <f aca="false">IF(A424="","",MONTH(A424))</f>
        <v>8</v>
      </c>
    </row>
    <row r="425" customFormat="false" ht="15" hidden="false" customHeight="false" outlineLevel="0" collapsed="false">
      <c r="A425" s="23" t="n">
        <v>45893.6486111111</v>
      </c>
      <c r="B425" s="24" t="s">
        <v>1073</v>
      </c>
      <c r="C425" s="24" t="s">
        <v>1074</v>
      </c>
      <c r="D425" s="24" t="n">
        <v>1</v>
      </c>
      <c r="E425" s="25" t="n">
        <v>7000</v>
      </c>
      <c r="F425" s="25" t="n">
        <v>4800</v>
      </c>
      <c r="G425" s="24" t="s">
        <v>69</v>
      </c>
      <c r="H425" s="24" t="s">
        <v>80</v>
      </c>
      <c r="I425" s="28" t="n">
        <f aca="false">IF(A425="","",D425*E425)</f>
        <v>7000</v>
      </c>
      <c r="J425" s="28" t="n">
        <f aca="false">IF(A425="","",D425*F425)</f>
        <v>4800</v>
      </c>
      <c r="K425" s="26" t="n">
        <f aca="false">IF(A425="","",YEAR(A425))</f>
        <v>2025</v>
      </c>
      <c r="L425" s="26" t="n">
        <f aca="false">IF(A425="","",MONTH(A425))</f>
        <v>8</v>
      </c>
    </row>
    <row r="426" customFormat="false" ht="15" hidden="false" customHeight="false" outlineLevel="0" collapsed="false">
      <c r="A426" s="23" t="n">
        <v>45894.4763888889</v>
      </c>
      <c r="B426" s="24" t="s">
        <v>1065</v>
      </c>
      <c r="C426" s="24" t="s">
        <v>1066</v>
      </c>
      <c r="D426" s="24" t="n">
        <v>1</v>
      </c>
      <c r="E426" s="25" t="n">
        <v>3000</v>
      </c>
      <c r="F426" s="25" t="n">
        <v>2000</v>
      </c>
      <c r="G426" s="24" t="s">
        <v>59</v>
      </c>
      <c r="H426" s="24" t="s">
        <v>55</v>
      </c>
      <c r="I426" s="28" t="n">
        <f aca="false">IF(A426="","",D426*E426)</f>
        <v>3000</v>
      </c>
      <c r="J426" s="28" t="n">
        <f aca="false">IF(A426="","",D426*F426)</f>
        <v>2000</v>
      </c>
      <c r="K426" s="26" t="n">
        <f aca="false">IF(A426="","",YEAR(A426))</f>
        <v>2025</v>
      </c>
      <c r="L426" s="26" t="n">
        <f aca="false">IF(A426="","",MONTH(A426))</f>
        <v>8</v>
      </c>
    </row>
    <row r="427" customFormat="false" ht="15" hidden="false" customHeight="false" outlineLevel="0" collapsed="false">
      <c r="A427" s="23" t="n">
        <v>45894.5229166667</v>
      </c>
      <c r="B427" s="24" t="s">
        <v>1075</v>
      </c>
      <c r="C427" s="24" t="s">
        <v>1076</v>
      </c>
      <c r="D427" s="24" t="n">
        <v>3</v>
      </c>
      <c r="E427" s="25" t="n">
        <v>1000</v>
      </c>
      <c r="F427" s="25" t="n">
        <v>300</v>
      </c>
      <c r="G427" s="24" t="s">
        <v>69</v>
      </c>
      <c r="H427" s="24" t="s">
        <v>80</v>
      </c>
      <c r="I427" s="28" t="n">
        <f aca="false">IF(A427="","",D427*E427)</f>
        <v>3000</v>
      </c>
      <c r="J427" s="28" t="n">
        <f aca="false">IF(A427="","",D427*F427)</f>
        <v>900</v>
      </c>
      <c r="K427" s="26" t="n">
        <f aca="false">IF(A427="","",YEAR(A427))</f>
        <v>2025</v>
      </c>
      <c r="L427" s="26" t="n">
        <f aca="false">IF(A427="","",MONTH(A427))</f>
        <v>8</v>
      </c>
    </row>
    <row r="428" customFormat="false" ht="15" hidden="false" customHeight="false" outlineLevel="0" collapsed="false">
      <c r="A428" s="23" t="n">
        <v>45894.8319444444</v>
      </c>
      <c r="B428" s="24" t="s">
        <v>1079</v>
      </c>
      <c r="C428" s="24" t="s">
        <v>1080</v>
      </c>
      <c r="D428" s="24" t="n">
        <v>3</v>
      </c>
      <c r="E428" s="25" t="n">
        <v>2500</v>
      </c>
      <c r="F428" s="25" t="n">
        <v>1600</v>
      </c>
      <c r="G428" s="24" t="s">
        <v>59</v>
      </c>
      <c r="H428" s="24" t="s">
        <v>55</v>
      </c>
      <c r="I428" s="28" t="n">
        <f aca="false">IF(A428="","",D428*E428)</f>
        <v>7500</v>
      </c>
      <c r="J428" s="28" t="n">
        <f aca="false">IF(A428="","",D428*F428)</f>
        <v>4800</v>
      </c>
      <c r="K428" s="26" t="n">
        <f aca="false">IF(A428="","",YEAR(A428))</f>
        <v>2025</v>
      </c>
      <c r="L428" s="26" t="n">
        <f aca="false">IF(A428="","",MONTH(A428))</f>
        <v>8</v>
      </c>
    </row>
    <row r="429" customFormat="false" ht="15" hidden="false" customHeight="false" outlineLevel="0" collapsed="false">
      <c r="A429" s="23" t="n">
        <v>45895.5166666667</v>
      </c>
      <c r="B429" s="24" t="s">
        <v>1073</v>
      </c>
      <c r="C429" s="24" t="s">
        <v>1074</v>
      </c>
      <c r="D429" s="24" t="n">
        <v>1</v>
      </c>
      <c r="E429" s="25" t="n">
        <v>7000</v>
      </c>
      <c r="F429" s="25" t="n">
        <v>4800</v>
      </c>
      <c r="G429" s="24" t="s">
        <v>59</v>
      </c>
      <c r="H429" s="24" t="s">
        <v>55</v>
      </c>
      <c r="I429" s="28" t="n">
        <f aca="false">IF(A429="","",D429*E429)</f>
        <v>7000</v>
      </c>
      <c r="J429" s="28" t="n">
        <f aca="false">IF(A429="","",D429*F429)</f>
        <v>4800</v>
      </c>
      <c r="K429" s="26" t="n">
        <f aca="false">IF(A429="","",YEAR(A429))</f>
        <v>2025</v>
      </c>
      <c r="L429" s="26" t="n">
        <f aca="false">IF(A429="","",MONTH(A429))</f>
        <v>8</v>
      </c>
    </row>
    <row r="430" customFormat="false" ht="15" hidden="false" customHeight="false" outlineLevel="0" collapsed="false">
      <c r="A430" s="23" t="n">
        <v>45895.5305555556</v>
      </c>
      <c r="B430" s="24" t="s">
        <v>1067</v>
      </c>
      <c r="C430" s="24" t="s">
        <v>1068</v>
      </c>
      <c r="D430" s="24" t="n">
        <v>1</v>
      </c>
      <c r="E430" s="25" t="n">
        <v>4000</v>
      </c>
      <c r="F430" s="25" t="n">
        <v>2600</v>
      </c>
      <c r="G430" s="24" t="s">
        <v>59</v>
      </c>
      <c r="H430" s="24" t="s">
        <v>60</v>
      </c>
      <c r="I430" s="28" t="n">
        <f aca="false">IF(A430="","",D430*E430)</f>
        <v>4000</v>
      </c>
      <c r="J430" s="28" t="n">
        <f aca="false">IF(A430="","",D430*F430)</f>
        <v>2600</v>
      </c>
      <c r="K430" s="26" t="n">
        <f aca="false">IF(A430="","",YEAR(A430))</f>
        <v>2025</v>
      </c>
      <c r="L430" s="26" t="n">
        <f aca="false">IF(A430="","",MONTH(A430))</f>
        <v>8</v>
      </c>
    </row>
    <row r="431" customFormat="false" ht="15" hidden="false" customHeight="false" outlineLevel="0" collapsed="false">
      <c r="A431" s="23" t="n">
        <v>45896.8659722222</v>
      </c>
      <c r="B431" s="24" t="s">
        <v>1081</v>
      </c>
      <c r="C431" s="24" t="s">
        <v>1082</v>
      </c>
      <c r="D431" s="24" t="n">
        <v>1</v>
      </c>
      <c r="E431" s="25" t="n">
        <v>2500</v>
      </c>
      <c r="F431" s="25" t="n">
        <v>1500</v>
      </c>
      <c r="G431" s="24" t="s">
        <v>59</v>
      </c>
      <c r="H431" s="24" t="s">
        <v>55</v>
      </c>
      <c r="I431" s="28" t="n">
        <f aca="false">IF(A431="","",D431*E431)</f>
        <v>2500</v>
      </c>
      <c r="J431" s="28" t="n">
        <f aca="false">IF(A431="","",D431*F431)</f>
        <v>1500</v>
      </c>
      <c r="K431" s="26" t="n">
        <f aca="false">IF(A431="","",YEAR(A431))</f>
        <v>2025</v>
      </c>
      <c r="L431" s="26" t="n">
        <f aca="false">IF(A431="","",MONTH(A431))</f>
        <v>8</v>
      </c>
    </row>
    <row r="432" customFormat="false" ht="15" hidden="false" customHeight="false" outlineLevel="0" collapsed="false">
      <c r="A432" s="23" t="n">
        <v>45901.3819444445</v>
      </c>
      <c r="B432" s="24" t="s">
        <v>1067</v>
      </c>
      <c r="C432" s="24" t="s">
        <v>1068</v>
      </c>
      <c r="D432" s="24" t="n">
        <v>1</v>
      </c>
      <c r="E432" s="25" t="n">
        <v>4000</v>
      </c>
      <c r="F432" s="25" t="n">
        <v>2600</v>
      </c>
      <c r="G432" s="24" t="s">
        <v>69</v>
      </c>
      <c r="H432" s="24" t="s">
        <v>60</v>
      </c>
      <c r="I432" s="28" t="n">
        <f aca="false">IF(A432="","",D432*E432)</f>
        <v>4000</v>
      </c>
      <c r="J432" s="28" t="n">
        <f aca="false">IF(A432="","",D432*F432)</f>
        <v>2600</v>
      </c>
      <c r="K432" s="26" t="n">
        <f aca="false">IF(A432="","",YEAR(A432))</f>
        <v>2025</v>
      </c>
      <c r="L432" s="26" t="n">
        <f aca="false">IF(A432="","",MONTH(A432))</f>
        <v>9</v>
      </c>
    </row>
    <row r="433" customFormat="false" ht="15" hidden="false" customHeight="false" outlineLevel="0" collapsed="false">
      <c r="A433" s="23" t="n">
        <v>45901.5159722222</v>
      </c>
      <c r="B433" s="24" t="s">
        <v>1079</v>
      </c>
      <c r="C433" s="24" t="s">
        <v>1080</v>
      </c>
      <c r="D433" s="24" t="n">
        <v>1</v>
      </c>
      <c r="E433" s="25" t="n">
        <v>2500</v>
      </c>
      <c r="F433" s="25" t="n">
        <v>1600</v>
      </c>
      <c r="G433" s="24" t="s">
        <v>69</v>
      </c>
      <c r="H433" s="24" t="s">
        <v>80</v>
      </c>
      <c r="I433" s="28" t="n">
        <f aca="false">IF(A433="","",D433*E433)</f>
        <v>2500</v>
      </c>
      <c r="J433" s="28" t="n">
        <f aca="false">IF(A433="","",D433*F433)</f>
        <v>1600</v>
      </c>
      <c r="K433" s="26" t="n">
        <f aca="false">IF(A433="","",YEAR(A433))</f>
        <v>2025</v>
      </c>
      <c r="L433" s="26" t="n">
        <f aca="false">IF(A433="","",MONTH(A433))</f>
        <v>9</v>
      </c>
    </row>
    <row r="434" customFormat="false" ht="15" hidden="false" customHeight="false" outlineLevel="0" collapsed="false">
      <c r="A434" s="23" t="n">
        <v>45901.7631944444</v>
      </c>
      <c r="B434" s="24" t="s">
        <v>1081</v>
      </c>
      <c r="C434" s="24" t="s">
        <v>1082</v>
      </c>
      <c r="D434" s="24" t="n">
        <v>1</v>
      </c>
      <c r="E434" s="25" t="n">
        <v>2500</v>
      </c>
      <c r="F434" s="25" t="n">
        <v>1500</v>
      </c>
      <c r="G434" s="24" t="s">
        <v>69</v>
      </c>
      <c r="H434" s="24" t="s">
        <v>60</v>
      </c>
      <c r="I434" s="28" t="n">
        <f aca="false">IF(A434="","",D434*E434)</f>
        <v>2500</v>
      </c>
      <c r="J434" s="28" t="n">
        <f aca="false">IF(A434="","",D434*F434)</f>
        <v>1500</v>
      </c>
      <c r="K434" s="26" t="n">
        <f aca="false">IF(A434="","",YEAR(A434))</f>
        <v>2025</v>
      </c>
      <c r="L434" s="26" t="n">
        <f aca="false">IF(A434="","",MONTH(A434))</f>
        <v>9</v>
      </c>
    </row>
    <row r="435" customFormat="false" ht="15" hidden="false" customHeight="false" outlineLevel="0" collapsed="false">
      <c r="A435" s="23" t="n">
        <v>45902.6284722222</v>
      </c>
      <c r="B435" s="24" t="s">
        <v>1075</v>
      </c>
      <c r="C435" s="24" t="s">
        <v>1076</v>
      </c>
      <c r="D435" s="24" t="n">
        <v>1</v>
      </c>
      <c r="E435" s="25" t="n">
        <v>1000</v>
      </c>
      <c r="F435" s="25" t="n">
        <v>300</v>
      </c>
      <c r="G435" s="24" t="s">
        <v>69</v>
      </c>
      <c r="H435" s="24" t="s">
        <v>55</v>
      </c>
      <c r="I435" s="28" t="n">
        <f aca="false">IF(A435="","",D435*E435)</f>
        <v>1000</v>
      </c>
      <c r="J435" s="28" t="n">
        <f aca="false">IF(A435="","",D435*F435)</f>
        <v>300</v>
      </c>
      <c r="K435" s="26" t="n">
        <f aca="false">IF(A435="","",YEAR(A435))</f>
        <v>2025</v>
      </c>
      <c r="L435" s="26" t="n">
        <f aca="false">IF(A435="","",MONTH(A435))</f>
        <v>9</v>
      </c>
    </row>
    <row r="436" customFormat="false" ht="15" hidden="false" customHeight="false" outlineLevel="0" collapsed="false">
      <c r="A436" s="23" t="n">
        <v>45903.3395833333</v>
      </c>
      <c r="B436" s="24" t="s">
        <v>1077</v>
      </c>
      <c r="C436" s="24" t="s">
        <v>1078</v>
      </c>
      <c r="D436" s="24" t="n">
        <v>1</v>
      </c>
      <c r="E436" s="25" t="n">
        <v>1500</v>
      </c>
      <c r="F436" s="25" t="n">
        <v>900</v>
      </c>
      <c r="G436" s="24" t="s">
        <v>59</v>
      </c>
      <c r="H436" s="24" t="s">
        <v>60</v>
      </c>
      <c r="I436" s="28" t="n">
        <f aca="false">IF(A436="","",D436*E436)</f>
        <v>1500</v>
      </c>
      <c r="J436" s="28" t="n">
        <f aca="false">IF(A436="","",D436*F436)</f>
        <v>900</v>
      </c>
      <c r="K436" s="26" t="n">
        <f aca="false">IF(A436="","",YEAR(A436))</f>
        <v>2025</v>
      </c>
      <c r="L436" s="26" t="n">
        <f aca="false">IF(A436="","",MONTH(A436))</f>
        <v>9</v>
      </c>
    </row>
    <row r="437" customFormat="false" ht="15" hidden="false" customHeight="false" outlineLevel="0" collapsed="false">
      <c r="A437" s="23" t="n">
        <v>45903.5458333333</v>
      </c>
      <c r="B437" s="24" t="s">
        <v>1077</v>
      </c>
      <c r="C437" s="24" t="s">
        <v>1078</v>
      </c>
      <c r="D437" s="24" t="n">
        <v>1</v>
      </c>
      <c r="E437" s="25" t="n">
        <v>1500</v>
      </c>
      <c r="F437" s="25" t="n">
        <v>900</v>
      </c>
      <c r="G437" s="24" t="s">
        <v>59</v>
      </c>
      <c r="H437" s="24" t="s">
        <v>55</v>
      </c>
      <c r="I437" s="28" t="n">
        <f aca="false">IF(A437="","",D437*E437)</f>
        <v>1500</v>
      </c>
      <c r="J437" s="28" t="n">
        <f aca="false">IF(A437="","",D437*F437)</f>
        <v>900</v>
      </c>
      <c r="K437" s="26" t="n">
        <f aca="false">IF(A437="","",YEAR(A437))</f>
        <v>2025</v>
      </c>
      <c r="L437" s="26" t="n">
        <f aca="false">IF(A437="","",MONTH(A437))</f>
        <v>9</v>
      </c>
    </row>
    <row r="438" customFormat="false" ht="15" hidden="false" customHeight="false" outlineLevel="0" collapsed="false">
      <c r="A438" s="23" t="n">
        <v>45903.8972222222</v>
      </c>
      <c r="B438" s="24" t="s">
        <v>1079</v>
      </c>
      <c r="C438" s="24" t="s">
        <v>1080</v>
      </c>
      <c r="D438" s="24" t="n">
        <v>1</v>
      </c>
      <c r="E438" s="25" t="n">
        <v>2500</v>
      </c>
      <c r="F438" s="25" t="n">
        <v>1600</v>
      </c>
      <c r="G438" s="24" t="s">
        <v>69</v>
      </c>
      <c r="H438" s="24" t="s">
        <v>55</v>
      </c>
      <c r="I438" s="28" t="n">
        <f aca="false">IF(A438="","",D438*E438)</f>
        <v>2500</v>
      </c>
      <c r="J438" s="28" t="n">
        <f aca="false">IF(A438="","",D438*F438)</f>
        <v>1600</v>
      </c>
      <c r="K438" s="26" t="n">
        <f aca="false">IF(A438="","",YEAR(A438))</f>
        <v>2025</v>
      </c>
      <c r="L438" s="26" t="n">
        <f aca="false">IF(A438="","",MONTH(A438))</f>
        <v>9</v>
      </c>
    </row>
    <row r="439" customFormat="false" ht="15" hidden="false" customHeight="false" outlineLevel="0" collapsed="false">
      <c r="A439" s="23" t="n">
        <v>45904.3125</v>
      </c>
      <c r="B439" s="24" t="s">
        <v>1077</v>
      </c>
      <c r="C439" s="24" t="s">
        <v>1078</v>
      </c>
      <c r="D439" s="24" t="n">
        <v>2</v>
      </c>
      <c r="E439" s="25" t="n">
        <v>1500</v>
      </c>
      <c r="F439" s="25" t="n">
        <v>900</v>
      </c>
      <c r="G439" s="24" t="s">
        <v>59</v>
      </c>
      <c r="H439" s="24" t="s">
        <v>80</v>
      </c>
      <c r="I439" s="28" t="n">
        <f aca="false">IF(A439="","",D439*E439)</f>
        <v>3000</v>
      </c>
      <c r="J439" s="28" t="n">
        <f aca="false">IF(A439="","",D439*F439)</f>
        <v>1800</v>
      </c>
      <c r="K439" s="26" t="n">
        <f aca="false">IF(A439="","",YEAR(A439))</f>
        <v>2025</v>
      </c>
      <c r="L439" s="26" t="n">
        <f aca="false">IF(A439="","",MONTH(A439))</f>
        <v>9</v>
      </c>
    </row>
    <row r="440" customFormat="false" ht="15" hidden="false" customHeight="false" outlineLevel="0" collapsed="false">
      <c r="A440" s="23" t="n">
        <v>45904.6027777778</v>
      </c>
      <c r="B440" s="24" t="s">
        <v>1071</v>
      </c>
      <c r="C440" s="24" t="s">
        <v>1072</v>
      </c>
      <c r="D440" s="24" t="n">
        <v>1</v>
      </c>
      <c r="E440" s="25" t="n">
        <v>2000</v>
      </c>
      <c r="F440" s="25" t="n">
        <v>1100</v>
      </c>
      <c r="G440" s="24" t="s">
        <v>69</v>
      </c>
      <c r="H440" s="24" t="s">
        <v>60</v>
      </c>
      <c r="I440" s="28" t="n">
        <f aca="false">IF(A440="","",D440*E440)</f>
        <v>2000</v>
      </c>
      <c r="J440" s="28" t="n">
        <f aca="false">IF(A440="","",D440*F440)</f>
        <v>1100</v>
      </c>
      <c r="K440" s="26" t="n">
        <f aca="false">IF(A440="","",YEAR(A440))</f>
        <v>2025</v>
      </c>
      <c r="L440" s="26" t="n">
        <f aca="false">IF(A440="","",MONTH(A440))</f>
        <v>9</v>
      </c>
    </row>
    <row r="441" customFormat="false" ht="15" hidden="false" customHeight="false" outlineLevel="0" collapsed="false">
      <c r="A441" s="23" t="n">
        <v>45904.8215277778</v>
      </c>
      <c r="B441" s="24" t="s">
        <v>1071</v>
      </c>
      <c r="C441" s="24" t="s">
        <v>1072</v>
      </c>
      <c r="D441" s="24" t="n">
        <v>3</v>
      </c>
      <c r="E441" s="25" t="n">
        <v>2000</v>
      </c>
      <c r="F441" s="25" t="n">
        <v>1100</v>
      </c>
      <c r="G441" s="24" t="s">
        <v>59</v>
      </c>
      <c r="H441" s="24" t="s">
        <v>55</v>
      </c>
      <c r="I441" s="28" t="n">
        <f aca="false">IF(A441="","",D441*E441)</f>
        <v>6000</v>
      </c>
      <c r="J441" s="28" t="n">
        <f aca="false">IF(A441="","",D441*F441)</f>
        <v>3300</v>
      </c>
      <c r="K441" s="26" t="n">
        <f aca="false">IF(A441="","",YEAR(A441))</f>
        <v>2025</v>
      </c>
      <c r="L441" s="26" t="n">
        <f aca="false">IF(A441="","",MONTH(A441))</f>
        <v>9</v>
      </c>
    </row>
    <row r="442" customFormat="false" ht="15" hidden="false" customHeight="false" outlineLevel="0" collapsed="false">
      <c r="A442" s="23" t="n">
        <v>45904.9</v>
      </c>
      <c r="B442" s="24" t="s">
        <v>1071</v>
      </c>
      <c r="C442" s="24" t="s">
        <v>1072</v>
      </c>
      <c r="D442" s="24" t="n">
        <v>1</v>
      </c>
      <c r="E442" s="25" t="n">
        <v>2000</v>
      </c>
      <c r="F442" s="25" t="n">
        <v>1100</v>
      </c>
      <c r="G442" s="24" t="s">
        <v>59</v>
      </c>
      <c r="H442" s="24" t="s">
        <v>80</v>
      </c>
      <c r="I442" s="28" t="n">
        <f aca="false">IF(A442="","",D442*E442)</f>
        <v>2000</v>
      </c>
      <c r="J442" s="28" t="n">
        <f aca="false">IF(A442="","",D442*F442)</f>
        <v>1100</v>
      </c>
      <c r="K442" s="26" t="n">
        <f aca="false">IF(A442="","",YEAR(A442))</f>
        <v>2025</v>
      </c>
      <c r="L442" s="26" t="n">
        <f aca="false">IF(A442="","",MONTH(A442))</f>
        <v>9</v>
      </c>
    </row>
    <row r="443" customFormat="false" ht="15" hidden="false" customHeight="false" outlineLevel="0" collapsed="false">
      <c r="A443" s="23" t="n">
        <v>45904.9020833333</v>
      </c>
      <c r="B443" s="24" t="s">
        <v>1081</v>
      </c>
      <c r="C443" s="24" t="s">
        <v>1082</v>
      </c>
      <c r="D443" s="24" t="n">
        <v>1</v>
      </c>
      <c r="E443" s="25" t="n">
        <v>2500</v>
      </c>
      <c r="F443" s="25" t="n">
        <v>1500</v>
      </c>
      <c r="G443" s="24" t="s">
        <v>69</v>
      </c>
      <c r="H443" s="24" t="s">
        <v>80</v>
      </c>
      <c r="I443" s="28" t="n">
        <f aca="false">IF(A443="","",D443*E443)</f>
        <v>2500</v>
      </c>
      <c r="J443" s="28" t="n">
        <f aca="false">IF(A443="","",D443*F443)</f>
        <v>1500</v>
      </c>
      <c r="K443" s="26" t="n">
        <f aca="false">IF(A443="","",YEAR(A443))</f>
        <v>2025</v>
      </c>
      <c r="L443" s="26" t="n">
        <f aca="false">IF(A443="","",MONTH(A443))</f>
        <v>9</v>
      </c>
    </row>
    <row r="444" customFormat="false" ht="15" hidden="false" customHeight="false" outlineLevel="0" collapsed="false">
      <c r="A444" s="23" t="n">
        <v>45905.3138888889</v>
      </c>
      <c r="B444" s="24" t="s">
        <v>1081</v>
      </c>
      <c r="C444" s="24" t="s">
        <v>1082</v>
      </c>
      <c r="D444" s="24" t="n">
        <v>1</v>
      </c>
      <c r="E444" s="25" t="n">
        <v>2500</v>
      </c>
      <c r="F444" s="25" t="n">
        <v>1500</v>
      </c>
      <c r="G444" s="24" t="s">
        <v>59</v>
      </c>
      <c r="H444" s="24" t="s">
        <v>80</v>
      </c>
      <c r="I444" s="28" t="n">
        <f aca="false">IF(A444="","",D444*E444)</f>
        <v>2500</v>
      </c>
      <c r="J444" s="28" t="n">
        <f aca="false">IF(A444="","",D444*F444)</f>
        <v>1500</v>
      </c>
      <c r="K444" s="26" t="n">
        <f aca="false">IF(A444="","",YEAR(A444))</f>
        <v>2025</v>
      </c>
      <c r="L444" s="26" t="n">
        <f aca="false">IF(A444="","",MONTH(A444))</f>
        <v>9</v>
      </c>
    </row>
    <row r="445" customFormat="false" ht="15" hidden="false" customHeight="false" outlineLevel="0" collapsed="false">
      <c r="A445" s="23" t="n">
        <v>45905.3284722222</v>
      </c>
      <c r="B445" s="24" t="s">
        <v>1073</v>
      </c>
      <c r="C445" s="24" t="s">
        <v>1074</v>
      </c>
      <c r="D445" s="24" t="n">
        <v>1</v>
      </c>
      <c r="E445" s="25" t="n">
        <v>7000</v>
      </c>
      <c r="F445" s="25" t="n">
        <v>4800</v>
      </c>
      <c r="G445" s="24" t="s">
        <v>69</v>
      </c>
      <c r="H445" s="24" t="s">
        <v>55</v>
      </c>
      <c r="I445" s="28" t="n">
        <f aca="false">IF(A445="","",D445*E445)</f>
        <v>7000</v>
      </c>
      <c r="J445" s="28" t="n">
        <f aca="false">IF(A445="","",D445*F445)</f>
        <v>4800</v>
      </c>
      <c r="K445" s="26" t="n">
        <f aca="false">IF(A445="","",YEAR(A445))</f>
        <v>2025</v>
      </c>
      <c r="L445" s="26" t="n">
        <f aca="false">IF(A445="","",MONTH(A445))</f>
        <v>9</v>
      </c>
    </row>
    <row r="446" customFormat="false" ht="15" hidden="false" customHeight="false" outlineLevel="0" collapsed="false">
      <c r="A446" s="23" t="n">
        <v>45905.8104166667</v>
      </c>
      <c r="B446" s="24" t="s">
        <v>1075</v>
      </c>
      <c r="C446" s="24" t="s">
        <v>1076</v>
      </c>
      <c r="D446" s="24" t="n">
        <v>3</v>
      </c>
      <c r="E446" s="25" t="n">
        <v>1000</v>
      </c>
      <c r="F446" s="25" t="n">
        <v>300</v>
      </c>
      <c r="G446" s="24" t="s">
        <v>59</v>
      </c>
      <c r="H446" s="24" t="s">
        <v>80</v>
      </c>
      <c r="I446" s="28" t="n">
        <f aca="false">IF(A446="","",D446*E446)</f>
        <v>3000</v>
      </c>
      <c r="J446" s="28" t="n">
        <f aca="false">IF(A446="","",D446*F446)</f>
        <v>900</v>
      </c>
      <c r="K446" s="26" t="n">
        <f aca="false">IF(A446="","",YEAR(A446))</f>
        <v>2025</v>
      </c>
      <c r="L446" s="26" t="n">
        <f aca="false">IF(A446="","",MONTH(A446))</f>
        <v>9</v>
      </c>
    </row>
    <row r="447" customFormat="false" ht="15" hidden="false" customHeight="false" outlineLevel="0" collapsed="false">
      <c r="A447" s="23" t="n">
        <v>45906.5513888889</v>
      </c>
      <c r="B447" s="24" t="s">
        <v>1079</v>
      </c>
      <c r="C447" s="24" t="s">
        <v>1080</v>
      </c>
      <c r="D447" s="24" t="n">
        <v>3</v>
      </c>
      <c r="E447" s="25" t="n">
        <v>2500</v>
      </c>
      <c r="F447" s="25" t="n">
        <v>1600</v>
      </c>
      <c r="G447" s="24" t="s">
        <v>69</v>
      </c>
      <c r="H447" s="24" t="s">
        <v>80</v>
      </c>
      <c r="I447" s="28" t="n">
        <f aca="false">IF(A447="","",D447*E447)</f>
        <v>7500</v>
      </c>
      <c r="J447" s="28" t="n">
        <f aca="false">IF(A447="","",D447*F447)</f>
        <v>4800</v>
      </c>
      <c r="K447" s="26" t="n">
        <f aca="false">IF(A447="","",YEAR(A447))</f>
        <v>2025</v>
      </c>
      <c r="L447" s="26" t="n">
        <f aca="false">IF(A447="","",MONTH(A447))</f>
        <v>9</v>
      </c>
    </row>
    <row r="448" customFormat="false" ht="15" hidden="false" customHeight="false" outlineLevel="0" collapsed="false">
      <c r="A448" s="23" t="n">
        <v>45906.7840277778</v>
      </c>
      <c r="B448" s="24" t="s">
        <v>1077</v>
      </c>
      <c r="C448" s="24" t="s">
        <v>1078</v>
      </c>
      <c r="D448" s="24" t="n">
        <v>1</v>
      </c>
      <c r="E448" s="25" t="n">
        <v>1500</v>
      </c>
      <c r="F448" s="25" t="n">
        <v>900</v>
      </c>
      <c r="G448" s="24" t="s">
        <v>59</v>
      </c>
      <c r="H448" s="24" t="s">
        <v>80</v>
      </c>
      <c r="I448" s="28" t="n">
        <f aca="false">IF(A448="","",D448*E448)</f>
        <v>1500</v>
      </c>
      <c r="J448" s="28" t="n">
        <f aca="false">IF(A448="","",D448*F448)</f>
        <v>900</v>
      </c>
      <c r="K448" s="26" t="n">
        <f aca="false">IF(A448="","",YEAR(A448))</f>
        <v>2025</v>
      </c>
      <c r="L448" s="26" t="n">
        <f aca="false">IF(A448="","",MONTH(A448))</f>
        <v>9</v>
      </c>
    </row>
    <row r="449" customFormat="false" ht="15" hidden="false" customHeight="false" outlineLevel="0" collapsed="false">
      <c r="A449" s="23" t="n">
        <v>45908.3020833333</v>
      </c>
      <c r="B449" s="24" t="s">
        <v>1081</v>
      </c>
      <c r="C449" s="24" t="s">
        <v>1082</v>
      </c>
      <c r="D449" s="24" t="n">
        <v>3</v>
      </c>
      <c r="E449" s="25" t="n">
        <v>2500</v>
      </c>
      <c r="F449" s="25" t="n">
        <v>1500</v>
      </c>
      <c r="G449" s="24" t="s">
        <v>69</v>
      </c>
      <c r="H449" s="24" t="s">
        <v>55</v>
      </c>
      <c r="I449" s="28" t="n">
        <f aca="false">IF(A449="","",D449*E449)</f>
        <v>7500</v>
      </c>
      <c r="J449" s="28" t="n">
        <f aca="false">IF(A449="","",D449*F449)</f>
        <v>4500</v>
      </c>
      <c r="K449" s="26" t="n">
        <f aca="false">IF(A449="","",YEAR(A449))</f>
        <v>2025</v>
      </c>
      <c r="L449" s="26" t="n">
        <f aca="false">IF(A449="","",MONTH(A449))</f>
        <v>9</v>
      </c>
    </row>
    <row r="450" customFormat="false" ht="15" hidden="false" customHeight="false" outlineLevel="0" collapsed="false">
      <c r="A450" s="23" t="n">
        <v>45908.3715277778</v>
      </c>
      <c r="B450" s="24" t="s">
        <v>1071</v>
      </c>
      <c r="C450" s="24" t="s">
        <v>1072</v>
      </c>
      <c r="D450" s="24" t="n">
        <v>1</v>
      </c>
      <c r="E450" s="25" t="n">
        <v>2000</v>
      </c>
      <c r="F450" s="25" t="n">
        <v>1100</v>
      </c>
      <c r="G450" s="24" t="s">
        <v>59</v>
      </c>
      <c r="H450" s="24" t="s">
        <v>60</v>
      </c>
      <c r="I450" s="28" t="n">
        <f aca="false">IF(A450="","",D450*E450)</f>
        <v>2000</v>
      </c>
      <c r="J450" s="28" t="n">
        <f aca="false">IF(A450="","",D450*F450)</f>
        <v>1100</v>
      </c>
      <c r="K450" s="26" t="n">
        <f aca="false">IF(A450="","",YEAR(A450))</f>
        <v>2025</v>
      </c>
      <c r="L450" s="26" t="n">
        <f aca="false">IF(A450="","",MONTH(A450))</f>
        <v>9</v>
      </c>
    </row>
    <row r="451" customFormat="false" ht="15" hidden="false" customHeight="false" outlineLevel="0" collapsed="false">
      <c r="A451" s="23" t="n">
        <v>45908.39375</v>
      </c>
      <c r="B451" s="24" t="s">
        <v>1081</v>
      </c>
      <c r="C451" s="24" t="s">
        <v>1082</v>
      </c>
      <c r="D451" s="24" t="n">
        <v>3</v>
      </c>
      <c r="E451" s="25" t="n">
        <v>2500</v>
      </c>
      <c r="F451" s="25" t="n">
        <v>1500</v>
      </c>
      <c r="G451" s="24" t="s">
        <v>59</v>
      </c>
      <c r="H451" s="24" t="s">
        <v>80</v>
      </c>
      <c r="I451" s="28" t="n">
        <f aca="false">IF(A451="","",D451*E451)</f>
        <v>7500</v>
      </c>
      <c r="J451" s="28" t="n">
        <f aca="false">IF(A451="","",D451*F451)</f>
        <v>4500</v>
      </c>
      <c r="K451" s="26" t="n">
        <f aca="false">IF(A451="","",YEAR(A451))</f>
        <v>2025</v>
      </c>
      <c r="L451" s="26" t="n">
        <f aca="false">IF(A451="","",MONTH(A451))</f>
        <v>9</v>
      </c>
    </row>
    <row r="452" customFormat="false" ht="15" hidden="false" customHeight="false" outlineLevel="0" collapsed="false">
      <c r="A452" s="23" t="n">
        <v>45909.80625</v>
      </c>
      <c r="B452" s="24" t="s">
        <v>1073</v>
      </c>
      <c r="C452" s="24" t="s">
        <v>1074</v>
      </c>
      <c r="D452" s="24" t="n">
        <v>1</v>
      </c>
      <c r="E452" s="25" t="n">
        <v>7000</v>
      </c>
      <c r="F452" s="25" t="n">
        <v>4800</v>
      </c>
      <c r="G452" s="24" t="s">
        <v>59</v>
      </c>
      <c r="H452" s="24" t="s">
        <v>80</v>
      </c>
      <c r="I452" s="28" t="n">
        <f aca="false">IF(A452="","",D452*E452)</f>
        <v>7000</v>
      </c>
      <c r="J452" s="28" t="n">
        <f aca="false">IF(A452="","",D452*F452)</f>
        <v>4800</v>
      </c>
      <c r="K452" s="26" t="n">
        <f aca="false">IF(A452="","",YEAR(A452))</f>
        <v>2025</v>
      </c>
      <c r="L452" s="26" t="n">
        <f aca="false">IF(A452="","",MONTH(A452))</f>
        <v>9</v>
      </c>
    </row>
    <row r="453" customFormat="false" ht="15" hidden="false" customHeight="false" outlineLevel="0" collapsed="false">
      <c r="A453" s="23" t="n">
        <v>45910.4777777778</v>
      </c>
      <c r="B453" s="24" t="s">
        <v>1079</v>
      </c>
      <c r="C453" s="24" t="s">
        <v>1080</v>
      </c>
      <c r="D453" s="24" t="n">
        <v>3</v>
      </c>
      <c r="E453" s="25" t="n">
        <v>2500</v>
      </c>
      <c r="F453" s="25" t="n">
        <v>1600</v>
      </c>
      <c r="G453" s="24" t="s">
        <v>69</v>
      </c>
      <c r="H453" s="24" t="s">
        <v>60</v>
      </c>
      <c r="I453" s="28" t="n">
        <f aca="false">IF(A453="","",D453*E453)</f>
        <v>7500</v>
      </c>
      <c r="J453" s="28" t="n">
        <f aca="false">IF(A453="","",D453*F453)</f>
        <v>4800</v>
      </c>
      <c r="K453" s="26" t="n">
        <f aca="false">IF(A453="","",YEAR(A453))</f>
        <v>2025</v>
      </c>
      <c r="L453" s="26" t="n">
        <f aca="false">IF(A453="","",MONTH(A453))</f>
        <v>9</v>
      </c>
    </row>
    <row r="454" customFormat="false" ht="15" hidden="false" customHeight="false" outlineLevel="0" collapsed="false">
      <c r="A454" s="23" t="n">
        <v>45910.5118055556</v>
      </c>
      <c r="B454" s="24" t="s">
        <v>1067</v>
      </c>
      <c r="C454" s="24" t="s">
        <v>1068</v>
      </c>
      <c r="D454" s="24" t="n">
        <v>1</v>
      </c>
      <c r="E454" s="25" t="n">
        <v>4000</v>
      </c>
      <c r="F454" s="25" t="n">
        <v>2600</v>
      </c>
      <c r="G454" s="24" t="s">
        <v>59</v>
      </c>
      <c r="H454" s="24" t="s">
        <v>60</v>
      </c>
      <c r="I454" s="28" t="n">
        <f aca="false">IF(A454="","",D454*E454)</f>
        <v>4000</v>
      </c>
      <c r="J454" s="28" t="n">
        <f aca="false">IF(A454="","",D454*F454)</f>
        <v>2600</v>
      </c>
      <c r="K454" s="26" t="n">
        <f aca="false">IF(A454="","",YEAR(A454))</f>
        <v>2025</v>
      </c>
      <c r="L454" s="26" t="n">
        <f aca="false">IF(A454="","",MONTH(A454))</f>
        <v>9</v>
      </c>
    </row>
    <row r="455" customFormat="false" ht="15" hidden="false" customHeight="false" outlineLevel="0" collapsed="false">
      <c r="A455" s="23" t="n">
        <v>45910.7319444444</v>
      </c>
      <c r="B455" s="24" t="s">
        <v>1081</v>
      </c>
      <c r="C455" s="24" t="s">
        <v>1082</v>
      </c>
      <c r="D455" s="24" t="n">
        <v>1</v>
      </c>
      <c r="E455" s="25" t="n">
        <v>2500</v>
      </c>
      <c r="F455" s="25" t="n">
        <v>1500</v>
      </c>
      <c r="G455" s="24" t="s">
        <v>59</v>
      </c>
      <c r="H455" s="24" t="s">
        <v>60</v>
      </c>
      <c r="I455" s="28" t="n">
        <f aca="false">IF(A455="","",D455*E455)</f>
        <v>2500</v>
      </c>
      <c r="J455" s="28" t="n">
        <f aca="false">IF(A455="","",D455*F455)</f>
        <v>1500</v>
      </c>
      <c r="K455" s="26" t="n">
        <f aca="false">IF(A455="","",YEAR(A455))</f>
        <v>2025</v>
      </c>
      <c r="L455" s="26" t="n">
        <f aca="false">IF(A455="","",MONTH(A455))</f>
        <v>9</v>
      </c>
    </row>
    <row r="456" customFormat="false" ht="15" hidden="false" customHeight="false" outlineLevel="0" collapsed="false">
      <c r="A456" s="23" t="n">
        <v>45910.8555555556</v>
      </c>
      <c r="B456" s="24" t="s">
        <v>1075</v>
      </c>
      <c r="C456" s="24" t="s">
        <v>1076</v>
      </c>
      <c r="D456" s="24" t="n">
        <v>1</v>
      </c>
      <c r="E456" s="25" t="n">
        <v>1000</v>
      </c>
      <c r="F456" s="25" t="n">
        <v>300</v>
      </c>
      <c r="G456" s="24" t="s">
        <v>59</v>
      </c>
      <c r="H456" s="24" t="s">
        <v>55</v>
      </c>
      <c r="I456" s="28" t="n">
        <f aca="false">IF(A456="","",D456*E456)</f>
        <v>1000</v>
      </c>
      <c r="J456" s="28" t="n">
        <f aca="false">IF(A456="","",D456*F456)</f>
        <v>300</v>
      </c>
      <c r="K456" s="26" t="n">
        <f aca="false">IF(A456="","",YEAR(A456))</f>
        <v>2025</v>
      </c>
      <c r="L456" s="26" t="n">
        <f aca="false">IF(A456="","",MONTH(A456))</f>
        <v>9</v>
      </c>
    </row>
    <row r="457" customFormat="false" ht="15" hidden="false" customHeight="false" outlineLevel="0" collapsed="false">
      <c r="A457" s="23" t="n">
        <v>45910.8958333333</v>
      </c>
      <c r="B457" s="24" t="s">
        <v>1069</v>
      </c>
      <c r="C457" s="24" t="s">
        <v>1070</v>
      </c>
      <c r="D457" s="24" t="n">
        <v>1</v>
      </c>
      <c r="E457" s="25" t="n">
        <v>4500</v>
      </c>
      <c r="F457" s="25" t="n">
        <v>3000</v>
      </c>
      <c r="G457" s="24" t="s">
        <v>59</v>
      </c>
      <c r="H457" s="24" t="s">
        <v>60</v>
      </c>
      <c r="I457" s="28" t="n">
        <f aca="false">IF(A457="","",D457*E457)</f>
        <v>4500</v>
      </c>
      <c r="J457" s="28" t="n">
        <f aca="false">IF(A457="","",D457*F457)</f>
        <v>3000</v>
      </c>
      <c r="K457" s="26" t="n">
        <f aca="false">IF(A457="","",YEAR(A457))</f>
        <v>2025</v>
      </c>
      <c r="L457" s="26" t="n">
        <f aca="false">IF(A457="","",MONTH(A457))</f>
        <v>9</v>
      </c>
    </row>
    <row r="458" customFormat="false" ht="15" hidden="false" customHeight="false" outlineLevel="0" collapsed="false">
      <c r="A458" s="23" t="n">
        <v>45911.525</v>
      </c>
      <c r="B458" s="24" t="s">
        <v>1071</v>
      </c>
      <c r="C458" s="24" t="s">
        <v>1072</v>
      </c>
      <c r="D458" s="24" t="n">
        <v>3</v>
      </c>
      <c r="E458" s="25" t="n">
        <v>2000</v>
      </c>
      <c r="F458" s="25" t="n">
        <v>1100</v>
      </c>
      <c r="G458" s="24" t="s">
        <v>59</v>
      </c>
      <c r="H458" s="24" t="s">
        <v>80</v>
      </c>
      <c r="I458" s="28" t="n">
        <f aca="false">IF(A458="","",D458*E458)</f>
        <v>6000</v>
      </c>
      <c r="J458" s="28" t="n">
        <f aca="false">IF(A458="","",D458*F458)</f>
        <v>3300</v>
      </c>
      <c r="K458" s="26" t="n">
        <f aca="false">IF(A458="","",YEAR(A458))</f>
        <v>2025</v>
      </c>
      <c r="L458" s="26" t="n">
        <f aca="false">IF(A458="","",MONTH(A458))</f>
        <v>9</v>
      </c>
    </row>
    <row r="459" customFormat="false" ht="15" hidden="false" customHeight="false" outlineLevel="0" collapsed="false">
      <c r="A459" s="23" t="n">
        <v>45911.7034722222</v>
      </c>
      <c r="B459" s="24" t="s">
        <v>1077</v>
      </c>
      <c r="C459" s="24" t="s">
        <v>1078</v>
      </c>
      <c r="D459" s="24" t="n">
        <v>1</v>
      </c>
      <c r="E459" s="25" t="n">
        <v>1500</v>
      </c>
      <c r="F459" s="25" t="n">
        <v>900</v>
      </c>
      <c r="G459" s="24" t="s">
        <v>59</v>
      </c>
      <c r="H459" s="24" t="s">
        <v>80</v>
      </c>
      <c r="I459" s="28" t="n">
        <f aca="false">IF(A459="","",D459*E459)</f>
        <v>1500</v>
      </c>
      <c r="J459" s="28" t="n">
        <f aca="false">IF(A459="","",D459*F459)</f>
        <v>900</v>
      </c>
      <c r="K459" s="26" t="n">
        <f aca="false">IF(A459="","",YEAR(A459))</f>
        <v>2025</v>
      </c>
      <c r="L459" s="26" t="n">
        <f aca="false">IF(A459="","",MONTH(A459))</f>
        <v>9</v>
      </c>
    </row>
    <row r="460" customFormat="false" ht="15" hidden="false" customHeight="false" outlineLevel="0" collapsed="false">
      <c r="A460" s="23" t="n">
        <v>45911.7701388889</v>
      </c>
      <c r="B460" s="24" t="s">
        <v>1071</v>
      </c>
      <c r="C460" s="24" t="s">
        <v>1072</v>
      </c>
      <c r="D460" s="24" t="n">
        <v>2</v>
      </c>
      <c r="E460" s="25" t="n">
        <v>2000</v>
      </c>
      <c r="F460" s="25" t="n">
        <v>1100</v>
      </c>
      <c r="G460" s="24" t="s">
        <v>69</v>
      </c>
      <c r="H460" s="24" t="s">
        <v>60</v>
      </c>
      <c r="I460" s="28" t="n">
        <f aca="false">IF(A460="","",D460*E460)</f>
        <v>4000</v>
      </c>
      <c r="J460" s="28" t="n">
        <f aca="false">IF(A460="","",D460*F460)</f>
        <v>2200</v>
      </c>
      <c r="K460" s="26" t="n">
        <f aca="false">IF(A460="","",YEAR(A460))</f>
        <v>2025</v>
      </c>
      <c r="L460" s="26" t="n">
        <f aca="false">IF(A460="","",MONTH(A460))</f>
        <v>9</v>
      </c>
    </row>
    <row r="461" customFormat="false" ht="15" hidden="false" customHeight="false" outlineLevel="0" collapsed="false">
      <c r="A461" s="23" t="n">
        <v>45911.8104166667</v>
      </c>
      <c r="B461" s="24" t="s">
        <v>1073</v>
      </c>
      <c r="C461" s="24" t="s">
        <v>1074</v>
      </c>
      <c r="D461" s="24" t="n">
        <v>3</v>
      </c>
      <c r="E461" s="25" t="n">
        <v>7000</v>
      </c>
      <c r="F461" s="25" t="n">
        <v>4800</v>
      </c>
      <c r="G461" s="24" t="s">
        <v>59</v>
      </c>
      <c r="H461" s="24" t="s">
        <v>55</v>
      </c>
      <c r="I461" s="28" t="n">
        <f aca="false">IF(A461="","",D461*E461)</f>
        <v>21000</v>
      </c>
      <c r="J461" s="28" t="n">
        <f aca="false">IF(A461="","",D461*F461)</f>
        <v>14400</v>
      </c>
      <c r="K461" s="26" t="n">
        <f aca="false">IF(A461="","",YEAR(A461))</f>
        <v>2025</v>
      </c>
      <c r="L461" s="26" t="n">
        <f aca="false">IF(A461="","",MONTH(A461))</f>
        <v>9</v>
      </c>
    </row>
    <row r="462" customFormat="false" ht="15" hidden="false" customHeight="false" outlineLevel="0" collapsed="false">
      <c r="A462" s="23" t="n">
        <v>45911.8423611111</v>
      </c>
      <c r="B462" s="24" t="s">
        <v>1071</v>
      </c>
      <c r="C462" s="24" t="s">
        <v>1072</v>
      </c>
      <c r="D462" s="24" t="n">
        <v>2</v>
      </c>
      <c r="E462" s="25" t="n">
        <v>2000</v>
      </c>
      <c r="F462" s="25" t="n">
        <v>1100</v>
      </c>
      <c r="G462" s="24" t="s">
        <v>59</v>
      </c>
      <c r="H462" s="24" t="s">
        <v>55</v>
      </c>
      <c r="I462" s="28" t="n">
        <f aca="false">IF(A462="","",D462*E462)</f>
        <v>4000</v>
      </c>
      <c r="J462" s="28" t="n">
        <f aca="false">IF(A462="","",D462*F462)</f>
        <v>2200</v>
      </c>
      <c r="K462" s="26" t="n">
        <f aca="false">IF(A462="","",YEAR(A462))</f>
        <v>2025</v>
      </c>
      <c r="L462" s="26" t="n">
        <f aca="false">IF(A462="","",MONTH(A462))</f>
        <v>9</v>
      </c>
    </row>
    <row r="463" customFormat="false" ht="15" hidden="false" customHeight="false" outlineLevel="0" collapsed="false">
      <c r="A463" s="23" t="n">
        <v>45911.8916666667</v>
      </c>
      <c r="B463" s="24" t="s">
        <v>1075</v>
      </c>
      <c r="C463" s="24" t="s">
        <v>1076</v>
      </c>
      <c r="D463" s="24" t="n">
        <v>1</v>
      </c>
      <c r="E463" s="25" t="n">
        <v>1000</v>
      </c>
      <c r="F463" s="25" t="n">
        <v>300</v>
      </c>
      <c r="G463" s="24" t="s">
        <v>59</v>
      </c>
      <c r="H463" s="24" t="s">
        <v>60</v>
      </c>
      <c r="I463" s="28" t="n">
        <f aca="false">IF(A463="","",D463*E463)</f>
        <v>1000</v>
      </c>
      <c r="J463" s="28" t="n">
        <f aca="false">IF(A463="","",D463*F463)</f>
        <v>300</v>
      </c>
      <c r="K463" s="26" t="n">
        <f aca="false">IF(A463="","",YEAR(A463))</f>
        <v>2025</v>
      </c>
      <c r="L463" s="26" t="n">
        <f aca="false">IF(A463="","",MONTH(A463))</f>
        <v>9</v>
      </c>
    </row>
    <row r="464" customFormat="false" ht="15" hidden="false" customHeight="false" outlineLevel="0" collapsed="false">
      <c r="A464" s="23" t="n">
        <v>45912.3944444444</v>
      </c>
      <c r="B464" s="24" t="s">
        <v>1079</v>
      </c>
      <c r="C464" s="24" t="s">
        <v>1080</v>
      </c>
      <c r="D464" s="24" t="n">
        <v>1</v>
      </c>
      <c r="E464" s="25" t="n">
        <v>2500</v>
      </c>
      <c r="F464" s="25" t="n">
        <v>1600</v>
      </c>
      <c r="G464" s="24" t="s">
        <v>59</v>
      </c>
      <c r="H464" s="24" t="s">
        <v>60</v>
      </c>
      <c r="I464" s="28" t="n">
        <f aca="false">IF(A464="","",D464*E464)</f>
        <v>2500</v>
      </c>
      <c r="J464" s="28" t="n">
        <f aca="false">IF(A464="","",D464*F464)</f>
        <v>1600</v>
      </c>
      <c r="K464" s="26" t="n">
        <f aca="false">IF(A464="","",YEAR(A464))</f>
        <v>2025</v>
      </c>
      <c r="L464" s="26" t="n">
        <f aca="false">IF(A464="","",MONTH(A464))</f>
        <v>9</v>
      </c>
    </row>
    <row r="465" customFormat="false" ht="15" hidden="false" customHeight="false" outlineLevel="0" collapsed="false">
      <c r="A465" s="23" t="n">
        <v>45912.4861111111</v>
      </c>
      <c r="B465" s="24" t="s">
        <v>1079</v>
      </c>
      <c r="C465" s="24" t="s">
        <v>1080</v>
      </c>
      <c r="D465" s="24" t="n">
        <v>1</v>
      </c>
      <c r="E465" s="25" t="n">
        <v>2500</v>
      </c>
      <c r="F465" s="25" t="n">
        <v>1600</v>
      </c>
      <c r="G465" s="24" t="s">
        <v>69</v>
      </c>
      <c r="H465" s="24" t="s">
        <v>80</v>
      </c>
      <c r="I465" s="28" t="n">
        <f aca="false">IF(A465="","",D465*E465)</f>
        <v>2500</v>
      </c>
      <c r="J465" s="28" t="n">
        <f aca="false">IF(A465="","",D465*F465)</f>
        <v>1600</v>
      </c>
      <c r="K465" s="26" t="n">
        <f aca="false">IF(A465="","",YEAR(A465))</f>
        <v>2025</v>
      </c>
      <c r="L465" s="26" t="n">
        <f aca="false">IF(A465="","",MONTH(A465))</f>
        <v>9</v>
      </c>
    </row>
    <row r="466" customFormat="false" ht="15" hidden="false" customHeight="false" outlineLevel="0" collapsed="false">
      <c r="A466" s="23" t="n">
        <v>45912.5145833333</v>
      </c>
      <c r="B466" s="24" t="s">
        <v>1071</v>
      </c>
      <c r="C466" s="24" t="s">
        <v>1072</v>
      </c>
      <c r="D466" s="24" t="n">
        <v>3</v>
      </c>
      <c r="E466" s="25" t="n">
        <v>2000</v>
      </c>
      <c r="F466" s="25" t="n">
        <v>1100</v>
      </c>
      <c r="G466" s="24" t="s">
        <v>59</v>
      </c>
      <c r="H466" s="24" t="s">
        <v>80</v>
      </c>
      <c r="I466" s="28" t="n">
        <f aca="false">IF(A466="","",D466*E466)</f>
        <v>6000</v>
      </c>
      <c r="J466" s="28" t="n">
        <f aca="false">IF(A466="","",D466*F466)</f>
        <v>3300</v>
      </c>
      <c r="K466" s="26" t="n">
        <f aca="false">IF(A466="","",YEAR(A466))</f>
        <v>2025</v>
      </c>
      <c r="L466" s="26" t="n">
        <f aca="false">IF(A466="","",MONTH(A466))</f>
        <v>9</v>
      </c>
    </row>
    <row r="467" customFormat="false" ht="15" hidden="false" customHeight="false" outlineLevel="0" collapsed="false">
      <c r="A467" s="23" t="n">
        <v>45913.3534722222</v>
      </c>
      <c r="B467" s="24" t="s">
        <v>1071</v>
      </c>
      <c r="C467" s="24" t="s">
        <v>1072</v>
      </c>
      <c r="D467" s="24" t="n">
        <v>3</v>
      </c>
      <c r="E467" s="25" t="n">
        <v>2000</v>
      </c>
      <c r="F467" s="25" t="n">
        <v>1100</v>
      </c>
      <c r="G467" s="24" t="s">
        <v>59</v>
      </c>
      <c r="H467" s="24" t="s">
        <v>80</v>
      </c>
      <c r="I467" s="28" t="n">
        <f aca="false">IF(A467="","",D467*E467)</f>
        <v>6000</v>
      </c>
      <c r="J467" s="28" t="n">
        <f aca="false">IF(A467="","",D467*F467)</f>
        <v>3300</v>
      </c>
      <c r="K467" s="26" t="n">
        <f aca="false">IF(A467="","",YEAR(A467))</f>
        <v>2025</v>
      </c>
      <c r="L467" s="26" t="n">
        <f aca="false">IF(A467="","",MONTH(A467))</f>
        <v>9</v>
      </c>
    </row>
    <row r="468" customFormat="false" ht="15" hidden="false" customHeight="false" outlineLevel="0" collapsed="false">
      <c r="A468" s="23" t="n">
        <v>45913.5173611111</v>
      </c>
      <c r="B468" s="24" t="s">
        <v>1069</v>
      </c>
      <c r="C468" s="24" t="s">
        <v>1070</v>
      </c>
      <c r="D468" s="24" t="n">
        <v>2</v>
      </c>
      <c r="E468" s="25" t="n">
        <v>4500</v>
      </c>
      <c r="F468" s="25" t="n">
        <v>3000</v>
      </c>
      <c r="G468" s="24" t="s">
        <v>59</v>
      </c>
      <c r="H468" s="24" t="s">
        <v>80</v>
      </c>
      <c r="I468" s="28" t="n">
        <f aca="false">IF(A468="","",D468*E468)</f>
        <v>9000</v>
      </c>
      <c r="J468" s="28" t="n">
        <f aca="false">IF(A468="","",D468*F468)</f>
        <v>6000</v>
      </c>
      <c r="K468" s="26" t="n">
        <f aca="false">IF(A468="","",YEAR(A468))</f>
        <v>2025</v>
      </c>
      <c r="L468" s="26" t="n">
        <f aca="false">IF(A468="","",MONTH(A468))</f>
        <v>9</v>
      </c>
    </row>
    <row r="469" customFormat="false" ht="15" hidden="false" customHeight="false" outlineLevel="0" collapsed="false">
      <c r="A469" s="23" t="n">
        <v>45913.7388888889</v>
      </c>
      <c r="B469" s="24" t="s">
        <v>1065</v>
      </c>
      <c r="C469" s="24" t="s">
        <v>1066</v>
      </c>
      <c r="D469" s="24" t="n">
        <v>1</v>
      </c>
      <c r="E469" s="25" t="n">
        <v>3000</v>
      </c>
      <c r="F469" s="25" t="n">
        <v>2000</v>
      </c>
      <c r="G469" s="24" t="s">
        <v>59</v>
      </c>
      <c r="H469" s="24" t="s">
        <v>80</v>
      </c>
      <c r="I469" s="28" t="n">
        <f aca="false">IF(A469="","",D469*E469)</f>
        <v>3000</v>
      </c>
      <c r="J469" s="28" t="n">
        <f aca="false">IF(A469="","",D469*F469)</f>
        <v>2000</v>
      </c>
      <c r="K469" s="26" t="n">
        <f aca="false">IF(A469="","",YEAR(A469))</f>
        <v>2025</v>
      </c>
      <c r="L469" s="26" t="n">
        <f aca="false">IF(A469="","",MONTH(A469))</f>
        <v>9</v>
      </c>
    </row>
    <row r="470" customFormat="false" ht="15" hidden="false" customHeight="false" outlineLevel="0" collapsed="false">
      <c r="A470" s="23" t="n">
        <v>45913.85</v>
      </c>
      <c r="B470" s="24" t="s">
        <v>1069</v>
      </c>
      <c r="C470" s="24" t="s">
        <v>1070</v>
      </c>
      <c r="D470" s="24" t="n">
        <v>3</v>
      </c>
      <c r="E470" s="25" t="n">
        <v>4500</v>
      </c>
      <c r="F470" s="25" t="n">
        <v>3000</v>
      </c>
      <c r="G470" s="24" t="s">
        <v>59</v>
      </c>
      <c r="H470" s="24" t="s">
        <v>55</v>
      </c>
      <c r="I470" s="28" t="n">
        <f aca="false">IF(A470="","",D470*E470)</f>
        <v>13500</v>
      </c>
      <c r="J470" s="28" t="n">
        <f aca="false">IF(A470="","",D470*F470)</f>
        <v>9000</v>
      </c>
      <c r="K470" s="26" t="n">
        <f aca="false">IF(A470="","",YEAR(A470))</f>
        <v>2025</v>
      </c>
      <c r="L470" s="26" t="n">
        <f aca="false">IF(A470="","",MONTH(A470))</f>
        <v>9</v>
      </c>
    </row>
    <row r="471" customFormat="false" ht="15" hidden="false" customHeight="false" outlineLevel="0" collapsed="false">
      <c r="A471" s="23" t="n">
        <v>45913.9041666667</v>
      </c>
      <c r="B471" s="24" t="s">
        <v>1071</v>
      </c>
      <c r="C471" s="24" t="s">
        <v>1072</v>
      </c>
      <c r="D471" s="24" t="n">
        <v>1</v>
      </c>
      <c r="E471" s="25" t="n">
        <v>2000</v>
      </c>
      <c r="F471" s="25" t="n">
        <v>1100</v>
      </c>
      <c r="G471" s="24" t="s">
        <v>59</v>
      </c>
      <c r="H471" s="24" t="s">
        <v>55</v>
      </c>
      <c r="I471" s="28" t="n">
        <f aca="false">IF(A471="","",D471*E471)</f>
        <v>2000</v>
      </c>
      <c r="J471" s="28" t="n">
        <f aca="false">IF(A471="","",D471*F471)</f>
        <v>1100</v>
      </c>
      <c r="K471" s="26" t="n">
        <f aca="false">IF(A471="","",YEAR(A471))</f>
        <v>2025</v>
      </c>
      <c r="L471" s="26" t="n">
        <f aca="false">IF(A471="","",MONTH(A471))</f>
        <v>9</v>
      </c>
    </row>
    <row r="472" customFormat="false" ht="15" hidden="false" customHeight="false" outlineLevel="0" collapsed="false">
      <c r="A472" s="23" t="n">
        <v>45914.4048611111</v>
      </c>
      <c r="B472" s="24" t="s">
        <v>1073</v>
      </c>
      <c r="C472" s="24" t="s">
        <v>1074</v>
      </c>
      <c r="D472" s="24" t="n">
        <v>1</v>
      </c>
      <c r="E472" s="25" t="n">
        <v>7000</v>
      </c>
      <c r="F472" s="25" t="n">
        <v>4800</v>
      </c>
      <c r="G472" s="24" t="s">
        <v>59</v>
      </c>
      <c r="H472" s="24" t="s">
        <v>60</v>
      </c>
      <c r="I472" s="28" t="n">
        <f aca="false">IF(A472="","",D472*E472)</f>
        <v>7000</v>
      </c>
      <c r="J472" s="28" t="n">
        <f aca="false">IF(A472="","",D472*F472)</f>
        <v>4800</v>
      </c>
      <c r="K472" s="26" t="n">
        <f aca="false">IF(A472="","",YEAR(A472))</f>
        <v>2025</v>
      </c>
      <c r="L472" s="26" t="n">
        <f aca="false">IF(A472="","",MONTH(A472))</f>
        <v>9</v>
      </c>
    </row>
    <row r="473" customFormat="false" ht="15" hidden="false" customHeight="false" outlineLevel="0" collapsed="false">
      <c r="A473" s="23" t="n">
        <v>45914.5222222222</v>
      </c>
      <c r="B473" s="24" t="s">
        <v>1069</v>
      </c>
      <c r="C473" s="24" t="s">
        <v>1070</v>
      </c>
      <c r="D473" s="24" t="n">
        <v>1</v>
      </c>
      <c r="E473" s="25" t="n">
        <v>4500</v>
      </c>
      <c r="F473" s="25" t="n">
        <v>3000</v>
      </c>
      <c r="G473" s="24" t="s">
        <v>69</v>
      </c>
      <c r="H473" s="24" t="s">
        <v>60</v>
      </c>
      <c r="I473" s="28" t="n">
        <f aca="false">IF(A473="","",D473*E473)</f>
        <v>4500</v>
      </c>
      <c r="J473" s="28" t="n">
        <f aca="false">IF(A473="","",D473*F473)</f>
        <v>3000</v>
      </c>
      <c r="K473" s="26" t="n">
        <f aca="false">IF(A473="","",YEAR(A473))</f>
        <v>2025</v>
      </c>
      <c r="L473" s="26" t="n">
        <f aca="false">IF(A473="","",MONTH(A473))</f>
        <v>9</v>
      </c>
    </row>
    <row r="474" customFormat="false" ht="15" hidden="false" customHeight="false" outlineLevel="0" collapsed="false">
      <c r="A474" s="23" t="n">
        <v>45915.2972222222</v>
      </c>
      <c r="B474" s="24" t="s">
        <v>1081</v>
      </c>
      <c r="C474" s="24" t="s">
        <v>1082</v>
      </c>
      <c r="D474" s="24" t="n">
        <v>3</v>
      </c>
      <c r="E474" s="25" t="n">
        <v>2500</v>
      </c>
      <c r="F474" s="25" t="n">
        <v>1500</v>
      </c>
      <c r="G474" s="24" t="s">
        <v>59</v>
      </c>
      <c r="H474" s="24" t="s">
        <v>55</v>
      </c>
      <c r="I474" s="28" t="n">
        <f aca="false">IF(A474="","",D474*E474)</f>
        <v>7500</v>
      </c>
      <c r="J474" s="28" t="n">
        <f aca="false">IF(A474="","",D474*F474)</f>
        <v>4500</v>
      </c>
      <c r="K474" s="26" t="n">
        <f aca="false">IF(A474="","",YEAR(A474))</f>
        <v>2025</v>
      </c>
      <c r="L474" s="26" t="n">
        <f aca="false">IF(A474="","",MONTH(A474))</f>
        <v>9</v>
      </c>
    </row>
    <row r="475" customFormat="false" ht="15" hidden="false" customHeight="false" outlineLevel="0" collapsed="false">
      <c r="A475" s="23" t="n">
        <v>45915.7847222222</v>
      </c>
      <c r="B475" s="24" t="s">
        <v>1073</v>
      </c>
      <c r="C475" s="24" t="s">
        <v>1074</v>
      </c>
      <c r="D475" s="24" t="n">
        <v>3</v>
      </c>
      <c r="E475" s="25" t="n">
        <v>7000</v>
      </c>
      <c r="F475" s="25" t="n">
        <v>4800</v>
      </c>
      <c r="G475" s="24" t="s">
        <v>59</v>
      </c>
      <c r="H475" s="24" t="s">
        <v>55</v>
      </c>
      <c r="I475" s="28" t="n">
        <f aca="false">IF(A475="","",D475*E475)</f>
        <v>21000</v>
      </c>
      <c r="J475" s="28" t="n">
        <f aca="false">IF(A475="","",D475*F475)</f>
        <v>14400</v>
      </c>
      <c r="K475" s="26" t="n">
        <f aca="false">IF(A475="","",YEAR(A475))</f>
        <v>2025</v>
      </c>
      <c r="L475" s="26" t="n">
        <f aca="false">IF(A475="","",MONTH(A475))</f>
        <v>9</v>
      </c>
    </row>
    <row r="476" customFormat="false" ht="15" hidden="false" customHeight="false" outlineLevel="0" collapsed="false">
      <c r="A476" s="23" t="n">
        <v>45916.6583333333</v>
      </c>
      <c r="B476" s="24" t="s">
        <v>1075</v>
      </c>
      <c r="C476" s="24" t="s">
        <v>1076</v>
      </c>
      <c r="D476" s="24" t="n">
        <v>3</v>
      </c>
      <c r="E476" s="25" t="n">
        <v>1000</v>
      </c>
      <c r="F476" s="25" t="n">
        <v>300</v>
      </c>
      <c r="G476" s="24" t="s">
        <v>69</v>
      </c>
      <c r="H476" s="24" t="s">
        <v>60</v>
      </c>
      <c r="I476" s="28" t="n">
        <f aca="false">IF(A476="","",D476*E476)</f>
        <v>3000</v>
      </c>
      <c r="J476" s="28" t="n">
        <f aca="false">IF(A476="","",D476*F476)</f>
        <v>900</v>
      </c>
      <c r="K476" s="26" t="n">
        <f aca="false">IF(A476="","",YEAR(A476))</f>
        <v>2025</v>
      </c>
      <c r="L476" s="26" t="n">
        <f aca="false">IF(A476="","",MONTH(A476))</f>
        <v>9</v>
      </c>
    </row>
    <row r="477" customFormat="false" ht="15" hidden="false" customHeight="false" outlineLevel="0" collapsed="false">
      <c r="A477" s="23" t="n">
        <v>45917.7388888889</v>
      </c>
      <c r="B477" s="24" t="s">
        <v>1071</v>
      </c>
      <c r="C477" s="24" t="s">
        <v>1072</v>
      </c>
      <c r="D477" s="24" t="n">
        <v>3</v>
      </c>
      <c r="E477" s="25" t="n">
        <v>2000</v>
      </c>
      <c r="F477" s="25" t="n">
        <v>1100</v>
      </c>
      <c r="G477" s="24" t="s">
        <v>59</v>
      </c>
      <c r="H477" s="24" t="s">
        <v>60</v>
      </c>
      <c r="I477" s="28" t="n">
        <f aca="false">IF(A477="","",D477*E477)</f>
        <v>6000</v>
      </c>
      <c r="J477" s="28" t="n">
        <f aca="false">IF(A477="","",D477*F477)</f>
        <v>3300</v>
      </c>
      <c r="K477" s="26" t="n">
        <f aca="false">IF(A477="","",YEAR(A477))</f>
        <v>2025</v>
      </c>
      <c r="L477" s="26" t="n">
        <f aca="false">IF(A477="","",MONTH(A477))</f>
        <v>9</v>
      </c>
    </row>
    <row r="478" customFormat="false" ht="15" hidden="false" customHeight="false" outlineLevel="0" collapsed="false">
      <c r="A478" s="23" t="n">
        <v>45917.7597222222</v>
      </c>
      <c r="B478" s="24" t="s">
        <v>1069</v>
      </c>
      <c r="C478" s="24" t="s">
        <v>1070</v>
      </c>
      <c r="D478" s="24" t="n">
        <v>1</v>
      </c>
      <c r="E478" s="25" t="n">
        <v>4500</v>
      </c>
      <c r="F478" s="25" t="n">
        <v>3000</v>
      </c>
      <c r="G478" s="24" t="s">
        <v>59</v>
      </c>
      <c r="H478" s="24" t="s">
        <v>60</v>
      </c>
      <c r="I478" s="28" t="n">
        <f aca="false">IF(A478="","",D478*E478)</f>
        <v>4500</v>
      </c>
      <c r="J478" s="28" t="n">
        <f aca="false">IF(A478="","",D478*F478)</f>
        <v>3000</v>
      </c>
      <c r="K478" s="26" t="n">
        <f aca="false">IF(A478="","",YEAR(A478))</f>
        <v>2025</v>
      </c>
      <c r="L478" s="26" t="n">
        <f aca="false">IF(A478="","",MONTH(A478))</f>
        <v>9</v>
      </c>
    </row>
    <row r="479" customFormat="false" ht="15" hidden="false" customHeight="false" outlineLevel="0" collapsed="false">
      <c r="A479" s="23" t="n">
        <v>45917.7666666667</v>
      </c>
      <c r="B479" s="24" t="s">
        <v>1065</v>
      </c>
      <c r="C479" s="24" t="s">
        <v>1066</v>
      </c>
      <c r="D479" s="24" t="n">
        <v>1</v>
      </c>
      <c r="E479" s="25" t="n">
        <v>3000</v>
      </c>
      <c r="F479" s="25" t="n">
        <v>2000</v>
      </c>
      <c r="G479" s="24" t="s">
        <v>59</v>
      </c>
      <c r="H479" s="24" t="s">
        <v>60</v>
      </c>
      <c r="I479" s="28" t="n">
        <f aca="false">IF(A479="","",D479*E479)</f>
        <v>3000</v>
      </c>
      <c r="J479" s="28" t="n">
        <f aca="false">IF(A479="","",D479*F479)</f>
        <v>2000</v>
      </c>
      <c r="K479" s="26" t="n">
        <f aca="false">IF(A479="","",YEAR(A479))</f>
        <v>2025</v>
      </c>
      <c r="L479" s="26" t="n">
        <f aca="false">IF(A479="","",MONTH(A479))</f>
        <v>9</v>
      </c>
    </row>
    <row r="480" customFormat="false" ht="15" hidden="false" customHeight="false" outlineLevel="0" collapsed="false">
      <c r="A480" s="23" t="n">
        <v>45918.4666666667</v>
      </c>
      <c r="B480" s="24" t="s">
        <v>1081</v>
      </c>
      <c r="C480" s="24" t="s">
        <v>1082</v>
      </c>
      <c r="D480" s="24" t="n">
        <v>3</v>
      </c>
      <c r="E480" s="25" t="n">
        <v>2500</v>
      </c>
      <c r="F480" s="25" t="n">
        <v>1500</v>
      </c>
      <c r="G480" s="24" t="s">
        <v>59</v>
      </c>
      <c r="H480" s="24" t="s">
        <v>60</v>
      </c>
      <c r="I480" s="28" t="n">
        <f aca="false">IF(A480="","",D480*E480)</f>
        <v>7500</v>
      </c>
      <c r="J480" s="28" t="n">
        <f aca="false">IF(A480="","",D480*F480)</f>
        <v>4500</v>
      </c>
      <c r="K480" s="26" t="n">
        <f aca="false">IF(A480="","",YEAR(A480))</f>
        <v>2025</v>
      </c>
      <c r="L480" s="26" t="n">
        <f aca="false">IF(A480="","",MONTH(A480))</f>
        <v>9</v>
      </c>
    </row>
    <row r="481" customFormat="false" ht="15" hidden="false" customHeight="false" outlineLevel="0" collapsed="false">
      <c r="A481" s="23" t="n">
        <v>45918.86875</v>
      </c>
      <c r="B481" s="24" t="s">
        <v>1067</v>
      </c>
      <c r="C481" s="24" t="s">
        <v>1068</v>
      </c>
      <c r="D481" s="24" t="n">
        <v>1</v>
      </c>
      <c r="E481" s="25" t="n">
        <v>4000</v>
      </c>
      <c r="F481" s="25" t="n">
        <v>2600</v>
      </c>
      <c r="G481" s="24" t="s">
        <v>59</v>
      </c>
      <c r="H481" s="24" t="s">
        <v>80</v>
      </c>
      <c r="I481" s="28" t="n">
        <f aca="false">IF(A481="","",D481*E481)</f>
        <v>4000</v>
      </c>
      <c r="J481" s="28" t="n">
        <f aca="false">IF(A481="","",D481*F481)</f>
        <v>2600</v>
      </c>
      <c r="K481" s="26" t="n">
        <f aca="false">IF(A481="","",YEAR(A481))</f>
        <v>2025</v>
      </c>
      <c r="L481" s="26" t="n">
        <f aca="false">IF(A481="","",MONTH(A481))</f>
        <v>9</v>
      </c>
    </row>
    <row r="482" customFormat="false" ht="15" hidden="false" customHeight="false" outlineLevel="0" collapsed="false">
      <c r="A482" s="23" t="n">
        <v>45920.9069444445</v>
      </c>
      <c r="B482" s="24" t="s">
        <v>1071</v>
      </c>
      <c r="C482" s="24" t="s">
        <v>1072</v>
      </c>
      <c r="D482" s="24" t="n">
        <v>3</v>
      </c>
      <c r="E482" s="25" t="n">
        <v>2000</v>
      </c>
      <c r="F482" s="25" t="n">
        <v>1100</v>
      </c>
      <c r="G482" s="24" t="s">
        <v>59</v>
      </c>
      <c r="H482" s="24" t="s">
        <v>60</v>
      </c>
      <c r="I482" s="28" t="n">
        <f aca="false">IF(A482="","",D482*E482)</f>
        <v>6000</v>
      </c>
      <c r="J482" s="28" t="n">
        <f aca="false">IF(A482="","",D482*F482)</f>
        <v>3300</v>
      </c>
      <c r="K482" s="26" t="n">
        <f aca="false">IF(A482="","",YEAR(A482))</f>
        <v>2025</v>
      </c>
      <c r="L482" s="26" t="n">
        <f aca="false">IF(A482="","",MONTH(A482))</f>
        <v>9</v>
      </c>
    </row>
    <row r="483" customFormat="false" ht="15" hidden="false" customHeight="false" outlineLevel="0" collapsed="false">
      <c r="A483" s="23" t="n">
        <v>45921.3291666667</v>
      </c>
      <c r="B483" s="24" t="s">
        <v>1077</v>
      </c>
      <c r="C483" s="24" t="s">
        <v>1078</v>
      </c>
      <c r="D483" s="24" t="n">
        <v>1</v>
      </c>
      <c r="E483" s="25" t="n">
        <v>1500</v>
      </c>
      <c r="F483" s="25" t="n">
        <v>900</v>
      </c>
      <c r="G483" s="24" t="s">
        <v>59</v>
      </c>
      <c r="H483" s="24" t="s">
        <v>80</v>
      </c>
      <c r="I483" s="28" t="n">
        <f aca="false">IF(A483="","",D483*E483)</f>
        <v>1500</v>
      </c>
      <c r="J483" s="28" t="n">
        <f aca="false">IF(A483="","",D483*F483)</f>
        <v>900</v>
      </c>
      <c r="K483" s="26" t="n">
        <f aca="false">IF(A483="","",YEAR(A483))</f>
        <v>2025</v>
      </c>
      <c r="L483" s="26" t="n">
        <f aca="false">IF(A483="","",MONTH(A483))</f>
        <v>9</v>
      </c>
    </row>
    <row r="484" customFormat="false" ht="15" hidden="false" customHeight="false" outlineLevel="0" collapsed="false">
      <c r="A484" s="23" t="n">
        <v>45921.6263888889</v>
      </c>
      <c r="B484" s="24" t="s">
        <v>1081</v>
      </c>
      <c r="C484" s="24" t="s">
        <v>1082</v>
      </c>
      <c r="D484" s="24" t="n">
        <v>3</v>
      </c>
      <c r="E484" s="25" t="n">
        <v>2500</v>
      </c>
      <c r="F484" s="25" t="n">
        <v>1500</v>
      </c>
      <c r="G484" s="24" t="s">
        <v>59</v>
      </c>
      <c r="H484" s="24" t="s">
        <v>55</v>
      </c>
      <c r="I484" s="28" t="n">
        <f aca="false">IF(A484="","",D484*E484)</f>
        <v>7500</v>
      </c>
      <c r="J484" s="28" t="n">
        <f aca="false">IF(A484="","",D484*F484)</f>
        <v>4500</v>
      </c>
      <c r="K484" s="26" t="n">
        <f aca="false">IF(A484="","",YEAR(A484))</f>
        <v>2025</v>
      </c>
      <c r="L484" s="26" t="n">
        <f aca="false">IF(A484="","",MONTH(A484))</f>
        <v>9</v>
      </c>
    </row>
    <row r="485" customFormat="false" ht="15" hidden="false" customHeight="false" outlineLevel="0" collapsed="false">
      <c r="A485" s="23" t="n">
        <v>45921.6319444445</v>
      </c>
      <c r="B485" s="24" t="s">
        <v>1071</v>
      </c>
      <c r="C485" s="24" t="s">
        <v>1072</v>
      </c>
      <c r="D485" s="24" t="n">
        <v>1</v>
      </c>
      <c r="E485" s="25" t="n">
        <v>2000</v>
      </c>
      <c r="F485" s="25" t="n">
        <v>1100</v>
      </c>
      <c r="G485" s="24" t="s">
        <v>59</v>
      </c>
      <c r="H485" s="24" t="s">
        <v>60</v>
      </c>
      <c r="I485" s="28" t="n">
        <f aca="false">IF(A485="","",D485*E485)</f>
        <v>2000</v>
      </c>
      <c r="J485" s="28" t="n">
        <f aca="false">IF(A485="","",D485*F485)</f>
        <v>1100</v>
      </c>
      <c r="K485" s="26" t="n">
        <f aca="false">IF(A485="","",YEAR(A485))</f>
        <v>2025</v>
      </c>
      <c r="L485" s="26" t="n">
        <f aca="false">IF(A485="","",MONTH(A485))</f>
        <v>9</v>
      </c>
    </row>
    <row r="486" customFormat="false" ht="15" hidden="false" customHeight="false" outlineLevel="0" collapsed="false">
      <c r="A486" s="23" t="n">
        <v>45922.6847222222</v>
      </c>
      <c r="B486" s="24" t="s">
        <v>1077</v>
      </c>
      <c r="C486" s="24" t="s">
        <v>1078</v>
      </c>
      <c r="D486" s="24" t="n">
        <v>1</v>
      </c>
      <c r="E486" s="25" t="n">
        <v>1500</v>
      </c>
      <c r="F486" s="25" t="n">
        <v>900</v>
      </c>
      <c r="G486" s="24" t="s">
        <v>59</v>
      </c>
      <c r="H486" s="24" t="s">
        <v>55</v>
      </c>
      <c r="I486" s="28" t="n">
        <f aca="false">IF(A486="","",D486*E486)</f>
        <v>1500</v>
      </c>
      <c r="J486" s="28" t="n">
        <f aca="false">IF(A486="","",D486*F486)</f>
        <v>900</v>
      </c>
      <c r="K486" s="26" t="n">
        <f aca="false">IF(A486="","",YEAR(A486))</f>
        <v>2025</v>
      </c>
      <c r="L486" s="26" t="n">
        <f aca="false">IF(A486="","",MONTH(A486))</f>
        <v>9</v>
      </c>
    </row>
    <row r="487" customFormat="false" ht="15" hidden="false" customHeight="false" outlineLevel="0" collapsed="false">
      <c r="A487" s="23" t="n">
        <v>45922.9027777778</v>
      </c>
      <c r="B487" s="24" t="s">
        <v>1081</v>
      </c>
      <c r="C487" s="24" t="s">
        <v>1082</v>
      </c>
      <c r="D487" s="24" t="n">
        <v>1</v>
      </c>
      <c r="E487" s="25" t="n">
        <v>2500</v>
      </c>
      <c r="F487" s="25" t="n">
        <v>1500</v>
      </c>
      <c r="G487" s="24" t="s">
        <v>59</v>
      </c>
      <c r="H487" s="24" t="s">
        <v>80</v>
      </c>
      <c r="I487" s="28" t="n">
        <f aca="false">IF(A487="","",D487*E487)</f>
        <v>2500</v>
      </c>
      <c r="J487" s="28" t="n">
        <f aca="false">IF(A487="","",D487*F487)</f>
        <v>1500</v>
      </c>
      <c r="K487" s="26" t="n">
        <f aca="false">IF(A487="","",YEAR(A487))</f>
        <v>2025</v>
      </c>
      <c r="L487" s="26" t="n">
        <f aca="false">IF(A487="","",MONTH(A487))</f>
        <v>9</v>
      </c>
    </row>
    <row r="488" customFormat="false" ht="15" hidden="false" customHeight="false" outlineLevel="0" collapsed="false">
      <c r="A488" s="23" t="n">
        <v>45923.5527777778</v>
      </c>
      <c r="B488" s="24" t="s">
        <v>1079</v>
      </c>
      <c r="C488" s="24" t="s">
        <v>1080</v>
      </c>
      <c r="D488" s="24" t="n">
        <v>1</v>
      </c>
      <c r="E488" s="25" t="n">
        <v>2500</v>
      </c>
      <c r="F488" s="25" t="n">
        <v>1600</v>
      </c>
      <c r="G488" s="24" t="s">
        <v>69</v>
      </c>
      <c r="H488" s="24" t="s">
        <v>55</v>
      </c>
      <c r="I488" s="28" t="n">
        <f aca="false">IF(A488="","",D488*E488)</f>
        <v>2500</v>
      </c>
      <c r="J488" s="28" t="n">
        <f aca="false">IF(A488="","",D488*F488)</f>
        <v>1600</v>
      </c>
      <c r="K488" s="26" t="n">
        <f aca="false">IF(A488="","",YEAR(A488))</f>
        <v>2025</v>
      </c>
      <c r="L488" s="26" t="n">
        <f aca="false">IF(A488="","",MONTH(A488))</f>
        <v>9</v>
      </c>
    </row>
    <row r="489" customFormat="false" ht="15" hidden="false" customHeight="false" outlineLevel="0" collapsed="false">
      <c r="A489" s="23" t="n">
        <v>45923.7534722222</v>
      </c>
      <c r="B489" s="24" t="s">
        <v>1075</v>
      </c>
      <c r="C489" s="24" t="s">
        <v>1076</v>
      </c>
      <c r="D489" s="24" t="n">
        <v>2</v>
      </c>
      <c r="E489" s="25" t="n">
        <v>1000</v>
      </c>
      <c r="F489" s="25" t="n">
        <v>300</v>
      </c>
      <c r="G489" s="24" t="s">
        <v>69</v>
      </c>
      <c r="H489" s="24" t="s">
        <v>80</v>
      </c>
      <c r="I489" s="28" t="n">
        <f aca="false">IF(A489="","",D489*E489)</f>
        <v>2000</v>
      </c>
      <c r="J489" s="28" t="n">
        <f aca="false">IF(A489="","",D489*F489)</f>
        <v>600</v>
      </c>
      <c r="K489" s="26" t="n">
        <f aca="false">IF(A489="","",YEAR(A489))</f>
        <v>2025</v>
      </c>
      <c r="L489" s="26" t="n">
        <f aca="false">IF(A489="","",MONTH(A489))</f>
        <v>9</v>
      </c>
    </row>
    <row r="490" customFormat="false" ht="15" hidden="false" customHeight="false" outlineLevel="0" collapsed="false">
      <c r="A490" s="23" t="n">
        <v>45924.6048611111</v>
      </c>
      <c r="B490" s="24" t="s">
        <v>1067</v>
      </c>
      <c r="C490" s="24" t="s">
        <v>1068</v>
      </c>
      <c r="D490" s="24" t="n">
        <v>3</v>
      </c>
      <c r="E490" s="25" t="n">
        <v>4000</v>
      </c>
      <c r="F490" s="25" t="n">
        <v>2600</v>
      </c>
      <c r="G490" s="24" t="s">
        <v>59</v>
      </c>
      <c r="H490" s="24" t="s">
        <v>55</v>
      </c>
      <c r="I490" s="28" t="n">
        <f aca="false">IF(A490="","",D490*E490)</f>
        <v>12000</v>
      </c>
      <c r="J490" s="28" t="n">
        <f aca="false">IF(A490="","",D490*F490)</f>
        <v>7800</v>
      </c>
      <c r="K490" s="26" t="n">
        <f aca="false">IF(A490="","",YEAR(A490))</f>
        <v>2025</v>
      </c>
      <c r="L490" s="26" t="n">
        <f aca="false">IF(A490="","",MONTH(A490))</f>
        <v>9</v>
      </c>
    </row>
    <row r="491" customFormat="false" ht="15" hidden="false" customHeight="false" outlineLevel="0" collapsed="false">
      <c r="A491" s="23" t="n">
        <v>45925.3708333333</v>
      </c>
      <c r="B491" s="24" t="s">
        <v>1073</v>
      </c>
      <c r="C491" s="24" t="s">
        <v>1074</v>
      </c>
      <c r="D491" s="24" t="n">
        <v>3</v>
      </c>
      <c r="E491" s="25" t="n">
        <v>7000</v>
      </c>
      <c r="F491" s="25" t="n">
        <v>4800</v>
      </c>
      <c r="G491" s="24" t="s">
        <v>69</v>
      </c>
      <c r="H491" s="24" t="s">
        <v>60</v>
      </c>
      <c r="I491" s="28" t="n">
        <f aca="false">IF(A491="","",D491*E491)</f>
        <v>21000</v>
      </c>
      <c r="J491" s="28" t="n">
        <f aca="false">IF(A491="","",D491*F491)</f>
        <v>14400</v>
      </c>
      <c r="K491" s="26" t="n">
        <f aca="false">IF(A491="","",YEAR(A491))</f>
        <v>2025</v>
      </c>
      <c r="L491" s="26" t="n">
        <f aca="false">IF(A491="","",MONTH(A491))</f>
        <v>9</v>
      </c>
    </row>
    <row r="492" customFormat="false" ht="15" hidden="false" customHeight="false" outlineLevel="0" collapsed="false">
      <c r="A492" s="23" t="n">
        <v>45925.5020833333</v>
      </c>
      <c r="B492" s="24" t="s">
        <v>1081</v>
      </c>
      <c r="C492" s="24" t="s">
        <v>1082</v>
      </c>
      <c r="D492" s="24" t="n">
        <v>1</v>
      </c>
      <c r="E492" s="25" t="n">
        <v>2500</v>
      </c>
      <c r="F492" s="25" t="n">
        <v>1500</v>
      </c>
      <c r="G492" s="24" t="s">
        <v>59</v>
      </c>
      <c r="H492" s="24" t="s">
        <v>80</v>
      </c>
      <c r="I492" s="28" t="n">
        <f aca="false">IF(A492="","",D492*E492)</f>
        <v>2500</v>
      </c>
      <c r="J492" s="28" t="n">
        <f aca="false">IF(A492="","",D492*F492)</f>
        <v>1500</v>
      </c>
      <c r="K492" s="26" t="n">
        <f aca="false">IF(A492="","",YEAR(A492))</f>
        <v>2025</v>
      </c>
      <c r="L492" s="26" t="n">
        <f aca="false">IF(A492="","",MONTH(A492))</f>
        <v>9</v>
      </c>
    </row>
    <row r="493" customFormat="false" ht="15" hidden="false" customHeight="false" outlineLevel="0" collapsed="false">
      <c r="A493" s="23" t="n">
        <v>45925.8097222222</v>
      </c>
      <c r="B493" s="24" t="s">
        <v>1071</v>
      </c>
      <c r="C493" s="24" t="s">
        <v>1072</v>
      </c>
      <c r="D493" s="24" t="n">
        <v>2</v>
      </c>
      <c r="E493" s="25" t="n">
        <v>2000</v>
      </c>
      <c r="F493" s="25" t="n">
        <v>1100</v>
      </c>
      <c r="G493" s="24" t="s">
        <v>59</v>
      </c>
      <c r="H493" s="24" t="s">
        <v>60</v>
      </c>
      <c r="I493" s="28" t="n">
        <f aca="false">IF(A493="","",D493*E493)</f>
        <v>4000</v>
      </c>
      <c r="J493" s="28" t="n">
        <f aca="false">IF(A493="","",D493*F493)</f>
        <v>2200</v>
      </c>
      <c r="K493" s="26" t="n">
        <f aca="false">IF(A493="","",YEAR(A493))</f>
        <v>2025</v>
      </c>
      <c r="L493" s="26" t="n">
        <f aca="false">IF(A493="","",MONTH(A493))</f>
        <v>9</v>
      </c>
    </row>
    <row r="494" customFormat="false" ht="15" hidden="false" customHeight="false" outlineLevel="0" collapsed="false">
      <c r="A494" s="23" t="n">
        <v>45926.5381944445</v>
      </c>
      <c r="B494" s="24" t="s">
        <v>1071</v>
      </c>
      <c r="C494" s="24" t="s">
        <v>1072</v>
      </c>
      <c r="D494" s="24" t="n">
        <v>1</v>
      </c>
      <c r="E494" s="25" t="n">
        <v>2000</v>
      </c>
      <c r="F494" s="25" t="n">
        <v>1100</v>
      </c>
      <c r="G494" s="24" t="s">
        <v>59</v>
      </c>
      <c r="H494" s="24" t="s">
        <v>55</v>
      </c>
      <c r="I494" s="28" t="n">
        <f aca="false">IF(A494="","",D494*E494)</f>
        <v>2000</v>
      </c>
      <c r="J494" s="28" t="n">
        <f aca="false">IF(A494="","",D494*F494)</f>
        <v>1100</v>
      </c>
      <c r="K494" s="26" t="n">
        <f aca="false">IF(A494="","",YEAR(A494))</f>
        <v>2025</v>
      </c>
      <c r="L494" s="26" t="n">
        <f aca="false">IF(A494="","",MONTH(A494))</f>
        <v>9</v>
      </c>
    </row>
    <row r="495" customFormat="false" ht="15" hidden="false" customHeight="false" outlineLevel="0" collapsed="false">
      <c r="A495" s="23" t="n">
        <v>45926.8805555556</v>
      </c>
      <c r="B495" s="24" t="s">
        <v>1075</v>
      </c>
      <c r="C495" s="24" t="s">
        <v>1076</v>
      </c>
      <c r="D495" s="24" t="n">
        <v>3</v>
      </c>
      <c r="E495" s="25" t="n">
        <v>1000</v>
      </c>
      <c r="F495" s="25" t="n">
        <v>300</v>
      </c>
      <c r="G495" s="24" t="s">
        <v>59</v>
      </c>
      <c r="H495" s="24" t="s">
        <v>80</v>
      </c>
      <c r="I495" s="28" t="n">
        <f aca="false">IF(A495="","",D495*E495)</f>
        <v>3000</v>
      </c>
      <c r="J495" s="28" t="n">
        <f aca="false">IF(A495="","",D495*F495)</f>
        <v>900</v>
      </c>
      <c r="K495" s="26" t="n">
        <f aca="false">IF(A495="","",YEAR(A495))</f>
        <v>2025</v>
      </c>
      <c r="L495" s="26" t="n">
        <f aca="false">IF(A495="","",MONTH(A495))</f>
        <v>9</v>
      </c>
    </row>
    <row r="496" customFormat="false" ht="15" hidden="false" customHeight="false" outlineLevel="0" collapsed="false">
      <c r="A496" s="23" t="n">
        <v>45928.4423611111</v>
      </c>
      <c r="B496" s="24" t="s">
        <v>1079</v>
      </c>
      <c r="C496" s="24" t="s">
        <v>1080</v>
      </c>
      <c r="D496" s="24" t="n">
        <v>1</v>
      </c>
      <c r="E496" s="25" t="n">
        <v>2500</v>
      </c>
      <c r="F496" s="25" t="n">
        <v>1600</v>
      </c>
      <c r="G496" s="24" t="s">
        <v>59</v>
      </c>
      <c r="H496" s="24" t="s">
        <v>55</v>
      </c>
      <c r="I496" s="28" t="n">
        <f aca="false">IF(A496="","",D496*E496)</f>
        <v>2500</v>
      </c>
      <c r="J496" s="28" t="n">
        <f aca="false">IF(A496="","",D496*F496)</f>
        <v>1600</v>
      </c>
      <c r="K496" s="26" t="n">
        <f aca="false">IF(A496="","",YEAR(A496))</f>
        <v>2025</v>
      </c>
      <c r="L496" s="26" t="n">
        <f aca="false">IF(A496="","",MONTH(A496))</f>
        <v>9</v>
      </c>
    </row>
    <row r="497" customFormat="false" ht="15" hidden="false" customHeight="false" outlineLevel="0" collapsed="false">
      <c r="A497" s="23" t="n">
        <v>45931.4465277778</v>
      </c>
      <c r="B497" s="24" t="s">
        <v>1077</v>
      </c>
      <c r="C497" s="24" t="s">
        <v>1078</v>
      </c>
      <c r="D497" s="24" t="n">
        <v>1</v>
      </c>
      <c r="E497" s="25" t="n">
        <v>1500</v>
      </c>
      <c r="F497" s="25" t="n">
        <v>900</v>
      </c>
      <c r="G497" s="24" t="s">
        <v>59</v>
      </c>
      <c r="H497" s="24" t="s">
        <v>60</v>
      </c>
      <c r="I497" s="28" t="n">
        <f aca="false">IF(A497="","",D497*E497)</f>
        <v>1500</v>
      </c>
      <c r="J497" s="28" t="n">
        <f aca="false">IF(A497="","",D497*F497)</f>
        <v>900</v>
      </c>
      <c r="K497" s="26" t="n">
        <f aca="false">IF(A497="","",YEAR(A497))</f>
        <v>2025</v>
      </c>
      <c r="L497" s="26" t="n">
        <f aca="false">IF(A497="","",MONTH(A497))</f>
        <v>10</v>
      </c>
    </row>
    <row r="498" customFormat="false" ht="15" hidden="false" customHeight="false" outlineLevel="0" collapsed="false">
      <c r="A498" s="23" t="n">
        <v>45931.4576388889</v>
      </c>
      <c r="B498" s="24" t="s">
        <v>1081</v>
      </c>
      <c r="C498" s="24" t="s">
        <v>1082</v>
      </c>
      <c r="D498" s="24" t="n">
        <v>3</v>
      </c>
      <c r="E498" s="25" t="n">
        <v>2500</v>
      </c>
      <c r="F498" s="25" t="n">
        <v>1500</v>
      </c>
      <c r="G498" s="24" t="s">
        <v>59</v>
      </c>
      <c r="H498" s="24" t="s">
        <v>80</v>
      </c>
      <c r="I498" s="28" t="n">
        <f aca="false">IF(A498="","",D498*E498)</f>
        <v>7500</v>
      </c>
      <c r="J498" s="28" t="n">
        <f aca="false">IF(A498="","",D498*F498)</f>
        <v>4500</v>
      </c>
      <c r="K498" s="26" t="n">
        <f aca="false">IF(A498="","",YEAR(A498))</f>
        <v>2025</v>
      </c>
      <c r="L498" s="26" t="n">
        <f aca="false">IF(A498="","",MONTH(A498))</f>
        <v>10</v>
      </c>
    </row>
    <row r="499" customFormat="false" ht="15" hidden="false" customHeight="false" outlineLevel="0" collapsed="false">
      <c r="A499" s="23" t="n">
        <v>45937.3555555556</v>
      </c>
      <c r="B499" s="24" t="s">
        <v>1079</v>
      </c>
      <c r="C499" s="24" t="s">
        <v>1080</v>
      </c>
      <c r="D499" s="24" t="n">
        <v>2</v>
      </c>
      <c r="E499" s="25" t="n">
        <v>2500</v>
      </c>
      <c r="F499" s="25" t="n">
        <v>1600</v>
      </c>
      <c r="G499" s="24" t="s">
        <v>59</v>
      </c>
      <c r="H499" s="24" t="s">
        <v>60</v>
      </c>
      <c r="I499" s="28" t="n">
        <f aca="false">IF(A499="","",D499*E499)</f>
        <v>5000</v>
      </c>
      <c r="J499" s="28" t="n">
        <f aca="false">IF(A499="","",D499*F499)</f>
        <v>3200</v>
      </c>
      <c r="K499" s="26" t="n">
        <f aca="false">IF(A499="","",YEAR(A499))</f>
        <v>2025</v>
      </c>
      <c r="L499" s="26" t="n">
        <f aca="false">IF(A499="","",MONTH(A499))</f>
        <v>10</v>
      </c>
    </row>
    <row r="500" customFormat="false" ht="15" hidden="false" customHeight="false" outlineLevel="0" collapsed="false">
      <c r="A500" s="23" t="n">
        <v>45937.3923611111</v>
      </c>
      <c r="B500" s="24" t="s">
        <v>1075</v>
      </c>
      <c r="C500" s="24" t="s">
        <v>1076</v>
      </c>
      <c r="D500" s="24" t="n">
        <v>1</v>
      </c>
      <c r="E500" s="25" t="n">
        <v>1000</v>
      </c>
      <c r="F500" s="25" t="n">
        <v>300</v>
      </c>
      <c r="G500" s="24" t="s">
        <v>69</v>
      </c>
      <c r="H500" s="24" t="s">
        <v>80</v>
      </c>
      <c r="I500" s="28" t="n">
        <f aca="false">IF(A500="","",D500*E500)</f>
        <v>1000</v>
      </c>
      <c r="J500" s="28" t="n">
        <f aca="false">IF(A500="","",D500*F500)</f>
        <v>300</v>
      </c>
      <c r="K500" s="26" t="n">
        <f aca="false">IF(A500="","",YEAR(A500))</f>
        <v>2025</v>
      </c>
      <c r="L500" s="26" t="n">
        <f aca="false">IF(A500="","",MONTH(A500))</f>
        <v>10</v>
      </c>
    </row>
    <row r="501" customFormat="false" ht="15" hidden="false" customHeight="false" outlineLevel="0" collapsed="false">
      <c r="A501" s="23" t="n">
        <v>45938.4138888889</v>
      </c>
      <c r="B501" s="24" t="s">
        <v>1079</v>
      </c>
      <c r="C501" s="24" t="s">
        <v>1080</v>
      </c>
      <c r="D501" s="24" t="n">
        <v>1</v>
      </c>
      <c r="E501" s="25" t="n">
        <v>2500</v>
      </c>
      <c r="F501" s="25" t="n">
        <v>1600</v>
      </c>
      <c r="G501" s="24" t="s">
        <v>59</v>
      </c>
      <c r="H501" s="24" t="s">
        <v>60</v>
      </c>
      <c r="I501" s="28" t="n">
        <f aca="false">IF(A501="","",D501*E501)</f>
        <v>2500</v>
      </c>
      <c r="J501" s="28" t="n">
        <f aca="false">IF(A501="","",D501*F501)</f>
        <v>1600</v>
      </c>
      <c r="K501" s="26" t="n">
        <f aca="false">IF(A501="","",YEAR(A501))</f>
        <v>2025</v>
      </c>
      <c r="L501" s="26" t="n">
        <f aca="false">IF(A501="","",MONTH(A501))</f>
        <v>10</v>
      </c>
    </row>
    <row r="502" customFormat="false" ht="15" hidden="false" customHeight="false" outlineLevel="0" collapsed="false">
      <c r="A502" s="23" t="n">
        <v>45938.6125</v>
      </c>
      <c r="B502" s="24" t="s">
        <v>1065</v>
      </c>
      <c r="C502" s="24" t="s">
        <v>1066</v>
      </c>
      <c r="D502" s="24" t="n">
        <v>1</v>
      </c>
      <c r="E502" s="25" t="n">
        <v>3000</v>
      </c>
      <c r="F502" s="25" t="n">
        <v>2000</v>
      </c>
      <c r="G502" s="24" t="s">
        <v>59</v>
      </c>
      <c r="H502" s="24" t="s">
        <v>60</v>
      </c>
      <c r="I502" s="28" t="n">
        <f aca="false">IF(A502="","",D502*E502)</f>
        <v>3000</v>
      </c>
      <c r="J502" s="28" t="n">
        <f aca="false">IF(A502="","",D502*F502)</f>
        <v>2000</v>
      </c>
      <c r="K502" s="26" t="n">
        <f aca="false">IF(A502="","",YEAR(A502))</f>
        <v>2025</v>
      </c>
      <c r="L502" s="26" t="n">
        <f aca="false">IF(A502="","",MONTH(A502))</f>
        <v>10</v>
      </c>
    </row>
    <row r="503" customFormat="false" ht="15" hidden="false" customHeight="false" outlineLevel="0" collapsed="false">
      <c r="A503" s="23" t="n">
        <v>45938.63125</v>
      </c>
      <c r="B503" s="24" t="s">
        <v>1073</v>
      </c>
      <c r="C503" s="24" t="s">
        <v>1074</v>
      </c>
      <c r="D503" s="24" t="n">
        <v>1</v>
      </c>
      <c r="E503" s="25" t="n">
        <v>7000</v>
      </c>
      <c r="F503" s="25" t="n">
        <v>4800</v>
      </c>
      <c r="G503" s="24" t="s">
        <v>59</v>
      </c>
      <c r="H503" s="24" t="s">
        <v>60</v>
      </c>
      <c r="I503" s="28" t="n">
        <f aca="false">IF(A503="","",D503*E503)</f>
        <v>7000</v>
      </c>
      <c r="J503" s="28" t="n">
        <f aca="false">IF(A503="","",D503*F503)</f>
        <v>4800</v>
      </c>
      <c r="K503" s="26" t="n">
        <f aca="false">IF(A503="","",YEAR(A503))</f>
        <v>2025</v>
      </c>
      <c r="L503" s="26" t="n">
        <f aca="false">IF(A503="","",MONTH(A503))</f>
        <v>10</v>
      </c>
    </row>
    <row r="504" customFormat="false" ht="15" hidden="false" customHeight="false" outlineLevel="0" collapsed="false">
      <c r="A504" s="23" t="n">
        <v>45939.6180555556</v>
      </c>
      <c r="B504" s="24" t="s">
        <v>1069</v>
      </c>
      <c r="C504" s="24" t="s">
        <v>1070</v>
      </c>
      <c r="D504" s="24" t="n">
        <v>1</v>
      </c>
      <c r="E504" s="25" t="n">
        <v>4500</v>
      </c>
      <c r="F504" s="25" t="n">
        <v>3000</v>
      </c>
      <c r="G504" s="24" t="s">
        <v>59</v>
      </c>
      <c r="H504" s="24" t="s">
        <v>80</v>
      </c>
      <c r="I504" s="28" t="n">
        <f aca="false">IF(A504="","",D504*E504)</f>
        <v>4500</v>
      </c>
      <c r="J504" s="28" t="n">
        <f aca="false">IF(A504="","",D504*F504)</f>
        <v>3000</v>
      </c>
      <c r="K504" s="26" t="n">
        <f aca="false">IF(A504="","",YEAR(A504))</f>
        <v>2025</v>
      </c>
      <c r="L504" s="26" t="n">
        <f aca="false">IF(A504="","",MONTH(A504))</f>
        <v>10</v>
      </c>
    </row>
    <row r="505" customFormat="false" ht="15" hidden="false" customHeight="false" outlineLevel="0" collapsed="false">
      <c r="A505" s="23" t="n">
        <v>45942.7625</v>
      </c>
      <c r="B505" s="24" t="s">
        <v>1067</v>
      </c>
      <c r="C505" s="24" t="s">
        <v>1068</v>
      </c>
      <c r="D505" s="24" t="n">
        <v>1</v>
      </c>
      <c r="E505" s="25" t="n">
        <v>4000</v>
      </c>
      <c r="F505" s="25" t="n">
        <v>2600</v>
      </c>
      <c r="G505" s="24" t="s">
        <v>59</v>
      </c>
      <c r="H505" s="24" t="s">
        <v>80</v>
      </c>
      <c r="I505" s="28" t="n">
        <f aca="false">IF(A505="","",D505*E505)</f>
        <v>4000</v>
      </c>
      <c r="J505" s="28" t="n">
        <f aca="false">IF(A505="","",D505*F505)</f>
        <v>2600</v>
      </c>
      <c r="K505" s="26" t="n">
        <f aca="false">IF(A505="","",YEAR(A505))</f>
        <v>2025</v>
      </c>
      <c r="L505" s="26" t="n">
        <f aca="false">IF(A505="","",MONTH(A505))</f>
        <v>10</v>
      </c>
    </row>
    <row r="506" customFormat="false" ht="15" hidden="false" customHeight="false" outlineLevel="0" collapsed="false">
      <c r="A506" s="23" t="n">
        <v>45944.3513888889</v>
      </c>
      <c r="B506" s="24" t="s">
        <v>1075</v>
      </c>
      <c r="C506" s="24" t="s">
        <v>1076</v>
      </c>
      <c r="D506" s="24" t="n">
        <v>1</v>
      </c>
      <c r="E506" s="25" t="n">
        <v>1000</v>
      </c>
      <c r="F506" s="25" t="n">
        <v>300</v>
      </c>
      <c r="G506" s="24" t="s">
        <v>59</v>
      </c>
      <c r="H506" s="24" t="s">
        <v>80</v>
      </c>
      <c r="I506" s="28" t="n">
        <f aca="false">IF(A506="","",D506*E506)</f>
        <v>1000</v>
      </c>
      <c r="J506" s="28" t="n">
        <f aca="false">IF(A506="","",D506*F506)</f>
        <v>300</v>
      </c>
      <c r="K506" s="26" t="n">
        <f aca="false">IF(A506="","",YEAR(A506))</f>
        <v>2025</v>
      </c>
      <c r="L506" s="26" t="n">
        <f aca="false">IF(A506="","",MONTH(A506))</f>
        <v>10</v>
      </c>
    </row>
    <row r="507" customFormat="false" ht="15" hidden="false" customHeight="false" outlineLevel="0" collapsed="false">
      <c r="A507" s="23" t="n">
        <v>45944.4236111111</v>
      </c>
      <c r="B507" s="24" t="s">
        <v>1081</v>
      </c>
      <c r="C507" s="24" t="s">
        <v>1082</v>
      </c>
      <c r="D507" s="24" t="n">
        <v>1</v>
      </c>
      <c r="E507" s="25" t="n">
        <v>2500</v>
      </c>
      <c r="F507" s="25" t="n">
        <v>1500</v>
      </c>
      <c r="G507" s="24" t="s">
        <v>59</v>
      </c>
      <c r="H507" s="24" t="s">
        <v>80</v>
      </c>
      <c r="I507" s="28" t="n">
        <f aca="false">IF(A507="","",D507*E507)</f>
        <v>2500</v>
      </c>
      <c r="J507" s="28" t="n">
        <f aca="false">IF(A507="","",D507*F507)</f>
        <v>1500</v>
      </c>
      <c r="K507" s="26" t="n">
        <f aca="false">IF(A507="","",YEAR(A507))</f>
        <v>2025</v>
      </c>
      <c r="L507" s="26" t="n">
        <f aca="false">IF(A507="","",MONTH(A507))</f>
        <v>10</v>
      </c>
    </row>
    <row r="508" customFormat="false" ht="15" hidden="false" customHeight="false" outlineLevel="0" collapsed="false">
      <c r="A508" s="23" t="n">
        <v>45945.5090277778</v>
      </c>
      <c r="B508" s="24" t="s">
        <v>1075</v>
      </c>
      <c r="C508" s="24" t="s">
        <v>1076</v>
      </c>
      <c r="D508" s="24" t="n">
        <v>1</v>
      </c>
      <c r="E508" s="25" t="n">
        <v>1000</v>
      </c>
      <c r="F508" s="25" t="n">
        <v>300</v>
      </c>
      <c r="G508" s="24" t="s">
        <v>59</v>
      </c>
      <c r="H508" s="24" t="s">
        <v>55</v>
      </c>
      <c r="I508" s="28" t="n">
        <f aca="false">IF(A508="","",D508*E508)</f>
        <v>1000</v>
      </c>
      <c r="J508" s="28" t="n">
        <f aca="false">IF(A508="","",D508*F508)</f>
        <v>300</v>
      </c>
      <c r="K508" s="26" t="n">
        <f aca="false">IF(A508="","",YEAR(A508))</f>
        <v>2025</v>
      </c>
      <c r="L508" s="26" t="n">
        <f aca="false">IF(A508="","",MONTH(A508))</f>
        <v>10</v>
      </c>
    </row>
    <row r="509" customFormat="false" ht="15" hidden="false" customHeight="false" outlineLevel="0" collapsed="false">
      <c r="A509" s="23" t="n">
        <v>45945.5861111111</v>
      </c>
      <c r="B509" s="24" t="s">
        <v>1075</v>
      </c>
      <c r="C509" s="24" t="s">
        <v>1076</v>
      </c>
      <c r="D509" s="24" t="n">
        <v>2</v>
      </c>
      <c r="E509" s="25" t="n">
        <v>1000</v>
      </c>
      <c r="F509" s="25" t="n">
        <v>300</v>
      </c>
      <c r="G509" s="24" t="s">
        <v>59</v>
      </c>
      <c r="H509" s="24" t="s">
        <v>80</v>
      </c>
      <c r="I509" s="28" t="n">
        <f aca="false">IF(A509="","",D509*E509)</f>
        <v>2000</v>
      </c>
      <c r="J509" s="28" t="n">
        <f aca="false">IF(A509="","",D509*F509)</f>
        <v>600</v>
      </c>
      <c r="K509" s="26" t="n">
        <f aca="false">IF(A509="","",YEAR(A509))</f>
        <v>2025</v>
      </c>
      <c r="L509" s="26" t="n">
        <f aca="false">IF(A509="","",MONTH(A509))</f>
        <v>10</v>
      </c>
    </row>
    <row r="510" customFormat="false" ht="15" hidden="false" customHeight="false" outlineLevel="0" collapsed="false">
      <c r="A510" s="23" t="n">
        <v>45946.4541666667</v>
      </c>
      <c r="B510" s="24" t="s">
        <v>1075</v>
      </c>
      <c r="C510" s="24" t="s">
        <v>1076</v>
      </c>
      <c r="D510" s="24" t="n">
        <v>1</v>
      </c>
      <c r="E510" s="25" t="n">
        <v>1000</v>
      </c>
      <c r="F510" s="25" t="n">
        <v>300</v>
      </c>
      <c r="G510" s="24" t="s">
        <v>69</v>
      </c>
      <c r="H510" s="24" t="s">
        <v>80</v>
      </c>
      <c r="I510" s="28" t="n">
        <f aca="false">IF(A510="","",D510*E510)</f>
        <v>1000</v>
      </c>
      <c r="J510" s="28" t="n">
        <f aca="false">IF(A510="","",D510*F510)</f>
        <v>300</v>
      </c>
      <c r="K510" s="26" t="n">
        <f aca="false">IF(A510="","",YEAR(A510))</f>
        <v>2025</v>
      </c>
      <c r="L510" s="26" t="n">
        <f aca="false">IF(A510="","",MONTH(A510))</f>
        <v>10</v>
      </c>
    </row>
    <row r="511" customFormat="false" ht="15" hidden="false" customHeight="false" outlineLevel="0" collapsed="false">
      <c r="A511" s="23" t="n">
        <v>45947.3166666667</v>
      </c>
      <c r="B511" s="24" t="s">
        <v>1065</v>
      </c>
      <c r="C511" s="24" t="s">
        <v>1066</v>
      </c>
      <c r="D511" s="24" t="n">
        <v>2</v>
      </c>
      <c r="E511" s="25" t="n">
        <v>3000</v>
      </c>
      <c r="F511" s="25" t="n">
        <v>2000</v>
      </c>
      <c r="G511" s="24" t="s">
        <v>59</v>
      </c>
      <c r="H511" s="24" t="s">
        <v>80</v>
      </c>
      <c r="I511" s="28" t="n">
        <f aca="false">IF(A511="","",D511*E511)</f>
        <v>6000</v>
      </c>
      <c r="J511" s="28" t="n">
        <f aca="false">IF(A511="","",D511*F511)</f>
        <v>4000</v>
      </c>
      <c r="K511" s="26" t="n">
        <f aca="false">IF(A511="","",YEAR(A511))</f>
        <v>2025</v>
      </c>
      <c r="L511" s="26" t="n">
        <f aca="false">IF(A511="","",MONTH(A511))</f>
        <v>10</v>
      </c>
    </row>
    <row r="512" customFormat="false" ht="15" hidden="false" customHeight="false" outlineLevel="0" collapsed="false">
      <c r="A512" s="23" t="n">
        <v>45947.3548611111</v>
      </c>
      <c r="B512" s="24" t="s">
        <v>1065</v>
      </c>
      <c r="C512" s="24" t="s">
        <v>1066</v>
      </c>
      <c r="D512" s="24" t="n">
        <v>1</v>
      </c>
      <c r="E512" s="25" t="n">
        <v>3000</v>
      </c>
      <c r="F512" s="25" t="n">
        <v>2000</v>
      </c>
      <c r="G512" s="24" t="s">
        <v>69</v>
      </c>
      <c r="H512" s="24" t="s">
        <v>60</v>
      </c>
      <c r="I512" s="28" t="n">
        <f aca="false">IF(A512="","",D512*E512)</f>
        <v>3000</v>
      </c>
      <c r="J512" s="28" t="n">
        <f aca="false">IF(A512="","",D512*F512)</f>
        <v>2000</v>
      </c>
      <c r="K512" s="26" t="n">
        <f aca="false">IF(A512="","",YEAR(A512))</f>
        <v>2025</v>
      </c>
      <c r="L512" s="26" t="n">
        <f aca="false">IF(A512="","",MONTH(A512))</f>
        <v>10</v>
      </c>
    </row>
    <row r="513" customFormat="false" ht="15" hidden="false" customHeight="false" outlineLevel="0" collapsed="false">
      <c r="A513" s="23" t="n">
        <v>45947.4347222222</v>
      </c>
      <c r="B513" s="24" t="s">
        <v>1079</v>
      </c>
      <c r="C513" s="24" t="s">
        <v>1080</v>
      </c>
      <c r="D513" s="24" t="n">
        <v>1</v>
      </c>
      <c r="E513" s="25" t="n">
        <v>2500</v>
      </c>
      <c r="F513" s="25" t="n">
        <v>1600</v>
      </c>
      <c r="G513" s="24" t="s">
        <v>59</v>
      </c>
      <c r="H513" s="24" t="s">
        <v>55</v>
      </c>
      <c r="I513" s="28" t="n">
        <f aca="false">IF(A513="","",D513*E513)</f>
        <v>2500</v>
      </c>
      <c r="J513" s="28" t="n">
        <f aca="false">IF(A513="","",D513*F513)</f>
        <v>1600</v>
      </c>
      <c r="K513" s="26" t="n">
        <f aca="false">IF(A513="","",YEAR(A513))</f>
        <v>2025</v>
      </c>
      <c r="L513" s="26" t="n">
        <f aca="false">IF(A513="","",MONTH(A513))</f>
        <v>10</v>
      </c>
    </row>
    <row r="514" customFormat="false" ht="15" hidden="false" customHeight="false" outlineLevel="0" collapsed="false">
      <c r="A514" s="23" t="n">
        <v>45948.4256944444</v>
      </c>
      <c r="B514" s="24" t="s">
        <v>1073</v>
      </c>
      <c r="C514" s="24" t="s">
        <v>1074</v>
      </c>
      <c r="D514" s="24" t="n">
        <v>1</v>
      </c>
      <c r="E514" s="25" t="n">
        <v>7000</v>
      </c>
      <c r="F514" s="25" t="n">
        <v>4800</v>
      </c>
      <c r="G514" s="24" t="s">
        <v>59</v>
      </c>
      <c r="H514" s="24" t="s">
        <v>55</v>
      </c>
      <c r="I514" s="28" t="n">
        <f aca="false">IF(A514="","",D514*E514)</f>
        <v>7000</v>
      </c>
      <c r="J514" s="28" t="n">
        <f aca="false">IF(A514="","",D514*F514)</f>
        <v>4800</v>
      </c>
      <c r="K514" s="26" t="n">
        <f aca="false">IF(A514="","",YEAR(A514))</f>
        <v>2025</v>
      </c>
      <c r="L514" s="26" t="n">
        <f aca="false">IF(A514="","",MONTH(A514))</f>
        <v>10</v>
      </c>
    </row>
    <row r="515" customFormat="false" ht="15" hidden="false" customHeight="false" outlineLevel="0" collapsed="false">
      <c r="A515" s="23" t="n">
        <v>45948.5284722222</v>
      </c>
      <c r="B515" s="24" t="s">
        <v>1079</v>
      </c>
      <c r="C515" s="24" t="s">
        <v>1080</v>
      </c>
      <c r="D515" s="24" t="n">
        <v>3</v>
      </c>
      <c r="E515" s="25" t="n">
        <v>2500</v>
      </c>
      <c r="F515" s="25" t="n">
        <v>1600</v>
      </c>
      <c r="G515" s="24" t="s">
        <v>59</v>
      </c>
      <c r="H515" s="24" t="s">
        <v>60</v>
      </c>
      <c r="I515" s="28" t="n">
        <f aca="false">IF(A515="","",D515*E515)</f>
        <v>7500</v>
      </c>
      <c r="J515" s="28" t="n">
        <f aca="false">IF(A515="","",D515*F515)</f>
        <v>4800</v>
      </c>
      <c r="K515" s="26" t="n">
        <f aca="false">IF(A515="","",YEAR(A515))</f>
        <v>2025</v>
      </c>
      <c r="L515" s="26" t="n">
        <f aca="false">IF(A515="","",MONTH(A515))</f>
        <v>10</v>
      </c>
    </row>
    <row r="516" customFormat="false" ht="15" hidden="false" customHeight="false" outlineLevel="0" collapsed="false">
      <c r="A516" s="23" t="n">
        <v>45949.5229166667</v>
      </c>
      <c r="B516" s="24" t="s">
        <v>1081</v>
      </c>
      <c r="C516" s="24" t="s">
        <v>1082</v>
      </c>
      <c r="D516" s="24" t="n">
        <v>1</v>
      </c>
      <c r="E516" s="25" t="n">
        <v>2500</v>
      </c>
      <c r="F516" s="25" t="n">
        <v>1500</v>
      </c>
      <c r="G516" s="24" t="s">
        <v>59</v>
      </c>
      <c r="H516" s="24" t="s">
        <v>80</v>
      </c>
      <c r="I516" s="28" t="n">
        <f aca="false">IF(A516="","",D516*E516)</f>
        <v>2500</v>
      </c>
      <c r="J516" s="28" t="n">
        <f aca="false">IF(A516="","",D516*F516)</f>
        <v>1500</v>
      </c>
      <c r="K516" s="26" t="n">
        <f aca="false">IF(A516="","",YEAR(A516))</f>
        <v>2025</v>
      </c>
      <c r="L516" s="26" t="n">
        <f aca="false">IF(A516="","",MONTH(A516))</f>
        <v>10</v>
      </c>
    </row>
    <row r="517" customFormat="false" ht="15" hidden="false" customHeight="false" outlineLevel="0" collapsed="false">
      <c r="A517" s="23" t="n">
        <v>45952.5534722222</v>
      </c>
      <c r="B517" s="24" t="s">
        <v>1073</v>
      </c>
      <c r="C517" s="24" t="s">
        <v>1074</v>
      </c>
      <c r="D517" s="24" t="n">
        <v>1</v>
      </c>
      <c r="E517" s="25" t="n">
        <v>7000</v>
      </c>
      <c r="F517" s="25" t="n">
        <v>4800</v>
      </c>
      <c r="G517" s="24" t="s">
        <v>59</v>
      </c>
      <c r="H517" s="24" t="s">
        <v>80</v>
      </c>
      <c r="I517" s="28" t="n">
        <f aca="false">IF(A517="","",D517*E517)</f>
        <v>7000</v>
      </c>
      <c r="J517" s="28" t="n">
        <f aca="false">IF(A517="","",D517*F517)</f>
        <v>4800</v>
      </c>
      <c r="K517" s="26" t="n">
        <f aca="false">IF(A517="","",YEAR(A517))</f>
        <v>2025</v>
      </c>
      <c r="L517" s="26" t="n">
        <f aca="false">IF(A517="","",MONTH(A517))</f>
        <v>10</v>
      </c>
    </row>
    <row r="518" customFormat="false" ht="15" hidden="false" customHeight="false" outlineLevel="0" collapsed="false">
      <c r="A518" s="23" t="n">
        <v>45955.4493055556</v>
      </c>
      <c r="B518" s="24" t="s">
        <v>1067</v>
      </c>
      <c r="C518" s="24" t="s">
        <v>1068</v>
      </c>
      <c r="D518" s="24" t="n">
        <v>3</v>
      </c>
      <c r="E518" s="25" t="n">
        <v>4000</v>
      </c>
      <c r="F518" s="25" t="n">
        <v>2600</v>
      </c>
      <c r="G518" s="24" t="s">
        <v>59</v>
      </c>
      <c r="H518" s="24" t="s">
        <v>80</v>
      </c>
      <c r="I518" s="28" t="n">
        <f aca="false">IF(A518="","",D518*E518)</f>
        <v>12000</v>
      </c>
      <c r="J518" s="28" t="n">
        <f aca="false">IF(A518="","",D518*F518)</f>
        <v>7800</v>
      </c>
      <c r="K518" s="26" t="n">
        <f aca="false">IF(A518="","",YEAR(A518))</f>
        <v>2025</v>
      </c>
      <c r="L518" s="26" t="n">
        <f aca="false">IF(A518="","",MONTH(A518))</f>
        <v>10</v>
      </c>
    </row>
    <row r="519" customFormat="false" ht="15" hidden="false" customHeight="false" outlineLevel="0" collapsed="false">
      <c r="A519" s="23" t="n">
        <v>45955.6993055556</v>
      </c>
      <c r="B519" s="24" t="s">
        <v>1073</v>
      </c>
      <c r="C519" s="24" t="s">
        <v>1074</v>
      </c>
      <c r="D519" s="24" t="n">
        <v>1</v>
      </c>
      <c r="E519" s="25" t="n">
        <v>7000</v>
      </c>
      <c r="F519" s="25" t="n">
        <v>4800</v>
      </c>
      <c r="G519" s="24" t="s">
        <v>69</v>
      </c>
      <c r="H519" s="24" t="s">
        <v>55</v>
      </c>
      <c r="I519" s="28" t="n">
        <f aca="false">IF(A519="","",D519*E519)</f>
        <v>7000</v>
      </c>
      <c r="J519" s="28" t="n">
        <f aca="false">IF(A519="","",D519*F519)</f>
        <v>4800</v>
      </c>
      <c r="K519" s="26" t="n">
        <f aca="false">IF(A519="","",YEAR(A519))</f>
        <v>2025</v>
      </c>
      <c r="L519" s="26" t="n">
        <f aca="false">IF(A519="","",MONTH(A519))</f>
        <v>10</v>
      </c>
    </row>
    <row r="520" customFormat="false" ht="15" hidden="false" customHeight="false" outlineLevel="0" collapsed="false">
      <c r="A520" s="23" t="n">
        <v>45956.2965277778</v>
      </c>
      <c r="B520" s="24" t="s">
        <v>1081</v>
      </c>
      <c r="C520" s="24" t="s">
        <v>1082</v>
      </c>
      <c r="D520" s="24" t="n">
        <v>1</v>
      </c>
      <c r="E520" s="25" t="n">
        <v>2500</v>
      </c>
      <c r="F520" s="25" t="n">
        <v>1500</v>
      </c>
      <c r="G520" s="24" t="s">
        <v>69</v>
      </c>
      <c r="H520" s="24" t="s">
        <v>55</v>
      </c>
      <c r="I520" s="28" t="n">
        <f aca="false">IF(A520="","",D520*E520)</f>
        <v>2500</v>
      </c>
      <c r="J520" s="28" t="n">
        <f aca="false">IF(A520="","",D520*F520)</f>
        <v>1500</v>
      </c>
      <c r="K520" s="26" t="n">
        <f aca="false">IF(A520="","",YEAR(A520))</f>
        <v>2025</v>
      </c>
      <c r="L520" s="26" t="n">
        <f aca="false">IF(A520="","",MONTH(A520))</f>
        <v>10</v>
      </c>
    </row>
    <row r="521" customFormat="false" ht="15" hidden="false" customHeight="false" outlineLevel="0" collapsed="false">
      <c r="A521" s="23" t="n">
        <v>45956.5354166667</v>
      </c>
      <c r="B521" s="24" t="s">
        <v>1067</v>
      </c>
      <c r="C521" s="24" t="s">
        <v>1068</v>
      </c>
      <c r="D521" s="24" t="n">
        <v>1</v>
      </c>
      <c r="E521" s="25" t="n">
        <v>4000</v>
      </c>
      <c r="F521" s="25" t="n">
        <v>2600</v>
      </c>
      <c r="G521" s="24" t="s">
        <v>59</v>
      </c>
      <c r="H521" s="24" t="s">
        <v>55</v>
      </c>
      <c r="I521" s="28" t="n">
        <f aca="false">IF(A521="","",D521*E521)</f>
        <v>4000</v>
      </c>
      <c r="J521" s="28" t="n">
        <f aca="false">IF(A521="","",D521*F521)</f>
        <v>2600</v>
      </c>
      <c r="K521" s="26" t="n">
        <f aca="false">IF(A521="","",YEAR(A521))</f>
        <v>2025</v>
      </c>
      <c r="L521" s="26" t="n">
        <f aca="false">IF(A521="","",MONTH(A521))</f>
        <v>10</v>
      </c>
    </row>
    <row r="522" customFormat="false" ht="15" hidden="false" customHeight="false" outlineLevel="0" collapsed="false">
      <c r="A522" s="23" t="n">
        <v>45957.6027777778</v>
      </c>
      <c r="B522" s="24" t="s">
        <v>1067</v>
      </c>
      <c r="C522" s="24" t="s">
        <v>1068</v>
      </c>
      <c r="D522" s="24" t="n">
        <v>1</v>
      </c>
      <c r="E522" s="25" t="n">
        <v>4000</v>
      </c>
      <c r="F522" s="25" t="n">
        <v>2600</v>
      </c>
      <c r="G522" s="24" t="s">
        <v>69</v>
      </c>
      <c r="H522" s="24" t="s">
        <v>55</v>
      </c>
      <c r="I522" s="28" t="n">
        <f aca="false">IF(A522="","",D522*E522)</f>
        <v>4000</v>
      </c>
      <c r="J522" s="28" t="n">
        <f aca="false">IF(A522="","",D522*F522)</f>
        <v>2600</v>
      </c>
      <c r="K522" s="26" t="n">
        <f aca="false">IF(A522="","",YEAR(A522))</f>
        <v>2025</v>
      </c>
      <c r="L522" s="26" t="n">
        <f aca="false">IF(A522="","",MONTH(A522))</f>
        <v>10</v>
      </c>
    </row>
    <row r="523" customFormat="false" ht="15" hidden="false" customHeight="false" outlineLevel="0" collapsed="false">
      <c r="A523" s="23" t="n">
        <v>45958.7583333333</v>
      </c>
      <c r="B523" s="24" t="s">
        <v>1077</v>
      </c>
      <c r="C523" s="24" t="s">
        <v>1078</v>
      </c>
      <c r="D523" s="24" t="n">
        <v>3</v>
      </c>
      <c r="E523" s="25" t="n">
        <v>1500</v>
      </c>
      <c r="F523" s="25" t="n">
        <v>900</v>
      </c>
      <c r="G523" s="24" t="s">
        <v>59</v>
      </c>
      <c r="H523" s="24" t="s">
        <v>80</v>
      </c>
      <c r="I523" s="28" t="n">
        <f aca="false">IF(A523="","",D523*E523)</f>
        <v>4500</v>
      </c>
      <c r="J523" s="28" t="n">
        <f aca="false">IF(A523="","",D523*F523)</f>
        <v>2700</v>
      </c>
      <c r="K523" s="26" t="n">
        <f aca="false">IF(A523="","",YEAR(A523))</f>
        <v>2025</v>
      </c>
      <c r="L523" s="26" t="n">
        <f aca="false">IF(A523="","",MONTH(A523))</f>
        <v>10</v>
      </c>
    </row>
    <row r="524" customFormat="false" ht="15" hidden="false" customHeight="false" outlineLevel="0" collapsed="false">
      <c r="A524" s="23" t="n">
        <v>45962.5736111111</v>
      </c>
      <c r="B524" s="24" t="s">
        <v>1069</v>
      </c>
      <c r="C524" s="24" t="s">
        <v>1070</v>
      </c>
      <c r="D524" s="24" t="n">
        <v>1</v>
      </c>
      <c r="E524" s="25" t="n">
        <v>4500</v>
      </c>
      <c r="F524" s="25" t="n">
        <v>3000</v>
      </c>
      <c r="G524" s="24" t="s">
        <v>59</v>
      </c>
      <c r="H524" s="24" t="s">
        <v>80</v>
      </c>
      <c r="I524" s="28" t="n">
        <f aca="false">IF(A524="","",D524*E524)</f>
        <v>4500</v>
      </c>
      <c r="J524" s="28" t="n">
        <f aca="false">IF(A524="","",D524*F524)</f>
        <v>3000</v>
      </c>
      <c r="K524" s="26" t="n">
        <f aca="false">IF(A524="","",YEAR(A524))</f>
        <v>2025</v>
      </c>
      <c r="L524" s="26" t="n">
        <f aca="false">IF(A524="","",MONTH(A524))</f>
        <v>11</v>
      </c>
    </row>
    <row r="525" customFormat="false" ht="15" hidden="false" customHeight="false" outlineLevel="0" collapsed="false">
      <c r="A525" s="23" t="n">
        <v>45963.7041666667</v>
      </c>
      <c r="B525" s="24" t="s">
        <v>1073</v>
      </c>
      <c r="C525" s="24" t="s">
        <v>1074</v>
      </c>
      <c r="D525" s="24" t="n">
        <v>1</v>
      </c>
      <c r="E525" s="25" t="n">
        <v>7000</v>
      </c>
      <c r="F525" s="25" t="n">
        <v>4800</v>
      </c>
      <c r="G525" s="24" t="s">
        <v>59</v>
      </c>
      <c r="H525" s="24" t="s">
        <v>60</v>
      </c>
      <c r="I525" s="28" t="n">
        <f aca="false">IF(A525="","",D525*E525)</f>
        <v>7000</v>
      </c>
      <c r="J525" s="28" t="n">
        <f aca="false">IF(A525="","",D525*F525)</f>
        <v>4800</v>
      </c>
      <c r="K525" s="26" t="n">
        <f aca="false">IF(A525="","",YEAR(A525))</f>
        <v>2025</v>
      </c>
      <c r="L525" s="26" t="n">
        <f aca="false">IF(A525="","",MONTH(A525))</f>
        <v>11</v>
      </c>
    </row>
    <row r="526" customFormat="false" ht="15" hidden="false" customHeight="false" outlineLevel="0" collapsed="false">
      <c r="A526" s="23" t="n">
        <v>45963.7215277778</v>
      </c>
      <c r="B526" s="24" t="s">
        <v>1079</v>
      </c>
      <c r="C526" s="24" t="s">
        <v>1080</v>
      </c>
      <c r="D526" s="24" t="n">
        <v>3</v>
      </c>
      <c r="E526" s="25" t="n">
        <v>2500</v>
      </c>
      <c r="F526" s="25" t="n">
        <v>1600</v>
      </c>
      <c r="G526" s="24" t="s">
        <v>59</v>
      </c>
      <c r="H526" s="24" t="s">
        <v>80</v>
      </c>
      <c r="I526" s="28" t="n">
        <f aca="false">IF(A526="","",D526*E526)</f>
        <v>7500</v>
      </c>
      <c r="J526" s="28" t="n">
        <f aca="false">IF(A526="","",D526*F526)</f>
        <v>4800</v>
      </c>
      <c r="K526" s="26" t="n">
        <f aca="false">IF(A526="","",YEAR(A526))</f>
        <v>2025</v>
      </c>
      <c r="L526" s="26" t="n">
        <f aca="false">IF(A526="","",MONTH(A526))</f>
        <v>11</v>
      </c>
    </row>
    <row r="527" customFormat="false" ht="15" hidden="false" customHeight="false" outlineLevel="0" collapsed="false">
      <c r="A527" s="23" t="n">
        <v>45963.8513888889</v>
      </c>
      <c r="B527" s="24" t="s">
        <v>1071</v>
      </c>
      <c r="C527" s="24" t="s">
        <v>1072</v>
      </c>
      <c r="D527" s="24" t="n">
        <v>1</v>
      </c>
      <c r="E527" s="25" t="n">
        <v>2000</v>
      </c>
      <c r="F527" s="25" t="n">
        <v>1100</v>
      </c>
      <c r="G527" s="24" t="s">
        <v>59</v>
      </c>
      <c r="H527" s="24" t="s">
        <v>80</v>
      </c>
      <c r="I527" s="28" t="n">
        <f aca="false">IF(A527="","",D527*E527)</f>
        <v>2000</v>
      </c>
      <c r="J527" s="28" t="n">
        <f aca="false">IF(A527="","",D527*F527)</f>
        <v>1100</v>
      </c>
      <c r="K527" s="26" t="n">
        <f aca="false">IF(A527="","",YEAR(A527))</f>
        <v>2025</v>
      </c>
      <c r="L527" s="26" t="n">
        <f aca="false">IF(A527="","",MONTH(A527))</f>
        <v>11</v>
      </c>
    </row>
    <row r="528" customFormat="false" ht="15" hidden="false" customHeight="false" outlineLevel="0" collapsed="false">
      <c r="A528" s="23" t="n">
        <v>45964.3375</v>
      </c>
      <c r="B528" s="24" t="s">
        <v>1069</v>
      </c>
      <c r="C528" s="24" t="s">
        <v>1070</v>
      </c>
      <c r="D528" s="24" t="n">
        <v>1</v>
      </c>
      <c r="E528" s="25" t="n">
        <v>4500</v>
      </c>
      <c r="F528" s="25" t="n">
        <v>3000</v>
      </c>
      <c r="G528" s="24" t="s">
        <v>59</v>
      </c>
      <c r="H528" s="24" t="s">
        <v>55</v>
      </c>
      <c r="I528" s="28" t="n">
        <f aca="false">IF(A528="","",D528*E528)</f>
        <v>4500</v>
      </c>
      <c r="J528" s="28" t="n">
        <f aca="false">IF(A528="","",D528*F528)</f>
        <v>3000</v>
      </c>
      <c r="K528" s="26" t="n">
        <f aca="false">IF(A528="","",YEAR(A528))</f>
        <v>2025</v>
      </c>
      <c r="L528" s="26" t="n">
        <f aca="false">IF(A528="","",MONTH(A528))</f>
        <v>11</v>
      </c>
    </row>
    <row r="529" customFormat="false" ht="15" hidden="false" customHeight="false" outlineLevel="0" collapsed="false">
      <c r="A529" s="23" t="n">
        <v>45964.4263888889</v>
      </c>
      <c r="B529" s="24" t="s">
        <v>1071</v>
      </c>
      <c r="C529" s="24" t="s">
        <v>1072</v>
      </c>
      <c r="D529" s="24" t="n">
        <v>3</v>
      </c>
      <c r="E529" s="25" t="n">
        <v>2000</v>
      </c>
      <c r="F529" s="25" t="n">
        <v>1100</v>
      </c>
      <c r="G529" s="24" t="s">
        <v>69</v>
      </c>
      <c r="H529" s="24" t="s">
        <v>80</v>
      </c>
      <c r="I529" s="28" t="n">
        <f aca="false">IF(A529="","",D529*E529)</f>
        <v>6000</v>
      </c>
      <c r="J529" s="28" t="n">
        <f aca="false">IF(A529="","",D529*F529)</f>
        <v>3300</v>
      </c>
      <c r="K529" s="26" t="n">
        <f aca="false">IF(A529="","",YEAR(A529))</f>
        <v>2025</v>
      </c>
      <c r="L529" s="26" t="n">
        <f aca="false">IF(A529="","",MONTH(A529))</f>
        <v>11</v>
      </c>
    </row>
    <row r="530" customFormat="false" ht="15" hidden="false" customHeight="false" outlineLevel="0" collapsed="false">
      <c r="A530" s="23" t="n">
        <v>45964.4458333333</v>
      </c>
      <c r="B530" s="24" t="s">
        <v>1073</v>
      </c>
      <c r="C530" s="24" t="s">
        <v>1074</v>
      </c>
      <c r="D530" s="24" t="n">
        <v>1</v>
      </c>
      <c r="E530" s="25" t="n">
        <v>7000</v>
      </c>
      <c r="F530" s="25" t="n">
        <v>4800</v>
      </c>
      <c r="G530" s="24" t="s">
        <v>59</v>
      </c>
      <c r="H530" s="24" t="s">
        <v>55</v>
      </c>
      <c r="I530" s="28" t="n">
        <f aca="false">IF(A530="","",D530*E530)</f>
        <v>7000</v>
      </c>
      <c r="J530" s="28" t="n">
        <f aca="false">IF(A530="","",D530*F530)</f>
        <v>4800</v>
      </c>
      <c r="K530" s="26" t="n">
        <f aca="false">IF(A530="","",YEAR(A530))</f>
        <v>2025</v>
      </c>
      <c r="L530" s="26" t="n">
        <f aca="false">IF(A530="","",MONTH(A530))</f>
        <v>11</v>
      </c>
    </row>
    <row r="531" customFormat="false" ht="15" hidden="false" customHeight="false" outlineLevel="0" collapsed="false">
      <c r="A531" s="23" t="n">
        <v>45965.8138888889</v>
      </c>
      <c r="B531" s="24" t="s">
        <v>1069</v>
      </c>
      <c r="C531" s="24" t="s">
        <v>1070</v>
      </c>
      <c r="D531" s="24" t="n">
        <v>2</v>
      </c>
      <c r="E531" s="25" t="n">
        <v>4500</v>
      </c>
      <c r="F531" s="25" t="n">
        <v>3000</v>
      </c>
      <c r="G531" s="24" t="s">
        <v>59</v>
      </c>
      <c r="H531" s="24" t="s">
        <v>60</v>
      </c>
      <c r="I531" s="28" t="n">
        <f aca="false">IF(A531="","",D531*E531)</f>
        <v>9000</v>
      </c>
      <c r="J531" s="28" t="n">
        <f aca="false">IF(A531="","",D531*F531)</f>
        <v>6000</v>
      </c>
      <c r="K531" s="26" t="n">
        <f aca="false">IF(A531="","",YEAR(A531))</f>
        <v>2025</v>
      </c>
      <c r="L531" s="26" t="n">
        <f aca="false">IF(A531="","",MONTH(A531))</f>
        <v>11</v>
      </c>
    </row>
    <row r="532" customFormat="false" ht="15" hidden="false" customHeight="false" outlineLevel="0" collapsed="false">
      <c r="A532" s="23" t="n">
        <v>45966.6708333333</v>
      </c>
      <c r="B532" s="24" t="s">
        <v>1073</v>
      </c>
      <c r="C532" s="24" t="s">
        <v>1074</v>
      </c>
      <c r="D532" s="24" t="n">
        <v>2</v>
      </c>
      <c r="E532" s="25" t="n">
        <v>7000</v>
      </c>
      <c r="F532" s="25" t="n">
        <v>4800</v>
      </c>
      <c r="G532" s="24" t="s">
        <v>59</v>
      </c>
      <c r="H532" s="24" t="s">
        <v>55</v>
      </c>
      <c r="I532" s="28" t="n">
        <f aca="false">IF(A532="","",D532*E532)</f>
        <v>14000</v>
      </c>
      <c r="J532" s="28" t="n">
        <f aca="false">IF(A532="","",D532*F532)</f>
        <v>9600</v>
      </c>
      <c r="K532" s="26" t="n">
        <f aca="false">IF(A532="","",YEAR(A532))</f>
        <v>2025</v>
      </c>
      <c r="L532" s="26" t="n">
        <f aca="false">IF(A532="","",MONTH(A532))</f>
        <v>11</v>
      </c>
    </row>
    <row r="533" customFormat="false" ht="15" hidden="false" customHeight="false" outlineLevel="0" collapsed="false">
      <c r="A533" s="23" t="n">
        <v>45966.8</v>
      </c>
      <c r="B533" s="24" t="s">
        <v>1065</v>
      </c>
      <c r="C533" s="24" t="s">
        <v>1066</v>
      </c>
      <c r="D533" s="24" t="n">
        <v>3</v>
      </c>
      <c r="E533" s="25" t="n">
        <v>3000</v>
      </c>
      <c r="F533" s="25" t="n">
        <v>2000</v>
      </c>
      <c r="G533" s="24" t="s">
        <v>59</v>
      </c>
      <c r="H533" s="24" t="s">
        <v>60</v>
      </c>
      <c r="I533" s="28" t="n">
        <f aca="false">IF(A533="","",D533*E533)</f>
        <v>9000</v>
      </c>
      <c r="J533" s="28" t="n">
        <f aca="false">IF(A533="","",D533*F533)</f>
        <v>6000</v>
      </c>
      <c r="K533" s="26" t="n">
        <f aca="false">IF(A533="","",YEAR(A533))</f>
        <v>2025</v>
      </c>
      <c r="L533" s="26" t="n">
        <f aca="false">IF(A533="","",MONTH(A533))</f>
        <v>11</v>
      </c>
    </row>
    <row r="534" customFormat="false" ht="15" hidden="false" customHeight="false" outlineLevel="0" collapsed="false">
      <c r="A534" s="23" t="n">
        <v>45967.6125</v>
      </c>
      <c r="B534" s="24" t="s">
        <v>1067</v>
      </c>
      <c r="C534" s="24" t="s">
        <v>1068</v>
      </c>
      <c r="D534" s="24" t="n">
        <v>1</v>
      </c>
      <c r="E534" s="25" t="n">
        <v>4000</v>
      </c>
      <c r="F534" s="25" t="n">
        <v>2600</v>
      </c>
      <c r="G534" s="24" t="s">
        <v>59</v>
      </c>
      <c r="H534" s="24" t="s">
        <v>55</v>
      </c>
      <c r="I534" s="28" t="n">
        <f aca="false">IF(A534="","",D534*E534)</f>
        <v>4000</v>
      </c>
      <c r="J534" s="28" t="n">
        <f aca="false">IF(A534="","",D534*F534)</f>
        <v>2600</v>
      </c>
      <c r="K534" s="26" t="n">
        <f aca="false">IF(A534="","",YEAR(A534))</f>
        <v>2025</v>
      </c>
      <c r="L534" s="26" t="n">
        <f aca="false">IF(A534="","",MONTH(A534))</f>
        <v>11</v>
      </c>
    </row>
    <row r="535" customFormat="false" ht="15" hidden="false" customHeight="false" outlineLevel="0" collapsed="false">
      <c r="A535" s="23" t="n">
        <v>45969.3944444444</v>
      </c>
      <c r="B535" s="24" t="s">
        <v>1077</v>
      </c>
      <c r="C535" s="24" t="s">
        <v>1078</v>
      </c>
      <c r="D535" s="24" t="n">
        <v>1</v>
      </c>
      <c r="E535" s="25" t="n">
        <v>1500</v>
      </c>
      <c r="F535" s="25" t="n">
        <v>900</v>
      </c>
      <c r="G535" s="24" t="s">
        <v>59</v>
      </c>
      <c r="H535" s="24" t="s">
        <v>80</v>
      </c>
      <c r="I535" s="28" t="n">
        <f aca="false">IF(A535="","",D535*E535)</f>
        <v>1500</v>
      </c>
      <c r="J535" s="28" t="n">
        <f aca="false">IF(A535="","",D535*F535)</f>
        <v>900</v>
      </c>
      <c r="K535" s="26" t="n">
        <f aca="false">IF(A535="","",YEAR(A535))</f>
        <v>2025</v>
      </c>
      <c r="L535" s="26" t="n">
        <f aca="false">IF(A535="","",MONTH(A535))</f>
        <v>11</v>
      </c>
    </row>
    <row r="536" customFormat="false" ht="15" hidden="false" customHeight="false" outlineLevel="0" collapsed="false">
      <c r="A536" s="23" t="n">
        <v>45970.4201388889</v>
      </c>
      <c r="B536" s="24" t="s">
        <v>1081</v>
      </c>
      <c r="C536" s="24" t="s">
        <v>1082</v>
      </c>
      <c r="D536" s="24" t="n">
        <v>3</v>
      </c>
      <c r="E536" s="25" t="n">
        <v>2500</v>
      </c>
      <c r="F536" s="25" t="n">
        <v>1500</v>
      </c>
      <c r="G536" s="24" t="s">
        <v>59</v>
      </c>
      <c r="H536" s="24" t="s">
        <v>55</v>
      </c>
      <c r="I536" s="28" t="n">
        <f aca="false">IF(A536="","",D536*E536)</f>
        <v>7500</v>
      </c>
      <c r="J536" s="28" t="n">
        <f aca="false">IF(A536="","",D536*F536)</f>
        <v>4500</v>
      </c>
      <c r="K536" s="26" t="n">
        <f aca="false">IF(A536="","",YEAR(A536))</f>
        <v>2025</v>
      </c>
      <c r="L536" s="26" t="n">
        <f aca="false">IF(A536="","",MONTH(A536))</f>
        <v>11</v>
      </c>
    </row>
    <row r="537" customFormat="false" ht="15" hidden="false" customHeight="false" outlineLevel="0" collapsed="false">
      <c r="A537" s="23" t="n">
        <v>45971.3868055556</v>
      </c>
      <c r="B537" s="24" t="s">
        <v>1069</v>
      </c>
      <c r="C537" s="24" t="s">
        <v>1070</v>
      </c>
      <c r="D537" s="24" t="n">
        <v>1</v>
      </c>
      <c r="E537" s="25" t="n">
        <v>4500</v>
      </c>
      <c r="F537" s="25" t="n">
        <v>3000</v>
      </c>
      <c r="G537" s="24" t="s">
        <v>59</v>
      </c>
      <c r="H537" s="24" t="s">
        <v>55</v>
      </c>
      <c r="I537" s="28" t="n">
        <f aca="false">IF(A537="","",D537*E537)</f>
        <v>4500</v>
      </c>
      <c r="J537" s="28" t="n">
        <f aca="false">IF(A537="","",D537*F537)</f>
        <v>3000</v>
      </c>
      <c r="K537" s="26" t="n">
        <f aca="false">IF(A537="","",YEAR(A537))</f>
        <v>2025</v>
      </c>
      <c r="L537" s="26" t="n">
        <f aca="false">IF(A537="","",MONTH(A537))</f>
        <v>11</v>
      </c>
    </row>
    <row r="538" customFormat="false" ht="15" hidden="false" customHeight="false" outlineLevel="0" collapsed="false">
      <c r="A538" s="23" t="n">
        <v>45971.8291666667</v>
      </c>
      <c r="B538" s="24" t="s">
        <v>1071</v>
      </c>
      <c r="C538" s="24" t="s">
        <v>1072</v>
      </c>
      <c r="D538" s="24" t="n">
        <v>3</v>
      </c>
      <c r="E538" s="25" t="n">
        <v>2000</v>
      </c>
      <c r="F538" s="25" t="n">
        <v>1100</v>
      </c>
      <c r="G538" s="24" t="s">
        <v>59</v>
      </c>
      <c r="H538" s="24" t="s">
        <v>80</v>
      </c>
      <c r="I538" s="28" t="n">
        <f aca="false">IF(A538="","",D538*E538)</f>
        <v>6000</v>
      </c>
      <c r="J538" s="28" t="n">
        <f aca="false">IF(A538="","",D538*F538)</f>
        <v>3300</v>
      </c>
      <c r="K538" s="26" t="n">
        <f aca="false">IF(A538="","",YEAR(A538))</f>
        <v>2025</v>
      </c>
      <c r="L538" s="26" t="n">
        <f aca="false">IF(A538="","",MONTH(A538))</f>
        <v>11</v>
      </c>
    </row>
    <row r="539" customFormat="false" ht="15" hidden="false" customHeight="false" outlineLevel="0" collapsed="false">
      <c r="A539" s="23" t="n">
        <v>45972.6361111111</v>
      </c>
      <c r="B539" s="24" t="s">
        <v>1073</v>
      </c>
      <c r="C539" s="24" t="s">
        <v>1074</v>
      </c>
      <c r="D539" s="24" t="n">
        <v>2</v>
      </c>
      <c r="E539" s="25" t="n">
        <v>7000</v>
      </c>
      <c r="F539" s="25" t="n">
        <v>4800</v>
      </c>
      <c r="G539" s="24" t="s">
        <v>59</v>
      </c>
      <c r="H539" s="24" t="s">
        <v>55</v>
      </c>
      <c r="I539" s="28" t="n">
        <f aca="false">IF(A539="","",D539*E539)</f>
        <v>14000</v>
      </c>
      <c r="J539" s="28" t="n">
        <f aca="false">IF(A539="","",D539*F539)</f>
        <v>9600</v>
      </c>
      <c r="K539" s="26" t="n">
        <f aca="false">IF(A539="","",YEAR(A539))</f>
        <v>2025</v>
      </c>
      <c r="L539" s="26" t="n">
        <f aca="false">IF(A539="","",MONTH(A539))</f>
        <v>11</v>
      </c>
    </row>
    <row r="540" customFormat="false" ht="15" hidden="false" customHeight="false" outlineLevel="0" collapsed="false">
      <c r="A540" s="23" t="n">
        <v>45972.66875</v>
      </c>
      <c r="B540" s="24" t="s">
        <v>1069</v>
      </c>
      <c r="C540" s="24" t="s">
        <v>1070</v>
      </c>
      <c r="D540" s="24" t="n">
        <v>1</v>
      </c>
      <c r="E540" s="25" t="n">
        <v>4500</v>
      </c>
      <c r="F540" s="25" t="n">
        <v>3000</v>
      </c>
      <c r="G540" s="24" t="s">
        <v>59</v>
      </c>
      <c r="H540" s="24" t="s">
        <v>55</v>
      </c>
      <c r="I540" s="28" t="n">
        <f aca="false">IF(A540="","",D540*E540)</f>
        <v>4500</v>
      </c>
      <c r="J540" s="28" t="n">
        <f aca="false">IF(A540="","",D540*F540)</f>
        <v>3000</v>
      </c>
      <c r="K540" s="26" t="n">
        <f aca="false">IF(A540="","",YEAR(A540))</f>
        <v>2025</v>
      </c>
      <c r="L540" s="26" t="n">
        <f aca="false">IF(A540="","",MONTH(A540))</f>
        <v>11</v>
      </c>
    </row>
    <row r="541" customFormat="false" ht="15" hidden="false" customHeight="false" outlineLevel="0" collapsed="false">
      <c r="A541" s="23" t="n">
        <v>45973.7861111111</v>
      </c>
      <c r="B541" s="24" t="s">
        <v>1077</v>
      </c>
      <c r="C541" s="24" t="s">
        <v>1078</v>
      </c>
      <c r="D541" s="24" t="n">
        <v>1</v>
      </c>
      <c r="E541" s="25" t="n">
        <v>1500</v>
      </c>
      <c r="F541" s="25" t="n">
        <v>900</v>
      </c>
      <c r="G541" s="24" t="s">
        <v>59</v>
      </c>
      <c r="H541" s="24" t="s">
        <v>80</v>
      </c>
      <c r="I541" s="28" t="n">
        <f aca="false">IF(A541="","",D541*E541)</f>
        <v>1500</v>
      </c>
      <c r="J541" s="28" t="n">
        <f aca="false">IF(A541="","",D541*F541)</f>
        <v>900</v>
      </c>
      <c r="K541" s="26" t="n">
        <f aca="false">IF(A541="","",YEAR(A541))</f>
        <v>2025</v>
      </c>
      <c r="L541" s="26" t="n">
        <f aca="false">IF(A541="","",MONTH(A541))</f>
        <v>11</v>
      </c>
    </row>
    <row r="542" customFormat="false" ht="15" hidden="false" customHeight="false" outlineLevel="0" collapsed="false">
      <c r="A542" s="23" t="n">
        <v>45974.3090277778</v>
      </c>
      <c r="B542" s="24" t="s">
        <v>1077</v>
      </c>
      <c r="C542" s="24" t="s">
        <v>1078</v>
      </c>
      <c r="D542" s="24" t="n">
        <v>3</v>
      </c>
      <c r="E542" s="25" t="n">
        <v>1500</v>
      </c>
      <c r="F542" s="25" t="n">
        <v>900</v>
      </c>
      <c r="G542" s="24" t="s">
        <v>59</v>
      </c>
      <c r="H542" s="24" t="s">
        <v>60</v>
      </c>
      <c r="I542" s="28" t="n">
        <f aca="false">IF(A542="","",D542*E542)</f>
        <v>4500</v>
      </c>
      <c r="J542" s="28" t="n">
        <f aca="false">IF(A542="","",D542*F542)</f>
        <v>2700</v>
      </c>
      <c r="K542" s="26" t="n">
        <f aca="false">IF(A542="","",YEAR(A542))</f>
        <v>2025</v>
      </c>
      <c r="L542" s="26" t="n">
        <f aca="false">IF(A542="","",MONTH(A542))</f>
        <v>11</v>
      </c>
    </row>
    <row r="543" customFormat="false" ht="15" hidden="false" customHeight="false" outlineLevel="0" collapsed="false">
      <c r="A543" s="23" t="n">
        <v>45974.3777777778</v>
      </c>
      <c r="B543" s="24" t="s">
        <v>1077</v>
      </c>
      <c r="C543" s="24" t="s">
        <v>1078</v>
      </c>
      <c r="D543" s="24" t="n">
        <v>2</v>
      </c>
      <c r="E543" s="25" t="n">
        <v>1500</v>
      </c>
      <c r="F543" s="25" t="n">
        <v>900</v>
      </c>
      <c r="G543" s="24" t="s">
        <v>59</v>
      </c>
      <c r="H543" s="24" t="s">
        <v>80</v>
      </c>
      <c r="I543" s="28" t="n">
        <f aca="false">IF(A543="","",D543*E543)</f>
        <v>3000</v>
      </c>
      <c r="J543" s="28" t="n">
        <f aca="false">IF(A543="","",D543*F543)</f>
        <v>1800</v>
      </c>
      <c r="K543" s="26" t="n">
        <f aca="false">IF(A543="","",YEAR(A543))</f>
        <v>2025</v>
      </c>
      <c r="L543" s="26" t="n">
        <f aca="false">IF(A543="","",MONTH(A543))</f>
        <v>11</v>
      </c>
    </row>
    <row r="544" customFormat="false" ht="15" hidden="false" customHeight="false" outlineLevel="0" collapsed="false">
      <c r="A544" s="23" t="n">
        <v>45975.6090277778</v>
      </c>
      <c r="B544" s="24" t="s">
        <v>1075</v>
      </c>
      <c r="C544" s="24" t="s">
        <v>1076</v>
      </c>
      <c r="D544" s="24" t="n">
        <v>3</v>
      </c>
      <c r="E544" s="25" t="n">
        <v>1000</v>
      </c>
      <c r="F544" s="25" t="n">
        <v>300</v>
      </c>
      <c r="G544" s="24" t="s">
        <v>59</v>
      </c>
      <c r="H544" s="24" t="s">
        <v>55</v>
      </c>
      <c r="I544" s="28" t="n">
        <f aca="false">IF(A544="","",D544*E544)</f>
        <v>3000</v>
      </c>
      <c r="J544" s="28" t="n">
        <f aca="false">IF(A544="","",D544*F544)</f>
        <v>900</v>
      </c>
      <c r="K544" s="26" t="n">
        <f aca="false">IF(A544="","",YEAR(A544))</f>
        <v>2025</v>
      </c>
      <c r="L544" s="26" t="n">
        <f aca="false">IF(A544="","",MONTH(A544))</f>
        <v>11</v>
      </c>
    </row>
    <row r="545" customFormat="false" ht="15" hidden="false" customHeight="false" outlineLevel="0" collapsed="false">
      <c r="A545" s="23" t="n">
        <v>45975.6333333333</v>
      </c>
      <c r="B545" s="24" t="s">
        <v>1069</v>
      </c>
      <c r="C545" s="24" t="s">
        <v>1070</v>
      </c>
      <c r="D545" s="24" t="n">
        <v>2</v>
      </c>
      <c r="E545" s="25" t="n">
        <v>4500</v>
      </c>
      <c r="F545" s="25" t="n">
        <v>3000</v>
      </c>
      <c r="G545" s="24" t="s">
        <v>69</v>
      </c>
      <c r="H545" s="24" t="s">
        <v>60</v>
      </c>
      <c r="I545" s="28" t="n">
        <f aca="false">IF(A545="","",D545*E545)</f>
        <v>9000</v>
      </c>
      <c r="J545" s="28" t="n">
        <f aca="false">IF(A545="","",D545*F545)</f>
        <v>6000</v>
      </c>
      <c r="K545" s="26" t="n">
        <f aca="false">IF(A545="","",YEAR(A545))</f>
        <v>2025</v>
      </c>
      <c r="L545" s="26" t="n">
        <f aca="false">IF(A545="","",MONTH(A545))</f>
        <v>11</v>
      </c>
    </row>
    <row r="546" customFormat="false" ht="15" hidden="false" customHeight="false" outlineLevel="0" collapsed="false">
      <c r="A546" s="23" t="n">
        <v>45977.5777777778</v>
      </c>
      <c r="B546" s="24" t="s">
        <v>1075</v>
      </c>
      <c r="C546" s="24" t="s">
        <v>1076</v>
      </c>
      <c r="D546" s="24" t="n">
        <v>1</v>
      </c>
      <c r="E546" s="25" t="n">
        <v>1000</v>
      </c>
      <c r="F546" s="25" t="n">
        <v>300</v>
      </c>
      <c r="G546" s="24" t="s">
        <v>59</v>
      </c>
      <c r="H546" s="24" t="s">
        <v>55</v>
      </c>
      <c r="I546" s="28" t="n">
        <f aca="false">IF(A546="","",D546*E546)</f>
        <v>1000</v>
      </c>
      <c r="J546" s="28" t="n">
        <f aca="false">IF(A546="","",D546*F546)</f>
        <v>300</v>
      </c>
      <c r="K546" s="26" t="n">
        <f aca="false">IF(A546="","",YEAR(A546))</f>
        <v>2025</v>
      </c>
      <c r="L546" s="26" t="n">
        <f aca="false">IF(A546="","",MONTH(A546))</f>
        <v>11</v>
      </c>
    </row>
    <row r="547" customFormat="false" ht="15" hidden="false" customHeight="false" outlineLevel="0" collapsed="false">
      <c r="A547" s="23" t="n">
        <v>45978.3986111111</v>
      </c>
      <c r="B547" s="24" t="s">
        <v>1079</v>
      </c>
      <c r="C547" s="24" t="s">
        <v>1080</v>
      </c>
      <c r="D547" s="24" t="n">
        <v>1</v>
      </c>
      <c r="E547" s="25" t="n">
        <v>2500</v>
      </c>
      <c r="F547" s="25" t="n">
        <v>1600</v>
      </c>
      <c r="G547" s="24" t="s">
        <v>69</v>
      </c>
      <c r="H547" s="24" t="s">
        <v>60</v>
      </c>
      <c r="I547" s="28" t="n">
        <f aca="false">IF(A547="","",D547*E547)</f>
        <v>2500</v>
      </c>
      <c r="J547" s="28" t="n">
        <f aca="false">IF(A547="","",D547*F547)</f>
        <v>1600</v>
      </c>
      <c r="K547" s="26" t="n">
        <f aca="false">IF(A547="","",YEAR(A547))</f>
        <v>2025</v>
      </c>
      <c r="L547" s="26" t="n">
        <f aca="false">IF(A547="","",MONTH(A547))</f>
        <v>11</v>
      </c>
    </row>
    <row r="548" customFormat="false" ht="15" hidden="false" customHeight="false" outlineLevel="0" collapsed="false">
      <c r="A548" s="23" t="n">
        <v>45979.4944444444</v>
      </c>
      <c r="B548" s="24" t="s">
        <v>1079</v>
      </c>
      <c r="C548" s="24" t="s">
        <v>1080</v>
      </c>
      <c r="D548" s="24" t="n">
        <v>1</v>
      </c>
      <c r="E548" s="25" t="n">
        <v>2500</v>
      </c>
      <c r="F548" s="25" t="n">
        <v>1600</v>
      </c>
      <c r="G548" s="24" t="s">
        <v>59</v>
      </c>
      <c r="H548" s="24" t="s">
        <v>80</v>
      </c>
      <c r="I548" s="28" t="n">
        <f aca="false">IF(A548="","",D548*E548)</f>
        <v>2500</v>
      </c>
      <c r="J548" s="28" t="n">
        <f aca="false">IF(A548="","",D548*F548)</f>
        <v>1600</v>
      </c>
      <c r="K548" s="26" t="n">
        <f aca="false">IF(A548="","",YEAR(A548))</f>
        <v>2025</v>
      </c>
      <c r="L548" s="26" t="n">
        <f aca="false">IF(A548="","",MONTH(A548))</f>
        <v>11</v>
      </c>
    </row>
    <row r="549" customFormat="false" ht="15" hidden="false" customHeight="false" outlineLevel="0" collapsed="false">
      <c r="A549" s="23" t="n">
        <v>45980.3986111111</v>
      </c>
      <c r="B549" s="24" t="s">
        <v>1075</v>
      </c>
      <c r="C549" s="24" t="s">
        <v>1076</v>
      </c>
      <c r="D549" s="24" t="n">
        <v>1</v>
      </c>
      <c r="E549" s="25" t="n">
        <v>1000</v>
      </c>
      <c r="F549" s="25" t="n">
        <v>300</v>
      </c>
      <c r="G549" s="24" t="s">
        <v>69</v>
      </c>
      <c r="H549" s="24" t="s">
        <v>55</v>
      </c>
      <c r="I549" s="28" t="n">
        <f aca="false">IF(A549="","",D549*E549)</f>
        <v>1000</v>
      </c>
      <c r="J549" s="28" t="n">
        <f aca="false">IF(A549="","",D549*F549)</f>
        <v>300</v>
      </c>
      <c r="K549" s="26" t="n">
        <f aca="false">IF(A549="","",YEAR(A549))</f>
        <v>2025</v>
      </c>
      <c r="L549" s="26" t="n">
        <f aca="false">IF(A549="","",MONTH(A549))</f>
        <v>11</v>
      </c>
    </row>
    <row r="550" customFormat="false" ht="15" hidden="false" customHeight="false" outlineLevel="0" collapsed="false">
      <c r="A550" s="23" t="n">
        <v>45980.5006944445</v>
      </c>
      <c r="B550" s="24" t="s">
        <v>1067</v>
      </c>
      <c r="C550" s="24" t="s">
        <v>1068</v>
      </c>
      <c r="D550" s="24" t="n">
        <v>3</v>
      </c>
      <c r="E550" s="25" t="n">
        <v>4000</v>
      </c>
      <c r="F550" s="25" t="n">
        <v>2600</v>
      </c>
      <c r="G550" s="24" t="s">
        <v>59</v>
      </c>
      <c r="H550" s="24" t="s">
        <v>60</v>
      </c>
      <c r="I550" s="28" t="n">
        <f aca="false">IF(A550="","",D550*E550)</f>
        <v>12000</v>
      </c>
      <c r="J550" s="28" t="n">
        <f aca="false">IF(A550="","",D550*F550)</f>
        <v>7800</v>
      </c>
      <c r="K550" s="26" t="n">
        <f aca="false">IF(A550="","",YEAR(A550))</f>
        <v>2025</v>
      </c>
      <c r="L550" s="26" t="n">
        <f aca="false">IF(A550="","",MONTH(A550))</f>
        <v>11</v>
      </c>
    </row>
    <row r="551" customFormat="false" ht="15" hidden="false" customHeight="false" outlineLevel="0" collapsed="false">
      <c r="A551" s="23" t="n">
        <v>45980.5590277778</v>
      </c>
      <c r="B551" s="24" t="s">
        <v>1081</v>
      </c>
      <c r="C551" s="24" t="s">
        <v>1082</v>
      </c>
      <c r="D551" s="24" t="n">
        <v>1</v>
      </c>
      <c r="E551" s="25" t="n">
        <v>2500</v>
      </c>
      <c r="F551" s="25" t="n">
        <v>1500</v>
      </c>
      <c r="G551" s="24" t="s">
        <v>59</v>
      </c>
      <c r="H551" s="24" t="s">
        <v>55</v>
      </c>
      <c r="I551" s="28" t="n">
        <f aca="false">IF(A551="","",D551*E551)</f>
        <v>2500</v>
      </c>
      <c r="J551" s="28" t="n">
        <f aca="false">IF(A551="","",D551*F551)</f>
        <v>1500</v>
      </c>
      <c r="K551" s="26" t="n">
        <f aca="false">IF(A551="","",YEAR(A551))</f>
        <v>2025</v>
      </c>
      <c r="L551" s="26" t="n">
        <f aca="false">IF(A551="","",MONTH(A551))</f>
        <v>11</v>
      </c>
    </row>
    <row r="552" customFormat="false" ht="15" hidden="false" customHeight="false" outlineLevel="0" collapsed="false">
      <c r="A552" s="23" t="n">
        <v>45980.7673611111</v>
      </c>
      <c r="B552" s="24" t="s">
        <v>1065</v>
      </c>
      <c r="C552" s="24" t="s">
        <v>1066</v>
      </c>
      <c r="D552" s="24" t="n">
        <v>2</v>
      </c>
      <c r="E552" s="25" t="n">
        <v>3000</v>
      </c>
      <c r="F552" s="25" t="n">
        <v>2000</v>
      </c>
      <c r="G552" s="24" t="s">
        <v>59</v>
      </c>
      <c r="H552" s="24" t="s">
        <v>55</v>
      </c>
      <c r="I552" s="28" t="n">
        <f aca="false">IF(A552="","",D552*E552)</f>
        <v>6000</v>
      </c>
      <c r="J552" s="28" t="n">
        <f aca="false">IF(A552="","",D552*F552)</f>
        <v>4000</v>
      </c>
      <c r="K552" s="26" t="n">
        <f aca="false">IF(A552="","",YEAR(A552))</f>
        <v>2025</v>
      </c>
      <c r="L552" s="26" t="n">
        <f aca="false">IF(A552="","",MONTH(A552))</f>
        <v>11</v>
      </c>
    </row>
    <row r="553" customFormat="false" ht="15" hidden="false" customHeight="false" outlineLevel="0" collapsed="false">
      <c r="A553" s="23" t="n">
        <v>45980.8534722222</v>
      </c>
      <c r="B553" s="24" t="s">
        <v>1081</v>
      </c>
      <c r="C553" s="24" t="s">
        <v>1082</v>
      </c>
      <c r="D553" s="24" t="n">
        <v>3</v>
      </c>
      <c r="E553" s="25" t="n">
        <v>2500</v>
      </c>
      <c r="F553" s="25" t="n">
        <v>1500</v>
      </c>
      <c r="G553" s="24" t="s">
        <v>69</v>
      </c>
      <c r="H553" s="24" t="s">
        <v>80</v>
      </c>
      <c r="I553" s="28" t="n">
        <f aca="false">IF(A553="","",D553*E553)</f>
        <v>7500</v>
      </c>
      <c r="J553" s="28" t="n">
        <f aca="false">IF(A553="","",D553*F553)</f>
        <v>4500</v>
      </c>
      <c r="K553" s="26" t="n">
        <f aca="false">IF(A553="","",YEAR(A553))</f>
        <v>2025</v>
      </c>
      <c r="L553" s="26" t="n">
        <f aca="false">IF(A553="","",MONTH(A553))</f>
        <v>11</v>
      </c>
    </row>
    <row r="554" customFormat="false" ht="15" hidden="false" customHeight="false" outlineLevel="0" collapsed="false">
      <c r="A554" s="23" t="n">
        <v>45981.3173611111</v>
      </c>
      <c r="B554" s="24" t="s">
        <v>1065</v>
      </c>
      <c r="C554" s="24" t="s">
        <v>1066</v>
      </c>
      <c r="D554" s="24" t="n">
        <v>1</v>
      </c>
      <c r="E554" s="25" t="n">
        <v>3000</v>
      </c>
      <c r="F554" s="25" t="n">
        <v>2000</v>
      </c>
      <c r="G554" s="24" t="s">
        <v>59</v>
      </c>
      <c r="H554" s="24" t="s">
        <v>80</v>
      </c>
      <c r="I554" s="28" t="n">
        <f aca="false">IF(A554="","",D554*E554)</f>
        <v>3000</v>
      </c>
      <c r="J554" s="28" t="n">
        <f aca="false">IF(A554="","",D554*F554)</f>
        <v>2000</v>
      </c>
      <c r="K554" s="26" t="n">
        <f aca="false">IF(A554="","",YEAR(A554))</f>
        <v>2025</v>
      </c>
      <c r="L554" s="26" t="n">
        <f aca="false">IF(A554="","",MONTH(A554))</f>
        <v>11</v>
      </c>
    </row>
    <row r="555" customFormat="false" ht="15" hidden="false" customHeight="false" outlineLevel="0" collapsed="false">
      <c r="A555" s="23" t="n">
        <v>45981.4555555556</v>
      </c>
      <c r="B555" s="24" t="s">
        <v>1069</v>
      </c>
      <c r="C555" s="24" t="s">
        <v>1070</v>
      </c>
      <c r="D555" s="24" t="n">
        <v>3</v>
      </c>
      <c r="E555" s="25" t="n">
        <v>4500</v>
      </c>
      <c r="F555" s="25" t="n">
        <v>3000</v>
      </c>
      <c r="G555" s="24" t="s">
        <v>59</v>
      </c>
      <c r="H555" s="24" t="s">
        <v>60</v>
      </c>
      <c r="I555" s="28" t="n">
        <f aca="false">IF(A555="","",D555*E555)</f>
        <v>13500</v>
      </c>
      <c r="J555" s="28" t="n">
        <f aca="false">IF(A555="","",D555*F555)</f>
        <v>9000</v>
      </c>
      <c r="K555" s="26" t="n">
        <f aca="false">IF(A555="","",YEAR(A555))</f>
        <v>2025</v>
      </c>
      <c r="L555" s="26" t="n">
        <f aca="false">IF(A555="","",MONTH(A555))</f>
        <v>11</v>
      </c>
    </row>
    <row r="556" customFormat="false" ht="15" hidden="false" customHeight="false" outlineLevel="0" collapsed="false">
      <c r="A556" s="23" t="n">
        <v>45981.8590277778</v>
      </c>
      <c r="B556" s="24" t="s">
        <v>1081</v>
      </c>
      <c r="C556" s="24" t="s">
        <v>1082</v>
      </c>
      <c r="D556" s="24" t="n">
        <v>2</v>
      </c>
      <c r="E556" s="25" t="n">
        <v>2500</v>
      </c>
      <c r="F556" s="25" t="n">
        <v>1500</v>
      </c>
      <c r="G556" s="24" t="s">
        <v>59</v>
      </c>
      <c r="H556" s="24" t="s">
        <v>60</v>
      </c>
      <c r="I556" s="28" t="n">
        <f aca="false">IF(A556="","",D556*E556)</f>
        <v>5000</v>
      </c>
      <c r="J556" s="28" t="n">
        <f aca="false">IF(A556="","",D556*F556)</f>
        <v>3000</v>
      </c>
      <c r="K556" s="26" t="n">
        <f aca="false">IF(A556="","",YEAR(A556))</f>
        <v>2025</v>
      </c>
      <c r="L556" s="26" t="n">
        <f aca="false">IF(A556="","",MONTH(A556))</f>
        <v>11</v>
      </c>
    </row>
    <row r="557" customFormat="false" ht="15" hidden="false" customHeight="false" outlineLevel="0" collapsed="false">
      <c r="A557" s="23" t="n">
        <v>45983.325</v>
      </c>
      <c r="B557" s="24" t="s">
        <v>1079</v>
      </c>
      <c r="C557" s="24" t="s">
        <v>1080</v>
      </c>
      <c r="D557" s="24" t="n">
        <v>3</v>
      </c>
      <c r="E557" s="25" t="n">
        <v>2500</v>
      </c>
      <c r="F557" s="25" t="n">
        <v>1600</v>
      </c>
      <c r="G557" s="24" t="s">
        <v>59</v>
      </c>
      <c r="H557" s="24" t="s">
        <v>55</v>
      </c>
      <c r="I557" s="28" t="n">
        <f aca="false">IF(A557="","",D557*E557)</f>
        <v>7500</v>
      </c>
      <c r="J557" s="28" t="n">
        <f aca="false">IF(A557="","",D557*F557)</f>
        <v>4800</v>
      </c>
      <c r="K557" s="26" t="n">
        <f aca="false">IF(A557="","",YEAR(A557))</f>
        <v>2025</v>
      </c>
      <c r="L557" s="26" t="n">
        <f aca="false">IF(A557="","",MONTH(A557))</f>
        <v>11</v>
      </c>
    </row>
    <row r="558" customFormat="false" ht="15" hidden="false" customHeight="false" outlineLevel="0" collapsed="false">
      <c r="A558" s="23" t="n">
        <v>45983.4868055556</v>
      </c>
      <c r="B558" s="24" t="s">
        <v>1077</v>
      </c>
      <c r="C558" s="24" t="s">
        <v>1078</v>
      </c>
      <c r="D558" s="24" t="n">
        <v>2</v>
      </c>
      <c r="E558" s="25" t="n">
        <v>1500</v>
      </c>
      <c r="F558" s="25" t="n">
        <v>900</v>
      </c>
      <c r="G558" s="24" t="s">
        <v>59</v>
      </c>
      <c r="H558" s="24" t="s">
        <v>55</v>
      </c>
      <c r="I558" s="28" t="n">
        <f aca="false">IF(A558="","",D558*E558)</f>
        <v>3000</v>
      </c>
      <c r="J558" s="28" t="n">
        <f aca="false">IF(A558="","",D558*F558)</f>
        <v>1800</v>
      </c>
      <c r="K558" s="26" t="n">
        <f aca="false">IF(A558="","",YEAR(A558))</f>
        <v>2025</v>
      </c>
      <c r="L558" s="26" t="n">
        <f aca="false">IF(A558="","",MONTH(A558))</f>
        <v>11</v>
      </c>
    </row>
    <row r="559" customFormat="false" ht="15" hidden="false" customHeight="false" outlineLevel="0" collapsed="false">
      <c r="A559" s="23" t="n">
        <v>45984.3215277778</v>
      </c>
      <c r="B559" s="24" t="s">
        <v>1079</v>
      </c>
      <c r="C559" s="24" t="s">
        <v>1080</v>
      </c>
      <c r="D559" s="24" t="n">
        <v>1</v>
      </c>
      <c r="E559" s="25" t="n">
        <v>2500</v>
      </c>
      <c r="F559" s="25" t="n">
        <v>1600</v>
      </c>
      <c r="G559" s="24" t="s">
        <v>59</v>
      </c>
      <c r="H559" s="24" t="s">
        <v>55</v>
      </c>
      <c r="I559" s="28" t="n">
        <f aca="false">IF(A559="","",D559*E559)</f>
        <v>2500</v>
      </c>
      <c r="J559" s="28" t="n">
        <f aca="false">IF(A559="","",D559*F559)</f>
        <v>1600</v>
      </c>
      <c r="K559" s="26" t="n">
        <f aca="false">IF(A559="","",YEAR(A559))</f>
        <v>2025</v>
      </c>
      <c r="L559" s="26" t="n">
        <f aca="false">IF(A559="","",MONTH(A559))</f>
        <v>11</v>
      </c>
    </row>
    <row r="560" customFormat="false" ht="15" hidden="false" customHeight="false" outlineLevel="0" collapsed="false">
      <c r="A560" s="23" t="n">
        <v>45984.3361111111</v>
      </c>
      <c r="B560" s="24" t="s">
        <v>1073</v>
      </c>
      <c r="C560" s="24" t="s">
        <v>1074</v>
      </c>
      <c r="D560" s="24" t="n">
        <v>1</v>
      </c>
      <c r="E560" s="25" t="n">
        <v>7000</v>
      </c>
      <c r="F560" s="25" t="n">
        <v>4800</v>
      </c>
      <c r="G560" s="24" t="s">
        <v>59</v>
      </c>
      <c r="H560" s="24" t="s">
        <v>55</v>
      </c>
      <c r="I560" s="28" t="n">
        <f aca="false">IF(A560="","",D560*E560)</f>
        <v>7000</v>
      </c>
      <c r="J560" s="28" t="n">
        <f aca="false">IF(A560="","",D560*F560)</f>
        <v>4800</v>
      </c>
      <c r="K560" s="26" t="n">
        <f aca="false">IF(A560="","",YEAR(A560))</f>
        <v>2025</v>
      </c>
      <c r="L560" s="26" t="n">
        <f aca="false">IF(A560="","",MONTH(A560))</f>
        <v>11</v>
      </c>
    </row>
    <row r="561" customFormat="false" ht="15" hidden="false" customHeight="false" outlineLevel="0" collapsed="false">
      <c r="A561" s="23" t="n">
        <v>45984.5576388889</v>
      </c>
      <c r="B561" s="24" t="s">
        <v>1067</v>
      </c>
      <c r="C561" s="24" t="s">
        <v>1068</v>
      </c>
      <c r="D561" s="24" t="n">
        <v>1</v>
      </c>
      <c r="E561" s="25" t="n">
        <v>4000</v>
      </c>
      <c r="F561" s="25" t="n">
        <v>2600</v>
      </c>
      <c r="G561" s="24" t="s">
        <v>69</v>
      </c>
      <c r="H561" s="24" t="s">
        <v>80</v>
      </c>
      <c r="I561" s="28" t="n">
        <f aca="false">IF(A561="","",D561*E561)</f>
        <v>4000</v>
      </c>
      <c r="J561" s="28" t="n">
        <f aca="false">IF(A561="","",D561*F561)</f>
        <v>2600</v>
      </c>
      <c r="K561" s="26" t="n">
        <f aca="false">IF(A561="","",YEAR(A561))</f>
        <v>2025</v>
      </c>
      <c r="L561" s="26" t="n">
        <f aca="false">IF(A561="","",MONTH(A561))</f>
        <v>11</v>
      </c>
    </row>
    <row r="562" customFormat="false" ht="15" hidden="false" customHeight="false" outlineLevel="0" collapsed="false">
      <c r="A562" s="23" t="n">
        <v>45984.6791666667</v>
      </c>
      <c r="B562" s="24" t="s">
        <v>1065</v>
      </c>
      <c r="C562" s="24" t="s">
        <v>1066</v>
      </c>
      <c r="D562" s="24" t="n">
        <v>2</v>
      </c>
      <c r="E562" s="25" t="n">
        <v>3000</v>
      </c>
      <c r="F562" s="25" t="n">
        <v>2000</v>
      </c>
      <c r="G562" s="24" t="s">
        <v>69</v>
      </c>
      <c r="H562" s="24" t="s">
        <v>60</v>
      </c>
      <c r="I562" s="28" t="n">
        <f aca="false">IF(A562="","",D562*E562)</f>
        <v>6000</v>
      </c>
      <c r="J562" s="28" t="n">
        <f aca="false">IF(A562="","",D562*F562)</f>
        <v>4000</v>
      </c>
      <c r="K562" s="26" t="n">
        <f aca="false">IF(A562="","",YEAR(A562))</f>
        <v>2025</v>
      </c>
      <c r="L562" s="26" t="n">
        <f aca="false">IF(A562="","",MONTH(A562))</f>
        <v>11</v>
      </c>
    </row>
    <row r="563" customFormat="false" ht="15" hidden="false" customHeight="false" outlineLevel="0" collapsed="false">
      <c r="A563" s="23" t="n">
        <v>45985.4736111111</v>
      </c>
      <c r="B563" s="24" t="s">
        <v>1077</v>
      </c>
      <c r="C563" s="24" t="s">
        <v>1078</v>
      </c>
      <c r="D563" s="24" t="n">
        <v>2</v>
      </c>
      <c r="E563" s="25" t="n">
        <v>1500</v>
      </c>
      <c r="F563" s="25" t="n">
        <v>900</v>
      </c>
      <c r="G563" s="24" t="s">
        <v>69</v>
      </c>
      <c r="H563" s="24" t="s">
        <v>55</v>
      </c>
      <c r="I563" s="28" t="n">
        <f aca="false">IF(A563="","",D563*E563)</f>
        <v>3000</v>
      </c>
      <c r="J563" s="28" t="n">
        <f aca="false">IF(A563="","",D563*F563)</f>
        <v>1800</v>
      </c>
      <c r="K563" s="26" t="n">
        <f aca="false">IF(A563="","",YEAR(A563))</f>
        <v>2025</v>
      </c>
      <c r="L563" s="26" t="n">
        <f aca="false">IF(A563="","",MONTH(A563))</f>
        <v>11</v>
      </c>
    </row>
    <row r="564" customFormat="false" ht="15" hidden="false" customHeight="false" outlineLevel="0" collapsed="false">
      <c r="A564" s="23" t="n">
        <v>45985.6388888889</v>
      </c>
      <c r="B564" s="24" t="s">
        <v>1069</v>
      </c>
      <c r="C564" s="24" t="s">
        <v>1070</v>
      </c>
      <c r="D564" s="24" t="n">
        <v>3</v>
      </c>
      <c r="E564" s="25" t="n">
        <v>4500</v>
      </c>
      <c r="F564" s="25" t="n">
        <v>3000</v>
      </c>
      <c r="G564" s="24" t="s">
        <v>59</v>
      </c>
      <c r="H564" s="24" t="s">
        <v>60</v>
      </c>
      <c r="I564" s="28" t="n">
        <f aca="false">IF(A564="","",D564*E564)</f>
        <v>13500</v>
      </c>
      <c r="J564" s="28" t="n">
        <f aca="false">IF(A564="","",D564*F564)</f>
        <v>9000</v>
      </c>
      <c r="K564" s="26" t="n">
        <f aca="false">IF(A564="","",YEAR(A564))</f>
        <v>2025</v>
      </c>
      <c r="L564" s="26" t="n">
        <f aca="false">IF(A564="","",MONTH(A564))</f>
        <v>11</v>
      </c>
    </row>
    <row r="565" customFormat="false" ht="15" hidden="false" customHeight="false" outlineLevel="0" collapsed="false">
      <c r="A565" s="23" t="n">
        <v>45985.6583333333</v>
      </c>
      <c r="B565" s="24" t="s">
        <v>1067</v>
      </c>
      <c r="C565" s="24" t="s">
        <v>1068</v>
      </c>
      <c r="D565" s="24" t="n">
        <v>1</v>
      </c>
      <c r="E565" s="25" t="n">
        <v>4000</v>
      </c>
      <c r="F565" s="25" t="n">
        <v>2600</v>
      </c>
      <c r="G565" s="24" t="s">
        <v>59</v>
      </c>
      <c r="H565" s="24" t="s">
        <v>60</v>
      </c>
      <c r="I565" s="28" t="n">
        <f aca="false">IF(A565="","",D565*E565)</f>
        <v>4000</v>
      </c>
      <c r="J565" s="28" t="n">
        <f aca="false">IF(A565="","",D565*F565)</f>
        <v>2600</v>
      </c>
      <c r="K565" s="26" t="n">
        <f aca="false">IF(A565="","",YEAR(A565))</f>
        <v>2025</v>
      </c>
      <c r="L565" s="26" t="n">
        <f aca="false">IF(A565="","",MONTH(A565))</f>
        <v>11</v>
      </c>
    </row>
    <row r="566" customFormat="false" ht="15" hidden="false" customHeight="false" outlineLevel="0" collapsed="false">
      <c r="A566" s="23" t="n">
        <v>45985.7541666667</v>
      </c>
      <c r="B566" s="24" t="s">
        <v>1071</v>
      </c>
      <c r="C566" s="24" t="s">
        <v>1072</v>
      </c>
      <c r="D566" s="24" t="n">
        <v>1</v>
      </c>
      <c r="E566" s="25" t="n">
        <v>2000</v>
      </c>
      <c r="F566" s="25" t="n">
        <v>1100</v>
      </c>
      <c r="G566" s="24" t="s">
        <v>59</v>
      </c>
      <c r="H566" s="24" t="s">
        <v>55</v>
      </c>
      <c r="I566" s="28" t="n">
        <f aca="false">IF(A566="","",D566*E566)</f>
        <v>2000</v>
      </c>
      <c r="J566" s="28" t="n">
        <f aca="false">IF(A566="","",D566*F566)</f>
        <v>1100</v>
      </c>
      <c r="K566" s="26" t="n">
        <f aca="false">IF(A566="","",YEAR(A566))</f>
        <v>2025</v>
      </c>
      <c r="L566" s="26" t="n">
        <f aca="false">IF(A566="","",MONTH(A566))</f>
        <v>11</v>
      </c>
    </row>
    <row r="567" customFormat="false" ht="15" hidden="false" customHeight="false" outlineLevel="0" collapsed="false">
      <c r="A567" s="23" t="n">
        <v>45985.8229166667</v>
      </c>
      <c r="B567" s="24" t="s">
        <v>1067</v>
      </c>
      <c r="C567" s="24" t="s">
        <v>1068</v>
      </c>
      <c r="D567" s="24" t="n">
        <v>1</v>
      </c>
      <c r="E567" s="25" t="n">
        <v>4000</v>
      </c>
      <c r="F567" s="25" t="n">
        <v>2600</v>
      </c>
      <c r="G567" s="24" t="s">
        <v>59</v>
      </c>
      <c r="H567" s="24" t="s">
        <v>55</v>
      </c>
      <c r="I567" s="28" t="n">
        <f aca="false">IF(A567="","",D567*E567)</f>
        <v>4000</v>
      </c>
      <c r="J567" s="28" t="n">
        <f aca="false">IF(A567="","",D567*F567)</f>
        <v>2600</v>
      </c>
      <c r="K567" s="26" t="n">
        <f aca="false">IF(A567="","",YEAR(A567))</f>
        <v>2025</v>
      </c>
      <c r="L567" s="26" t="n">
        <f aca="false">IF(A567="","",MONTH(A567))</f>
        <v>11</v>
      </c>
    </row>
    <row r="568" customFormat="false" ht="15" hidden="false" customHeight="false" outlineLevel="0" collapsed="false">
      <c r="A568" s="23" t="n">
        <v>45986.7180555556</v>
      </c>
      <c r="B568" s="24" t="s">
        <v>1065</v>
      </c>
      <c r="C568" s="24" t="s">
        <v>1066</v>
      </c>
      <c r="D568" s="24" t="n">
        <v>1</v>
      </c>
      <c r="E568" s="25" t="n">
        <v>3000</v>
      </c>
      <c r="F568" s="25" t="n">
        <v>2000</v>
      </c>
      <c r="G568" s="24" t="s">
        <v>59</v>
      </c>
      <c r="H568" s="24" t="s">
        <v>80</v>
      </c>
      <c r="I568" s="28" t="n">
        <f aca="false">IF(A568="","",D568*E568)</f>
        <v>3000</v>
      </c>
      <c r="J568" s="28" t="n">
        <f aca="false">IF(A568="","",D568*F568)</f>
        <v>2000</v>
      </c>
      <c r="K568" s="26" t="n">
        <f aca="false">IF(A568="","",YEAR(A568))</f>
        <v>2025</v>
      </c>
      <c r="L568" s="26" t="n">
        <f aca="false">IF(A568="","",MONTH(A568))</f>
        <v>11</v>
      </c>
    </row>
    <row r="569" customFormat="false" ht="15" hidden="false" customHeight="false" outlineLevel="0" collapsed="false">
      <c r="A569" s="23" t="n">
        <v>45987.8006944444</v>
      </c>
      <c r="B569" s="24" t="s">
        <v>1065</v>
      </c>
      <c r="C569" s="24" t="s">
        <v>1066</v>
      </c>
      <c r="D569" s="24" t="n">
        <v>3</v>
      </c>
      <c r="E569" s="25" t="n">
        <v>3000</v>
      </c>
      <c r="F569" s="25" t="n">
        <v>2000</v>
      </c>
      <c r="G569" s="24" t="s">
        <v>59</v>
      </c>
      <c r="H569" s="24" t="s">
        <v>60</v>
      </c>
      <c r="I569" s="28" t="n">
        <f aca="false">IF(A569="","",D569*E569)</f>
        <v>9000</v>
      </c>
      <c r="J569" s="28" t="n">
        <f aca="false">IF(A569="","",D569*F569)</f>
        <v>6000</v>
      </c>
      <c r="K569" s="26" t="n">
        <f aca="false">IF(A569="","",YEAR(A569))</f>
        <v>2025</v>
      </c>
      <c r="L569" s="26" t="n">
        <f aca="false">IF(A569="","",MONTH(A569))</f>
        <v>11</v>
      </c>
    </row>
    <row r="570" customFormat="false" ht="15" hidden="false" customHeight="false" outlineLevel="0" collapsed="false">
      <c r="A570" s="23" t="n">
        <v>45988.3590277778</v>
      </c>
      <c r="B570" s="24" t="s">
        <v>1071</v>
      </c>
      <c r="C570" s="24" t="s">
        <v>1072</v>
      </c>
      <c r="D570" s="24" t="n">
        <v>2</v>
      </c>
      <c r="E570" s="25" t="n">
        <v>2000</v>
      </c>
      <c r="F570" s="25" t="n">
        <v>1100</v>
      </c>
      <c r="G570" s="24" t="s">
        <v>59</v>
      </c>
      <c r="H570" s="24" t="s">
        <v>60</v>
      </c>
      <c r="I570" s="28" t="n">
        <f aca="false">IF(A570="","",D570*E570)</f>
        <v>4000</v>
      </c>
      <c r="J570" s="28" t="n">
        <f aca="false">IF(A570="","",D570*F570)</f>
        <v>2200</v>
      </c>
      <c r="K570" s="26" t="n">
        <f aca="false">IF(A570="","",YEAR(A570))</f>
        <v>2025</v>
      </c>
      <c r="L570" s="26" t="n">
        <f aca="false">IF(A570="","",MONTH(A570))</f>
        <v>11</v>
      </c>
    </row>
    <row r="571" customFormat="false" ht="15" hidden="false" customHeight="false" outlineLevel="0" collapsed="false">
      <c r="A571" s="23" t="n">
        <v>45988.4548611111</v>
      </c>
      <c r="B571" s="24" t="s">
        <v>1071</v>
      </c>
      <c r="C571" s="24" t="s">
        <v>1072</v>
      </c>
      <c r="D571" s="24" t="n">
        <v>2</v>
      </c>
      <c r="E571" s="25" t="n">
        <v>2000</v>
      </c>
      <c r="F571" s="25" t="n">
        <v>1100</v>
      </c>
      <c r="G571" s="24" t="s">
        <v>69</v>
      </c>
      <c r="H571" s="24" t="s">
        <v>55</v>
      </c>
      <c r="I571" s="28" t="n">
        <f aca="false">IF(A571="","",D571*E571)</f>
        <v>4000</v>
      </c>
      <c r="J571" s="28" t="n">
        <f aca="false">IF(A571="","",D571*F571)</f>
        <v>2200</v>
      </c>
      <c r="K571" s="26" t="n">
        <f aca="false">IF(A571="","",YEAR(A571))</f>
        <v>2025</v>
      </c>
      <c r="L571" s="26" t="n">
        <f aca="false">IF(A571="","",MONTH(A571))</f>
        <v>11</v>
      </c>
    </row>
    <row r="572" customFormat="false" ht="15" hidden="false" customHeight="false" outlineLevel="0" collapsed="false">
      <c r="A572" s="23" t="n">
        <v>45988.6319444445</v>
      </c>
      <c r="B572" s="24" t="s">
        <v>1069</v>
      </c>
      <c r="C572" s="24" t="s">
        <v>1070</v>
      </c>
      <c r="D572" s="24" t="n">
        <v>1</v>
      </c>
      <c r="E572" s="25" t="n">
        <v>4500</v>
      </c>
      <c r="F572" s="25" t="n">
        <v>3000</v>
      </c>
      <c r="G572" s="24" t="s">
        <v>69</v>
      </c>
      <c r="H572" s="24" t="s">
        <v>60</v>
      </c>
      <c r="I572" s="28" t="n">
        <f aca="false">IF(A572="","",D572*E572)</f>
        <v>4500</v>
      </c>
      <c r="J572" s="28" t="n">
        <f aca="false">IF(A572="","",D572*F572)</f>
        <v>3000</v>
      </c>
      <c r="K572" s="26" t="n">
        <f aca="false">IF(A572="","",YEAR(A572))</f>
        <v>2025</v>
      </c>
      <c r="L572" s="26" t="n">
        <f aca="false">IF(A572="","",MONTH(A572))</f>
        <v>11</v>
      </c>
    </row>
    <row r="573" customFormat="false" ht="15" hidden="false" customHeight="false" outlineLevel="0" collapsed="false">
      <c r="A573" s="23" t="n">
        <v>45988.6708333333</v>
      </c>
      <c r="B573" s="24" t="s">
        <v>1079</v>
      </c>
      <c r="C573" s="24" t="s">
        <v>1080</v>
      </c>
      <c r="D573" s="24" t="n">
        <v>1</v>
      </c>
      <c r="E573" s="25" t="n">
        <v>2500</v>
      </c>
      <c r="F573" s="25" t="n">
        <v>1600</v>
      </c>
      <c r="G573" s="24" t="s">
        <v>59</v>
      </c>
      <c r="H573" s="24" t="s">
        <v>80</v>
      </c>
      <c r="I573" s="28" t="n">
        <f aca="false">IF(A573="","",D573*E573)</f>
        <v>2500</v>
      </c>
      <c r="J573" s="28" t="n">
        <f aca="false">IF(A573="","",D573*F573)</f>
        <v>1600</v>
      </c>
      <c r="K573" s="26" t="n">
        <f aca="false">IF(A573="","",YEAR(A573))</f>
        <v>2025</v>
      </c>
      <c r="L573" s="26" t="n">
        <f aca="false">IF(A573="","",MONTH(A573))</f>
        <v>11</v>
      </c>
    </row>
    <row r="574" customFormat="false" ht="15" hidden="false" customHeight="false" outlineLevel="0" collapsed="false">
      <c r="A574" s="23" t="n">
        <v>45989.3659722222</v>
      </c>
      <c r="B574" s="24" t="s">
        <v>1077</v>
      </c>
      <c r="C574" s="24" t="s">
        <v>1078</v>
      </c>
      <c r="D574" s="24" t="n">
        <v>1</v>
      </c>
      <c r="E574" s="25" t="n">
        <v>1500</v>
      </c>
      <c r="F574" s="25" t="n">
        <v>900</v>
      </c>
      <c r="G574" s="24" t="s">
        <v>69</v>
      </c>
      <c r="H574" s="24" t="s">
        <v>55</v>
      </c>
      <c r="I574" s="28" t="n">
        <f aca="false">IF(A574="","",D574*E574)</f>
        <v>1500</v>
      </c>
      <c r="J574" s="28" t="n">
        <f aca="false">IF(A574="","",D574*F574)</f>
        <v>900</v>
      </c>
      <c r="K574" s="26" t="n">
        <f aca="false">IF(A574="","",YEAR(A574))</f>
        <v>2025</v>
      </c>
      <c r="L574" s="26" t="n">
        <f aca="false">IF(A574="","",MONTH(A574))</f>
        <v>11</v>
      </c>
    </row>
    <row r="575" customFormat="false" ht="15" hidden="false" customHeight="false" outlineLevel="0" collapsed="false">
      <c r="A575" s="23" t="n">
        <v>45989.6111111111</v>
      </c>
      <c r="B575" s="24" t="s">
        <v>1069</v>
      </c>
      <c r="C575" s="24" t="s">
        <v>1070</v>
      </c>
      <c r="D575" s="24" t="n">
        <v>1</v>
      </c>
      <c r="E575" s="25" t="n">
        <v>4500</v>
      </c>
      <c r="F575" s="25" t="n">
        <v>3000</v>
      </c>
      <c r="G575" s="24" t="s">
        <v>69</v>
      </c>
      <c r="H575" s="24" t="s">
        <v>80</v>
      </c>
      <c r="I575" s="28" t="n">
        <f aca="false">IF(A575="","",D575*E575)</f>
        <v>4500</v>
      </c>
      <c r="J575" s="28" t="n">
        <f aca="false">IF(A575="","",D575*F575)</f>
        <v>3000</v>
      </c>
      <c r="K575" s="26" t="n">
        <f aca="false">IF(A575="","",YEAR(A575))</f>
        <v>2025</v>
      </c>
      <c r="L575" s="26" t="n">
        <f aca="false">IF(A575="","",MONTH(A575))</f>
        <v>11</v>
      </c>
    </row>
    <row r="576" customFormat="false" ht="15" hidden="false" customHeight="false" outlineLevel="0" collapsed="false">
      <c r="A576" s="23" t="n">
        <v>45992.3875</v>
      </c>
      <c r="B576" s="24" t="s">
        <v>1077</v>
      </c>
      <c r="C576" s="24" t="s">
        <v>1078</v>
      </c>
      <c r="D576" s="24" t="n">
        <v>2</v>
      </c>
      <c r="E576" s="25" t="n">
        <v>1500</v>
      </c>
      <c r="F576" s="25" t="n">
        <v>900</v>
      </c>
      <c r="G576" s="24" t="s">
        <v>59</v>
      </c>
      <c r="H576" s="24" t="s">
        <v>80</v>
      </c>
      <c r="I576" s="28" t="n">
        <f aca="false">IF(A576="","",D576*E576)</f>
        <v>3000</v>
      </c>
      <c r="J576" s="28" t="n">
        <f aca="false">IF(A576="","",D576*F576)</f>
        <v>1800</v>
      </c>
      <c r="K576" s="26" t="n">
        <f aca="false">IF(A576="","",YEAR(A576))</f>
        <v>2025</v>
      </c>
      <c r="L576" s="26" t="n">
        <f aca="false">IF(A576="","",MONTH(A576))</f>
        <v>12</v>
      </c>
    </row>
    <row r="577" customFormat="false" ht="15" hidden="false" customHeight="false" outlineLevel="0" collapsed="false">
      <c r="A577" s="23" t="n">
        <v>45992.5486111111</v>
      </c>
      <c r="B577" s="24" t="s">
        <v>1071</v>
      </c>
      <c r="C577" s="24" t="s">
        <v>1072</v>
      </c>
      <c r="D577" s="24" t="n">
        <v>1</v>
      </c>
      <c r="E577" s="25" t="n">
        <v>2000</v>
      </c>
      <c r="F577" s="25" t="n">
        <v>1100</v>
      </c>
      <c r="G577" s="24" t="s">
        <v>59</v>
      </c>
      <c r="H577" s="24" t="s">
        <v>55</v>
      </c>
      <c r="I577" s="28" t="n">
        <f aca="false">IF(A577="","",D577*E577)</f>
        <v>2000</v>
      </c>
      <c r="J577" s="28" t="n">
        <f aca="false">IF(A577="","",D577*F577)</f>
        <v>1100</v>
      </c>
      <c r="K577" s="26" t="n">
        <f aca="false">IF(A577="","",YEAR(A577))</f>
        <v>2025</v>
      </c>
      <c r="L577" s="26" t="n">
        <f aca="false">IF(A577="","",MONTH(A577))</f>
        <v>12</v>
      </c>
    </row>
    <row r="578" customFormat="false" ht="15" hidden="false" customHeight="false" outlineLevel="0" collapsed="false">
      <c r="A578" s="23" t="n">
        <v>45992.8291666667</v>
      </c>
      <c r="B578" s="24" t="s">
        <v>1071</v>
      </c>
      <c r="C578" s="24" t="s">
        <v>1072</v>
      </c>
      <c r="D578" s="24" t="n">
        <v>1</v>
      </c>
      <c r="E578" s="25" t="n">
        <v>2000</v>
      </c>
      <c r="F578" s="25" t="n">
        <v>1100</v>
      </c>
      <c r="G578" s="24" t="s">
        <v>69</v>
      </c>
      <c r="H578" s="24" t="s">
        <v>55</v>
      </c>
      <c r="I578" s="28" t="n">
        <f aca="false">IF(A578="","",D578*E578)</f>
        <v>2000</v>
      </c>
      <c r="J578" s="28" t="n">
        <f aca="false">IF(A578="","",D578*F578)</f>
        <v>1100</v>
      </c>
      <c r="K578" s="26" t="n">
        <f aca="false">IF(A578="","",YEAR(A578))</f>
        <v>2025</v>
      </c>
      <c r="L578" s="26" t="n">
        <f aca="false">IF(A578="","",MONTH(A578))</f>
        <v>12</v>
      </c>
    </row>
    <row r="579" customFormat="false" ht="15" hidden="false" customHeight="false" outlineLevel="0" collapsed="false">
      <c r="A579" s="23" t="n">
        <v>45993.6784722222</v>
      </c>
      <c r="B579" s="24" t="s">
        <v>1069</v>
      </c>
      <c r="C579" s="24" t="s">
        <v>1070</v>
      </c>
      <c r="D579" s="24" t="n">
        <v>1</v>
      </c>
      <c r="E579" s="25" t="n">
        <v>4500</v>
      </c>
      <c r="F579" s="25" t="n">
        <v>3000</v>
      </c>
      <c r="G579" s="24" t="s">
        <v>69</v>
      </c>
      <c r="H579" s="24" t="s">
        <v>80</v>
      </c>
      <c r="I579" s="28" t="n">
        <f aca="false">IF(A579="","",D579*E579)</f>
        <v>4500</v>
      </c>
      <c r="J579" s="28" t="n">
        <f aca="false">IF(A579="","",D579*F579)</f>
        <v>3000</v>
      </c>
      <c r="K579" s="26" t="n">
        <f aca="false">IF(A579="","",YEAR(A579))</f>
        <v>2025</v>
      </c>
      <c r="L579" s="26" t="n">
        <f aca="false">IF(A579="","",MONTH(A579))</f>
        <v>12</v>
      </c>
    </row>
    <row r="580" customFormat="false" ht="15" hidden="false" customHeight="false" outlineLevel="0" collapsed="false">
      <c r="A580" s="23" t="n">
        <v>45993.7972222222</v>
      </c>
      <c r="B580" s="24" t="s">
        <v>1073</v>
      </c>
      <c r="C580" s="24" t="s">
        <v>1074</v>
      </c>
      <c r="D580" s="24" t="n">
        <v>1</v>
      </c>
      <c r="E580" s="25" t="n">
        <v>7000</v>
      </c>
      <c r="F580" s="25" t="n">
        <v>4800</v>
      </c>
      <c r="G580" s="24" t="s">
        <v>69</v>
      </c>
      <c r="H580" s="24" t="s">
        <v>60</v>
      </c>
      <c r="I580" s="28" t="n">
        <f aca="false">IF(A580="","",D580*E580)</f>
        <v>7000</v>
      </c>
      <c r="J580" s="28" t="n">
        <f aca="false">IF(A580="","",D580*F580)</f>
        <v>4800</v>
      </c>
      <c r="K580" s="26" t="n">
        <f aca="false">IF(A580="","",YEAR(A580))</f>
        <v>2025</v>
      </c>
      <c r="L580" s="26" t="n">
        <f aca="false">IF(A580="","",MONTH(A580))</f>
        <v>12</v>
      </c>
    </row>
    <row r="581" customFormat="false" ht="15" hidden="false" customHeight="false" outlineLevel="0" collapsed="false">
      <c r="A581" s="23" t="n">
        <v>45993.8631944444</v>
      </c>
      <c r="B581" s="24" t="s">
        <v>1081</v>
      </c>
      <c r="C581" s="24" t="s">
        <v>1082</v>
      </c>
      <c r="D581" s="24" t="n">
        <v>1</v>
      </c>
      <c r="E581" s="25" t="n">
        <v>2500</v>
      </c>
      <c r="F581" s="25" t="n">
        <v>1500</v>
      </c>
      <c r="G581" s="24" t="s">
        <v>59</v>
      </c>
      <c r="H581" s="24" t="s">
        <v>55</v>
      </c>
      <c r="I581" s="28" t="n">
        <f aca="false">IF(A581="","",D581*E581)</f>
        <v>2500</v>
      </c>
      <c r="J581" s="28" t="n">
        <f aca="false">IF(A581="","",D581*F581)</f>
        <v>1500</v>
      </c>
      <c r="K581" s="26" t="n">
        <f aca="false">IF(A581="","",YEAR(A581))</f>
        <v>2025</v>
      </c>
      <c r="L581" s="26" t="n">
        <f aca="false">IF(A581="","",MONTH(A581))</f>
        <v>12</v>
      </c>
    </row>
    <row r="582" customFormat="false" ht="15" hidden="false" customHeight="false" outlineLevel="0" collapsed="false">
      <c r="A582" s="23" t="n">
        <v>45994.8013888889</v>
      </c>
      <c r="B582" s="24" t="s">
        <v>1067</v>
      </c>
      <c r="C582" s="24" t="s">
        <v>1068</v>
      </c>
      <c r="D582" s="24" t="n">
        <v>1</v>
      </c>
      <c r="E582" s="25" t="n">
        <v>4000</v>
      </c>
      <c r="F582" s="25" t="n">
        <v>2600</v>
      </c>
      <c r="G582" s="24" t="s">
        <v>59</v>
      </c>
      <c r="H582" s="24" t="s">
        <v>55</v>
      </c>
      <c r="I582" s="28" t="n">
        <f aca="false">IF(A582="","",D582*E582)</f>
        <v>4000</v>
      </c>
      <c r="J582" s="28" t="n">
        <f aca="false">IF(A582="","",D582*F582)</f>
        <v>2600</v>
      </c>
      <c r="K582" s="26" t="n">
        <f aca="false">IF(A582="","",YEAR(A582))</f>
        <v>2025</v>
      </c>
      <c r="L582" s="26" t="n">
        <f aca="false">IF(A582="","",MONTH(A582))</f>
        <v>12</v>
      </c>
    </row>
    <row r="583" customFormat="false" ht="15" hidden="false" customHeight="false" outlineLevel="0" collapsed="false">
      <c r="A583" s="23" t="n">
        <v>45995.3020833333</v>
      </c>
      <c r="B583" s="24" t="s">
        <v>1065</v>
      </c>
      <c r="C583" s="24" t="s">
        <v>1066</v>
      </c>
      <c r="D583" s="24" t="n">
        <v>2</v>
      </c>
      <c r="E583" s="25" t="n">
        <v>3000</v>
      </c>
      <c r="F583" s="25" t="n">
        <v>2000</v>
      </c>
      <c r="G583" s="24" t="s">
        <v>59</v>
      </c>
      <c r="H583" s="24" t="s">
        <v>60</v>
      </c>
      <c r="I583" s="28" t="n">
        <f aca="false">IF(A583="","",D583*E583)</f>
        <v>6000</v>
      </c>
      <c r="J583" s="28" t="n">
        <f aca="false">IF(A583="","",D583*F583)</f>
        <v>4000</v>
      </c>
      <c r="K583" s="26" t="n">
        <f aca="false">IF(A583="","",YEAR(A583))</f>
        <v>2025</v>
      </c>
      <c r="L583" s="26" t="n">
        <f aca="false">IF(A583="","",MONTH(A583))</f>
        <v>12</v>
      </c>
    </row>
    <row r="584" customFormat="false" ht="15" hidden="false" customHeight="false" outlineLevel="0" collapsed="false">
      <c r="A584" s="23" t="n">
        <v>45995.6833333333</v>
      </c>
      <c r="B584" s="24" t="s">
        <v>1075</v>
      </c>
      <c r="C584" s="24" t="s">
        <v>1076</v>
      </c>
      <c r="D584" s="24" t="n">
        <v>1</v>
      </c>
      <c r="E584" s="25" t="n">
        <v>1000</v>
      </c>
      <c r="F584" s="25" t="n">
        <v>300</v>
      </c>
      <c r="G584" s="24" t="s">
        <v>59</v>
      </c>
      <c r="H584" s="24" t="s">
        <v>60</v>
      </c>
      <c r="I584" s="28" t="n">
        <f aca="false">IF(A584="","",D584*E584)</f>
        <v>1000</v>
      </c>
      <c r="J584" s="28" t="n">
        <f aca="false">IF(A584="","",D584*F584)</f>
        <v>300</v>
      </c>
      <c r="K584" s="26" t="n">
        <f aca="false">IF(A584="","",YEAR(A584))</f>
        <v>2025</v>
      </c>
      <c r="L584" s="26" t="n">
        <f aca="false">IF(A584="","",MONTH(A584))</f>
        <v>12</v>
      </c>
    </row>
    <row r="585" customFormat="false" ht="15" hidden="false" customHeight="false" outlineLevel="0" collapsed="false">
      <c r="A585" s="23" t="n">
        <v>45996.6090277778</v>
      </c>
      <c r="B585" s="24" t="s">
        <v>1073</v>
      </c>
      <c r="C585" s="24" t="s">
        <v>1074</v>
      </c>
      <c r="D585" s="24" t="n">
        <v>3</v>
      </c>
      <c r="E585" s="25" t="n">
        <v>7000</v>
      </c>
      <c r="F585" s="25" t="n">
        <v>4800</v>
      </c>
      <c r="G585" s="24" t="s">
        <v>59</v>
      </c>
      <c r="H585" s="24" t="s">
        <v>80</v>
      </c>
      <c r="I585" s="28" t="n">
        <f aca="false">IF(A585="","",D585*E585)</f>
        <v>21000</v>
      </c>
      <c r="J585" s="28" t="n">
        <f aca="false">IF(A585="","",D585*F585)</f>
        <v>14400</v>
      </c>
      <c r="K585" s="26" t="n">
        <f aca="false">IF(A585="","",YEAR(A585))</f>
        <v>2025</v>
      </c>
      <c r="L585" s="26" t="n">
        <f aca="false">IF(A585="","",MONTH(A585))</f>
        <v>12</v>
      </c>
    </row>
    <row r="586" customFormat="false" ht="15" hidden="false" customHeight="false" outlineLevel="0" collapsed="false">
      <c r="A586" s="23" t="n">
        <v>45996.7673611111</v>
      </c>
      <c r="B586" s="24" t="s">
        <v>1081</v>
      </c>
      <c r="C586" s="24" t="s">
        <v>1082</v>
      </c>
      <c r="D586" s="24" t="n">
        <v>3</v>
      </c>
      <c r="E586" s="25" t="n">
        <v>2500</v>
      </c>
      <c r="F586" s="25" t="n">
        <v>1500</v>
      </c>
      <c r="G586" s="24" t="s">
        <v>59</v>
      </c>
      <c r="H586" s="24" t="s">
        <v>55</v>
      </c>
      <c r="I586" s="28" t="n">
        <f aca="false">IF(A586="","",D586*E586)</f>
        <v>7500</v>
      </c>
      <c r="J586" s="28" t="n">
        <f aca="false">IF(A586="","",D586*F586)</f>
        <v>4500</v>
      </c>
      <c r="K586" s="26" t="n">
        <f aca="false">IF(A586="","",YEAR(A586))</f>
        <v>2025</v>
      </c>
      <c r="L586" s="26" t="n">
        <f aca="false">IF(A586="","",MONTH(A586))</f>
        <v>12</v>
      </c>
    </row>
    <row r="587" customFormat="false" ht="15" hidden="false" customHeight="false" outlineLevel="0" collapsed="false">
      <c r="A587" s="23" t="n">
        <v>45996.8152777778</v>
      </c>
      <c r="B587" s="24" t="s">
        <v>1065</v>
      </c>
      <c r="C587" s="24" t="s">
        <v>1066</v>
      </c>
      <c r="D587" s="24" t="n">
        <v>3</v>
      </c>
      <c r="E587" s="25" t="n">
        <v>3000</v>
      </c>
      <c r="F587" s="25" t="n">
        <v>2000</v>
      </c>
      <c r="G587" s="24" t="s">
        <v>59</v>
      </c>
      <c r="H587" s="24" t="s">
        <v>80</v>
      </c>
      <c r="I587" s="28" t="n">
        <f aca="false">IF(A587="","",D587*E587)</f>
        <v>9000</v>
      </c>
      <c r="J587" s="28" t="n">
        <f aca="false">IF(A587="","",D587*F587)</f>
        <v>6000</v>
      </c>
      <c r="K587" s="26" t="n">
        <f aca="false">IF(A587="","",YEAR(A587))</f>
        <v>2025</v>
      </c>
      <c r="L587" s="26" t="n">
        <f aca="false">IF(A587="","",MONTH(A587))</f>
        <v>12</v>
      </c>
    </row>
    <row r="588" customFormat="false" ht="15" hidden="false" customHeight="false" outlineLevel="0" collapsed="false">
      <c r="A588" s="23" t="n">
        <v>45996.8638888889</v>
      </c>
      <c r="B588" s="24" t="s">
        <v>1065</v>
      </c>
      <c r="C588" s="24" t="s">
        <v>1066</v>
      </c>
      <c r="D588" s="24" t="n">
        <v>1</v>
      </c>
      <c r="E588" s="25" t="n">
        <v>3000</v>
      </c>
      <c r="F588" s="25" t="n">
        <v>2000</v>
      </c>
      <c r="G588" s="24" t="s">
        <v>59</v>
      </c>
      <c r="H588" s="24" t="s">
        <v>60</v>
      </c>
      <c r="I588" s="28" t="n">
        <f aca="false">IF(A588="","",D588*E588)</f>
        <v>3000</v>
      </c>
      <c r="J588" s="28" t="n">
        <f aca="false">IF(A588="","",D588*F588)</f>
        <v>2000</v>
      </c>
      <c r="K588" s="26" t="n">
        <f aca="false">IF(A588="","",YEAR(A588))</f>
        <v>2025</v>
      </c>
      <c r="L588" s="26" t="n">
        <f aca="false">IF(A588="","",MONTH(A588))</f>
        <v>12</v>
      </c>
    </row>
    <row r="589" customFormat="false" ht="15" hidden="false" customHeight="false" outlineLevel="0" collapsed="false">
      <c r="A589" s="23" t="n">
        <v>45997.3111111111</v>
      </c>
      <c r="B589" s="24" t="s">
        <v>1073</v>
      </c>
      <c r="C589" s="24" t="s">
        <v>1074</v>
      </c>
      <c r="D589" s="24" t="n">
        <v>1</v>
      </c>
      <c r="E589" s="25" t="n">
        <v>7000</v>
      </c>
      <c r="F589" s="25" t="n">
        <v>4800</v>
      </c>
      <c r="G589" s="24" t="s">
        <v>69</v>
      </c>
      <c r="H589" s="24" t="s">
        <v>80</v>
      </c>
      <c r="I589" s="28" t="n">
        <f aca="false">IF(A589="","",D589*E589)</f>
        <v>7000</v>
      </c>
      <c r="J589" s="28" t="n">
        <f aca="false">IF(A589="","",D589*F589)</f>
        <v>4800</v>
      </c>
      <c r="K589" s="26" t="n">
        <f aca="false">IF(A589="","",YEAR(A589))</f>
        <v>2025</v>
      </c>
      <c r="L589" s="26" t="n">
        <f aca="false">IF(A589="","",MONTH(A589))</f>
        <v>12</v>
      </c>
    </row>
    <row r="590" customFormat="false" ht="15" hidden="false" customHeight="false" outlineLevel="0" collapsed="false">
      <c r="A590" s="23" t="n">
        <v>45997.3576388889</v>
      </c>
      <c r="B590" s="24" t="s">
        <v>1071</v>
      </c>
      <c r="C590" s="24" t="s">
        <v>1072</v>
      </c>
      <c r="D590" s="24" t="n">
        <v>1</v>
      </c>
      <c r="E590" s="25" t="n">
        <v>2000</v>
      </c>
      <c r="F590" s="25" t="n">
        <v>1100</v>
      </c>
      <c r="G590" s="24" t="s">
        <v>59</v>
      </c>
      <c r="H590" s="24" t="s">
        <v>55</v>
      </c>
      <c r="I590" s="28" t="n">
        <f aca="false">IF(A590="","",D590*E590)</f>
        <v>2000</v>
      </c>
      <c r="J590" s="28" t="n">
        <f aca="false">IF(A590="","",D590*F590)</f>
        <v>1100</v>
      </c>
      <c r="K590" s="26" t="n">
        <f aca="false">IF(A590="","",YEAR(A590))</f>
        <v>2025</v>
      </c>
      <c r="L590" s="26" t="n">
        <f aca="false">IF(A590="","",MONTH(A590))</f>
        <v>12</v>
      </c>
    </row>
    <row r="591" customFormat="false" ht="15" hidden="false" customHeight="false" outlineLevel="0" collapsed="false">
      <c r="A591" s="23" t="n">
        <v>45997.5243055556</v>
      </c>
      <c r="B591" s="24" t="s">
        <v>1069</v>
      </c>
      <c r="C591" s="24" t="s">
        <v>1070</v>
      </c>
      <c r="D591" s="24" t="n">
        <v>1</v>
      </c>
      <c r="E591" s="25" t="n">
        <v>4500</v>
      </c>
      <c r="F591" s="25" t="n">
        <v>3000</v>
      </c>
      <c r="G591" s="24" t="s">
        <v>59</v>
      </c>
      <c r="H591" s="24" t="s">
        <v>55</v>
      </c>
      <c r="I591" s="28" t="n">
        <f aca="false">IF(A591="","",D591*E591)</f>
        <v>4500</v>
      </c>
      <c r="J591" s="28" t="n">
        <f aca="false">IF(A591="","",D591*F591)</f>
        <v>3000</v>
      </c>
      <c r="K591" s="26" t="n">
        <f aca="false">IF(A591="","",YEAR(A591))</f>
        <v>2025</v>
      </c>
      <c r="L591" s="26" t="n">
        <f aca="false">IF(A591="","",MONTH(A591))</f>
        <v>12</v>
      </c>
    </row>
    <row r="592" customFormat="false" ht="15" hidden="false" customHeight="false" outlineLevel="0" collapsed="false">
      <c r="A592" s="23" t="n">
        <v>45998.3868055556</v>
      </c>
      <c r="B592" s="24" t="s">
        <v>1077</v>
      </c>
      <c r="C592" s="24" t="s">
        <v>1078</v>
      </c>
      <c r="D592" s="24" t="n">
        <v>1</v>
      </c>
      <c r="E592" s="25" t="n">
        <v>1500</v>
      </c>
      <c r="F592" s="25" t="n">
        <v>900</v>
      </c>
      <c r="G592" s="24" t="s">
        <v>59</v>
      </c>
      <c r="H592" s="24" t="s">
        <v>60</v>
      </c>
      <c r="I592" s="28" t="n">
        <f aca="false">IF(A592="","",D592*E592)</f>
        <v>1500</v>
      </c>
      <c r="J592" s="28" t="n">
        <f aca="false">IF(A592="","",D592*F592)</f>
        <v>900</v>
      </c>
      <c r="K592" s="26" t="n">
        <f aca="false">IF(A592="","",YEAR(A592))</f>
        <v>2025</v>
      </c>
      <c r="L592" s="26" t="n">
        <f aca="false">IF(A592="","",MONTH(A592))</f>
        <v>12</v>
      </c>
    </row>
    <row r="593" customFormat="false" ht="15" hidden="false" customHeight="false" outlineLevel="0" collapsed="false">
      <c r="A593" s="23" t="n">
        <v>45998.5381944445</v>
      </c>
      <c r="B593" s="24" t="s">
        <v>1081</v>
      </c>
      <c r="C593" s="24" t="s">
        <v>1082</v>
      </c>
      <c r="D593" s="24" t="n">
        <v>1</v>
      </c>
      <c r="E593" s="25" t="n">
        <v>2500</v>
      </c>
      <c r="F593" s="25" t="n">
        <v>1500</v>
      </c>
      <c r="G593" s="24" t="s">
        <v>59</v>
      </c>
      <c r="H593" s="24" t="s">
        <v>55</v>
      </c>
      <c r="I593" s="28" t="n">
        <f aca="false">IF(A593="","",D593*E593)</f>
        <v>2500</v>
      </c>
      <c r="J593" s="28" t="n">
        <f aca="false">IF(A593="","",D593*F593)</f>
        <v>1500</v>
      </c>
      <c r="K593" s="26" t="n">
        <f aca="false">IF(A593="","",YEAR(A593))</f>
        <v>2025</v>
      </c>
      <c r="L593" s="26" t="n">
        <f aca="false">IF(A593="","",MONTH(A593))</f>
        <v>12</v>
      </c>
    </row>
    <row r="594" customFormat="false" ht="15" hidden="false" customHeight="false" outlineLevel="0" collapsed="false">
      <c r="A594" s="23" t="n">
        <v>45999.3611111111</v>
      </c>
      <c r="B594" s="24" t="s">
        <v>1067</v>
      </c>
      <c r="C594" s="24" t="s">
        <v>1068</v>
      </c>
      <c r="D594" s="24" t="n">
        <v>2</v>
      </c>
      <c r="E594" s="25" t="n">
        <v>4000</v>
      </c>
      <c r="F594" s="25" t="n">
        <v>2600</v>
      </c>
      <c r="G594" s="24" t="s">
        <v>59</v>
      </c>
      <c r="H594" s="24" t="s">
        <v>80</v>
      </c>
      <c r="I594" s="28" t="n">
        <f aca="false">IF(A594="","",D594*E594)</f>
        <v>8000</v>
      </c>
      <c r="J594" s="28" t="n">
        <f aca="false">IF(A594="","",D594*F594)</f>
        <v>5200</v>
      </c>
      <c r="K594" s="26" t="n">
        <f aca="false">IF(A594="","",YEAR(A594))</f>
        <v>2025</v>
      </c>
      <c r="L594" s="26" t="n">
        <f aca="false">IF(A594="","",MONTH(A594))</f>
        <v>12</v>
      </c>
    </row>
    <row r="595" customFormat="false" ht="15" hidden="false" customHeight="false" outlineLevel="0" collapsed="false">
      <c r="A595" s="23" t="n">
        <v>45999.3805555556</v>
      </c>
      <c r="B595" s="24" t="s">
        <v>1071</v>
      </c>
      <c r="C595" s="24" t="s">
        <v>1072</v>
      </c>
      <c r="D595" s="24" t="n">
        <v>2</v>
      </c>
      <c r="E595" s="25" t="n">
        <v>2000</v>
      </c>
      <c r="F595" s="25" t="n">
        <v>1100</v>
      </c>
      <c r="G595" s="24" t="s">
        <v>59</v>
      </c>
      <c r="H595" s="24" t="s">
        <v>80</v>
      </c>
      <c r="I595" s="28" t="n">
        <f aca="false">IF(A595="","",D595*E595)</f>
        <v>4000</v>
      </c>
      <c r="J595" s="28" t="n">
        <f aca="false">IF(A595="","",D595*F595)</f>
        <v>2200</v>
      </c>
      <c r="K595" s="26" t="n">
        <f aca="false">IF(A595="","",YEAR(A595))</f>
        <v>2025</v>
      </c>
      <c r="L595" s="26" t="n">
        <f aca="false">IF(A595="","",MONTH(A595))</f>
        <v>12</v>
      </c>
    </row>
    <row r="596" customFormat="false" ht="15" hidden="false" customHeight="false" outlineLevel="0" collapsed="false">
      <c r="A596" s="23" t="n">
        <v>45999.8256944444</v>
      </c>
      <c r="B596" s="24" t="s">
        <v>1081</v>
      </c>
      <c r="C596" s="24" t="s">
        <v>1082</v>
      </c>
      <c r="D596" s="24" t="n">
        <v>1</v>
      </c>
      <c r="E596" s="25" t="n">
        <v>2500</v>
      </c>
      <c r="F596" s="25" t="n">
        <v>1500</v>
      </c>
      <c r="G596" s="24" t="s">
        <v>59</v>
      </c>
      <c r="H596" s="24" t="s">
        <v>80</v>
      </c>
      <c r="I596" s="28" t="n">
        <f aca="false">IF(A596="","",D596*E596)</f>
        <v>2500</v>
      </c>
      <c r="J596" s="28" t="n">
        <f aca="false">IF(A596="","",D596*F596)</f>
        <v>1500</v>
      </c>
      <c r="K596" s="26" t="n">
        <f aca="false">IF(A596="","",YEAR(A596))</f>
        <v>2025</v>
      </c>
      <c r="L596" s="26" t="n">
        <f aca="false">IF(A596="","",MONTH(A596))</f>
        <v>12</v>
      </c>
    </row>
    <row r="597" customFormat="false" ht="15" hidden="false" customHeight="false" outlineLevel="0" collapsed="false">
      <c r="A597" s="23" t="n">
        <v>46000.325</v>
      </c>
      <c r="B597" s="24" t="s">
        <v>1065</v>
      </c>
      <c r="C597" s="24" t="s">
        <v>1066</v>
      </c>
      <c r="D597" s="24" t="n">
        <v>3</v>
      </c>
      <c r="E597" s="25" t="n">
        <v>3000</v>
      </c>
      <c r="F597" s="25" t="n">
        <v>2000</v>
      </c>
      <c r="G597" s="24" t="s">
        <v>59</v>
      </c>
      <c r="H597" s="24" t="s">
        <v>55</v>
      </c>
      <c r="I597" s="28" t="n">
        <f aca="false">IF(A597="","",D597*E597)</f>
        <v>9000</v>
      </c>
      <c r="J597" s="28" t="n">
        <f aca="false">IF(A597="","",D597*F597)</f>
        <v>6000</v>
      </c>
      <c r="K597" s="26" t="n">
        <f aca="false">IF(A597="","",YEAR(A597))</f>
        <v>2025</v>
      </c>
      <c r="L597" s="26" t="n">
        <f aca="false">IF(A597="","",MONTH(A597))</f>
        <v>12</v>
      </c>
    </row>
    <row r="598" customFormat="false" ht="15" hidden="false" customHeight="false" outlineLevel="0" collapsed="false">
      <c r="A598" s="23" t="n">
        <v>46000.7618055556</v>
      </c>
      <c r="B598" s="24" t="s">
        <v>1079</v>
      </c>
      <c r="C598" s="24" t="s">
        <v>1080</v>
      </c>
      <c r="D598" s="24" t="n">
        <v>1</v>
      </c>
      <c r="E598" s="25" t="n">
        <v>2500</v>
      </c>
      <c r="F598" s="25" t="n">
        <v>1600</v>
      </c>
      <c r="G598" s="24" t="s">
        <v>59</v>
      </c>
      <c r="H598" s="24" t="s">
        <v>60</v>
      </c>
      <c r="I598" s="28" t="n">
        <f aca="false">IF(A598="","",D598*E598)</f>
        <v>2500</v>
      </c>
      <c r="J598" s="28" t="n">
        <f aca="false">IF(A598="","",D598*F598)</f>
        <v>1600</v>
      </c>
      <c r="K598" s="26" t="n">
        <f aca="false">IF(A598="","",YEAR(A598))</f>
        <v>2025</v>
      </c>
      <c r="L598" s="26" t="n">
        <f aca="false">IF(A598="","",MONTH(A598))</f>
        <v>12</v>
      </c>
    </row>
    <row r="599" customFormat="false" ht="15" hidden="false" customHeight="false" outlineLevel="0" collapsed="false">
      <c r="A599" s="23" t="n">
        <v>46000.7986111111</v>
      </c>
      <c r="B599" s="24" t="s">
        <v>1069</v>
      </c>
      <c r="C599" s="24" t="s">
        <v>1070</v>
      </c>
      <c r="D599" s="24" t="n">
        <v>3</v>
      </c>
      <c r="E599" s="25" t="n">
        <v>4500</v>
      </c>
      <c r="F599" s="25" t="n">
        <v>3000</v>
      </c>
      <c r="G599" s="24" t="s">
        <v>59</v>
      </c>
      <c r="H599" s="24" t="s">
        <v>55</v>
      </c>
      <c r="I599" s="28" t="n">
        <f aca="false">IF(A599="","",D599*E599)</f>
        <v>13500</v>
      </c>
      <c r="J599" s="28" t="n">
        <f aca="false">IF(A599="","",D599*F599)</f>
        <v>9000</v>
      </c>
      <c r="K599" s="26" t="n">
        <f aca="false">IF(A599="","",YEAR(A599))</f>
        <v>2025</v>
      </c>
      <c r="L599" s="26" t="n">
        <f aca="false">IF(A599="","",MONTH(A599))</f>
        <v>12</v>
      </c>
    </row>
    <row r="600" customFormat="false" ht="15" hidden="false" customHeight="false" outlineLevel="0" collapsed="false">
      <c r="A600" s="23" t="n">
        <v>46000.8888888889</v>
      </c>
      <c r="B600" s="24" t="s">
        <v>1075</v>
      </c>
      <c r="C600" s="24" t="s">
        <v>1076</v>
      </c>
      <c r="D600" s="24" t="n">
        <v>3</v>
      </c>
      <c r="E600" s="25" t="n">
        <v>1000</v>
      </c>
      <c r="F600" s="25" t="n">
        <v>300</v>
      </c>
      <c r="G600" s="24" t="s">
        <v>59</v>
      </c>
      <c r="H600" s="24" t="s">
        <v>55</v>
      </c>
      <c r="I600" s="28" t="n">
        <f aca="false">IF(A600="","",D600*E600)</f>
        <v>3000</v>
      </c>
      <c r="J600" s="28" t="n">
        <f aca="false">IF(A600="","",D600*F600)</f>
        <v>900</v>
      </c>
      <c r="K600" s="26" t="n">
        <f aca="false">IF(A600="","",YEAR(A600))</f>
        <v>2025</v>
      </c>
      <c r="L600" s="26" t="n">
        <f aca="false">IF(A600="","",MONTH(A600))</f>
        <v>12</v>
      </c>
    </row>
    <row r="601" customFormat="false" ht="15" hidden="false" customHeight="false" outlineLevel="0" collapsed="false">
      <c r="A601" s="23" t="n">
        <v>46001.3590277778</v>
      </c>
      <c r="B601" s="24" t="s">
        <v>1065</v>
      </c>
      <c r="C601" s="24" t="s">
        <v>1066</v>
      </c>
      <c r="D601" s="24" t="n">
        <v>1</v>
      </c>
      <c r="E601" s="25" t="n">
        <v>3000</v>
      </c>
      <c r="F601" s="25" t="n">
        <v>2000</v>
      </c>
      <c r="G601" s="24" t="s">
        <v>59</v>
      </c>
      <c r="H601" s="24" t="s">
        <v>60</v>
      </c>
      <c r="I601" s="28" t="n">
        <f aca="false">IF(A601="","",D601*E601)</f>
        <v>3000</v>
      </c>
      <c r="J601" s="28" t="n">
        <f aca="false">IF(A601="","",D601*F601)</f>
        <v>2000</v>
      </c>
      <c r="K601" s="26" t="n">
        <f aca="false">IF(A601="","",YEAR(A601))</f>
        <v>2025</v>
      </c>
      <c r="L601" s="26" t="n">
        <f aca="false">IF(A601="","",MONTH(A601))</f>
        <v>12</v>
      </c>
    </row>
    <row r="602" customFormat="false" ht="15" hidden="false" customHeight="false" outlineLevel="0" collapsed="false">
      <c r="A602" s="23" t="n">
        <v>46002.4020833333</v>
      </c>
      <c r="B602" s="24" t="s">
        <v>1081</v>
      </c>
      <c r="C602" s="24" t="s">
        <v>1082</v>
      </c>
      <c r="D602" s="24" t="n">
        <v>2</v>
      </c>
      <c r="E602" s="25" t="n">
        <v>2500</v>
      </c>
      <c r="F602" s="25" t="n">
        <v>1500</v>
      </c>
      <c r="G602" s="24" t="s">
        <v>59</v>
      </c>
      <c r="H602" s="24" t="s">
        <v>60</v>
      </c>
      <c r="I602" s="28" t="n">
        <f aca="false">IF(A602="","",D602*E602)</f>
        <v>5000</v>
      </c>
      <c r="J602" s="28" t="n">
        <f aca="false">IF(A602="","",D602*F602)</f>
        <v>3000</v>
      </c>
      <c r="K602" s="26" t="n">
        <f aca="false">IF(A602="","",YEAR(A602))</f>
        <v>2025</v>
      </c>
      <c r="L602" s="26" t="n">
        <f aca="false">IF(A602="","",MONTH(A602))</f>
        <v>12</v>
      </c>
    </row>
    <row r="603" customFormat="false" ht="15" hidden="false" customHeight="false" outlineLevel="0" collapsed="false">
      <c r="A603" s="23" t="n">
        <v>46002.5152777778</v>
      </c>
      <c r="B603" s="24" t="s">
        <v>1073</v>
      </c>
      <c r="C603" s="24" t="s">
        <v>1074</v>
      </c>
      <c r="D603" s="24" t="n">
        <v>1</v>
      </c>
      <c r="E603" s="25" t="n">
        <v>7000</v>
      </c>
      <c r="F603" s="25" t="n">
        <v>4800</v>
      </c>
      <c r="G603" s="24" t="s">
        <v>69</v>
      </c>
      <c r="H603" s="24" t="s">
        <v>60</v>
      </c>
      <c r="I603" s="28" t="n">
        <f aca="false">IF(A603="","",D603*E603)</f>
        <v>7000</v>
      </c>
      <c r="J603" s="28" t="n">
        <f aca="false">IF(A603="","",D603*F603)</f>
        <v>4800</v>
      </c>
      <c r="K603" s="26" t="n">
        <f aca="false">IF(A603="","",YEAR(A603))</f>
        <v>2025</v>
      </c>
      <c r="L603" s="26" t="n">
        <f aca="false">IF(A603="","",MONTH(A603))</f>
        <v>12</v>
      </c>
    </row>
    <row r="604" customFormat="false" ht="15" hidden="false" customHeight="false" outlineLevel="0" collapsed="false">
      <c r="A604" s="23" t="n">
        <v>46003.4854166667</v>
      </c>
      <c r="B604" s="24" t="s">
        <v>1075</v>
      </c>
      <c r="C604" s="24" t="s">
        <v>1076</v>
      </c>
      <c r="D604" s="24" t="n">
        <v>1</v>
      </c>
      <c r="E604" s="25" t="n">
        <v>1000</v>
      </c>
      <c r="F604" s="25" t="n">
        <v>300</v>
      </c>
      <c r="G604" s="24" t="s">
        <v>59</v>
      </c>
      <c r="H604" s="24" t="s">
        <v>60</v>
      </c>
      <c r="I604" s="28" t="n">
        <f aca="false">IF(A604="","",D604*E604)</f>
        <v>1000</v>
      </c>
      <c r="J604" s="28" t="n">
        <f aca="false">IF(A604="","",D604*F604)</f>
        <v>300</v>
      </c>
      <c r="K604" s="26" t="n">
        <f aca="false">IF(A604="","",YEAR(A604))</f>
        <v>2025</v>
      </c>
      <c r="L604" s="26" t="n">
        <f aca="false">IF(A604="","",MONTH(A604))</f>
        <v>12</v>
      </c>
    </row>
    <row r="605" customFormat="false" ht="15" hidden="false" customHeight="false" outlineLevel="0" collapsed="false">
      <c r="A605" s="23" t="n">
        <v>46004.4729166667</v>
      </c>
      <c r="B605" s="24" t="s">
        <v>1077</v>
      </c>
      <c r="C605" s="24" t="s">
        <v>1078</v>
      </c>
      <c r="D605" s="24" t="n">
        <v>1</v>
      </c>
      <c r="E605" s="25" t="n">
        <v>1500</v>
      </c>
      <c r="F605" s="25" t="n">
        <v>900</v>
      </c>
      <c r="G605" s="24" t="s">
        <v>59</v>
      </c>
      <c r="H605" s="24" t="s">
        <v>60</v>
      </c>
      <c r="I605" s="28" t="n">
        <f aca="false">IF(A605="","",D605*E605)</f>
        <v>1500</v>
      </c>
      <c r="J605" s="28" t="n">
        <f aca="false">IF(A605="","",D605*F605)</f>
        <v>900</v>
      </c>
      <c r="K605" s="26" t="n">
        <f aca="false">IF(A605="","",YEAR(A605))</f>
        <v>2025</v>
      </c>
      <c r="L605" s="26" t="n">
        <f aca="false">IF(A605="","",MONTH(A605))</f>
        <v>12</v>
      </c>
    </row>
    <row r="606" customFormat="false" ht="15" hidden="false" customHeight="false" outlineLevel="0" collapsed="false">
      <c r="A606" s="23" t="n">
        <v>46004.5236111111</v>
      </c>
      <c r="B606" s="24" t="s">
        <v>1073</v>
      </c>
      <c r="C606" s="24" t="s">
        <v>1074</v>
      </c>
      <c r="D606" s="24" t="n">
        <v>3</v>
      </c>
      <c r="E606" s="25" t="n">
        <v>7000</v>
      </c>
      <c r="F606" s="25" t="n">
        <v>4800</v>
      </c>
      <c r="G606" s="24" t="s">
        <v>59</v>
      </c>
      <c r="H606" s="24" t="s">
        <v>55</v>
      </c>
      <c r="I606" s="28" t="n">
        <f aca="false">IF(A606="","",D606*E606)</f>
        <v>21000</v>
      </c>
      <c r="J606" s="28" t="n">
        <f aca="false">IF(A606="","",D606*F606)</f>
        <v>14400</v>
      </c>
      <c r="K606" s="26" t="n">
        <f aca="false">IF(A606="","",YEAR(A606))</f>
        <v>2025</v>
      </c>
      <c r="L606" s="26" t="n">
        <f aca="false">IF(A606="","",MONTH(A606))</f>
        <v>12</v>
      </c>
    </row>
    <row r="607" customFormat="false" ht="15" hidden="false" customHeight="false" outlineLevel="0" collapsed="false">
      <c r="A607" s="23" t="n">
        <v>46004.6402777778</v>
      </c>
      <c r="B607" s="24" t="s">
        <v>1069</v>
      </c>
      <c r="C607" s="24" t="s">
        <v>1070</v>
      </c>
      <c r="D607" s="24" t="n">
        <v>2</v>
      </c>
      <c r="E607" s="25" t="n">
        <v>4500</v>
      </c>
      <c r="F607" s="25" t="n">
        <v>3000</v>
      </c>
      <c r="G607" s="24" t="s">
        <v>59</v>
      </c>
      <c r="H607" s="24" t="s">
        <v>60</v>
      </c>
      <c r="I607" s="28" t="n">
        <f aca="false">IF(A607="","",D607*E607)</f>
        <v>9000</v>
      </c>
      <c r="J607" s="28" t="n">
        <f aca="false">IF(A607="","",D607*F607)</f>
        <v>6000</v>
      </c>
      <c r="K607" s="26" t="n">
        <f aca="false">IF(A607="","",YEAR(A607))</f>
        <v>2025</v>
      </c>
      <c r="L607" s="26" t="n">
        <f aca="false">IF(A607="","",MONTH(A607))</f>
        <v>12</v>
      </c>
    </row>
    <row r="608" customFormat="false" ht="15" hidden="false" customHeight="false" outlineLevel="0" collapsed="false">
      <c r="A608" s="23" t="n">
        <v>46004.6416666667</v>
      </c>
      <c r="B608" s="24" t="s">
        <v>1081</v>
      </c>
      <c r="C608" s="24" t="s">
        <v>1082</v>
      </c>
      <c r="D608" s="24" t="n">
        <v>1</v>
      </c>
      <c r="E608" s="25" t="n">
        <v>2500</v>
      </c>
      <c r="F608" s="25" t="n">
        <v>1500</v>
      </c>
      <c r="G608" s="24" t="s">
        <v>59</v>
      </c>
      <c r="H608" s="24" t="s">
        <v>60</v>
      </c>
      <c r="I608" s="28" t="n">
        <f aca="false">IF(A608="","",D608*E608)</f>
        <v>2500</v>
      </c>
      <c r="J608" s="28" t="n">
        <f aca="false">IF(A608="","",D608*F608)</f>
        <v>1500</v>
      </c>
      <c r="K608" s="26" t="n">
        <f aca="false">IF(A608="","",YEAR(A608))</f>
        <v>2025</v>
      </c>
      <c r="L608" s="26" t="n">
        <f aca="false">IF(A608="","",MONTH(A608))</f>
        <v>12</v>
      </c>
    </row>
    <row r="609" customFormat="false" ht="15" hidden="false" customHeight="false" outlineLevel="0" collapsed="false">
      <c r="A609" s="23" t="n">
        <v>46005.8201388889</v>
      </c>
      <c r="B609" s="24" t="s">
        <v>1081</v>
      </c>
      <c r="C609" s="24" t="s">
        <v>1082</v>
      </c>
      <c r="D609" s="24" t="n">
        <v>3</v>
      </c>
      <c r="E609" s="25" t="n">
        <v>2500</v>
      </c>
      <c r="F609" s="25" t="n">
        <v>1500</v>
      </c>
      <c r="G609" s="24" t="s">
        <v>59</v>
      </c>
      <c r="H609" s="24" t="s">
        <v>60</v>
      </c>
      <c r="I609" s="28" t="n">
        <f aca="false">IF(A609="","",D609*E609)</f>
        <v>7500</v>
      </c>
      <c r="J609" s="28" t="n">
        <f aca="false">IF(A609="","",D609*F609)</f>
        <v>4500</v>
      </c>
      <c r="K609" s="26" t="n">
        <f aca="false">IF(A609="","",YEAR(A609))</f>
        <v>2025</v>
      </c>
      <c r="L609" s="26" t="n">
        <f aca="false">IF(A609="","",MONTH(A609))</f>
        <v>12</v>
      </c>
    </row>
    <row r="610" customFormat="false" ht="15" hidden="false" customHeight="false" outlineLevel="0" collapsed="false">
      <c r="A610" s="23" t="n">
        <v>46005.8833333333</v>
      </c>
      <c r="B610" s="24" t="s">
        <v>1067</v>
      </c>
      <c r="C610" s="24" t="s">
        <v>1068</v>
      </c>
      <c r="D610" s="24" t="n">
        <v>1</v>
      </c>
      <c r="E610" s="25" t="n">
        <v>4000</v>
      </c>
      <c r="F610" s="25" t="n">
        <v>2600</v>
      </c>
      <c r="G610" s="24" t="s">
        <v>69</v>
      </c>
      <c r="H610" s="24" t="s">
        <v>60</v>
      </c>
      <c r="I610" s="28" t="n">
        <f aca="false">IF(A610="","",D610*E610)</f>
        <v>4000</v>
      </c>
      <c r="J610" s="28" t="n">
        <f aca="false">IF(A610="","",D610*F610)</f>
        <v>2600</v>
      </c>
      <c r="K610" s="26" t="n">
        <f aca="false">IF(A610="","",YEAR(A610))</f>
        <v>2025</v>
      </c>
      <c r="L610" s="26" t="n">
        <f aca="false">IF(A610="","",MONTH(A610))</f>
        <v>12</v>
      </c>
    </row>
    <row r="611" customFormat="false" ht="15" hidden="false" customHeight="false" outlineLevel="0" collapsed="false">
      <c r="A611" s="23" t="n">
        <v>46007.5965277778</v>
      </c>
      <c r="B611" s="24" t="s">
        <v>1081</v>
      </c>
      <c r="C611" s="24" t="s">
        <v>1082</v>
      </c>
      <c r="D611" s="24" t="n">
        <v>3</v>
      </c>
      <c r="E611" s="25" t="n">
        <v>2500</v>
      </c>
      <c r="F611" s="25" t="n">
        <v>1500</v>
      </c>
      <c r="G611" s="24" t="s">
        <v>59</v>
      </c>
      <c r="H611" s="24" t="s">
        <v>80</v>
      </c>
      <c r="I611" s="28" t="n">
        <f aca="false">IF(A611="","",D611*E611)</f>
        <v>7500</v>
      </c>
      <c r="J611" s="28" t="n">
        <f aca="false">IF(A611="","",D611*F611)</f>
        <v>4500</v>
      </c>
      <c r="K611" s="26" t="n">
        <f aca="false">IF(A611="","",YEAR(A611))</f>
        <v>2025</v>
      </c>
      <c r="L611" s="26" t="n">
        <f aca="false">IF(A611="","",MONTH(A611))</f>
        <v>12</v>
      </c>
    </row>
    <row r="612" customFormat="false" ht="15" hidden="false" customHeight="false" outlineLevel="0" collapsed="false">
      <c r="A612" s="23" t="n">
        <v>46007.6402777778</v>
      </c>
      <c r="B612" s="24" t="s">
        <v>1071</v>
      </c>
      <c r="C612" s="24" t="s">
        <v>1072</v>
      </c>
      <c r="D612" s="24" t="n">
        <v>1</v>
      </c>
      <c r="E612" s="25" t="n">
        <v>2000</v>
      </c>
      <c r="F612" s="25" t="n">
        <v>1100</v>
      </c>
      <c r="G612" s="24" t="s">
        <v>59</v>
      </c>
      <c r="H612" s="24" t="s">
        <v>55</v>
      </c>
      <c r="I612" s="28" t="n">
        <f aca="false">IF(A612="","",D612*E612)</f>
        <v>2000</v>
      </c>
      <c r="J612" s="28" t="n">
        <f aca="false">IF(A612="","",D612*F612)</f>
        <v>1100</v>
      </c>
      <c r="K612" s="26" t="n">
        <f aca="false">IF(A612="","",YEAR(A612))</f>
        <v>2025</v>
      </c>
      <c r="L612" s="26" t="n">
        <f aca="false">IF(A612="","",MONTH(A612))</f>
        <v>12</v>
      </c>
    </row>
    <row r="613" customFormat="false" ht="15" hidden="false" customHeight="false" outlineLevel="0" collapsed="false">
      <c r="A613" s="23" t="n">
        <v>46007.6597222222</v>
      </c>
      <c r="B613" s="24" t="s">
        <v>1079</v>
      </c>
      <c r="C613" s="24" t="s">
        <v>1080</v>
      </c>
      <c r="D613" s="24" t="n">
        <v>1</v>
      </c>
      <c r="E613" s="25" t="n">
        <v>2500</v>
      </c>
      <c r="F613" s="25" t="n">
        <v>1600</v>
      </c>
      <c r="G613" s="24" t="s">
        <v>69</v>
      </c>
      <c r="H613" s="24" t="s">
        <v>80</v>
      </c>
      <c r="I613" s="28" t="n">
        <f aca="false">IF(A613="","",D613*E613)</f>
        <v>2500</v>
      </c>
      <c r="J613" s="28" t="n">
        <f aca="false">IF(A613="","",D613*F613)</f>
        <v>1600</v>
      </c>
      <c r="K613" s="26" t="n">
        <f aca="false">IF(A613="","",YEAR(A613))</f>
        <v>2025</v>
      </c>
      <c r="L613" s="26" t="n">
        <f aca="false">IF(A613="","",MONTH(A613))</f>
        <v>12</v>
      </c>
    </row>
    <row r="614" customFormat="false" ht="15" hidden="false" customHeight="false" outlineLevel="0" collapsed="false">
      <c r="A614" s="23" t="n">
        <v>46007.7166666667</v>
      </c>
      <c r="B614" s="24" t="s">
        <v>1081</v>
      </c>
      <c r="C614" s="24" t="s">
        <v>1082</v>
      </c>
      <c r="D614" s="24" t="n">
        <v>1</v>
      </c>
      <c r="E614" s="25" t="n">
        <v>2500</v>
      </c>
      <c r="F614" s="25" t="n">
        <v>1500</v>
      </c>
      <c r="G614" s="24" t="s">
        <v>69</v>
      </c>
      <c r="H614" s="24" t="s">
        <v>60</v>
      </c>
      <c r="I614" s="28" t="n">
        <f aca="false">IF(A614="","",D614*E614)</f>
        <v>2500</v>
      </c>
      <c r="J614" s="28" t="n">
        <f aca="false">IF(A614="","",D614*F614)</f>
        <v>1500</v>
      </c>
      <c r="K614" s="26" t="n">
        <f aca="false">IF(A614="","",YEAR(A614))</f>
        <v>2025</v>
      </c>
      <c r="L614" s="26" t="n">
        <f aca="false">IF(A614="","",MONTH(A614))</f>
        <v>12</v>
      </c>
    </row>
    <row r="615" customFormat="false" ht="15" hidden="false" customHeight="false" outlineLevel="0" collapsed="false">
      <c r="A615" s="23" t="n">
        <v>46008.43125</v>
      </c>
      <c r="B615" s="24" t="s">
        <v>1067</v>
      </c>
      <c r="C615" s="24" t="s">
        <v>1068</v>
      </c>
      <c r="D615" s="24" t="n">
        <v>2</v>
      </c>
      <c r="E615" s="25" t="n">
        <v>4000</v>
      </c>
      <c r="F615" s="25" t="n">
        <v>2600</v>
      </c>
      <c r="G615" s="24" t="s">
        <v>69</v>
      </c>
      <c r="H615" s="24" t="s">
        <v>55</v>
      </c>
      <c r="I615" s="28" t="n">
        <f aca="false">IF(A615="","",D615*E615)</f>
        <v>8000</v>
      </c>
      <c r="J615" s="28" t="n">
        <f aca="false">IF(A615="","",D615*F615)</f>
        <v>5200</v>
      </c>
      <c r="K615" s="26" t="n">
        <f aca="false">IF(A615="","",YEAR(A615))</f>
        <v>2025</v>
      </c>
      <c r="L615" s="26" t="n">
        <f aca="false">IF(A615="","",MONTH(A615))</f>
        <v>12</v>
      </c>
    </row>
    <row r="616" customFormat="false" ht="15" hidden="false" customHeight="false" outlineLevel="0" collapsed="false">
      <c r="A616" s="23" t="n">
        <v>46008.61875</v>
      </c>
      <c r="B616" s="24" t="s">
        <v>1069</v>
      </c>
      <c r="C616" s="24" t="s">
        <v>1070</v>
      </c>
      <c r="D616" s="24" t="n">
        <v>1</v>
      </c>
      <c r="E616" s="25" t="n">
        <v>4500</v>
      </c>
      <c r="F616" s="25" t="n">
        <v>3000</v>
      </c>
      <c r="G616" s="24" t="s">
        <v>59</v>
      </c>
      <c r="H616" s="24" t="s">
        <v>55</v>
      </c>
      <c r="I616" s="28" t="n">
        <f aca="false">IF(A616="","",D616*E616)</f>
        <v>4500</v>
      </c>
      <c r="J616" s="28" t="n">
        <f aca="false">IF(A616="","",D616*F616)</f>
        <v>3000</v>
      </c>
      <c r="K616" s="26" t="n">
        <f aca="false">IF(A616="","",YEAR(A616))</f>
        <v>2025</v>
      </c>
      <c r="L616" s="26" t="n">
        <f aca="false">IF(A616="","",MONTH(A616))</f>
        <v>12</v>
      </c>
    </row>
    <row r="617" customFormat="false" ht="15" hidden="false" customHeight="false" outlineLevel="0" collapsed="false">
      <c r="A617" s="23" t="n">
        <v>46008.6395833333</v>
      </c>
      <c r="B617" s="24" t="s">
        <v>1065</v>
      </c>
      <c r="C617" s="24" t="s">
        <v>1066</v>
      </c>
      <c r="D617" s="24" t="n">
        <v>1</v>
      </c>
      <c r="E617" s="25" t="n">
        <v>3000</v>
      </c>
      <c r="F617" s="25" t="n">
        <v>2000</v>
      </c>
      <c r="G617" s="24" t="s">
        <v>69</v>
      </c>
      <c r="H617" s="24" t="s">
        <v>55</v>
      </c>
      <c r="I617" s="28" t="n">
        <f aca="false">IF(A617="","",D617*E617)</f>
        <v>3000</v>
      </c>
      <c r="J617" s="28" t="n">
        <f aca="false">IF(A617="","",D617*F617)</f>
        <v>2000</v>
      </c>
      <c r="K617" s="26" t="n">
        <f aca="false">IF(A617="","",YEAR(A617))</f>
        <v>2025</v>
      </c>
      <c r="L617" s="26" t="n">
        <f aca="false">IF(A617="","",MONTH(A617))</f>
        <v>12</v>
      </c>
    </row>
    <row r="618" customFormat="false" ht="15" hidden="false" customHeight="false" outlineLevel="0" collapsed="false">
      <c r="A618" s="23" t="n">
        <v>46008.7479166667</v>
      </c>
      <c r="B618" s="24" t="s">
        <v>1069</v>
      </c>
      <c r="C618" s="24" t="s">
        <v>1070</v>
      </c>
      <c r="D618" s="24" t="n">
        <v>1</v>
      </c>
      <c r="E618" s="25" t="n">
        <v>4500</v>
      </c>
      <c r="F618" s="25" t="n">
        <v>3000</v>
      </c>
      <c r="G618" s="24" t="s">
        <v>59</v>
      </c>
      <c r="H618" s="24" t="s">
        <v>60</v>
      </c>
      <c r="I618" s="28" t="n">
        <f aca="false">IF(A618="","",D618*E618)</f>
        <v>4500</v>
      </c>
      <c r="J618" s="28" t="n">
        <f aca="false">IF(A618="","",D618*F618)</f>
        <v>3000</v>
      </c>
      <c r="K618" s="26" t="n">
        <f aca="false">IF(A618="","",YEAR(A618))</f>
        <v>2025</v>
      </c>
      <c r="L618" s="26" t="n">
        <f aca="false">IF(A618="","",MONTH(A618))</f>
        <v>12</v>
      </c>
    </row>
    <row r="619" customFormat="false" ht="15" hidden="false" customHeight="false" outlineLevel="0" collapsed="false">
      <c r="A619" s="23" t="n">
        <v>46008.8090277778</v>
      </c>
      <c r="B619" s="24" t="s">
        <v>1081</v>
      </c>
      <c r="C619" s="24" t="s">
        <v>1082</v>
      </c>
      <c r="D619" s="24" t="n">
        <v>1</v>
      </c>
      <c r="E619" s="25" t="n">
        <v>2500</v>
      </c>
      <c r="F619" s="25" t="n">
        <v>1500</v>
      </c>
      <c r="G619" s="24" t="s">
        <v>59</v>
      </c>
      <c r="H619" s="24" t="s">
        <v>80</v>
      </c>
      <c r="I619" s="28" t="n">
        <f aca="false">IF(A619="","",D619*E619)</f>
        <v>2500</v>
      </c>
      <c r="J619" s="28" t="n">
        <f aca="false">IF(A619="","",D619*F619)</f>
        <v>1500</v>
      </c>
      <c r="K619" s="26" t="n">
        <f aca="false">IF(A619="","",YEAR(A619))</f>
        <v>2025</v>
      </c>
      <c r="L619" s="26" t="n">
        <f aca="false">IF(A619="","",MONTH(A619))</f>
        <v>12</v>
      </c>
    </row>
    <row r="620" customFormat="false" ht="15" hidden="false" customHeight="false" outlineLevel="0" collapsed="false">
      <c r="A620" s="23" t="n">
        <v>46009.5659722222</v>
      </c>
      <c r="B620" s="24" t="s">
        <v>1071</v>
      </c>
      <c r="C620" s="24" t="s">
        <v>1072</v>
      </c>
      <c r="D620" s="24" t="n">
        <v>1</v>
      </c>
      <c r="E620" s="25" t="n">
        <v>2000</v>
      </c>
      <c r="F620" s="25" t="n">
        <v>1100</v>
      </c>
      <c r="G620" s="24" t="s">
        <v>59</v>
      </c>
      <c r="H620" s="24" t="s">
        <v>60</v>
      </c>
      <c r="I620" s="28" t="n">
        <f aca="false">IF(A620="","",D620*E620)</f>
        <v>2000</v>
      </c>
      <c r="J620" s="28" t="n">
        <f aca="false">IF(A620="","",D620*F620)</f>
        <v>1100</v>
      </c>
      <c r="K620" s="26" t="n">
        <f aca="false">IF(A620="","",YEAR(A620))</f>
        <v>2025</v>
      </c>
      <c r="L620" s="26" t="n">
        <f aca="false">IF(A620="","",MONTH(A620))</f>
        <v>12</v>
      </c>
    </row>
    <row r="621" customFormat="false" ht="15" hidden="false" customHeight="false" outlineLevel="0" collapsed="false">
      <c r="A621" s="23" t="n">
        <v>46010.6909722222</v>
      </c>
      <c r="B621" s="24" t="s">
        <v>1077</v>
      </c>
      <c r="C621" s="24" t="s">
        <v>1078</v>
      </c>
      <c r="D621" s="24" t="n">
        <v>1</v>
      </c>
      <c r="E621" s="25" t="n">
        <v>1500</v>
      </c>
      <c r="F621" s="25" t="n">
        <v>900</v>
      </c>
      <c r="G621" s="24" t="s">
        <v>59</v>
      </c>
      <c r="H621" s="24" t="s">
        <v>80</v>
      </c>
      <c r="I621" s="28" t="n">
        <f aca="false">IF(A621="","",D621*E621)</f>
        <v>1500</v>
      </c>
      <c r="J621" s="28" t="n">
        <f aca="false">IF(A621="","",D621*F621)</f>
        <v>900</v>
      </c>
      <c r="K621" s="26" t="n">
        <f aca="false">IF(A621="","",YEAR(A621))</f>
        <v>2025</v>
      </c>
      <c r="L621" s="26" t="n">
        <f aca="false">IF(A621="","",MONTH(A621))</f>
        <v>12</v>
      </c>
    </row>
    <row r="622" customFormat="false" ht="15" hidden="false" customHeight="false" outlineLevel="0" collapsed="false">
      <c r="A622" s="23" t="n">
        <v>46010.7354166667</v>
      </c>
      <c r="B622" s="24" t="s">
        <v>1071</v>
      </c>
      <c r="C622" s="24" t="s">
        <v>1072</v>
      </c>
      <c r="D622" s="24" t="n">
        <v>2</v>
      </c>
      <c r="E622" s="25" t="n">
        <v>2000</v>
      </c>
      <c r="F622" s="25" t="n">
        <v>1100</v>
      </c>
      <c r="G622" s="24" t="s">
        <v>59</v>
      </c>
      <c r="H622" s="24" t="s">
        <v>60</v>
      </c>
      <c r="I622" s="28" t="n">
        <f aca="false">IF(A622="","",D622*E622)</f>
        <v>4000</v>
      </c>
      <c r="J622" s="28" t="n">
        <f aca="false">IF(A622="","",D622*F622)</f>
        <v>2200</v>
      </c>
      <c r="K622" s="26" t="n">
        <f aca="false">IF(A622="","",YEAR(A622))</f>
        <v>2025</v>
      </c>
      <c r="L622" s="26" t="n">
        <f aca="false">IF(A622="","",MONTH(A622))</f>
        <v>12</v>
      </c>
    </row>
    <row r="623" customFormat="false" ht="15" hidden="false" customHeight="false" outlineLevel="0" collapsed="false">
      <c r="A623" s="23" t="n">
        <v>46011.4305555556</v>
      </c>
      <c r="B623" s="24" t="s">
        <v>1079</v>
      </c>
      <c r="C623" s="24" t="s">
        <v>1080</v>
      </c>
      <c r="D623" s="24" t="n">
        <v>3</v>
      </c>
      <c r="E623" s="25" t="n">
        <v>2500</v>
      </c>
      <c r="F623" s="25" t="n">
        <v>1600</v>
      </c>
      <c r="G623" s="24" t="s">
        <v>59</v>
      </c>
      <c r="H623" s="24" t="s">
        <v>80</v>
      </c>
      <c r="I623" s="28" t="n">
        <f aca="false">IF(A623="","",D623*E623)</f>
        <v>7500</v>
      </c>
      <c r="J623" s="28" t="n">
        <f aca="false">IF(A623="","",D623*F623)</f>
        <v>4800</v>
      </c>
      <c r="K623" s="26" t="n">
        <f aca="false">IF(A623="","",YEAR(A623))</f>
        <v>2025</v>
      </c>
      <c r="L623" s="26" t="n">
        <f aca="false">IF(A623="","",MONTH(A623))</f>
        <v>12</v>
      </c>
    </row>
    <row r="624" customFormat="false" ht="15" hidden="false" customHeight="false" outlineLevel="0" collapsed="false">
      <c r="A624" s="23" t="n">
        <v>46011.5743055556</v>
      </c>
      <c r="B624" s="24" t="s">
        <v>1081</v>
      </c>
      <c r="C624" s="24" t="s">
        <v>1082</v>
      </c>
      <c r="D624" s="24" t="n">
        <v>1</v>
      </c>
      <c r="E624" s="25" t="n">
        <v>2500</v>
      </c>
      <c r="F624" s="25" t="n">
        <v>1500</v>
      </c>
      <c r="G624" s="24" t="s">
        <v>59</v>
      </c>
      <c r="H624" s="24" t="s">
        <v>55</v>
      </c>
      <c r="I624" s="28" t="n">
        <f aca="false">IF(A624="","",D624*E624)</f>
        <v>2500</v>
      </c>
      <c r="J624" s="28" t="n">
        <f aca="false">IF(A624="","",D624*F624)</f>
        <v>1500</v>
      </c>
      <c r="K624" s="26" t="n">
        <f aca="false">IF(A624="","",YEAR(A624))</f>
        <v>2025</v>
      </c>
      <c r="L624" s="26" t="n">
        <f aca="false">IF(A624="","",MONTH(A624))</f>
        <v>12</v>
      </c>
    </row>
    <row r="625" customFormat="false" ht="15" hidden="false" customHeight="false" outlineLevel="0" collapsed="false">
      <c r="A625" s="23" t="n">
        <v>46011.6548611111</v>
      </c>
      <c r="B625" s="24" t="s">
        <v>1071</v>
      </c>
      <c r="C625" s="24" t="s">
        <v>1072</v>
      </c>
      <c r="D625" s="24" t="n">
        <v>1</v>
      </c>
      <c r="E625" s="25" t="n">
        <v>2000</v>
      </c>
      <c r="F625" s="25" t="n">
        <v>1100</v>
      </c>
      <c r="G625" s="24" t="s">
        <v>59</v>
      </c>
      <c r="H625" s="24" t="s">
        <v>55</v>
      </c>
      <c r="I625" s="28" t="n">
        <f aca="false">IF(A625="","",D625*E625)</f>
        <v>2000</v>
      </c>
      <c r="J625" s="28" t="n">
        <f aca="false">IF(A625="","",D625*F625)</f>
        <v>1100</v>
      </c>
      <c r="K625" s="26" t="n">
        <f aca="false">IF(A625="","",YEAR(A625))</f>
        <v>2025</v>
      </c>
      <c r="L625" s="26" t="n">
        <f aca="false">IF(A625="","",MONTH(A625))</f>
        <v>12</v>
      </c>
    </row>
    <row r="626" customFormat="false" ht="15" hidden="false" customHeight="false" outlineLevel="0" collapsed="false">
      <c r="A626" s="23" t="n">
        <v>46012.3743055556</v>
      </c>
      <c r="B626" s="24" t="s">
        <v>1077</v>
      </c>
      <c r="C626" s="24" t="s">
        <v>1078</v>
      </c>
      <c r="D626" s="24" t="n">
        <v>1</v>
      </c>
      <c r="E626" s="25" t="n">
        <v>1500</v>
      </c>
      <c r="F626" s="25" t="n">
        <v>900</v>
      </c>
      <c r="G626" s="24" t="s">
        <v>59</v>
      </c>
      <c r="H626" s="24" t="s">
        <v>80</v>
      </c>
      <c r="I626" s="28" t="n">
        <f aca="false">IF(A626="","",D626*E626)</f>
        <v>1500</v>
      </c>
      <c r="J626" s="28" t="n">
        <f aca="false">IF(A626="","",D626*F626)</f>
        <v>900</v>
      </c>
      <c r="K626" s="26" t="n">
        <f aca="false">IF(A626="","",YEAR(A626))</f>
        <v>2025</v>
      </c>
      <c r="L626" s="26" t="n">
        <f aca="false">IF(A626="","",MONTH(A626))</f>
        <v>12</v>
      </c>
    </row>
    <row r="627" customFormat="false" ht="15" hidden="false" customHeight="false" outlineLevel="0" collapsed="false">
      <c r="A627" s="23" t="n">
        <v>46012.3819444445</v>
      </c>
      <c r="B627" s="24" t="s">
        <v>1079</v>
      </c>
      <c r="C627" s="24" t="s">
        <v>1080</v>
      </c>
      <c r="D627" s="24" t="n">
        <v>1</v>
      </c>
      <c r="E627" s="25" t="n">
        <v>2500</v>
      </c>
      <c r="F627" s="25" t="n">
        <v>1600</v>
      </c>
      <c r="G627" s="24" t="s">
        <v>59</v>
      </c>
      <c r="H627" s="24" t="s">
        <v>80</v>
      </c>
      <c r="I627" s="28" t="n">
        <f aca="false">IF(A627="","",D627*E627)</f>
        <v>2500</v>
      </c>
      <c r="J627" s="28" t="n">
        <f aca="false">IF(A627="","",D627*F627)</f>
        <v>1600</v>
      </c>
      <c r="K627" s="26" t="n">
        <f aca="false">IF(A627="","",YEAR(A627))</f>
        <v>2025</v>
      </c>
      <c r="L627" s="26" t="n">
        <f aca="false">IF(A627="","",MONTH(A627))</f>
        <v>12</v>
      </c>
    </row>
    <row r="628" customFormat="false" ht="15" hidden="false" customHeight="false" outlineLevel="0" collapsed="false">
      <c r="A628" s="23" t="n">
        <v>46012.4541666667</v>
      </c>
      <c r="B628" s="24" t="s">
        <v>1065</v>
      </c>
      <c r="C628" s="24" t="s">
        <v>1066</v>
      </c>
      <c r="D628" s="24" t="n">
        <v>1</v>
      </c>
      <c r="E628" s="25" t="n">
        <v>3000</v>
      </c>
      <c r="F628" s="25" t="n">
        <v>2000</v>
      </c>
      <c r="G628" s="24" t="s">
        <v>59</v>
      </c>
      <c r="H628" s="24" t="s">
        <v>80</v>
      </c>
      <c r="I628" s="28" t="n">
        <f aca="false">IF(A628="","",D628*E628)</f>
        <v>3000</v>
      </c>
      <c r="J628" s="28" t="n">
        <f aca="false">IF(A628="","",D628*F628)</f>
        <v>2000</v>
      </c>
      <c r="K628" s="26" t="n">
        <f aca="false">IF(A628="","",YEAR(A628))</f>
        <v>2025</v>
      </c>
      <c r="L628" s="26" t="n">
        <f aca="false">IF(A628="","",MONTH(A628))</f>
        <v>12</v>
      </c>
    </row>
    <row r="629" customFormat="false" ht="15" hidden="false" customHeight="false" outlineLevel="0" collapsed="false">
      <c r="A629" s="23" t="n">
        <v>46013.3381944444</v>
      </c>
      <c r="B629" s="24" t="s">
        <v>1067</v>
      </c>
      <c r="C629" s="24" t="s">
        <v>1068</v>
      </c>
      <c r="D629" s="24" t="n">
        <v>3</v>
      </c>
      <c r="E629" s="25" t="n">
        <v>4000</v>
      </c>
      <c r="F629" s="25" t="n">
        <v>2600</v>
      </c>
      <c r="G629" s="24" t="s">
        <v>69</v>
      </c>
      <c r="H629" s="24" t="s">
        <v>60</v>
      </c>
      <c r="I629" s="28" t="n">
        <f aca="false">IF(A629="","",D629*E629)</f>
        <v>12000</v>
      </c>
      <c r="J629" s="28" t="n">
        <f aca="false">IF(A629="","",D629*F629)</f>
        <v>7800</v>
      </c>
      <c r="K629" s="26" t="n">
        <f aca="false">IF(A629="","",YEAR(A629))</f>
        <v>2025</v>
      </c>
      <c r="L629" s="26" t="n">
        <f aca="false">IF(A629="","",MONTH(A629))</f>
        <v>12</v>
      </c>
    </row>
    <row r="630" customFormat="false" ht="15" hidden="false" customHeight="false" outlineLevel="0" collapsed="false">
      <c r="A630" s="23" t="n">
        <v>46013.4388888889</v>
      </c>
      <c r="B630" s="24" t="s">
        <v>1069</v>
      </c>
      <c r="C630" s="24" t="s">
        <v>1070</v>
      </c>
      <c r="D630" s="24" t="n">
        <v>3</v>
      </c>
      <c r="E630" s="25" t="n">
        <v>4500</v>
      </c>
      <c r="F630" s="25" t="n">
        <v>3000</v>
      </c>
      <c r="G630" s="24" t="s">
        <v>59</v>
      </c>
      <c r="H630" s="24" t="s">
        <v>60</v>
      </c>
      <c r="I630" s="28" t="n">
        <f aca="false">IF(A630="","",D630*E630)</f>
        <v>13500</v>
      </c>
      <c r="J630" s="28" t="n">
        <f aca="false">IF(A630="","",D630*F630)</f>
        <v>9000</v>
      </c>
      <c r="K630" s="26" t="n">
        <f aca="false">IF(A630="","",YEAR(A630))</f>
        <v>2025</v>
      </c>
      <c r="L630" s="26" t="n">
        <f aca="false">IF(A630="","",MONTH(A630))</f>
        <v>12</v>
      </c>
    </row>
    <row r="631" customFormat="false" ht="15" hidden="false" customHeight="false" outlineLevel="0" collapsed="false">
      <c r="A631" s="23" t="n">
        <v>46013.6902777778</v>
      </c>
      <c r="B631" s="24" t="s">
        <v>1069</v>
      </c>
      <c r="C631" s="24" t="s">
        <v>1070</v>
      </c>
      <c r="D631" s="24" t="n">
        <v>1</v>
      </c>
      <c r="E631" s="25" t="n">
        <v>4500</v>
      </c>
      <c r="F631" s="25" t="n">
        <v>3000</v>
      </c>
      <c r="G631" s="24" t="s">
        <v>59</v>
      </c>
      <c r="H631" s="24" t="s">
        <v>60</v>
      </c>
      <c r="I631" s="28" t="n">
        <f aca="false">IF(A631="","",D631*E631)</f>
        <v>4500</v>
      </c>
      <c r="J631" s="28" t="n">
        <f aca="false">IF(A631="","",D631*F631)</f>
        <v>3000</v>
      </c>
      <c r="K631" s="26" t="n">
        <f aca="false">IF(A631="","",YEAR(A631))</f>
        <v>2025</v>
      </c>
      <c r="L631" s="26" t="n">
        <f aca="false">IF(A631="","",MONTH(A631))</f>
        <v>12</v>
      </c>
    </row>
    <row r="632" customFormat="false" ht="15" hidden="false" customHeight="false" outlineLevel="0" collapsed="false">
      <c r="A632" s="23" t="n">
        <v>46013.7729166667</v>
      </c>
      <c r="B632" s="24" t="s">
        <v>1079</v>
      </c>
      <c r="C632" s="24" t="s">
        <v>1080</v>
      </c>
      <c r="D632" s="24" t="n">
        <v>1</v>
      </c>
      <c r="E632" s="25" t="n">
        <v>2500</v>
      </c>
      <c r="F632" s="25" t="n">
        <v>1600</v>
      </c>
      <c r="G632" s="24" t="s">
        <v>59</v>
      </c>
      <c r="H632" s="24" t="s">
        <v>55</v>
      </c>
      <c r="I632" s="28" t="n">
        <f aca="false">IF(A632="","",D632*E632)</f>
        <v>2500</v>
      </c>
      <c r="J632" s="28" t="n">
        <f aca="false">IF(A632="","",D632*F632)</f>
        <v>1600</v>
      </c>
      <c r="K632" s="26" t="n">
        <f aca="false">IF(A632="","",YEAR(A632))</f>
        <v>2025</v>
      </c>
      <c r="L632" s="26" t="n">
        <f aca="false">IF(A632="","",MONTH(A632))</f>
        <v>12</v>
      </c>
    </row>
    <row r="633" customFormat="false" ht="15" hidden="false" customHeight="false" outlineLevel="0" collapsed="false">
      <c r="A633" s="23" t="n">
        <v>46013.8215277778</v>
      </c>
      <c r="B633" s="24" t="s">
        <v>1077</v>
      </c>
      <c r="C633" s="24" t="s">
        <v>1078</v>
      </c>
      <c r="D633" s="24" t="n">
        <v>1</v>
      </c>
      <c r="E633" s="25" t="n">
        <v>1500</v>
      </c>
      <c r="F633" s="25" t="n">
        <v>900</v>
      </c>
      <c r="G633" s="24" t="s">
        <v>59</v>
      </c>
      <c r="H633" s="24" t="s">
        <v>60</v>
      </c>
      <c r="I633" s="28" t="n">
        <f aca="false">IF(A633="","",D633*E633)</f>
        <v>1500</v>
      </c>
      <c r="J633" s="28" t="n">
        <f aca="false">IF(A633="","",D633*F633)</f>
        <v>900</v>
      </c>
      <c r="K633" s="26" t="n">
        <f aca="false">IF(A633="","",YEAR(A633))</f>
        <v>2025</v>
      </c>
      <c r="L633" s="26" t="n">
        <f aca="false">IF(A633="","",MONTH(A633))</f>
        <v>12</v>
      </c>
    </row>
    <row r="634" customFormat="false" ht="15" hidden="false" customHeight="false" outlineLevel="0" collapsed="false">
      <c r="A634" s="23" t="n">
        <v>46014.5104166667</v>
      </c>
      <c r="B634" s="24" t="s">
        <v>1073</v>
      </c>
      <c r="C634" s="24" t="s">
        <v>1074</v>
      </c>
      <c r="D634" s="24" t="n">
        <v>1</v>
      </c>
      <c r="E634" s="25" t="n">
        <v>7000</v>
      </c>
      <c r="F634" s="25" t="n">
        <v>4800</v>
      </c>
      <c r="G634" s="24" t="s">
        <v>59</v>
      </c>
      <c r="H634" s="24" t="s">
        <v>60</v>
      </c>
      <c r="I634" s="28" t="n">
        <f aca="false">IF(A634="","",D634*E634)</f>
        <v>7000</v>
      </c>
      <c r="J634" s="28" t="n">
        <f aca="false">IF(A634="","",D634*F634)</f>
        <v>4800</v>
      </c>
      <c r="K634" s="26" t="n">
        <f aca="false">IF(A634="","",YEAR(A634))</f>
        <v>2025</v>
      </c>
      <c r="L634" s="26" t="n">
        <f aca="false">IF(A634="","",MONTH(A634))</f>
        <v>12</v>
      </c>
    </row>
    <row r="635" customFormat="false" ht="15" hidden="false" customHeight="false" outlineLevel="0" collapsed="false">
      <c r="A635" s="23" t="n">
        <v>46014.7763888889</v>
      </c>
      <c r="B635" s="24" t="s">
        <v>1067</v>
      </c>
      <c r="C635" s="24" t="s">
        <v>1068</v>
      </c>
      <c r="D635" s="24" t="n">
        <v>1</v>
      </c>
      <c r="E635" s="25" t="n">
        <v>4000</v>
      </c>
      <c r="F635" s="25" t="n">
        <v>2600</v>
      </c>
      <c r="G635" s="24" t="s">
        <v>59</v>
      </c>
      <c r="H635" s="24" t="s">
        <v>80</v>
      </c>
      <c r="I635" s="28" t="n">
        <f aca="false">IF(A635="","",D635*E635)</f>
        <v>4000</v>
      </c>
      <c r="J635" s="28" t="n">
        <f aca="false">IF(A635="","",D635*F635)</f>
        <v>2600</v>
      </c>
      <c r="K635" s="26" t="n">
        <f aca="false">IF(A635="","",YEAR(A635))</f>
        <v>2025</v>
      </c>
      <c r="L635" s="26" t="n">
        <f aca="false">IF(A635="","",MONTH(A635))</f>
        <v>12</v>
      </c>
    </row>
    <row r="636" customFormat="false" ht="15" hidden="false" customHeight="false" outlineLevel="0" collapsed="false">
      <c r="A636" s="23" t="n">
        <v>46015.59375</v>
      </c>
      <c r="B636" s="24" t="s">
        <v>1071</v>
      </c>
      <c r="C636" s="24" t="s">
        <v>1072</v>
      </c>
      <c r="D636" s="24" t="n">
        <v>3</v>
      </c>
      <c r="E636" s="25" t="n">
        <v>2000</v>
      </c>
      <c r="F636" s="25" t="n">
        <v>1100</v>
      </c>
      <c r="G636" s="24" t="s">
        <v>59</v>
      </c>
      <c r="H636" s="24" t="s">
        <v>80</v>
      </c>
      <c r="I636" s="28" t="n">
        <f aca="false">IF(A636="","",D636*E636)</f>
        <v>6000</v>
      </c>
      <c r="J636" s="28" t="n">
        <f aca="false">IF(A636="","",D636*F636)</f>
        <v>3300</v>
      </c>
      <c r="K636" s="26" t="n">
        <f aca="false">IF(A636="","",YEAR(A636))</f>
        <v>2025</v>
      </c>
      <c r="L636" s="26" t="n">
        <f aca="false">IF(A636="","",MONTH(A636))</f>
        <v>12</v>
      </c>
    </row>
    <row r="637" customFormat="false" ht="15" hidden="false" customHeight="false" outlineLevel="0" collapsed="false">
      <c r="A637" s="23" t="n">
        <v>46015.6756944444</v>
      </c>
      <c r="B637" s="24" t="s">
        <v>1067</v>
      </c>
      <c r="C637" s="24" t="s">
        <v>1068</v>
      </c>
      <c r="D637" s="24" t="n">
        <v>1</v>
      </c>
      <c r="E637" s="25" t="n">
        <v>4000</v>
      </c>
      <c r="F637" s="25" t="n">
        <v>2600</v>
      </c>
      <c r="G637" s="24" t="s">
        <v>59</v>
      </c>
      <c r="H637" s="24" t="s">
        <v>55</v>
      </c>
      <c r="I637" s="28" t="n">
        <f aca="false">IF(A637="","",D637*E637)</f>
        <v>4000</v>
      </c>
      <c r="J637" s="28" t="n">
        <f aca="false">IF(A637="","",D637*F637)</f>
        <v>2600</v>
      </c>
      <c r="K637" s="26" t="n">
        <f aca="false">IF(A637="","",YEAR(A637))</f>
        <v>2025</v>
      </c>
      <c r="L637" s="26" t="n">
        <f aca="false">IF(A637="","",MONTH(A637))</f>
        <v>12</v>
      </c>
    </row>
    <row r="638" customFormat="false" ht="15" hidden="false" customHeight="false" outlineLevel="0" collapsed="false">
      <c r="A638" s="23" t="n">
        <v>46015.8340277778</v>
      </c>
      <c r="B638" s="24" t="s">
        <v>1065</v>
      </c>
      <c r="C638" s="24" t="s">
        <v>1066</v>
      </c>
      <c r="D638" s="24" t="n">
        <v>1</v>
      </c>
      <c r="E638" s="25" t="n">
        <v>3000</v>
      </c>
      <c r="F638" s="25" t="n">
        <v>2000</v>
      </c>
      <c r="G638" s="24" t="s">
        <v>69</v>
      </c>
      <c r="H638" s="24" t="s">
        <v>60</v>
      </c>
      <c r="I638" s="28" t="n">
        <f aca="false">IF(A638="","",D638*E638)</f>
        <v>3000</v>
      </c>
      <c r="J638" s="28" t="n">
        <f aca="false">IF(A638="","",D638*F638)</f>
        <v>2000</v>
      </c>
      <c r="K638" s="26" t="n">
        <f aca="false">IF(A638="","",YEAR(A638))</f>
        <v>2025</v>
      </c>
      <c r="L638" s="26" t="n">
        <f aca="false">IF(A638="","",MONTH(A638))</f>
        <v>12</v>
      </c>
    </row>
    <row r="639" customFormat="false" ht="15" hidden="false" customHeight="false" outlineLevel="0" collapsed="false">
      <c r="A639" s="23" t="n">
        <v>46016.3958333333</v>
      </c>
      <c r="B639" s="24" t="s">
        <v>1073</v>
      </c>
      <c r="C639" s="24" t="s">
        <v>1074</v>
      </c>
      <c r="D639" s="24" t="n">
        <v>1</v>
      </c>
      <c r="E639" s="25" t="n">
        <v>7000</v>
      </c>
      <c r="F639" s="25" t="n">
        <v>4800</v>
      </c>
      <c r="G639" s="24" t="s">
        <v>59</v>
      </c>
      <c r="H639" s="24" t="s">
        <v>60</v>
      </c>
      <c r="I639" s="28" t="n">
        <f aca="false">IF(A639="","",D639*E639)</f>
        <v>7000</v>
      </c>
      <c r="J639" s="28" t="n">
        <f aca="false">IF(A639="","",D639*F639)</f>
        <v>4800</v>
      </c>
      <c r="K639" s="26" t="n">
        <f aca="false">IF(A639="","",YEAR(A639))</f>
        <v>2025</v>
      </c>
      <c r="L639" s="26" t="n">
        <f aca="false">IF(A639="","",MONTH(A639))</f>
        <v>12</v>
      </c>
    </row>
    <row r="640" customFormat="false" ht="15" hidden="false" customHeight="false" outlineLevel="0" collapsed="false">
      <c r="A640" s="23" t="n">
        <v>46016.4520833333</v>
      </c>
      <c r="B640" s="24" t="s">
        <v>1067</v>
      </c>
      <c r="C640" s="24" t="s">
        <v>1068</v>
      </c>
      <c r="D640" s="24" t="n">
        <v>1</v>
      </c>
      <c r="E640" s="25" t="n">
        <v>4000</v>
      </c>
      <c r="F640" s="25" t="n">
        <v>2600</v>
      </c>
      <c r="G640" s="24" t="s">
        <v>59</v>
      </c>
      <c r="H640" s="24" t="s">
        <v>60</v>
      </c>
      <c r="I640" s="28" t="n">
        <f aca="false">IF(A640="","",D640*E640)</f>
        <v>4000</v>
      </c>
      <c r="J640" s="28" t="n">
        <f aca="false">IF(A640="","",D640*F640)</f>
        <v>2600</v>
      </c>
      <c r="K640" s="26" t="n">
        <f aca="false">IF(A640="","",YEAR(A640))</f>
        <v>2025</v>
      </c>
      <c r="L640" s="26" t="n">
        <f aca="false">IF(A640="","",MONTH(A640))</f>
        <v>12</v>
      </c>
    </row>
    <row r="641" customFormat="false" ht="15" hidden="false" customHeight="false" outlineLevel="0" collapsed="false">
      <c r="A641" s="23" t="n">
        <v>46016.4638888889</v>
      </c>
      <c r="B641" s="24" t="s">
        <v>1081</v>
      </c>
      <c r="C641" s="24" t="s">
        <v>1082</v>
      </c>
      <c r="D641" s="24" t="n">
        <v>3</v>
      </c>
      <c r="E641" s="25" t="n">
        <v>2500</v>
      </c>
      <c r="F641" s="25" t="n">
        <v>1500</v>
      </c>
      <c r="G641" s="24" t="s">
        <v>59</v>
      </c>
      <c r="H641" s="24" t="s">
        <v>80</v>
      </c>
      <c r="I641" s="28" t="n">
        <f aca="false">IF(A641="","",D641*E641)</f>
        <v>7500</v>
      </c>
      <c r="J641" s="28" t="n">
        <f aca="false">IF(A641="","",D641*F641)</f>
        <v>4500</v>
      </c>
      <c r="K641" s="26" t="n">
        <f aca="false">IF(A641="","",YEAR(A641))</f>
        <v>2025</v>
      </c>
      <c r="L641" s="26" t="n">
        <f aca="false">IF(A641="","",MONTH(A641))</f>
        <v>12</v>
      </c>
    </row>
    <row r="642" customFormat="false" ht="15" hidden="false" customHeight="false" outlineLevel="0" collapsed="false">
      <c r="A642" s="23" t="n">
        <v>46016.5423611111</v>
      </c>
      <c r="B642" s="24" t="s">
        <v>1081</v>
      </c>
      <c r="C642" s="24" t="s">
        <v>1082</v>
      </c>
      <c r="D642" s="24" t="n">
        <v>2</v>
      </c>
      <c r="E642" s="25" t="n">
        <v>2500</v>
      </c>
      <c r="F642" s="25" t="n">
        <v>1500</v>
      </c>
      <c r="G642" s="24" t="s">
        <v>59</v>
      </c>
      <c r="H642" s="24" t="s">
        <v>80</v>
      </c>
      <c r="I642" s="28" t="n">
        <f aca="false">IF(A642="","",D642*E642)</f>
        <v>5000</v>
      </c>
      <c r="J642" s="28" t="n">
        <f aca="false">IF(A642="","",D642*F642)</f>
        <v>3000</v>
      </c>
      <c r="K642" s="26" t="n">
        <f aca="false">IF(A642="","",YEAR(A642))</f>
        <v>2025</v>
      </c>
      <c r="L642" s="26" t="n">
        <f aca="false">IF(A642="","",MONTH(A642))</f>
        <v>12</v>
      </c>
    </row>
    <row r="643" customFormat="false" ht="15" hidden="false" customHeight="false" outlineLevel="0" collapsed="false">
      <c r="A643" s="23" t="n">
        <v>46016.5840277778</v>
      </c>
      <c r="B643" s="24" t="s">
        <v>1079</v>
      </c>
      <c r="C643" s="24" t="s">
        <v>1080</v>
      </c>
      <c r="D643" s="24" t="n">
        <v>1</v>
      </c>
      <c r="E643" s="25" t="n">
        <v>2500</v>
      </c>
      <c r="F643" s="25" t="n">
        <v>1600</v>
      </c>
      <c r="G643" s="24" t="s">
        <v>59</v>
      </c>
      <c r="H643" s="24" t="s">
        <v>80</v>
      </c>
      <c r="I643" s="28" t="n">
        <f aca="false">IF(A643="","",D643*E643)</f>
        <v>2500</v>
      </c>
      <c r="J643" s="28" t="n">
        <f aca="false">IF(A643="","",D643*F643)</f>
        <v>1600</v>
      </c>
      <c r="K643" s="26" t="n">
        <f aca="false">IF(A643="","",YEAR(A643))</f>
        <v>2025</v>
      </c>
      <c r="L643" s="26" t="n">
        <f aca="false">IF(A643="","",MONTH(A643))</f>
        <v>12</v>
      </c>
    </row>
    <row r="644" customFormat="false" ht="15" hidden="false" customHeight="false" outlineLevel="0" collapsed="false">
      <c r="A644" s="23" t="n">
        <v>46016.7833333333</v>
      </c>
      <c r="B644" s="24" t="s">
        <v>1073</v>
      </c>
      <c r="C644" s="24" t="s">
        <v>1074</v>
      </c>
      <c r="D644" s="24" t="n">
        <v>1</v>
      </c>
      <c r="E644" s="25" t="n">
        <v>7000</v>
      </c>
      <c r="F644" s="25" t="n">
        <v>4800</v>
      </c>
      <c r="G644" s="24" t="s">
        <v>69</v>
      </c>
      <c r="H644" s="24" t="s">
        <v>60</v>
      </c>
      <c r="I644" s="28" t="n">
        <f aca="false">IF(A644="","",D644*E644)</f>
        <v>7000</v>
      </c>
      <c r="J644" s="28" t="n">
        <f aca="false">IF(A644="","",D644*F644)</f>
        <v>4800</v>
      </c>
      <c r="K644" s="26" t="n">
        <f aca="false">IF(A644="","",YEAR(A644))</f>
        <v>2025</v>
      </c>
      <c r="L644" s="26" t="n">
        <f aca="false">IF(A644="","",MONTH(A644))</f>
        <v>12</v>
      </c>
    </row>
    <row r="645" customFormat="false" ht="15" hidden="false" customHeight="false" outlineLevel="0" collapsed="false">
      <c r="A645" s="23" t="n">
        <v>46016.8347222222</v>
      </c>
      <c r="B645" s="24" t="s">
        <v>1069</v>
      </c>
      <c r="C645" s="24" t="s">
        <v>1070</v>
      </c>
      <c r="D645" s="24" t="n">
        <v>1</v>
      </c>
      <c r="E645" s="25" t="n">
        <v>4500</v>
      </c>
      <c r="F645" s="25" t="n">
        <v>3000</v>
      </c>
      <c r="G645" s="24" t="s">
        <v>59</v>
      </c>
      <c r="H645" s="24" t="s">
        <v>55</v>
      </c>
      <c r="I645" s="28" t="n">
        <f aca="false">IF(A645="","",D645*E645)</f>
        <v>4500</v>
      </c>
      <c r="J645" s="28" t="n">
        <f aca="false">IF(A645="","",D645*F645)</f>
        <v>3000</v>
      </c>
      <c r="K645" s="26" t="n">
        <f aca="false">IF(A645="","",YEAR(A645))</f>
        <v>2025</v>
      </c>
      <c r="L645" s="26" t="n">
        <f aca="false">IF(A645="","",MONTH(A645))</f>
        <v>12</v>
      </c>
    </row>
    <row r="646" customFormat="false" ht="15" hidden="false" customHeight="false" outlineLevel="0" collapsed="false">
      <c r="A646" s="23" t="n">
        <v>46017.4444444445</v>
      </c>
      <c r="B646" s="24" t="s">
        <v>1067</v>
      </c>
      <c r="C646" s="24" t="s">
        <v>1068</v>
      </c>
      <c r="D646" s="24" t="n">
        <v>3</v>
      </c>
      <c r="E646" s="25" t="n">
        <v>4000</v>
      </c>
      <c r="F646" s="25" t="n">
        <v>2600</v>
      </c>
      <c r="G646" s="24" t="s">
        <v>59</v>
      </c>
      <c r="H646" s="24" t="s">
        <v>55</v>
      </c>
      <c r="I646" s="28" t="n">
        <f aca="false">IF(A646="","",D646*E646)</f>
        <v>12000</v>
      </c>
      <c r="J646" s="28" t="n">
        <f aca="false">IF(A646="","",D646*F646)</f>
        <v>7800</v>
      </c>
      <c r="K646" s="26" t="n">
        <f aca="false">IF(A646="","",YEAR(A646))</f>
        <v>2025</v>
      </c>
      <c r="L646" s="26" t="n">
        <f aca="false">IF(A646="","",MONTH(A646))</f>
        <v>12</v>
      </c>
    </row>
    <row r="647" customFormat="false" ht="15" hidden="false" customHeight="false" outlineLevel="0" collapsed="false">
      <c r="A647" s="23" t="n">
        <v>46017.6430555556</v>
      </c>
      <c r="B647" s="24" t="s">
        <v>1065</v>
      </c>
      <c r="C647" s="24" t="s">
        <v>1066</v>
      </c>
      <c r="D647" s="24" t="n">
        <v>1</v>
      </c>
      <c r="E647" s="25" t="n">
        <v>3000</v>
      </c>
      <c r="F647" s="25" t="n">
        <v>2000</v>
      </c>
      <c r="G647" s="24" t="s">
        <v>59</v>
      </c>
      <c r="H647" s="24" t="s">
        <v>55</v>
      </c>
      <c r="I647" s="28" t="n">
        <f aca="false">IF(A647="","",D647*E647)</f>
        <v>3000</v>
      </c>
      <c r="J647" s="28" t="n">
        <f aca="false">IF(A647="","",D647*F647)</f>
        <v>2000</v>
      </c>
      <c r="K647" s="26" t="n">
        <f aca="false">IF(A647="","",YEAR(A647))</f>
        <v>2025</v>
      </c>
      <c r="L647" s="26" t="n">
        <f aca="false">IF(A647="","",MONTH(A647))</f>
        <v>12</v>
      </c>
    </row>
    <row r="648" customFormat="false" ht="15" hidden="false" customHeight="false" outlineLevel="0" collapsed="false">
      <c r="A648" s="23" t="n">
        <v>46018.2986111111</v>
      </c>
      <c r="B648" s="24" t="s">
        <v>1069</v>
      </c>
      <c r="C648" s="24" t="s">
        <v>1070</v>
      </c>
      <c r="D648" s="24" t="n">
        <v>3</v>
      </c>
      <c r="E648" s="25" t="n">
        <v>4500</v>
      </c>
      <c r="F648" s="25" t="n">
        <v>3000</v>
      </c>
      <c r="G648" s="24" t="s">
        <v>69</v>
      </c>
      <c r="H648" s="24" t="s">
        <v>60</v>
      </c>
      <c r="I648" s="28" t="n">
        <f aca="false">IF(A648="","",D648*E648)</f>
        <v>13500</v>
      </c>
      <c r="J648" s="28" t="n">
        <f aca="false">IF(A648="","",D648*F648)</f>
        <v>9000</v>
      </c>
      <c r="K648" s="26" t="n">
        <f aca="false">IF(A648="","",YEAR(A648))</f>
        <v>2025</v>
      </c>
      <c r="L648" s="26" t="n">
        <f aca="false">IF(A648="","",MONTH(A648))</f>
        <v>12</v>
      </c>
    </row>
    <row r="649" customFormat="false" ht="15" hidden="false" customHeight="false" outlineLevel="0" collapsed="false">
      <c r="A649" s="23" t="n">
        <v>46018.7131944444</v>
      </c>
      <c r="B649" s="24" t="s">
        <v>1077</v>
      </c>
      <c r="C649" s="24" t="s">
        <v>1078</v>
      </c>
      <c r="D649" s="24" t="n">
        <v>1</v>
      </c>
      <c r="E649" s="25" t="n">
        <v>1500</v>
      </c>
      <c r="F649" s="25" t="n">
        <v>900</v>
      </c>
      <c r="G649" s="24" t="s">
        <v>59</v>
      </c>
      <c r="H649" s="24" t="s">
        <v>55</v>
      </c>
      <c r="I649" s="28" t="n">
        <f aca="false">IF(A649="","",D649*E649)</f>
        <v>1500</v>
      </c>
      <c r="J649" s="28" t="n">
        <f aca="false">IF(A649="","",D649*F649)</f>
        <v>900</v>
      </c>
      <c r="K649" s="26" t="n">
        <f aca="false">IF(A649="","",YEAR(A649))</f>
        <v>2025</v>
      </c>
      <c r="L649" s="26" t="n">
        <f aca="false">IF(A649="","",MONTH(A649))</f>
        <v>12</v>
      </c>
    </row>
    <row r="650" customFormat="false" ht="15" hidden="false" customHeight="false" outlineLevel="0" collapsed="false">
      <c r="A650" s="23" t="n">
        <v>46018.8222222222</v>
      </c>
      <c r="B650" s="24" t="s">
        <v>1073</v>
      </c>
      <c r="C650" s="24" t="s">
        <v>1074</v>
      </c>
      <c r="D650" s="24" t="n">
        <v>3</v>
      </c>
      <c r="E650" s="25" t="n">
        <v>7000</v>
      </c>
      <c r="F650" s="25" t="n">
        <v>4800</v>
      </c>
      <c r="G650" s="24" t="s">
        <v>69</v>
      </c>
      <c r="H650" s="24" t="s">
        <v>60</v>
      </c>
      <c r="I650" s="28" t="n">
        <f aca="false">IF(A650="","",D650*E650)</f>
        <v>21000</v>
      </c>
      <c r="J650" s="28" t="n">
        <f aca="false">IF(A650="","",D650*F650)</f>
        <v>14400</v>
      </c>
      <c r="K650" s="26" t="n">
        <f aca="false">IF(A650="","",YEAR(A650))</f>
        <v>2025</v>
      </c>
      <c r="L650" s="26" t="n">
        <f aca="false">IF(A650="","",MONTH(A650))</f>
        <v>12</v>
      </c>
    </row>
    <row r="651" customFormat="false" ht="15" hidden="false" customHeight="false" outlineLevel="0" collapsed="false">
      <c r="A651" s="23" t="n">
        <v>46019.4444444445</v>
      </c>
      <c r="B651" s="24" t="s">
        <v>1071</v>
      </c>
      <c r="C651" s="24" t="s">
        <v>1072</v>
      </c>
      <c r="D651" s="24" t="n">
        <v>2</v>
      </c>
      <c r="E651" s="25" t="n">
        <v>2000</v>
      </c>
      <c r="F651" s="25" t="n">
        <v>1100</v>
      </c>
      <c r="G651" s="24" t="s">
        <v>59</v>
      </c>
      <c r="H651" s="24" t="s">
        <v>80</v>
      </c>
      <c r="I651" s="28" t="n">
        <f aca="false">IF(A651="","",D651*E651)</f>
        <v>4000</v>
      </c>
      <c r="J651" s="28" t="n">
        <f aca="false">IF(A651="","",D651*F651)</f>
        <v>2200</v>
      </c>
      <c r="K651" s="26" t="n">
        <f aca="false">IF(A651="","",YEAR(A651))</f>
        <v>2025</v>
      </c>
      <c r="L651" s="26" t="n">
        <f aca="false">IF(A651="","",MONTH(A651))</f>
        <v>12</v>
      </c>
    </row>
    <row r="652" customFormat="false" ht="15" hidden="false" customHeight="false" outlineLevel="0" collapsed="false">
      <c r="A652" s="23" t="n">
        <v>46019.8423611111</v>
      </c>
      <c r="B652" s="24" t="s">
        <v>1073</v>
      </c>
      <c r="C652" s="24" t="s">
        <v>1074</v>
      </c>
      <c r="D652" s="24" t="n">
        <v>2</v>
      </c>
      <c r="E652" s="25" t="n">
        <v>7000</v>
      </c>
      <c r="F652" s="25" t="n">
        <v>4800</v>
      </c>
      <c r="G652" s="24" t="s">
        <v>59</v>
      </c>
      <c r="H652" s="24" t="s">
        <v>80</v>
      </c>
      <c r="I652" s="28" t="n">
        <f aca="false">IF(A652="","",D652*E652)</f>
        <v>14000</v>
      </c>
      <c r="J652" s="28" t="n">
        <f aca="false">IF(A652="","",D652*F652)</f>
        <v>9600</v>
      </c>
      <c r="K652" s="26" t="n">
        <f aca="false">IF(A652="","",YEAR(A652))</f>
        <v>2025</v>
      </c>
      <c r="L652" s="26" t="n">
        <f aca="false">IF(A652="","",MONTH(A652))</f>
        <v>12</v>
      </c>
    </row>
    <row r="653" customFormat="false" ht="15" hidden="false" customHeight="false" outlineLevel="0" collapsed="false">
      <c r="A653" s="23" t="n">
        <v>46023.4972222222</v>
      </c>
      <c r="B653" s="24" t="s">
        <v>1073</v>
      </c>
      <c r="C653" s="24" t="s">
        <v>1074</v>
      </c>
      <c r="D653" s="24" t="n">
        <v>3</v>
      </c>
      <c r="E653" s="25" t="n">
        <v>7000</v>
      </c>
      <c r="F653" s="25" t="n">
        <v>4800</v>
      </c>
      <c r="G653" s="24" t="s">
        <v>59</v>
      </c>
      <c r="H653" s="24" t="s">
        <v>80</v>
      </c>
      <c r="I653" s="28" t="n">
        <f aca="false">IF(A653="","",D653*E653)</f>
        <v>21000</v>
      </c>
      <c r="J653" s="28" t="n">
        <f aca="false">IF(A653="","",D653*F653)</f>
        <v>14400</v>
      </c>
      <c r="K653" s="26" t="n">
        <f aca="false">IF(A653="","",YEAR(A653))</f>
        <v>2026</v>
      </c>
      <c r="L653" s="26" t="n">
        <f aca="false">IF(A653="","",MONTH(A653))</f>
        <v>1</v>
      </c>
    </row>
    <row r="654" customFormat="false" ht="15" hidden="false" customHeight="false" outlineLevel="0" collapsed="false">
      <c r="A654" s="23" t="n">
        <v>46023.7375</v>
      </c>
      <c r="B654" s="24" t="s">
        <v>1073</v>
      </c>
      <c r="C654" s="24" t="s">
        <v>1074</v>
      </c>
      <c r="D654" s="24" t="n">
        <v>1</v>
      </c>
      <c r="E654" s="25" t="n">
        <v>7000</v>
      </c>
      <c r="F654" s="25" t="n">
        <v>4800</v>
      </c>
      <c r="G654" s="24" t="s">
        <v>59</v>
      </c>
      <c r="H654" s="24" t="s">
        <v>80</v>
      </c>
      <c r="I654" s="28" t="n">
        <f aca="false">IF(A654="","",D654*E654)</f>
        <v>7000</v>
      </c>
      <c r="J654" s="28" t="n">
        <f aca="false">IF(A654="","",D654*F654)</f>
        <v>4800</v>
      </c>
      <c r="K654" s="26" t="n">
        <f aca="false">IF(A654="","",YEAR(A654))</f>
        <v>2026</v>
      </c>
      <c r="L654" s="26" t="n">
        <f aca="false">IF(A654="","",MONTH(A654))</f>
        <v>1</v>
      </c>
    </row>
    <row r="655" customFormat="false" ht="15" hidden="false" customHeight="false" outlineLevel="0" collapsed="false">
      <c r="A655" s="23" t="n">
        <v>46024.5326388889</v>
      </c>
      <c r="B655" s="24" t="s">
        <v>1077</v>
      </c>
      <c r="C655" s="24" t="s">
        <v>1078</v>
      </c>
      <c r="D655" s="24" t="n">
        <v>1</v>
      </c>
      <c r="E655" s="25" t="n">
        <v>1500</v>
      </c>
      <c r="F655" s="25" t="n">
        <v>900</v>
      </c>
      <c r="G655" s="24" t="s">
        <v>59</v>
      </c>
      <c r="H655" s="24" t="s">
        <v>60</v>
      </c>
      <c r="I655" s="28" t="n">
        <f aca="false">IF(A655="","",D655*E655)</f>
        <v>1500</v>
      </c>
      <c r="J655" s="28" t="n">
        <f aca="false">IF(A655="","",D655*F655)</f>
        <v>900</v>
      </c>
      <c r="K655" s="26" t="n">
        <f aca="false">IF(A655="","",YEAR(A655))</f>
        <v>2026</v>
      </c>
      <c r="L655" s="26" t="n">
        <f aca="false">IF(A655="","",MONTH(A655))</f>
        <v>1</v>
      </c>
    </row>
    <row r="656" customFormat="false" ht="15" hidden="false" customHeight="false" outlineLevel="0" collapsed="false">
      <c r="A656" s="23" t="n">
        <v>46025.5826388889</v>
      </c>
      <c r="B656" s="24" t="s">
        <v>1067</v>
      </c>
      <c r="C656" s="24" t="s">
        <v>1068</v>
      </c>
      <c r="D656" s="24" t="n">
        <v>2</v>
      </c>
      <c r="E656" s="25" t="n">
        <v>4000</v>
      </c>
      <c r="F656" s="25" t="n">
        <v>2600</v>
      </c>
      <c r="G656" s="24" t="s">
        <v>59</v>
      </c>
      <c r="H656" s="24" t="s">
        <v>55</v>
      </c>
      <c r="I656" s="28" t="n">
        <f aca="false">IF(A656="","",D656*E656)</f>
        <v>8000</v>
      </c>
      <c r="J656" s="28" t="n">
        <f aca="false">IF(A656="","",D656*F656)</f>
        <v>5200</v>
      </c>
      <c r="K656" s="26" t="n">
        <f aca="false">IF(A656="","",YEAR(A656))</f>
        <v>2026</v>
      </c>
      <c r="L656" s="26" t="n">
        <f aca="false">IF(A656="","",MONTH(A656))</f>
        <v>1</v>
      </c>
    </row>
    <row r="657" customFormat="false" ht="15" hidden="false" customHeight="false" outlineLevel="0" collapsed="false">
      <c r="A657" s="23" t="n">
        <v>46025.9104166667</v>
      </c>
      <c r="B657" s="24" t="s">
        <v>1069</v>
      </c>
      <c r="C657" s="24" t="s">
        <v>1070</v>
      </c>
      <c r="D657" s="24" t="n">
        <v>1</v>
      </c>
      <c r="E657" s="25" t="n">
        <v>4500</v>
      </c>
      <c r="F657" s="25" t="n">
        <v>3000</v>
      </c>
      <c r="G657" s="24" t="s">
        <v>59</v>
      </c>
      <c r="H657" s="24" t="s">
        <v>80</v>
      </c>
      <c r="I657" s="28" t="n">
        <f aca="false">IF(A657="","",D657*E657)</f>
        <v>4500</v>
      </c>
      <c r="J657" s="28" t="n">
        <f aca="false">IF(A657="","",D657*F657)</f>
        <v>3000</v>
      </c>
      <c r="K657" s="26" t="n">
        <f aca="false">IF(A657="","",YEAR(A657))</f>
        <v>2026</v>
      </c>
      <c r="L657" s="26" t="n">
        <f aca="false">IF(A657="","",MONTH(A657))</f>
        <v>1</v>
      </c>
    </row>
    <row r="658" customFormat="false" ht="15" hidden="false" customHeight="false" outlineLevel="0" collapsed="false">
      <c r="A658" s="23" t="n">
        <v>46026.4416666667</v>
      </c>
      <c r="B658" s="24" t="s">
        <v>1065</v>
      </c>
      <c r="C658" s="24" t="s">
        <v>1066</v>
      </c>
      <c r="D658" s="24" t="n">
        <v>2</v>
      </c>
      <c r="E658" s="25" t="n">
        <v>3000</v>
      </c>
      <c r="F658" s="25" t="n">
        <v>2000</v>
      </c>
      <c r="G658" s="24" t="s">
        <v>59</v>
      </c>
      <c r="H658" s="24" t="s">
        <v>60</v>
      </c>
      <c r="I658" s="28" t="n">
        <f aca="false">IF(A658="","",D658*E658)</f>
        <v>6000</v>
      </c>
      <c r="J658" s="28" t="n">
        <f aca="false">IF(A658="","",D658*F658)</f>
        <v>4000</v>
      </c>
      <c r="K658" s="26" t="n">
        <f aca="false">IF(A658="","",YEAR(A658))</f>
        <v>2026</v>
      </c>
      <c r="L658" s="26" t="n">
        <f aca="false">IF(A658="","",MONTH(A658))</f>
        <v>1</v>
      </c>
    </row>
    <row r="659" customFormat="false" ht="15" hidden="false" customHeight="false" outlineLevel="0" collapsed="false">
      <c r="A659" s="23" t="n">
        <v>46026.7020833333</v>
      </c>
      <c r="B659" s="24" t="s">
        <v>1073</v>
      </c>
      <c r="C659" s="24" t="s">
        <v>1074</v>
      </c>
      <c r="D659" s="24" t="n">
        <v>3</v>
      </c>
      <c r="E659" s="25" t="n">
        <v>7000</v>
      </c>
      <c r="F659" s="25" t="n">
        <v>4800</v>
      </c>
      <c r="G659" s="24" t="s">
        <v>59</v>
      </c>
      <c r="H659" s="24" t="s">
        <v>60</v>
      </c>
      <c r="I659" s="28" t="n">
        <f aca="false">IF(A659="","",D659*E659)</f>
        <v>21000</v>
      </c>
      <c r="J659" s="28" t="n">
        <f aca="false">IF(A659="","",D659*F659)</f>
        <v>14400</v>
      </c>
      <c r="K659" s="26" t="n">
        <f aca="false">IF(A659="","",YEAR(A659))</f>
        <v>2026</v>
      </c>
      <c r="L659" s="26" t="n">
        <f aca="false">IF(A659="","",MONTH(A659))</f>
        <v>1</v>
      </c>
    </row>
    <row r="660" customFormat="false" ht="15" hidden="false" customHeight="false" outlineLevel="0" collapsed="false">
      <c r="A660" s="23" t="n">
        <v>46027.5673611111</v>
      </c>
      <c r="B660" s="24" t="s">
        <v>1073</v>
      </c>
      <c r="C660" s="24" t="s">
        <v>1074</v>
      </c>
      <c r="D660" s="24" t="n">
        <v>3</v>
      </c>
      <c r="E660" s="25" t="n">
        <v>7000</v>
      </c>
      <c r="F660" s="25" t="n">
        <v>4800</v>
      </c>
      <c r="G660" s="24" t="s">
        <v>59</v>
      </c>
      <c r="H660" s="24" t="s">
        <v>60</v>
      </c>
      <c r="I660" s="28" t="n">
        <f aca="false">IF(A660="","",D660*E660)</f>
        <v>21000</v>
      </c>
      <c r="J660" s="28" t="n">
        <f aca="false">IF(A660="","",D660*F660)</f>
        <v>14400</v>
      </c>
      <c r="K660" s="26" t="n">
        <f aca="false">IF(A660="","",YEAR(A660))</f>
        <v>2026</v>
      </c>
      <c r="L660" s="26" t="n">
        <f aca="false">IF(A660="","",MONTH(A660))</f>
        <v>1</v>
      </c>
    </row>
    <row r="661" customFormat="false" ht="15" hidden="false" customHeight="false" outlineLevel="0" collapsed="false">
      <c r="A661" s="23" t="n">
        <v>46027.775</v>
      </c>
      <c r="B661" s="24" t="s">
        <v>1067</v>
      </c>
      <c r="C661" s="24" t="s">
        <v>1068</v>
      </c>
      <c r="D661" s="24" t="n">
        <v>2</v>
      </c>
      <c r="E661" s="25" t="n">
        <v>4000</v>
      </c>
      <c r="F661" s="25" t="n">
        <v>2600</v>
      </c>
      <c r="G661" s="24" t="s">
        <v>59</v>
      </c>
      <c r="H661" s="24" t="s">
        <v>55</v>
      </c>
      <c r="I661" s="28" t="n">
        <f aca="false">IF(A661="","",D661*E661)</f>
        <v>8000</v>
      </c>
      <c r="J661" s="28" t="n">
        <f aca="false">IF(A661="","",D661*F661)</f>
        <v>5200</v>
      </c>
      <c r="K661" s="26" t="n">
        <f aca="false">IF(A661="","",YEAR(A661))</f>
        <v>2026</v>
      </c>
      <c r="L661" s="26" t="n">
        <f aca="false">IF(A661="","",MONTH(A661))</f>
        <v>1</v>
      </c>
    </row>
    <row r="662" customFormat="false" ht="15" hidden="false" customHeight="false" outlineLevel="0" collapsed="false">
      <c r="A662" s="23" t="n">
        <v>46028.5104166667</v>
      </c>
      <c r="B662" s="24" t="s">
        <v>1073</v>
      </c>
      <c r="C662" s="24" t="s">
        <v>1074</v>
      </c>
      <c r="D662" s="24" t="n">
        <v>1</v>
      </c>
      <c r="E662" s="25" t="n">
        <v>7000</v>
      </c>
      <c r="F662" s="25" t="n">
        <v>4800</v>
      </c>
      <c r="G662" s="24" t="s">
        <v>59</v>
      </c>
      <c r="H662" s="24" t="s">
        <v>80</v>
      </c>
      <c r="I662" s="28" t="n">
        <f aca="false">IF(A662="","",D662*E662)</f>
        <v>7000</v>
      </c>
      <c r="J662" s="28" t="n">
        <f aca="false">IF(A662="","",D662*F662)</f>
        <v>4800</v>
      </c>
      <c r="K662" s="26" t="n">
        <f aca="false">IF(A662="","",YEAR(A662))</f>
        <v>2026</v>
      </c>
      <c r="L662" s="26" t="n">
        <f aca="false">IF(A662="","",MONTH(A662))</f>
        <v>1</v>
      </c>
    </row>
    <row r="663" customFormat="false" ht="15" hidden="false" customHeight="false" outlineLevel="0" collapsed="false">
      <c r="A663" s="23" t="n">
        <v>46028.8409722222</v>
      </c>
      <c r="B663" s="24" t="s">
        <v>1069</v>
      </c>
      <c r="C663" s="24" t="s">
        <v>1070</v>
      </c>
      <c r="D663" s="24" t="n">
        <v>1</v>
      </c>
      <c r="E663" s="25" t="n">
        <v>4500</v>
      </c>
      <c r="F663" s="25" t="n">
        <v>3000</v>
      </c>
      <c r="G663" s="24" t="s">
        <v>59</v>
      </c>
      <c r="H663" s="24" t="s">
        <v>60</v>
      </c>
      <c r="I663" s="28" t="n">
        <f aca="false">IF(A663="","",D663*E663)</f>
        <v>4500</v>
      </c>
      <c r="J663" s="28" t="n">
        <f aca="false">IF(A663="","",D663*F663)</f>
        <v>3000</v>
      </c>
      <c r="K663" s="26" t="n">
        <f aca="false">IF(A663="","",YEAR(A663))</f>
        <v>2026</v>
      </c>
      <c r="L663" s="26" t="n">
        <f aca="false">IF(A663="","",MONTH(A663))</f>
        <v>1</v>
      </c>
    </row>
    <row r="664" customFormat="false" ht="15" hidden="false" customHeight="false" outlineLevel="0" collapsed="false">
      <c r="A664" s="23" t="n">
        <v>46028.8652777778</v>
      </c>
      <c r="B664" s="24" t="s">
        <v>1073</v>
      </c>
      <c r="C664" s="24" t="s">
        <v>1074</v>
      </c>
      <c r="D664" s="24" t="n">
        <v>3</v>
      </c>
      <c r="E664" s="25" t="n">
        <v>7000</v>
      </c>
      <c r="F664" s="25" t="n">
        <v>4800</v>
      </c>
      <c r="G664" s="24" t="s">
        <v>59</v>
      </c>
      <c r="H664" s="24" t="s">
        <v>55</v>
      </c>
      <c r="I664" s="28" t="n">
        <f aca="false">IF(A664="","",D664*E664)</f>
        <v>21000</v>
      </c>
      <c r="J664" s="28" t="n">
        <f aca="false">IF(A664="","",D664*F664)</f>
        <v>14400</v>
      </c>
      <c r="K664" s="26" t="n">
        <f aca="false">IF(A664="","",YEAR(A664))</f>
        <v>2026</v>
      </c>
      <c r="L664" s="26" t="n">
        <f aca="false">IF(A664="","",MONTH(A664))</f>
        <v>1</v>
      </c>
    </row>
    <row r="665" customFormat="false" ht="15" hidden="false" customHeight="false" outlineLevel="0" collapsed="false">
      <c r="A665" s="23" t="n">
        <v>46029.2979166667</v>
      </c>
      <c r="B665" s="24" t="s">
        <v>1067</v>
      </c>
      <c r="C665" s="24" t="s">
        <v>1068</v>
      </c>
      <c r="D665" s="24" t="n">
        <v>1</v>
      </c>
      <c r="E665" s="25" t="n">
        <v>4000</v>
      </c>
      <c r="F665" s="25" t="n">
        <v>2600</v>
      </c>
      <c r="G665" s="24" t="s">
        <v>59</v>
      </c>
      <c r="H665" s="24" t="s">
        <v>60</v>
      </c>
      <c r="I665" s="28" t="n">
        <f aca="false">IF(A665="","",D665*E665)</f>
        <v>4000</v>
      </c>
      <c r="J665" s="28" t="n">
        <f aca="false">IF(A665="","",D665*F665)</f>
        <v>2600</v>
      </c>
      <c r="K665" s="26" t="n">
        <f aca="false">IF(A665="","",YEAR(A665))</f>
        <v>2026</v>
      </c>
      <c r="L665" s="26" t="n">
        <f aca="false">IF(A665="","",MONTH(A665))</f>
        <v>1</v>
      </c>
    </row>
    <row r="666" customFormat="false" ht="15" hidden="false" customHeight="false" outlineLevel="0" collapsed="false">
      <c r="A666" s="23" t="n">
        <v>46029.4263888889</v>
      </c>
      <c r="B666" s="24" t="s">
        <v>1081</v>
      </c>
      <c r="C666" s="24" t="s">
        <v>1082</v>
      </c>
      <c r="D666" s="24" t="n">
        <v>1</v>
      </c>
      <c r="E666" s="25" t="n">
        <v>2500</v>
      </c>
      <c r="F666" s="25" t="n">
        <v>1500</v>
      </c>
      <c r="G666" s="24" t="s">
        <v>59</v>
      </c>
      <c r="H666" s="24" t="s">
        <v>80</v>
      </c>
      <c r="I666" s="28" t="n">
        <f aca="false">IF(A666="","",D666*E666)</f>
        <v>2500</v>
      </c>
      <c r="J666" s="28" t="n">
        <f aca="false">IF(A666="","",D666*F666)</f>
        <v>1500</v>
      </c>
      <c r="K666" s="26" t="n">
        <f aca="false">IF(A666="","",YEAR(A666))</f>
        <v>2026</v>
      </c>
      <c r="L666" s="26" t="n">
        <f aca="false">IF(A666="","",MONTH(A666))</f>
        <v>1</v>
      </c>
    </row>
    <row r="667" customFormat="false" ht="15" hidden="false" customHeight="false" outlineLevel="0" collapsed="false">
      <c r="A667" s="23" t="n">
        <v>46030.4986111111</v>
      </c>
      <c r="B667" s="24" t="s">
        <v>1071</v>
      </c>
      <c r="C667" s="24" t="s">
        <v>1072</v>
      </c>
      <c r="D667" s="24" t="n">
        <v>1</v>
      </c>
      <c r="E667" s="25" t="n">
        <v>2000</v>
      </c>
      <c r="F667" s="25" t="n">
        <v>1100</v>
      </c>
      <c r="G667" s="24" t="s">
        <v>69</v>
      </c>
      <c r="H667" s="24" t="s">
        <v>55</v>
      </c>
      <c r="I667" s="28" t="n">
        <f aca="false">IF(A667="","",D667*E667)</f>
        <v>2000</v>
      </c>
      <c r="J667" s="28" t="n">
        <f aca="false">IF(A667="","",D667*F667)</f>
        <v>1100</v>
      </c>
      <c r="K667" s="26" t="n">
        <f aca="false">IF(A667="","",YEAR(A667))</f>
        <v>2026</v>
      </c>
      <c r="L667" s="26" t="n">
        <f aca="false">IF(A667="","",MONTH(A667))</f>
        <v>1</v>
      </c>
    </row>
    <row r="668" customFormat="false" ht="15" hidden="false" customHeight="false" outlineLevel="0" collapsed="false">
      <c r="A668" s="23" t="n">
        <v>46031.3631944444</v>
      </c>
      <c r="B668" s="24" t="s">
        <v>1077</v>
      </c>
      <c r="C668" s="24" t="s">
        <v>1078</v>
      </c>
      <c r="D668" s="24" t="n">
        <v>1</v>
      </c>
      <c r="E668" s="25" t="n">
        <v>1500</v>
      </c>
      <c r="F668" s="25" t="n">
        <v>900</v>
      </c>
      <c r="G668" s="24" t="s">
        <v>59</v>
      </c>
      <c r="H668" s="24" t="s">
        <v>55</v>
      </c>
      <c r="I668" s="28" t="n">
        <f aca="false">IF(A668="","",D668*E668)</f>
        <v>1500</v>
      </c>
      <c r="J668" s="28" t="n">
        <f aca="false">IF(A668="","",D668*F668)</f>
        <v>900</v>
      </c>
      <c r="K668" s="26" t="n">
        <f aca="false">IF(A668="","",YEAR(A668))</f>
        <v>2026</v>
      </c>
      <c r="L668" s="26" t="n">
        <f aca="false">IF(A668="","",MONTH(A668))</f>
        <v>1</v>
      </c>
    </row>
    <row r="669" customFormat="false" ht="15" hidden="false" customHeight="false" outlineLevel="0" collapsed="false">
      <c r="A669" s="23" t="n">
        <v>46031.6166666667</v>
      </c>
      <c r="B669" s="24" t="s">
        <v>1069</v>
      </c>
      <c r="C669" s="24" t="s">
        <v>1070</v>
      </c>
      <c r="D669" s="24" t="n">
        <v>3</v>
      </c>
      <c r="E669" s="25" t="n">
        <v>4500</v>
      </c>
      <c r="F669" s="25" t="n">
        <v>3000</v>
      </c>
      <c r="G669" s="24" t="s">
        <v>59</v>
      </c>
      <c r="H669" s="24" t="s">
        <v>55</v>
      </c>
      <c r="I669" s="28" t="n">
        <f aca="false">IF(A669="","",D669*E669)</f>
        <v>13500</v>
      </c>
      <c r="J669" s="28" t="n">
        <f aca="false">IF(A669="","",D669*F669)</f>
        <v>9000</v>
      </c>
      <c r="K669" s="26" t="n">
        <f aca="false">IF(A669="","",YEAR(A669))</f>
        <v>2026</v>
      </c>
      <c r="L669" s="26" t="n">
        <f aca="false">IF(A669="","",MONTH(A669))</f>
        <v>1</v>
      </c>
    </row>
    <row r="670" customFormat="false" ht="15" hidden="false" customHeight="false" outlineLevel="0" collapsed="false">
      <c r="A670" s="23" t="n">
        <v>46031.6194444444</v>
      </c>
      <c r="B670" s="24" t="s">
        <v>1071</v>
      </c>
      <c r="C670" s="24" t="s">
        <v>1072</v>
      </c>
      <c r="D670" s="24" t="n">
        <v>1</v>
      </c>
      <c r="E670" s="25" t="n">
        <v>2000</v>
      </c>
      <c r="F670" s="25" t="n">
        <v>1100</v>
      </c>
      <c r="G670" s="24" t="s">
        <v>59</v>
      </c>
      <c r="H670" s="24" t="s">
        <v>60</v>
      </c>
      <c r="I670" s="28" t="n">
        <f aca="false">IF(A670="","",D670*E670)</f>
        <v>2000</v>
      </c>
      <c r="J670" s="28" t="n">
        <f aca="false">IF(A670="","",D670*F670)</f>
        <v>1100</v>
      </c>
      <c r="K670" s="26" t="n">
        <f aca="false">IF(A670="","",YEAR(A670))</f>
        <v>2026</v>
      </c>
      <c r="L670" s="26" t="n">
        <f aca="false">IF(A670="","",MONTH(A670))</f>
        <v>1</v>
      </c>
    </row>
    <row r="671" customFormat="false" ht="15" hidden="false" customHeight="false" outlineLevel="0" collapsed="false">
      <c r="A671" s="23" t="n">
        <v>46031.7277777778</v>
      </c>
      <c r="B671" s="24" t="s">
        <v>1075</v>
      </c>
      <c r="C671" s="24" t="s">
        <v>1076</v>
      </c>
      <c r="D671" s="24" t="n">
        <v>1</v>
      </c>
      <c r="E671" s="25" t="n">
        <v>1000</v>
      </c>
      <c r="F671" s="25" t="n">
        <v>300</v>
      </c>
      <c r="G671" s="24" t="s">
        <v>59</v>
      </c>
      <c r="H671" s="24" t="s">
        <v>55</v>
      </c>
      <c r="I671" s="28" t="n">
        <f aca="false">IF(A671="","",D671*E671)</f>
        <v>1000</v>
      </c>
      <c r="J671" s="28" t="n">
        <f aca="false">IF(A671="","",D671*F671)</f>
        <v>300</v>
      </c>
      <c r="K671" s="26" t="n">
        <f aca="false">IF(A671="","",YEAR(A671))</f>
        <v>2026</v>
      </c>
      <c r="L671" s="26" t="n">
        <f aca="false">IF(A671="","",MONTH(A671))</f>
        <v>1</v>
      </c>
    </row>
    <row r="672" customFormat="false" ht="15" hidden="false" customHeight="false" outlineLevel="0" collapsed="false">
      <c r="A672" s="23" t="n">
        <v>46031.7493055556</v>
      </c>
      <c r="B672" s="24" t="s">
        <v>1073</v>
      </c>
      <c r="C672" s="24" t="s">
        <v>1074</v>
      </c>
      <c r="D672" s="24" t="n">
        <v>1</v>
      </c>
      <c r="E672" s="25" t="n">
        <v>7000</v>
      </c>
      <c r="F672" s="25" t="n">
        <v>4800</v>
      </c>
      <c r="G672" s="24" t="s">
        <v>59</v>
      </c>
      <c r="H672" s="24" t="s">
        <v>55</v>
      </c>
      <c r="I672" s="28" t="n">
        <f aca="false">IF(A672="","",D672*E672)</f>
        <v>7000</v>
      </c>
      <c r="J672" s="28" t="n">
        <f aca="false">IF(A672="","",D672*F672)</f>
        <v>4800</v>
      </c>
      <c r="K672" s="26" t="n">
        <f aca="false">IF(A672="","",YEAR(A672))</f>
        <v>2026</v>
      </c>
      <c r="L672" s="26" t="n">
        <f aca="false">IF(A672="","",MONTH(A672))</f>
        <v>1</v>
      </c>
    </row>
    <row r="673" customFormat="false" ht="15" hidden="false" customHeight="false" outlineLevel="0" collapsed="false">
      <c r="A673" s="23" t="n">
        <v>46034.3069444444</v>
      </c>
      <c r="B673" s="24" t="s">
        <v>1069</v>
      </c>
      <c r="C673" s="24" t="s">
        <v>1070</v>
      </c>
      <c r="D673" s="24" t="n">
        <v>1</v>
      </c>
      <c r="E673" s="25" t="n">
        <v>4500</v>
      </c>
      <c r="F673" s="25" t="n">
        <v>3000</v>
      </c>
      <c r="G673" s="24" t="s">
        <v>69</v>
      </c>
      <c r="H673" s="24" t="s">
        <v>55</v>
      </c>
      <c r="I673" s="28" t="n">
        <f aca="false">IF(A673="","",D673*E673)</f>
        <v>4500</v>
      </c>
      <c r="J673" s="28" t="n">
        <f aca="false">IF(A673="","",D673*F673)</f>
        <v>3000</v>
      </c>
      <c r="K673" s="26" t="n">
        <f aca="false">IF(A673="","",YEAR(A673))</f>
        <v>2026</v>
      </c>
      <c r="L673" s="26" t="n">
        <f aca="false">IF(A673="","",MONTH(A673))</f>
        <v>1</v>
      </c>
    </row>
    <row r="674" customFormat="false" ht="15" hidden="false" customHeight="false" outlineLevel="0" collapsed="false">
      <c r="A674" s="23" t="n">
        <v>46035.4847222222</v>
      </c>
      <c r="B674" s="24" t="s">
        <v>1065</v>
      </c>
      <c r="C674" s="24" t="s">
        <v>1066</v>
      </c>
      <c r="D674" s="24" t="n">
        <v>1</v>
      </c>
      <c r="E674" s="25" t="n">
        <v>3000</v>
      </c>
      <c r="F674" s="25" t="n">
        <v>2000</v>
      </c>
      <c r="G674" s="24" t="s">
        <v>59</v>
      </c>
      <c r="H674" s="24" t="s">
        <v>60</v>
      </c>
      <c r="I674" s="28" t="n">
        <f aca="false">IF(A674="","",D674*E674)</f>
        <v>3000</v>
      </c>
      <c r="J674" s="28" t="n">
        <f aca="false">IF(A674="","",D674*F674)</f>
        <v>2000</v>
      </c>
      <c r="K674" s="26" t="n">
        <f aca="false">IF(A674="","",YEAR(A674))</f>
        <v>2026</v>
      </c>
      <c r="L674" s="26" t="n">
        <f aca="false">IF(A674="","",MONTH(A674))</f>
        <v>1</v>
      </c>
    </row>
    <row r="675" customFormat="false" ht="15" hidden="false" customHeight="false" outlineLevel="0" collapsed="false">
      <c r="A675" s="23" t="n">
        <v>46035.5277777778</v>
      </c>
      <c r="B675" s="24" t="s">
        <v>1071</v>
      </c>
      <c r="C675" s="24" t="s">
        <v>1072</v>
      </c>
      <c r="D675" s="24" t="n">
        <v>1</v>
      </c>
      <c r="E675" s="25" t="n">
        <v>2000</v>
      </c>
      <c r="F675" s="25" t="n">
        <v>1100</v>
      </c>
      <c r="G675" s="24" t="s">
        <v>59</v>
      </c>
      <c r="H675" s="24" t="s">
        <v>55</v>
      </c>
      <c r="I675" s="28" t="n">
        <f aca="false">IF(A675="","",D675*E675)</f>
        <v>2000</v>
      </c>
      <c r="J675" s="28" t="n">
        <f aca="false">IF(A675="","",D675*F675)</f>
        <v>1100</v>
      </c>
      <c r="K675" s="26" t="n">
        <f aca="false">IF(A675="","",YEAR(A675))</f>
        <v>2026</v>
      </c>
      <c r="L675" s="26" t="n">
        <f aca="false">IF(A675="","",MONTH(A675))</f>
        <v>1</v>
      </c>
    </row>
    <row r="676" customFormat="false" ht="15" hidden="false" customHeight="false" outlineLevel="0" collapsed="false">
      <c r="A676" s="23" t="n">
        <v>46035.6340277778</v>
      </c>
      <c r="B676" s="24" t="s">
        <v>1069</v>
      </c>
      <c r="C676" s="24" t="s">
        <v>1070</v>
      </c>
      <c r="D676" s="24" t="n">
        <v>1</v>
      </c>
      <c r="E676" s="25" t="n">
        <v>4500</v>
      </c>
      <c r="F676" s="25" t="n">
        <v>3000</v>
      </c>
      <c r="G676" s="24" t="s">
        <v>59</v>
      </c>
      <c r="H676" s="24" t="s">
        <v>60</v>
      </c>
      <c r="I676" s="28" t="n">
        <f aca="false">IF(A676="","",D676*E676)</f>
        <v>4500</v>
      </c>
      <c r="J676" s="28" t="n">
        <f aca="false">IF(A676="","",D676*F676)</f>
        <v>3000</v>
      </c>
      <c r="K676" s="26" t="n">
        <f aca="false">IF(A676="","",YEAR(A676))</f>
        <v>2026</v>
      </c>
      <c r="L676" s="26" t="n">
        <f aca="false">IF(A676="","",MONTH(A676))</f>
        <v>1</v>
      </c>
    </row>
    <row r="677" customFormat="false" ht="15" hidden="false" customHeight="false" outlineLevel="0" collapsed="false">
      <c r="A677" s="23" t="n">
        <v>46036.5368055556</v>
      </c>
      <c r="B677" s="24" t="s">
        <v>1075</v>
      </c>
      <c r="C677" s="24" t="s">
        <v>1076</v>
      </c>
      <c r="D677" s="24" t="n">
        <v>3</v>
      </c>
      <c r="E677" s="25" t="n">
        <v>1000</v>
      </c>
      <c r="F677" s="25" t="n">
        <v>300</v>
      </c>
      <c r="G677" s="24" t="s">
        <v>59</v>
      </c>
      <c r="H677" s="24" t="s">
        <v>80</v>
      </c>
      <c r="I677" s="28" t="n">
        <f aca="false">IF(A677="","",D677*E677)</f>
        <v>3000</v>
      </c>
      <c r="J677" s="28" t="n">
        <f aca="false">IF(A677="","",D677*F677)</f>
        <v>900</v>
      </c>
      <c r="K677" s="26" t="n">
        <f aca="false">IF(A677="","",YEAR(A677))</f>
        <v>2026</v>
      </c>
      <c r="L677" s="26" t="n">
        <f aca="false">IF(A677="","",MONTH(A677))</f>
        <v>1</v>
      </c>
    </row>
    <row r="678" customFormat="false" ht="15" hidden="false" customHeight="false" outlineLevel="0" collapsed="false">
      <c r="A678" s="23" t="n">
        <v>46036.7569444445</v>
      </c>
      <c r="B678" s="24" t="s">
        <v>1081</v>
      </c>
      <c r="C678" s="24" t="s">
        <v>1082</v>
      </c>
      <c r="D678" s="24" t="n">
        <v>1</v>
      </c>
      <c r="E678" s="25" t="n">
        <v>2500</v>
      </c>
      <c r="F678" s="25" t="n">
        <v>1500</v>
      </c>
      <c r="G678" s="24" t="s">
        <v>59</v>
      </c>
      <c r="H678" s="24" t="s">
        <v>55</v>
      </c>
      <c r="I678" s="28" t="n">
        <f aca="false">IF(A678="","",D678*E678)</f>
        <v>2500</v>
      </c>
      <c r="J678" s="28" t="n">
        <f aca="false">IF(A678="","",D678*F678)</f>
        <v>1500</v>
      </c>
      <c r="K678" s="26" t="n">
        <f aca="false">IF(A678="","",YEAR(A678))</f>
        <v>2026</v>
      </c>
      <c r="L678" s="26" t="n">
        <f aca="false">IF(A678="","",MONTH(A678))</f>
        <v>1</v>
      </c>
    </row>
    <row r="679" customFormat="false" ht="15" hidden="false" customHeight="false" outlineLevel="0" collapsed="false">
      <c r="A679" s="23" t="n">
        <v>46036.8125</v>
      </c>
      <c r="B679" s="24" t="s">
        <v>1077</v>
      </c>
      <c r="C679" s="24" t="s">
        <v>1078</v>
      </c>
      <c r="D679" s="24" t="n">
        <v>2</v>
      </c>
      <c r="E679" s="25" t="n">
        <v>1500</v>
      </c>
      <c r="F679" s="25" t="n">
        <v>900</v>
      </c>
      <c r="G679" s="24" t="s">
        <v>59</v>
      </c>
      <c r="H679" s="24" t="s">
        <v>60</v>
      </c>
      <c r="I679" s="28" t="n">
        <f aca="false">IF(A679="","",D679*E679)</f>
        <v>3000</v>
      </c>
      <c r="J679" s="28" t="n">
        <f aca="false">IF(A679="","",D679*F679)</f>
        <v>1800</v>
      </c>
      <c r="K679" s="26" t="n">
        <f aca="false">IF(A679="","",YEAR(A679))</f>
        <v>2026</v>
      </c>
      <c r="L679" s="26" t="n">
        <f aca="false">IF(A679="","",MONTH(A679))</f>
        <v>1</v>
      </c>
    </row>
    <row r="680" customFormat="false" ht="15" hidden="false" customHeight="false" outlineLevel="0" collapsed="false">
      <c r="A680" s="23" t="n">
        <v>46037.4333333333</v>
      </c>
      <c r="B680" s="24" t="s">
        <v>1081</v>
      </c>
      <c r="C680" s="24" t="s">
        <v>1082</v>
      </c>
      <c r="D680" s="24" t="n">
        <v>1</v>
      </c>
      <c r="E680" s="25" t="n">
        <v>2500</v>
      </c>
      <c r="F680" s="25" t="n">
        <v>1500</v>
      </c>
      <c r="G680" s="24" t="s">
        <v>59</v>
      </c>
      <c r="H680" s="24" t="s">
        <v>55</v>
      </c>
      <c r="I680" s="28" t="n">
        <f aca="false">IF(A680="","",D680*E680)</f>
        <v>2500</v>
      </c>
      <c r="J680" s="28" t="n">
        <f aca="false">IF(A680="","",D680*F680)</f>
        <v>1500</v>
      </c>
      <c r="K680" s="26" t="n">
        <f aca="false">IF(A680="","",YEAR(A680))</f>
        <v>2026</v>
      </c>
      <c r="L680" s="26" t="n">
        <f aca="false">IF(A680="","",MONTH(A680))</f>
        <v>1</v>
      </c>
    </row>
    <row r="681" customFormat="false" ht="15" hidden="false" customHeight="false" outlineLevel="0" collapsed="false">
      <c r="A681" s="23" t="n">
        <v>46038.6256944445</v>
      </c>
      <c r="B681" s="24" t="s">
        <v>1079</v>
      </c>
      <c r="C681" s="24" t="s">
        <v>1080</v>
      </c>
      <c r="D681" s="24" t="n">
        <v>1</v>
      </c>
      <c r="E681" s="25" t="n">
        <v>2500</v>
      </c>
      <c r="F681" s="25" t="n">
        <v>1600</v>
      </c>
      <c r="G681" s="24" t="s">
        <v>59</v>
      </c>
      <c r="H681" s="24" t="s">
        <v>80</v>
      </c>
      <c r="I681" s="28" t="n">
        <f aca="false">IF(A681="","",D681*E681)</f>
        <v>2500</v>
      </c>
      <c r="J681" s="28" t="n">
        <f aca="false">IF(A681="","",D681*F681)</f>
        <v>1600</v>
      </c>
      <c r="K681" s="26" t="n">
        <f aca="false">IF(A681="","",YEAR(A681))</f>
        <v>2026</v>
      </c>
      <c r="L681" s="26" t="n">
        <f aca="false">IF(A681="","",MONTH(A681))</f>
        <v>1</v>
      </c>
    </row>
    <row r="682" customFormat="false" ht="15" hidden="false" customHeight="false" outlineLevel="0" collapsed="false">
      <c r="A682" s="23" t="n">
        <v>46039.3638888889</v>
      </c>
      <c r="B682" s="24" t="s">
        <v>1075</v>
      </c>
      <c r="C682" s="24" t="s">
        <v>1076</v>
      </c>
      <c r="D682" s="24" t="n">
        <v>1</v>
      </c>
      <c r="E682" s="25" t="n">
        <v>1000</v>
      </c>
      <c r="F682" s="25" t="n">
        <v>300</v>
      </c>
      <c r="G682" s="24" t="s">
        <v>69</v>
      </c>
      <c r="H682" s="24" t="s">
        <v>60</v>
      </c>
      <c r="I682" s="28" t="n">
        <f aca="false">IF(A682="","",D682*E682)</f>
        <v>1000</v>
      </c>
      <c r="J682" s="28" t="n">
        <f aca="false">IF(A682="","",D682*F682)</f>
        <v>300</v>
      </c>
      <c r="K682" s="26" t="n">
        <f aca="false">IF(A682="","",YEAR(A682))</f>
        <v>2026</v>
      </c>
      <c r="L682" s="26" t="n">
        <f aca="false">IF(A682="","",MONTH(A682))</f>
        <v>1</v>
      </c>
    </row>
    <row r="683" customFormat="false" ht="15" hidden="false" customHeight="false" outlineLevel="0" collapsed="false">
      <c r="A683" s="23" t="n">
        <v>46039.5576388889</v>
      </c>
      <c r="B683" s="24" t="s">
        <v>1079</v>
      </c>
      <c r="C683" s="24" t="s">
        <v>1080</v>
      </c>
      <c r="D683" s="24" t="n">
        <v>3</v>
      </c>
      <c r="E683" s="25" t="n">
        <v>2500</v>
      </c>
      <c r="F683" s="25" t="n">
        <v>1600</v>
      </c>
      <c r="G683" s="24" t="s">
        <v>69</v>
      </c>
      <c r="H683" s="24" t="s">
        <v>60</v>
      </c>
      <c r="I683" s="28" t="n">
        <f aca="false">IF(A683="","",D683*E683)</f>
        <v>7500</v>
      </c>
      <c r="J683" s="28" t="n">
        <f aca="false">IF(A683="","",D683*F683)</f>
        <v>4800</v>
      </c>
      <c r="K683" s="26" t="n">
        <f aca="false">IF(A683="","",YEAR(A683))</f>
        <v>2026</v>
      </c>
      <c r="L683" s="26" t="n">
        <f aca="false">IF(A683="","",MONTH(A683))</f>
        <v>1</v>
      </c>
    </row>
    <row r="684" customFormat="false" ht="15" hidden="false" customHeight="false" outlineLevel="0" collapsed="false">
      <c r="A684" s="23" t="n">
        <v>46039.5944444445</v>
      </c>
      <c r="B684" s="24" t="s">
        <v>1067</v>
      </c>
      <c r="C684" s="24" t="s">
        <v>1068</v>
      </c>
      <c r="D684" s="24" t="n">
        <v>1</v>
      </c>
      <c r="E684" s="25" t="n">
        <v>4000</v>
      </c>
      <c r="F684" s="25" t="n">
        <v>2600</v>
      </c>
      <c r="G684" s="24" t="s">
        <v>59</v>
      </c>
      <c r="H684" s="24" t="s">
        <v>80</v>
      </c>
      <c r="I684" s="28" t="n">
        <f aca="false">IF(A684="","",D684*E684)</f>
        <v>4000</v>
      </c>
      <c r="J684" s="28" t="n">
        <f aca="false">IF(A684="","",D684*F684)</f>
        <v>2600</v>
      </c>
      <c r="K684" s="26" t="n">
        <f aca="false">IF(A684="","",YEAR(A684))</f>
        <v>2026</v>
      </c>
      <c r="L684" s="26" t="n">
        <f aca="false">IF(A684="","",MONTH(A684))</f>
        <v>1</v>
      </c>
    </row>
    <row r="685" customFormat="false" ht="15" hidden="false" customHeight="false" outlineLevel="0" collapsed="false">
      <c r="A685" s="23" t="n">
        <v>46040.5222222222</v>
      </c>
      <c r="B685" s="24" t="s">
        <v>1075</v>
      </c>
      <c r="C685" s="24" t="s">
        <v>1076</v>
      </c>
      <c r="D685" s="24" t="n">
        <v>2</v>
      </c>
      <c r="E685" s="25" t="n">
        <v>1000</v>
      </c>
      <c r="F685" s="25" t="n">
        <v>300</v>
      </c>
      <c r="G685" s="24" t="s">
        <v>59</v>
      </c>
      <c r="H685" s="24" t="s">
        <v>80</v>
      </c>
      <c r="I685" s="28" t="n">
        <f aca="false">IF(A685="","",D685*E685)</f>
        <v>2000</v>
      </c>
      <c r="J685" s="28" t="n">
        <f aca="false">IF(A685="","",D685*F685)</f>
        <v>600</v>
      </c>
      <c r="K685" s="26" t="n">
        <f aca="false">IF(A685="","",YEAR(A685))</f>
        <v>2026</v>
      </c>
      <c r="L685" s="26" t="n">
        <f aca="false">IF(A685="","",MONTH(A685))</f>
        <v>1</v>
      </c>
    </row>
    <row r="686" customFormat="false" ht="15" hidden="false" customHeight="false" outlineLevel="0" collapsed="false">
      <c r="A686" s="23" t="n">
        <v>46040.8958333333</v>
      </c>
      <c r="B686" s="24" t="s">
        <v>1065</v>
      </c>
      <c r="C686" s="24" t="s">
        <v>1066</v>
      </c>
      <c r="D686" s="24" t="n">
        <v>3</v>
      </c>
      <c r="E686" s="25" t="n">
        <v>3000</v>
      </c>
      <c r="F686" s="25" t="n">
        <v>2000</v>
      </c>
      <c r="G686" s="24" t="s">
        <v>59</v>
      </c>
      <c r="H686" s="24" t="s">
        <v>55</v>
      </c>
      <c r="I686" s="28" t="n">
        <f aca="false">IF(A686="","",D686*E686)</f>
        <v>9000</v>
      </c>
      <c r="J686" s="28" t="n">
        <f aca="false">IF(A686="","",D686*F686)</f>
        <v>6000</v>
      </c>
      <c r="K686" s="26" t="n">
        <f aca="false">IF(A686="","",YEAR(A686))</f>
        <v>2026</v>
      </c>
      <c r="L686" s="26" t="n">
        <f aca="false">IF(A686="","",MONTH(A686))</f>
        <v>1</v>
      </c>
    </row>
    <row r="687" customFormat="false" ht="15" hidden="false" customHeight="false" outlineLevel="0" collapsed="false">
      <c r="A687" s="23" t="n">
        <v>46041.4513888889</v>
      </c>
      <c r="B687" s="24" t="s">
        <v>1079</v>
      </c>
      <c r="C687" s="24" t="s">
        <v>1080</v>
      </c>
      <c r="D687" s="24" t="n">
        <v>1</v>
      </c>
      <c r="E687" s="25" t="n">
        <v>2500</v>
      </c>
      <c r="F687" s="25" t="n">
        <v>1600</v>
      </c>
      <c r="G687" s="24" t="s">
        <v>69</v>
      </c>
      <c r="H687" s="24" t="s">
        <v>80</v>
      </c>
      <c r="I687" s="28" t="n">
        <f aca="false">IF(A687="","",D687*E687)</f>
        <v>2500</v>
      </c>
      <c r="J687" s="28" t="n">
        <f aca="false">IF(A687="","",D687*F687)</f>
        <v>1600</v>
      </c>
      <c r="K687" s="26" t="n">
        <f aca="false">IF(A687="","",YEAR(A687))</f>
        <v>2026</v>
      </c>
      <c r="L687" s="26" t="n">
        <f aca="false">IF(A687="","",MONTH(A687))</f>
        <v>1</v>
      </c>
    </row>
    <row r="688" customFormat="false" ht="15" hidden="false" customHeight="false" outlineLevel="0" collapsed="false">
      <c r="A688" s="23" t="n">
        <v>46041.6340277778</v>
      </c>
      <c r="B688" s="24" t="s">
        <v>1081</v>
      </c>
      <c r="C688" s="24" t="s">
        <v>1082</v>
      </c>
      <c r="D688" s="24" t="n">
        <v>1</v>
      </c>
      <c r="E688" s="25" t="n">
        <v>2500</v>
      </c>
      <c r="F688" s="25" t="n">
        <v>1500</v>
      </c>
      <c r="G688" s="24" t="s">
        <v>59</v>
      </c>
      <c r="H688" s="24" t="s">
        <v>55</v>
      </c>
      <c r="I688" s="28" t="n">
        <f aca="false">IF(A688="","",D688*E688)</f>
        <v>2500</v>
      </c>
      <c r="J688" s="28" t="n">
        <f aca="false">IF(A688="","",D688*F688)</f>
        <v>1500</v>
      </c>
      <c r="K688" s="26" t="n">
        <f aca="false">IF(A688="","",YEAR(A688))</f>
        <v>2026</v>
      </c>
      <c r="L688" s="26" t="n">
        <f aca="false">IF(A688="","",MONTH(A688))</f>
        <v>1</v>
      </c>
    </row>
    <row r="689" customFormat="false" ht="15" hidden="false" customHeight="false" outlineLevel="0" collapsed="false">
      <c r="A689" s="23" t="n">
        <v>46042.59375</v>
      </c>
      <c r="B689" s="24" t="s">
        <v>1077</v>
      </c>
      <c r="C689" s="24" t="s">
        <v>1078</v>
      </c>
      <c r="D689" s="24" t="n">
        <v>2</v>
      </c>
      <c r="E689" s="25" t="n">
        <v>1500</v>
      </c>
      <c r="F689" s="25" t="n">
        <v>900</v>
      </c>
      <c r="G689" s="24" t="s">
        <v>59</v>
      </c>
      <c r="H689" s="24" t="s">
        <v>60</v>
      </c>
      <c r="I689" s="28" t="n">
        <f aca="false">IF(A689="","",D689*E689)</f>
        <v>3000</v>
      </c>
      <c r="J689" s="28" t="n">
        <f aca="false">IF(A689="","",D689*F689)</f>
        <v>1800</v>
      </c>
      <c r="K689" s="26" t="n">
        <f aca="false">IF(A689="","",YEAR(A689))</f>
        <v>2026</v>
      </c>
      <c r="L689" s="26" t="n">
        <f aca="false">IF(A689="","",MONTH(A689))</f>
        <v>1</v>
      </c>
    </row>
    <row r="690" customFormat="false" ht="15" hidden="false" customHeight="false" outlineLevel="0" collapsed="false">
      <c r="A690" s="23" t="n">
        <v>46042.6041666667</v>
      </c>
      <c r="B690" s="24" t="s">
        <v>1065</v>
      </c>
      <c r="C690" s="24" t="s">
        <v>1066</v>
      </c>
      <c r="D690" s="24" t="n">
        <v>1</v>
      </c>
      <c r="E690" s="25" t="n">
        <v>3000</v>
      </c>
      <c r="F690" s="25" t="n">
        <v>2000</v>
      </c>
      <c r="G690" s="24" t="s">
        <v>59</v>
      </c>
      <c r="H690" s="24" t="s">
        <v>80</v>
      </c>
      <c r="I690" s="28" t="n">
        <f aca="false">IF(A690="","",D690*E690)</f>
        <v>3000</v>
      </c>
      <c r="J690" s="28" t="n">
        <f aca="false">IF(A690="","",D690*F690)</f>
        <v>2000</v>
      </c>
      <c r="K690" s="26" t="n">
        <f aca="false">IF(A690="","",YEAR(A690))</f>
        <v>2026</v>
      </c>
      <c r="L690" s="26" t="n">
        <f aca="false">IF(A690="","",MONTH(A690))</f>
        <v>1</v>
      </c>
    </row>
    <row r="691" customFormat="false" ht="15" hidden="false" customHeight="false" outlineLevel="0" collapsed="false">
      <c r="A691" s="23" t="n">
        <v>46043.6472222222</v>
      </c>
      <c r="B691" s="24" t="s">
        <v>1073</v>
      </c>
      <c r="C691" s="24" t="s">
        <v>1074</v>
      </c>
      <c r="D691" s="24" t="n">
        <v>1</v>
      </c>
      <c r="E691" s="25" t="n">
        <v>7000</v>
      </c>
      <c r="F691" s="25" t="n">
        <v>4800</v>
      </c>
      <c r="G691" s="24" t="s">
        <v>59</v>
      </c>
      <c r="H691" s="24" t="s">
        <v>60</v>
      </c>
      <c r="I691" s="28" t="n">
        <f aca="false">IF(A691="","",D691*E691)</f>
        <v>7000</v>
      </c>
      <c r="J691" s="28" t="n">
        <f aca="false">IF(A691="","",D691*F691)</f>
        <v>4800</v>
      </c>
      <c r="K691" s="26" t="n">
        <f aca="false">IF(A691="","",YEAR(A691))</f>
        <v>2026</v>
      </c>
      <c r="L691" s="26" t="n">
        <f aca="false">IF(A691="","",MONTH(A691))</f>
        <v>1</v>
      </c>
    </row>
    <row r="692" customFormat="false" ht="15" hidden="false" customHeight="false" outlineLevel="0" collapsed="false">
      <c r="A692" s="23" t="n">
        <v>46044.3548611111</v>
      </c>
      <c r="B692" s="24" t="s">
        <v>1071</v>
      </c>
      <c r="C692" s="24" t="s">
        <v>1072</v>
      </c>
      <c r="D692" s="24" t="n">
        <v>1</v>
      </c>
      <c r="E692" s="25" t="n">
        <v>2000</v>
      </c>
      <c r="F692" s="25" t="n">
        <v>1100</v>
      </c>
      <c r="G692" s="24" t="s">
        <v>69</v>
      </c>
      <c r="H692" s="24" t="s">
        <v>60</v>
      </c>
      <c r="I692" s="28" t="n">
        <f aca="false">IF(A692="","",D692*E692)</f>
        <v>2000</v>
      </c>
      <c r="J692" s="28" t="n">
        <f aca="false">IF(A692="","",D692*F692)</f>
        <v>1100</v>
      </c>
      <c r="K692" s="26" t="n">
        <f aca="false">IF(A692="","",YEAR(A692))</f>
        <v>2026</v>
      </c>
      <c r="L692" s="26" t="n">
        <f aca="false">IF(A692="","",MONTH(A692))</f>
        <v>1</v>
      </c>
    </row>
    <row r="693" customFormat="false" ht="15" hidden="false" customHeight="false" outlineLevel="0" collapsed="false">
      <c r="A693" s="23" t="n">
        <v>46044.4854166667</v>
      </c>
      <c r="B693" s="24" t="s">
        <v>1081</v>
      </c>
      <c r="C693" s="24" t="s">
        <v>1082</v>
      </c>
      <c r="D693" s="24" t="n">
        <v>2</v>
      </c>
      <c r="E693" s="25" t="n">
        <v>2500</v>
      </c>
      <c r="F693" s="25" t="n">
        <v>1500</v>
      </c>
      <c r="G693" s="24" t="s">
        <v>69</v>
      </c>
      <c r="H693" s="24" t="s">
        <v>60</v>
      </c>
      <c r="I693" s="28" t="n">
        <f aca="false">IF(A693="","",D693*E693)</f>
        <v>5000</v>
      </c>
      <c r="J693" s="28" t="n">
        <f aca="false">IF(A693="","",D693*F693)</f>
        <v>3000</v>
      </c>
      <c r="K693" s="26" t="n">
        <f aca="false">IF(A693="","",YEAR(A693))</f>
        <v>2026</v>
      </c>
      <c r="L693" s="26" t="n">
        <f aca="false">IF(A693="","",MONTH(A693))</f>
        <v>1</v>
      </c>
    </row>
    <row r="694" customFormat="false" ht="15" hidden="false" customHeight="false" outlineLevel="0" collapsed="false">
      <c r="A694" s="23" t="n">
        <v>46044.6291666667</v>
      </c>
      <c r="B694" s="24" t="s">
        <v>1067</v>
      </c>
      <c r="C694" s="24" t="s">
        <v>1068</v>
      </c>
      <c r="D694" s="24" t="n">
        <v>2</v>
      </c>
      <c r="E694" s="25" t="n">
        <v>4000</v>
      </c>
      <c r="F694" s="25" t="n">
        <v>2600</v>
      </c>
      <c r="G694" s="24" t="s">
        <v>59</v>
      </c>
      <c r="H694" s="24" t="s">
        <v>55</v>
      </c>
      <c r="I694" s="28" t="n">
        <f aca="false">IF(A694="","",D694*E694)</f>
        <v>8000</v>
      </c>
      <c r="J694" s="28" t="n">
        <f aca="false">IF(A694="","",D694*F694)</f>
        <v>5200</v>
      </c>
      <c r="K694" s="26" t="n">
        <f aca="false">IF(A694="","",YEAR(A694))</f>
        <v>2026</v>
      </c>
      <c r="L694" s="26" t="n">
        <f aca="false">IF(A694="","",MONTH(A694))</f>
        <v>1</v>
      </c>
    </row>
    <row r="695" customFormat="false" ht="15" hidden="false" customHeight="false" outlineLevel="0" collapsed="false">
      <c r="A695" s="23" t="n">
        <v>46045.9118055556</v>
      </c>
      <c r="B695" s="24" t="s">
        <v>1081</v>
      </c>
      <c r="C695" s="24" t="s">
        <v>1082</v>
      </c>
      <c r="D695" s="24" t="n">
        <v>1</v>
      </c>
      <c r="E695" s="25" t="n">
        <v>2500</v>
      </c>
      <c r="F695" s="25" t="n">
        <v>1500</v>
      </c>
      <c r="G695" s="24" t="s">
        <v>69</v>
      </c>
      <c r="H695" s="24" t="s">
        <v>80</v>
      </c>
      <c r="I695" s="28" t="n">
        <f aca="false">IF(A695="","",D695*E695)</f>
        <v>2500</v>
      </c>
      <c r="J695" s="28" t="n">
        <f aca="false">IF(A695="","",D695*F695)</f>
        <v>1500</v>
      </c>
      <c r="K695" s="26" t="n">
        <f aca="false">IF(A695="","",YEAR(A695))</f>
        <v>2026</v>
      </c>
      <c r="L695" s="26" t="n">
        <f aca="false">IF(A695="","",MONTH(A695))</f>
        <v>1</v>
      </c>
    </row>
    <row r="696" customFormat="false" ht="15" hidden="false" customHeight="false" outlineLevel="0" collapsed="false">
      <c r="A696" s="23" t="n">
        <v>46046.6729166667</v>
      </c>
      <c r="B696" s="24" t="s">
        <v>1077</v>
      </c>
      <c r="C696" s="24" t="s">
        <v>1078</v>
      </c>
      <c r="D696" s="24" t="n">
        <v>3</v>
      </c>
      <c r="E696" s="25" t="n">
        <v>1500</v>
      </c>
      <c r="F696" s="25" t="n">
        <v>900</v>
      </c>
      <c r="G696" s="24" t="s">
        <v>59</v>
      </c>
      <c r="H696" s="24" t="s">
        <v>55</v>
      </c>
      <c r="I696" s="28" t="n">
        <f aca="false">IF(A696="","",D696*E696)</f>
        <v>4500</v>
      </c>
      <c r="J696" s="28" t="n">
        <f aca="false">IF(A696="","",D696*F696)</f>
        <v>2700</v>
      </c>
      <c r="K696" s="26" t="n">
        <f aca="false">IF(A696="","",YEAR(A696))</f>
        <v>2026</v>
      </c>
      <c r="L696" s="26" t="n">
        <f aca="false">IF(A696="","",MONTH(A696))</f>
        <v>1</v>
      </c>
    </row>
    <row r="697" customFormat="false" ht="15" hidden="false" customHeight="false" outlineLevel="0" collapsed="false">
      <c r="A697" s="23" t="n">
        <v>46046.7597222222</v>
      </c>
      <c r="B697" s="24" t="s">
        <v>1065</v>
      </c>
      <c r="C697" s="24" t="s">
        <v>1066</v>
      </c>
      <c r="D697" s="24" t="n">
        <v>1</v>
      </c>
      <c r="E697" s="25" t="n">
        <v>3000</v>
      </c>
      <c r="F697" s="25" t="n">
        <v>2000</v>
      </c>
      <c r="G697" s="24" t="s">
        <v>59</v>
      </c>
      <c r="H697" s="24" t="s">
        <v>80</v>
      </c>
      <c r="I697" s="28" t="n">
        <f aca="false">IF(A697="","",D697*E697)</f>
        <v>3000</v>
      </c>
      <c r="J697" s="28" t="n">
        <f aca="false">IF(A697="","",D697*F697)</f>
        <v>2000</v>
      </c>
      <c r="K697" s="26" t="n">
        <f aca="false">IF(A697="","",YEAR(A697))</f>
        <v>2026</v>
      </c>
      <c r="L697" s="26" t="n">
        <f aca="false">IF(A697="","",MONTH(A697))</f>
        <v>1</v>
      </c>
    </row>
    <row r="698" customFormat="false" ht="15" hidden="false" customHeight="false" outlineLevel="0" collapsed="false">
      <c r="A698" s="23" t="n">
        <v>46047.65</v>
      </c>
      <c r="B698" s="24" t="s">
        <v>1077</v>
      </c>
      <c r="C698" s="24" t="s">
        <v>1078</v>
      </c>
      <c r="D698" s="24" t="n">
        <v>1</v>
      </c>
      <c r="E698" s="25" t="n">
        <v>1500</v>
      </c>
      <c r="F698" s="25" t="n">
        <v>900</v>
      </c>
      <c r="G698" s="24" t="s">
        <v>59</v>
      </c>
      <c r="H698" s="24" t="s">
        <v>60</v>
      </c>
      <c r="I698" s="28" t="n">
        <f aca="false">IF(A698="","",D698*E698)</f>
        <v>1500</v>
      </c>
      <c r="J698" s="28" t="n">
        <f aca="false">IF(A698="","",D698*F698)</f>
        <v>900</v>
      </c>
      <c r="K698" s="26" t="n">
        <f aca="false">IF(A698="","",YEAR(A698))</f>
        <v>2026</v>
      </c>
      <c r="L698" s="26" t="n">
        <f aca="false">IF(A698="","",MONTH(A698))</f>
        <v>1</v>
      </c>
    </row>
    <row r="699" customFormat="false" ht="15" hidden="false" customHeight="false" outlineLevel="0" collapsed="false">
      <c r="A699" s="23" t="n">
        <v>46047.7090277778</v>
      </c>
      <c r="B699" s="24" t="s">
        <v>1081</v>
      </c>
      <c r="C699" s="24" t="s">
        <v>1082</v>
      </c>
      <c r="D699" s="24" t="n">
        <v>1</v>
      </c>
      <c r="E699" s="25" t="n">
        <v>2500</v>
      </c>
      <c r="F699" s="25" t="n">
        <v>1500</v>
      </c>
      <c r="G699" s="24" t="s">
        <v>59</v>
      </c>
      <c r="H699" s="24" t="s">
        <v>55</v>
      </c>
      <c r="I699" s="28" t="n">
        <f aca="false">IF(A699="","",D699*E699)</f>
        <v>2500</v>
      </c>
      <c r="J699" s="28" t="n">
        <f aca="false">IF(A699="","",D699*F699)</f>
        <v>1500</v>
      </c>
      <c r="K699" s="26" t="n">
        <f aca="false">IF(A699="","",YEAR(A699))</f>
        <v>2026</v>
      </c>
      <c r="L699" s="26" t="n">
        <f aca="false">IF(A699="","",MONTH(A699))</f>
        <v>1</v>
      </c>
    </row>
    <row r="700" customFormat="false" ht="15" hidden="false" customHeight="false" outlineLevel="0" collapsed="false">
      <c r="A700" s="23" t="n">
        <v>46047.7444444444</v>
      </c>
      <c r="B700" s="24" t="s">
        <v>1065</v>
      </c>
      <c r="C700" s="24" t="s">
        <v>1066</v>
      </c>
      <c r="D700" s="24" t="n">
        <v>1</v>
      </c>
      <c r="E700" s="25" t="n">
        <v>3000</v>
      </c>
      <c r="F700" s="25" t="n">
        <v>2000</v>
      </c>
      <c r="G700" s="24" t="s">
        <v>69</v>
      </c>
      <c r="H700" s="24" t="s">
        <v>80</v>
      </c>
      <c r="I700" s="28" t="n">
        <f aca="false">IF(A700="","",D700*E700)</f>
        <v>3000</v>
      </c>
      <c r="J700" s="28" t="n">
        <f aca="false">IF(A700="","",D700*F700)</f>
        <v>2000</v>
      </c>
      <c r="K700" s="26" t="n">
        <f aca="false">IF(A700="","",YEAR(A700))</f>
        <v>2026</v>
      </c>
      <c r="L700" s="26" t="n">
        <f aca="false">IF(A700="","",MONTH(A700))</f>
        <v>1</v>
      </c>
    </row>
    <row r="701" customFormat="false" ht="15" hidden="false" customHeight="false" outlineLevel="0" collapsed="false">
      <c r="A701" s="23" t="n">
        <v>46047.7763888889</v>
      </c>
      <c r="B701" s="24" t="s">
        <v>1071</v>
      </c>
      <c r="C701" s="24" t="s">
        <v>1072</v>
      </c>
      <c r="D701" s="24" t="n">
        <v>2</v>
      </c>
      <c r="E701" s="25" t="n">
        <v>2000</v>
      </c>
      <c r="F701" s="25" t="n">
        <v>1100</v>
      </c>
      <c r="G701" s="24" t="s">
        <v>59</v>
      </c>
      <c r="H701" s="24" t="s">
        <v>55</v>
      </c>
      <c r="I701" s="28" t="n">
        <f aca="false">IF(A701="","",D701*E701)</f>
        <v>4000</v>
      </c>
      <c r="J701" s="28" t="n">
        <f aca="false">IF(A701="","",D701*F701)</f>
        <v>2200</v>
      </c>
      <c r="K701" s="26" t="n">
        <f aca="false">IF(A701="","",YEAR(A701))</f>
        <v>2026</v>
      </c>
      <c r="L701" s="26" t="n">
        <f aca="false">IF(A701="","",MONTH(A701))</f>
        <v>1</v>
      </c>
    </row>
    <row r="702" customFormat="false" ht="15" hidden="false" customHeight="false" outlineLevel="0" collapsed="false">
      <c r="A702" s="23" t="n">
        <v>46048.3625</v>
      </c>
      <c r="B702" s="24" t="s">
        <v>1067</v>
      </c>
      <c r="C702" s="24" t="s">
        <v>1068</v>
      </c>
      <c r="D702" s="24" t="n">
        <v>3</v>
      </c>
      <c r="E702" s="25" t="n">
        <v>4000</v>
      </c>
      <c r="F702" s="25" t="n">
        <v>2600</v>
      </c>
      <c r="G702" s="24" t="s">
        <v>59</v>
      </c>
      <c r="H702" s="24" t="s">
        <v>60</v>
      </c>
      <c r="I702" s="28" t="n">
        <f aca="false">IF(A702="","",D702*E702)</f>
        <v>12000</v>
      </c>
      <c r="J702" s="28" t="n">
        <f aca="false">IF(A702="","",D702*F702)</f>
        <v>7800</v>
      </c>
      <c r="K702" s="26" t="n">
        <f aca="false">IF(A702="","",YEAR(A702))</f>
        <v>2026</v>
      </c>
      <c r="L702" s="26" t="n">
        <f aca="false">IF(A702="","",MONTH(A702))</f>
        <v>1</v>
      </c>
    </row>
    <row r="703" customFormat="false" ht="15" hidden="false" customHeight="false" outlineLevel="0" collapsed="false">
      <c r="A703" s="23" t="n">
        <v>46048.5548611111</v>
      </c>
      <c r="B703" s="24" t="s">
        <v>1073</v>
      </c>
      <c r="C703" s="24" t="s">
        <v>1074</v>
      </c>
      <c r="D703" s="24" t="n">
        <v>3</v>
      </c>
      <c r="E703" s="25" t="n">
        <v>7000</v>
      </c>
      <c r="F703" s="25" t="n">
        <v>4800</v>
      </c>
      <c r="G703" s="24" t="s">
        <v>59</v>
      </c>
      <c r="H703" s="24" t="s">
        <v>55</v>
      </c>
      <c r="I703" s="28" t="n">
        <f aca="false">IF(A703="","",D703*E703)</f>
        <v>21000</v>
      </c>
      <c r="J703" s="28" t="n">
        <f aca="false">IF(A703="","",D703*F703)</f>
        <v>14400</v>
      </c>
      <c r="K703" s="26" t="n">
        <f aca="false">IF(A703="","",YEAR(A703))</f>
        <v>2026</v>
      </c>
      <c r="L703" s="26" t="n">
        <f aca="false">IF(A703="","",MONTH(A703))</f>
        <v>1</v>
      </c>
    </row>
    <row r="704" customFormat="false" ht="15" hidden="false" customHeight="false" outlineLevel="0" collapsed="false">
      <c r="A704" s="23" t="n">
        <v>46048.6736111111</v>
      </c>
      <c r="B704" s="24" t="s">
        <v>1077</v>
      </c>
      <c r="C704" s="24" t="s">
        <v>1078</v>
      </c>
      <c r="D704" s="24" t="n">
        <v>1</v>
      </c>
      <c r="E704" s="25" t="n">
        <v>1500</v>
      </c>
      <c r="F704" s="25" t="n">
        <v>900</v>
      </c>
      <c r="G704" s="24" t="s">
        <v>59</v>
      </c>
      <c r="H704" s="24" t="s">
        <v>60</v>
      </c>
      <c r="I704" s="28" t="n">
        <f aca="false">IF(A704="","",D704*E704)</f>
        <v>1500</v>
      </c>
      <c r="J704" s="28" t="n">
        <f aca="false">IF(A704="","",D704*F704)</f>
        <v>900</v>
      </c>
      <c r="K704" s="26" t="n">
        <f aca="false">IF(A704="","",YEAR(A704))</f>
        <v>2026</v>
      </c>
      <c r="L704" s="26" t="n">
        <f aca="false">IF(A704="","",MONTH(A704))</f>
        <v>1</v>
      </c>
    </row>
    <row r="705" customFormat="false" ht="15" hidden="false" customHeight="false" outlineLevel="0" collapsed="false">
      <c r="A705" s="23" t="n">
        <v>46049.3965277778</v>
      </c>
      <c r="B705" s="24" t="s">
        <v>1079</v>
      </c>
      <c r="C705" s="24" t="s">
        <v>1080</v>
      </c>
      <c r="D705" s="24" t="n">
        <v>1</v>
      </c>
      <c r="E705" s="25" t="n">
        <v>2500</v>
      </c>
      <c r="F705" s="25" t="n">
        <v>1600</v>
      </c>
      <c r="G705" s="24" t="s">
        <v>59</v>
      </c>
      <c r="H705" s="24" t="s">
        <v>60</v>
      </c>
      <c r="I705" s="28" t="n">
        <f aca="false">IF(A705="","",D705*E705)</f>
        <v>2500</v>
      </c>
      <c r="J705" s="28" t="n">
        <f aca="false">IF(A705="","",D705*F705)</f>
        <v>1600</v>
      </c>
      <c r="K705" s="26" t="n">
        <f aca="false">IF(A705="","",YEAR(A705))</f>
        <v>2026</v>
      </c>
      <c r="L705" s="26" t="n">
        <f aca="false">IF(A705="","",MONTH(A705))</f>
        <v>1</v>
      </c>
    </row>
    <row r="706" customFormat="false" ht="15" hidden="false" customHeight="false" outlineLevel="0" collapsed="false">
      <c r="A706" s="23" t="n">
        <v>46049.3965277778</v>
      </c>
      <c r="B706" s="24" t="s">
        <v>1079</v>
      </c>
      <c r="C706" s="24" t="s">
        <v>1080</v>
      </c>
      <c r="D706" s="24" t="n">
        <v>1</v>
      </c>
      <c r="E706" s="25" t="n">
        <v>2500</v>
      </c>
      <c r="F706" s="25" t="n">
        <v>1600</v>
      </c>
      <c r="G706" s="24" t="s">
        <v>69</v>
      </c>
      <c r="H706" s="24" t="s">
        <v>80</v>
      </c>
      <c r="I706" s="28" t="n">
        <f aca="false">IF(A706="","",D706*E706)</f>
        <v>2500</v>
      </c>
      <c r="J706" s="28" t="n">
        <f aca="false">IF(A706="","",D706*F706)</f>
        <v>1600</v>
      </c>
      <c r="K706" s="26" t="n">
        <f aca="false">IF(A706="","",YEAR(A706))</f>
        <v>2026</v>
      </c>
      <c r="L706" s="26" t="n">
        <f aca="false">IF(A706="","",MONTH(A706))</f>
        <v>1</v>
      </c>
    </row>
    <row r="707" customFormat="false" ht="15" hidden="false" customHeight="false" outlineLevel="0" collapsed="false">
      <c r="A707" s="23" t="n">
        <v>46049.4506944444</v>
      </c>
      <c r="B707" s="24" t="s">
        <v>1065</v>
      </c>
      <c r="C707" s="24" t="s">
        <v>1066</v>
      </c>
      <c r="D707" s="24" t="n">
        <v>1</v>
      </c>
      <c r="E707" s="25" t="n">
        <v>3000</v>
      </c>
      <c r="F707" s="25" t="n">
        <v>2000</v>
      </c>
      <c r="G707" s="24" t="s">
        <v>59</v>
      </c>
      <c r="H707" s="24" t="s">
        <v>55</v>
      </c>
      <c r="I707" s="28" t="n">
        <f aca="false">IF(A707="","",D707*E707)</f>
        <v>3000</v>
      </c>
      <c r="J707" s="28" t="n">
        <f aca="false">IF(A707="","",D707*F707)</f>
        <v>2000</v>
      </c>
      <c r="K707" s="26" t="n">
        <f aca="false">IF(A707="","",YEAR(A707))</f>
        <v>2026</v>
      </c>
      <c r="L707" s="26" t="n">
        <f aca="false">IF(A707="","",MONTH(A707))</f>
        <v>1</v>
      </c>
    </row>
    <row r="708" customFormat="false" ht="15" hidden="false" customHeight="false" outlineLevel="0" collapsed="false">
      <c r="A708" s="23" t="n">
        <v>46050.3979166667</v>
      </c>
      <c r="B708" s="24" t="s">
        <v>1065</v>
      </c>
      <c r="C708" s="24" t="s">
        <v>1066</v>
      </c>
      <c r="D708" s="24" t="n">
        <v>3</v>
      </c>
      <c r="E708" s="25" t="n">
        <v>3000</v>
      </c>
      <c r="F708" s="25" t="n">
        <v>2000</v>
      </c>
      <c r="G708" s="24" t="s">
        <v>59</v>
      </c>
      <c r="H708" s="24" t="s">
        <v>55</v>
      </c>
      <c r="I708" s="28" t="n">
        <f aca="false">IF(A708="","",D708*E708)</f>
        <v>9000</v>
      </c>
      <c r="J708" s="28" t="n">
        <f aca="false">IF(A708="","",D708*F708)</f>
        <v>6000</v>
      </c>
      <c r="K708" s="26" t="n">
        <f aca="false">IF(A708="","",YEAR(A708))</f>
        <v>2026</v>
      </c>
      <c r="L708" s="26" t="n">
        <f aca="false">IF(A708="","",MONTH(A708))</f>
        <v>1</v>
      </c>
    </row>
    <row r="709" customFormat="false" ht="15" hidden="false" customHeight="false" outlineLevel="0" collapsed="false">
      <c r="A709" s="23" t="n">
        <v>46050.8819444445</v>
      </c>
      <c r="B709" s="24" t="s">
        <v>1069</v>
      </c>
      <c r="C709" s="24" t="s">
        <v>1070</v>
      </c>
      <c r="D709" s="24" t="n">
        <v>2</v>
      </c>
      <c r="E709" s="25" t="n">
        <v>4500</v>
      </c>
      <c r="F709" s="25" t="n">
        <v>3000</v>
      </c>
      <c r="G709" s="24" t="s">
        <v>69</v>
      </c>
      <c r="H709" s="24" t="s">
        <v>55</v>
      </c>
      <c r="I709" s="28" t="n">
        <f aca="false">IF(A709="","",D709*E709)</f>
        <v>9000</v>
      </c>
      <c r="J709" s="28" t="n">
        <f aca="false">IF(A709="","",D709*F709)</f>
        <v>6000</v>
      </c>
      <c r="K709" s="26" t="n">
        <f aca="false">IF(A709="","",YEAR(A709))</f>
        <v>2026</v>
      </c>
      <c r="L709" s="26" t="n">
        <f aca="false">IF(A709="","",MONTH(A709))</f>
        <v>1</v>
      </c>
    </row>
    <row r="710" customFormat="false" ht="15" hidden="false" customHeight="false" outlineLevel="0" collapsed="false">
      <c r="A710" s="23" t="n">
        <v>46054.3090277778</v>
      </c>
      <c r="B710" s="24" t="s">
        <v>1069</v>
      </c>
      <c r="C710" s="24" t="s">
        <v>1070</v>
      </c>
      <c r="D710" s="24" t="n">
        <v>1</v>
      </c>
      <c r="E710" s="25" t="n">
        <v>4500</v>
      </c>
      <c r="F710" s="25" t="n">
        <v>3000</v>
      </c>
      <c r="G710" s="24" t="s">
        <v>59</v>
      </c>
      <c r="H710" s="24" t="s">
        <v>80</v>
      </c>
      <c r="I710" s="28" t="n">
        <f aca="false">IF(A710="","",D710*E710)</f>
        <v>4500</v>
      </c>
      <c r="J710" s="28" t="n">
        <f aca="false">IF(A710="","",D710*F710)</f>
        <v>3000</v>
      </c>
      <c r="K710" s="26" t="n">
        <f aca="false">IF(A710="","",YEAR(A710))</f>
        <v>2026</v>
      </c>
      <c r="L710" s="26" t="n">
        <f aca="false">IF(A710="","",MONTH(A710))</f>
        <v>2</v>
      </c>
    </row>
    <row r="711" customFormat="false" ht="15" hidden="false" customHeight="false" outlineLevel="0" collapsed="false">
      <c r="A711" s="23" t="n">
        <v>46054.6256944445</v>
      </c>
      <c r="B711" s="24" t="s">
        <v>1069</v>
      </c>
      <c r="C711" s="24" t="s">
        <v>1070</v>
      </c>
      <c r="D711" s="24" t="n">
        <v>1</v>
      </c>
      <c r="E711" s="25" t="n">
        <v>4500</v>
      </c>
      <c r="F711" s="25" t="n">
        <v>3000</v>
      </c>
      <c r="G711" s="24" t="s">
        <v>59</v>
      </c>
      <c r="H711" s="24" t="s">
        <v>60</v>
      </c>
      <c r="I711" s="28" t="n">
        <f aca="false">IF(A711="","",D711*E711)</f>
        <v>4500</v>
      </c>
      <c r="J711" s="28" t="n">
        <f aca="false">IF(A711="","",D711*F711)</f>
        <v>3000</v>
      </c>
      <c r="K711" s="26" t="n">
        <f aca="false">IF(A711="","",YEAR(A711))</f>
        <v>2026</v>
      </c>
      <c r="L711" s="26" t="n">
        <f aca="false">IF(A711="","",MONTH(A711))</f>
        <v>2</v>
      </c>
    </row>
    <row r="712" customFormat="false" ht="15" hidden="false" customHeight="false" outlineLevel="0" collapsed="false">
      <c r="A712" s="23" t="n">
        <v>46054.6618055556</v>
      </c>
      <c r="B712" s="24" t="s">
        <v>1075</v>
      </c>
      <c r="C712" s="24" t="s">
        <v>1076</v>
      </c>
      <c r="D712" s="24" t="n">
        <v>2</v>
      </c>
      <c r="E712" s="25" t="n">
        <v>1000</v>
      </c>
      <c r="F712" s="25" t="n">
        <v>300</v>
      </c>
      <c r="G712" s="24" t="s">
        <v>69</v>
      </c>
      <c r="H712" s="24" t="s">
        <v>60</v>
      </c>
      <c r="I712" s="28" t="n">
        <f aca="false">IF(A712="","",D712*E712)</f>
        <v>2000</v>
      </c>
      <c r="J712" s="28" t="n">
        <f aca="false">IF(A712="","",D712*F712)</f>
        <v>600</v>
      </c>
      <c r="K712" s="26" t="n">
        <f aca="false">IF(A712="","",YEAR(A712))</f>
        <v>2026</v>
      </c>
      <c r="L712" s="26" t="n">
        <f aca="false">IF(A712="","",MONTH(A712))</f>
        <v>2</v>
      </c>
    </row>
    <row r="713" customFormat="false" ht="15" hidden="false" customHeight="false" outlineLevel="0" collapsed="false">
      <c r="A713" s="23" t="n">
        <v>46057.7298611111</v>
      </c>
      <c r="B713" s="24" t="s">
        <v>1075</v>
      </c>
      <c r="C713" s="24" t="s">
        <v>1076</v>
      </c>
      <c r="D713" s="24" t="n">
        <v>1</v>
      </c>
      <c r="E713" s="25" t="n">
        <v>1000</v>
      </c>
      <c r="F713" s="25" t="n">
        <v>300</v>
      </c>
      <c r="G713" s="24" t="s">
        <v>59</v>
      </c>
      <c r="H713" s="24" t="s">
        <v>55</v>
      </c>
      <c r="I713" s="28" t="n">
        <f aca="false">IF(A713="","",D713*E713)</f>
        <v>1000</v>
      </c>
      <c r="J713" s="28" t="n">
        <f aca="false">IF(A713="","",D713*F713)</f>
        <v>300</v>
      </c>
      <c r="K713" s="26" t="n">
        <f aca="false">IF(A713="","",YEAR(A713))</f>
        <v>2026</v>
      </c>
      <c r="L713" s="26" t="n">
        <f aca="false">IF(A713="","",MONTH(A713))</f>
        <v>2</v>
      </c>
    </row>
    <row r="714" customFormat="false" ht="15" hidden="false" customHeight="false" outlineLevel="0" collapsed="false">
      <c r="A714" s="23" t="n">
        <v>46057.7402777778</v>
      </c>
      <c r="B714" s="24" t="s">
        <v>1071</v>
      </c>
      <c r="C714" s="24" t="s">
        <v>1072</v>
      </c>
      <c r="D714" s="24" t="n">
        <v>1</v>
      </c>
      <c r="E714" s="25" t="n">
        <v>2000</v>
      </c>
      <c r="F714" s="25" t="n">
        <v>1100</v>
      </c>
      <c r="G714" s="24" t="s">
        <v>59</v>
      </c>
      <c r="H714" s="24" t="s">
        <v>80</v>
      </c>
      <c r="I714" s="28" t="n">
        <f aca="false">IF(A714="","",D714*E714)</f>
        <v>2000</v>
      </c>
      <c r="J714" s="28" t="n">
        <f aca="false">IF(A714="","",D714*F714)</f>
        <v>1100</v>
      </c>
      <c r="K714" s="26" t="n">
        <f aca="false">IF(A714="","",YEAR(A714))</f>
        <v>2026</v>
      </c>
      <c r="L714" s="26" t="n">
        <f aca="false">IF(A714="","",MONTH(A714))</f>
        <v>2</v>
      </c>
    </row>
    <row r="715" customFormat="false" ht="15" hidden="false" customHeight="false" outlineLevel="0" collapsed="false">
      <c r="A715" s="23" t="n">
        <v>46057.7736111111</v>
      </c>
      <c r="B715" s="24" t="s">
        <v>1077</v>
      </c>
      <c r="C715" s="24" t="s">
        <v>1078</v>
      </c>
      <c r="D715" s="24" t="n">
        <v>2</v>
      </c>
      <c r="E715" s="25" t="n">
        <v>1500</v>
      </c>
      <c r="F715" s="25" t="n">
        <v>900</v>
      </c>
      <c r="G715" s="24" t="s">
        <v>69</v>
      </c>
      <c r="H715" s="24" t="s">
        <v>60</v>
      </c>
      <c r="I715" s="28" t="n">
        <f aca="false">IF(A715="","",D715*E715)</f>
        <v>3000</v>
      </c>
      <c r="J715" s="28" t="n">
        <f aca="false">IF(A715="","",D715*F715)</f>
        <v>1800</v>
      </c>
      <c r="K715" s="26" t="n">
        <f aca="false">IF(A715="","",YEAR(A715))</f>
        <v>2026</v>
      </c>
      <c r="L715" s="26" t="n">
        <f aca="false">IF(A715="","",MONTH(A715))</f>
        <v>2</v>
      </c>
    </row>
    <row r="716" customFormat="false" ht="15" hidden="false" customHeight="false" outlineLevel="0" collapsed="false">
      <c r="A716" s="23" t="n">
        <v>46058.4854166667</v>
      </c>
      <c r="B716" s="24" t="s">
        <v>1069</v>
      </c>
      <c r="C716" s="24" t="s">
        <v>1070</v>
      </c>
      <c r="D716" s="24" t="n">
        <v>1</v>
      </c>
      <c r="E716" s="25" t="n">
        <v>4500</v>
      </c>
      <c r="F716" s="25" t="n">
        <v>3000</v>
      </c>
      <c r="G716" s="24" t="s">
        <v>69</v>
      </c>
      <c r="H716" s="24" t="s">
        <v>80</v>
      </c>
      <c r="I716" s="28" t="n">
        <f aca="false">IF(A716="","",D716*E716)</f>
        <v>4500</v>
      </c>
      <c r="J716" s="28" t="n">
        <f aca="false">IF(A716="","",D716*F716)</f>
        <v>3000</v>
      </c>
      <c r="K716" s="26" t="n">
        <f aca="false">IF(A716="","",YEAR(A716))</f>
        <v>2026</v>
      </c>
      <c r="L716" s="26" t="n">
        <f aca="false">IF(A716="","",MONTH(A716))</f>
        <v>2</v>
      </c>
    </row>
    <row r="717" customFormat="false" ht="15" hidden="false" customHeight="false" outlineLevel="0" collapsed="false">
      <c r="A717" s="23" t="n">
        <v>46058.5027777778</v>
      </c>
      <c r="B717" s="24" t="s">
        <v>1071</v>
      </c>
      <c r="C717" s="24" t="s">
        <v>1072</v>
      </c>
      <c r="D717" s="24" t="n">
        <v>3</v>
      </c>
      <c r="E717" s="25" t="n">
        <v>2000</v>
      </c>
      <c r="F717" s="25" t="n">
        <v>1100</v>
      </c>
      <c r="G717" s="24" t="s">
        <v>59</v>
      </c>
      <c r="H717" s="24" t="s">
        <v>80</v>
      </c>
      <c r="I717" s="28" t="n">
        <f aca="false">IF(A717="","",D717*E717)</f>
        <v>6000</v>
      </c>
      <c r="J717" s="28" t="n">
        <f aca="false">IF(A717="","",D717*F717)</f>
        <v>3300</v>
      </c>
      <c r="K717" s="26" t="n">
        <f aca="false">IF(A717="","",YEAR(A717))</f>
        <v>2026</v>
      </c>
      <c r="L717" s="26" t="n">
        <f aca="false">IF(A717="","",MONTH(A717))</f>
        <v>2</v>
      </c>
    </row>
    <row r="718" customFormat="false" ht="15" hidden="false" customHeight="false" outlineLevel="0" collapsed="false">
      <c r="A718" s="23" t="n">
        <v>46059.4055555556</v>
      </c>
      <c r="B718" s="24" t="s">
        <v>1079</v>
      </c>
      <c r="C718" s="24" t="s">
        <v>1080</v>
      </c>
      <c r="D718" s="24" t="n">
        <v>1</v>
      </c>
      <c r="E718" s="25" t="n">
        <v>2500</v>
      </c>
      <c r="F718" s="25" t="n">
        <v>1600</v>
      </c>
      <c r="G718" s="24" t="s">
        <v>59</v>
      </c>
      <c r="H718" s="24" t="s">
        <v>55</v>
      </c>
      <c r="I718" s="28" t="n">
        <f aca="false">IF(A718="","",D718*E718)</f>
        <v>2500</v>
      </c>
      <c r="J718" s="28" t="n">
        <f aca="false">IF(A718="","",D718*F718)</f>
        <v>1600</v>
      </c>
      <c r="K718" s="26" t="n">
        <f aca="false">IF(A718="","",YEAR(A718))</f>
        <v>2026</v>
      </c>
      <c r="L718" s="26" t="n">
        <f aca="false">IF(A718="","",MONTH(A718))</f>
        <v>2</v>
      </c>
    </row>
    <row r="719" customFormat="false" ht="15" hidden="false" customHeight="false" outlineLevel="0" collapsed="false">
      <c r="A719" s="23" t="n">
        <v>46059.4277777778</v>
      </c>
      <c r="B719" s="24" t="s">
        <v>1075</v>
      </c>
      <c r="C719" s="24" t="s">
        <v>1076</v>
      </c>
      <c r="D719" s="24" t="n">
        <v>1</v>
      </c>
      <c r="E719" s="25" t="n">
        <v>1000</v>
      </c>
      <c r="F719" s="25" t="n">
        <v>300</v>
      </c>
      <c r="G719" s="24" t="s">
        <v>59</v>
      </c>
      <c r="H719" s="24" t="s">
        <v>60</v>
      </c>
      <c r="I719" s="28" t="n">
        <f aca="false">IF(A719="","",D719*E719)</f>
        <v>1000</v>
      </c>
      <c r="J719" s="28" t="n">
        <f aca="false">IF(A719="","",D719*F719)</f>
        <v>300</v>
      </c>
      <c r="K719" s="26" t="n">
        <f aca="false">IF(A719="","",YEAR(A719))</f>
        <v>2026</v>
      </c>
      <c r="L719" s="26" t="n">
        <f aca="false">IF(A719="","",MONTH(A719))</f>
        <v>2</v>
      </c>
    </row>
    <row r="720" customFormat="false" ht="15" hidden="false" customHeight="false" outlineLevel="0" collapsed="false">
      <c r="A720" s="23" t="n">
        <v>46059.6243055556</v>
      </c>
      <c r="B720" s="24" t="s">
        <v>1069</v>
      </c>
      <c r="C720" s="24" t="s">
        <v>1070</v>
      </c>
      <c r="D720" s="24" t="n">
        <v>1</v>
      </c>
      <c r="E720" s="25" t="n">
        <v>4500</v>
      </c>
      <c r="F720" s="25" t="n">
        <v>3000</v>
      </c>
      <c r="G720" s="24" t="s">
        <v>69</v>
      </c>
      <c r="H720" s="24" t="s">
        <v>60</v>
      </c>
      <c r="I720" s="28" t="n">
        <f aca="false">IF(A720="","",D720*E720)</f>
        <v>4500</v>
      </c>
      <c r="J720" s="28" t="n">
        <f aca="false">IF(A720="","",D720*F720)</f>
        <v>3000</v>
      </c>
      <c r="K720" s="26" t="n">
        <f aca="false">IF(A720="","",YEAR(A720))</f>
        <v>2026</v>
      </c>
      <c r="L720" s="26" t="n">
        <f aca="false">IF(A720="","",MONTH(A720))</f>
        <v>2</v>
      </c>
    </row>
    <row r="721" customFormat="false" ht="15" hidden="false" customHeight="false" outlineLevel="0" collapsed="false">
      <c r="A721" s="23" t="n">
        <v>46059.6416666667</v>
      </c>
      <c r="B721" s="24" t="s">
        <v>1069</v>
      </c>
      <c r="C721" s="24" t="s">
        <v>1070</v>
      </c>
      <c r="D721" s="24" t="n">
        <v>1</v>
      </c>
      <c r="E721" s="25" t="n">
        <v>4500</v>
      </c>
      <c r="F721" s="25" t="n">
        <v>3000</v>
      </c>
      <c r="G721" s="24" t="s">
        <v>59</v>
      </c>
      <c r="H721" s="24" t="s">
        <v>55</v>
      </c>
      <c r="I721" s="28" t="n">
        <f aca="false">IF(A721="","",D721*E721)</f>
        <v>4500</v>
      </c>
      <c r="J721" s="28" t="n">
        <f aca="false">IF(A721="","",D721*F721)</f>
        <v>3000</v>
      </c>
      <c r="K721" s="26" t="n">
        <f aca="false">IF(A721="","",YEAR(A721))</f>
        <v>2026</v>
      </c>
      <c r="L721" s="26" t="n">
        <f aca="false">IF(A721="","",MONTH(A721))</f>
        <v>2</v>
      </c>
    </row>
    <row r="722" customFormat="false" ht="15" hidden="false" customHeight="false" outlineLevel="0" collapsed="false">
      <c r="A722" s="23" t="n">
        <v>46059.7590277778</v>
      </c>
      <c r="B722" s="24" t="s">
        <v>1081</v>
      </c>
      <c r="C722" s="24" t="s">
        <v>1082</v>
      </c>
      <c r="D722" s="24" t="n">
        <v>1</v>
      </c>
      <c r="E722" s="25" t="n">
        <v>2500</v>
      </c>
      <c r="F722" s="25" t="n">
        <v>1500</v>
      </c>
      <c r="G722" s="24" t="s">
        <v>69</v>
      </c>
      <c r="H722" s="24" t="s">
        <v>80</v>
      </c>
      <c r="I722" s="28" t="n">
        <f aca="false">IF(A722="","",D722*E722)</f>
        <v>2500</v>
      </c>
      <c r="J722" s="28" t="n">
        <f aca="false">IF(A722="","",D722*F722)</f>
        <v>1500</v>
      </c>
      <c r="K722" s="26" t="n">
        <f aca="false">IF(A722="","",YEAR(A722))</f>
        <v>2026</v>
      </c>
      <c r="L722" s="26" t="n">
        <f aca="false">IF(A722="","",MONTH(A722))</f>
        <v>2</v>
      </c>
    </row>
    <row r="723" customFormat="false" ht="15" hidden="false" customHeight="false" outlineLevel="0" collapsed="false">
      <c r="A723" s="23" t="n">
        <v>46059.8125</v>
      </c>
      <c r="B723" s="24" t="s">
        <v>1071</v>
      </c>
      <c r="C723" s="24" t="s">
        <v>1072</v>
      </c>
      <c r="D723" s="24" t="n">
        <v>2</v>
      </c>
      <c r="E723" s="25" t="n">
        <v>2000</v>
      </c>
      <c r="F723" s="25" t="n">
        <v>1100</v>
      </c>
      <c r="G723" s="24" t="s">
        <v>69</v>
      </c>
      <c r="H723" s="24" t="s">
        <v>80</v>
      </c>
      <c r="I723" s="28" t="n">
        <f aca="false">IF(A723="","",D723*E723)</f>
        <v>4000</v>
      </c>
      <c r="J723" s="28" t="n">
        <f aca="false">IF(A723="","",D723*F723)</f>
        <v>2200</v>
      </c>
      <c r="K723" s="26" t="n">
        <f aca="false">IF(A723="","",YEAR(A723))</f>
        <v>2026</v>
      </c>
      <c r="L723" s="26" t="n">
        <f aca="false">IF(A723="","",MONTH(A723))</f>
        <v>2</v>
      </c>
    </row>
    <row r="724" customFormat="false" ht="15" hidden="false" customHeight="false" outlineLevel="0" collapsed="false">
      <c r="A724" s="23" t="n">
        <v>46059.8152777778</v>
      </c>
      <c r="B724" s="24" t="s">
        <v>1075</v>
      </c>
      <c r="C724" s="24" t="s">
        <v>1076</v>
      </c>
      <c r="D724" s="24" t="n">
        <v>1</v>
      </c>
      <c r="E724" s="25" t="n">
        <v>1000</v>
      </c>
      <c r="F724" s="25" t="n">
        <v>300</v>
      </c>
      <c r="G724" s="24" t="s">
        <v>69</v>
      </c>
      <c r="H724" s="24" t="s">
        <v>80</v>
      </c>
      <c r="I724" s="28" t="n">
        <f aca="false">IF(A724="","",D724*E724)</f>
        <v>1000</v>
      </c>
      <c r="J724" s="28" t="n">
        <f aca="false">IF(A724="","",D724*F724)</f>
        <v>300</v>
      </c>
      <c r="K724" s="26" t="n">
        <f aca="false">IF(A724="","",YEAR(A724))</f>
        <v>2026</v>
      </c>
      <c r="L724" s="26" t="n">
        <f aca="false">IF(A724="","",MONTH(A724))</f>
        <v>2</v>
      </c>
    </row>
    <row r="725" customFormat="false" ht="15" hidden="false" customHeight="false" outlineLevel="0" collapsed="false">
      <c r="A725" s="23" t="n">
        <v>46059.8583333333</v>
      </c>
      <c r="B725" s="24" t="s">
        <v>1077</v>
      </c>
      <c r="C725" s="24" t="s">
        <v>1078</v>
      </c>
      <c r="D725" s="24" t="n">
        <v>3</v>
      </c>
      <c r="E725" s="25" t="n">
        <v>1500</v>
      </c>
      <c r="F725" s="25" t="n">
        <v>900</v>
      </c>
      <c r="G725" s="24" t="s">
        <v>59</v>
      </c>
      <c r="H725" s="24" t="s">
        <v>55</v>
      </c>
      <c r="I725" s="28" t="n">
        <f aca="false">IF(A725="","",D725*E725)</f>
        <v>4500</v>
      </c>
      <c r="J725" s="28" t="n">
        <f aca="false">IF(A725="","",D725*F725)</f>
        <v>2700</v>
      </c>
      <c r="K725" s="26" t="n">
        <f aca="false">IF(A725="","",YEAR(A725))</f>
        <v>2026</v>
      </c>
      <c r="L725" s="26" t="n">
        <f aca="false">IF(A725="","",MONTH(A725))</f>
        <v>2</v>
      </c>
    </row>
    <row r="726" customFormat="false" ht="15" hidden="false" customHeight="false" outlineLevel="0" collapsed="false">
      <c r="A726" s="23" t="n">
        <v>46060.3611111111</v>
      </c>
      <c r="B726" s="24" t="s">
        <v>1071</v>
      </c>
      <c r="C726" s="24" t="s">
        <v>1072</v>
      </c>
      <c r="D726" s="24" t="n">
        <v>2</v>
      </c>
      <c r="E726" s="25" t="n">
        <v>2000</v>
      </c>
      <c r="F726" s="25" t="n">
        <v>1100</v>
      </c>
      <c r="G726" s="24" t="s">
        <v>59</v>
      </c>
      <c r="H726" s="24" t="s">
        <v>80</v>
      </c>
      <c r="I726" s="28" t="n">
        <f aca="false">IF(A726="","",D726*E726)</f>
        <v>4000</v>
      </c>
      <c r="J726" s="28" t="n">
        <f aca="false">IF(A726="","",D726*F726)</f>
        <v>2200</v>
      </c>
      <c r="K726" s="26" t="n">
        <f aca="false">IF(A726="","",YEAR(A726))</f>
        <v>2026</v>
      </c>
      <c r="L726" s="26" t="n">
        <f aca="false">IF(A726="","",MONTH(A726))</f>
        <v>2</v>
      </c>
    </row>
    <row r="727" customFormat="false" ht="15" hidden="false" customHeight="false" outlineLevel="0" collapsed="false">
      <c r="A727" s="23" t="n">
        <v>46060.4319444444</v>
      </c>
      <c r="B727" s="24" t="s">
        <v>1075</v>
      </c>
      <c r="C727" s="24" t="s">
        <v>1076</v>
      </c>
      <c r="D727" s="24" t="n">
        <v>1</v>
      </c>
      <c r="E727" s="25" t="n">
        <v>1000</v>
      </c>
      <c r="F727" s="25" t="n">
        <v>300</v>
      </c>
      <c r="G727" s="24" t="s">
        <v>59</v>
      </c>
      <c r="H727" s="24" t="s">
        <v>80</v>
      </c>
      <c r="I727" s="28" t="n">
        <f aca="false">IF(A727="","",D727*E727)</f>
        <v>1000</v>
      </c>
      <c r="J727" s="28" t="n">
        <f aca="false">IF(A727="","",D727*F727)</f>
        <v>300</v>
      </c>
      <c r="K727" s="26" t="n">
        <f aca="false">IF(A727="","",YEAR(A727))</f>
        <v>2026</v>
      </c>
      <c r="L727" s="26" t="n">
        <f aca="false">IF(A727="","",MONTH(A727))</f>
        <v>2</v>
      </c>
    </row>
    <row r="728" customFormat="false" ht="15" hidden="false" customHeight="false" outlineLevel="0" collapsed="false">
      <c r="A728" s="23" t="n">
        <v>46060.7881944445</v>
      </c>
      <c r="B728" s="24" t="s">
        <v>1071</v>
      </c>
      <c r="C728" s="24" t="s">
        <v>1072</v>
      </c>
      <c r="D728" s="24" t="n">
        <v>3</v>
      </c>
      <c r="E728" s="25" t="n">
        <v>2000</v>
      </c>
      <c r="F728" s="25" t="n">
        <v>1100</v>
      </c>
      <c r="G728" s="24" t="s">
        <v>59</v>
      </c>
      <c r="H728" s="24" t="s">
        <v>60</v>
      </c>
      <c r="I728" s="28" t="n">
        <f aca="false">IF(A728="","",D728*E728)</f>
        <v>6000</v>
      </c>
      <c r="J728" s="28" t="n">
        <f aca="false">IF(A728="","",D728*F728)</f>
        <v>3300</v>
      </c>
      <c r="K728" s="26" t="n">
        <f aca="false">IF(A728="","",YEAR(A728))</f>
        <v>2026</v>
      </c>
      <c r="L728" s="26" t="n">
        <f aca="false">IF(A728="","",MONTH(A728))</f>
        <v>2</v>
      </c>
    </row>
    <row r="729" customFormat="false" ht="15" hidden="false" customHeight="false" outlineLevel="0" collapsed="false">
      <c r="A729" s="23" t="n">
        <v>46061.6958333333</v>
      </c>
      <c r="B729" s="24" t="s">
        <v>1075</v>
      </c>
      <c r="C729" s="24" t="s">
        <v>1076</v>
      </c>
      <c r="D729" s="24" t="n">
        <v>1</v>
      </c>
      <c r="E729" s="25" t="n">
        <v>1000</v>
      </c>
      <c r="F729" s="25" t="n">
        <v>300</v>
      </c>
      <c r="G729" s="24" t="s">
        <v>59</v>
      </c>
      <c r="H729" s="24" t="s">
        <v>80</v>
      </c>
      <c r="I729" s="28" t="n">
        <f aca="false">IF(A729="","",D729*E729)</f>
        <v>1000</v>
      </c>
      <c r="J729" s="28" t="n">
        <f aca="false">IF(A729="","",D729*F729)</f>
        <v>300</v>
      </c>
      <c r="K729" s="26" t="n">
        <f aca="false">IF(A729="","",YEAR(A729))</f>
        <v>2026</v>
      </c>
      <c r="L729" s="26" t="n">
        <f aca="false">IF(A729="","",MONTH(A729))</f>
        <v>2</v>
      </c>
    </row>
    <row r="730" customFormat="false" ht="15" hidden="false" customHeight="false" outlineLevel="0" collapsed="false">
      <c r="A730" s="23" t="n">
        <v>46061.7965277778</v>
      </c>
      <c r="B730" s="24" t="s">
        <v>1065</v>
      </c>
      <c r="C730" s="24" t="s">
        <v>1066</v>
      </c>
      <c r="D730" s="24" t="n">
        <v>1</v>
      </c>
      <c r="E730" s="25" t="n">
        <v>3000</v>
      </c>
      <c r="F730" s="25" t="n">
        <v>2000</v>
      </c>
      <c r="G730" s="24" t="s">
        <v>59</v>
      </c>
      <c r="H730" s="24" t="s">
        <v>60</v>
      </c>
      <c r="I730" s="28" t="n">
        <f aca="false">IF(A730="","",D730*E730)</f>
        <v>3000</v>
      </c>
      <c r="J730" s="28" t="n">
        <f aca="false">IF(A730="","",D730*F730)</f>
        <v>2000</v>
      </c>
      <c r="K730" s="26" t="n">
        <f aca="false">IF(A730="","",YEAR(A730))</f>
        <v>2026</v>
      </c>
      <c r="L730" s="26" t="n">
        <f aca="false">IF(A730="","",MONTH(A730))</f>
        <v>2</v>
      </c>
    </row>
    <row r="731" customFormat="false" ht="15" hidden="false" customHeight="false" outlineLevel="0" collapsed="false">
      <c r="A731" s="23" t="n">
        <v>46061.8472222222</v>
      </c>
      <c r="B731" s="24" t="s">
        <v>1079</v>
      </c>
      <c r="C731" s="24" t="s">
        <v>1080</v>
      </c>
      <c r="D731" s="24" t="n">
        <v>1</v>
      </c>
      <c r="E731" s="25" t="n">
        <v>2500</v>
      </c>
      <c r="F731" s="25" t="n">
        <v>1600</v>
      </c>
      <c r="G731" s="24" t="s">
        <v>69</v>
      </c>
      <c r="H731" s="24" t="s">
        <v>60</v>
      </c>
      <c r="I731" s="28" t="n">
        <f aca="false">IF(A731="","",D731*E731)</f>
        <v>2500</v>
      </c>
      <c r="J731" s="28" t="n">
        <f aca="false">IF(A731="","",D731*F731)</f>
        <v>1600</v>
      </c>
      <c r="K731" s="26" t="n">
        <f aca="false">IF(A731="","",YEAR(A731))</f>
        <v>2026</v>
      </c>
      <c r="L731" s="26" t="n">
        <f aca="false">IF(A731="","",MONTH(A731))</f>
        <v>2</v>
      </c>
    </row>
    <row r="732" customFormat="false" ht="15" hidden="false" customHeight="false" outlineLevel="0" collapsed="false">
      <c r="A732" s="23" t="n">
        <v>46062.4791666667</v>
      </c>
      <c r="B732" s="24" t="s">
        <v>1081</v>
      </c>
      <c r="C732" s="24" t="s">
        <v>1082</v>
      </c>
      <c r="D732" s="24" t="n">
        <v>1</v>
      </c>
      <c r="E732" s="25" t="n">
        <v>2500</v>
      </c>
      <c r="F732" s="25" t="n">
        <v>1500</v>
      </c>
      <c r="G732" s="24" t="s">
        <v>59</v>
      </c>
      <c r="H732" s="24" t="s">
        <v>60</v>
      </c>
      <c r="I732" s="28" t="n">
        <f aca="false">IF(A732="","",D732*E732)</f>
        <v>2500</v>
      </c>
      <c r="J732" s="28" t="n">
        <f aca="false">IF(A732="","",D732*F732)</f>
        <v>1500</v>
      </c>
      <c r="K732" s="26" t="n">
        <f aca="false">IF(A732="","",YEAR(A732))</f>
        <v>2026</v>
      </c>
      <c r="L732" s="26" t="n">
        <f aca="false">IF(A732="","",MONTH(A732))</f>
        <v>2</v>
      </c>
    </row>
    <row r="733" customFormat="false" ht="15" hidden="false" customHeight="false" outlineLevel="0" collapsed="false">
      <c r="A733" s="23" t="n">
        <v>46062.5875</v>
      </c>
      <c r="B733" s="24" t="s">
        <v>1081</v>
      </c>
      <c r="C733" s="24" t="s">
        <v>1082</v>
      </c>
      <c r="D733" s="24" t="n">
        <v>2</v>
      </c>
      <c r="E733" s="25" t="n">
        <v>2500</v>
      </c>
      <c r="F733" s="25" t="n">
        <v>1500</v>
      </c>
      <c r="G733" s="24" t="s">
        <v>59</v>
      </c>
      <c r="H733" s="24" t="s">
        <v>80</v>
      </c>
      <c r="I733" s="28" t="n">
        <f aca="false">IF(A733="","",D733*E733)</f>
        <v>5000</v>
      </c>
      <c r="J733" s="28" t="n">
        <f aca="false">IF(A733="","",D733*F733)</f>
        <v>3000</v>
      </c>
      <c r="K733" s="26" t="n">
        <f aca="false">IF(A733="","",YEAR(A733))</f>
        <v>2026</v>
      </c>
      <c r="L733" s="26" t="n">
        <f aca="false">IF(A733="","",MONTH(A733))</f>
        <v>2</v>
      </c>
    </row>
    <row r="734" customFormat="false" ht="15" hidden="false" customHeight="false" outlineLevel="0" collapsed="false">
      <c r="A734" s="23" t="n">
        <v>46062.6743055556</v>
      </c>
      <c r="B734" s="24" t="s">
        <v>1069</v>
      </c>
      <c r="C734" s="24" t="s">
        <v>1070</v>
      </c>
      <c r="D734" s="24" t="n">
        <v>2</v>
      </c>
      <c r="E734" s="25" t="n">
        <v>4500</v>
      </c>
      <c r="F734" s="25" t="n">
        <v>3000</v>
      </c>
      <c r="G734" s="24" t="s">
        <v>59</v>
      </c>
      <c r="H734" s="24" t="s">
        <v>55</v>
      </c>
      <c r="I734" s="28" t="n">
        <f aca="false">IF(A734="","",D734*E734)</f>
        <v>9000</v>
      </c>
      <c r="J734" s="28" t="n">
        <f aca="false">IF(A734="","",D734*F734)</f>
        <v>6000</v>
      </c>
      <c r="K734" s="26" t="n">
        <f aca="false">IF(A734="","",YEAR(A734))</f>
        <v>2026</v>
      </c>
      <c r="L734" s="26" t="n">
        <f aca="false">IF(A734="","",MONTH(A734))</f>
        <v>2</v>
      </c>
    </row>
    <row r="735" customFormat="false" ht="15" hidden="false" customHeight="false" outlineLevel="0" collapsed="false">
      <c r="A735" s="23" t="n">
        <v>46063.3013888889</v>
      </c>
      <c r="B735" s="24" t="s">
        <v>1081</v>
      </c>
      <c r="C735" s="24" t="s">
        <v>1082</v>
      </c>
      <c r="D735" s="24" t="n">
        <v>3</v>
      </c>
      <c r="E735" s="25" t="n">
        <v>2500</v>
      </c>
      <c r="F735" s="25" t="n">
        <v>1500</v>
      </c>
      <c r="G735" s="24" t="s">
        <v>59</v>
      </c>
      <c r="H735" s="24" t="s">
        <v>55</v>
      </c>
      <c r="I735" s="28" t="n">
        <f aca="false">IF(A735="","",D735*E735)</f>
        <v>7500</v>
      </c>
      <c r="J735" s="28" t="n">
        <f aca="false">IF(A735="","",D735*F735)</f>
        <v>4500</v>
      </c>
      <c r="K735" s="26" t="n">
        <f aca="false">IF(A735="","",YEAR(A735))</f>
        <v>2026</v>
      </c>
      <c r="L735" s="26" t="n">
        <f aca="false">IF(A735="","",MONTH(A735))</f>
        <v>2</v>
      </c>
    </row>
    <row r="736" customFormat="false" ht="15" hidden="false" customHeight="false" outlineLevel="0" collapsed="false">
      <c r="A736" s="23" t="n">
        <v>46063.7986111111</v>
      </c>
      <c r="B736" s="24" t="s">
        <v>1065</v>
      </c>
      <c r="C736" s="24" t="s">
        <v>1066</v>
      </c>
      <c r="D736" s="24" t="n">
        <v>1</v>
      </c>
      <c r="E736" s="25" t="n">
        <v>3000</v>
      </c>
      <c r="F736" s="25" t="n">
        <v>2000</v>
      </c>
      <c r="G736" s="24" t="s">
        <v>69</v>
      </c>
      <c r="H736" s="24" t="s">
        <v>55</v>
      </c>
      <c r="I736" s="28" t="n">
        <f aca="false">IF(A736="","",D736*E736)</f>
        <v>3000</v>
      </c>
      <c r="J736" s="28" t="n">
        <f aca="false">IF(A736="","",D736*F736)</f>
        <v>2000</v>
      </c>
      <c r="K736" s="26" t="n">
        <f aca="false">IF(A736="","",YEAR(A736))</f>
        <v>2026</v>
      </c>
      <c r="L736" s="26" t="n">
        <f aca="false">IF(A736="","",MONTH(A736))</f>
        <v>2</v>
      </c>
    </row>
    <row r="737" customFormat="false" ht="15" hidden="false" customHeight="false" outlineLevel="0" collapsed="false">
      <c r="A737" s="23" t="n">
        <v>46063.8298611111</v>
      </c>
      <c r="B737" s="24" t="s">
        <v>1069</v>
      </c>
      <c r="C737" s="24" t="s">
        <v>1070</v>
      </c>
      <c r="D737" s="24" t="n">
        <v>1</v>
      </c>
      <c r="E737" s="25" t="n">
        <v>4500</v>
      </c>
      <c r="F737" s="25" t="n">
        <v>3000</v>
      </c>
      <c r="G737" s="24" t="s">
        <v>59</v>
      </c>
      <c r="H737" s="24" t="s">
        <v>60</v>
      </c>
      <c r="I737" s="28" t="n">
        <f aca="false">IF(A737="","",D737*E737)</f>
        <v>4500</v>
      </c>
      <c r="J737" s="28" t="n">
        <f aca="false">IF(A737="","",D737*F737)</f>
        <v>3000</v>
      </c>
      <c r="K737" s="26" t="n">
        <f aca="false">IF(A737="","",YEAR(A737))</f>
        <v>2026</v>
      </c>
      <c r="L737" s="26" t="n">
        <f aca="false">IF(A737="","",MONTH(A737))</f>
        <v>2</v>
      </c>
    </row>
    <row r="738" customFormat="false" ht="15" hidden="false" customHeight="false" outlineLevel="0" collapsed="false">
      <c r="A738" s="23" t="n">
        <v>46063.8680555556</v>
      </c>
      <c r="B738" s="24" t="s">
        <v>1073</v>
      </c>
      <c r="C738" s="24" t="s">
        <v>1074</v>
      </c>
      <c r="D738" s="24" t="n">
        <v>3</v>
      </c>
      <c r="E738" s="25" t="n">
        <v>7000</v>
      </c>
      <c r="F738" s="25" t="n">
        <v>4800</v>
      </c>
      <c r="G738" s="24" t="s">
        <v>59</v>
      </c>
      <c r="H738" s="24" t="s">
        <v>60</v>
      </c>
      <c r="I738" s="28" t="n">
        <f aca="false">IF(A738="","",D738*E738)</f>
        <v>21000</v>
      </c>
      <c r="J738" s="28" t="n">
        <f aca="false">IF(A738="","",D738*F738)</f>
        <v>14400</v>
      </c>
      <c r="K738" s="26" t="n">
        <f aca="false">IF(A738="","",YEAR(A738))</f>
        <v>2026</v>
      </c>
      <c r="L738" s="26" t="n">
        <f aca="false">IF(A738="","",MONTH(A738))</f>
        <v>2</v>
      </c>
    </row>
    <row r="739" customFormat="false" ht="15" hidden="false" customHeight="false" outlineLevel="0" collapsed="false">
      <c r="A739" s="23" t="n">
        <v>46064.3263888889</v>
      </c>
      <c r="B739" s="24" t="s">
        <v>1081</v>
      </c>
      <c r="C739" s="24" t="s">
        <v>1082</v>
      </c>
      <c r="D739" s="24" t="n">
        <v>2</v>
      </c>
      <c r="E739" s="25" t="n">
        <v>2500</v>
      </c>
      <c r="F739" s="25" t="n">
        <v>1500</v>
      </c>
      <c r="G739" s="24" t="s">
        <v>59</v>
      </c>
      <c r="H739" s="24" t="s">
        <v>60</v>
      </c>
      <c r="I739" s="28" t="n">
        <f aca="false">IF(A739="","",D739*E739)</f>
        <v>5000</v>
      </c>
      <c r="J739" s="28" t="n">
        <f aca="false">IF(A739="","",D739*F739)</f>
        <v>3000</v>
      </c>
      <c r="K739" s="26" t="n">
        <f aca="false">IF(A739="","",YEAR(A739))</f>
        <v>2026</v>
      </c>
      <c r="L739" s="26" t="n">
        <f aca="false">IF(A739="","",MONTH(A739))</f>
        <v>2</v>
      </c>
    </row>
    <row r="740" customFormat="false" ht="15" hidden="false" customHeight="false" outlineLevel="0" collapsed="false">
      <c r="A740" s="23" t="n">
        <v>46064.6277777778</v>
      </c>
      <c r="B740" s="24" t="s">
        <v>1065</v>
      </c>
      <c r="C740" s="24" t="s">
        <v>1066</v>
      </c>
      <c r="D740" s="24" t="n">
        <v>1</v>
      </c>
      <c r="E740" s="25" t="n">
        <v>3000</v>
      </c>
      <c r="F740" s="25" t="n">
        <v>2000</v>
      </c>
      <c r="G740" s="24" t="s">
        <v>59</v>
      </c>
      <c r="H740" s="24" t="s">
        <v>55</v>
      </c>
      <c r="I740" s="28" t="n">
        <f aca="false">IF(A740="","",D740*E740)</f>
        <v>3000</v>
      </c>
      <c r="J740" s="28" t="n">
        <f aca="false">IF(A740="","",D740*F740)</f>
        <v>2000</v>
      </c>
      <c r="K740" s="26" t="n">
        <f aca="false">IF(A740="","",YEAR(A740))</f>
        <v>2026</v>
      </c>
      <c r="L740" s="26" t="n">
        <f aca="false">IF(A740="","",MONTH(A740))</f>
        <v>2</v>
      </c>
    </row>
    <row r="741" customFormat="false" ht="15" hidden="false" customHeight="false" outlineLevel="0" collapsed="false">
      <c r="A741" s="23" t="n">
        <v>46064.8180555556</v>
      </c>
      <c r="B741" s="24" t="s">
        <v>1065</v>
      </c>
      <c r="C741" s="24" t="s">
        <v>1066</v>
      </c>
      <c r="D741" s="24" t="n">
        <v>3</v>
      </c>
      <c r="E741" s="25" t="n">
        <v>3000</v>
      </c>
      <c r="F741" s="25" t="n">
        <v>2000</v>
      </c>
      <c r="G741" s="24" t="s">
        <v>59</v>
      </c>
      <c r="H741" s="24" t="s">
        <v>55</v>
      </c>
      <c r="I741" s="28" t="n">
        <f aca="false">IF(A741="","",D741*E741)</f>
        <v>9000</v>
      </c>
      <c r="J741" s="28" t="n">
        <f aca="false">IF(A741="","",D741*F741)</f>
        <v>6000</v>
      </c>
      <c r="K741" s="26" t="n">
        <f aca="false">IF(A741="","",YEAR(A741))</f>
        <v>2026</v>
      </c>
      <c r="L741" s="26" t="n">
        <f aca="false">IF(A741="","",MONTH(A741))</f>
        <v>2</v>
      </c>
    </row>
    <row r="742" customFormat="false" ht="15" hidden="false" customHeight="false" outlineLevel="0" collapsed="false">
      <c r="A742" s="23" t="n">
        <v>46065.5277777778</v>
      </c>
      <c r="B742" s="24" t="s">
        <v>1079</v>
      </c>
      <c r="C742" s="24" t="s">
        <v>1080</v>
      </c>
      <c r="D742" s="24" t="n">
        <v>1</v>
      </c>
      <c r="E742" s="25" t="n">
        <v>2500</v>
      </c>
      <c r="F742" s="25" t="n">
        <v>1600</v>
      </c>
      <c r="G742" s="24" t="s">
        <v>69</v>
      </c>
      <c r="H742" s="24" t="s">
        <v>80</v>
      </c>
      <c r="I742" s="28" t="n">
        <f aca="false">IF(A742="","",D742*E742)</f>
        <v>2500</v>
      </c>
      <c r="J742" s="28" t="n">
        <f aca="false">IF(A742="","",D742*F742)</f>
        <v>1600</v>
      </c>
      <c r="K742" s="26" t="n">
        <f aca="false">IF(A742="","",YEAR(A742))</f>
        <v>2026</v>
      </c>
      <c r="L742" s="26" t="n">
        <f aca="false">IF(A742="","",MONTH(A742))</f>
        <v>2</v>
      </c>
    </row>
    <row r="743" customFormat="false" ht="15" hidden="false" customHeight="false" outlineLevel="0" collapsed="false">
      <c r="A743" s="23" t="n">
        <v>46065.5493055556</v>
      </c>
      <c r="B743" s="24" t="s">
        <v>1077</v>
      </c>
      <c r="C743" s="24" t="s">
        <v>1078</v>
      </c>
      <c r="D743" s="24" t="n">
        <v>1</v>
      </c>
      <c r="E743" s="25" t="n">
        <v>1500</v>
      </c>
      <c r="F743" s="25" t="n">
        <v>900</v>
      </c>
      <c r="G743" s="24" t="s">
        <v>59</v>
      </c>
      <c r="H743" s="24" t="s">
        <v>80</v>
      </c>
      <c r="I743" s="28" t="n">
        <f aca="false">IF(A743="","",D743*E743)</f>
        <v>1500</v>
      </c>
      <c r="J743" s="28" t="n">
        <f aca="false">IF(A743="","",D743*F743)</f>
        <v>900</v>
      </c>
      <c r="K743" s="26" t="n">
        <f aca="false">IF(A743="","",YEAR(A743))</f>
        <v>2026</v>
      </c>
      <c r="L743" s="26" t="n">
        <f aca="false">IF(A743="","",MONTH(A743))</f>
        <v>2</v>
      </c>
    </row>
    <row r="744" customFormat="false" ht="15" hidden="false" customHeight="false" outlineLevel="0" collapsed="false">
      <c r="A744" s="23" t="n">
        <v>46066.6680555556</v>
      </c>
      <c r="B744" s="24" t="s">
        <v>1077</v>
      </c>
      <c r="C744" s="24" t="s">
        <v>1078</v>
      </c>
      <c r="D744" s="24" t="n">
        <v>1</v>
      </c>
      <c r="E744" s="25" t="n">
        <v>1500</v>
      </c>
      <c r="F744" s="25" t="n">
        <v>900</v>
      </c>
      <c r="G744" s="24" t="s">
        <v>59</v>
      </c>
      <c r="H744" s="24" t="s">
        <v>55</v>
      </c>
      <c r="I744" s="28" t="n">
        <f aca="false">IF(A744="","",D744*E744)</f>
        <v>1500</v>
      </c>
      <c r="J744" s="28" t="n">
        <f aca="false">IF(A744="","",D744*F744)</f>
        <v>900</v>
      </c>
      <c r="K744" s="26" t="n">
        <f aca="false">IF(A744="","",YEAR(A744))</f>
        <v>2026</v>
      </c>
      <c r="L744" s="26" t="n">
        <f aca="false">IF(A744="","",MONTH(A744))</f>
        <v>2</v>
      </c>
    </row>
    <row r="745" customFormat="false" ht="15" hidden="false" customHeight="false" outlineLevel="0" collapsed="false">
      <c r="A745" s="23" t="n">
        <v>46066.8715277778</v>
      </c>
      <c r="B745" s="24" t="s">
        <v>1071</v>
      </c>
      <c r="C745" s="24" t="s">
        <v>1072</v>
      </c>
      <c r="D745" s="24" t="n">
        <v>3</v>
      </c>
      <c r="E745" s="25" t="n">
        <v>2000</v>
      </c>
      <c r="F745" s="25" t="n">
        <v>1100</v>
      </c>
      <c r="G745" s="24" t="s">
        <v>69</v>
      </c>
      <c r="H745" s="24" t="s">
        <v>80</v>
      </c>
      <c r="I745" s="28" t="n">
        <f aca="false">IF(A745="","",D745*E745)</f>
        <v>6000</v>
      </c>
      <c r="J745" s="28" t="n">
        <f aca="false">IF(A745="","",D745*F745)</f>
        <v>3300</v>
      </c>
      <c r="K745" s="26" t="n">
        <f aca="false">IF(A745="","",YEAR(A745))</f>
        <v>2026</v>
      </c>
      <c r="L745" s="26" t="n">
        <f aca="false">IF(A745="","",MONTH(A745))</f>
        <v>2</v>
      </c>
    </row>
    <row r="746" customFormat="false" ht="15" hidden="false" customHeight="false" outlineLevel="0" collapsed="false">
      <c r="A746" s="23" t="n">
        <v>46067.4027777778</v>
      </c>
      <c r="B746" s="24" t="s">
        <v>1077</v>
      </c>
      <c r="C746" s="24" t="s">
        <v>1078</v>
      </c>
      <c r="D746" s="24" t="n">
        <v>2</v>
      </c>
      <c r="E746" s="25" t="n">
        <v>1500</v>
      </c>
      <c r="F746" s="25" t="n">
        <v>900</v>
      </c>
      <c r="G746" s="24" t="s">
        <v>59</v>
      </c>
      <c r="H746" s="24" t="s">
        <v>80</v>
      </c>
      <c r="I746" s="28" t="n">
        <f aca="false">IF(A746="","",D746*E746)</f>
        <v>3000</v>
      </c>
      <c r="J746" s="28" t="n">
        <f aca="false">IF(A746="","",D746*F746)</f>
        <v>1800</v>
      </c>
      <c r="K746" s="26" t="n">
        <f aca="false">IF(A746="","",YEAR(A746))</f>
        <v>2026</v>
      </c>
      <c r="L746" s="26" t="n">
        <f aca="false">IF(A746="","",MONTH(A746))</f>
        <v>2</v>
      </c>
    </row>
    <row r="747" customFormat="false" ht="15" hidden="false" customHeight="false" outlineLevel="0" collapsed="false">
      <c r="A747" s="23" t="n">
        <v>46067.5569444444</v>
      </c>
      <c r="B747" s="24" t="s">
        <v>1073</v>
      </c>
      <c r="C747" s="24" t="s">
        <v>1074</v>
      </c>
      <c r="D747" s="24" t="n">
        <v>1</v>
      </c>
      <c r="E747" s="25" t="n">
        <v>7000</v>
      </c>
      <c r="F747" s="25" t="n">
        <v>4800</v>
      </c>
      <c r="G747" s="24" t="s">
        <v>59</v>
      </c>
      <c r="H747" s="24" t="s">
        <v>55</v>
      </c>
      <c r="I747" s="28" t="n">
        <f aca="false">IF(A747="","",D747*E747)</f>
        <v>7000</v>
      </c>
      <c r="J747" s="28" t="n">
        <f aca="false">IF(A747="","",D747*F747)</f>
        <v>4800</v>
      </c>
      <c r="K747" s="26" t="n">
        <f aca="false">IF(A747="","",YEAR(A747))</f>
        <v>2026</v>
      </c>
      <c r="L747" s="26" t="n">
        <f aca="false">IF(A747="","",MONTH(A747))</f>
        <v>2</v>
      </c>
    </row>
    <row r="748" customFormat="false" ht="15" hidden="false" customHeight="false" outlineLevel="0" collapsed="false">
      <c r="A748" s="23" t="n">
        <v>46068.6090277778</v>
      </c>
      <c r="B748" s="24" t="s">
        <v>1081</v>
      </c>
      <c r="C748" s="24" t="s">
        <v>1082</v>
      </c>
      <c r="D748" s="24" t="n">
        <v>3</v>
      </c>
      <c r="E748" s="25" t="n">
        <v>2500</v>
      </c>
      <c r="F748" s="25" t="n">
        <v>1500</v>
      </c>
      <c r="G748" s="24" t="s">
        <v>59</v>
      </c>
      <c r="H748" s="24" t="s">
        <v>60</v>
      </c>
      <c r="I748" s="28" t="n">
        <f aca="false">IF(A748="","",D748*E748)</f>
        <v>7500</v>
      </c>
      <c r="J748" s="28" t="n">
        <f aca="false">IF(A748="","",D748*F748)</f>
        <v>4500</v>
      </c>
      <c r="K748" s="26" t="n">
        <f aca="false">IF(A748="","",YEAR(A748))</f>
        <v>2026</v>
      </c>
      <c r="L748" s="26" t="n">
        <f aca="false">IF(A748="","",MONTH(A748))</f>
        <v>2</v>
      </c>
    </row>
    <row r="749" customFormat="false" ht="15" hidden="false" customHeight="false" outlineLevel="0" collapsed="false">
      <c r="A749" s="23" t="n">
        <v>46068.8930555556</v>
      </c>
      <c r="B749" s="24" t="s">
        <v>1067</v>
      </c>
      <c r="C749" s="24" t="s">
        <v>1068</v>
      </c>
      <c r="D749" s="24" t="n">
        <v>1</v>
      </c>
      <c r="E749" s="25" t="n">
        <v>4000</v>
      </c>
      <c r="F749" s="25" t="n">
        <v>2600</v>
      </c>
      <c r="G749" s="24" t="s">
        <v>59</v>
      </c>
      <c r="H749" s="24" t="s">
        <v>55</v>
      </c>
      <c r="I749" s="28" t="n">
        <f aca="false">IF(A749="","",D749*E749)</f>
        <v>4000</v>
      </c>
      <c r="J749" s="28" t="n">
        <f aca="false">IF(A749="","",D749*F749)</f>
        <v>2600</v>
      </c>
      <c r="K749" s="26" t="n">
        <f aca="false">IF(A749="","",YEAR(A749))</f>
        <v>2026</v>
      </c>
      <c r="L749" s="26" t="n">
        <f aca="false">IF(A749="","",MONTH(A749))</f>
        <v>2</v>
      </c>
    </row>
    <row r="750" customFormat="false" ht="15" hidden="false" customHeight="false" outlineLevel="0" collapsed="false">
      <c r="A750" s="23" t="n">
        <v>46069.5298611111</v>
      </c>
      <c r="B750" s="24" t="s">
        <v>1081</v>
      </c>
      <c r="C750" s="24" t="s">
        <v>1082</v>
      </c>
      <c r="D750" s="24" t="n">
        <v>3</v>
      </c>
      <c r="E750" s="25" t="n">
        <v>2500</v>
      </c>
      <c r="F750" s="25" t="n">
        <v>1500</v>
      </c>
      <c r="G750" s="24" t="s">
        <v>59</v>
      </c>
      <c r="H750" s="24" t="s">
        <v>80</v>
      </c>
      <c r="I750" s="28" t="n">
        <f aca="false">IF(A750="","",D750*E750)</f>
        <v>7500</v>
      </c>
      <c r="J750" s="28" t="n">
        <f aca="false">IF(A750="","",D750*F750)</f>
        <v>4500</v>
      </c>
      <c r="K750" s="26" t="n">
        <f aca="false">IF(A750="","",YEAR(A750))</f>
        <v>2026</v>
      </c>
      <c r="L750" s="26" t="n">
        <f aca="false">IF(A750="","",MONTH(A750))</f>
        <v>2</v>
      </c>
    </row>
    <row r="751" customFormat="false" ht="15" hidden="false" customHeight="false" outlineLevel="0" collapsed="false">
      <c r="A751" s="23" t="n">
        <v>46069.5986111111</v>
      </c>
      <c r="B751" s="24" t="s">
        <v>1069</v>
      </c>
      <c r="C751" s="24" t="s">
        <v>1070</v>
      </c>
      <c r="D751" s="24" t="n">
        <v>3</v>
      </c>
      <c r="E751" s="25" t="n">
        <v>4500</v>
      </c>
      <c r="F751" s="25" t="n">
        <v>3000</v>
      </c>
      <c r="G751" s="24" t="s">
        <v>59</v>
      </c>
      <c r="H751" s="24" t="s">
        <v>60</v>
      </c>
      <c r="I751" s="28" t="n">
        <f aca="false">IF(A751="","",D751*E751)</f>
        <v>13500</v>
      </c>
      <c r="J751" s="28" t="n">
        <f aca="false">IF(A751="","",D751*F751)</f>
        <v>9000</v>
      </c>
      <c r="K751" s="26" t="n">
        <f aca="false">IF(A751="","",YEAR(A751))</f>
        <v>2026</v>
      </c>
      <c r="L751" s="26" t="n">
        <f aca="false">IF(A751="","",MONTH(A751))</f>
        <v>2</v>
      </c>
    </row>
    <row r="752" customFormat="false" ht="15" hidden="false" customHeight="false" outlineLevel="0" collapsed="false">
      <c r="A752" s="23" t="n">
        <v>46069.7486111111</v>
      </c>
      <c r="B752" s="24" t="s">
        <v>1069</v>
      </c>
      <c r="C752" s="24" t="s">
        <v>1070</v>
      </c>
      <c r="D752" s="24" t="n">
        <v>1</v>
      </c>
      <c r="E752" s="25" t="n">
        <v>4500</v>
      </c>
      <c r="F752" s="25" t="n">
        <v>3000</v>
      </c>
      <c r="G752" s="24" t="s">
        <v>59</v>
      </c>
      <c r="H752" s="24" t="s">
        <v>60</v>
      </c>
      <c r="I752" s="28" t="n">
        <f aca="false">IF(A752="","",D752*E752)</f>
        <v>4500</v>
      </c>
      <c r="J752" s="28" t="n">
        <f aca="false">IF(A752="","",D752*F752)</f>
        <v>3000</v>
      </c>
      <c r="K752" s="26" t="n">
        <f aca="false">IF(A752="","",YEAR(A752))</f>
        <v>2026</v>
      </c>
      <c r="L752" s="26" t="n">
        <f aca="false">IF(A752="","",MONTH(A752))</f>
        <v>2</v>
      </c>
    </row>
    <row r="753" customFormat="false" ht="15" hidden="false" customHeight="false" outlineLevel="0" collapsed="false">
      <c r="A753" s="23" t="n">
        <v>46069.7972222222</v>
      </c>
      <c r="B753" s="24" t="s">
        <v>1079</v>
      </c>
      <c r="C753" s="24" t="s">
        <v>1080</v>
      </c>
      <c r="D753" s="24" t="n">
        <v>1</v>
      </c>
      <c r="E753" s="25" t="n">
        <v>2500</v>
      </c>
      <c r="F753" s="25" t="n">
        <v>1600</v>
      </c>
      <c r="G753" s="24" t="s">
        <v>69</v>
      </c>
      <c r="H753" s="24" t="s">
        <v>80</v>
      </c>
      <c r="I753" s="28" t="n">
        <f aca="false">IF(A753="","",D753*E753)</f>
        <v>2500</v>
      </c>
      <c r="J753" s="28" t="n">
        <f aca="false">IF(A753="","",D753*F753)</f>
        <v>1600</v>
      </c>
      <c r="K753" s="26" t="n">
        <f aca="false">IF(A753="","",YEAR(A753))</f>
        <v>2026</v>
      </c>
      <c r="L753" s="26" t="n">
        <f aca="false">IF(A753="","",MONTH(A753))</f>
        <v>2</v>
      </c>
    </row>
    <row r="754" customFormat="false" ht="15" hidden="false" customHeight="false" outlineLevel="0" collapsed="false">
      <c r="A754" s="23" t="n">
        <v>46069.8722222222</v>
      </c>
      <c r="B754" s="24" t="s">
        <v>1065</v>
      </c>
      <c r="C754" s="24" t="s">
        <v>1066</v>
      </c>
      <c r="D754" s="24" t="n">
        <v>3</v>
      </c>
      <c r="E754" s="25" t="n">
        <v>3000</v>
      </c>
      <c r="F754" s="25" t="n">
        <v>2000</v>
      </c>
      <c r="G754" s="24" t="s">
        <v>59</v>
      </c>
      <c r="H754" s="24" t="s">
        <v>80</v>
      </c>
      <c r="I754" s="28" t="n">
        <f aca="false">IF(A754="","",D754*E754)</f>
        <v>9000</v>
      </c>
      <c r="J754" s="28" t="n">
        <f aca="false">IF(A754="","",D754*F754)</f>
        <v>6000</v>
      </c>
      <c r="K754" s="26" t="n">
        <f aca="false">IF(A754="","",YEAR(A754))</f>
        <v>2026</v>
      </c>
      <c r="L754" s="26" t="n">
        <f aca="false">IF(A754="","",MONTH(A754))</f>
        <v>2</v>
      </c>
    </row>
    <row r="755" customFormat="false" ht="15" hidden="false" customHeight="false" outlineLevel="0" collapsed="false">
      <c r="A755" s="23" t="n">
        <v>46070.44375</v>
      </c>
      <c r="B755" s="24" t="s">
        <v>1079</v>
      </c>
      <c r="C755" s="24" t="s">
        <v>1080</v>
      </c>
      <c r="D755" s="24" t="n">
        <v>2</v>
      </c>
      <c r="E755" s="25" t="n">
        <v>2500</v>
      </c>
      <c r="F755" s="25" t="n">
        <v>1600</v>
      </c>
      <c r="G755" s="24" t="s">
        <v>59</v>
      </c>
      <c r="H755" s="24" t="s">
        <v>60</v>
      </c>
      <c r="I755" s="28" t="n">
        <f aca="false">IF(A755="","",D755*E755)</f>
        <v>5000</v>
      </c>
      <c r="J755" s="28" t="n">
        <f aca="false">IF(A755="","",D755*F755)</f>
        <v>3200</v>
      </c>
      <c r="K755" s="26" t="n">
        <f aca="false">IF(A755="","",YEAR(A755))</f>
        <v>2026</v>
      </c>
      <c r="L755" s="26" t="n">
        <f aca="false">IF(A755="","",MONTH(A755))</f>
        <v>2</v>
      </c>
    </row>
    <row r="756" customFormat="false" ht="15" hidden="false" customHeight="false" outlineLevel="0" collapsed="false">
      <c r="A756" s="23" t="n">
        <v>46070.4465277778</v>
      </c>
      <c r="B756" s="24" t="s">
        <v>1079</v>
      </c>
      <c r="C756" s="24" t="s">
        <v>1080</v>
      </c>
      <c r="D756" s="24" t="n">
        <v>1</v>
      </c>
      <c r="E756" s="25" t="n">
        <v>2500</v>
      </c>
      <c r="F756" s="25" t="n">
        <v>1600</v>
      </c>
      <c r="G756" s="24" t="s">
        <v>59</v>
      </c>
      <c r="H756" s="24" t="s">
        <v>80</v>
      </c>
      <c r="I756" s="28" t="n">
        <f aca="false">IF(A756="","",D756*E756)</f>
        <v>2500</v>
      </c>
      <c r="J756" s="28" t="n">
        <f aca="false">IF(A756="","",D756*F756)</f>
        <v>1600</v>
      </c>
      <c r="K756" s="26" t="n">
        <f aca="false">IF(A756="","",YEAR(A756))</f>
        <v>2026</v>
      </c>
      <c r="L756" s="26" t="n">
        <f aca="false">IF(A756="","",MONTH(A756))</f>
        <v>2</v>
      </c>
    </row>
    <row r="757" customFormat="false" ht="15" hidden="false" customHeight="false" outlineLevel="0" collapsed="false">
      <c r="A757" s="23" t="n">
        <v>46070.5576388889</v>
      </c>
      <c r="B757" s="24" t="s">
        <v>1065</v>
      </c>
      <c r="C757" s="24" t="s">
        <v>1066</v>
      </c>
      <c r="D757" s="24" t="n">
        <v>3</v>
      </c>
      <c r="E757" s="25" t="n">
        <v>3000</v>
      </c>
      <c r="F757" s="25" t="n">
        <v>2000</v>
      </c>
      <c r="G757" s="24" t="s">
        <v>59</v>
      </c>
      <c r="H757" s="24" t="s">
        <v>55</v>
      </c>
      <c r="I757" s="28" t="n">
        <f aca="false">IF(A757="","",D757*E757)</f>
        <v>9000</v>
      </c>
      <c r="J757" s="28" t="n">
        <f aca="false">IF(A757="","",D757*F757)</f>
        <v>6000</v>
      </c>
      <c r="K757" s="26" t="n">
        <f aca="false">IF(A757="","",YEAR(A757))</f>
        <v>2026</v>
      </c>
      <c r="L757" s="26" t="n">
        <f aca="false">IF(A757="","",MONTH(A757))</f>
        <v>2</v>
      </c>
    </row>
    <row r="758" customFormat="false" ht="15" hidden="false" customHeight="false" outlineLevel="0" collapsed="false">
      <c r="A758" s="23" t="n">
        <v>46070.5701388889</v>
      </c>
      <c r="B758" s="24" t="s">
        <v>1065</v>
      </c>
      <c r="C758" s="24" t="s">
        <v>1066</v>
      </c>
      <c r="D758" s="24" t="n">
        <v>1</v>
      </c>
      <c r="E758" s="25" t="n">
        <v>3000</v>
      </c>
      <c r="F758" s="25" t="n">
        <v>2000</v>
      </c>
      <c r="G758" s="24" t="s">
        <v>59</v>
      </c>
      <c r="H758" s="24" t="s">
        <v>60</v>
      </c>
      <c r="I758" s="28" t="n">
        <f aca="false">IF(A758="","",D758*E758)</f>
        <v>3000</v>
      </c>
      <c r="J758" s="28" t="n">
        <f aca="false">IF(A758="","",D758*F758)</f>
        <v>2000</v>
      </c>
      <c r="K758" s="26" t="n">
        <f aca="false">IF(A758="","",YEAR(A758))</f>
        <v>2026</v>
      </c>
      <c r="L758" s="26" t="n">
        <f aca="false">IF(A758="","",MONTH(A758))</f>
        <v>2</v>
      </c>
    </row>
    <row r="759" customFormat="false" ht="15" hidden="false" customHeight="false" outlineLevel="0" collapsed="false">
      <c r="A759" s="23" t="n">
        <v>46070.59375</v>
      </c>
      <c r="B759" s="24" t="s">
        <v>1071</v>
      </c>
      <c r="C759" s="24" t="s">
        <v>1072</v>
      </c>
      <c r="D759" s="24" t="n">
        <v>3</v>
      </c>
      <c r="E759" s="25" t="n">
        <v>2000</v>
      </c>
      <c r="F759" s="25" t="n">
        <v>1100</v>
      </c>
      <c r="G759" s="24" t="s">
        <v>59</v>
      </c>
      <c r="H759" s="24" t="s">
        <v>60</v>
      </c>
      <c r="I759" s="28" t="n">
        <f aca="false">IF(A759="","",D759*E759)</f>
        <v>6000</v>
      </c>
      <c r="J759" s="28" t="n">
        <f aca="false">IF(A759="","",D759*F759)</f>
        <v>3300</v>
      </c>
      <c r="K759" s="26" t="n">
        <f aca="false">IF(A759="","",YEAR(A759))</f>
        <v>2026</v>
      </c>
      <c r="L759" s="26" t="n">
        <f aca="false">IF(A759="","",MONTH(A759))</f>
        <v>2</v>
      </c>
    </row>
    <row r="760" customFormat="false" ht="15" hidden="false" customHeight="false" outlineLevel="0" collapsed="false">
      <c r="A760" s="23" t="n">
        <v>46070.7381944444</v>
      </c>
      <c r="B760" s="24" t="s">
        <v>1081</v>
      </c>
      <c r="C760" s="24" t="s">
        <v>1082</v>
      </c>
      <c r="D760" s="24" t="n">
        <v>1</v>
      </c>
      <c r="E760" s="25" t="n">
        <v>2500</v>
      </c>
      <c r="F760" s="25" t="n">
        <v>1500</v>
      </c>
      <c r="G760" s="24" t="s">
        <v>69</v>
      </c>
      <c r="H760" s="24" t="s">
        <v>55</v>
      </c>
      <c r="I760" s="28" t="n">
        <f aca="false">IF(A760="","",D760*E760)</f>
        <v>2500</v>
      </c>
      <c r="J760" s="28" t="n">
        <f aca="false">IF(A760="","",D760*F760)</f>
        <v>1500</v>
      </c>
      <c r="K760" s="26" t="n">
        <f aca="false">IF(A760="","",YEAR(A760))</f>
        <v>2026</v>
      </c>
      <c r="L760" s="26" t="n">
        <f aca="false">IF(A760="","",MONTH(A760))</f>
        <v>2</v>
      </c>
    </row>
    <row r="761" customFormat="false" ht="15" hidden="false" customHeight="false" outlineLevel="0" collapsed="false">
      <c r="A761" s="23" t="n">
        <v>46072.3326388889</v>
      </c>
      <c r="B761" s="24" t="s">
        <v>1079</v>
      </c>
      <c r="C761" s="24" t="s">
        <v>1080</v>
      </c>
      <c r="D761" s="24" t="n">
        <v>2</v>
      </c>
      <c r="E761" s="25" t="n">
        <v>2500</v>
      </c>
      <c r="F761" s="25" t="n">
        <v>1600</v>
      </c>
      <c r="G761" s="24" t="s">
        <v>59</v>
      </c>
      <c r="H761" s="24" t="s">
        <v>55</v>
      </c>
      <c r="I761" s="28" t="n">
        <f aca="false">IF(A761="","",D761*E761)</f>
        <v>5000</v>
      </c>
      <c r="J761" s="28" t="n">
        <f aca="false">IF(A761="","",D761*F761)</f>
        <v>3200</v>
      </c>
      <c r="K761" s="26" t="n">
        <f aca="false">IF(A761="","",YEAR(A761))</f>
        <v>2026</v>
      </c>
      <c r="L761" s="26" t="n">
        <f aca="false">IF(A761="","",MONTH(A761))</f>
        <v>2</v>
      </c>
    </row>
    <row r="762" customFormat="false" ht="15" hidden="false" customHeight="false" outlineLevel="0" collapsed="false">
      <c r="A762" s="23" t="n">
        <v>46073.30625</v>
      </c>
      <c r="B762" s="24" t="s">
        <v>1081</v>
      </c>
      <c r="C762" s="24" t="s">
        <v>1082</v>
      </c>
      <c r="D762" s="24" t="n">
        <v>1</v>
      </c>
      <c r="E762" s="25" t="n">
        <v>2500</v>
      </c>
      <c r="F762" s="25" t="n">
        <v>1500</v>
      </c>
      <c r="G762" s="24" t="s">
        <v>69</v>
      </c>
      <c r="H762" s="24" t="s">
        <v>60</v>
      </c>
      <c r="I762" s="28" t="n">
        <f aca="false">IF(A762="","",D762*E762)</f>
        <v>2500</v>
      </c>
      <c r="J762" s="28" t="n">
        <f aca="false">IF(A762="","",D762*F762)</f>
        <v>1500</v>
      </c>
      <c r="K762" s="26" t="n">
        <f aca="false">IF(A762="","",YEAR(A762))</f>
        <v>2026</v>
      </c>
      <c r="L762" s="26" t="n">
        <f aca="false">IF(A762="","",MONTH(A762))</f>
        <v>2</v>
      </c>
    </row>
    <row r="763" customFormat="false" ht="15" hidden="false" customHeight="false" outlineLevel="0" collapsed="false">
      <c r="A763" s="23" t="n">
        <v>46073.5993055556</v>
      </c>
      <c r="B763" s="24" t="s">
        <v>1071</v>
      </c>
      <c r="C763" s="24" t="s">
        <v>1072</v>
      </c>
      <c r="D763" s="24" t="n">
        <v>2</v>
      </c>
      <c r="E763" s="25" t="n">
        <v>2000</v>
      </c>
      <c r="F763" s="25" t="n">
        <v>1100</v>
      </c>
      <c r="G763" s="24" t="s">
        <v>59</v>
      </c>
      <c r="H763" s="24" t="s">
        <v>80</v>
      </c>
      <c r="I763" s="28" t="n">
        <f aca="false">IF(A763="","",D763*E763)</f>
        <v>4000</v>
      </c>
      <c r="J763" s="28" t="n">
        <f aca="false">IF(A763="","",D763*F763)</f>
        <v>2200</v>
      </c>
      <c r="K763" s="26" t="n">
        <f aca="false">IF(A763="","",YEAR(A763))</f>
        <v>2026</v>
      </c>
      <c r="L763" s="26" t="n">
        <f aca="false">IF(A763="","",MONTH(A763))</f>
        <v>2</v>
      </c>
    </row>
    <row r="764" customFormat="false" ht="15" hidden="false" customHeight="false" outlineLevel="0" collapsed="false">
      <c r="A764" s="23" t="n">
        <v>46073.6902777778</v>
      </c>
      <c r="B764" s="24" t="s">
        <v>1081</v>
      </c>
      <c r="C764" s="24" t="s">
        <v>1082</v>
      </c>
      <c r="D764" s="24" t="n">
        <v>1</v>
      </c>
      <c r="E764" s="25" t="n">
        <v>2500</v>
      </c>
      <c r="F764" s="25" t="n">
        <v>1500</v>
      </c>
      <c r="G764" s="24" t="s">
        <v>59</v>
      </c>
      <c r="H764" s="24" t="s">
        <v>60</v>
      </c>
      <c r="I764" s="28" t="n">
        <f aca="false">IF(A764="","",D764*E764)</f>
        <v>2500</v>
      </c>
      <c r="J764" s="28" t="n">
        <f aca="false">IF(A764="","",D764*F764)</f>
        <v>1500</v>
      </c>
      <c r="K764" s="26" t="n">
        <f aca="false">IF(A764="","",YEAR(A764))</f>
        <v>2026</v>
      </c>
      <c r="L764" s="26" t="n">
        <f aca="false">IF(A764="","",MONTH(A764))</f>
        <v>2</v>
      </c>
    </row>
    <row r="765" customFormat="false" ht="15" hidden="false" customHeight="false" outlineLevel="0" collapsed="false">
      <c r="A765" s="23" t="n">
        <v>46073.6923611111</v>
      </c>
      <c r="B765" s="24" t="s">
        <v>1065</v>
      </c>
      <c r="C765" s="24" t="s">
        <v>1066</v>
      </c>
      <c r="D765" s="24" t="n">
        <v>3</v>
      </c>
      <c r="E765" s="25" t="n">
        <v>3000</v>
      </c>
      <c r="F765" s="25" t="n">
        <v>2000</v>
      </c>
      <c r="G765" s="24" t="s">
        <v>59</v>
      </c>
      <c r="H765" s="24" t="s">
        <v>80</v>
      </c>
      <c r="I765" s="28" t="n">
        <f aca="false">IF(A765="","",D765*E765)</f>
        <v>9000</v>
      </c>
      <c r="J765" s="28" t="n">
        <f aca="false">IF(A765="","",D765*F765)</f>
        <v>6000</v>
      </c>
      <c r="K765" s="26" t="n">
        <f aca="false">IF(A765="","",YEAR(A765))</f>
        <v>2026</v>
      </c>
      <c r="L765" s="26" t="n">
        <f aca="false">IF(A765="","",MONTH(A765))</f>
        <v>2</v>
      </c>
    </row>
    <row r="766" customFormat="false" ht="15" hidden="false" customHeight="false" outlineLevel="0" collapsed="false">
      <c r="A766" s="23" t="n">
        <v>46074.3576388889</v>
      </c>
      <c r="B766" s="24" t="s">
        <v>1077</v>
      </c>
      <c r="C766" s="24" t="s">
        <v>1078</v>
      </c>
      <c r="D766" s="24" t="n">
        <v>3</v>
      </c>
      <c r="E766" s="25" t="n">
        <v>1500</v>
      </c>
      <c r="F766" s="25" t="n">
        <v>900</v>
      </c>
      <c r="G766" s="24" t="s">
        <v>59</v>
      </c>
      <c r="H766" s="24" t="s">
        <v>80</v>
      </c>
      <c r="I766" s="28" t="n">
        <f aca="false">IF(A766="","",D766*E766)</f>
        <v>4500</v>
      </c>
      <c r="J766" s="28" t="n">
        <f aca="false">IF(A766="","",D766*F766)</f>
        <v>2700</v>
      </c>
      <c r="K766" s="26" t="n">
        <f aca="false">IF(A766="","",YEAR(A766))</f>
        <v>2026</v>
      </c>
      <c r="L766" s="26" t="n">
        <f aca="false">IF(A766="","",MONTH(A766))</f>
        <v>2</v>
      </c>
    </row>
    <row r="767" customFormat="false" ht="15" hidden="false" customHeight="false" outlineLevel="0" collapsed="false">
      <c r="A767" s="23" t="n">
        <v>46074.4798611111</v>
      </c>
      <c r="B767" s="24" t="s">
        <v>1067</v>
      </c>
      <c r="C767" s="24" t="s">
        <v>1068</v>
      </c>
      <c r="D767" s="24" t="n">
        <v>1</v>
      </c>
      <c r="E767" s="25" t="n">
        <v>4000</v>
      </c>
      <c r="F767" s="25" t="n">
        <v>2600</v>
      </c>
      <c r="G767" s="24" t="s">
        <v>59</v>
      </c>
      <c r="H767" s="24" t="s">
        <v>60</v>
      </c>
      <c r="I767" s="28" t="n">
        <f aca="false">IF(A767="","",D767*E767)</f>
        <v>4000</v>
      </c>
      <c r="J767" s="28" t="n">
        <f aca="false">IF(A767="","",D767*F767)</f>
        <v>2600</v>
      </c>
      <c r="K767" s="26" t="n">
        <f aca="false">IF(A767="","",YEAR(A767))</f>
        <v>2026</v>
      </c>
      <c r="L767" s="26" t="n">
        <f aca="false">IF(A767="","",MONTH(A767))</f>
        <v>2</v>
      </c>
    </row>
    <row r="768" customFormat="false" ht="15" hidden="false" customHeight="false" outlineLevel="0" collapsed="false">
      <c r="A768" s="23" t="n">
        <v>46074.5013888889</v>
      </c>
      <c r="B768" s="24" t="s">
        <v>1071</v>
      </c>
      <c r="C768" s="24" t="s">
        <v>1072</v>
      </c>
      <c r="D768" s="24" t="n">
        <v>1</v>
      </c>
      <c r="E768" s="25" t="n">
        <v>2000</v>
      </c>
      <c r="F768" s="25" t="n">
        <v>1100</v>
      </c>
      <c r="G768" s="24" t="s">
        <v>59</v>
      </c>
      <c r="H768" s="24" t="s">
        <v>55</v>
      </c>
      <c r="I768" s="28" t="n">
        <f aca="false">IF(A768="","",D768*E768)</f>
        <v>2000</v>
      </c>
      <c r="J768" s="28" t="n">
        <f aca="false">IF(A768="","",D768*F768)</f>
        <v>1100</v>
      </c>
      <c r="K768" s="26" t="n">
        <f aca="false">IF(A768="","",YEAR(A768))</f>
        <v>2026</v>
      </c>
      <c r="L768" s="26" t="n">
        <f aca="false">IF(A768="","",MONTH(A768))</f>
        <v>2</v>
      </c>
    </row>
    <row r="769" customFormat="false" ht="15" hidden="false" customHeight="false" outlineLevel="0" collapsed="false">
      <c r="A769" s="23" t="n">
        <v>46074.7819444445</v>
      </c>
      <c r="B769" s="24" t="s">
        <v>1067</v>
      </c>
      <c r="C769" s="24" t="s">
        <v>1068</v>
      </c>
      <c r="D769" s="24" t="n">
        <v>1</v>
      </c>
      <c r="E769" s="25" t="n">
        <v>4000</v>
      </c>
      <c r="F769" s="25" t="n">
        <v>2600</v>
      </c>
      <c r="G769" s="24" t="s">
        <v>59</v>
      </c>
      <c r="H769" s="24" t="s">
        <v>55</v>
      </c>
      <c r="I769" s="28" t="n">
        <f aca="false">IF(A769="","",D769*E769)</f>
        <v>4000</v>
      </c>
      <c r="J769" s="28" t="n">
        <f aca="false">IF(A769="","",D769*F769)</f>
        <v>2600</v>
      </c>
      <c r="K769" s="26" t="n">
        <f aca="false">IF(A769="","",YEAR(A769))</f>
        <v>2026</v>
      </c>
      <c r="L769" s="26" t="n">
        <f aca="false">IF(A769="","",MONTH(A769))</f>
        <v>2</v>
      </c>
    </row>
    <row r="770" customFormat="false" ht="15" hidden="false" customHeight="false" outlineLevel="0" collapsed="false">
      <c r="A770" s="23" t="n">
        <v>46074.8798611111</v>
      </c>
      <c r="B770" s="24" t="s">
        <v>1067</v>
      </c>
      <c r="C770" s="24" t="s">
        <v>1068</v>
      </c>
      <c r="D770" s="24" t="n">
        <v>1</v>
      </c>
      <c r="E770" s="25" t="n">
        <v>4000</v>
      </c>
      <c r="F770" s="25" t="n">
        <v>2600</v>
      </c>
      <c r="G770" s="24" t="s">
        <v>69</v>
      </c>
      <c r="H770" s="24" t="s">
        <v>80</v>
      </c>
      <c r="I770" s="28" t="n">
        <f aca="false">IF(A770="","",D770*E770)</f>
        <v>4000</v>
      </c>
      <c r="J770" s="28" t="n">
        <f aca="false">IF(A770="","",D770*F770)</f>
        <v>2600</v>
      </c>
      <c r="K770" s="26" t="n">
        <f aca="false">IF(A770="","",YEAR(A770))</f>
        <v>2026</v>
      </c>
      <c r="L770" s="26" t="n">
        <f aca="false">IF(A770="","",MONTH(A770))</f>
        <v>2</v>
      </c>
    </row>
    <row r="771" customFormat="false" ht="15" hidden="false" customHeight="false" outlineLevel="0" collapsed="false">
      <c r="A771" s="23" t="n">
        <v>46075.3631944444</v>
      </c>
      <c r="B771" s="24" t="s">
        <v>1081</v>
      </c>
      <c r="C771" s="24" t="s">
        <v>1082</v>
      </c>
      <c r="D771" s="24" t="n">
        <v>3</v>
      </c>
      <c r="E771" s="25" t="n">
        <v>2500</v>
      </c>
      <c r="F771" s="25" t="n">
        <v>1500</v>
      </c>
      <c r="G771" s="24" t="s">
        <v>69</v>
      </c>
      <c r="H771" s="24" t="s">
        <v>60</v>
      </c>
      <c r="I771" s="28" t="n">
        <f aca="false">IF(A771="","",D771*E771)</f>
        <v>7500</v>
      </c>
      <c r="J771" s="28" t="n">
        <f aca="false">IF(A771="","",D771*F771)</f>
        <v>4500</v>
      </c>
      <c r="K771" s="26" t="n">
        <f aca="false">IF(A771="","",YEAR(A771))</f>
        <v>2026</v>
      </c>
      <c r="L771" s="26" t="n">
        <f aca="false">IF(A771="","",MONTH(A771))</f>
        <v>2</v>
      </c>
    </row>
    <row r="772" customFormat="false" ht="15" hidden="false" customHeight="false" outlineLevel="0" collapsed="false">
      <c r="A772" s="23" t="n">
        <v>46075.4611111111</v>
      </c>
      <c r="B772" s="24" t="s">
        <v>1067</v>
      </c>
      <c r="C772" s="24" t="s">
        <v>1068</v>
      </c>
      <c r="D772" s="24" t="n">
        <v>3</v>
      </c>
      <c r="E772" s="25" t="n">
        <v>4000</v>
      </c>
      <c r="F772" s="25" t="n">
        <v>2600</v>
      </c>
      <c r="G772" s="24" t="s">
        <v>69</v>
      </c>
      <c r="H772" s="24" t="s">
        <v>55</v>
      </c>
      <c r="I772" s="28" t="n">
        <f aca="false">IF(A772="","",D772*E772)</f>
        <v>12000</v>
      </c>
      <c r="J772" s="28" t="n">
        <f aca="false">IF(A772="","",D772*F772)</f>
        <v>7800</v>
      </c>
      <c r="K772" s="26" t="n">
        <f aca="false">IF(A772="","",YEAR(A772))</f>
        <v>2026</v>
      </c>
      <c r="L772" s="26" t="n">
        <f aca="false">IF(A772="","",MONTH(A772))</f>
        <v>2</v>
      </c>
    </row>
    <row r="773" customFormat="false" ht="15" hidden="false" customHeight="false" outlineLevel="0" collapsed="false">
      <c r="A773" s="23" t="n">
        <v>46075.5354166667</v>
      </c>
      <c r="B773" s="24" t="s">
        <v>1069</v>
      </c>
      <c r="C773" s="24" t="s">
        <v>1070</v>
      </c>
      <c r="D773" s="24" t="n">
        <v>1</v>
      </c>
      <c r="E773" s="25" t="n">
        <v>4500</v>
      </c>
      <c r="F773" s="25" t="n">
        <v>3000</v>
      </c>
      <c r="G773" s="24" t="s">
        <v>59</v>
      </c>
      <c r="H773" s="24" t="s">
        <v>60</v>
      </c>
      <c r="I773" s="28" t="n">
        <f aca="false">IF(A773="","",D773*E773)</f>
        <v>4500</v>
      </c>
      <c r="J773" s="28" t="n">
        <f aca="false">IF(A773="","",D773*F773)</f>
        <v>3000</v>
      </c>
      <c r="K773" s="26" t="n">
        <f aca="false">IF(A773="","",YEAR(A773))</f>
        <v>2026</v>
      </c>
      <c r="L773" s="26" t="n">
        <f aca="false">IF(A773="","",MONTH(A773))</f>
        <v>2</v>
      </c>
    </row>
    <row r="774" customFormat="false" ht="15" hidden="false" customHeight="false" outlineLevel="0" collapsed="false">
      <c r="A774" s="23" t="n">
        <v>46075.6069444444</v>
      </c>
      <c r="B774" s="24" t="s">
        <v>1081</v>
      </c>
      <c r="C774" s="24" t="s">
        <v>1082</v>
      </c>
      <c r="D774" s="24" t="n">
        <v>1</v>
      </c>
      <c r="E774" s="25" t="n">
        <v>2500</v>
      </c>
      <c r="F774" s="25" t="n">
        <v>1500</v>
      </c>
      <c r="G774" s="24" t="s">
        <v>69</v>
      </c>
      <c r="H774" s="24" t="s">
        <v>55</v>
      </c>
      <c r="I774" s="28" t="n">
        <f aca="false">IF(A774="","",D774*E774)</f>
        <v>2500</v>
      </c>
      <c r="J774" s="28" t="n">
        <f aca="false">IF(A774="","",D774*F774)</f>
        <v>1500</v>
      </c>
      <c r="K774" s="26" t="n">
        <f aca="false">IF(A774="","",YEAR(A774))</f>
        <v>2026</v>
      </c>
      <c r="L774" s="26" t="n">
        <f aca="false">IF(A774="","",MONTH(A774))</f>
        <v>2</v>
      </c>
    </row>
    <row r="775" customFormat="false" ht="15" hidden="false" customHeight="false" outlineLevel="0" collapsed="false">
      <c r="A775" s="23" t="n">
        <v>46076.3111111111</v>
      </c>
      <c r="B775" s="24" t="s">
        <v>1071</v>
      </c>
      <c r="C775" s="24" t="s">
        <v>1072</v>
      </c>
      <c r="D775" s="24" t="n">
        <v>3</v>
      </c>
      <c r="E775" s="25" t="n">
        <v>2000</v>
      </c>
      <c r="F775" s="25" t="n">
        <v>1100</v>
      </c>
      <c r="G775" s="24" t="s">
        <v>59</v>
      </c>
      <c r="H775" s="24" t="s">
        <v>55</v>
      </c>
      <c r="I775" s="28" t="n">
        <f aca="false">IF(A775="","",D775*E775)</f>
        <v>6000</v>
      </c>
      <c r="J775" s="28" t="n">
        <f aca="false">IF(A775="","",D775*F775)</f>
        <v>3300</v>
      </c>
      <c r="K775" s="26" t="n">
        <f aca="false">IF(A775="","",YEAR(A775))</f>
        <v>2026</v>
      </c>
      <c r="L775" s="26" t="n">
        <f aca="false">IF(A775="","",MONTH(A775))</f>
        <v>2</v>
      </c>
    </row>
    <row r="776" customFormat="false" ht="15" hidden="false" customHeight="false" outlineLevel="0" collapsed="false">
      <c r="A776" s="23" t="n">
        <v>46076.5402777778</v>
      </c>
      <c r="B776" s="24" t="s">
        <v>1067</v>
      </c>
      <c r="C776" s="24" t="s">
        <v>1068</v>
      </c>
      <c r="D776" s="24" t="n">
        <v>1</v>
      </c>
      <c r="E776" s="25" t="n">
        <v>4000</v>
      </c>
      <c r="F776" s="25" t="n">
        <v>2600</v>
      </c>
      <c r="G776" s="24" t="s">
        <v>59</v>
      </c>
      <c r="H776" s="24" t="s">
        <v>80</v>
      </c>
      <c r="I776" s="28" t="n">
        <f aca="false">IF(A776="","",D776*E776)</f>
        <v>4000</v>
      </c>
      <c r="J776" s="28" t="n">
        <f aca="false">IF(A776="","",D776*F776)</f>
        <v>2600</v>
      </c>
      <c r="K776" s="26" t="n">
        <f aca="false">IF(A776="","",YEAR(A776))</f>
        <v>2026</v>
      </c>
      <c r="L776" s="26" t="n">
        <f aca="false">IF(A776="","",MONTH(A776))</f>
        <v>2</v>
      </c>
    </row>
    <row r="777" customFormat="false" ht="15" hidden="false" customHeight="false" outlineLevel="0" collapsed="false">
      <c r="A777" s="23" t="n">
        <v>46076.5944444445</v>
      </c>
      <c r="B777" s="24" t="s">
        <v>1075</v>
      </c>
      <c r="C777" s="24" t="s">
        <v>1076</v>
      </c>
      <c r="D777" s="24" t="n">
        <v>1</v>
      </c>
      <c r="E777" s="25" t="n">
        <v>1000</v>
      </c>
      <c r="F777" s="25" t="n">
        <v>300</v>
      </c>
      <c r="G777" s="24" t="s">
        <v>59</v>
      </c>
      <c r="H777" s="24" t="s">
        <v>60</v>
      </c>
      <c r="I777" s="28" t="n">
        <f aca="false">IF(A777="","",D777*E777)</f>
        <v>1000</v>
      </c>
      <c r="J777" s="28" t="n">
        <f aca="false">IF(A777="","",D777*F777)</f>
        <v>300</v>
      </c>
      <c r="K777" s="26" t="n">
        <f aca="false">IF(A777="","",YEAR(A777))</f>
        <v>2026</v>
      </c>
      <c r="L777" s="26" t="n">
        <f aca="false">IF(A777="","",MONTH(A777))</f>
        <v>2</v>
      </c>
    </row>
    <row r="778" customFormat="false" ht="15" hidden="false" customHeight="false" outlineLevel="0" collapsed="false">
      <c r="A778" s="23" t="n">
        <v>46076.6263888889</v>
      </c>
      <c r="B778" s="24" t="s">
        <v>1073</v>
      </c>
      <c r="C778" s="24" t="s">
        <v>1074</v>
      </c>
      <c r="D778" s="24" t="n">
        <v>1</v>
      </c>
      <c r="E778" s="25" t="n">
        <v>7000</v>
      </c>
      <c r="F778" s="25" t="n">
        <v>4800</v>
      </c>
      <c r="G778" s="24" t="s">
        <v>59</v>
      </c>
      <c r="H778" s="24" t="s">
        <v>55</v>
      </c>
      <c r="I778" s="28" t="n">
        <f aca="false">IF(A778="","",D778*E778)</f>
        <v>7000</v>
      </c>
      <c r="J778" s="28" t="n">
        <f aca="false">IF(A778="","",D778*F778)</f>
        <v>4800</v>
      </c>
      <c r="K778" s="26" t="n">
        <f aca="false">IF(A778="","",YEAR(A778))</f>
        <v>2026</v>
      </c>
      <c r="L778" s="26" t="n">
        <f aca="false">IF(A778="","",MONTH(A778))</f>
        <v>2</v>
      </c>
    </row>
    <row r="779" customFormat="false" ht="15" hidden="false" customHeight="false" outlineLevel="0" collapsed="false">
      <c r="A779" s="23" t="n">
        <v>46076.6513888889</v>
      </c>
      <c r="B779" s="24" t="s">
        <v>1065</v>
      </c>
      <c r="C779" s="24" t="s">
        <v>1066</v>
      </c>
      <c r="D779" s="24" t="n">
        <v>1</v>
      </c>
      <c r="E779" s="25" t="n">
        <v>3000</v>
      </c>
      <c r="F779" s="25" t="n">
        <v>2000</v>
      </c>
      <c r="G779" s="24" t="s">
        <v>59</v>
      </c>
      <c r="H779" s="24" t="s">
        <v>55</v>
      </c>
      <c r="I779" s="28" t="n">
        <f aca="false">IF(A779="","",D779*E779)</f>
        <v>3000</v>
      </c>
      <c r="J779" s="28" t="n">
        <f aca="false">IF(A779="","",D779*F779)</f>
        <v>2000</v>
      </c>
      <c r="K779" s="26" t="n">
        <f aca="false">IF(A779="","",YEAR(A779))</f>
        <v>2026</v>
      </c>
      <c r="L779" s="26" t="n">
        <f aca="false">IF(A779="","",MONTH(A779))</f>
        <v>2</v>
      </c>
    </row>
    <row r="780" customFormat="false" ht="15" hidden="false" customHeight="false" outlineLevel="0" collapsed="false">
      <c r="A780" s="23" t="n">
        <v>46076.7965277778</v>
      </c>
      <c r="B780" s="24" t="s">
        <v>1065</v>
      </c>
      <c r="C780" s="24" t="s">
        <v>1066</v>
      </c>
      <c r="D780" s="24" t="n">
        <v>3</v>
      </c>
      <c r="E780" s="25" t="n">
        <v>3000</v>
      </c>
      <c r="F780" s="25" t="n">
        <v>2000</v>
      </c>
      <c r="G780" s="24" t="s">
        <v>59</v>
      </c>
      <c r="H780" s="24" t="s">
        <v>55</v>
      </c>
      <c r="I780" s="28" t="n">
        <f aca="false">IF(A780="","",D780*E780)</f>
        <v>9000</v>
      </c>
      <c r="J780" s="28" t="n">
        <f aca="false">IF(A780="","",D780*F780)</f>
        <v>6000</v>
      </c>
      <c r="K780" s="26" t="n">
        <f aca="false">IF(A780="","",YEAR(A780))</f>
        <v>2026</v>
      </c>
      <c r="L780" s="26" t="n">
        <f aca="false">IF(A780="","",MONTH(A780))</f>
        <v>2</v>
      </c>
    </row>
    <row r="781" customFormat="false" ht="15" hidden="false" customHeight="false" outlineLevel="0" collapsed="false">
      <c r="A781" s="23" t="n">
        <v>46076.8652777778</v>
      </c>
      <c r="B781" s="24" t="s">
        <v>1067</v>
      </c>
      <c r="C781" s="24" t="s">
        <v>1068</v>
      </c>
      <c r="D781" s="24" t="n">
        <v>3</v>
      </c>
      <c r="E781" s="25" t="n">
        <v>4000</v>
      </c>
      <c r="F781" s="25" t="n">
        <v>2600</v>
      </c>
      <c r="G781" s="24" t="s">
        <v>69</v>
      </c>
      <c r="H781" s="24" t="s">
        <v>60</v>
      </c>
      <c r="I781" s="28" t="n">
        <f aca="false">IF(A781="","",D781*E781)</f>
        <v>12000</v>
      </c>
      <c r="J781" s="28" t="n">
        <f aca="false">IF(A781="","",D781*F781)</f>
        <v>7800</v>
      </c>
      <c r="K781" s="26" t="n">
        <f aca="false">IF(A781="","",YEAR(A781))</f>
        <v>2026</v>
      </c>
      <c r="L781" s="26" t="n">
        <f aca="false">IF(A781="","",MONTH(A781))</f>
        <v>2</v>
      </c>
    </row>
    <row r="782" customFormat="false" ht="15" hidden="false" customHeight="false" outlineLevel="0" collapsed="false">
      <c r="A782" s="23" t="n">
        <v>46078.3027777778</v>
      </c>
      <c r="B782" s="24" t="s">
        <v>1081</v>
      </c>
      <c r="C782" s="24" t="s">
        <v>1082</v>
      </c>
      <c r="D782" s="24" t="n">
        <v>3</v>
      </c>
      <c r="E782" s="25" t="n">
        <v>2500</v>
      </c>
      <c r="F782" s="25" t="n">
        <v>1500</v>
      </c>
      <c r="G782" s="24" t="s">
        <v>69</v>
      </c>
      <c r="H782" s="24" t="s">
        <v>55</v>
      </c>
      <c r="I782" s="28" t="n">
        <f aca="false">IF(A782="","",D782*E782)</f>
        <v>7500</v>
      </c>
      <c r="J782" s="28" t="n">
        <f aca="false">IF(A782="","",D782*F782)</f>
        <v>4500</v>
      </c>
      <c r="K782" s="26" t="n">
        <f aca="false">IF(A782="","",YEAR(A782))</f>
        <v>2026</v>
      </c>
      <c r="L782" s="26" t="n">
        <f aca="false">IF(A782="","",MONTH(A782))</f>
        <v>2</v>
      </c>
    </row>
    <row r="783" customFormat="false" ht="15" hidden="false" customHeight="false" outlineLevel="0" collapsed="false">
      <c r="A783" s="23" t="n">
        <v>46078.3493055556</v>
      </c>
      <c r="B783" s="24" t="s">
        <v>1071</v>
      </c>
      <c r="C783" s="24" t="s">
        <v>1072</v>
      </c>
      <c r="D783" s="24" t="n">
        <v>1</v>
      </c>
      <c r="E783" s="25" t="n">
        <v>2000</v>
      </c>
      <c r="F783" s="25" t="n">
        <v>1100</v>
      </c>
      <c r="G783" s="24" t="s">
        <v>59</v>
      </c>
      <c r="H783" s="24" t="s">
        <v>80</v>
      </c>
      <c r="I783" s="28" t="n">
        <f aca="false">IF(A783="","",D783*E783)</f>
        <v>2000</v>
      </c>
      <c r="J783" s="28" t="n">
        <f aca="false">IF(A783="","",D783*F783)</f>
        <v>1100</v>
      </c>
      <c r="K783" s="26" t="n">
        <f aca="false">IF(A783="","",YEAR(A783))</f>
        <v>2026</v>
      </c>
      <c r="L783" s="26" t="n">
        <f aca="false">IF(A783="","",MONTH(A783))</f>
        <v>2</v>
      </c>
    </row>
    <row r="784" customFormat="false" ht="15" hidden="false" customHeight="false" outlineLevel="0" collapsed="false">
      <c r="A784" s="23" t="n">
        <v>46078.6694444444</v>
      </c>
      <c r="B784" s="24" t="s">
        <v>1079</v>
      </c>
      <c r="C784" s="24" t="s">
        <v>1080</v>
      </c>
      <c r="D784" s="24" t="n">
        <v>1</v>
      </c>
      <c r="E784" s="25" t="n">
        <v>2500</v>
      </c>
      <c r="F784" s="25" t="n">
        <v>1600</v>
      </c>
      <c r="G784" s="24" t="s">
        <v>59</v>
      </c>
      <c r="H784" s="24" t="s">
        <v>55</v>
      </c>
      <c r="I784" s="28" t="n">
        <f aca="false">IF(A784="","",D784*E784)</f>
        <v>2500</v>
      </c>
      <c r="J784" s="28" t="n">
        <f aca="false">IF(A784="","",D784*F784)</f>
        <v>1600</v>
      </c>
      <c r="K784" s="26" t="n">
        <f aca="false">IF(A784="","",YEAR(A784))</f>
        <v>2026</v>
      </c>
      <c r="L784" s="26" t="n">
        <f aca="false">IF(A784="","",MONTH(A784))</f>
        <v>2</v>
      </c>
    </row>
    <row r="785" customFormat="false" ht="15" hidden="false" customHeight="false" outlineLevel="0" collapsed="false">
      <c r="A785" s="23" t="n">
        <v>46079.6361111111</v>
      </c>
      <c r="B785" s="24" t="s">
        <v>1065</v>
      </c>
      <c r="C785" s="24" t="s">
        <v>1066</v>
      </c>
      <c r="D785" s="24" t="n">
        <v>3</v>
      </c>
      <c r="E785" s="25" t="n">
        <v>3000</v>
      </c>
      <c r="F785" s="25" t="n">
        <v>2000</v>
      </c>
      <c r="G785" s="24" t="s">
        <v>59</v>
      </c>
      <c r="H785" s="24" t="s">
        <v>55</v>
      </c>
      <c r="I785" s="28" t="n">
        <f aca="false">IF(A785="","",D785*E785)</f>
        <v>9000</v>
      </c>
      <c r="J785" s="28" t="n">
        <f aca="false">IF(A785="","",D785*F785)</f>
        <v>6000</v>
      </c>
      <c r="K785" s="26" t="n">
        <f aca="false">IF(A785="","",YEAR(A785))</f>
        <v>2026</v>
      </c>
      <c r="L785" s="26" t="n">
        <f aca="false">IF(A785="","",MONTH(A785))</f>
        <v>2</v>
      </c>
    </row>
    <row r="786" customFormat="false" ht="15" hidden="false" customHeight="false" outlineLevel="0" collapsed="false">
      <c r="A786" s="23" t="n">
        <v>46080.3444444445</v>
      </c>
      <c r="B786" s="24" t="s">
        <v>1073</v>
      </c>
      <c r="C786" s="24" t="s">
        <v>1074</v>
      </c>
      <c r="D786" s="24" t="n">
        <v>1</v>
      </c>
      <c r="E786" s="25" t="n">
        <v>7000</v>
      </c>
      <c r="F786" s="25" t="n">
        <v>4800</v>
      </c>
      <c r="G786" s="24" t="s">
        <v>59</v>
      </c>
      <c r="H786" s="24" t="s">
        <v>80</v>
      </c>
      <c r="I786" s="28" t="n">
        <f aca="false">IF(A786="","",D786*E786)</f>
        <v>7000</v>
      </c>
      <c r="J786" s="28" t="n">
        <f aca="false">IF(A786="","",D786*F786)</f>
        <v>4800</v>
      </c>
      <c r="K786" s="26" t="n">
        <f aca="false">IF(A786="","",YEAR(A786))</f>
        <v>2026</v>
      </c>
      <c r="L786" s="26" t="n">
        <f aca="false">IF(A786="","",MONTH(A786))</f>
        <v>2</v>
      </c>
    </row>
    <row r="787" customFormat="false" ht="15" hidden="false" customHeight="false" outlineLevel="0" collapsed="false">
      <c r="A787" s="23" t="n">
        <v>46080.3729166667</v>
      </c>
      <c r="B787" s="24" t="s">
        <v>1069</v>
      </c>
      <c r="C787" s="24" t="s">
        <v>1070</v>
      </c>
      <c r="D787" s="24" t="n">
        <v>1</v>
      </c>
      <c r="E787" s="25" t="n">
        <v>4500</v>
      </c>
      <c r="F787" s="25" t="n">
        <v>3000</v>
      </c>
      <c r="G787" s="24" t="s">
        <v>59</v>
      </c>
      <c r="H787" s="24" t="s">
        <v>80</v>
      </c>
      <c r="I787" s="28" t="n">
        <f aca="false">IF(A787="","",D787*E787)</f>
        <v>4500</v>
      </c>
      <c r="J787" s="28" t="n">
        <f aca="false">IF(A787="","",D787*F787)</f>
        <v>3000</v>
      </c>
      <c r="K787" s="26" t="n">
        <f aca="false">IF(A787="","",YEAR(A787))</f>
        <v>2026</v>
      </c>
      <c r="L787" s="26" t="n">
        <f aca="false">IF(A787="","",MONTH(A787))</f>
        <v>2</v>
      </c>
    </row>
    <row r="788" customFormat="false" ht="15" hidden="false" customHeight="false" outlineLevel="0" collapsed="false">
      <c r="A788" s="23" t="n">
        <v>46080.5909722222</v>
      </c>
      <c r="B788" s="24" t="s">
        <v>1073</v>
      </c>
      <c r="C788" s="24" t="s">
        <v>1074</v>
      </c>
      <c r="D788" s="24" t="n">
        <v>3</v>
      </c>
      <c r="E788" s="25" t="n">
        <v>7000</v>
      </c>
      <c r="F788" s="25" t="n">
        <v>4800</v>
      </c>
      <c r="G788" s="24" t="s">
        <v>59</v>
      </c>
      <c r="H788" s="24" t="s">
        <v>55</v>
      </c>
      <c r="I788" s="28" t="n">
        <f aca="false">IF(A788="","",D788*E788)</f>
        <v>21000</v>
      </c>
      <c r="J788" s="28" t="n">
        <f aca="false">IF(A788="","",D788*F788)</f>
        <v>14400</v>
      </c>
      <c r="K788" s="26" t="n">
        <f aca="false">IF(A788="","",YEAR(A788))</f>
        <v>2026</v>
      </c>
      <c r="L788" s="26" t="n">
        <f aca="false">IF(A788="","",MONTH(A788))</f>
        <v>2</v>
      </c>
    </row>
    <row r="789" customFormat="false" ht="15" hidden="false" customHeight="false" outlineLevel="0" collapsed="false">
      <c r="A789" s="23" t="n">
        <v>46080.6638888889</v>
      </c>
      <c r="B789" s="24" t="s">
        <v>1065</v>
      </c>
      <c r="C789" s="24" t="s">
        <v>1066</v>
      </c>
      <c r="D789" s="24" t="n">
        <v>1</v>
      </c>
      <c r="E789" s="25" t="n">
        <v>3000</v>
      </c>
      <c r="F789" s="25" t="n">
        <v>2000</v>
      </c>
      <c r="G789" s="24" t="s">
        <v>59</v>
      </c>
      <c r="H789" s="24" t="s">
        <v>80</v>
      </c>
      <c r="I789" s="28" t="n">
        <f aca="false">IF(A789="","",D789*E789)</f>
        <v>3000</v>
      </c>
      <c r="J789" s="28" t="n">
        <f aca="false">IF(A789="","",D789*F789)</f>
        <v>2000</v>
      </c>
      <c r="K789" s="26" t="n">
        <f aca="false">IF(A789="","",YEAR(A789))</f>
        <v>2026</v>
      </c>
      <c r="L789" s="26" t="n">
        <f aca="false">IF(A789="","",MONTH(A789))</f>
        <v>2</v>
      </c>
    </row>
    <row r="790" customFormat="false" ht="15" hidden="false" customHeight="false" outlineLevel="0" collapsed="false">
      <c r="A790" s="23" t="n">
        <v>46081.4416666667</v>
      </c>
      <c r="B790" s="24" t="s">
        <v>1073</v>
      </c>
      <c r="C790" s="24" t="s">
        <v>1074</v>
      </c>
      <c r="D790" s="24" t="n">
        <v>1</v>
      </c>
      <c r="E790" s="25" t="n">
        <v>7000</v>
      </c>
      <c r="F790" s="25" t="n">
        <v>4800</v>
      </c>
      <c r="G790" s="24" t="s">
        <v>59</v>
      </c>
      <c r="H790" s="24" t="s">
        <v>60</v>
      </c>
      <c r="I790" s="28" t="n">
        <f aca="false">IF(A790="","",D790*E790)</f>
        <v>7000</v>
      </c>
      <c r="J790" s="28" t="n">
        <f aca="false">IF(A790="","",D790*F790)</f>
        <v>4800</v>
      </c>
      <c r="K790" s="26" t="n">
        <f aca="false">IF(A790="","",YEAR(A790))</f>
        <v>2026</v>
      </c>
      <c r="L790" s="26" t="n">
        <f aca="false">IF(A790="","",MONTH(A790))</f>
        <v>2</v>
      </c>
    </row>
    <row r="791" customFormat="false" ht="15" hidden="false" customHeight="false" outlineLevel="0" collapsed="false">
      <c r="A791" s="23" t="n">
        <v>46081.4423611111</v>
      </c>
      <c r="B791" s="24" t="s">
        <v>1075</v>
      </c>
      <c r="C791" s="24" t="s">
        <v>1076</v>
      </c>
      <c r="D791" s="24" t="n">
        <v>3</v>
      </c>
      <c r="E791" s="25" t="n">
        <v>1000</v>
      </c>
      <c r="F791" s="25" t="n">
        <v>300</v>
      </c>
      <c r="G791" s="24" t="s">
        <v>59</v>
      </c>
      <c r="H791" s="24" t="s">
        <v>80</v>
      </c>
      <c r="I791" s="28" t="n">
        <f aca="false">IF(A791="","",D791*E791)</f>
        <v>3000</v>
      </c>
      <c r="J791" s="28" t="n">
        <f aca="false">IF(A791="","",D791*F791)</f>
        <v>900</v>
      </c>
      <c r="K791" s="26" t="n">
        <f aca="false">IF(A791="","",YEAR(A791))</f>
        <v>2026</v>
      </c>
      <c r="L791" s="26" t="n">
        <f aca="false">IF(A791="","",MONTH(A791))</f>
        <v>2</v>
      </c>
    </row>
    <row r="792" customFormat="false" ht="15" hidden="false" customHeight="false" outlineLevel="0" collapsed="false">
      <c r="A792" s="23" t="n">
        <v>46082.3541666667</v>
      </c>
      <c r="B792" s="24" t="s">
        <v>1081</v>
      </c>
      <c r="C792" s="24" t="s">
        <v>1082</v>
      </c>
      <c r="D792" s="24" t="n">
        <v>3</v>
      </c>
      <c r="E792" s="25" t="n">
        <v>2500</v>
      </c>
      <c r="F792" s="25" t="n">
        <v>1500</v>
      </c>
      <c r="G792" s="24" t="s">
        <v>69</v>
      </c>
      <c r="H792" s="24" t="s">
        <v>80</v>
      </c>
      <c r="I792" s="28" t="n">
        <f aca="false">IF(A792="","",D792*E792)</f>
        <v>7500</v>
      </c>
      <c r="J792" s="28" t="n">
        <f aca="false">IF(A792="","",D792*F792)</f>
        <v>4500</v>
      </c>
      <c r="K792" s="26" t="n">
        <f aca="false">IF(A792="","",YEAR(A792))</f>
        <v>2026</v>
      </c>
      <c r="L792" s="26" t="n">
        <f aca="false">IF(A792="","",MONTH(A792))</f>
        <v>3</v>
      </c>
    </row>
    <row r="793" customFormat="false" ht="15" hidden="false" customHeight="false" outlineLevel="0" collapsed="false">
      <c r="A793" s="23" t="n">
        <v>46082.7069444444</v>
      </c>
      <c r="B793" s="24" t="s">
        <v>1071</v>
      </c>
      <c r="C793" s="24" t="s">
        <v>1072</v>
      </c>
      <c r="D793" s="24" t="n">
        <v>2</v>
      </c>
      <c r="E793" s="25" t="n">
        <v>2000</v>
      </c>
      <c r="F793" s="25" t="n">
        <v>1100</v>
      </c>
      <c r="G793" s="24" t="s">
        <v>59</v>
      </c>
      <c r="H793" s="24" t="s">
        <v>55</v>
      </c>
      <c r="I793" s="28" t="n">
        <f aca="false">IF(A793="","",D793*E793)</f>
        <v>4000</v>
      </c>
      <c r="J793" s="28" t="n">
        <f aca="false">IF(A793="","",D793*F793)</f>
        <v>2200</v>
      </c>
      <c r="K793" s="26" t="n">
        <f aca="false">IF(A793="","",YEAR(A793))</f>
        <v>2026</v>
      </c>
      <c r="L793" s="26" t="n">
        <f aca="false">IF(A793="","",MONTH(A793))</f>
        <v>3</v>
      </c>
    </row>
    <row r="794" customFormat="false" ht="15" hidden="false" customHeight="false" outlineLevel="0" collapsed="false">
      <c r="A794" s="23" t="n">
        <v>46083.7229166667</v>
      </c>
      <c r="B794" s="24" t="s">
        <v>1069</v>
      </c>
      <c r="C794" s="24" t="s">
        <v>1070</v>
      </c>
      <c r="D794" s="24" t="n">
        <v>1</v>
      </c>
      <c r="E794" s="25" t="n">
        <v>4500</v>
      </c>
      <c r="F794" s="25" t="n">
        <v>3000</v>
      </c>
      <c r="G794" s="24" t="s">
        <v>59</v>
      </c>
      <c r="H794" s="24" t="s">
        <v>80</v>
      </c>
      <c r="I794" s="28" t="n">
        <f aca="false">IF(A794="","",D794*E794)</f>
        <v>4500</v>
      </c>
      <c r="J794" s="28" t="n">
        <f aca="false">IF(A794="","",D794*F794)</f>
        <v>3000</v>
      </c>
      <c r="K794" s="26" t="n">
        <f aca="false">IF(A794="","",YEAR(A794))</f>
        <v>2026</v>
      </c>
      <c r="L794" s="26" t="n">
        <f aca="false">IF(A794="","",MONTH(A794))</f>
        <v>3</v>
      </c>
    </row>
    <row r="795" customFormat="false" ht="15" hidden="false" customHeight="false" outlineLevel="0" collapsed="false">
      <c r="A795" s="23" t="n">
        <v>46084.3840277778</v>
      </c>
      <c r="B795" s="24" t="s">
        <v>1065</v>
      </c>
      <c r="C795" s="24" t="s">
        <v>1066</v>
      </c>
      <c r="D795" s="24" t="n">
        <v>1</v>
      </c>
      <c r="E795" s="25" t="n">
        <v>3000</v>
      </c>
      <c r="F795" s="25" t="n">
        <v>2000</v>
      </c>
      <c r="G795" s="24" t="s">
        <v>69</v>
      </c>
      <c r="H795" s="24" t="s">
        <v>60</v>
      </c>
      <c r="I795" s="28" t="n">
        <f aca="false">IF(A795="","",D795*E795)</f>
        <v>3000</v>
      </c>
      <c r="J795" s="28" t="n">
        <f aca="false">IF(A795="","",D795*F795)</f>
        <v>2000</v>
      </c>
      <c r="K795" s="26" t="n">
        <f aca="false">IF(A795="","",YEAR(A795))</f>
        <v>2026</v>
      </c>
      <c r="L795" s="26" t="n">
        <f aca="false">IF(A795="","",MONTH(A795))</f>
        <v>3</v>
      </c>
    </row>
    <row r="796" customFormat="false" ht="15" hidden="false" customHeight="false" outlineLevel="0" collapsed="false">
      <c r="A796" s="23" t="n">
        <v>46085.5361111111</v>
      </c>
      <c r="B796" s="24" t="s">
        <v>1075</v>
      </c>
      <c r="C796" s="24" t="s">
        <v>1076</v>
      </c>
      <c r="D796" s="24" t="n">
        <v>1</v>
      </c>
      <c r="E796" s="25" t="n">
        <v>1000</v>
      </c>
      <c r="F796" s="25" t="n">
        <v>300</v>
      </c>
      <c r="G796" s="24" t="s">
        <v>59</v>
      </c>
      <c r="H796" s="24" t="s">
        <v>60</v>
      </c>
      <c r="I796" s="28" t="n">
        <f aca="false">IF(A796="","",D796*E796)</f>
        <v>1000</v>
      </c>
      <c r="J796" s="28" t="n">
        <f aca="false">IF(A796="","",D796*F796)</f>
        <v>300</v>
      </c>
      <c r="K796" s="26" t="n">
        <f aca="false">IF(A796="","",YEAR(A796))</f>
        <v>2026</v>
      </c>
      <c r="L796" s="26" t="n">
        <f aca="false">IF(A796="","",MONTH(A796))</f>
        <v>3</v>
      </c>
    </row>
    <row r="797" customFormat="false" ht="15" hidden="false" customHeight="false" outlineLevel="0" collapsed="false">
      <c r="A797" s="23" t="n">
        <v>46086.4826388889</v>
      </c>
      <c r="B797" s="24" t="s">
        <v>1081</v>
      </c>
      <c r="C797" s="24" t="s">
        <v>1082</v>
      </c>
      <c r="D797" s="24" t="n">
        <v>1</v>
      </c>
      <c r="E797" s="25" t="n">
        <v>2500</v>
      </c>
      <c r="F797" s="25" t="n">
        <v>1500</v>
      </c>
      <c r="G797" s="24" t="s">
        <v>69</v>
      </c>
      <c r="H797" s="24" t="s">
        <v>60</v>
      </c>
      <c r="I797" s="28" t="n">
        <f aca="false">IF(A797="","",D797*E797)</f>
        <v>2500</v>
      </c>
      <c r="J797" s="28" t="n">
        <f aca="false">IF(A797="","",D797*F797)</f>
        <v>1500</v>
      </c>
      <c r="K797" s="26" t="n">
        <f aca="false">IF(A797="","",YEAR(A797))</f>
        <v>2026</v>
      </c>
      <c r="L797" s="26" t="n">
        <f aca="false">IF(A797="","",MONTH(A797))</f>
        <v>3</v>
      </c>
    </row>
    <row r="798" customFormat="false" ht="15" hidden="false" customHeight="false" outlineLevel="0" collapsed="false">
      <c r="A798" s="23" t="n">
        <v>46086.5916666667</v>
      </c>
      <c r="B798" s="24" t="s">
        <v>1065</v>
      </c>
      <c r="C798" s="24" t="s">
        <v>1066</v>
      </c>
      <c r="D798" s="24" t="n">
        <v>3</v>
      </c>
      <c r="E798" s="25" t="n">
        <v>3000</v>
      </c>
      <c r="F798" s="25" t="n">
        <v>2000</v>
      </c>
      <c r="G798" s="24" t="s">
        <v>59</v>
      </c>
      <c r="H798" s="24" t="s">
        <v>55</v>
      </c>
      <c r="I798" s="28" t="n">
        <f aca="false">IF(A798="","",D798*E798)</f>
        <v>9000</v>
      </c>
      <c r="J798" s="28" t="n">
        <f aca="false">IF(A798="","",D798*F798)</f>
        <v>6000</v>
      </c>
      <c r="K798" s="26" t="n">
        <f aca="false">IF(A798="","",YEAR(A798))</f>
        <v>2026</v>
      </c>
      <c r="L798" s="26" t="n">
        <f aca="false">IF(A798="","",MONTH(A798))</f>
        <v>3</v>
      </c>
    </row>
    <row r="799" customFormat="false" ht="15" hidden="false" customHeight="false" outlineLevel="0" collapsed="false">
      <c r="A799" s="23" t="n">
        <v>46087.3298611111</v>
      </c>
      <c r="B799" s="24" t="s">
        <v>1065</v>
      </c>
      <c r="C799" s="24" t="s">
        <v>1066</v>
      </c>
      <c r="D799" s="24" t="n">
        <v>2</v>
      </c>
      <c r="E799" s="25" t="n">
        <v>3000</v>
      </c>
      <c r="F799" s="25" t="n">
        <v>2000</v>
      </c>
      <c r="G799" s="24" t="s">
        <v>69</v>
      </c>
      <c r="H799" s="24" t="s">
        <v>60</v>
      </c>
      <c r="I799" s="28" t="n">
        <f aca="false">IF(A799="","",D799*E799)</f>
        <v>6000</v>
      </c>
      <c r="J799" s="28" t="n">
        <f aca="false">IF(A799="","",D799*F799)</f>
        <v>4000</v>
      </c>
      <c r="K799" s="26" t="n">
        <f aca="false">IF(A799="","",YEAR(A799))</f>
        <v>2026</v>
      </c>
      <c r="L799" s="26" t="n">
        <f aca="false">IF(A799="","",MONTH(A799))</f>
        <v>3</v>
      </c>
    </row>
    <row r="800" customFormat="false" ht="15" hidden="false" customHeight="false" outlineLevel="0" collapsed="false">
      <c r="A800" s="23" t="n">
        <v>46087.6152777778</v>
      </c>
      <c r="B800" s="24" t="s">
        <v>1075</v>
      </c>
      <c r="C800" s="24" t="s">
        <v>1076</v>
      </c>
      <c r="D800" s="24" t="n">
        <v>1</v>
      </c>
      <c r="E800" s="25" t="n">
        <v>1000</v>
      </c>
      <c r="F800" s="25" t="n">
        <v>300</v>
      </c>
      <c r="G800" s="24" t="s">
        <v>69</v>
      </c>
      <c r="H800" s="24" t="s">
        <v>60</v>
      </c>
      <c r="I800" s="28" t="n">
        <f aca="false">IF(A800="","",D800*E800)</f>
        <v>1000</v>
      </c>
      <c r="J800" s="28" t="n">
        <f aca="false">IF(A800="","",D800*F800)</f>
        <v>300</v>
      </c>
      <c r="K800" s="26" t="n">
        <f aca="false">IF(A800="","",YEAR(A800))</f>
        <v>2026</v>
      </c>
      <c r="L800" s="26" t="n">
        <f aca="false">IF(A800="","",MONTH(A800))</f>
        <v>3</v>
      </c>
    </row>
    <row r="801" customFormat="false" ht="15" hidden="false" customHeight="false" outlineLevel="0" collapsed="false">
      <c r="A801" s="23" t="n">
        <v>46089.5513888889</v>
      </c>
      <c r="B801" s="24" t="s">
        <v>1065</v>
      </c>
      <c r="C801" s="24" t="s">
        <v>1066</v>
      </c>
      <c r="D801" s="24" t="n">
        <v>3</v>
      </c>
      <c r="E801" s="25" t="n">
        <v>3000</v>
      </c>
      <c r="F801" s="25" t="n">
        <v>2000</v>
      </c>
      <c r="G801" s="24" t="s">
        <v>59</v>
      </c>
      <c r="H801" s="24" t="s">
        <v>55</v>
      </c>
      <c r="I801" s="28" t="n">
        <f aca="false">IF(A801="","",D801*E801)</f>
        <v>9000</v>
      </c>
      <c r="J801" s="28" t="n">
        <f aca="false">IF(A801="","",D801*F801)</f>
        <v>6000</v>
      </c>
      <c r="K801" s="26" t="n">
        <f aca="false">IF(A801="","",YEAR(A801))</f>
        <v>2026</v>
      </c>
      <c r="L801" s="26" t="n">
        <f aca="false">IF(A801="","",MONTH(A801))</f>
        <v>3</v>
      </c>
    </row>
    <row r="802" customFormat="false" ht="15" hidden="false" customHeight="false" outlineLevel="0" collapsed="false">
      <c r="A802" s="23" t="n">
        <v>46090.3604166667</v>
      </c>
      <c r="B802" s="24" t="s">
        <v>1069</v>
      </c>
      <c r="C802" s="24" t="s">
        <v>1070</v>
      </c>
      <c r="D802" s="24" t="n">
        <v>1</v>
      </c>
      <c r="E802" s="25" t="n">
        <v>4500</v>
      </c>
      <c r="F802" s="25" t="n">
        <v>3000</v>
      </c>
      <c r="G802" s="24" t="s">
        <v>59</v>
      </c>
      <c r="H802" s="24" t="s">
        <v>60</v>
      </c>
      <c r="I802" s="28" t="n">
        <f aca="false">IF(A802="","",D802*E802)</f>
        <v>4500</v>
      </c>
      <c r="J802" s="28" t="n">
        <f aca="false">IF(A802="","",D802*F802)</f>
        <v>3000</v>
      </c>
      <c r="K802" s="26" t="n">
        <f aca="false">IF(A802="","",YEAR(A802))</f>
        <v>2026</v>
      </c>
      <c r="L802" s="26" t="n">
        <f aca="false">IF(A802="","",MONTH(A802))</f>
        <v>3</v>
      </c>
    </row>
    <row r="803" customFormat="false" ht="15" hidden="false" customHeight="false" outlineLevel="0" collapsed="false">
      <c r="A803" s="23" t="n">
        <v>46090.4201388889</v>
      </c>
      <c r="B803" s="24" t="s">
        <v>1071</v>
      </c>
      <c r="C803" s="24" t="s">
        <v>1072</v>
      </c>
      <c r="D803" s="24" t="n">
        <v>1</v>
      </c>
      <c r="E803" s="25" t="n">
        <v>2000</v>
      </c>
      <c r="F803" s="25" t="n">
        <v>1100</v>
      </c>
      <c r="G803" s="24" t="s">
        <v>59</v>
      </c>
      <c r="H803" s="24" t="s">
        <v>55</v>
      </c>
      <c r="I803" s="28" t="n">
        <f aca="false">IF(A803="","",D803*E803)</f>
        <v>2000</v>
      </c>
      <c r="J803" s="28" t="n">
        <f aca="false">IF(A803="","",D803*F803)</f>
        <v>1100</v>
      </c>
      <c r="K803" s="26" t="n">
        <f aca="false">IF(A803="","",YEAR(A803))</f>
        <v>2026</v>
      </c>
      <c r="L803" s="26" t="n">
        <f aca="false">IF(A803="","",MONTH(A803))</f>
        <v>3</v>
      </c>
    </row>
    <row r="804" customFormat="false" ht="15" hidden="false" customHeight="false" outlineLevel="0" collapsed="false">
      <c r="A804" s="23" t="n">
        <v>46090.4222222222</v>
      </c>
      <c r="B804" s="24" t="s">
        <v>1065</v>
      </c>
      <c r="C804" s="24" t="s">
        <v>1066</v>
      </c>
      <c r="D804" s="24" t="n">
        <v>1</v>
      </c>
      <c r="E804" s="25" t="n">
        <v>3000</v>
      </c>
      <c r="F804" s="25" t="n">
        <v>2000</v>
      </c>
      <c r="G804" s="24" t="s">
        <v>59</v>
      </c>
      <c r="H804" s="24" t="s">
        <v>60</v>
      </c>
      <c r="I804" s="28" t="n">
        <f aca="false">IF(A804="","",D804*E804)</f>
        <v>3000</v>
      </c>
      <c r="J804" s="28" t="n">
        <f aca="false">IF(A804="","",D804*F804)</f>
        <v>2000</v>
      </c>
      <c r="K804" s="26" t="n">
        <f aca="false">IF(A804="","",YEAR(A804))</f>
        <v>2026</v>
      </c>
      <c r="L804" s="26" t="n">
        <f aca="false">IF(A804="","",MONTH(A804))</f>
        <v>3</v>
      </c>
    </row>
    <row r="805" customFormat="false" ht="15" hidden="false" customHeight="false" outlineLevel="0" collapsed="false">
      <c r="A805" s="23" t="n">
        <v>46091.4020833333</v>
      </c>
      <c r="B805" s="24" t="s">
        <v>1067</v>
      </c>
      <c r="C805" s="24" t="s">
        <v>1068</v>
      </c>
      <c r="D805" s="24" t="n">
        <v>1</v>
      </c>
      <c r="E805" s="25" t="n">
        <v>4000</v>
      </c>
      <c r="F805" s="25" t="n">
        <v>2600</v>
      </c>
      <c r="G805" s="24" t="s">
        <v>59</v>
      </c>
      <c r="H805" s="24" t="s">
        <v>55</v>
      </c>
      <c r="I805" s="28" t="n">
        <f aca="false">IF(A805="","",D805*E805)</f>
        <v>4000</v>
      </c>
      <c r="J805" s="28" t="n">
        <f aca="false">IF(A805="","",D805*F805)</f>
        <v>2600</v>
      </c>
      <c r="K805" s="26" t="n">
        <f aca="false">IF(A805="","",YEAR(A805))</f>
        <v>2026</v>
      </c>
      <c r="L805" s="26" t="n">
        <f aca="false">IF(A805="","",MONTH(A805))</f>
        <v>3</v>
      </c>
    </row>
    <row r="806" customFormat="false" ht="15" hidden="false" customHeight="false" outlineLevel="0" collapsed="false">
      <c r="A806" s="23" t="n">
        <v>46091.6736111111</v>
      </c>
      <c r="B806" s="24" t="s">
        <v>1081</v>
      </c>
      <c r="C806" s="24" t="s">
        <v>1082</v>
      </c>
      <c r="D806" s="24" t="n">
        <v>3</v>
      </c>
      <c r="E806" s="25" t="n">
        <v>2500</v>
      </c>
      <c r="F806" s="25" t="n">
        <v>1500</v>
      </c>
      <c r="G806" s="24" t="s">
        <v>59</v>
      </c>
      <c r="H806" s="24" t="s">
        <v>55</v>
      </c>
      <c r="I806" s="28" t="n">
        <f aca="false">IF(A806="","",D806*E806)</f>
        <v>7500</v>
      </c>
      <c r="J806" s="28" t="n">
        <f aca="false">IF(A806="","",D806*F806)</f>
        <v>4500</v>
      </c>
      <c r="K806" s="26" t="n">
        <f aca="false">IF(A806="","",YEAR(A806))</f>
        <v>2026</v>
      </c>
      <c r="L806" s="26" t="n">
        <f aca="false">IF(A806="","",MONTH(A806))</f>
        <v>3</v>
      </c>
    </row>
    <row r="807" customFormat="false" ht="15" hidden="false" customHeight="false" outlineLevel="0" collapsed="false">
      <c r="A807" s="23" t="n">
        <v>46091.6798611111</v>
      </c>
      <c r="B807" s="24" t="s">
        <v>1065</v>
      </c>
      <c r="C807" s="24" t="s">
        <v>1066</v>
      </c>
      <c r="D807" s="24" t="n">
        <v>1</v>
      </c>
      <c r="E807" s="25" t="n">
        <v>3000</v>
      </c>
      <c r="F807" s="25" t="n">
        <v>2000</v>
      </c>
      <c r="G807" s="24" t="s">
        <v>59</v>
      </c>
      <c r="H807" s="24" t="s">
        <v>55</v>
      </c>
      <c r="I807" s="28" t="n">
        <f aca="false">IF(A807="","",D807*E807)</f>
        <v>3000</v>
      </c>
      <c r="J807" s="28" t="n">
        <f aca="false">IF(A807="","",D807*F807)</f>
        <v>2000</v>
      </c>
      <c r="K807" s="26" t="n">
        <f aca="false">IF(A807="","",YEAR(A807))</f>
        <v>2026</v>
      </c>
      <c r="L807" s="26" t="n">
        <f aca="false">IF(A807="","",MONTH(A807))</f>
        <v>3</v>
      </c>
    </row>
    <row r="808" customFormat="false" ht="15" hidden="false" customHeight="false" outlineLevel="0" collapsed="false">
      <c r="A808" s="23" t="n">
        <v>46091.7777777778</v>
      </c>
      <c r="B808" s="24" t="s">
        <v>1073</v>
      </c>
      <c r="C808" s="24" t="s">
        <v>1074</v>
      </c>
      <c r="D808" s="24" t="n">
        <v>1</v>
      </c>
      <c r="E808" s="25" t="n">
        <v>7000</v>
      </c>
      <c r="F808" s="25" t="n">
        <v>4800</v>
      </c>
      <c r="G808" s="24" t="s">
        <v>69</v>
      </c>
      <c r="H808" s="24" t="s">
        <v>60</v>
      </c>
      <c r="I808" s="28" t="n">
        <f aca="false">IF(A808="","",D808*E808)</f>
        <v>7000</v>
      </c>
      <c r="J808" s="28" t="n">
        <f aca="false">IF(A808="","",D808*F808)</f>
        <v>4800</v>
      </c>
      <c r="K808" s="26" t="n">
        <f aca="false">IF(A808="","",YEAR(A808))</f>
        <v>2026</v>
      </c>
      <c r="L808" s="26" t="n">
        <f aca="false">IF(A808="","",MONTH(A808))</f>
        <v>3</v>
      </c>
    </row>
    <row r="809" customFormat="false" ht="15" hidden="false" customHeight="false" outlineLevel="0" collapsed="false">
      <c r="A809" s="23" t="n">
        <v>46093.5381944445</v>
      </c>
      <c r="B809" s="24" t="s">
        <v>1067</v>
      </c>
      <c r="C809" s="24" t="s">
        <v>1068</v>
      </c>
      <c r="D809" s="24" t="n">
        <v>3</v>
      </c>
      <c r="E809" s="25" t="n">
        <v>4000</v>
      </c>
      <c r="F809" s="25" t="n">
        <v>2600</v>
      </c>
      <c r="G809" s="24" t="s">
        <v>59</v>
      </c>
      <c r="H809" s="24" t="s">
        <v>60</v>
      </c>
      <c r="I809" s="28" t="n">
        <f aca="false">IF(A809="","",D809*E809)</f>
        <v>12000</v>
      </c>
      <c r="J809" s="28" t="n">
        <f aca="false">IF(A809="","",D809*F809)</f>
        <v>7800</v>
      </c>
      <c r="K809" s="26" t="n">
        <f aca="false">IF(A809="","",YEAR(A809))</f>
        <v>2026</v>
      </c>
      <c r="L809" s="26" t="n">
        <f aca="false">IF(A809="","",MONTH(A809))</f>
        <v>3</v>
      </c>
    </row>
    <row r="810" customFormat="false" ht="15" hidden="false" customHeight="false" outlineLevel="0" collapsed="false">
      <c r="A810" s="23" t="n">
        <v>46093.8444444445</v>
      </c>
      <c r="B810" s="24" t="s">
        <v>1065</v>
      </c>
      <c r="C810" s="24" t="s">
        <v>1066</v>
      </c>
      <c r="D810" s="24" t="n">
        <v>2</v>
      </c>
      <c r="E810" s="25" t="n">
        <v>3000</v>
      </c>
      <c r="F810" s="25" t="n">
        <v>2000</v>
      </c>
      <c r="G810" s="24" t="s">
        <v>59</v>
      </c>
      <c r="H810" s="24" t="s">
        <v>60</v>
      </c>
      <c r="I810" s="28" t="n">
        <f aca="false">IF(A810="","",D810*E810)</f>
        <v>6000</v>
      </c>
      <c r="J810" s="28" t="n">
        <f aca="false">IF(A810="","",D810*F810)</f>
        <v>4000</v>
      </c>
      <c r="K810" s="26" t="n">
        <f aca="false">IF(A810="","",YEAR(A810))</f>
        <v>2026</v>
      </c>
      <c r="L810" s="26" t="n">
        <f aca="false">IF(A810="","",MONTH(A810))</f>
        <v>3</v>
      </c>
    </row>
    <row r="811" customFormat="false" ht="15" hidden="false" customHeight="false" outlineLevel="0" collapsed="false">
      <c r="A811" s="23" t="n">
        <v>46094.2951388889</v>
      </c>
      <c r="B811" s="24" t="s">
        <v>1079</v>
      </c>
      <c r="C811" s="24" t="s">
        <v>1080</v>
      </c>
      <c r="D811" s="24" t="n">
        <v>1</v>
      </c>
      <c r="E811" s="25" t="n">
        <v>2500</v>
      </c>
      <c r="F811" s="25" t="n">
        <v>1600</v>
      </c>
      <c r="G811" s="24" t="s">
        <v>59</v>
      </c>
      <c r="H811" s="24" t="s">
        <v>55</v>
      </c>
      <c r="I811" s="28" t="n">
        <f aca="false">IF(A811="","",D811*E811)</f>
        <v>2500</v>
      </c>
      <c r="J811" s="28" t="n">
        <f aca="false">IF(A811="","",D811*F811)</f>
        <v>1600</v>
      </c>
      <c r="K811" s="26" t="n">
        <f aca="false">IF(A811="","",YEAR(A811))</f>
        <v>2026</v>
      </c>
      <c r="L811" s="26" t="n">
        <f aca="false">IF(A811="","",MONTH(A811))</f>
        <v>3</v>
      </c>
    </row>
    <row r="812" customFormat="false" ht="15" hidden="false" customHeight="false" outlineLevel="0" collapsed="false">
      <c r="A812" s="23" t="n">
        <v>46094.3277777778</v>
      </c>
      <c r="B812" s="24" t="s">
        <v>1079</v>
      </c>
      <c r="C812" s="24" t="s">
        <v>1080</v>
      </c>
      <c r="D812" s="24" t="n">
        <v>3</v>
      </c>
      <c r="E812" s="25" t="n">
        <v>2500</v>
      </c>
      <c r="F812" s="25" t="n">
        <v>1600</v>
      </c>
      <c r="G812" s="24" t="s">
        <v>69</v>
      </c>
      <c r="H812" s="24" t="s">
        <v>80</v>
      </c>
      <c r="I812" s="28" t="n">
        <f aca="false">IF(A812="","",D812*E812)</f>
        <v>7500</v>
      </c>
      <c r="J812" s="28" t="n">
        <f aca="false">IF(A812="","",D812*F812)</f>
        <v>4800</v>
      </c>
      <c r="K812" s="26" t="n">
        <f aca="false">IF(A812="","",YEAR(A812))</f>
        <v>2026</v>
      </c>
      <c r="L812" s="26" t="n">
        <f aca="false">IF(A812="","",MONTH(A812))</f>
        <v>3</v>
      </c>
    </row>
    <row r="813" customFormat="false" ht="15" hidden="false" customHeight="false" outlineLevel="0" collapsed="false">
      <c r="A813" s="23" t="n">
        <v>46094.7854166667</v>
      </c>
      <c r="B813" s="24" t="s">
        <v>1073</v>
      </c>
      <c r="C813" s="24" t="s">
        <v>1074</v>
      </c>
      <c r="D813" s="24" t="n">
        <v>1</v>
      </c>
      <c r="E813" s="25" t="n">
        <v>7000</v>
      </c>
      <c r="F813" s="25" t="n">
        <v>4800</v>
      </c>
      <c r="G813" s="24" t="s">
        <v>59</v>
      </c>
      <c r="H813" s="24" t="s">
        <v>55</v>
      </c>
      <c r="I813" s="28" t="n">
        <f aca="false">IF(A813="","",D813*E813)</f>
        <v>7000</v>
      </c>
      <c r="J813" s="28" t="n">
        <f aca="false">IF(A813="","",D813*F813)</f>
        <v>4800</v>
      </c>
      <c r="K813" s="26" t="n">
        <f aca="false">IF(A813="","",YEAR(A813))</f>
        <v>2026</v>
      </c>
      <c r="L813" s="26" t="n">
        <f aca="false">IF(A813="","",MONTH(A813))</f>
        <v>3</v>
      </c>
    </row>
    <row r="814" customFormat="false" ht="15" hidden="false" customHeight="false" outlineLevel="0" collapsed="false">
      <c r="A814" s="23" t="n">
        <v>46097.6881944445</v>
      </c>
      <c r="B814" s="24" t="s">
        <v>1071</v>
      </c>
      <c r="C814" s="24" t="s">
        <v>1072</v>
      </c>
      <c r="D814" s="24" t="n">
        <v>1</v>
      </c>
      <c r="E814" s="25" t="n">
        <v>2000</v>
      </c>
      <c r="F814" s="25" t="n">
        <v>1100</v>
      </c>
      <c r="G814" s="24" t="s">
        <v>59</v>
      </c>
      <c r="H814" s="24" t="s">
        <v>60</v>
      </c>
      <c r="I814" s="28" t="n">
        <f aca="false">IF(A814="","",D814*E814)</f>
        <v>2000</v>
      </c>
      <c r="J814" s="28" t="n">
        <f aca="false">IF(A814="","",D814*F814)</f>
        <v>1100</v>
      </c>
      <c r="K814" s="26" t="n">
        <f aca="false">IF(A814="","",YEAR(A814))</f>
        <v>2026</v>
      </c>
      <c r="L814" s="26" t="n">
        <f aca="false">IF(A814="","",MONTH(A814))</f>
        <v>3</v>
      </c>
    </row>
    <row r="815" customFormat="false" ht="15" hidden="false" customHeight="false" outlineLevel="0" collapsed="false">
      <c r="A815" s="23" t="n">
        <v>46097.7416666667</v>
      </c>
      <c r="B815" s="24" t="s">
        <v>1067</v>
      </c>
      <c r="C815" s="24" t="s">
        <v>1068</v>
      </c>
      <c r="D815" s="24" t="n">
        <v>3</v>
      </c>
      <c r="E815" s="25" t="n">
        <v>4000</v>
      </c>
      <c r="F815" s="25" t="n">
        <v>2600</v>
      </c>
      <c r="G815" s="24" t="s">
        <v>59</v>
      </c>
      <c r="H815" s="24" t="s">
        <v>55</v>
      </c>
      <c r="I815" s="28" t="n">
        <f aca="false">IF(A815="","",D815*E815)</f>
        <v>12000</v>
      </c>
      <c r="J815" s="28" t="n">
        <f aca="false">IF(A815="","",D815*F815)</f>
        <v>7800</v>
      </c>
      <c r="K815" s="26" t="n">
        <f aca="false">IF(A815="","",YEAR(A815))</f>
        <v>2026</v>
      </c>
      <c r="L815" s="26" t="n">
        <f aca="false">IF(A815="","",MONTH(A815))</f>
        <v>3</v>
      </c>
    </row>
    <row r="816" customFormat="false" ht="15" hidden="false" customHeight="false" outlineLevel="0" collapsed="false">
      <c r="A816" s="23" t="n">
        <v>46098.7013888889</v>
      </c>
      <c r="B816" s="24" t="s">
        <v>1079</v>
      </c>
      <c r="C816" s="24" t="s">
        <v>1080</v>
      </c>
      <c r="D816" s="24" t="n">
        <v>2</v>
      </c>
      <c r="E816" s="25" t="n">
        <v>2500</v>
      </c>
      <c r="F816" s="25" t="n">
        <v>1600</v>
      </c>
      <c r="G816" s="24" t="s">
        <v>69</v>
      </c>
      <c r="H816" s="24" t="s">
        <v>60</v>
      </c>
      <c r="I816" s="28" t="n">
        <f aca="false">IF(A816="","",D816*E816)</f>
        <v>5000</v>
      </c>
      <c r="J816" s="28" t="n">
        <f aca="false">IF(A816="","",D816*F816)</f>
        <v>3200</v>
      </c>
      <c r="K816" s="26" t="n">
        <f aca="false">IF(A816="","",YEAR(A816))</f>
        <v>2026</v>
      </c>
      <c r="L816" s="26" t="n">
        <f aca="false">IF(A816="","",MONTH(A816))</f>
        <v>3</v>
      </c>
    </row>
    <row r="817" customFormat="false" ht="15" hidden="false" customHeight="false" outlineLevel="0" collapsed="false">
      <c r="A817" s="23" t="n">
        <v>46099.3215277778</v>
      </c>
      <c r="B817" s="24" t="s">
        <v>1081</v>
      </c>
      <c r="C817" s="24" t="s">
        <v>1082</v>
      </c>
      <c r="D817" s="24" t="n">
        <v>1</v>
      </c>
      <c r="E817" s="25" t="n">
        <v>2500</v>
      </c>
      <c r="F817" s="25" t="n">
        <v>1500</v>
      </c>
      <c r="G817" s="24" t="s">
        <v>69</v>
      </c>
      <c r="H817" s="24" t="s">
        <v>55</v>
      </c>
      <c r="I817" s="28" t="n">
        <f aca="false">IF(A817="","",D817*E817)</f>
        <v>2500</v>
      </c>
      <c r="J817" s="28" t="n">
        <f aca="false">IF(A817="","",D817*F817)</f>
        <v>1500</v>
      </c>
      <c r="K817" s="26" t="n">
        <f aca="false">IF(A817="","",YEAR(A817))</f>
        <v>2026</v>
      </c>
      <c r="L817" s="26" t="n">
        <f aca="false">IF(A817="","",MONTH(A817))</f>
        <v>3</v>
      </c>
    </row>
    <row r="818" customFormat="false" ht="15" hidden="false" customHeight="false" outlineLevel="0" collapsed="false">
      <c r="A818" s="23" t="n">
        <v>46099.6027777778</v>
      </c>
      <c r="B818" s="24" t="s">
        <v>1071</v>
      </c>
      <c r="C818" s="24" t="s">
        <v>1072</v>
      </c>
      <c r="D818" s="24" t="n">
        <v>1</v>
      </c>
      <c r="E818" s="25" t="n">
        <v>2000</v>
      </c>
      <c r="F818" s="25" t="n">
        <v>1100</v>
      </c>
      <c r="G818" s="24" t="s">
        <v>69</v>
      </c>
      <c r="H818" s="24" t="s">
        <v>55</v>
      </c>
      <c r="I818" s="28" t="n">
        <f aca="false">IF(A818="","",D818*E818)</f>
        <v>2000</v>
      </c>
      <c r="J818" s="28" t="n">
        <f aca="false">IF(A818="","",D818*F818)</f>
        <v>1100</v>
      </c>
      <c r="K818" s="26" t="n">
        <f aca="false">IF(A818="","",YEAR(A818))</f>
        <v>2026</v>
      </c>
      <c r="L818" s="26" t="n">
        <f aca="false">IF(A818="","",MONTH(A818))</f>
        <v>3</v>
      </c>
    </row>
    <row r="819" customFormat="false" ht="15" hidden="false" customHeight="false" outlineLevel="0" collapsed="false">
      <c r="A819" s="23" t="n">
        <v>46099.8041666667</v>
      </c>
      <c r="B819" s="24" t="s">
        <v>1071</v>
      </c>
      <c r="C819" s="24" t="s">
        <v>1072</v>
      </c>
      <c r="D819" s="24" t="n">
        <v>1</v>
      </c>
      <c r="E819" s="25" t="n">
        <v>2000</v>
      </c>
      <c r="F819" s="25" t="n">
        <v>1100</v>
      </c>
      <c r="G819" s="24" t="s">
        <v>69</v>
      </c>
      <c r="H819" s="24" t="s">
        <v>55</v>
      </c>
      <c r="I819" s="28" t="n">
        <f aca="false">IF(A819="","",D819*E819)</f>
        <v>2000</v>
      </c>
      <c r="J819" s="28" t="n">
        <f aca="false">IF(A819="","",D819*F819)</f>
        <v>1100</v>
      </c>
      <c r="K819" s="26" t="n">
        <f aca="false">IF(A819="","",YEAR(A819))</f>
        <v>2026</v>
      </c>
      <c r="L819" s="26" t="n">
        <f aca="false">IF(A819="","",MONTH(A819))</f>
        <v>3</v>
      </c>
    </row>
    <row r="820" customFormat="false" ht="15" hidden="false" customHeight="false" outlineLevel="0" collapsed="false">
      <c r="A820" s="23" t="n">
        <v>46099.8305555556</v>
      </c>
      <c r="B820" s="24" t="s">
        <v>1073</v>
      </c>
      <c r="C820" s="24" t="s">
        <v>1074</v>
      </c>
      <c r="D820" s="24" t="n">
        <v>1</v>
      </c>
      <c r="E820" s="25" t="n">
        <v>7000</v>
      </c>
      <c r="F820" s="25" t="n">
        <v>4800</v>
      </c>
      <c r="G820" s="24" t="s">
        <v>59</v>
      </c>
      <c r="H820" s="24" t="s">
        <v>55</v>
      </c>
      <c r="I820" s="28" t="n">
        <f aca="false">IF(A820="","",D820*E820)</f>
        <v>7000</v>
      </c>
      <c r="J820" s="28" t="n">
        <f aca="false">IF(A820="","",D820*F820)</f>
        <v>4800</v>
      </c>
      <c r="K820" s="26" t="n">
        <f aca="false">IF(A820="","",YEAR(A820))</f>
        <v>2026</v>
      </c>
      <c r="L820" s="26" t="n">
        <f aca="false">IF(A820="","",MONTH(A820))</f>
        <v>3</v>
      </c>
    </row>
    <row r="821" customFormat="false" ht="15" hidden="false" customHeight="false" outlineLevel="0" collapsed="false">
      <c r="A821" s="23" t="n">
        <v>46101.5229166667</v>
      </c>
      <c r="B821" s="24" t="s">
        <v>1077</v>
      </c>
      <c r="C821" s="24" t="s">
        <v>1078</v>
      </c>
      <c r="D821" s="24" t="n">
        <v>1</v>
      </c>
      <c r="E821" s="25" t="n">
        <v>1500</v>
      </c>
      <c r="F821" s="25" t="n">
        <v>900</v>
      </c>
      <c r="G821" s="24" t="s">
        <v>59</v>
      </c>
      <c r="H821" s="24" t="s">
        <v>55</v>
      </c>
      <c r="I821" s="28" t="n">
        <f aca="false">IF(A821="","",D821*E821)</f>
        <v>1500</v>
      </c>
      <c r="J821" s="28" t="n">
        <f aca="false">IF(A821="","",D821*F821)</f>
        <v>900</v>
      </c>
      <c r="K821" s="26" t="n">
        <f aca="false">IF(A821="","",YEAR(A821))</f>
        <v>2026</v>
      </c>
      <c r="L821" s="26" t="n">
        <f aca="false">IF(A821="","",MONTH(A821))</f>
        <v>3</v>
      </c>
    </row>
    <row r="822" customFormat="false" ht="15" hidden="false" customHeight="false" outlineLevel="0" collapsed="false">
      <c r="A822" s="23" t="n">
        <v>46101.9076388889</v>
      </c>
      <c r="B822" s="24" t="s">
        <v>1067</v>
      </c>
      <c r="C822" s="24" t="s">
        <v>1068</v>
      </c>
      <c r="D822" s="24" t="n">
        <v>1</v>
      </c>
      <c r="E822" s="25" t="n">
        <v>4000</v>
      </c>
      <c r="F822" s="25" t="n">
        <v>2600</v>
      </c>
      <c r="G822" s="24" t="s">
        <v>69</v>
      </c>
      <c r="H822" s="24" t="s">
        <v>60</v>
      </c>
      <c r="I822" s="28" t="n">
        <f aca="false">IF(A822="","",D822*E822)</f>
        <v>4000</v>
      </c>
      <c r="J822" s="28" t="n">
        <f aca="false">IF(A822="","",D822*F822)</f>
        <v>2600</v>
      </c>
      <c r="K822" s="26" t="n">
        <f aca="false">IF(A822="","",YEAR(A822))</f>
        <v>2026</v>
      </c>
      <c r="L822" s="26" t="n">
        <f aca="false">IF(A822="","",MONTH(A822))</f>
        <v>3</v>
      </c>
    </row>
    <row r="823" customFormat="false" ht="15" hidden="false" customHeight="false" outlineLevel="0" collapsed="false">
      <c r="A823" s="23" t="n">
        <v>46102.59375</v>
      </c>
      <c r="B823" s="24" t="s">
        <v>1079</v>
      </c>
      <c r="C823" s="24" t="s">
        <v>1080</v>
      </c>
      <c r="D823" s="24" t="n">
        <v>1</v>
      </c>
      <c r="E823" s="25" t="n">
        <v>2500</v>
      </c>
      <c r="F823" s="25" t="n">
        <v>1600</v>
      </c>
      <c r="G823" s="24" t="s">
        <v>69</v>
      </c>
      <c r="H823" s="24" t="s">
        <v>80</v>
      </c>
      <c r="I823" s="28" t="n">
        <f aca="false">IF(A823="","",D823*E823)</f>
        <v>2500</v>
      </c>
      <c r="J823" s="28" t="n">
        <f aca="false">IF(A823="","",D823*F823)</f>
        <v>1600</v>
      </c>
      <c r="K823" s="26" t="n">
        <f aca="false">IF(A823="","",YEAR(A823))</f>
        <v>2026</v>
      </c>
      <c r="L823" s="26" t="n">
        <f aca="false">IF(A823="","",MONTH(A823))</f>
        <v>3</v>
      </c>
    </row>
    <row r="824" customFormat="false" ht="15" hidden="false" customHeight="false" outlineLevel="0" collapsed="false">
      <c r="A824" s="23" t="n">
        <v>46103.5868055556</v>
      </c>
      <c r="B824" s="24" t="s">
        <v>1075</v>
      </c>
      <c r="C824" s="24" t="s">
        <v>1076</v>
      </c>
      <c r="D824" s="24" t="n">
        <v>2</v>
      </c>
      <c r="E824" s="25" t="n">
        <v>1000</v>
      </c>
      <c r="F824" s="25" t="n">
        <v>300</v>
      </c>
      <c r="G824" s="24" t="s">
        <v>69</v>
      </c>
      <c r="H824" s="24" t="s">
        <v>55</v>
      </c>
      <c r="I824" s="28" t="n">
        <f aca="false">IF(A824="","",D824*E824)</f>
        <v>2000</v>
      </c>
      <c r="J824" s="28" t="n">
        <f aca="false">IF(A824="","",D824*F824)</f>
        <v>600</v>
      </c>
      <c r="K824" s="26" t="n">
        <f aca="false">IF(A824="","",YEAR(A824))</f>
        <v>2026</v>
      </c>
      <c r="L824" s="26" t="n">
        <f aca="false">IF(A824="","",MONTH(A824))</f>
        <v>3</v>
      </c>
    </row>
    <row r="825" customFormat="false" ht="15" hidden="false" customHeight="false" outlineLevel="0" collapsed="false">
      <c r="A825" s="23" t="n">
        <v>46103.5951388889</v>
      </c>
      <c r="B825" s="24" t="s">
        <v>1079</v>
      </c>
      <c r="C825" s="24" t="s">
        <v>1080</v>
      </c>
      <c r="D825" s="24" t="n">
        <v>3</v>
      </c>
      <c r="E825" s="25" t="n">
        <v>2500</v>
      </c>
      <c r="F825" s="25" t="n">
        <v>1600</v>
      </c>
      <c r="G825" s="24" t="s">
        <v>59</v>
      </c>
      <c r="H825" s="24" t="s">
        <v>80</v>
      </c>
      <c r="I825" s="28" t="n">
        <f aca="false">IF(A825="","",D825*E825)</f>
        <v>7500</v>
      </c>
      <c r="J825" s="28" t="n">
        <f aca="false">IF(A825="","",D825*F825)</f>
        <v>4800</v>
      </c>
      <c r="K825" s="26" t="n">
        <f aca="false">IF(A825="","",YEAR(A825))</f>
        <v>2026</v>
      </c>
      <c r="L825" s="26" t="n">
        <f aca="false">IF(A825="","",MONTH(A825))</f>
        <v>3</v>
      </c>
    </row>
    <row r="826" customFormat="false" ht="15" hidden="false" customHeight="false" outlineLevel="0" collapsed="false">
      <c r="A826" s="23" t="n">
        <v>46105.3611111111</v>
      </c>
      <c r="B826" s="24" t="s">
        <v>1067</v>
      </c>
      <c r="C826" s="24" t="s">
        <v>1068</v>
      </c>
      <c r="D826" s="24" t="n">
        <v>2</v>
      </c>
      <c r="E826" s="25" t="n">
        <v>4000</v>
      </c>
      <c r="F826" s="25" t="n">
        <v>2600</v>
      </c>
      <c r="G826" s="24" t="s">
        <v>69</v>
      </c>
      <c r="H826" s="24" t="s">
        <v>55</v>
      </c>
      <c r="I826" s="28" t="n">
        <f aca="false">IF(A826="","",D826*E826)</f>
        <v>8000</v>
      </c>
      <c r="J826" s="28" t="n">
        <f aca="false">IF(A826="","",D826*F826)</f>
        <v>5200</v>
      </c>
      <c r="K826" s="26" t="n">
        <f aca="false">IF(A826="","",YEAR(A826))</f>
        <v>2026</v>
      </c>
      <c r="L826" s="26" t="n">
        <f aca="false">IF(A826="","",MONTH(A826))</f>
        <v>3</v>
      </c>
    </row>
    <row r="827" customFormat="false" ht="15" hidden="false" customHeight="false" outlineLevel="0" collapsed="false">
      <c r="A827" s="23" t="n">
        <v>46105.3638888889</v>
      </c>
      <c r="B827" s="24" t="s">
        <v>1081</v>
      </c>
      <c r="C827" s="24" t="s">
        <v>1082</v>
      </c>
      <c r="D827" s="24" t="n">
        <v>1</v>
      </c>
      <c r="E827" s="25" t="n">
        <v>2500</v>
      </c>
      <c r="F827" s="25" t="n">
        <v>1500</v>
      </c>
      <c r="G827" s="24" t="s">
        <v>59</v>
      </c>
      <c r="H827" s="24" t="s">
        <v>80</v>
      </c>
      <c r="I827" s="28" t="n">
        <f aca="false">IF(A827="","",D827*E827)</f>
        <v>2500</v>
      </c>
      <c r="J827" s="28" t="n">
        <f aca="false">IF(A827="","",D827*F827)</f>
        <v>1500</v>
      </c>
      <c r="K827" s="26" t="n">
        <f aca="false">IF(A827="","",YEAR(A827))</f>
        <v>2026</v>
      </c>
      <c r="L827" s="26" t="n">
        <f aca="false">IF(A827="","",MONTH(A827))</f>
        <v>3</v>
      </c>
    </row>
    <row r="828" customFormat="false" ht="15" hidden="false" customHeight="false" outlineLevel="0" collapsed="false">
      <c r="A828" s="23" t="n">
        <v>46105.7736111111</v>
      </c>
      <c r="B828" s="24" t="s">
        <v>1077</v>
      </c>
      <c r="C828" s="24" t="s">
        <v>1078</v>
      </c>
      <c r="D828" s="24" t="n">
        <v>3</v>
      </c>
      <c r="E828" s="25" t="n">
        <v>1500</v>
      </c>
      <c r="F828" s="25" t="n">
        <v>900</v>
      </c>
      <c r="G828" s="24" t="s">
        <v>69</v>
      </c>
      <c r="H828" s="24" t="s">
        <v>55</v>
      </c>
      <c r="I828" s="28" t="n">
        <f aca="false">IF(A828="","",D828*E828)</f>
        <v>4500</v>
      </c>
      <c r="J828" s="28" t="n">
        <f aca="false">IF(A828="","",D828*F828)</f>
        <v>2700</v>
      </c>
      <c r="K828" s="26" t="n">
        <f aca="false">IF(A828="","",YEAR(A828))</f>
        <v>2026</v>
      </c>
      <c r="L828" s="26" t="n">
        <f aca="false">IF(A828="","",MONTH(A828))</f>
        <v>3</v>
      </c>
    </row>
    <row r="829" customFormat="false" ht="15" hidden="false" customHeight="false" outlineLevel="0" collapsed="false">
      <c r="A829" s="23" t="n">
        <v>46106.5881944444</v>
      </c>
      <c r="B829" s="24" t="s">
        <v>1079</v>
      </c>
      <c r="C829" s="24" t="s">
        <v>1080</v>
      </c>
      <c r="D829" s="24" t="n">
        <v>1</v>
      </c>
      <c r="E829" s="25" t="n">
        <v>2500</v>
      </c>
      <c r="F829" s="25" t="n">
        <v>1600</v>
      </c>
      <c r="G829" s="24" t="s">
        <v>59</v>
      </c>
      <c r="H829" s="24" t="s">
        <v>55</v>
      </c>
      <c r="I829" s="28" t="n">
        <f aca="false">IF(A829="","",D829*E829)</f>
        <v>2500</v>
      </c>
      <c r="J829" s="28" t="n">
        <f aca="false">IF(A829="","",D829*F829)</f>
        <v>1600</v>
      </c>
      <c r="K829" s="26" t="n">
        <f aca="false">IF(A829="","",YEAR(A829))</f>
        <v>2026</v>
      </c>
      <c r="L829" s="26" t="n">
        <f aca="false">IF(A829="","",MONTH(A829))</f>
        <v>3</v>
      </c>
    </row>
    <row r="830" customFormat="false" ht="15" hidden="false" customHeight="false" outlineLevel="0" collapsed="false">
      <c r="A830" s="23" t="n">
        <v>46106.6194444444</v>
      </c>
      <c r="B830" s="24" t="s">
        <v>1065</v>
      </c>
      <c r="C830" s="24" t="s">
        <v>1066</v>
      </c>
      <c r="D830" s="24" t="n">
        <v>3</v>
      </c>
      <c r="E830" s="25" t="n">
        <v>3000</v>
      </c>
      <c r="F830" s="25" t="n">
        <v>2000</v>
      </c>
      <c r="G830" s="24" t="s">
        <v>69</v>
      </c>
      <c r="H830" s="24" t="s">
        <v>80</v>
      </c>
      <c r="I830" s="28" t="n">
        <f aca="false">IF(A830="","",D830*E830)</f>
        <v>9000</v>
      </c>
      <c r="J830" s="28" t="n">
        <f aca="false">IF(A830="","",D830*F830)</f>
        <v>6000</v>
      </c>
      <c r="K830" s="26" t="n">
        <f aca="false">IF(A830="","",YEAR(A830))</f>
        <v>2026</v>
      </c>
      <c r="L830" s="26" t="n">
        <f aca="false">IF(A830="","",MONTH(A830))</f>
        <v>3</v>
      </c>
    </row>
    <row r="831" customFormat="false" ht="15" hidden="false" customHeight="false" outlineLevel="0" collapsed="false">
      <c r="A831" s="23" t="n">
        <v>46106.9097222222</v>
      </c>
      <c r="B831" s="24" t="s">
        <v>1075</v>
      </c>
      <c r="C831" s="24" t="s">
        <v>1076</v>
      </c>
      <c r="D831" s="24" t="n">
        <v>3</v>
      </c>
      <c r="E831" s="25" t="n">
        <v>1000</v>
      </c>
      <c r="F831" s="25" t="n">
        <v>300</v>
      </c>
      <c r="G831" s="24" t="s">
        <v>59</v>
      </c>
      <c r="H831" s="24" t="s">
        <v>80</v>
      </c>
      <c r="I831" s="28" t="n">
        <f aca="false">IF(A831="","",D831*E831)</f>
        <v>3000</v>
      </c>
      <c r="J831" s="28" t="n">
        <f aca="false">IF(A831="","",D831*F831)</f>
        <v>900</v>
      </c>
      <c r="K831" s="26" t="n">
        <f aca="false">IF(A831="","",YEAR(A831))</f>
        <v>2026</v>
      </c>
      <c r="L831" s="26" t="n">
        <f aca="false">IF(A831="","",MONTH(A831))</f>
        <v>3</v>
      </c>
    </row>
    <row r="832" customFormat="false" ht="15" hidden="false" customHeight="false" outlineLevel="0" collapsed="false">
      <c r="A832" s="23" t="n">
        <v>46107.5784722222</v>
      </c>
      <c r="B832" s="24" t="s">
        <v>1075</v>
      </c>
      <c r="C832" s="24" t="s">
        <v>1076</v>
      </c>
      <c r="D832" s="24" t="n">
        <v>3</v>
      </c>
      <c r="E832" s="25" t="n">
        <v>1000</v>
      </c>
      <c r="F832" s="25" t="n">
        <v>300</v>
      </c>
      <c r="G832" s="24" t="s">
        <v>59</v>
      </c>
      <c r="H832" s="24" t="s">
        <v>55</v>
      </c>
      <c r="I832" s="28" t="n">
        <f aca="false">IF(A832="","",D832*E832)</f>
        <v>3000</v>
      </c>
      <c r="J832" s="28" t="n">
        <f aca="false">IF(A832="","",D832*F832)</f>
        <v>900</v>
      </c>
      <c r="K832" s="26" t="n">
        <f aca="false">IF(A832="","",YEAR(A832))</f>
        <v>2026</v>
      </c>
      <c r="L832" s="26" t="n">
        <f aca="false">IF(A832="","",MONTH(A832))</f>
        <v>3</v>
      </c>
    </row>
    <row r="833" customFormat="false" ht="15" hidden="false" customHeight="false" outlineLevel="0" collapsed="false">
      <c r="A833" s="23" t="n">
        <v>46107.8361111111</v>
      </c>
      <c r="B833" s="24" t="s">
        <v>1073</v>
      </c>
      <c r="C833" s="24" t="s">
        <v>1074</v>
      </c>
      <c r="D833" s="24" t="n">
        <v>1</v>
      </c>
      <c r="E833" s="25" t="n">
        <v>7000</v>
      </c>
      <c r="F833" s="25" t="n">
        <v>4800</v>
      </c>
      <c r="G833" s="24" t="s">
        <v>59</v>
      </c>
      <c r="H833" s="24" t="s">
        <v>55</v>
      </c>
      <c r="I833" s="28" t="n">
        <f aca="false">IF(A833="","",D833*E833)</f>
        <v>7000</v>
      </c>
      <c r="J833" s="28" t="n">
        <f aca="false">IF(A833="","",D833*F833)</f>
        <v>4800</v>
      </c>
      <c r="K833" s="26" t="n">
        <f aca="false">IF(A833="","",YEAR(A833))</f>
        <v>2026</v>
      </c>
      <c r="L833" s="26" t="n">
        <f aca="false">IF(A833="","",MONTH(A833))</f>
        <v>3</v>
      </c>
    </row>
    <row r="834" customFormat="false" ht="15" hidden="false" customHeight="false" outlineLevel="0" collapsed="false">
      <c r="A834" s="23" t="n">
        <v>46109.4222222222</v>
      </c>
      <c r="B834" s="24" t="s">
        <v>1069</v>
      </c>
      <c r="C834" s="24" t="s">
        <v>1070</v>
      </c>
      <c r="D834" s="24" t="n">
        <v>1</v>
      </c>
      <c r="E834" s="25" t="n">
        <v>4500</v>
      </c>
      <c r="F834" s="25" t="n">
        <v>3000</v>
      </c>
      <c r="G834" s="24" t="s">
        <v>59</v>
      </c>
      <c r="H834" s="24" t="s">
        <v>60</v>
      </c>
      <c r="I834" s="28" t="n">
        <f aca="false">IF(A834="","",D834*E834)</f>
        <v>4500</v>
      </c>
      <c r="J834" s="28" t="n">
        <f aca="false">IF(A834="","",D834*F834)</f>
        <v>3000</v>
      </c>
      <c r="K834" s="26" t="n">
        <f aca="false">IF(A834="","",YEAR(A834))</f>
        <v>2026</v>
      </c>
      <c r="L834" s="26" t="n">
        <f aca="false">IF(A834="","",MONTH(A834))</f>
        <v>3</v>
      </c>
    </row>
    <row r="835" customFormat="false" ht="15" hidden="false" customHeight="false" outlineLevel="0" collapsed="false">
      <c r="A835" s="23" t="n">
        <v>46109.6881944445</v>
      </c>
      <c r="B835" s="24" t="s">
        <v>1065</v>
      </c>
      <c r="C835" s="24" t="s">
        <v>1066</v>
      </c>
      <c r="D835" s="24" t="n">
        <v>3</v>
      </c>
      <c r="E835" s="25" t="n">
        <v>3000</v>
      </c>
      <c r="F835" s="25" t="n">
        <v>2000</v>
      </c>
      <c r="G835" s="24" t="s">
        <v>59</v>
      </c>
      <c r="H835" s="24" t="s">
        <v>80</v>
      </c>
      <c r="I835" s="28" t="n">
        <f aca="false">IF(A835="","",D835*E835)</f>
        <v>9000</v>
      </c>
      <c r="J835" s="28" t="n">
        <f aca="false">IF(A835="","",D835*F835)</f>
        <v>6000</v>
      </c>
      <c r="K835" s="26" t="n">
        <f aca="false">IF(A835="","",YEAR(A835))</f>
        <v>2026</v>
      </c>
      <c r="L835" s="26" t="n">
        <f aca="false">IF(A835="","",MONTH(A835))</f>
        <v>3</v>
      </c>
    </row>
    <row r="836" customFormat="false" ht="15" hidden="false" customHeight="false" outlineLevel="0" collapsed="false">
      <c r="A836" s="23" t="n">
        <v>46109.8194444445</v>
      </c>
      <c r="B836" s="24" t="s">
        <v>1075</v>
      </c>
      <c r="C836" s="24" t="s">
        <v>1076</v>
      </c>
      <c r="D836" s="24" t="n">
        <v>1</v>
      </c>
      <c r="E836" s="25" t="n">
        <v>1000</v>
      </c>
      <c r="F836" s="25" t="n">
        <v>300</v>
      </c>
      <c r="G836" s="24" t="s">
        <v>59</v>
      </c>
      <c r="H836" s="24" t="s">
        <v>80</v>
      </c>
      <c r="I836" s="28" t="n">
        <f aca="false">IF(A836="","",D836*E836)</f>
        <v>1000</v>
      </c>
      <c r="J836" s="28" t="n">
        <f aca="false">IF(A836="","",D836*F836)</f>
        <v>300</v>
      </c>
      <c r="K836" s="26" t="n">
        <f aca="false">IF(A836="","",YEAR(A836))</f>
        <v>2026</v>
      </c>
      <c r="L836" s="26" t="n">
        <f aca="false">IF(A836="","",MONTH(A836))</f>
        <v>3</v>
      </c>
    </row>
    <row r="837" customFormat="false" ht="15" hidden="false" customHeight="false" outlineLevel="0" collapsed="false">
      <c r="A837" s="23" t="n">
        <v>46113.8</v>
      </c>
      <c r="B837" s="24" t="s">
        <v>1073</v>
      </c>
      <c r="C837" s="24" t="s">
        <v>1074</v>
      </c>
      <c r="D837" s="24" t="n">
        <v>3</v>
      </c>
      <c r="E837" s="25" t="n">
        <v>7000</v>
      </c>
      <c r="F837" s="25" t="n">
        <v>4800</v>
      </c>
      <c r="G837" s="24" t="s">
        <v>59</v>
      </c>
      <c r="H837" s="24" t="s">
        <v>60</v>
      </c>
      <c r="I837" s="28" t="n">
        <f aca="false">IF(A837="","",D837*E837)</f>
        <v>21000</v>
      </c>
      <c r="J837" s="28" t="n">
        <f aca="false">IF(A837="","",D837*F837)</f>
        <v>14400</v>
      </c>
      <c r="K837" s="26" t="n">
        <f aca="false">IF(A837="","",YEAR(A837))</f>
        <v>2026</v>
      </c>
      <c r="L837" s="26" t="n">
        <f aca="false">IF(A837="","",MONTH(A837))</f>
        <v>4</v>
      </c>
    </row>
    <row r="838" customFormat="false" ht="15" hidden="false" customHeight="false" outlineLevel="0" collapsed="false">
      <c r="A838" s="23" t="n">
        <v>46113.9125</v>
      </c>
      <c r="B838" s="24" t="s">
        <v>1071</v>
      </c>
      <c r="C838" s="24" t="s">
        <v>1072</v>
      </c>
      <c r="D838" s="24" t="n">
        <v>1</v>
      </c>
      <c r="E838" s="25" t="n">
        <v>2000</v>
      </c>
      <c r="F838" s="25" t="n">
        <v>1100</v>
      </c>
      <c r="G838" s="24" t="s">
        <v>59</v>
      </c>
      <c r="H838" s="24" t="s">
        <v>55</v>
      </c>
      <c r="I838" s="28" t="n">
        <f aca="false">IF(A838="","",D838*E838)</f>
        <v>2000</v>
      </c>
      <c r="J838" s="28" t="n">
        <f aca="false">IF(A838="","",D838*F838)</f>
        <v>1100</v>
      </c>
      <c r="K838" s="26" t="n">
        <f aca="false">IF(A838="","",YEAR(A838))</f>
        <v>2026</v>
      </c>
      <c r="L838" s="26" t="n">
        <f aca="false">IF(A838="","",MONTH(A838))</f>
        <v>4</v>
      </c>
    </row>
    <row r="839" customFormat="false" ht="15" hidden="false" customHeight="false" outlineLevel="0" collapsed="false">
      <c r="A839" s="23" t="n">
        <v>46114.3194444445</v>
      </c>
      <c r="B839" s="24" t="s">
        <v>1069</v>
      </c>
      <c r="C839" s="24" t="s">
        <v>1070</v>
      </c>
      <c r="D839" s="24" t="n">
        <v>2</v>
      </c>
      <c r="E839" s="25" t="n">
        <v>4500</v>
      </c>
      <c r="F839" s="25" t="n">
        <v>3000</v>
      </c>
      <c r="G839" s="24" t="s">
        <v>59</v>
      </c>
      <c r="H839" s="24" t="s">
        <v>55</v>
      </c>
      <c r="I839" s="28" t="n">
        <f aca="false">IF(A839="","",D839*E839)</f>
        <v>9000</v>
      </c>
      <c r="J839" s="28" t="n">
        <f aca="false">IF(A839="","",D839*F839)</f>
        <v>6000</v>
      </c>
      <c r="K839" s="26" t="n">
        <f aca="false">IF(A839="","",YEAR(A839))</f>
        <v>2026</v>
      </c>
      <c r="L839" s="26" t="n">
        <f aca="false">IF(A839="","",MONTH(A839))</f>
        <v>4</v>
      </c>
    </row>
    <row r="840" customFormat="false" ht="15" hidden="false" customHeight="false" outlineLevel="0" collapsed="false">
      <c r="A840" s="23" t="n">
        <v>46114.3201388889</v>
      </c>
      <c r="B840" s="24" t="s">
        <v>1081</v>
      </c>
      <c r="C840" s="24" t="s">
        <v>1082</v>
      </c>
      <c r="D840" s="24" t="n">
        <v>1</v>
      </c>
      <c r="E840" s="25" t="n">
        <v>2500</v>
      </c>
      <c r="F840" s="25" t="n">
        <v>1500</v>
      </c>
      <c r="G840" s="24" t="s">
        <v>59</v>
      </c>
      <c r="H840" s="24" t="s">
        <v>60</v>
      </c>
      <c r="I840" s="28" t="n">
        <f aca="false">IF(A840="","",D840*E840)</f>
        <v>2500</v>
      </c>
      <c r="J840" s="28" t="n">
        <f aca="false">IF(A840="","",D840*F840)</f>
        <v>1500</v>
      </c>
      <c r="K840" s="26" t="n">
        <f aca="false">IF(A840="","",YEAR(A840))</f>
        <v>2026</v>
      </c>
      <c r="L840" s="26" t="n">
        <f aca="false">IF(A840="","",MONTH(A840))</f>
        <v>4</v>
      </c>
    </row>
    <row r="841" customFormat="false" ht="15" hidden="false" customHeight="false" outlineLevel="0" collapsed="false">
      <c r="A841" s="23" t="n">
        <v>46114.8520833333</v>
      </c>
      <c r="B841" s="24" t="s">
        <v>1073</v>
      </c>
      <c r="C841" s="24" t="s">
        <v>1074</v>
      </c>
      <c r="D841" s="24" t="n">
        <v>3</v>
      </c>
      <c r="E841" s="25" t="n">
        <v>7000</v>
      </c>
      <c r="F841" s="25" t="n">
        <v>4800</v>
      </c>
      <c r="G841" s="24" t="s">
        <v>59</v>
      </c>
      <c r="H841" s="24" t="s">
        <v>60</v>
      </c>
      <c r="I841" s="28" t="n">
        <f aca="false">IF(A841="","",D841*E841)</f>
        <v>21000</v>
      </c>
      <c r="J841" s="28" t="n">
        <f aca="false">IF(A841="","",D841*F841)</f>
        <v>14400</v>
      </c>
      <c r="K841" s="26" t="n">
        <f aca="false">IF(A841="","",YEAR(A841))</f>
        <v>2026</v>
      </c>
      <c r="L841" s="26" t="n">
        <f aca="false">IF(A841="","",MONTH(A841))</f>
        <v>4</v>
      </c>
    </row>
    <row r="842" customFormat="false" ht="15" hidden="false" customHeight="false" outlineLevel="0" collapsed="false">
      <c r="A842" s="23" t="n">
        <v>46115.5611111111</v>
      </c>
      <c r="B842" s="24" t="s">
        <v>1073</v>
      </c>
      <c r="C842" s="24" t="s">
        <v>1074</v>
      </c>
      <c r="D842" s="24" t="n">
        <v>3</v>
      </c>
      <c r="E842" s="25" t="n">
        <v>7000</v>
      </c>
      <c r="F842" s="25" t="n">
        <v>4800</v>
      </c>
      <c r="G842" s="24" t="s">
        <v>59</v>
      </c>
      <c r="H842" s="24" t="s">
        <v>60</v>
      </c>
      <c r="I842" s="28" t="n">
        <f aca="false">IF(A842="","",D842*E842)</f>
        <v>21000</v>
      </c>
      <c r="J842" s="28" t="n">
        <f aca="false">IF(A842="","",D842*F842)</f>
        <v>14400</v>
      </c>
      <c r="K842" s="26" t="n">
        <f aca="false">IF(A842="","",YEAR(A842))</f>
        <v>2026</v>
      </c>
      <c r="L842" s="26" t="n">
        <f aca="false">IF(A842="","",MONTH(A842))</f>
        <v>4</v>
      </c>
    </row>
    <row r="843" customFormat="false" ht="15" hidden="false" customHeight="false" outlineLevel="0" collapsed="false">
      <c r="A843" s="23" t="n">
        <v>46115.6361111111</v>
      </c>
      <c r="B843" s="24" t="s">
        <v>1075</v>
      </c>
      <c r="C843" s="24" t="s">
        <v>1076</v>
      </c>
      <c r="D843" s="24" t="n">
        <v>3</v>
      </c>
      <c r="E843" s="25" t="n">
        <v>1000</v>
      </c>
      <c r="F843" s="25" t="n">
        <v>300</v>
      </c>
      <c r="G843" s="24" t="s">
        <v>69</v>
      </c>
      <c r="H843" s="24" t="s">
        <v>55</v>
      </c>
      <c r="I843" s="28" t="n">
        <f aca="false">IF(A843="","",D843*E843)</f>
        <v>3000</v>
      </c>
      <c r="J843" s="28" t="n">
        <f aca="false">IF(A843="","",D843*F843)</f>
        <v>900</v>
      </c>
      <c r="K843" s="26" t="n">
        <f aca="false">IF(A843="","",YEAR(A843))</f>
        <v>2026</v>
      </c>
      <c r="L843" s="26" t="n">
        <f aca="false">IF(A843="","",MONTH(A843))</f>
        <v>4</v>
      </c>
    </row>
    <row r="844" customFormat="false" ht="15" hidden="false" customHeight="false" outlineLevel="0" collapsed="false">
      <c r="A844" s="23" t="n">
        <v>46115.6958333333</v>
      </c>
      <c r="B844" s="24" t="s">
        <v>1081</v>
      </c>
      <c r="C844" s="24" t="s">
        <v>1082</v>
      </c>
      <c r="D844" s="24" t="n">
        <v>2</v>
      </c>
      <c r="E844" s="25" t="n">
        <v>2500</v>
      </c>
      <c r="F844" s="25" t="n">
        <v>1500</v>
      </c>
      <c r="G844" s="24" t="s">
        <v>59</v>
      </c>
      <c r="H844" s="24" t="s">
        <v>80</v>
      </c>
      <c r="I844" s="28" t="n">
        <f aca="false">IF(A844="","",D844*E844)</f>
        <v>5000</v>
      </c>
      <c r="J844" s="28" t="n">
        <f aca="false">IF(A844="","",D844*F844)</f>
        <v>3000</v>
      </c>
      <c r="K844" s="26" t="n">
        <f aca="false">IF(A844="","",YEAR(A844))</f>
        <v>2026</v>
      </c>
      <c r="L844" s="26" t="n">
        <f aca="false">IF(A844="","",MONTH(A844))</f>
        <v>4</v>
      </c>
    </row>
    <row r="845" customFormat="false" ht="15" hidden="false" customHeight="false" outlineLevel="0" collapsed="false">
      <c r="A845" s="23" t="n">
        <v>46115.7131944444</v>
      </c>
      <c r="B845" s="24" t="s">
        <v>1073</v>
      </c>
      <c r="C845" s="24" t="s">
        <v>1074</v>
      </c>
      <c r="D845" s="24" t="n">
        <v>1</v>
      </c>
      <c r="E845" s="25" t="n">
        <v>7000</v>
      </c>
      <c r="F845" s="25" t="n">
        <v>4800</v>
      </c>
      <c r="G845" s="24" t="s">
        <v>69</v>
      </c>
      <c r="H845" s="24" t="s">
        <v>60</v>
      </c>
      <c r="I845" s="28" t="n">
        <f aca="false">IF(A845="","",D845*E845)</f>
        <v>7000</v>
      </c>
      <c r="J845" s="28" t="n">
        <f aca="false">IF(A845="","",D845*F845)</f>
        <v>4800</v>
      </c>
      <c r="K845" s="26" t="n">
        <f aca="false">IF(A845="","",YEAR(A845))</f>
        <v>2026</v>
      </c>
      <c r="L845" s="26" t="n">
        <f aca="false">IF(A845="","",MONTH(A845))</f>
        <v>4</v>
      </c>
    </row>
    <row r="846" customFormat="false" ht="15" hidden="false" customHeight="false" outlineLevel="0" collapsed="false">
      <c r="A846" s="23" t="n">
        <v>46115.75625</v>
      </c>
      <c r="B846" s="24" t="s">
        <v>1073</v>
      </c>
      <c r="C846" s="24" t="s">
        <v>1074</v>
      </c>
      <c r="D846" s="24" t="n">
        <v>1</v>
      </c>
      <c r="E846" s="25" t="n">
        <v>7000</v>
      </c>
      <c r="F846" s="25" t="n">
        <v>4800</v>
      </c>
      <c r="G846" s="24" t="s">
        <v>69</v>
      </c>
      <c r="H846" s="24" t="s">
        <v>55</v>
      </c>
      <c r="I846" s="28" t="n">
        <f aca="false">IF(A846="","",D846*E846)</f>
        <v>7000</v>
      </c>
      <c r="J846" s="28" t="n">
        <f aca="false">IF(A846="","",D846*F846)</f>
        <v>4800</v>
      </c>
      <c r="K846" s="26" t="n">
        <f aca="false">IF(A846="","",YEAR(A846))</f>
        <v>2026</v>
      </c>
      <c r="L846" s="26" t="n">
        <f aca="false">IF(A846="","",MONTH(A846))</f>
        <v>4</v>
      </c>
    </row>
    <row r="847" customFormat="false" ht="15" hidden="false" customHeight="false" outlineLevel="0" collapsed="false">
      <c r="A847" s="23" t="n">
        <v>46116.4277777778</v>
      </c>
      <c r="B847" s="24" t="s">
        <v>1071</v>
      </c>
      <c r="C847" s="24" t="s">
        <v>1072</v>
      </c>
      <c r="D847" s="24" t="n">
        <v>2</v>
      </c>
      <c r="E847" s="25" t="n">
        <v>2000</v>
      </c>
      <c r="F847" s="25" t="n">
        <v>1100</v>
      </c>
      <c r="G847" s="24" t="s">
        <v>69</v>
      </c>
      <c r="H847" s="24" t="s">
        <v>80</v>
      </c>
      <c r="I847" s="28" t="n">
        <f aca="false">IF(A847="","",D847*E847)</f>
        <v>4000</v>
      </c>
      <c r="J847" s="28" t="n">
        <f aca="false">IF(A847="","",D847*F847)</f>
        <v>2200</v>
      </c>
      <c r="K847" s="26" t="n">
        <f aca="false">IF(A847="","",YEAR(A847))</f>
        <v>2026</v>
      </c>
      <c r="L847" s="26" t="n">
        <f aca="false">IF(A847="","",MONTH(A847))</f>
        <v>4</v>
      </c>
    </row>
    <row r="848" customFormat="false" ht="15" hidden="false" customHeight="false" outlineLevel="0" collapsed="false">
      <c r="A848" s="23" t="n">
        <v>46116.7104166667</v>
      </c>
      <c r="B848" s="24" t="s">
        <v>1065</v>
      </c>
      <c r="C848" s="24" t="s">
        <v>1066</v>
      </c>
      <c r="D848" s="24" t="n">
        <v>1</v>
      </c>
      <c r="E848" s="25" t="n">
        <v>3000</v>
      </c>
      <c r="F848" s="25" t="n">
        <v>2000</v>
      </c>
      <c r="G848" s="24" t="s">
        <v>59</v>
      </c>
      <c r="H848" s="24" t="s">
        <v>80</v>
      </c>
      <c r="I848" s="28" t="n">
        <f aca="false">IF(A848="","",D848*E848)</f>
        <v>3000</v>
      </c>
      <c r="J848" s="28" t="n">
        <f aca="false">IF(A848="","",D848*F848)</f>
        <v>2000</v>
      </c>
      <c r="K848" s="26" t="n">
        <f aca="false">IF(A848="","",YEAR(A848))</f>
        <v>2026</v>
      </c>
      <c r="L848" s="26" t="n">
        <f aca="false">IF(A848="","",MONTH(A848))</f>
        <v>4</v>
      </c>
    </row>
    <row r="849" customFormat="false" ht="15" hidden="false" customHeight="false" outlineLevel="0" collapsed="false">
      <c r="A849" s="23" t="n">
        <v>46116.8555555556</v>
      </c>
      <c r="B849" s="24" t="s">
        <v>1065</v>
      </c>
      <c r="C849" s="24" t="s">
        <v>1066</v>
      </c>
      <c r="D849" s="24" t="n">
        <v>1</v>
      </c>
      <c r="E849" s="25" t="n">
        <v>3000</v>
      </c>
      <c r="F849" s="25" t="n">
        <v>2000</v>
      </c>
      <c r="G849" s="24" t="s">
        <v>59</v>
      </c>
      <c r="H849" s="24" t="s">
        <v>60</v>
      </c>
      <c r="I849" s="28" t="n">
        <f aca="false">IF(A849="","",D849*E849)</f>
        <v>3000</v>
      </c>
      <c r="J849" s="28" t="n">
        <f aca="false">IF(A849="","",D849*F849)</f>
        <v>2000</v>
      </c>
      <c r="K849" s="26" t="n">
        <f aca="false">IF(A849="","",YEAR(A849))</f>
        <v>2026</v>
      </c>
      <c r="L849" s="26" t="n">
        <f aca="false">IF(A849="","",MONTH(A849))</f>
        <v>4</v>
      </c>
    </row>
    <row r="850" customFormat="false" ht="15" hidden="false" customHeight="false" outlineLevel="0" collapsed="false">
      <c r="A850" s="23" t="n">
        <v>46117.3673611111</v>
      </c>
      <c r="B850" s="24" t="s">
        <v>1081</v>
      </c>
      <c r="C850" s="24" t="s">
        <v>1082</v>
      </c>
      <c r="D850" s="24" t="n">
        <v>1</v>
      </c>
      <c r="E850" s="25" t="n">
        <v>2500</v>
      </c>
      <c r="F850" s="25" t="n">
        <v>1500</v>
      </c>
      <c r="G850" s="24" t="s">
        <v>59</v>
      </c>
      <c r="H850" s="24" t="s">
        <v>60</v>
      </c>
      <c r="I850" s="28" t="n">
        <f aca="false">IF(A850="","",D850*E850)</f>
        <v>2500</v>
      </c>
      <c r="J850" s="28" t="n">
        <f aca="false">IF(A850="","",D850*F850)</f>
        <v>1500</v>
      </c>
      <c r="K850" s="26" t="n">
        <f aca="false">IF(A850="","",YEAR(A850))</f>
        <v>2026</v>
      </c>
      <c r="L850" s="26" t="n">
        <f aca="false">IF(A850="","",MONTH(A850))</f>
        <v>4</v>
      </c>
    </row>
    <row r="851" customFormat="false" ht="15" hidden="false" customHeight="false" outlineLevel="0" collapsed="false">
      <c r="A851" s="23" t="n">
        <v>46117.3756944445</v>
      </c>
      <c r="B851" s="24" t="s">
        <v>1079</v>
      </c>
      <c r="C851" s="24" t="s">
        <v>1080</v>
      </c>
      <c r="D851" s="24" t="n">
        <v>2</v>
      </c>
      <c r="E851" s="25" t="n">
        <v>2500</v>
      </c>
      <c r="F851" s="25" t="n">
        <v>1600</v>
      </c>
      <c r="G851" s="24" t="s">
        <v>59</v>
      </c>
      <c r="H851" s="24" t="s">
        <v>60</v>
      </c>
      <c r="I851" s="28" t="n">
        <f aca="false">IF(A851="","",D851*E851)</f>
        <v>5000</v>
      </c>
      <c r="J851" s="28" t="n">
        <f aca="false">IF(A851="","",D851*F851)</f>
        <v>3200</v>
      </c>
      <c r="K851" s="26" t="n">
        <f aca="false">IF(A851="","",YEAR(A851))</f>
        <v>2026</v>
      </c>
      <c r="L851" s="26" t="n">
        <f aca="false">IF(A851="","",MONTH(A851))</f>
        <v>4</v>
      </c>
    </row>
    <row r="852" customFormat="false" ht="15" hidden="false" customHeight="false" outlineLevel="0" collapsed="false">
      <c r="A852" s="23" t="n">
        <v>46117.3972222222</v>
      </c>
      <c r="B852" s="24" t="s">
        <v>1079</v>
      </c>
      <c r="C852" s="24" t="s">
        <v>1080</v>
      </c>
      <c r="D852" s="24" t="n">
        <v>2</v>
      </c>
      <c r="E852" s="25" t="n">
        <v>2500</v>
      </c>
      <c r="F852" s="25" t="n">
        <v>1600</v>
      </c>
      <c r="G852" s="24" t="s">
        <v>59</v>
      </c>
      <c r="H852" s="24" t="s">
        <v>80</v>
      </c>
      <c r="I852" s="28" t="n">
        <f aca="false">IF(A852="","",D852*E852)</f>
        <v>5000</v>
      </c>
      <c r="J852" s="28" t="n">
        <f aca="false">IF(A852="","",D852*F852)</f>
        <v>3200</v>
      </c>
      <c r="K852" s="26" t="n">
        <f aca="false">IF(A852="","",YEAR(A852))</f>
        <v>2026</v>
      </c>
      <c r="L852" s="26" t="n">
        <f aca="false">IF(A852="","",MONTH(A852))</f>
        <v>4</v>
      </c>
    </row>
    <row r="853" customFormat="false" ht="15" hidden="false" customHeight="false" outlineLevel="0" collapsed="false">
      <c r="A853" s="23" t="n">
        <v>46117.5118055556</v>
      </c>
      <c r="B853" s="24" t="s">
        <v>1065</v>
      </c>
      <c r="C853" s="24" t="s">
        <v>1066</v>
      </c>
      <c r="D853" s="24" t="n">
        <v>1</v>
      </c>
      <c r="E853" s="25" t="n">
        <v>3000</v>
      </c>
      <c r="F853" s="25" t="n">
        <v>2000</v>
      </c>
      <c r="G853" s="24" t="s">
        <v>59</v>
      </c>
      <c r="H853" s="24" t="s">
        <v>55</v>
      </c>
      <c r="I853" s="28" t="n">
        <f aca="false">IF(A853="","",D853*E853)</f>
        <v>3000</v>
      </c>
      <c r="J853" s="28" t="n">
        <f aca="false">IF(A853="","",D853*F853)</f>
        <v>2000</v>
      </c>
      <c r="K853" s="26" t="n">
        <f aca="false">IF(A853="","",YEAR(A853))</f>
        <v>2026</v>
      </c>
      <c r="L853" s="26" t="n">
        <f aca="false">IF(A853="","",MONTH(A853))</f>
        <v>4</v>
      </c>
    </row>
    <row r="854" customFormat="false" ht="15" hidden="false" customHeight="false" outlineLevel="0" collapsed="false">
      <c r="A854" s="23" t="n">
        <v>46117.5805555556</v>
      </c>
      <c r="B854" s="24" t="s">
        <v>1069</v>
      </c>
      <c r="C854" s="24" t="s">
        <v>1070</v>
      </c>
      <c r="D854" s="24" t="n">
        <v>3</v>
      </c>
      <c r="E854" s="25" t="n">
        <v>4500</v>
      </c>
      <c r="F854" s="25" t="n">
        <v>3000</v>
      </c>
      <c r="G854" s="24" t="s">
        <v>59</v>
      </c>
      <c r="H854" s="24" t="s">
        <v>80</v>
      </c>
      <c r="I854" s="28" t="n">
        <f aca="false">IF(A854="","",D854*E854)</f>
        <v>13500</v>
      </c>
      <c r="J854" s="28" t="n">
        <f aca="false">IF(A854="","",D854*F854)</f>
        <v>9000</v>
      </c>
      <c r="K854" s="26" t="n">
        <f aca="false">IF(A854="","",YEAR(A854))</f>
        <v>2026</v>
      </c>
      <c r="L854" s="26" t="n">
        <f aca="false">IF(A854="","",MONTH(A854))</f>
        <v>4</v>
      </c>
    </row>
    <row r="855" customFormat="false" ht="15" hidden="false" customHeight="false" outlineLevel="0" collapsed="false">
      <c r="A855" s="23" t="n">
        <v>46118.6645833333</v>
      </c>
      <c r="B855" s="24" t="s">
        <v>1081</v>
      </c>
      <c r="C855" s="24" t="s">
        <v>1082</v>
      </c>
      <c r="D855" s="24" t="n">
        <v>1</v>
      </c>
      <c r="E855" s="25" t="n">
        <v>2500</v>
      </c>
      <c r="F855" s="25" t="n">
        <v>1500</v>
      </c>
      <c r="G855" s="24" t="s">
        <v>59</v>
      </c>
      <c r="H855" s="24" t="s">
        <v>55</v>
      </c>
      <c r="I855" s="28" t="n">
        <f aca="false">IF(A855="","",D855*E855)</f>
        <v>2500</v>
      </c>
      <c r="J855" s="28" t="n">
        <f aca="false">IF(A855="","",D855*F855)</f>
        <v>1500</v>
      </c>
      <c r="K855" s="26" t="n">
        <f aca="false">IF(A855="","",YEAR(A855))</f>
        <v>2026</v>
      </c>
      <c r="L855" s="26" t="n">
        <f aca="false">IF(A855="","",MONTH(A855))</f>
        <v>4</v>
      </c>
    </row>
    <row r="856" customFormat="false" ht="15" hidden="false" customHeight="false" outlineLevel="0" collapsed="false">
      <c r="A856" s="23" t="n">
        <v>46118.8583333333</v>
      </c>
      <c r="B856" s="24" t="s">
        <v>1079</v>
      </c>
      <c r="C856" s="24" t="s">
        <v>1080</v>
      </c>
      <c r="D856" s="24" t="n">
        <v>1</v>
      </c>
      <c r="E856" s="25" t="n">
        <v>2500</v>
      </c>
      <c r="F856" s="25" t="n">
        <v>1600</v>
      </c>
      <c r="G856" s="24" t="s">
        <v>59</v>
      </c>
      <c r="H856" s="24" t="s">
        <v>80</v>
      </c>
      <c r="I856" s="28" t="n">
        <f aca="false">IF(A856="","",D856*E856)</f>
        <v>2500</v>
      </c>
      <c r="J856" s="28" t="n">
        <f aca="false">IF(A856="","",D856*F856)</f>
        <v>1600</v>
      </c>
      <c r="K856" s="26" t="n">
        <f aca="false">IF(A856="","",YEAR(A856))</f>
        <v>2026</v>
      </c>
      <c r="L856" s="26" t="n">
        <f aca="false">IF(A856="","",MONTH(A856))</f>
        <v>4</v>
      </c>
    </row>
    <row r="857" customFormat="false" ht="15" hidden="false" customHeight="false" outlineLevel="0" collapsed="false">
      <c r="A857" s="23" t="n">
        <v>46118.88125</v>
      </c>
      <c r="B857" s="24" t="s">
        <v>1065</v>
      </c>
      <c r="C857" s="24" t="s">
        <v>1066</v>
      </c>
      <c r="D857" s="24" t="n">
        <v>3</v>
      </c>
      <c r="E857" s="25" t="n">
        <v>3000</v>
      </c>
      <c r="F857" s="25" t="n">
        <v>2000</v>
      </c>
      <c r="G857" s="24" t="s">
        <v>59</v>
      </c>
      <c r="H857" s="24" t="s">
        <v>55</v>
      </c>
      <c r="I857" s="28" t="n">
        <f aca="false">IF(A857="","",D857*E857)</f>
        <v>9000</v>
      </c>
      <c r="J857" s="28" t="n">
        <f aca="false">IF(A857="","",D857*F857)</f>
        <v>6000</v>
      </c>
      <c r="K857" s="26" t="n">
        <f aca="false">IF(A857="","",YEAR(A857))</f>
        <v>2026</v>
      </c>
      <c r="L857" s="26" t="n">
        <f aca="false">IF(A857="","",MONTH(A857))</f>
        <v>4</v>
      </c>
    </row>
    <row r="858" customFormat="false" ht="15" hidden="false" customHeight="false" outlineLevel="0" collapsed="false">
      <c r="A858" s="23" t="n">
        <v>46119.3784722222</v>
      </c>
      <c r="B858" s="24" t="s">
        <v>1065</v>
      </c>
      <c r="C858" s="24" t="s">
        <v>1066</v>
      </c>
      <c r="D858" s="24" t="n">
        <v>1</v>
      </c>
      <c r="E858" s="25" t="n">
        <v>3000</v>
      </c>
      <c r="F858" s="25" t="n">
        <v>2000</v>
      </c>
      <c r="G858" s="24" t="s">
        <v>59</v>
      </c>
      <c r="H858" s="24" t="s">
        <v>60</v>
      </c>
      <c r="I858" s="28" t="n">
        <f aca="false">IF(A858="","",D858*E858)</f>
        <v>3000</v>
      </c>
      <c r="J858" s="28" t="n">
        <f aca="false">IF(A858="","",D858*F858)</f>
        <v>2000</v>
      </c>
      <c r="K858" s="26" t="n">
        <f aca="false">IF(A858="","",YEAR(A858))</f>
        <v>2026</v>
      </c>
      <c r="L858" s="26" t="n">
        <f aca="false">IF(A858="","",MONTH(A858))</f>
        <v>4</v>
      </c>
    </row>
    <row r="859" customFormat="false" ht="15" hidden="false" customHeight="false" outlineLevel="0" collapsed="false">
      <c r="A859" s="23" t="n">
        <v>46119.5722222222</v>
      </c>
      <c r="B859" s="24" t="s">
        <v>1073</v>
      </c>
      <c r="C859" s="24" t="s">
        <v>1074</v>
      </c>
      <c r="D859" s="24" t="n">
        <v>1</v>
      </c>
      <c r="E859" s="25" t="n">
        <v>7000</v>
      </c>
      <c r="F859" s="25" t="n">
        <v>4800</v>
      </c>
      <c r="G859" s="24" t="s">
        <v>59</v>
      </c>
      <c r="H859" s="24" t="s">
        <v>60</v>
      </c>
      <c r="I859" s="28" t="n">
        <f aca="false">IF(A859="","",D859*E859)</f>
        <v>7000</v>
      </c>
      <c r="J859" s="28" t="n">
        <f aca="false">IF(A859="","",D859*F859)</f>
        <v>4800</v>
      </c>
      <c r="K859" s="26" t="n">
        <f aca="false">IF(A859="","",YEAR(A859))</f>
        <v>2026</v>
      </c>
      <c r="L859" s="26" t="n">
        <f aca="false">IF(A859="","",MONTH(A859))</f>
        <v>4</v>
      </c>
    </row>
    <row r="860" customFormat="false" ht="15" hidden="false" customHeight="false" outlineLevel="0" collapsed="false">
      <c r="A860" s="23" t="n">
        <v>46119.6763888889</v>
      </c>
      <c r="B860" s="24" t="s">
        <v>1075</v>
      </c>
      <c r="C860" s="24" t="s">
        <v>1076</v>
      </c>
      <c r="D860" s="24" t="n">
        <v>1</v>
      </c>
      <c r="E860" s="25" t="n">
        <v>1000</v>
      </c>
      <c r="F860" s="25" t="n">
        <v>300</v>
      </c>
      <c r="G860" s="24" t="s">
        <v>59</v>
      </c>
      <c r="H860" s="24" t="s">
        <v>55</v>
      </c>
      <c r="I860" s="28" t="n">
        <f aca="false">IF(A860="","",D860*E860)</f>
        <v>1000</v>
      </c>
      <c r="J860" s="28" t="n">
        <f aca="false">IF(A860="","",D860*F860)</f>
        <v>300</v>
      </c>
      <c r="K860" s="26" t="n">
        <f aca="false">IF(A860="","",YEAR(A860))</f>
        <v>2026</v>
      </c>
      <c r="L860" s="26" t="n">
        <f aca="false">IF(A860="","",MONTH(A860))</f>
        <v>4</v>
      </c>
    </row>
    <row r="861" customFormat="false" ht="15" hidden="false" customHeight="false" outlineLevel="0" collapsed="false">
      <c r="A861" s="23" t="n">
        <v>46119.8743055556</v>
      </c>
      <c r="B861" s="24" t="s">
        <v>1067</v>
      </c>
      <c r="C861" s="24" t="s">
        <v>1068</v>
      </c>
      <c r="D861" s="24" t="n">
        <v>1</v>
      </c>
      <c r="E861" s="25" t="n">
        <v>4000</v>
      </c>
      <c r="F861" s="25" t="n">
        <v>2600</v>
      </c>
      <c r="G861" s="24" t="s">
        <v>59</v>
      </c>
      <c r="H861" s="24" t="s">
        <v>80</v>
      </c>
      <c r="I861" s="28" t="n">
        <f aca="false">IF(A861="","",D861*E861)</f>
        <v>4000</v>
      </c>
      <c r="J861" s="28" t="n">
        <f aca="false">IF(A861="","",D861*F861)</f>
        <v>2600</v>
      </c>
      <c r="K861" s="26" t="n">
        <f aca="false">IF(A861="","",YEAR(A861))</f>
        <v>2026</v>
      </c>
      <c r="L861" s="26" t="n">
        <f aca="false">IF(A861="","",MONTH(A861))</f>
        <v>4</v>
      </c>
    </row>
    <row r="862" customFormat="false" ht="15" hidden="false" customHeight="false" outlineLevel="0" collapsed="false">
      <c r="A862" s="23" t="n">
        <v>46121.8222222222</v>
      </c>
      <c r="B862" s="24" t="s">
        <v>1065</v>
      </c>
      <c r="C862" s="24" t="s">
        <v>1066</v>
      </c>
      <c r="D862" s="24" t="n">
        <v>3</v>
      </c>
      <c r="E862" s="25" t="n">
        <v>3000</v>
      </c>
      <c r="F862" s="25" t="n">
        <v>2000</v>
      </c>
      <c r="G862" s="24" t="s">
        <v>59</v>
      </c>
      <c r="H862" s="24" t="s">
        <v>80</v>
      </c>
      <c r="I862" s="28" t="n">
        <f aca="false">IF(A862="","",D862*E862)</f>
        <v>9000</v>
      </c>
      <c r="J862" s="28" t="n">
        <f aca="false">IF(A862="","",D862*F862)</f>
        <v>6000</v>
      </c>
      <c r="K862" s="26" t="n">
        <f aca="false">IF(A862="","",YEAR(A862))</f>
        <v>2026</v>
      </c>
      <c r="L862" s="26" t="n">
        <f aca="false">IF(A862="","",MONTH(A862))</f>
        <v>4</v>
      </c>
    </row>
    <row r="863" customFormat="false" ht="15" hidden="false" customHeight="false" outlineLevel="0" collapsed="false">
      <c r="A863" s="23" t="n">
        <v>46121.84375</v>
      </c>
      <c r="B863" s="24" t="s">
        <v>1069</v>
      </c>
      <c r="C863" s="24" t="s">
        <v>1070</v>
      </c>
      <c r="D863" s="24" t="n">
        <v>3</v>
      </c>
      <c r="E863" s="25" t="n">
        <v>4500</v>
      </c>
      <c r="F863" s="25" t="n">
        <v>3000</v>
      </c>
      <c r="G863" s="24" t="s">
        <v>59</v>
      </c>
      <c r="H863" s="24" t="s">
        <v>55</v>
      </c>
      <c r="I863" s="28" t="n">
        <f aca="false">IF(A863="","",D863*E863)</f>
        <v>13500</v>
      </c>
      <c r="J863" s="28" t="n">
        <f aca="false">IF(A863="","",D863*F863)</f>
        <v>9000</v>
      </c>
      <c r="K863" s="26" t="n">
        <f aca="false">IF(A863="","",YEAR(A863))</f>
        <v>2026</v>
      </c>
      <c r="L863" s="26" t="n">
        <f aca="false">IF(A863="","",MONTH(A863))</f>
        <v>4</v>
      </c>
    </row>
    <row r="864" customFormat="false" ht="15" hidden="false" customHeight="false" outlineLevel="0" collapsed="false">
      <c r="A864" s="23" t="n">
        <v>46122.5972222222</v>
      </c>
      <c r="B864" s="24" t="s">
        <v>1081</v>
      </c>
      <c r="C864" s="24" t="s">
        <v>1082</v>
      </c>
      <c r="D864" s="24" t="n">
        <v>3</v>
      </c>
      <c r="E864" s="25" t="n">
        <v>2500</v>
      </c>
      <c r="F864" s="25" t="n">
        <v>1500</v>
      </c>
      <c r="G864" s="24" t="s">
        <v>59</v>
      </c>
      <c r="H864" s="24" t="s">
        <v>60</v>
      </c>
      <c r="I864" s="28" t="n">
        <f aca="false">IF(A864="","",D864*E864)</f>
        <v>7500</v>
      </c>
      <c r="J864" s="28" t="n">
        <f aca="false">IF(A864="","",D864*F864)</f>
        <v>4500</v>
      </c>
      <c r="K864" s="26" t="n">
        <f aca="false">IF(A864="","",YEAR(A864))</f>
        <v>2026</v>
      </c>
      <c r="L864" s="26" t="n">
        <f aca="false">IF(A864="","",MONTH(A864))</f>
        <v>4</v>
      </c>
    </row>
    <row r="865" customFormat="false" ht="15" hidden="false" customHeight="false" outlineLevel="0" collapsed="false">
      <c r="A865" s="23" t="n">
        <v>46122.8076388889</v>
      </c>
      <c r="B865" s="24" t="s">
        <v>1067</v>
      </c>
      <c r="C865" s="24" t="s">
        <v>1068</v>
      </c>
      <c r="D865" s="24" t="n">
        <v>2</v>
      </c>
      <c r="E865" s="25" t="n">
        <v>4000</v>
      </c>
      <c r="F865" s="25" t="n">
        <v>2600</v>
      </c>
      <c r="G865" s="24" t="s">
        <v>59</v>
      </c>
      <c r="H865" s="24" t="s">
        <v>55</v>
      </c>
      <c r="I865" s="28" t="n">
        <f aca="false">IF(A865="","",D865*E865)</f>
        <v>8000</v>
      </c>
      <c r="J865" s="28" t="n">
        <f aca="false">IF(A865="","",D865*F865)</f>
        <v>5200</v>
      </c>
      <c r="K865" s="26" t="n">
        <f aca="false">IF(A865="","",YEAR(A865))</f>
        <v>2026</v>
      </c>
      <c r="L865" s="26" t="n">
        <f aca="false">IF(A865="","",MONTH(A865))</f>
        <v>4</v>
      </c>
    </row>
    <row r="866" customFormat="false" ht="15" hidden="false" customHeight="false" outlineLevel="0" collapsed="false">
      <c r="A866" s="23" t="n">
        <v>46123.3145833333</v>
      </c>
      <c r="B866" s="24" t="s">
        <v>1081</v>
      </c>
      <c r="C866" s="24" t="s">
        <v>1082</v>
      </c>
      <c r="D866" s="24" t="n">
        <v>1</v>
      </c>
      <c r="E866" s="25" t="n">
        <v>2500</v>
      </c>
      <c r="F866" s="25" t="n">
        <v>1500</v>
      </c>
      <c r="G866" s="24" t="s">
        <v>59</v>
      </c>
      <c r="H866" s="24" t="s">
        <v>55</v>
      </c>
      <c r="I866" s="28" t="n">
        <f aca="false">IF(A866="","",D866*E866)</f>
        <v>2500</v>
      </c>
      <c r="J866" s="28" t="n">
        <f aca="false">IF(A866="","",D866*F866)</f>
        <v>1500</v>
      </c>
      <c r="K866" s="26" t="n">
        <f aca="false">IF(A866="","",YEAR(A866))</f>
        <v>2026</v>
      </c>
      <c r="L866" s="26" t="n">
        <f aca="false">IF(A866="","",MONTH(A866))</f>
        <v>4</v>
      </c>
    </row>
    <row r="867" customFormat="false" ht="15" hidden="false" customHeight="false" outlineLevel="0" collapsed="false">
      <c r="A867" s="23" t="n">
        <v>46123.5083333333</v>
      </c>
      <c r="B867" s="24" t="s">
        <v>1069</v>
      </c>
      <c r="C867" s="24" t="s">
        <v>1070</v>
      </c>
      <c r="D867" s="24" t="n">
        <v>1</v>
      </c>
      <c r="E867" s="25" t="n">
        <v>4500</v>
      </c>
      <c r="F867" s="25" t="n">
        <v>3000</v>
      </c>
      <c r="G867" s="24" t="s">
        <v>59</v>
      </c>
      <c r="H867" s="24" t="s">
        <v>55</v>
      </c>
      <c r="I867" s="28" t="n">
        <f aca="false">IF(A867="","",D867*E867)</f>
        <v>4500</v>
      </c>
      <c r="J867" s="28" t="n">
        <f aca="false">IF(A867="","",D867*F867)</f>
        <v>3000</v>
      </c>
      <c r="K867" s="26" t="n">
        <f aca="false">IF(A867="","",YEAR(A867))</f>
        <v>2026</v>
      </c>
      <c r="L867" s="26" t="n">
        <f aca="false">IF(A867="","",MONTH(A867))</f>
        <v>4</v>
      </c>
    </row>
    <row r="868" customFormat="false" ht="15" hidden="false" customHeight="false" outlineLevel="0" collapsed="false">
      <c r="A868" s="23" t="n">
        <v>46123.5347222222</v>
      </c>
      <c r="B868" s="24" t="s">
        <v>1077</v>
      </c>
      <c r="C868" s="24" t="s">
        <v>1078</v>
      </c>
      <c r="D868" s="24" t="n">
        <v>1</v>
      </c>
      <c r="E868" s="25" t="n">
        <v>1500</v>
      </c>
      <c r="F868" s="25" t="n">
        <v>900</v>
      </c>
      <c r="G868" s="24" t="s">
        <v>69</v>
      </c>
      <c r="H868" s="24" t="s">
        <v>80</v>
      </c>
      <c r="I868" s="28" t="n">
        <f aca="false">IF(A868="","",D868*E868)</f>
        <v>1500</v>
      </c>
      <c r="J868" s="28" t="n">
        <f aca="false">IF(A868="","",D868*F868)</f>
        <v>900</v>
      </c>
      <c r="K868" s="26" t="n">
        <f aca="false">IF(A868="","",YEAR(A868))</f>
        <v>2026</v>
      </c>
      <c r="L868" s="26" t="n">
        <f aca="false">IF(A868="","",MONTH(A868))</f>
        <v>4</v>
      </c>
    </row>
    <row r="869" customFormat="false" ht="15" hidden="false" customHeight="false" outlineLevel="0" collapsed="false">
      <c r="A869" s="23" t="n">
        <v>46123.7416666667</v>
      </c>
      <c r="B869" s="24" t="s">
        <v>1081</v>
      </c>
      <c r="C869" s="24" t="s">
        <v>1082</v>
      </c>
      <c r="D869" s="24" t="n">
        <v>1</v>
      </c>
      <c r="E869" s="25" t="n">
        <v>2500</v>
      </c>
      <c r="F869" s="25" t="n">
        <v>1500</v>
      </c>
      <c r="G869" s="24" t="s">
        <v>59</v>
      </c>
      <c r="H869" s="24" t="s">
        <v>60</v>
      </c>
      <c r="I869" s="28" t="n">
        <f aca="false">IF(A869="","",D869*E869)</f>
        <v>2500</v>
      </c>
      <c r="J869" s="28" t="n">
        <f aca="false">IF(A869="","",D869*F869)</f>
        <v>1500</v>
      </c>
      <c r="K869" s="26" t="n">
        <f aca="false">IF(A869="","",YEAR(A869))</f>
        <v>2026</v>
      </c>
      <c r="L869" s="26" t="n">
        <f aca="false">IF(A869="","",MONTH(A869))</f>
        <v>4</v>
      </c>
    </row>
    <row r="870" customFormat="false" ht="15" hidden="false" customHeight="false" outlineLevel="0" collapsed="false">
      <c r="A870" s="23" t="n">
        <v>46124.4875</v>
      </c>
      <c r="B870" s="24" t="s">
        <v>1069</v>
      </c>
      <c r="C870" s="24" t="s">
        <v>1070</v>
      </c>
      <c r="D870" s="24" t="n">
        <v>1</v>
      </c>
      <c r="E870" s="25" t="n">
        <v>4500</v>
      </c>
      <c r="F870" s="25" t="n">
        <v>3000</v>
      </c>
      <c r="G870" s="24" t="s">
        <v>59</v>
      </c>
      <c r="H870" s="24" t="s">
        <v>55</v>
      </c>
      <c r="I870" s="28" t="n">
        <f aca="false">IF(A870="","",D870*E870)</f>
        <v>4500</v>
      </c>
      <c r="J870" s="28" t="n">
        <f aca="false">IF(A870="","",D870*F870)</f>
        <v>3000</v>
      </c>
      <c r="K870" s="26" t="n">
        <f aca="false">IF(A870="","",YEAR(A870))</f>
        <v>2026</v>
      </c>
      <c r="L870" s="26" t="n">
        <f aca="false">IF(A870="","",MONTH(A870))</f>
        <v>4</v>
      </c>
    </row>
    <row r="871" customFormat="false" ht="15" hidden="false" customHeight="false" outlineLevel="0" collapsed="false">
      <c r="A871" s="23" t="n">
        <v>46124.6097222222</v>
      </c>
      <c r="B871" s="24" t="s">
        <v>1065</v>
      </c>
      <c r="C871" s="24" t="s">
        <v>1066</v>
      </c>
      <c r="D871" s="24" t="n">
        <v>1</v>
      </c>
      <c r="E871" s="25" t="n">
        <v>3000</v>
      </c>
      <c r="F871" s="25" t="n">
        <v>2000</v>
      </c>
      <c r="G871" s="24" t="s">
        <v>59</v>
      </c>
      <c r="H871" s="24" t="s">
        <v>55</v>
      </c>
      <c r="I871" s="28" t="n">
        <f aca="false">IF(A871="","",D871*E871)</f>
        <v>3000</v>
      </c>
      <c r="J871" s="28" t="n">
        <f aca="false">IF(A871="","",D871*F871)</f>
        <v>2000</v>
      </c>
      <c r="K871" s="26" t="n">
        <f aca="false">IF(A871="","",YEAR(A871))</f>
        <v>2026</v>
      </c>
      <c r="L871" s="26" t="n">
        <f aca="false">IF(A871="","",MONTH(A871))</f>
        <v>4</v>
      </c>
    </row>
    <row r="872" customFormat="false" ht="15" hidden="false" customHeight="false" outlineLevel="0" collapsed="false">
      <c r="A872" s="23" t="n">
        <v>46125.8715277778</v>
      </c>
      <c r="B872" s="24" t="s">
        <v>1081</v>
      </c>
      <c r="C872" s="24" t="s">
        <v>1082</v>
      </c>
      <c r="D872" s="24" t="n">
        <v>1</v>
      </c>
      <c r="E872" s="25" t="n">
        <v>2500</v>
      </c>
      <c r="F872" s="25" t="n">
        <v>1500</v>
      </c>
      <c r="G872" s="24" t="s">
        <v>59</v>
      </c>
      <c r="H872" s="24" t="s">
        <v>60</v>
      </c>
      <c r="I872" s="28" t="n">
        <f aca="false">IF(A872="","",D872*E872)</f>
        <v>2500</v>
      </c>
      <c r="J872" s="28" t="n">
        <f aca="false">IF(A872="","",D872*F872)</f>
        <v>1500</v>
      </c>
      <c r="K872" s="26" t="n">
        <f aca="false">IF(A872="","",YEAR(A872))</f>
        <v>2026</v>
      </c>
      <c r="L872" s="26" t="n">
        <f aca="false">IF(A872="","",MONTH(A872))</f>
        <v>4</v>
      </c>
    </row>
    <row r="873" customFormat="false" ht="15" hidden="false" customHeight="false" outlineLevel="0" collapsed="false">
      <c r="A873" s="23" t="n">
        <v>46126.5465277778</v>
      </c>
      <c r="B873" s="24" t="s">
        <v>1067</v>
      </c>
      <c r="C873" s="24" t="s">
        <v>1068</v>
      </c>
      <c r="D873" s="24" t="n">
        <v>1</v>
      </c>
      <c r="E873" s="25" t="n">
        <v>4000</v>
      </c>
      <c r="F873" s="25" t="n">
        <v>2600</v>
      </c>
      <c r="G873" s="24" t="s">
        <v>59</v>
      </c>
      <c r="H873" s="24" t="s">
        <v>80</v>
      </c>
      <c r="I873" s="28" t="n">
        <f aca="false">IF(A873="","",D873*E873)</f>
        <v>4000</v>
      </c>
      <c r="J873" s="28" t="n">
        <f aca="false">IF(A873="","",D873*F873)</f>
        <v>2600</v>
      </c>
      <c r="K873" s="26" t="n">
        <f aca="false">IF(A873="","",YEAR(A873))</f>
        <v>2026</v>
      </c>
      <c r="L873" s="26" t="n">
        <f aca="false">IF(A873="","",MONTH(A873))</f>
        <v>4</v>
      </c>
    </row>
    <row r="874" customFormat="false" ht="15" hidden="false" customHeight="false" outlineLevel="0" collapsed="false">
      <c r="A874" s="23" t="n">
        <v>46126.5583333333</v>
      </c>
      <c r="B874" s="24" t="s">
        <v>1075</v>
      </c>
      <c r="C874" s="24" t="s">
        <v>1076</v>
      </c>
      <c r="D874" s="24" t="n">
        <v>2</v>
      </c>
      <c r="E874" s="25" t="n">
        <v>1000</v>
      </c>
      <c r="F874" s="25" t="n">
        <v>300</v>
      </c>
      <c r="G874" s="24" t="s">
        <v>59</v>
      </c>
      <c r="H874" s="24" t="s">
        <v>60</v>
      </c>
      <c r="I874" s="28" t="n">
        <f aca="false">IF(A874="","",D874*E874)</f>
        <v>2000</v>
      </c>
      <c r="J874" s="28" t="n">
        <f aca="false">IF(A874="","",D874*F874)</f>
        <v>600</v>
      </c>
      <c r="K874" s="26" t="n">
        <f aca="false">IF(A874="","",YEAR(A874))</f>
        <v>2026</v>
      </c>
      <c r="L874" s="26" t="n">
        <f aca="false">IF(A874="","",MONTH(A874))</f>
        <v>4</v>
      </c>
    </row>
    <row r="875" customFormat="false" ht="15" hidden="false" customHeight="false" outlineLevel="0" collapsed="false">
      <c r="A875" s="23" t="n">
        <v>46126.8479166667</v>
      </c>
      <c r="B875" s="24" t="s">
        <v>1077</v>
      </c>
      <c r="C875" s="24" t="s">
        <v>1078</v>
      </c>
      <c r="D875" s="24" t="n">
        <v>2</v>
      </c>
      <c r="E875" s="25" t="n">
        <v>1500</v>
      </c>
      <c r="F875" s="25" t="n">
        <v>900</v>
      </c>
      <c r="G875" s="24" t="s">
        <v>59</v>
      </c>
      <c r="H875" s="24" t="s">
        <v>55</v>
      </c>
      <c r="I875" s="28" t="n">
        <f aca="false">IF(A875="","",D875*E875)</f>
        <v>3000</v>
      </c>
      <c r="J875" s="28" t="n">
        <f aca="false">IF(A875="","",D875*F875)</f>
        <v>1800</v>
      </c>
      <c r="K875" s="26" t="n">
        <f aca="false">IF(A875="","",YEAR(A875))</f>
        <v>2026</v>
      </c>
      <c r="L875" s="26" t="n">
        <f aca="false">IF(A875="","",MONTH(A875))</f>
        <v>4</v>
      </c>
    </row>
    <row r="876" customFormat="false" ht="15" hidden="false" customHeight="false" outlineLevel="0" collapsed="false">
      <c r="A876" s="23" t="n">
        <v>46126.8770833333</v>
      </c>
      <c r="B876" s="24" t="s">
        <v>1077</v>
      </c>
      <c r="C876" s="24" t="s">
        <v>1078</v>
      </c>
      <c r="D876" s="24" t="n">
        <v>1</v>
      </c>
      <c r="E876" s="25" t="n">
        <v>1500</v>
      </c>
      <c r="F876" s="25" t="n">
        <v>900</v>
      </c>
      <c r="G876" s="24" t="s">
        <v>69</v>
      </c>
      <c r="H876" s="24" t="s">
        <v>55</v>
      </c>
      <c r="I876" s="28" t="n">
        <f aca="false">IF(A876="","",D876*E876)</f>
        <v>1500</v>
      </c>
      <c r="J876" s="28" t="n">
        <f aca="false">IF(A876="","",D876*F876)</f>
        <v>900</v>
      </c>
      <c r="K876" s="26" t="n">
        <f aca="false">IF(A876="","",YEAR(A876))</f>
        <v>2026</v>
      </c>
      <c r="L876" s="26" t="n">
        <f aca="false">IF(A876="","",MONTH(A876))</f>
        <v>4</v>
      </c>
    </row>
    <row r="877" customFormat="false" ht="15" hidden="false" customHeight="false" outlineLevel="0" collapsed="false">
      <c r="A877" s="23" t="n">
        <v>46127.3888888889</v>
      </c>
      <c r="B877" s="24" t="s">
        <v>1071</v>
      </c>
      <c r="C877" s="24" t="s">
        <v>1072</v>
      </c>
      <c r="D877" s="24" t="n">
        <v>1</v>
      </c>
      <c r="E877" s="25" t="n">
        <v>2000</v>
      </c>
      <c r="F877" s="25" t="n">
        <v>1100</v>
      </c>
      <c r="G877" s="24" t="s">
        <v>59</v>
      </c>
      <c r="H877" s="24" t="s">
        <v>60</v>
      </c>
      <c r="I877" s="28" t="n">
        <f aca="false">IF(A877="","",D877*E877)</f>
        <v>2000</v>
      </c>
      <c r="J877" s="28" t="n">
        <f aca="false">IF(A877="","",D877*F877)</f>
        <v>1100</v>
      </c>
      <c r="K877" s="26" t="n">
        <f aca="false">IF(A877="","",YEAR(A877))</f>
        <v>2026</v>
      </c>
      <c r="L877" s="26" t="n">
        <f aca="false">IF(A877="","",MONTH(A877))</f>
        <v>4</v>
      </c>
    </row>
    <row r="878" customFormat="false" ht="15" hidden="false" customHeight="false" outlineLevel="0" collapsed="false">
      <c r="A878" s="23" t="n">
        <v>46127.4263888889</v>
      </c>
      <c r="B878" s="24" t="s">
        <v>1069</v>
      </c>
      <c r="C878" s="24" t="s">
        <v>1070</v>
      </c>
      <c r="D878" s="24" t="n">
        <v>2</v>
      </c>
      <c r="E878" s="25" t="n">
        <v>4500</v>
      </c>
      <c r="F878" s="25" t="n">
        <v>3000</v>
      </c>
      <c r="G878" s="24" t="s">
        <v>59</v>
      </c>
      <c r="H878" s="24" t="s">
        <v>55</v>
      </c>
      <c r="I878" s="28" t="n">
        <f aca="false">IF(A878="","",D878*E878)</f>
        <v>9000</v>
      </c>
      <c r="J878" s="28" t="n">
        <f aca="false">IF(A878="","",D878*F878)</f>
        <v>6000</v>
      </c>
      <c r="K878" s="26" t="n">
        <f aca="false">IF(A878="","",YEAR(A878))</f>
        <v>2026</v>
      </c>
      <c r="L878" s="26" t="n">
        <f aca="false">IF(A878="","",MONTH(A878))</f>
        <v>4</v>
      </c>
    </row>
    <row r="879" customFormat="false" ht="15" hidden="false" customHeight="false" outlineLevel="0" collapsed="false">
      <c r="A879" s="23" t="n">
        <v>46127.6819444444</v>
      </c>
      <c r="B879" s="24" t="s">
        <v>1081</v>
      </c>
      <c r="C879" s="24" t="s">
        <v>1082</v>
      </c>
      <c r="D879" s="24" t="n">
        <v>1</v>
      </c>
      <c r="E879" s="25" t="n">
        <v>2500</v>
      </c>
      <c r="F879" s="25" t="n">
        <v>1500</v>
      </c>
      <c r="G879" s="24" t="s">
        <v>59</v>
      </c>
      <c r="H879" s="24" t="s">
        <v>80</v>
      </c>
      <c r="I879" s="28" t="n">
        <f aca="false">IF(A879="","",D879*E879)</f>
        <v>2500</v>
      </c>
      <c r="J879" s="28" t="n">
        <f aca="false">IF(A879="","",D879*F879)</f>
        <v>1500</v>
      </c>
      <c r="K879" s="26" t="n">
        <f aca="false">IF(A879="","",YEAR(A879))</f>
        <v>2026</v>
      </c>
      <c r="L879" s="26" t="n">
        <f aca="false">IF(A879="","",MONTH(A879))</f>
        <v>4</v>
      </c>
    </row>
    <row r="880" customFormat="false" ht="15" hidden="false" customHeight="false" outlineLevel="0" collapsed="false">
      <c r="A880" s="23" t="n">
        <v>46128.3965277778</v>
      </c>
      <c r="B880" s="24" t="s">
        <v>1075</v>
      </c>
      <c r="C880" s="24" t="s">
        <v>1076</v>
      </c>
      <c r="D880" s="24" t="n">
        <v>2</v>
      </c>
      <c r="E880" s="25" t="n">
        <v>1000</v>
      </c>
      <c r="F880" s="25" t="n">
        <v>300</v>
      </c>
      <c r="G880" s="24" t="s">
        <v>69</v>
      </c>
      <c r="H880" s="24" t="s">
        <v>80</v>
      </c>
      <c r="I880" s="28" t="n">
        <f aca="false">IF(A880="","",D880*E880)</f>
        <v>2000</v>
      </c>
      <c r="J880" s="28" t="n">
        <f aca="false">IF(A880="","",D880*F880)</f>
        <v>600</v>
      </c>
      <c r="K880" s="26" t="n">
        <f aca="false">IF(A880="","",YEAR(A880))</f>
        <v>2026</v>
      </c>
      <c r="L880" s="26" t="n">
        <f aca="false">IF(A880="","",MONTH(A880))</f>
        <v>4</v>
      </c>
    </row>
    <row r="881" customFormat="false" ht="15" hidden="false" customHeight="false" outlineLevel="0" collapsed="false">
      <c r="A881" s="23" t="n">
        <v>46128.46875</v>
      </c>
      <c r="B881" s="24" t="s">
        <v>1079</v>
      </c>
      <c r="C881" s="24" t="s">
        <v>1080</v>
      </c>
      <c r="D881" s="24" t="n">
        <v>1</v>
      </c>
      <c r="E881" s="25" t="n">
        <v>2500</v>
      </c>
      <c r="F881" s="25" t="n">
        <v>1600</v>
      </c>
      <c r="G881" s="24" t="s">
        <v>59</v>
      </c>
      <c r="H881" s="24" t="s">
        <v>80</v>
      </c>
      <c r="I881" s="28" t="n">
        <f aca="false">IF(A881="","",D881*E881)</f>
        <v>2500</v>
      </c>
      <c r="J881" s="28" t="n">
        <f aca="false">IF(A881="","",D881*F881)</f>
        <v>1600</v>
      </c>
      <c r="K881" s="26" t="n">
        <f aca="false">IF(A881="","",YEAR(A881))</f>
        <v>2026</v>
      </c>
      <c r="L881" s="26" t="n">
        <f aca="false">IF(A881="","",MONTH(A881))</f>
        <v>4</v>
      </c>
    </row>
    <row r="882" customFormat="false" ht="15" hidden="false" customHeight="false" outlineLevel="0" collapsed="false">
      <c r="A882" s="23" t="n">
        <v>46128.8430555556</v>
      </c>
      <c r="B882" s="24" t="s">
        <v>1069</v>
      </c>
      <c r="C882" s="24" t="s">
        <v>1070</v>
      </c>
      <c r="D882" s="24" t="n">
        <v>2</v>
      </c>
      <c r="E882" s="25" t="n">
        <v>4500</v>
      </c>
      <c r="F882" s="25" t="n">
        <v>3000</v>
      </c>
      <c r="G882" s="24" t="s">
        <v>69</v>
      </c>
      <c r="H882" s="24" t="s">
        <v>60</v>
      </c>
      <c r="I882" s="28" t="n">
        <f aca="false">IF(A882="","",D882*E882)</f>
        <v>9000</v>
      </c>
      <c r="J882" s="28" t="n">
        <f aca="false">IF(A882="","",D882*F882)</f>
        <v>6000</v>
      </c>
      <c r="K882" s="26" t="n">
        <f aca="false">IF(A882="","",YEAR(A882))</f>
        <v>2026</v>
      </c>
      <c r="L882" s="26" t="n">
        <f aca="false">IF(A882="","",MONTH(A882))</f>
        <v>4</v>
      </c>
    </row>
    <row r="883" customFormat="false" ht="15" hidden="false" customHeight="false" outlineLevel="0" collapsed="false">
      <c r="A883" s="23" t="n">
        <v>46129.3520833333</v>
      </c>
      <c r="B883" s="24" t="s">
        <v>1071</v>
      </c>
      <c r="C883" s="24" t="s">
        <v>1072</v>
      </c>
      <c r="D883" s="24" t="n">
        <v>1</v>
      </c>
      <c r="E883" s="25" t="n">
        <v>2000</v>
      </c>
      <c r="F883" s="25" t="n">
        <v>1100</v>
      </c>
      <c r="G883" s="24" t="s">
        <v>59</v>
      </c>
      <c r="H883" s="24" t="s">
        <v>60</v>
      </c>
      <c r="I883" s="28" t="n">
        <f aca="false">IF(A883="","",D883*E883)</f>
        <v>2000</v>
      </c>
      <c r="J883" s="28" t="n">
        <f aca="false">IF(A883="","",D883*F883)</f>
        <v>1100</v>
      </c>
      <c r="K883" s="26" t="n">
        <f aca="false">IF(A883="","",YEAR(A883))</f>
        <v>2026</v>
      </c>
      <c r="L883" s="26" t="n">
        <f aca="false">IF(A883="","",MONTH(A883))</f>
        <v>4</v>
      </c>
    </row>
    <row r="884" customFormat="false" ht="15" hidden="false" customHeight="false" outlineLevel="0" collapsed="false">
      <c r="A884" s="23" t="n">
        <v>46129.5875</v>
      </c>
      <c r="B884" s="24" t="s">
        <v>1069</v>
      </c>
      <c r="C884" s="24" t="s">
        <v>1070</v>
      </c>
      <c r="D884" s="24" t="n">
        <v>1</v>
      </c>
      <c r="E884" s="25" t="n">
        <v>4500</v>
      </c>
      <c r="F884" s="25" t="n">
        <v>3000</v>
      </c>
      <c r="G884" s="24" t="s">
        <v>59</v>
      </c>
      <c r="H884" s="24" t="s">
        <v>80</v>
      </c>
      <c r="I884" s="28" t="n">
        <f aca="false">IF(A884="","",D884*E884)</f>
        <v>4500</v>
      </c>
      <c r="J884" s="28" t="n">
        <f aca="false">IF(A884="","",D884*F884)</f>
        <v>3000</v>
      </c>
      <c r="K884" s="26" t="n">
        <f aca="false">IF(A884="","",YEAR(A884))</f>
        <v>2026</v>
      </c>
      <c r="L884" s="26" t="n">
        <f aca="false">IF(A884="","",MONTH(A884))</f>
        <v>4</v>
      </c>
    </row>
    <row r="885" customFormat="false" ht="15" hidden="false" customHeight="false" outlineLevel="0" collapsed="false">
      <c r="A885" s="23" t="n">
        <v>46129.8493055556</v>
      </c>
      <c r="B885" s="24" t="s">
        <v>1073</v>
      </c>
      <c r="C885" s="24" t="s">
        <v>1074</v>
      </c>
      <c r="D885" s="24" t="n">
        <v>1</v>
      </c>
      <c r="E885" s="25" t="n">
        <v>7000</v>
      </c>
      <c r="F885" s="25" t="n">
        <v>4800</v>
      </c>
      <c r="G885" s="24" t="s">
        <v>59</v>
      </c>
      <c r="H885" s="24" t="s">
        <v>60</v>
      </c>
      <c r="I885" s="28" t="n">
        <f aca="false">IF(A885="","",D885*E885)</f>
        <v>7000</v>
      </c>
      <c r="J885" s="28" t="n">
        <f aca="false">IF(A885="","",D885*F885)</f>
        <v>4800</v>
      </c>
      <c r="K885" s="26" t="n">
        <f aca="false">IF(A885="","",YEAR(A885))</f>
        <v>2026</v>
      </c>
      <c r="L885" s="26" t="n">
        <f aca="false">IF(A885="","",MONTH(A885))</f>
        <v>4</v>
      </c>
    </row>
    <row r="886" customFormat="false" ht="15" hidden="false" customHeight="false" outlineLevel="0" collapsed="false">
      <c r="A886" s="23" t="n">
        <v>46129.8798611111</v>
      </c>
      <c r="B886" s="24" t="s">
        <v>1079</v>
      </c>
      <c r="C886" s="24" t="s">
        <v>1080</v>
      </c>
      <c r="D886" s="24" t="n">
        <v>1</v>
      </c>
      <c r="E886" s="25" t="n">
        <v>2500</v>
      </c>
      <c r="F886" s="25" t="n">
        <v>1600</v>
      </c>
      <c r="G886" s="24" t="s">
        <v>59</v>
      </c>
      <c r="H886" s="24" t="s">
        <v>80</v>
      </c>
      <c r="I886" s="28" t="n">
        <f aca="false">IF(A886="","",D886*E886)</f>
        <v>2500</v>
      </c>
      <c r="J886" s="28" t="n">
        <f aca="false">IF(A886="","",D886*F886)</f>
        <v>1600</v>
      </c>
      <c r="K886" s="26" t="n">
        <f aca="false">IF(A886="","",YEAR(A886))</f>
        <v>2026</v>
      </c>
      <c r="L886" s="26" t="n">
        <f aca="false">IF(A886="","",MONTH(A886))</f>
        <v>4</v>
      </c>
    </row>
    <row r="887" customFormat="false" ht="15" hidden="false" customHeight="false" outlineLevel="0" collapsed="false">
      <c r="A887" s="23" t="n">
        <v>46129.8888888889</v>
      </c>
      <c r="B887" s="24" t="s">
        <v>1075</v>
      </c>
      <c r="C887" s="24" t="s">
        <v>1076</v>
      </c>
      <c r="D887" s="24" t="n">
        <v>1</v>
      </c>
      <c r="E887" s="25" t="n">
        <v>1000</v>
      </c>
      <c r="F887" s="25" t="n">
        <v>300</v>
      </c>
      <c r="G887" s="24" t="s">
        <v>59</v>
      </c>
      <c r="H887" s="24" t="s">
        <v>55</v>
      </c>
      <c r="I887" s="28" t="n">
        <f aca="false">IF(A887="","",D887*E887)</f>
        <v>1000</v>
      </c>
      <c r="J887" s="28" t="n">
        <f aca="false">IF(A887="","",D887*F887)</f>
        <v>300</v>
      </c>
      <c r="K887" s="26" t="n">
        <f aca="false">IF(A887="","",YEAR(A887))</f>
        <v>2026</v>
      </c>
      <c r="L887" s="26" t="n">
        <f aca="false">IF(A887="","",MONTH(A887))</f>
        <v>4</v>
      </c>
    </row>
    <row r="888" customFormat="false" ht="15" hidden="false" customHeight="false" outlineLevel="0" collapsed="false">
      <c r="A888" s="23" t="n">
        <v>46130.8194444445</v>
      </c>
      <c r="B888" s="24" t="s">
        <v>1065</v>
      </c>
      <c r="C888" s="24" t="s">
        <v>1066</v>
      </c>
      <c r="D888" s="24" t="n">
        <v>1</v>
      </c>
      <c r="E888" s="25" t="n">
        <v>3000</v>
      </c>
      <c r="F888" s="25" t="n">
        <v>2000</v>
      </c>
      <c r="G888" s="24" t="s">
        <v>59</v>
      </c>
      <c r="H888" s="24" t="s">
        <v>55</v>
      </c>
      <c r="I888" s="28" t="n">
        <f aca="false">IF(A888="","",D888*E888)</f>
        <v>3000</v>
      </c>
      <c r="J888" s="28" t="n">
        <f aca="false">IF(A888="","",D888*F888)</f>
        <v>2000</v>
      </c>
      <c r="K888" s="26" t="n">
        <f aca="false">IF(A888="","",YEAR(A888))</f>
        <v>2026</v>
      </c>
      <c r="L888" s="26" t="n">
        <f aca="false">IF(A888="","",MONTH(A888))</f>
        <v>4</v>
      </c>
    </row>
    <row r="889" customFormat="false" ht="15" hidden="false" customHeight="false" outlineLevel="0" collapsed="false">
      <c r="A889" s="23" t="n">
        <v>46130.8430555556</v>
      </c>
      <c r="B889" s="24" t="s">
        <v>1069</v>
      </c>
      <c r="C889" s="24" t="s">
        <v>1070</v>
      </c>
      <c r="D889" s="24" t="n">
        <v>1</v>
      </c>
      <c r="E889" s="25" t="n">
        <v>4500</v>
      </c>
      <c r="F889" s="25" t="n">
        <v>3000</v>
      </c>
      <c r="G889" s="24" t="s">
        <v>59</v>
      </c>
      <c r="H889" s="24" t="s">
        <v>80</v>
      </c>
      <c r="I889" s="28" t="n">
        <f aca="false">IF(A889="","",D889*E889)</f>
        <v>4500</v>
      </c>
      <c r="J889" s="28" t="n">
        <f aca="false">IF(A889="","",D889*F889)</f>
        <v>3000</v>
      </c>
      <c r="K889" s="26" t="n">
        <f aca="false">IF(A889="","",YEAR(A889))</f>
        <v>2026</v>
      </c>
      <c r="L889" s="26" t="n">
        <f aca="false">IF(A889="","",MONTH(A889))</f>
        <v>4</v>
      </c>
    </row>
    <row r="890" customFormat="false" ht="15" hidden="false" customHeight="false" outlineLevel="0" collapsed="false">
      <c r="A890" s="23" t="n">
        <v>46131.4145833333</v>
      </c>
      <c r="B890" s="24" t="s">
        <v>1069</v>
      </c>
      <c r="C890" s="24" t="s">
        <v>1070</v>
      </c>
      <c r="D890" s="24" t="n">
        <v>1</v>
      </c>
      <c r="E890" s="25" t="n">
        <v>4500</v>
      </c>
      <c r="F890" s="25" t="n">
        <v>3000</v>
      </c>
      <c r="G890" s="24" t="s">
        <v>59</v>
      </c>
      <c r="H890" s="24" t="s">
        <v>55</v>
      </c>
      <c r="I890" s="28" t="n">
        <f aca="false">IF(A890="","",D890*E890)</f>
        <v>4500</v>
      </c>
      <c r="J890" s="28" t="n">
        <f aca="false">IF(A890="","",D890*F890)</f>
        <v>3000</v>
      </c>
      <c r="K890" s="26" t="n">
        <f aca="false">IF(A890="","",YEAR(A890))</f>
        <v>2026</v>
      </c>
      <c r="L890" s="26" t="n">
        <f aca="false">IF(A890="","",MONTH(A890))</f>
        <v>4</v>
      </c>
    </row>
    <row r="891" customFormat="false" ht="15" hidden="false" customHeight="false" outlineLevel="0" collapsed="false">
      <c r="A891" s="23" t="n">
        <v>46131.5534722222</v>
      </c>
      <c r="B891" s="24" t="s">
        <v>1065</v>
      </c>
      <c r="C891" s="24" t="s">
        <v>1066</v>
      </c>
      <c r="D891" s="24" t="n">
        <v>1</v>
      </c>
      <c r="E891" s="25" t="n">
        <v>3000</v>
      </c>
      <c r="F891" s="25" t="n">
        <v>2000</v>
      </c>
      <c r="G891" s="24" t="s">
        <v>59</v>
      </c>
      <c r="H891" s="24" t="s">
        <v>80</v>
      </c>
      <c r="I891" s="28" t="n">
        <f aca="false">IF(A891="","",D891*E891)</f>
        <v>3000</v>
      </c>
      <c r="J891" s="28" t="n">
        <f aca="false">IF(A891="","",D891*F891)</f>
        <v>2000</v>
      </c>
      <c r="K891" s="26" t="n">
        <f aca="false">IF(A891="","",YEAR(A891))</f>
        <v>2026</v>
      </c>
      <c r="L891" s="26" t="n">
        <f aca="false">IF(A891="","",MONTH(A891))</f>
        <v>4</v>
      </c>
    </row>
    <row r="892" customFormat="false" ht="15" hidden="false" customHeight="false" outlineLevel="0" collapsed="false">
      <c r="A892" s="23" t="n">
        <v>46131.66875</v>
      </c>
      <c r="B892" s="24" t="s">
        <v>1077</v>
      </c>
      <c r="C892" s="24" t="s">
        <v>1078</v>
      </c>
      <c r="D892" s="24" t="n">
        <v>1</v>
      </c>
      <c r="E892" s="25" t="n">
        <v>1500</v>
      </c>
      <c r="F892" s="25" t="n">
        <v>900</v>
      </c>
      <c r="G892" s="24" t="s">
        <v>59</v>
      </c>
      <c r="H892" s="24" t="s">
        <v>60</v>
      </c>
      <c r="I892" s="28" t="n">
        <f aca="false">IF(A892="","",D892*E892)</f>
        <v>1500</v>
      </c>
      <c r="J892" s="28" t="n">
        <f aca="false">IF(A892="","",D892*F892)</f>
        <v>900</v>
      </c>
      <c r="K892" s="26" t="n">
        <f aca="false">IF(A892="","",YEAR(A892))</f>
        <v>2026</v>
      </c>
      <c r="L892" s="26" t="n">
        <f aca="false">IF(A892="","",MONTH(A892))</f>
        <v>4</v>
      </c>
    </row>
    <row r="893" customFormat="false" ht="15" hidden="false" customHeight="false" outlineLevel="0" collapsed="false">
      <c r="A893" s="23" t="n">
        <v>46132.3027777778</v>
      </c>
      <c r="B893" s="24" t="s">
        <v>1075</v>
      </c>
      <c r="C893" s="24" t="s">
        <v>1076</v>
      </c>
      <c r="D893" s="24" t="n">
        <v>1</v>
      </c>
      <c r="E893" s="25" t="n">
        <v>1000</v>
      </c>
      <c r="F893" s="25" t="n">
        <v>300</v>
      </c>
      <c r="G893" s="24" t="s">
        <v>59</v>
      </c>
      <c r="H893" s="24" t="s">
        <v>60</v>
      </c>
      <c r="I893" s="28" t="n">
        <f aca="false">IF(A893="","",D893*E893)</f>
        <v>1000</v>
      </c>
      <c r="J893" s="28" t="n">
        <f aca="false">IF(A893="","",D893*F893)</f>
        <v>300</v>
      </c>
      <c r="K893" s="26" t="n">
        <f aca="false">IF(A893="","",YEAR(A893))</f>
        <v>2026</v>
      </c>
      <c r="L893" s="26" t="n">
        <f aca="false">IF(A893="","",MONTH(A893))</f>
        <v>4</v>
      </c>
    </row>
    <row r="894" customFormat="false" ht="15" hidden="false" customHeight="false" outlineLevel="0" collapsed="false">
      <c r="A894" s="23" t="n">
        <v>46133.3347222222</v>
      </c>
      <c r="B894" s="24" t="s">
        <v>1065</v>
      </c>
      <c r="C894" s="24" t="s">
        <v>1066</v>
      </c>
      <c r="D894" s="24" t="n">
        <v>1</v>
      </c>
      <c r="E894" s="25" t="n">
        <v>3000</v>
      </c>
      <c r="F894" s="25" t="n">
        <v>2000</v>
      </c>
      <c r="G894" s="24" t="s">
        <v>69</v>
      </c>
      <c r="H894" s="24" t="s">
        <v>60</v>
      </c>
      <c r="I894" s="28" t="n">
        <f aca="false">IF(A894="","",D894*E894)</f>
        <v>3000</v>
      </c>
      <c r="J894" s="28" t="n">
        <f aca="false">IF(A894="","",D894*F894)</f>
        <v>2000</v>
      </c>
      <c r="K894" s="26" t="n">
        <f aca="false">IF(A894="","",YEAR(A894))</f>
        <v>2026</v>
      </c>
      <c r="L894" s="26" t="n">
        <f aca="false">IF(A894="","",MONTH(A894))</f>
        <v>4</v>
      </c>
    </row>
    <row r="895" customFormat="false" ht="15" hidden="false" customHeight="false" outlineLevel="0" collapsed="false">
      <c r="A895" s="23" t="n">
        <v>46133.8694444444</v>
      </c>
      <c r="B895" s="24" t="s">
        <v>1065</v>
      </c>
      <c r="C895" s="24" t="s">
        <v>1066</v>
      </c>
      <c r="D895" s="24" t="n">
        <v>3</v>
      </c>
      <c r="E895" s="25" t="n">
        <v>3000</v>
      </c>
      <c r="F895" s="25" t="n">
        <v>2000</v>
      </c>
      <c r="G895" s="24" t="s">
        <v>59</v>
      </c>
      <c r="H895" s="24" t="s">
        <v>60</v>
      </c>
      <c r="I895" s="28" t="n">
        <f aca="false">IF(A895="","",D895*E895)</f>
        <v>9000</v>
      </c>
      <c r="J895" s="28" t="n">
        <f aca="false">IF(A895="","",D895*F895)</f>
        <v>6000</v>
      </c>
      <c r="K895" s="26" t="n">
        <f aca="false">IF(A895="","",YEAR(A895))</f>
        <v>2026</v>
      </c>
      <c r="L895" s="26" t="n">
        <f aca="false">IF(A895="","",MONTH(A895))</f>
        <v>4</v>
      </c>
    </row>
    <row r="896" customFormat="false" ht="15" hidden="false" customHeight="false" outlineLevel="0" collapsed="false">
      <c r="A896" s="23" t="n">
        <v>46133.9083333333</v>
      </c>
      <c r="B896" s="24" t="s">
        <v>1081</v>
      </c>
      <c r="C896" s="24" t="s">
        <v>1082</v>
      </c>
      <c r="D896" s="24" t="n">
        <v>2</v>
      </c>
      <c r="E896" s="25" t="n">
        <v>2500</v>
      </c>
      <c r="F896" s="25" t="n">
        <v>1500</v>
      </c>
      <c r="G896" s="24" t="s">
        <v>59</v>
      </c>
      <c r="H896" s="24" t="s">
        <v>80</v>
      </c>
      <c r="I896" s="28" t="n">
        <f aca="false">IF(A896="","",D896*E896)</f>
        <v>5000</v>
      </c>
      <c r="J896" s="28" t="n">
        <f aca="false">IF(A896="","",D896*F896)</f>
        <v>3000</v>
      </c>
      <c r="K896" s="26" t="n">
        <f aca="false">IF(A896="","",YEAR(A896))</f>
        <v>2026</v>
      </c>
      <c r="L896" s="26" t="n">
        <f aca="false">IF(A896="","",MONTH(A896))</f>
        <v>4</v>
      </c>
    </row>
    <row r="897" customFormat="false" ht="15" hidden="false" customHeight="false" outlineLevel="0" collapsed="false">
      <c r="A897" s="23" t="n">
        <v>46134.3284722222</v>
      </c>
      <c r="B897" s="24" t="s">
        <v>1069</v>
      </c>
      <c r="C897" s="24" t="s">
        <v>1070</v>
      </c>
      <c r="D897" s="24" t="n">
        <v>1</v>
      </c>
      <c r="E897" s="25" t="n">
        <v>4500</v>
      </c>
      <c r="F897" s="25" t="n">
        <v>3000</v>
      </c>
      <c r="G897" s="24" t="s">
        <v>69</v>
      </c>
      <c r="H897" s="24" t="s">
        <v>55</v>
      </c>
      <c r="I897" s="28" t="n">
        <f aca="false">IF(A897="","",D897*E897)</f>
        <v>4500</v>
      </c>
      <c r="J897" s="28" t="n">
        <f aca="false">IF(A897="","",D897*F897)</f>
        <v>3000</v>
      </c>
      <c r="K897" s="26" t="n">
        <f aca="false">IF(A897="","",YEAR(A897))</f>
        <v>2026</v>
      </c>
      <c r="L897" s="26" t="n">
        <f aca="false">IF(A897="","",MONTH(A897))</f>
        <v>4</v>
      </c>
    </row>
    <row r="898" customFormat="false" ht="15" hidden="false" customHeight="false" outlineLevel="0" collapsed="false">
      <c r="A898" s="23" t="n">
        <v>46134.4819444444</v>
      </c>
      <c r="B898" s="24" t="s">
        <v>1079</v>
      </c>
      <c r="C898" s="24" t="s">
        <v>1080</v>
      </c>
      <c r="D898" s="24" t="n">
        <v>1</v>
      </c>
      <c r="E898" s="25" t="n">
        <v>2500</v>
      </c>
      <c r="F898" s="25" t="n">
        <v>1600</v>
      </c>
      <c r="G898" s="24" t="s">
        <v>59</v>
      </c>
      <c r="H898" s="24" t="s">
        <v>55</v>
      </c>
      <c r="I898" s="28" t="n">
        <f aca="false">IF(A898="","",D898*E898)</f>
        <v>2500</v>
      </c>
      <c r="J898" s="28" t="n">
        <f aca="false">IF(A898="","",D898*F898)</f>
        <v>1600</v>
      </c>
      <c r="K898" s="26" t="n">
        <f aca="false">IF(A898="","",YEAR(A898))</f>
        <v>2026</v>
      </c>
      <c r="L898" s="26" t="n">
        <f aca="false">IF(A898="","",MONTH(A898))</f>
        <v>4</v>
      </c>
    </row>
    <row r="899" customFormat="false" ht="15" hidden="false" customHeight="false" outlineLevel="0" collapsed="false">
      <c r="A899" s="23" t="n">
        <v>46136.3611111111</v>
      </c>
      <c r="B899" s="24" t="s">
        <v>1069</v>
      </c>
      <c r="C899" s="24" t="s">
        <v>1070</v>
      </c>
      <c r="D899" s="24" t="n">
        <v>1</v>
      </c>
      <c r="E899" s="25" t="n">
        <v>4500</v>
      </c>
      <c r="F899" s="25" t="n">
        <v>3000</v>
      </c>
      <c r="G899" s="24" t="s">
        <v>69</v>
      </c>
      <c r="H899" s="24" t="s">
        <v>80</v>
      </c>
      <c r="I899" s="28" t="n">
        <f aca="false">IF(A899="","",D899*E899)</f>
        <v>4500</v>
      </c>
      <c r="J899" s="28" t="n">
        <f aca="false">IF(A899="","",D899*F899)</f>
        <v>3000</v>
      </c>
      <c r="K899" s="26" t="n">
        <f aca="false">IF(A899="","",YEAR(A899))</f>
        <v>2026</v>
      </c>
      <c r="L899" s="26" t="n">
        <f aca="false">IF(A899="","",MONTH(A899))</f>
        <v>4</v>
      </c>
    </row>
    <row r="900" customFormat="false" ht="15" hidden="false" customHeight="false" outlineLevel="0" collapsed="false">
      <c r="A900" s="23" t="n">
        <v>46136.4951388889</v>
      </c>
      <c r="B900" s="24" t="s">
        <v>1075</v>
      </c>
      <c r="C900" s="24" t="s">
        <v>1076</v>
      </c>
      <c r="D900" s="24" t="n">
        <v>3</v>
      </c>
      <c r="E900" s="25" t="n">
        <v>1000</v>
      </c>
      <c r="F900" s="25" t="n">
        <v>300</v>
      </c>
      <c r="G900" s="24" t="s">
        <v>69</v>
      </c>
      <c r="H900" s="24" t="s">
        <v>80</v>
      </c>
      <c r="I900" s="28" t="n">
        <f aca="false">IF(A900="","",D900*E900)</f>
        <v>3000</v>
      </c>
      <c r="J900" s="28" t="n">
        <f aca="false">IF(A900="","",D900*F900)</f>
        <v>900</v>
      </c>
      <c r="K900" s="26" t="n">
        <f aca="false">IF(A900="","",YEAR(A900))</f>
        <v>2026</v>
      </c>
      <c r="L900" s="26" t="n">
        <f aca="false">IF(A900="","",MONTH(A900))</f>
        <v>4</v>
      </c>
    </row>
    <row r="901" customFormat="false" ht="15" hidden="false" customHeight="false" outlineLevel="0" collapsed="false">
      <c r="A901" s="23" t="n">
        <v>46137.4895833333</v>
      </c>
      <c r="B901" s="24" t="s">
        <v>1065</v>
      </c>
      <c r="C901" s="24" t="s">
        <v>1066</v>
      </c>
      <c r="D901" s="24" t="n">
        <v>1</v>
      </c>
      <c r="E901" s="25" t="n">
        <v>3000</v>
      </c>
      <c r="F901" s="25" t="n">
        <v>2000</v>
      </c>
      <c r="G901" s="24" t="s">
        <v>69</v>
      </c>
      <c r="H901" s="24" t="s">
        <v>60</v>
      </c>
      <c r="I901" s="28" t="n">
        <f aca="false">IF(A901="","",D901*E901)</f>
        <v>3000</v>
      </c>
      <c r="J901" s="28" t="n">
        <f aca="false">IF(A901="","",D901*F901)</f>
        <v>2000</v>
      </c>
      <c r="K901" s="26" t="n">
        <f aca="false">IF(A901="","",YEAR(A901))</f>
        <v>2026</v>
      </c>
      <c r="L901" s="26" t="n">
        <f aca="false">IF(A901="","",MONTH(A901))</f>
        <v>4</v>
      </c>
    </row>
    <row r="902" customFormat="false" ht="15" hidden="false" customHeight="false" outlineLevel="0" collapsed="false">
      <c r="A902" s="23" t="n">
        <v>46137.7027777778</v>
      </c>
      <c r="B902" s="24" t="s">
        <v>1073</v>
      </c>
      <c r="C902" s="24" t="s">
        <v>1074</v>
      </c>
      <c r="D902" s="24" t="n">
        <v>3</v>
      </c>
      <c r="E902" s="25" t="n">
        <v>7000</v>
      </c>
      <c r="F902" s="25" t="n">
        <v>4800</v>
      </c>
      <c r="G902" s="24" t="s">
        <v>59</v>
      </c>
      <c r="H902" s="24" t="s">
        <v>80</v>
      </c>
      <c r="I902" s="28" t="n">
        <f aca="false">IF(A902="","",D902*E902)</f>
        <v>21000</v>
      </c>
      <c r="J902" s="28" t="n">
        <f aca="false">IF(A902="","",D902*F902)</f>
        <v>14400</v>
      </c>
      <c r="K902" s="26" t="n">
        <f aca="false">IF(A902="","",YEAR(A902))</f>
        <v>2026</v>
      </c>
      <c r="L902" s="26" t="n">
        <f aca="false">IF(A902="","",MONTH(A902))</f>
        <v>4</v>
      </c>
    </row>
    <row r="903" customFormat="false" ht="15" hidden="false" customHeight="false" outlineLevel="0" collapsed="false">
      <c r="A903" s="23" t="n">
        <v>46138.51875</v>
      </c>
      <c r="B903" s="24" t="s">
        <v>1065</v>
      </c>
      <c r="C903" s="24" t="s">
        <v>1066</v>
      </c>
      <c r="D903" s="24" t="n">
        <v>2</v>
      </c>
      <c r="E903" s="25" t="n">
        <v>3000</v>
      </c>
      <c r="F903" s="25" t="n">
        <v>2000</v>
      </c>
      <c r="G903" s="24" t="s">
        <v>69</v>
      </c>
      <c r="H903" s="24" t="s">
        <v>60</v>
      </c>
      <c r="I903" s="28" t="n">
        <f aca="false">IF(A903="","",D903*E903)</f>
        <v>6000</v>
      </c>
      <c r="J903" s="28" t="n">
        <f aca="false">IF(A903="","",D903*F903)</f>
        <v>4000</v>
      </c>
      <c r="K903" s="26" t="n">
        <f aca="false">IF(A903="","",YEAR(A903))</f>
        <v>2026</v>
      </c>
      <c r="L903" s="26" t="n">
        <f aca="false">IF(A903="","",MONTH(A903))</f>
        <v>4</v>
      </c>
    </row>
    <row r="904" customFormat="false" ht="15" hidden="false" customHeight="false" outlineLevel="0" collapsed="false">
      <c r="A904" s="23" t="n">
        <v>46138.8618055556</v>
      </c>
      <c r="B904" s="24" t="s">
        <v>1079</v>
      </c>
      <c r="C904" s="24" t="s">
        <v>1080</v>
      </c>
      <c r="D904" s="24" t="n">
        <v>2</v>
      </c>
      <c r="E904" s="25" t="n">
        <v>2500</v>
      </c>
      <c r="F904" s="25" t="n">
        <v>1600</v>
      </c>
      <c r="G904" s="24" t="s">
        <v>59</v>
      </c>
      <c r="H904" s="24" t="s">
        <v>60</v>
      </c>
      <c r="I904" s="28" t="n">
        <f aca="false">IF(A904="","",D904*E904)</f>
        <v>5000</v>
      </c>
      <c r="J904" s="28" t="n">
        <f aca="false">IF(A904="","",D904*F904)</f>
        <v>3200</v>
      </c>
      <c r="K904" s="26" t="n">
        <f aca="false">IF(A904="","",YEAR(A904))</f>
        <v>2026</v>
      </c>
      <c r="L904" s="26" t="n">
        <f aca="false">IF(A904="","",MONTH(A904))</f>
        <v>4</v>
      </c>
    </row>
    <row r="905" customFormat="false" ht="15" hidden="false" customHeight="false" outlineLevel="0" collapsed="false">
      <c r="A905" s="23" t="n">
        <v>46139.4055555556</v>
      </c>
      <c r="B905" s="24" t="s">
        <v>1071</v>
      </c>
      <c r="C905" s="24" t="s">
        <v>1072</v>
      </c>
      <c r="D905" s="24" t="n">
        <v>2</v>
      </c>
      <c r="E905" s="25" t="n">
        <v>2000</v>
      </c>
      <c r="F905" s="25" t="n">
        <v>1100</v>
      </c>
      <c r="G905" s="24" t="s">
        <v>59</v>
      </c>
      <c r="H905" s="24" t="s">
        <v>55</v>
      </c>
      <c r="I905" s="28" t="n">
        <f aca="false">IF(A905="","",D905*E905)</f>
        <v>4000</v>
      </c>
      <c r="J905" s="28" t="n">
        <f aca="false">IF(A905="","",D905*F905)</f>
        <v>2200</v>
      </c>
      <c r="K905" s="26" t="n">
        <f aca="false">IF(A905="","",YEAR(A905))</f>
        <v>2026</v>
      </c>
      <c r="L905" s="26" t="n">
        <f aca="false">IF(A905="","",MONTH(A905))</f>
        <v>4</v>
      </c>
    </row>
    <row r="906" customFormat="false" ht="15" hidden="false" customHeight="false" outlineLevel="0" collapsed="false">
      <c r="A906" s="23" t="n">
        <v>46140.6284722222</v>
      </c>
      <c r="B906" s="24" t="s">
        <v>1075</v>
      </c>
      <c r="C906" s="24" t="s">
        <v>1076</v>
      </c>
      <c r="D906" s="24" t="n">
        <v>2</v>
      </c>
      <c r="E906" s="25" t="n">
        <v>1000</v>
      </c>
      <c r="F906" s="25" t="n">
        <v>300</v>
      </c>
      <c r="G906" s="24" t="s">
        <v>59</v>
      </c>
      <c r="H906" s="24" t="s">
        <v>80</v>
      </c>
      <c r="I906" s="28" t="n">
        <f aca="false">IF(A906="","",D906*E906)</f>
        <v>2000</v>
      </c>
      <c r="J906" s="28" t="n">
        <f aca="false">IF(A906="","",D906*F906)</f>
        <v>600</v>
      </c>
      <c r="K906" s="26" t="n">
        <f aca="false">IF(A906="","",YEAR(A906))</f>
        <v>2026</v>
      </c>
      <c r="L906" s="26" t="n">
        <f aca="false">IF(A906="","",MONTH(A906))</f>
        <v>4</v>
      </c>
    </row>
    <row r="907" customFormat="false" ht="15" hidden="false" customHeight="false" outlineLevel="0" collapsed="false">
      <c r="A907" s="23" t="n">
        <v>46143.2958333333</v>
      </c>
      <c r="B907" s="24" t="s">
        <v>1069</v>
      </c>
      <c r="C907" s="24" t="s">
        <v>1070</v>
      </c>
      <c r="D907" s="24" t="n">
        <v>1</v>
      </c>
      <c r="E907" s="25" t="n">
        <v>4500</v>
      </c>
      <c r="F907" s="25" t="n">
        <v>3000</v>
      </c>
      <c r="G907" s="24" t="s">
        <v>69</v>
      </c>
      <c r="H907" s="24" t="s">
        <v>80</v>
      </c>
      <c r="I907" s="28" t="n">
        <f aca="false">IF(A907="","",D907*E907)</f>
        <v>4500</v>
      </c>
      <c r="J907" s="28" t="n">
        <f aca="false">IF(A907="","",D907*F907)</f>
        <v>3000</v>
      </c>
      <c r="K907" s="26" t="n">
        <f aca="false">IF(A907="","",YEAR(A907))</f>
        <v>2026</v>
      </c>
      <c r="L907" s="26" t="n">
        <f aca="false">IF(A907="","",MONTH(A907))</f>
        <v>5</v>
      </c>
    </row>
    <row r="908" customFormat="false" ht="15" hidden="false" customHeight="false" outlineLevel="0" collapsed="false">
      <c r="A908" s="23" t="n">
        <v>46143.46875</v>
      </c>
      <c r="B908" s="24" t="s">
        <v>1075</v>
      </c>
      <c r="C908" s="24" t="s">
        <v>1076</v>
      </c>
      <c r="D908" s="24" t="n">
        <v>1</v>
      </c>
      <c r="E908" s="25" t="n">
        <v>1000</v>
      </c>
      <c r="F908" s="25" t="n">
        <v>300</v>
      </c>
      <c r="G908" s="24" t="s">
        <v>69</v>
      </c>
      <c r="H908" s="24" t="s">
        <v>80</v>
      </c>
      <c r="I908" s="28" t="n">
        <f aca="false">IF(A908="","",D908*E908)</f>
        <v>1000</v>
      </c>
      <c r="J908" s="28" t="n">
        <f aca="false">IF(A908="","",D908*F908)</f>
        <v>300</v>
      </c>
      <c r="K908" s="26" t="n">
        <f aca="false">IF(A908="","",YEAR(A908))</f>
        <v>2026</v>
      </c>
      <c r="L908" s="26" t="n">
        <f aca="false">IF(A908="","",MONTH(A908))</f>
        <v>5</v>
      </c>
    </row>
    <row r="909" customFormat="false" ht="15" hidden="false" customHeight="false" outlineLevel="0" collapsed="false">
      <c r="A909" s="23" t="n">
        <v>46143.5513888889</v>
      </c>
      <c r="B909" s="24" t="s">
        <v>1081</v>
      </c>
      <c r="C909" s="24" t="s">
        <v>1082</v>
      </c>
      <c r="D909" s="24" t="n">
        <v>1</v>
      </c>
      <c r="E909" s="25" t="n">
        <v>2500</v>
      </c>
      <c r="F909" s="25" t="n">
        <v>1500</v>
      </c>
      <c r="G909" s="24" t="s">
        <v>59</v>
      </c>
      <c r="H909" s="24" t="s">
        <v>80</v>
      </c>
      <c r="I909" s="28" t="n">
        <f aca="false">IF(A909="","",D909*E909)</f>
        <v>2500</v>
      </c>
      <c r="J909" s="28" t="n">
        <f aca="false">IF(A909="","",D909*F909)</f>
        <v>1500</v>
      </c>
      <c r="K909" s="26" t="n">
        <f aca="false">IF(A909="","",YEAR(A909))</f>
        <v>2026</v>
      </c>
      <c r="L909" s="26" t="n">
        <f aca="false">IF(A909="","",MONTH(A909))</f>
        <v>5</v>
      </c>
    </row>
    <row r="910" customFormat="false" ht="15" hidden="false" customHeight="false" outlineLevel="0" collapsed="false">
      <c r="A910" s="23" t="n">
        <v>46144.5180555556</v>
      </c>
      <c r="B910" s="24" t="s">
        <v>1069</v>
      </c>
      <c r="C910" s="24" t="s">
        <v>1070</v>
      </c>
      <c r="D910" s="24" t="n">
        <v>3</v>
      </c>
      <c r="E910" s="25" t="n">
        <v>4500</v>
      </c>
      <c r="F910" s="25" t="n">
        <v>3000</v>
      </c>
      <c r="G910" s="24" t="s">
        <v>59</v>
      </c>
      <c r="H910" s="24" t="s">
        <v>80</v>
      </c>
      <c r="I910" s="28" t="n">
        <f aca="false">IF(A910="","",D910*E910)</f>
        <v>13500</v>
      </c>
      <c r="J910" s="28" t="n">
        <f aca="false">IF(A910="","",D910*F910)</f>
        <v>9000</v>
      </c>
      <c r="K910" s="26" t="n">
        <f aca="false">IF(A910="","",YEAR(A910))</f>
        <v>2026</v>
      </c>
      <c r="L910" s="26" t="n">
        <f aca="false">IF(A910="","",MONTH(A910))</f>
        <v>5</v>
      </c>
    </row>
    <row r="911" customFormat="false" ht="15" hidden="false" customHeight="false" outlineLevel="0" collapsed="false">
      <c r="A911" s="23" t="n">
        <v>46144.6</v>
      </c>
      <c r="B911" s="24" t="s">
        <v>1073</v>
      </c>
      <c r="C911" s="24" t="s">
        <v>1074</v>
      </c>
      <c r="D911" s="24" t="n">
        <v>3</v>
      </c>
      <c r="E911" s="25" t="n">
        <v>7000</v>
      </c>
      <c r="F911" s="25" t="n">
        <v>4800</v>
      </c>
      <c r="G911" s="24" t="s">
        <v>59</v>
      </c>
      <c r="H911" s="24" t="s">
        <v>80</v>
      </c>
      <c r="I911" s="28" t="n">
        <f aca="false">IF(A911="","",D911*E911)</f>
        <v>21000</v>
      </c>
      <c r="J911" s="28" t="n">
        <f aca="false">IF(A911="","",D911*F911)</f>
        <v>14400</v>
      </c>
      <c r="K911" s="26" t="n">
        <f aca="false">IF(A911="","",YEAR(A911))</f>
        <v>2026</v>
      </c>
      <c r="L911" s="26" t="n">
        <f aca="false">IF(A911="","",MONTH(A911))</f>
        <v>5</v>
      </c>
    </row>
    <row r="912" customFormat="false" ht="15" hidden="false" customHeight="false" outlineLevel="0" collapsed="false">
      <c r="A912" s="23" t="n">
        <v>46146.5916666667</v>
      </c>
      <c r="B912" s="24" t="s">
        <v>1069</v>
      </c>
      <c r="C912" s="24" t="s">
        <v>1070</v>
      </c>
      <c r="D912" s="24" t="n">
        <v>1</v>
      </c>
      <c r="E912" s="25" t="n">
        <v>4500</v>
      </c>
      <c r="F912" s="25" t="n">
        <v>3000</v>
      </c>
      <c r="G912" s="24" t="s">
        <v>59</v>
      </c>
      <c r="H912" s="24" t="s">
        <v>80</v>
      </c>
      <c r="I912" s="28" t="n">
        <f aca="false">IF(A912="","",D912*E912)</f>
        <v>4500</v>
      </c>
      <c r="J912" s="28" t="n">
        <f aca="false">IF(A912="","",D912*F912)</f>
        <v>3000</v>
      </c>
      <c r="K912" s="26" t="n">
        <f aca="false">IF(A912="","",YEAR(A912))</f>
        <v>2026</v>
      </c>
      <c r="L912" s="26" t="n">
        <f aca="false">IF(A912="","",MONTH(A912))</f>
        <v>5</v>
      </c>
    </row>
    <row r="913" customFormat="false" ht="15" hidden="false" customHeight="false" outlineLevel="0" collapsed="false">
      <c r="A913" s="23" t="n">
        <v>46146.6923611111</v>
      </c>
      <c r="B913" s="24" t="s">
        <v>1073</v>
      </c>
      <c r="C913" s="24" t="s">
        <v>1074</v>
      </c>
      <c r="D913" s="24" t="n">
        <v>3</v>
      </c>
      <c r="E913" s="25" t="n">
        <v>7000</v>
      </c>
      <c r="F913" s="25" t="n">
        <v>4800</v>
      </c>
      <c r="G913" s="24" t="s">
        <v>59</v>
      </c>
      <c r="H913" s="24" t="s">
        <v>55</v>
      </c>
      <c r="I913" s="28" t="n">
        <f aca="false">IF(A913="","",D913*E913)</f>
        <v>21000</v>
      </c>
      <c r="J913" s="28" t="n">
        <f aca="false">IF(A913="","",D913*F913)</f>
        <v>14400</v>
      </c>
      <c r="K913" s="26" t="n">
        <f aca="false">IF(A913="","",YEAR(A913))</f>
        <v>2026</v>
      </c>
      <c r="L913" s="26" t="n">
        <f aca="false">IF(A913="","",MONTH(A913))</f>
        <v>5</v>
      </c>
    </row>
    <row r="914" customFormat="false" ht="15" hidden="false" customHeight="false" outlineLevel="0" collapsed="false">
      <c r="A914" s="23" t="n">
        <v>46146.9020833333</v>
      </c>
      <c r="B914" s="24" t="s">
        <v>1081</v>
      </c>
      <c r="C914" s="24" t="s">
        <v>1082</v>
      </c>
      <c r="D914" s="24" t="n">
        <v>1</v>
      </c>
      <c r="E914" s="25" t="n">
        <v>2500</v>
      </c>
      <c r="F914" s="25" t="n">
        <v>1500</v>
      </c>
      <c r="G914" s="24" t="s">
        <v>59</v>
      </c>
      <c r="H914" s="24" t="s">
        <v>80</v>
      </c>
      <c r="I914" s="28" t="n">
        <f aca="false">IF(A914="","",D914*E914)</f>
        <v>2500</v>
      </c>
      <c r="J914" s="28" t="n">
        <f aca="false">IF(A914="","",D914*F914)</f>
        <v>1500</v>
      </c>
      <c r="K914" s="26" t="n">
        <f aca="false">IF(A914="","",YEAR(A914))</f>
        <v>2026</v>
      </c>
      <c r="L914" s="26" t="n">
        <f aca="false">IF(A914="","",MONTH(A914))</f>
        <v>5</v>
      </c>
    </row>
    <row r="915" customFormat="false" ht="15" hidden="false" customHeight="false" outlineLevel="0" collapsed="false">
      <c r="A915" s="23" t="n">
        <v>46148.4659722222</v>
      </c>
      <c r="B915" s="24" t="s">
        <v>1069</v>
      </c>
      <c r="C915" s="24" t="s">
        <v>1070</v>
      </c>
      <c r="D915" s="24" t="n">
        <v>3</v>
      </c>
      <c r="E915" s="25" t="n">
        <v>4500</v>
      </c>
      <c r="F915" s="25" t="n">
        <v>3000</v>
      </c>
      <c r="G915" s="24" t="s">
        <v>69</v>
      </c>
      <c r="H915" s="24" t="s">
        <v>60</v>
      </c>
      <c r="I915" s="28" t="n">
        <f aca="false">IF(A915="","",D915*E915)</f>
        <v>13500</v>
      </c>
      <c r="J915" s="28" t="n">
        <f aca="false">IF(A915="","",D915*F915)</f>
        <v>9000</v>
      </c>
      <c r="K915" s="26" t="n">
        <f aca="false">IF(A915="","",YEAR(A915))</f>
        <v>2026</v>
      </c>
      <c r="L915" s="26" t="n">
        <f aca="false">IF(A915="","",MONTH(A915))</f>
        <v>5</v>
      </c>
    </row>
    <row r="916" customFormat="false" ht="15" hidden="false" customHeight="false" outlineLevel="0" collapsed="false">
      <c r="A916" s="23" t="n">
        <v>46148.7548611111</v>
      </c>
      <c r="B916" s="24" t="s">
        <v>1079</v>
      </c>
      <c r="C916" s="24" t="s">
        <v>1080</v>
      </c>
      <c r="D916" s="24" t="n">
        <v>1</v>
      </c>
      <c r="E916" s="25" t="n">
        <v>2500</v>
      </c>
      <c r="F916" s="25" t="n">
        <v>1600</v>
      </c>
      <c r="G916" s="24" t="s">
        <v>59</v>
      </c>
      <c r="H916" s="24" t="s">
        <v>80</v>
      </c>
      <c r="I916" s="28" t="n">
        <f aca="false">IF(A916="","",D916*E916)</f>
        <v>2500</v>
      </c>
      <c r="J916" s="28" t="n">
        <f aca="false">IF(A916="","",D916*F916)</f>
        <v>1600</v>
      </c>
      <c r="K916" s="26" t="n">
        <f aca="false">IF(A916="","",YEAR(A916))</f>
        <v>2026</v>
      </c>
      <c r="L916" s="26" t="n">
        <f aca="false">IF(A916="","",MONTH(A916))</f>
        <v>5</v>
      </c>
    </row>
    <row r="917" customFormat="false" ht="15" hidden="false" customHeight="false" outlineLevel="0" collapsed="false">
      <c r="A917" s="23" t="n">
        <v>46149.6534722222</v>
      </c>
      <c r="B917" s="24" t="s">
        <v>1073</v>
      </c>
      <c r="C917" s="24" t="s">
        <v>1074</v>
      </c>
      <c r="D917" s="24" t="n">
        <v>1</v>
      </c>
      <c r="E917" s="25" t="n">
        <v>7000</v>
      </c>
      <c r="F917" s="25" t="n">
        <v>4800</v>
      </c>
      <c r="G917" s="24" t="s">
        <v>69</v>
      </c>
      <c r="H917" s="24" t="s">
        <v>60</v>
      </c>
      <c r="I917" s="28" t="n">
        <f aca="false">IF(A917="","",D917*E917)</f>
        <v>7000</v>
      </c>
      <c r="J917" s="28" t="n">
        <f aca="false">IF(A917="","",D917*F917)</f>
        <v>4800</v>
      </c>
      <c r="K917" s="26" t="n">
        <f aca="false">IF(A917="","",YEAR(A917))</f>
        <v>2026</v>
      </c>
      <c r="L917" s="26" t="n">
        <f aca="false">IF(A917="","",MONTH(A917))</f>
        <v>5</v>
      </c>
    </row>
    <row r="918" customFormat="false" ht="15" hidden="false" customHeight="false" outlineLevel="0" collapsed="false">
      <c r="A918" s="23" t="n">
        <v>46149.7527777778</v>
      </c>
      <c r="B918" s="24" t="s">
        <v>1077</v>
      </c>
      <c r="C918" s="24" t="s">
        <v>1078</v>
      </c>
      <c r="D918" s="24" t="n">
        <v>1</v>
      </c>
      <c r="E918" s="25" t="n">
        <v>1500</v>
      </c>
      <c r="F918" s="25" t="n">
        <v>900</v>
      </c>
      <c r="G918" s="24" t="s">
        <v>59</v>
      </c>
      <c r="H918" s="24" t="s">
        <v>60</v>
      </c>
      <c r="I918" s="28" t="n">
        <f aca="false">IF(A918="","",D918*E918)</f>
        <v>1500</v>
      </c>
      <c r="J918" s="28" t="n">
        <f aca="false">IF(A918="","",D918*F918)</f>
        <v>900</v>
      </c>
      <c r="K918" s="26" t="n">
        <f aca="false">IF(A918="","",YEAR(A918))</f>
        <v>2026</v>
      </c>
      <c r="L918" s="26" t="n">
        <f aca="false">IF(A918="","",MONTH(A918))</f>
        <v>5</v>
      </c>
    </row>
    <row r="919" customFormat="false" ht="15" hidden="false" customHeight="false" outlineLevel="0" collapsed="false">
      <c r="A919" s="23" t="n">
        <v>46153.5923611111</v>
      </c>
      <c r="B919" s="24" t="s">
        <v>1079</v>
      </c>
      <c r="C919" s="24" t="s">
        <v>1080</v>
      </c>
      <c r="D919" s="24" t="n">
        <v>1</v>
      </c>
      <c r="E919" s="25" t="n">
        <v>2500</v>
      </c>
      <c r="F919" s="25" t="n">
        <v>1600</v>
      </c>
      <c r="G919" s="24" t="s">
        <v>59</v>
      </c>
      <c r="H919" s="24" t="s">
        <v>60</v>
      </c>
      <c r="I919" s="28" t="n">
        <f aca="false">IF(A919="","",D919*E919)</f>
        <v>2500</v>
      </c>
      <c r="J919" s="28" t="n">
        <f aca="false">IF(A919="","",D919*F919)</f>
        <v>1600</v>
      </c>
      <c r="K919" s="26" t="n">
        <f aca="false">IF(A919="","",YEAR(A919))</f>
        <v>2026</v>
      </c>
      <c r="L919" s="26" t="n">
        <f aca="false">IF(A919="","",MONTH(A919))</f>
        <v>5</v>
      </c>
    </row>
    <row r="920" customFormat="false" ht="15" hidden="false" customHeight="false" outlineLevel="0" collapsed="false">
      <c r="A920" s="23" t="n">
        <v>46155.4881944444</v>
      </c>
      <c r="B920" s="24" t="s">
        <v>1065</v>
      </c>
      <c r="C920" s="24" t="s">
        <v>1066</v>
      </c>
      <c r="D920" s="24" t="n">
        <v>1</v>
      </c>
      <c r="E920" s="25" t="n">
        <v>3000</v>
      </c>
      <c r="F920" s="25" t="n">
        <v>2000</v>
      </c>
      <c r="G920" s="24" t="s">
        <v>69</v>
      </c>
      <c r="H920" s="24" t="s">
        <v>80</v>
      </c>
      <c r="I920" s="28" t="n">
        <f aca="false">IF(A920="","",D920*E920)</f>
        <v>3000</v>
      </c>
      <c r="J920" s="28" t="n">
        <f aca="false">IF(A920="","",D920*F920)</f>
        <v>2000</v>
      </c>
      <c r="K920" s="26" t="n">
        <f aca="false">IF(A920="","",YEAR(A920))</f>
        <v>2026</v>
      </c>
      <c r="L920" s="26" t="n">
        <f aca="false">IF(A920="","",MONTH(A920))</f>
        <v>5</v>
      </c>
    </row>
    <row r="921" customFormat="false" ht="15" hidden="false" customHeight="false" outlineLevel="0" collapsed="false">
      <c r="A921" s="23" t="n">
        <v>46156.7326388889</v>
      </c>
      <c r="B921" s="24" t="s">
        <v>1067</v>
      </c>
      <c r="C921" s="24" t="s">
        <v>1068</v>
      </c>
      <c r="D921" s="24" t="n">
        <v>1</v>
      </c>
      <c r="E921" s="25" t="n">
        <v>4000</v>
      </c>
      <c r="F921" s="25" t="n">
        <v>2600</v>
      </c>
      <c r="G921" s="24" t="s">
        <v>59</v>
      </c>
      <c r="H921" s="24" t="s">
        <v>80</v>
      </c>
      <c r="I921" s="28" t="n">
        <f aca="false">IF(A921="","",D921*E921)</f>
        <v>4000</v>
      </c>
      <c r="J921" s="28" t="n">
        <f aca="false">IF(A921="","",D921*F921)</f>
        <v>2600</v>
      </c>
      <c r="K921" s="26" t="n">
        <f aca="false">IF(A921="","",YEAR(A921))</f>
        <v>2026</v>
      </c>
      <c r="L921" s="26" t="n">
        <f aca="false">IF(A921="","",MONTH(A921))</f>
        <v>5</v>
      </c>
    </row>
    <row r="922" customFormat="false" ht="15" hidden="false" customHeight="false" outlineLevel="0" collapsed="false">
      <c r="A922" s="23" t="n">
        <v>46158.8618055556</v>
      </c>
      <c r="B922" s="24" t="s">
        <v>1081</v>
      </c>
      <c r="C922" s="24" t="s">
        <v>1082</v>
      </c>
      <c r="D922" s="24" t="n">
        <v>2</v>
      </c>
      <c r="E922" s="25" t="n">
        <v>2500</v>
      </c>
      <c r="F922" s="25" t="n">
        <v>1500</v>
      </c>
      <c r="G922" s="24" t="s">
        <v>59</v>
      </c>
      <c r="H922" s="24" t="s">
        <v>80</v>
      </c>
      <c r="I922" s="28" t="n">
        <f aca="false">IF(A922="","",D922*E922)</f>
        <v>5000</v>
      </c>
      <c r="J922" s="28" t="n">
        <f aca="false">IF(A922="","",D922*F922)</f>
        <v>3000</v>
      </c>
      <c r="K922" s="26" t="n">
        <f aca="false">IF(A922="","",YEAR(A922))</f>
        <v>2026</v>
      </c>
      <c r="L922" s="26" t="n">
        <f aca="false">IF(A922="","",MONTH(A922))</f>
        <v>5</v>
      </c>
    </row>
    <row r="923" customFormat="false" ht="15" hidden="false" customHeight="false" outlineLevel="0" collapsed="false">
      <c r="A923" s="23" t="n">
        <v>46159.6208333333</v>
      </c>
      <c r="B923" s="24" t="s">
        <v>1071</v>
      </c>
      <c r="C923" s="24" t="s">
        <v>1072</v>
      </c>
      <c r="D923" s="24" t="n">
        <v>3</v>
      </c>
      <c r="E923" s="25" t="n">
        <v>2000</v>
      </c>
      <c r="F923" s="25" t="n">
        <v>1100</v>
      </c>
      <c r="G923" s="24" t="s">
        <v>59</v>
      </c>
      <c r="H923" s="24" t="s">
        <v>55</v>
      </c>
      <c r="I923" s="28" t="n">
        <f aca="false">IF(A923="","",D923*E923)</f>
        <v>6000</v>
      </c>
      <c r="J923" s="28" t="n">
        <f aca="false">IF(A923="","",D923*F923)</f>
        <v>3300</v>
      </c>
      <c r="K923" s="26" t="n">
        <f aca="false">IF(A923="","",YEAR(A923))</f>
        <v>2026</v>
      </c>
      <c r="L923" s="26" t="n">
        <f aca="false">IF(A923="","",MONTH(A923))</f>
        <v>5</v>
      </c>
    </row>
    <row r="924" customFormat="false" ht="15" hidden="false" customHeight="false" outlineLevel="0" collapsed="false">
      <c r="A924" s="23" t="n">
        <v>46160.4555555556</v>
      </c>
      <c r="B924" s="24" t="s">
        <v>1081</v>
      </c>
      <c r="C924" s="24" t="s">
        <v>1082</v>
      </c>
      <c r="D924" s="24" t="n">
        <v>2</v>
      </c>
      <c r="E924" s="25" t="n">
        <v>2500</v>
      </c>
      <c r="F924" s="25" t="n">
        <v>1500</v>
      </c>
      <c r="G924" s="24" t="s">
        <v>69</v>
      </c>
      <c r="H924" s="24" t="s">
        <v>60</v>
      </c>
      <c r="I924" s="28" t="n">
        <f aca="false">IF(A924="","",D924*E924)</f>
        <v>5000</v>
      </c>
      <c r="J924" s="28" t="n">
        <f aca="false">IF(A924="","",D924*F924)</f>
        <v>3000</v>
      </c>
      <c r="K924" s="26" t="n">
        <f aca="false">IF(A924="","",YEAR(A924))</f>
        <v>2026</v>
      </c>
      <c r="L924" s="26" t="n">
        <f aca="false">IF(A924="","",MONTH(A924))</f>
        <v>5</v>
      </c>
    </row>
    <row r="925" customFormat="false" ht="15" hidden="false" customHeight="false" outlineLevel="0" collapsed="false">
      <c r="A925" s="23" t="n">
        <v>46160.8611111111</v>
      </c>
      <c r="B925" s="24" t="s">
        <v>1065</v>
      </c>
      <c r="C925" s="24" t="s">
        <v>1066</v>
      </c>
      <c r="D925" s="24" t="n">
        <v>1</v>
      </c>
      <c r="E925" s="25" t="n">
        <v>3000</v>
      </c>
      <c r="F925" s="25" t="n">
        <v>2000</v>
      </c>
      <c r="G925" s="24" t="s">
        <v>69</v>
      </c>
      <c r="H925" s="24" t="s">
        <v>60</v>
      </c>
      <c r="I925" s="28" t="n">
        <f aca="false">IF(A925="","",D925*E925)</f>
        <v>3000</v>
      </c>
      <c r="J925" s="28" t="n">
        <f aca="false">IF(A925="","",D925*F925)</f>
        <v>2000</v>
      </c>
      <c r="K925" s="26" t="n">
        <f aca="false">IF(A925="","",YEAR(A925))</f>
        <v>2026</v>
      </c>
      <c r="L925" s="26" t="n">
        <f aca="false">IF(A925="","",MONTH(A925))</f>
        <v>5</v>
      </c>
    </row>
    <row r="926" customFormat="false" ht="15" hidden="false" customHeight="false" outlineLevel="0" collapsed="false">
      <c r="A926" s="23" t="n">
        <v>46162.8125</v>
      </c>
      <c r="B926" s="24" t="s">
        <v>1079</v>
      </c>
      <c r="C926" s="24" t="s">
        <v>1080</v>
      </c>
      <c r="D926" s="24" t="n">
        <v>2</v>
      </c>
      <c r="E926" s="25" t="n">
        <v>2500</v>
      </c>
      <c r="F926" s="25" t="n">
        <v>1600</v>
      </c>
      <c r="G926" s="24" t="s">
        <v>59</v>
      </c>
      <c r="H926" s="24" t="s">
        <v>80</v>
      </c>
      <c r="I926" s="28" t="n">
        <f aca="false">IF(A926="","",D926*E926)</f>
        <v>5000</v>
      </c>
      <c r="J926" s="28" t="n">
        <f aca="false">IF(A926="","",D926*F926)</f>
        <v>3200</v>
      </c>
      <c r="K926" s="26" t="n">
        <f aca="false">IF(A926="","",YEAR(A926))</f>
        <v>2026</v>
      </c>
      <c r="L926" s="26" t="n">
        <f aca="false">IF(A926="","",MONTH(A926))</f>
        <v>5</v>
      </c>
    </row>
    <row r="927" customFormat="false" ht="15" hidden="false" customHeight="false" outlineLevel="0" collapsed="false">
      <c r="A927" s="23" t="n">
        <v>46163.5361111111</v>
      </c>
      <c r="B927" s="24" t="s">
        <v>1081</v>
      </c>
      <c r="C927" s="24" t="s">
        <v>1082</v>
      </c>
      <c r="D927" s="24" t="n">
        <v>1</v>
      </c>
      <c r="E927" s="25" t="n">
        <v>2500</v>
      </c>
      <c r="F927" s="25" t="n">
        <v>1500</v>
      </c>
      <c r="G927" s="24" t="s">
        <v>69</v>
      </c>
      <c r="H927" s="24" t="s">
        <v>55</v>
      </c>
      <c r="I927" s="28" t="n">
        <f aca="false">IF(A927="","",D927*E927)</f>
        <v>2500</v>
      </c>
      <c r="J927" s="28" t="n">
        <f aca="false">IF(A927="","",D927*F927)</f>
        <v>1500</v>
      </c>
      <c r="K927" s="26" t="n">
        <f aca="false">IF(A927="","",YEAR(A927))</f>
        <v>2026</v>
      </c>
      <c r="L927" s="26" t="n">
        <f aca="false">IF(A927="","",MONTH(A927))</f>
        <v>5</v>
      </c>
    </row>
    <row r="928" customFormat="false" ht="15" hidden="false" customHeight="false" outlineLevel="0" collapsed="false">
      <c r="A928" s="23" t="n">
        <v>46164.5715277778</v>
      </c>
      <c r="B928" s="24" t="s">
        <v>1079</v>
      </c>
      <c r="C928" s="24" t="s">
        <v>1080</v>
      </c>
      <c r="D928" s="24" t="n">
        <v>1</v>
      </c>
      <c r="E928" s="25" t="n">
        <v>2500</v>
      </c>
      <c r="F928" s="25" t="n">
        <v>1600</v>
      </c>
      <c r="G928" s="24" t="s">
        <v>69</v>
      </c>
      <c r="H928" s="24" t="s">
        <v>55</v>
      </c>
      <c r="I928" s="28" t="n">
        <f aca="false">IF(A928="","",D928*E928)</f>
        <v>2500</v>
      </c>
      <c r="J928" s="28" t="n">
        <f aca="false">IF(A928="","",D928*F928)</f>
        <v>1600</v>
      </c>
      <c r="K928" s="26" t="n">
        <f aca="false">IF(A928="","",YEAR(A928))</f>
        <v>2026</v>
      </c>
      <c r="L928" s="26" t="n">
        <f aca="false">IF(A928="","",MONTH(A928))</f>
        <v>5</v>
      </c>
    </row>
    <row r="929" customFormat="false" ht="15" hidden="false" customHeight="false" outlineLevel="0" collapsed="false">
      <c r="A929" s="23" t="n">
        <v>46164.6875</v>
      </c>
      <c r="B929" s="24" t="s">
        <v>1065</v>
      </c>
      <c r="C929" s="24" t="s">
        <v>1066</v>
      </c>
      <c r="D929" s="24" t="n">
        <v>1</v>
      </c>
      <c r="E929" s="25" t="n">
        <v>3000</v>
      </c>
      <c r="F929" s="25" t="n">
        <v>2000</v>
      </c>
      <c r="G929" s="24" t="s">
        <v>59</v>
      </c>
      <c r="H929" s="24" t="s">
        <v>60</v>
      </c>
      <c r="I929" s="28" t="n">
        <f aca="false">IF(A929="","",D929*E929)</f>
        <v>3000</v>
      </c>
      <c r="J929" s="28" t="n">
        <f aca="false">IF(A929="","",D929*F929)</f>
        <v>2000</v>
      </c>
      <c r="K929" s="26" t="n">
        <f aca="false">IF(A929="","",YEAR(A929))</f>
        <v>2026</v>
      </c>
      <c r="L929" s="26" t="n">
        <f aca="false">IF(A929="","",MONTH(A929))</f>
        <v>5</v>
      </c>
    </row>
    <row r="930" customFormat="false" ht="15" hidden="false" customHeight="false" outlineLevel="0" collapsed="false">
      <c r="A930" s="23" t="n">
        <v>46164.8645833333</v>
      </c>
      <c r="B930" s="24" t="s">
        <v>1071</v>
      </c>
      <c r="C930" s="24" t="s">
        <v>1072</v>
      </c>
      <c r="D930" s="24" t="n">
        <v>1</v>
      </c>
      <c r="E930" s="25" t="n">
        <v>2000</v>
      </c>
      <c r="F930" s="25" t="n">
        <v>1100</v>
      </c>
      <c r="G930" s="24" t="s">
        <v>69</v>
      </c>
      <c r="H930" s="24" t="s">
        <v>80</v>
      </c>
      <c r="I930" s="28" t="n">
        <f aca="false">IF(A930="","",D930*E930)</f>
        <v>2000</v>
      </c>
      <c r="J930" s="28" t="n">
        <f aca="false">IF(A930="","",D930*F930)</f>
        <v>1100</v>
      </c>
      <c r="K930" s="26" t="n">
        <f aca="false">IF(A930="","",YEAR(A930))</f>
        <v>2026</v>
      </c>
      <c r="L930" s="26" t="n">
        <f aca="false">IF(A930="","",MONTH(A930))</f>
        <v>5</v>
      </c>
    </row>
    <row r="931" customFormat="false" ht="15" hidden="false" customHeight="false" outlineLevel="0" collapsed="false">
      <c r="A931" s="23" t="n">
        <v>46164.8979166667</v>
      </c>
      <c r="B931" s="24" t="s">
        <v>1073</v>
      </c>
      <c r="C931" s="24" t="s">
        <v>1074</v>
      </c>
      <c r="D931" s="24" t="n">
        <v>2</v>
      </c>
      <c r="E931" s="25" t="n">
        <v>7000</v>
      </c>
      <c r="F931" s="25" t="n">
        <v>4800</v>
      </c>
      <c r="G931" s="24" t="s">
        <v>59</v>
      </c>
      <c r="H931" s="24" t="s">
        <v>55</v>
      </c>
      <c r="I931" s="28" t="n">
        <f aca="false">IF(A931="","",D931*E931)</f>
        <v>14000</v>
      </c>
      <c r="J931" s="28" t="n">
        <f aca="false">IF(A931="","",D931*F931)</f>
        <v>9600</v>
      </c>
      <c r="K931" s="26" t="n">
        <f aca="false">IF(A931="","",YEAR(A931))</f>
        <v>2026</v>
      </c>
      <c r="L931" s="26" t="n">
        <f aca="false">IF(A931="","",MONTH(A931))</f>
        <v>5</v>
      </c>
    </row>
    <row r="932" customFormat="false" ht="15" hidden="false" customHeight="false" outlineLevel="0" collapsed="false">
      <c r="A932" s="23" t="n">
        <v>46165.6229166667</v>
      </c>
      <c r="B932" s="24" t="s">
        <v>1077</v>
      </c>
      <c r="C932" s="24" t="s">
        <v>1078</v>
      </c>
      <c r="D932" s="24" t="n">
        <v>1</v>
      </c>
      <c r="E932" s="25" t="n">
        <v>1500</v>
      </c>
      <c r="F932" s="25" t="n">
        <v>900</v>
      </c>
      <c r="G932" s="24" t="s">
        <v>59</v>
      </c>
      <c r="H932" s="24" t="s">
        <v>80</v>
      </c>
      <c r="I932" s="28" t="n">
        <f aca="false">IF(A932="","",D932*E932)</f>
        <v>1500</v>
      </c>
      <c r="J932" s="28" t="n">
        <f aca="false">IF(A932="","",D932*F932)</f>
        <v>900</v>
      </c>
      <c r="K932" s="26" t="n">
        <f aca="false">IF(A932="","",YEAR(A932))</f>
        <v>2026</v>
      </c>
      <c r="L932" s="26" t="n">
        <f aca="false">IF(A932="","",MONTH(A932))</f>
        <v>5</v>
      </c>
    </row>
    <row r="933" customFormat="false" ht="15" hidden="false" customHeight="false" outlineLevel="0" collapsed="false">
      <c r="A933" s="23" t="n">
        <v>46166.5104166667</v>
      </c>
      <c r="B933" s="24" t="s">
        <v>1079</v>
      </c>
      <c r="C933" s="24" t="s">
        <v>1080</v>
      </c>
      <c r="D933" s="24" t="n">
        <v>1</v>
      </c>
      <c r="E933" s="25" t="n">
        <v>2500</v>
      </c>
      <c r="F933" s="25" t="n">
        <v>1600</v>
      </c>
      <c r="G933" s="24" t="s">
        <v>59</v>
      </c>
      <c r="H933" s="24" t="s">
        <v>55</v>
      </c>
      <c r="I933" s="28" t="n">
        <f aca="false">IF(A933="","",D933*E933)</f>
        <v>2500</v>
      </c>
      <c r="J933" s="28" t="n">
        <f aca="false">IF(A933="","",D933*F933)</f>
        <v>1600</v>
      </c>
      <c r="K933" s="26" t="n">
        <f aca="false">IF(A933="","",YEAR(A933))</f>
        <v>2026</v>
      </c>
      <c r="L933" s="26" t="n">
        <f aca="false">IF(A933="","",MONTH(A933))</f>
        <v>5</v>
      </c>
    </row>
    <row r="934" customFormat="false" ht="15" hidden="false" customHeight="false" outlineLevel="0" collapsed="false">
      <c r="A934" s="23" t="n">
        <v>46166.7854166667</v>
      </c>
      <c r="B934" s="24" t="s">
        <v>1077</v>
      </c>
      <c r="C934" s="24" t="s">
        <v>1078</v>
      </c>
      <c r="D934" s="24" t="n">
        <v>3</v>
      </c>
      <c r="E934" s="25" t="n">
        <v>1500</v>
      </c>
      <c r="F934" s="25" t="n">
        <v>900</v>
      </c>
      <c r="G934" s="24" t="s">
        <v>59</v>
      </c>
      <c r="H934" s="24" t="s">
        <v>80</v>
      </c>
      <c r="I934" s="28" t="n">
        <f aca="false">IF(A934="","",D934*E934)</f>
        <v>4500</v>
      </c>
      <c r="J934" s="28" t="n">
        <f aca="false">IF(A934="","",D934*F934)</f>
        <v>2700</v>
      </c>
      <c r="K934" s="26" t="n">
        <f aca="false">IF(A934="","",YEAR(A934))</f>
        <v>2026</v>
      </c>
      <c r="L934" s="26" t="n">
        <f aca="false">IF(A934="","",MONTH(A934))</f>
        <v>5</v>
      </c>
    </row>
    <row r="935" customFormat="false" ht="15" hidden="false" customHeight="false" outlineLevel="0" collapsed="false">
      <c r="A935" s="23" t="n">
        <v>46168.3722222222</v>
      </c>
      <c r="B935" s="24" t="s">
        <v>1069</v>
      </c>
      <c r="C935" s="24" t="s">
        <v>1070</v>
      </c>
      <c r="D935" s="24" t="n">
        <v>1</v>
      </c>
      <c r="E935" s="25" t="n">
        <v>4500</v>
      </c>
      <c r="F935" s="25" t="n">
        <v>3000</v>
      </c>
      <c r="G935" s="24" t="s">
        <v>59</v>
      </c>
      <c r="H935" s="24" t="s">
        <v>60</v>
      </c>
      <c r="I935" s="28" t="n">
        <f aca="false">IF(A935="","",D935*E935)</f>
        <v>4500</v>
      </c>
      <c r="J935" s="28" t="n">
        <f aca="false">IF(A935="","",D935*F935)</f>
        <v>3000</v>
      </c>
      <c r="K935" s="26" t="n">
        <f aca="false">IF(A935="","",YEAR(A935))</f>
        <v>2026</v>
      </c>
      <c r="L935" s="26" t="n">
        <f aca="false">IF(A935="","",MONTH(A935))</f>
        <v>5</v>
      </c>
    </row>
    <row r="936" customFormat="false" ht="15" hidden="false" customHeight="false" outlineLevel="0" collapsed="false">
      <c r="A936" s="23" t="n">
        <v>46168.8256944444</v>
      </c>
      <c r="B936" s="24" t="s">
        <v>1075</v>
      </c>
      <c r="C936" s="24" t="s">
        <v>1076</v>
      </c>
      <c r="D936" s="24" t="n">
        <v>2</v>
      </c>
      <c r="E936" s="25" t="n">
        <v>1000</v>
      </c>
      <c r="F936" s="25" t="n">
        <v>300</v>
      </c>
      <c r="G936" s="24" t="s">
        <v>59</v>
      </c>
      <c r="H936" s="24" t="s">
        <v>60</v>
      </c>
      <c r="I936" s="28" t="n">
        <f aca="false">IF(A936="","",D936*E936)</f>
        <v>2000</v>
      </c>
      <c r="J936" s="28" t="n">
        <f aca="false">IF(A936="","",D936*F936)</f>
        <v>600</v>
      </c>
      <c r="K936" s="26" t="n">
        <f aca="false">IF(A936="","",YEAR(A936))</f>
        <v>2026</v>
      </c>
      <c r="L936" s="26" t="n">
        <f aca="false">IF(A936="","",MONTH(A936))</f>
        <v>5</v>
      </c>
    </row>
    <row r="937" customFormat="false" ht="15" hidden="false" customHeight="false" outlineLevel="0" collapsed="false">
      <c r="A937" s="23" t="n">
        <v>46169.5243055556</v>
      </c>
      <c r="B937" s="24" t="s">
        <v>1077</v>
      </c>
      <c r="C937" s="24" t="s">
        <v>1078</v>
      </c>
      <c r="D937" s="24" t="n">
        <v>3</v>
      </c>
      <c r="E937" s="25" t="n">
        <v>1500</v>
      </c>
      <c r="F937" s="25" t="n">
        <v>900</v>
      </c>
      <c r="G937" s="24" t="s">
        <v>69</v>
      </c>
      <c r="H937" s="24" t="s">
        <v>55</v>
      </c>
      <c r="I937" s="28" t="n">
        <f aca="false">IF(A937="","",D937*E937)</f>
        <v>4500</v>
      </c>
      <c r="J937" s="28" t="n">
        <f aca="false">IF(A937="","",D937*F937)</f>
        <v>2700</v>
      </c>
      <c r="K937" s="26" t="n">
        <f aca="false">IF(A937="","",YEAR(A937))</f>
        <v>2026</v>
      </c>
      <c r="L937" s="26" t="n">
        <f aca="false">IF(A937="","",MONTH(A937))</f>
        <v>5</v>
      </c>
    </row>
    <row r="938" customFormat="false" ht="15" hidden="false" customHeight="false" outlineLevel="0" collapsed="false">
      <c r="A938" s="23" t="n">
        <v>46169.7888888889</v>
      </c>
      <c r="B938" s="24" t="s">
        <v>1069</v>
      </c>
      <c r="C938" s="24" t="s">
        <v>1070</v>
      </c>
      <c r="D938" s="24" t="n">
        <v>3</v>
      </c>
      <c r="E938" s="25" t="n">
        <v>4500</v>
      </c>
      <c r="F938" s="25" t="n">
        <v>3000</v>
      </c>
      <c r="G938" s="24" t="s">
        <v>59</v>
      </c>
      <c r="H938" s="24" t="s">
        <v>80</v>
      </c>
      <c r="I938" s="28" t="n">
        <f aca="false">IF(A938="","",D938*E938)</f>
        <v>13500</v>
      </c>
      <c r="J938" s="28" t="n">
        <f aca="false">IF(A938="","",D938*F938)</f>
        <v>9000</v>
      </c>
      <c r="K938" s="26" t="n">
        <f aca="false">IF(A938="","",YEAR(A938))</f>
        <v>2026</v>
      </c>
      <c r="L938" s="26" t="n">
        <f aca="false">IF(A938="","",MONTH(A938))</f>
        <v>5</v>
      </c>
    </row>
    <row r="939" customFormat="false" ht="15" hidden="false" customHeight="false" outlineLevel="0" collapsed="false">
      <c r="A939" s="23" t="n">
        <v>46174.4388888889</v>
      </c>
      <c r="B939" s="24" t="s">
        <v>1073</v>
      </c>
      <c r="C939" s="24" t="s">
        <v>1074</v>
      </c>
      <c r="D939" s="24" t="n">
        <v>1</v>
      </c>
      <c r="E939" s="25" t="n">
        <v>7000</v>
      </c>
      <c r="F939" s="25" t="n">
        <v>4800</v>
      </c>
      <c r="G939" s="24" t="s">
        <v>59</v>
      </c>
      <c r="H939" s="24" t="s">
        <v>60</v>
      </c>
      <c r="I939" s="28" t="n">
        <f aca="false">IF(A939="","",D939*E939)</f>
        <v>7000</v>
      </c>
      <c r="J939" s="28" t="n">
        <f aca="false">IF(A939="","",D939*F939)</f>
        <v>4800</v>
      </c>
      <c r="K939" s="26" t="n">
        <f aca="false">IF(A939="","",YEAR(A939))</f>
        <v>2026</v>
      </c>
      <c r="L939" s="26" t="n">
        <f aca="false">IF(A939="","",MONTH(A939))</f>
        <v>6</v>
      </c>
    </row>
    <row r="940" customFormat="false" ht="15" hidden="false" customHeight="false" outlineLevel="0" collapsed="false">
      <c r="A940" s="23" t="n">
        <v>46175.5694444445</v>
      </c>
      <c r="B940" s="24" t="s">
        <v>1065</v>
      </c>
      <c r="C940" s="24" t="s">
        <v>1066</v>
      </c>
      <c r="D940" s="24" t="n">
        <v>1</v>
      </c>
      <c r="E940" s="25" t="n">
        <v>3000</v>
      </c>
      <c r="F940" s="25" t="n">
        <v>2000</v>
      </c>
      <c r="G940" s="24" t="s">
        <v>59</v>
      </c>
      <c r="H940" s="24" t="s">
        <v>60</v>
      </c>
      <c r="I940" s="28" t="n">
        <f aca="false">IF(A940="","",D940*E940)</f>
        <v>3000</v>
      </c>
      <c r="J940" s="28" t="n">
        <f aca="false">IF(A940="","",D940*F940)</f>
        <v>2000</v>
      </c>
      <c r="K940" s="26" t="n">
        <f aca="false">IF(A940="","",YEAR(A940))</f>
        <v>2026</v>
      </c>
      <c r="L940" s="26" t="n">
        <f aca="false">IF(A940="","",MONTH(A940))</f>
        <v>6</v>
      </c>
    </row>
    <row r="941" customFormat="false" ht="15" hidden="false" customHeight="false" outlineLevel="0" collapsed="false">
      <c r="A941" s="23" t="n">
        <v>46175.8055555556</v>
      </c>
      <c r="B941" s="24" t="s">
        <v>1071</v>
      </c>
      <c r="C941" s="24" t="s">
        <v>1072</v>
      </c>
      <c r="D941" s="24" t="n">
        <v>1</v>
      </c>
      <c r="E941" s="25" t="n">
        <v>2000</v>
      </c>
      <c r="F941" s="25" t="n">
        <v>1100</v>
      </c>
      <c r="G941" s="24" t="s">
        <v>59</v>
      </c>
      <c r="H941" s="24" t="s">
        <v>80</v>
      </c>
      <c r="I941" s="28" t="n">
        <f aca="false">IF(A941="","",D941*E941)</f>
        <v>2000</v>
      </c>
      <c r="J941" s="28" t="n">
        <f aca="false">IF(A941="","",D941*F941)</f>
        <v>1100</v>
      </c>
      <c r="K941" s="26" t="n">
        <f aca="false">IF(A941="","",YEAR(A941))</f>
        <v>2026</v>
      </c>
      <c r="L941" s="26" t="n">
        <f aca="false">IF(A941="","",MONTH(A941))</f>
        <v>6</v>
      </c>
    </row>
    <row r="942" customFormat="false" ht="15" hidden="false" customHeight="false" outlineLevel="0" collapsed="false">
      <c r="A942" s="23" t="n">
        <v>46177.9041666667</v>
      </c>
      <c r="B942" s="24" t="s">
        <v>1077</v>
      </c>
      <c r="C942" s="24" t="s">
        <v>1078</v>
      </c>
      <c r="D942" s="24" t="n">
        <v>3</v>
      </c>
      <c r="E942" s="25" t="n">
        <v>1500</v>
      </c>
      <c r="F942" s="25" t="n">
        <v>900</v>
      </c>
      <c r="G942" s="24" t="s">
        <v>59</v>
      </c>
      <c r="H942" s="24" t="s">
        <v>80</v>
      </c>
      <c r="I942" s="28" t="n">
        <f aca="false">IF(A942="","",D942*E942)</f>
        <v>4500</v>
      </c>
      <c r="J942" s="28" t="n">
        <f aca="false">IF(A942="","",D942*F942)</f>
        <v>2700</v>
      </c>
      <c r="K942" s="26" t="n">
        <f aca="false">IF(A942="","",YEAR(A942))</f>
        <v>2026</v>
      </c>
      <c r="L942" s="26" t="n">
        <f aca="false">IF(A942="","",MONTH(A942))</f>
        <v>6</v>
      </c>
    </row>
    <row r="943" customFormat="false" ht="15" hidden="false" customHeight="false" outlineLevel="0" collapsed="false">
      <c r="A943" s="23" t="n">
        <v>46178.3388888889</v>
      </c>
      <c r="B943" s="24" t="s">
        <v>1073</v>
      </c>
      <c r="C943" s="24" t="s">
        <v>1074</v>
      </c>
      <c r="D943" s="24" t="n">
        <v>1</v>
      </c>
      <c r="E943" s="25" t="n">
        <v>7000</v>
      </c>
      <c r="F943" s="25" t="n">
        <v>4800</v>
      </c>
      <c r="G943" s="24" t="s">
        <v>59</v>
      </c>
      <c r="H943" s="24" t="s">
        <v>55</v>
      </c>
      <c r="I943" s="28" t="n">
        <f aca="false">IF(A943="","",D943*E943)</f>
        <v>7000</v>
      </c>
      <c r="J943" s="28" t="n">
        <f aca="false">IF(A943="","",D943*F943)</f>
        <v>4800</v>
      </c>
      <c r="K943" s="26" t="n">
        <f aca="false">IF(A943="","",YEAR(A943))</f>
        <v>2026</v>
      </c>
      <c r="L943" s="26" t="n">
        <f aca="false">IF(A943="","",MONTH(A943))</f>
        <v>6</v>
      </c>
    </row>
    <row r="944" customFormat="false" ht="15" hidden="false" customHeight="false" outlineLevel="0" collapsed="false">
      <c r="A944" s="23" t="n">
        <v>46178.7784722222</v>
      </c>
      <c r="B944" s="24" t="s">
        <v>1081</v>
      </c>
      <c r="C944" s="24" t="s">
        <v>1082</v>
      </c>
      <c r="D944" s="24" t="n">
        <v>2</v>
      </c>
      <c r="E944" s="25" t="n">
        <v>2500</v>
      </c>
      <c r="F944" s="25" t="n">
        <v>1500</v>
      </c>
      <c r="G944" s="24" t="s">
        <v>69</v>
      </c>
      <c r="H944" s="24" t="s">
        <v>55</v>
      </c>
      <c r="I944" s="28" t="n">
        <f aca="false">IF(A944="","",D944*E944)</f>
        <v>5000</v>
      </c>
      <c r="J944" s="28" t="n">
        <f aca="false">IF(A944="","",D944*F944)</f>
        <v>3000</v>
      </c>
      <c r="K944" s="26" t="n">
        <f aca="false">IF(A944="","",YEAR(A944))</f>
        <v>2026</v>
      </c>
      <c r="L944" s="26" t="n">
        <f aca="false">IF(A944="","",MONTH(A944))</f>
        <v>6</v>
      </c>
    </row>
    <row r="945" customFormat="false" ht="15" hidden="false" customHeight="false" outlineLevel="0" collapsed="false">
      <c r="A945" s="23" t="n">
        <v>46179.5277777778</v>
      </c>
      <c r="B945" s="24" t="s">
        <v>1081</v>
      </c>
      <c r="C945" s="24" t="s">
        <v>1082</v>
      </c>
      <c r="D945" s="24" t="n">
        <v>1</v>
      </c>
      <c r="E945" s="25" t="n">
        <v>2500</v>
      </c>
      <c r="F945" s="25" t="n">
        <v>1500</v>
      </c>
      <c r="G945" s="24" t="s">
        <v>59</v>
      </c>
      <c r="H945" s="24" t="s">
        <v>60</v>
      </c>
      <c r="I945" s="28" t="n">
        <f aca="false">IF(A945="","",D945*E945)</f>
        <v>2500</v>
      </c>
      <c r="J945" s="28" t="n">
        <f aca="false">IF(A945="","",D945*F945)</f>
        <v>1500</v>
      </c>
      <c r="K945" s="26" t="n">
        <f aca="false">IF(A945="","",YEAR(A945))</f>
        <v>2026</v>
      </c>
      <c r="L945" s="26" t="n">
        <f aca="false">IF(A945="","",MONTH(A945))</f>
        <v>6</v>
      </c>
    </row>
    <row r="946" customFormat="false" ht="15" hidden="false" customHeight="false" outlineLevel="0" collapsed="false">
      <c r="A946" s="23" t="n">
        <v>46180.6090277778</v>
      </c>
      <c r="B946" s="24" t="s">
        <v>1081</v>
      </c>
      <c r="C946" s="24" t="s">
        <v>1082</v>
      </c>
      <c r="D946" s="24" t="n">
        <v>2</v>
      </c>
      <c r="E946" s="25" t="n">
        <v>2500</v>
      </c>
      <c r="F946" s="25" t="n">
        <v>1500</v>
      </c>
      <c r="G946" s="24" t="s">
        <v>59</v>
      </c>
      <c r="H946" s="24" t="s">
        <v>80</v>
      </c>
      <c r="I946" s="28" t="n">
        <f aca="false">IF(A946="","",D946*E946)</f>
        <v>5000</v>
      </c>
      <c r="J946" s="28" t="n">
        <f aca="false">IF(A946="","",D946*F946)</f>
        <v>3000</v>
      </c>
      <c r="K946" s="26" t="n">
        <f aca="false">IF(A946="","",YEAR(A946))</f>
        <v>2026</v>
      </c>
      <c r="L946" s="26" t="n">
        <f aca="false">IF(A946="","",MONTH(A946))</f>
        <v>6</v>
      </c>
    </row>
    <row r="947" customFormat="false" ht="15" hidden="false" customHeight="false" outlineLevel="0" collapsed="false">
      <c r="A947" s="23" t="n">
        <v>46180.6173611111</v>
      </c>
      <c r="B947" s="24" t="s">
        <v>1067</v>
      </c>
      <c r="C947" s="24" t="s">
        <v>1068</v>
      </c>
      <c r="D947" s="24" t="n">
        <v>1</v>
      </c>
      <c r="E947" s="25" t="n">
        <v>4000</v>
      </c>
      <c r="F947" s="25" t="n">
        <v>2600</v>
      </c>
      <c r="G947" s="24" t="s">
        <v>59</v>
      </c>
      <c r="H947" s="24" t="s">
        <v>55</v>
      </c>
      <c r="I947" s="28" t="n">
        <f aca="false">IF(A947="","",D947*E947)</f>
        <v>4000</v>
      </c>
      <c r="J947" s="28" t="n">
        <f aca="false">IF(A947="","",D947*F947)</f>
        <v>2600</v>
      </c>
      <c r="K947" s="26" t="n">
        <f aca="false">IF(A947="","",YEAR(A947))</f>
        <v>2026</v>
      </c>
      <c r="L947" s="26" t="n">
        <f aca="false">IF(A947="","",MONTH(A947))</f>
        <v>6</v>
      </c>
    </row>
    <row r="948" customFormat="false" ht="15" hidden="false" customHeight="false" outlineLevel="0" collapsed="false">
      <c r="A948" s="23" t="n">
        <v>46180.7708333333</v>
      </c>
      <c r="B948" s="24" t="s">
        <v>1067</v>
      </c>
      <c r="C948" s="24" t="s">
        <v>1068</v>
      </c>
      <c r="D948" s="24" t="n">
        <v>1</v>
      </c>
      <c r="E948" s="25" t="n">
        <v>4000</v>
      </c>
      <c r="F948" s="25" t="n">
        <v>2600</v>
      </c>
      <c r="G948" s="24" t="s">
        <v>59</v>
      </c>
      <c r="H948" s="24" t="s">
        <v>55</v>
      </c>
      <c r="I948" s="28" t="n">
        <f aca="false">IF(A948="","",D948*E948)</f>
        <v>4000</v>
      </c>
      <c r="J948" s="28" t="n">
        <f aca="false">IF(A948="","",D948*F948)</f>
        <v>2600</v>
      </c>
      <c r="K948" s="26" t="n">
        <f aca="false">IF(A948="","",YEAR(A948))</f>
        <v>2026</v>
      </c>
      <c r="L948" s="26" t="n">
        <f aca="false">IF(A948="","",MONTH(A948))</f>
        <v>6</v>
      </c>
    </row>
    <row r="949" customFormat="false" ht="15" hidden="false" customHeight="false" outlineLevel="0" collapsed="false">
      <c r="A949" s="23" t="n">
        <v>46180.8715277778</v>
      </c>
      <c r="B949" s="24" t="s">
        <v>1065</v>
      </c>
      <c r="C949" s="24" t="s">
        <v>1066</v>
      </c>
      <c r="D949" s="24" t="n">
        <v>1</v>
      </c>
      <c r="E949" s="25" t="n">
        <v>3000</v>
      </c>
      <c r="F949" s="25" t="n">
        <v>2000</v>
      </c>
      <c r="G949" s="24" t="s">
        <v>59</v>
      </c>
      <c r="H949" s="24" t="s">
        <v>55</v>
      </c>
      <c r="I949" s="28" t="n">
        <f aca="false">IF(A949="","",D949*E949)</f>
        <v>3000</v>
      </c>
      <c r="J949" s="28" t="n">
        <f aca="false">IF(A949="","",D949*F949)</f>
        <v>2000</v>
      </c>
      <c r="K949" s="26" t="n">
        <f aca="false">IF(A949="","",YEAR(A949))</f>
        <v>2026</v>
      </c>
      <c r="L949" s="26" t="n">
        <f aca="false">IF(A949="","",MONTH(A949))</f>
        <v>6</v>
      </c>
    </row>
    <row r="950" customFormat="false" ht="15" hidden="false" customHeight="false" outlineLevel="0" collapsed="false">
      <c r="A950" s="23" t="n">
        <v>46181.33125</v>
      </c>
      <c r="B950" s="24" t="s">
        <v>1069</v>
      </c>
      <c r="C950" s="24" t="s">
        <v>1070</v>
      </c>
      <c r="D950" s="24" t="n">
        <v>1</v>
      </c>
      <c r="E950" s="25" t="n">
        <v>4500</v>
      </c>
      <c r="F950" s="25" t="n">
        <v>3000</v>
      </c>
      <c r="G950" s="24" t="s">
        <v>59</v>
      </c>
      <c r="H950" s="24" t="s">
        <v>80</v>
      </c>
      <c r="I950" s="28" t="n">
        <f aca="false">IF(A950="","",D950*E950)</f>
        <v>4500</v>
      </c>
      <c r="J950" s="28" t="n">
        <f aca="false">IF(A950="","",D950*F950)</f>
        <v>3000</v>
      </c>
      <c r="K950" s="26" t="n">
        <f aca="false">IF(A950="","",YEAR(A950))</f>
        <v>2026</v>
      </c>
      <c r="L950" s="26" t="n">
        <f aca="false">IF(A950="","",MONTH(A950))</f>
        <v>6</v>
      </c>
    </row>
    <row r="951" customFormat="false" ht="15" hidden="false" customHeight="false" outlineLevel="0" collapsed="false">
      <c r="A951" s="23" t="n">
        <v>46181.6118055556</v>
      </c>
      <c r="B951" s="24" t="s">
        <v>1075</v>
      </c>
      <c r="C951" s="24" t="s">
        <v>1076</v>
      </c>
      <c r="D951" s="24" t="n">
        <v>2</v>
      </c>
      <c r="E951" s="25" t="n">
        <v>1000</v>
      </c>
      <c r="F951" s="25" t="n">
        <v>300</v>
      </c>
      <c r="G951" s="24" t="s">
        <v>59</v>
      </c>
      <c r="H951" s="24" t="s">
        <v>55</v>
      </c>
      <c r="I951" s="28" t="n">
        <f aca="false">IF(A951="","",D951*E951)</f>
        <v>2000</v>
      </c>
      <c r="J951" s="28" t="n">
        <f aca="false">IF(A951="","",D951*F951)</f>
        <v>600</v>
      </c>
      <c r="K951" s="26" t="n">
        <f aca="false">IF(A951="","",YEAR(A951))</f>
        <v>2026</v>
      </c>
      <c r="L951" s="26" t="n">
        <f aca="false">IF(A951="","",MONTH(A951))</f>
        <v>6</v>
      </c>
    </row>
    <row r="952" customFormat="false" ht="15" hidden="false" customHeight="false" outlineLevel="0" collapsed="false">
      <c r="A952" s="23" t="n">
        <v>46181.7395833333</v>
      </c>
      <c r="B952" s="24" t="s">
        <v>1075</v>
      </c>
      <c r="C952" s="24" t="s">
        <v>1076</v>
      </c>
      <c r="D952" s="24" t="n">
        <v>3</v>
      </c>
      <c r="E952" s="25" t="n">
        <v>1000</v>
      </c>
      <c r="F952" s="25" t="n">
        <v>300</v>
      </c>
      <c r="G952" s="24" t="s">
        <v>59</v>
      </c>
      <c r="H952" s="24" t="s">
        <v>80</v>
      </c>
      <c r="I952" s="28" t="n">
        <f aca="false">IF(A952="","",D952*E952)</f>
        <v>3000</v>
      </c>
      <c r="J952" s="28" t="n">
        <f aca="false">IF(A952="","",D952*F952)</f>
        <v>900</v>
      </c>
      <c r="K952" s="26" t="n">
        <f aca="false">IF(A952="","",YEAR(A952))</f>
        <v>2026</v>
      </c>
      <c r="L952" s="26" t="n">
        <f aca="false">IF(A952="","",MONTH(A952))</f>
        <v>6</v>
      </c>
    </row>
    <row r="953" customFormat="false" ht="15" hidden="false" customHeight="false" outlineLevel="0" collapsed="false">
      <c r="A953" s="23" t="n">
        <v>46181.7486111111</v>
      </c>
      <c r="B953" s="24" t="s">
        <v>1065</v>
      </c>
      <c r="C953" s="24" t="s">
        <v>1066</v>
      </c>
      <c r="D953" s="24" t="n">
        <v>3</v>
      </c>
      <c r="E953" s="25" t="n">
        <v>3000</v>
      </c>
      <c r="F953" s="25" t="n">
        <v>2000</v>
      </c>
      <c r="G953" s="24" t="s">
        <v>69</v>
      </c>
      <c r="H953" s="24" t="s">
        <v>60</v>
      </c>
      <c r="I953" s="28" t="n">
        <f aca="false">IF(A953="","",D953*E953)</f>
        <v>9000</v>
      </c>
      <c r="J953" s="28" t="n">
        <f aca="false">IF(A953="","",D953*F953)</f>
        <v>6000</v>
      </c>
      <c r="K953" s="26" t="n">
        <f aca="false">IF(A953="","",YEAR(A953))</f>
        <v>2026</v>
      </c>
      <c r="L953" s="26" t="n">
        <f aca="false">IF(A953="","",MONTH(A953))</f>
        <v>6</v>
      </c>
    </row>
    <row r="954" customFormat="false" ht="15" hidden="false" customHeight="false" outlineLevel="0" collapsed="false">
      <c r="A954" s="23" t="n">
        <v>46182.9104166667</v>
      </c>
      <c r="B954" s="24" t="s">
        <v>1075</v>
      </c>
      <c r="C954" s="24" t="s">
        <v>1076</v>
      </c>
      <c r="D954" s="24" t="n">
        <v>3</v>
      </c>
      <c r="E954" s="25" t="n">
        <v>1000</v>
      </c>
      <c r="F954" s="25" t="n">
        <v>300</v>
      </c>
      <c r="G954" s="24" t="s">
        <v>59</v>
      </c>
      <c r="H954" s="24" t="s">
        <v>60</v>
      </c>
      <c r="I954" s="28" t="n">
        <f aca="false">IF(A954="","",D954*E954)</f>
        <v>3000</v>
      </c>
      <c r="J954" s="28" t="n">
        <f aca="false">IF(A954="","",D954*F954)</f>
        <v>900</v>
      </c>
      <c r="K954" s="26" t="n">
        <f aca="false">IF(A954="","",YEAR(A954))</f>
        <v>2026</v>
      </c>
      <c r="L954" s="26" t="n">
        <f aca="false">IF(A954="","",MONTH(A954))</f>
        <v>6</v>
      </c>
    </row>
    <row r="955" customFormat="false" ht="15" hidden="false" customHeight="false" outlineLevel="0" collapsed="false">
      <c r="A955" s="23" t="n">
        <v>46183.4069444445</v>
      </c>
      <c r="B955" s="24" t="s">
        <v>1077</v>
      </c>
      <c r="C955" s="24" t="s">
        <v>1078</v>
      </c>
      <c r="D955" s="24" t="n">
        <v>3</v>
      </c>
      <c r="E955" s="25" t="n">
        <v>1500</v>
      </c>
      <c r="F955" s="25" t="n">
        <v>900</v>
      </c>
      <c r="G955" s="24" t="s">
        <v>59</v>
      </c>
      <c r="H955" s="24" t="s">
        <v>60</v>
      </c>
      <c r="I955" s="28" t="n">
        <f aca="false">IF(A955="","",D955*E955)</f>
        <v>4500</v>
      </c>
      <c r="J955" s="28" t="n">
        <f aca="false">IF(A955="","",D955*F955)</f>
        <v>2700</v>
      </c>
      <c r="K955" s="26" t="n">
        <f aca="false">IF(A955="","",YEAR(A955))</f>
        <v>2026</v>
      </c>
      <c r="L955" s="26" t="n">
        <f aca="false">IF(A955="","",MONTH(A955))</f>
        <v>6</v>
      </c>
    </row>
    <row r="956" customFormat="false" ht="15" hidden="false" customHeight="false" outlineLevel="0" collapsed="false">
      <c r="A956" s="23" t="n">
        <v>46183.50625</v>
      </c>
      <c r="B956" s="24" t="s">
        <v>1081</v>
      </c>
      <c r="C956" s="24" t="s">
        <v>1082</v>
      </c>
      <c r="D956" s="24" t="n">
        <v>1</v>
      </c>
      <c r="E956" s="25" t="n">
        <v>2500</v>
      </c>
      <c r="F956" s="25" t="n">
        <v>1500</v>
      </c>
      <c r="G956" s="24" t="s">
        <v>69</v>
      </c>
      <c r="H956" s="24" t="s">
        <v>55</v>
      </c>
      <c r="I956" s="28" t="n">
        <f aca="false">IF(A956="","",D956*E956)</f>
        <v>2500</v>
      </c>
      <c r="J956" s="28" t="n">
        <f aca="false">IF(A956="","",D956*F956)</f>
        <v>1500</v>
      </c>
      <c r="K956" s="26" t="n">
        <f aca="false">IF(A956="","",YEAR(A956))</f>
        <v>2026</v>
      </c>
      <c r="L956" s="26" t="n">
        <f aca="false">IF(A956="","",MONTH(A956))</f>
        <v>6</v>
      </c>
    </row>
    <row r="957" customFormat="false" ht="15" hidden="false" customHeight="false" outlineLevel="0" collapsed="false">
      <c r="A957" s="23" t="n">
        <v>46183.8451388889</v>
      </c>
      <c r="B957" s="24" t="s">
        <v>1081</v>
      </c>
      <c r="C957" s="24" t="s">
        <v>1082</v>
      </c>
      <c r="D957" s="24" t="n">
        <v>3</v>
      </c>
      <c r="E957" s="25" t="n">
        <v>2500</v>
      </c>
      <c r="F957" s="25" t="n">
        <v>1500</v>
      </c>
      <c r="G957" s="24" t="s">
        <v>69</v>
      </c>
      <c r="H957" s="24" t="s">
        <v>55</v>
      </c>
      <c r="I957" s="28" t="n">
        <f aca="false">IF(A957="","",D957*E957)</f>
        <v>7500</v>
      </c>
      <c r="J957" s="28" t="n">
        <f aca="false">IF(A957="","",D957*F957)</f>
        <v>4500</v>
      </c>
      <c r="K957" s="26" t="n">
        <f aca="false">IF(A957="","",YEAR(A957))</f>
        <v>2026</v>
      </c>
      <c r="L957" s="26" t="n">
        <f aca="false">IF(A957="","",MONTH(A957))</f>
        <v>6</v>
      </c>
    </row>
    <row r="958" customFormat="false" ht="15" hidden="false" customHeight="false" outlineLevel="0" collapsed="false">
      <c r="A958" s="23" t="n">
        <v>46184.3277777778</v>
      </c>
      <c r="B958" s="24" t="s">
        <v>1079</v>
      </c>
      <c r="C958" s="24" t="s">
        <v>1080</v>
      </c>
      <c r="D958" s="24" t="n">
        <v>3</v>
      </c>
      <c r="E958" s="25" t="n">
        <v>2500</v>
      </c>
      <c r="F958" s="25" t="n">
        <v>1600</v>
      </c>
      <c r="G958" s="24" t="s">
        <v>59</v>
      </c>
      <c r="H958" s="24" t="s">
        <v>60</v>
      </c>
      <c r="I958" s="28" t="n">
        <f aca="false">IF(A958="","",D958*E958)</f>
        <v>7500</v>
      </c>
      <c r="J958" s="28" t="n">
        <f aca="false">IF(A958="","",D958*F958)</f>
        <v>4800</v>
      </c>
      <c r="K958" s="26" t="n">
        <f aca="false">IF(A958="","",YEAR(A958))</f>
        <v>2026</v>
      </c>
      <c r="L958" s="26" t="n">
        <f aca="false">IF(A958="","",MONTH(A958))</f>
        <v>6</v>
      </c>
    </row>
    <row r="959" customFormat="false" ht="15" hidden="false" customHeight="false" outlineLevel="0" collapsed="false">
      <c r="A959" s="23" t="n">
        <v>46184.4993055556</v>
      </c>
      <c r="B959" s="24" t="s">
        <v>1067</v>
      </c>
      <c r="C959" s="24" t="s">
        <v>1068</v>
      </c>
      <c r="D959" s="24" t="n">
        <v>2</v>
      </c>
      <c r="E959" s="25" t="n">
        <v>4000</v>
      </c>
      <c r="F959" s="25" t="n">
        <v>2600</v>
      </c>
      <c r="G959" s="24" t="s">
        <v>59</v>
      </c>
      <c r="H959" s="24" t="s">
        <v>55</v>
      </c>
      <c r="I959" s="28" t="n">
        <f aca="false">IF(A959="","",D959*E959)</f>
        <v>8000</v>
      </c>
      <c r="J959" s="28" t="n">
        <f aca="false">IF(A959="","",D959*F959)</f>
        <v>5200</v>
      </c>
      <c r="K959" s="26" t="n">
        <f aca="false">IF(A959="","",YEAR(A959))</f>
        <v>2026</v>
      </c>
      <c r="L959" s="26" t="n">
        <f aca="false">IF(A959="","",MONTH(A959))</f>
        <v>6</v>
      </c>
    </row>
    <row r="960" customFormat="false" ht="15" hidden="false" customHeight="false" outlineLevel="0" collapsed="false">
      <c r="A960" s="23" t="n">
        <v>46184.6513888889</v>
      </c>
      <c r="B960" s="24" t="s">
        <v>1067</v>
      </c>
      <c r="C960" s="24" t="s">
        <v>1068</v>
      </c>
      <c r="D960" s="24" t="n">
        <v>1</v>
      </c>
      <c r="E960" s="25" t="n">
        <v>4000</v>
      </c>
      <c r="F960" s="25" t="n">
        <v>2600</v>
      </c>
      <c r="G960" s="24" t="s">
        <v>59</v>
      </c>
      <c r="H960" s="24" t="s">
        <v>60</v>
      </c>
      <c r="I960" s="28" t="n">
        <f aca="false">IF(A960="","",D960*E960)</f>
        <v>4000</v>
      </c>
      <c r="J960" s="28" t="n">
        <f aca="false">IF(A960="","",D960*F960)</f>
        <v>2600</v>
      </c>
      <c r="K960" s="26" t="n">
        <f aca="false">IF(A960="","",YEAR(A960))</f>
        <v>2026</v>
      </c>
      <c r="L960" s="26" t="n">
        <f aca="false">IF(A960="","",MONTH(A960))</f>
        <v>6</v>
      </c>
    </row>
    <row r="961" customFormat="false" ht="15" hidden="false" customHeight="false" outlineLevel="0" collapsed="false">
      <c r="A961" s="23" t="n">
        <v>46184.8131944445</v>
      </c>
      <c r="B961" s="24" t="s">
        <v>1079</v>
      </c>
      <c r="C961" s="24" t="s">
        <v>1080</v>
      </c>
      <c r="D961" s="24" t="n">
        <v>1</v>
      </c>
      <c r="E961" s="25" t="n">
        <v>2500</v>
      </c>
      <c r="F961" s="25" t="n">
        <v>1600</v>
      </c>
      <c r="G961" s="24" t="s">
        <v>59</v>
      </c>
      <c r="H961" s="24" t="s">
        <v>80</v>
      </c>
      <c r="I961" s="28" t="n">
        <f aca="false">IF(A961="","",D961*E961)</f>
        <v>2500</v>
      </c>
      <c r="J961" s="28" t="n">
        <f aca="false">IF(A961="","",D961*F961)</f>
        <v>1600</v>
      </c>
      <c r="K961" s="26" t="n">
        <f aca="false">IF(A961="","",YEAR(A961))</f>
        <v>2026</v>
      </c>
      <c r="L961" s="26" t="n">
        <f aca="false">IF(A961="","",MONTH(A961))</f>
        <v>6</v>
      </c>
    </row>
    <row r="962" customFormat="false" ht="15" hidden="false" customHeight="false" outlineLevel="0" collapsed="false">
      <c r="A962" s="23" t="n">
        <v>46185.6402777778</v>
      </c>
      <c r="B962" s="24" t="s">
        <v>1065</v>
      </c>
      <c r="C962" s="24" t="s">
        <v>1066</v>
      </c>
      <c r="D962" s="24" t="n">
        <v>1</v>
      </c>
      <c r="E962" s="25" t="n">
        <v>3000</v>
      </c>
      <c r="F962" s="25" t="n">
        <v>2000</v>
      </c>
      <c r="G962" s="24" t="s">
        <v>59</v>
      </c>
      <c r="H962" s="24" t="s">
        <v>55</v>
      </c>
      <c r="I962" s="28" t="n">
        <f aca="false">IF(A962="","",D962*E962)</f>
        <v>3000</v>
      </c>
      <c r="J962" s="28" t="n">
        <f aca="false">IF(A962="","",D962*F962)</f>
        <v>2000</v>
      </c>
      <c r="K962" s="26" t="n">
        <f aca="false">IF(A962="","",YEAR(A962))</f>
        <v>2026</v>
      </c>
      <c r="L962" s="26" t="n">
        <f aca="false">IF(A962="","",MONTH(A962))</f>
        <v>6</v>
      </c>
    </row>
    <row r="963" customFormat="false" ht="15" hidden="false" customHeight="false" outlineLevel="0" collapsed="false">
      <c r="A963" s="23" t="n">
        <v>46185.9090277778</v>
      </c>
      <c r="B963" s="24" t="s">
        <v>1075</v>
      </c>
      <c r="C963" s="24" t="s">
        <v>1076</v>
      </c>
      <c r="D963" s="24" t="n">
        <v>3</v>
      </c>
      <c r="E963" s="25" t="n">
        <v>1000</v>
      </c>
      <c r="F963" s="25" t="n">
        <v>300</v>
      </c>
      <c r="G963" s="24" t="s">
        <v>59</v>
      </c>
      <c r="H963" s="24" t="s">
        <v>55</v>
      </c>
      <c r="I963" s="28" t="n">
        <f aca="false">IF(A963="","",D963*E963)</f>
        <v>3000</v>
      </c>
      <c r="J963" s="28" t="n">
        <f aca="false">IF(A963="","",D963*F963)</f>
        <v>900</v>
      </c>
      <c r="K963" s="26" t="n">
        <f aca="false">IF(A963="","",YEAR(A963))</f>
        <v>2026</v>
      </c>
      <c r="L963" s="26" t="n">
        <f aca="false">IF(A963="","",MONTH(A963))</f>
        <v>6</v>
      </c>
    </row>
    <row r="964" customFormat="false" ht="15" hidden="false" customHeight="false" outlineLevel="0" collapsed="false">
      <c r="A964" s="23" t="n">
        <v>46186.4798611111</v>
      </c>
      <c r="B964" s="24" t="s">
        <v>1077</v>
      </c>
      <c r="C964" s="24" t="s">
        <v>1078</v>
      </c>
      <c r="D964" s="24" t="n">
        <v>1</v>
      </c>
      <c r="E964" s="25" t="n">
        <v>1500</v>
      </c>
      <c r="F964" s="25" t="n">
        <v>900</v>
      </c>
      <c r="G964" s="24" t="s">
        <v>59</v>
      </c>
      <c r="H964" s="24" t="s">
        <v>80</v>
      </c>
      <c r="I964" s="28" t="n">
        <f aca="false">IF(A964="","",D964*E964)</f>
        <v>1500</v>
      </c>
      <c r="J964" s="28" t="n">
        <f aca="false">IF(A964="","",D964*F964)</f>
        <v>900</v>
      </c>
      <c r="K964" s="26" t="n">
        <f aca="false">IF(A964="","",YEAR(A964))</f>
        <v>2026</v>
      </c>
      <c r="L964" s="26" t="n">
        <f aca="false">IF(A964="","",MONTH(A964))</f>
        <v>6</v>
      </c>
    </row>
    <row r="965" customFormat="false" ht="15" hidden="false" customHeight="false" outlineLevel="0" collapsed="false">
      <c r="A965" s="23" t="n">
        <v>46186.73125</v>
      </c>
      <c r="B965" s="24" t="s">
        <v>1069</v>
      </c>
      <c r="C965" s="24" t="s">
        <v>1070</v>
      </c>
      <c r="D965" s="24" t="n">
        <v>1</v>
      </c>
      <c r="E965" s="25" t="n">
        <v>4500</v>
      </c>
      <c r="F965" s="25" t="n">
        <v>3000</v>
      </c>
      <c r="G965" s="24" t="s">
        <v>59</v>
      </c>
      <c r="H965" s="24" t="s">
        <v>55</v>
      </c>
      <c r="I965" s="28" t="n">
        <f aca="false">IF(A965="","",D965*E965)</f>
        <v>4500</v>
      </c>
      <c r="J965" s="28" t="n">
        <f aca="false">IF(A965="","",D965*F965)</f>
        <v>3000</v>
      </c>
      <c r="K965" s="26" t="n">
        <f aca="false">IF(A965="","",YEAR(A965))</f>
        <v>2026</v>
      </c>
      <c r="L965" s="26" t="n">
        <f aca="false">IF(A965="","",MONTH(A965))</f>
        <v>6</v>
      </c>
    </row>
    <row r="966" customFormat="false" ht="15" hidden="false" customHeight="false" outlineLevel="0" collapsed="false">
      <c r="A966" s="23" t="n">
        <v>46188.6097222222</v>
      </c>
      <c r="B966" s="24" t="s">
        <v>1079</v>
      </c>
      <c r="C966" s="24" t="s">
        <v>1080</v>
      </c>
      <c r="D966" s="24" t="n">
        <v>1</v>
      </c>
      <c r="E966" s="25" t="n">
        <v>2500</v>
      </c>
      <c r="F966" s="25" t="n">
        <v>1600</v>
      </c>
      <c r="G966" s="24" t="s">
        <v>59</v>
      </c>
      <c r="H966" s="24" t="s">
        <v>80</v>
      </c>
      <c r="I966" s="28" t="n">
        <f aca="false">IF(A966="","",D966*E966)</f>
        <v>2500</v>
      </c>
      <c r="J966" s="28" t="n">
        <f aca="false">IF(A966="","",D966*F966)</f>
        <v>1600</v>
      </c>
      <c r="K966" s="26" t="n">
        <f aca="false">IF(A966="","",YEAR(A966))</f>
        <v>2026</v>
      </c>
      <c r="L966" s="26" t="n">
        <f aca="false">IF(A966="","",MONTH(A966))</f>
        <v>6</v>
      </c>
    </row>
    <row r="967" customFormat="false" ht="15" hidden="false" customHeight="false" outlineLevel="0" collapsed="false">
      <c r="A967" s="23" t="n">
        <v>46188.875</v>
      </c>
      <c r="B967" s="24" t="s">
        <v>1071</v>
      </c>
      <c r="C967" s="24" t="s">
        <v>1072</v>
      </c>
      <c r="D967" s="24" t="n">
        <v>3</v>
      </c>
      <c r="E967" s="25" t="n">
        <v>2000</v>
      </c>
      <c r="F967" s="25" t="n">
        <v>1100</v>
      </c>
      <c r="G967" s="24" t="s">
        <v>59</v>
      </c>
      <c r="H967" s="24" t="s">
        <v>60</v>
      </c>
      <c r="I967" s="28" t="n">
        <f aca="false">IF(A967="","",D967*E967)</f>
        <v>6000</v>
      </c>
      <c r="J967" s="28" t="n">
        <f aca="false">IF(A967="","",D967*F967)</f>
        <v>3300</v>
      </c>
      <c r="K967" s="26" t="n">
        <f aca="false">IF(A967="","",YEAR(A967))</f>
        <v>2026</v>
      </c>
      <c r="L967" s="26" t="n">
        <f aca="false">IF(A967="","",MONTH(A967))</f>
        <v>6</v>
      </c>
    </row>
    <row r="968" customFormat="false" ht="15" hidden="false" customHeight="false" outlineLevel="0" collapsed="false">
      <c r="A968" s="23" t="n">
        <v>46189.4333333333</v>
      </c>
      <c r="B968" s="24" t="s">
        <v>1075</v>
      </c>
      <c r="C968" s="24" t="s">
        <v>1076</v>
      </c>
      <c r="D968" s="24" t="n">
        <v>1</v>
      </c>
      <c r="E968" s="25" t="n">
        <v>1000</v>
      </c>
      <c r="F968" s="25" t="n">
        <v>300</v>
      </c>
      <c r="G968" s="24" t="s">
        <v>69</v>
      </c>
      <c r="H968" s="24" t="s">
        <v>60</v>
      </c>
      <c r="I968" s="28" t="n">
        <f aca="false">IF(A968="","",D968*E968)</f>
        <v>1000</v>
      </c>
      <c r="J968" s="28" t="n">
        <f aca="false">IF(A968="","",D968*F968)</f>
        <v>300</v>
      </c>
      <c r="K968" s="26" t="n">
        <f aca="false">IF(A968="","",YEAR(A968))</f>
        <v>2026</v>
      </c>
      <c r="L968" s="26" t="n">
        <f aca="false">IF(A968="","",MONTH(A968))</f>
        <v>6</v>
      </c>
    </row>
    <row r="969" customFormat="false" ht="15" hidden="false" customHeight="false" outlineLevel="0" collapsed="false">
      <c r="A969" s="23" t="n">
        <v>46189.5479166667</v>
      </c>
      <c r="B969" s="24" t="s">
        <v>1071</v>
      </c>
      <c r="C969" s="24" t="s">
        <v>1072</v>
      </c>
      <c r="D969" s="24" t="n">
        <v>3</v>
      </c>
      <c r="E969" s="25" t="n">
        <v>2000</v>
      </c>
      <c r="F969" s="25" t="n">
        <v>1100</v>
      </c>
      <c r="G969" s="24" t="s">
        <v>59</v>
      </c>
      <c r="H969" s="24" t="s">
        <v>60</v>
      </c>
      <c r="I969" s="28" t="n">
        <f aca="false">IF(A969="","",D969*E969)</f>
        <v>6000</v>
      </c>
      <c r="J969" s="28" t="n">
        <f aca="false">IF(A969="","",D969*F969)</f>
        <v>3300</v>
      </c>
      <c r="K969" s="26" t="n">
        <f aca="false">IF(A969="","",YEAR(A969))</f>
        <v>2026</v>
      </c>
      <c r="L969" s="26" t="n">
        <f aca="false">IF(A969="","",MONTH(A969))</f>
        <v>6</v>
      </c>
    </row>
    <row r="970" customFormat="false" ht="15" hidden="false" customHeight="false" outlineLevel="0" collapsed="false">
      <c r="A970" s="23" t="n">
        <v>46191.3798611111</v>
      </c>
      <c r="B970" s="24" t="s">
        <v>1073</v>
      </c>
      <c r="C970" s="24" t="s">
        <v>1074</v>
      </c>
      <c r="D970" s="24" t="n">
        <v>3</v>
      </c>
      <c r="E970" s="25" t="n">
        <v>7000</v>
      </c>
      <c r="F970" s="25" t="n">
        <v>4800</v>
      </c>
      <c r="G970" s="24" t="s">
        <v>59</v>
      </c>
      <c r="H970" s="24" t="s">
        <v>80</v>
      </c>
      <c r="I970" s="28" t="n">
        <f aca="false">IF(A970="","",D970*E970)</f>
        <v>21000</v>
      </c>
      <c r="J970" s="28" t="n">
        <f aca="false">IF(A970="","",D970*F970)</f>
        <v>14400</v>
      </c>
      <c r="K970" s="26" t="n">
        <f aca="false">IF(A970="","",YEAR(A970))</f>
        <v>2026</v>
      </c>
      <c r="L970" s="26" t="n">
        <f aca="false">IF(A970="","",MONTH(A970))</f>
        <v>6</v>
      </c>
    </row>
    <row r="971" customFormat="false" ht="15" hidden="false" customHeight="false" outlineLevel="0" collapsed="false">
      <c r="A971" s="23" t="n">
        <v>46191.4333333333</v>
      </c>
      <c r="B971" s="24" t="s">
        <v>1069</v>
      </c>
      <c r="C971" s="24" t="s">
        <v>1070</v>
      </c>
      <c r="D971" s="24" t="n">
        <v>3</v>
      </c>
      <c r="E971" s="25" t="n">
        <v>4500</v>
      </c>
      <c r="F971" s="25" t="n">
        <v>3000</v>
      </c>
      <c r="G971" s="24" t="s">
        <v>69</v>
      </c>
      <c r="H971" s="24" t="s">
        <v>55</v>
      </c>
      <c r="I971" s="28" t="n">
        <f aca="false">IF(A971="","",D971*E971)</f>
        <v>13500</v>
      </c>
      <c r="J971" s="28" t="n">
        <f aca="false">IF(A971="","",D971*F971)</f>
        <v>9000</v>
      </c>
      <c r="K971" s="26" t="n">
        <f aca="false">IF(A971="","",YEAR(A971))</f>
        <v>2026</v>
      </c>
      <c r="L971" s="26" t="n">
        <f aca="false">IF(A971="","",MONTH(A971))</f>
        <v>6</v>
      </c>
    </row>
    <row r="972" customFormat="false" ht="15" hidden="false" customHeight="false" outlineLevel="0" collapsed="false">
      <c r="A972" s="23" t="n">
        <v>46191.5326388889</v>
      </c>
      <c r="B972" s="24" t="s">
        <v>1069</v>
      </c>
      <c r="C972" s="24" t="s">
        <v>1070</v>
      </c>
      <c r="D972" s="24" t="n">
        <v>1</v>
      </c>
      <c r="E972" s="25" t="n">
        <v>4500</v>
      </c>
      <c r="F972" s="25" t="n">
        <v>3000</v>
      </c>
      <c r="G972" s="24" t="s">
        <v>69</v>
      </c>
      <c r="H972" s="24" t="s">
        <v>80</v>
      </c>
      <c r="I972" s="28" t="n">
        <f aca="false">IF(A972="","",D972*E972)</f>
        <v>4500</v>
      </c>
      <c r="J972" s="28" t="n">
        <f aca="false">IF(A972="","",D972*F972)</f>
        <v>3000</v>
      </c>
      <c r="K972" s="26" t="n">
        <f aca="false">IF(A972="","",YEAR(A972))</f>
        <v>2026</v>
      </c>
      <c r="L972" s="26" t="n">
        <f aca="false">IF(A972="","",MONTH(A972))</f>
        <v>6</v>
      </c>
    </row>
    <row r="973" customFormat="false" ht="15" hidden="false" customHeight="false" outlineLevel="0" collapsed="false">
      <c r="A973" s="23" t="n">
        <v>46191.625</v>
      </c>
      <c r="B973" s="24" t="s">
        <v>1077</v>
      </c>
      <c r="C973" s="24" t="s">
        <v>1078</v>
      </c>
      <c r="D973" s="24" t="n">
        <v>1</v>
      </c>
      <c r="E973" s="25" t="n">
        <v>1500</v>
      </c>
      <c r="F973" s="25" t="n">
        <v>900</v>
      </c>
      <c r="G973" s="24" t="s">
        <v>59</v>
      </c>
      <c r="H973" s="24" t="s">
        <v>55</v>
      </c>
      <c r="I973" s="28" t="n">
        <f aca="false">IF(A973="","",D973*E973)</f>
        <v>1500</v>
      </c>
      <c r="J973" s="28" t="n">
        <f aca="false">IF(A973="","",D973*F973)</f>
        <v>900</v>
      </c>
      <c r="K973" s="26" t="n">
        <f aca="false">IF(A973="","",YEAR(A973))</f>
        <v>2026</v>
      </c>
      <c r="L973" s="26" t="n">
        <f aca="false">IF(A973="","",MONTH(A973))</f>
        <v>6</v>
      </c>
    </row>
    <row r="974" customFormat="false" ht="15" hidden="false" customHeight="false" outlineLevel="0" collapsed="false">
      <c r="A974" s="23" t="n">
        <v>46192.6347222222</v>
      </c>
      <c r="B974" s="24" t="s">
        <v>1067</v>
      </c>
      <c r="C974" s="24" t="s">
        <v>1068</v>
      </c>
      <c r="D974" s="24" t="n">
        <v>1</v>
      </c>
      <c r="E974" s="25" t="n">
        <v>4000</v>
      </c>
      <c r="F974" s="25" t="n">
        <v>2600</v>
      </c>
      <c r="G974" s="24" t="s">
        <v>69</v>
      </c>
      <c r="H974" s="24" t="s">
        <v>55</v>
      </c>
      <c r="I974" s="28" t="n">
        <f aca="false">IF(A974="","",D974*E974)</f>
        <v>4000</v>
      </c>
      <c r="J974" s="28" t="n">
        <f aca="false">IF(A974="","",D974*F974)</f>
        <v>2600</v>
      </c>
      <c r="K974" s="26" t="n">
        <f aca="false">IF(A974="","",YEAR(A974))</f>
        <v>2026</v>
      </c>
      <c r="L974" s="26" t="n">
        <f aca="false">IF(A974="","",MONTH(A974))</f>
        <v>6</v>
      </c>
    </row>
    <row r="975" customFormat="false" ht="15" hidden="false" customHeight="false" outlineLevel="0" collapsed="false">
      <c r="A975" s="23" t="n">
        <v>46192.8597222222</v>
      </c>
      <c r="B975" s="24" t="s">
        <v>1067</v>
      </c>
      <c r="C975" s="24" t="s">
        <v>1068</v>
      </c>
      <c r="D975" s="24" t="n">
        <v>1</v>
      </c>
      <c r="E975" s="25" t="n">
        <v>4000</v>
      </c>
      <c r="F975" s="25" t="n">
        <v>2600</v>
      </c>
      <c r="G975" s="24" t="s">
        <v>59</v>
      </c>
      <c r="H975" s="24" t="s">
        <v>80</v>
      </c>
      <c r="I975" s="28" t="n">
        <f aca="false">IF(A975="","",D975*E975)</f>
        <v>4000</v>
      </c>
      <c r="J975" s="28" t="n">
        <f aca="false">IF(A975="","",D975*F975)</f>
        <v>2600</v>
      </c>
      <c r="K975" s="26" t="n">
        <f aca="false">IF(A975="","",YEAR(A975))</f>
        <v>2026</v>
      </c>
      <c r="L975" s="26" t="n">
        <f aca="false">IF(A975="","",MONTH(A975))</f>
        <v>6</v>
      </c>
    </row>
    <row r="976" customFormat="false" ht="15" hidden="false" customHeight="false" outlineLevel="0" collapsed="false">
      <c r="A976" s="23" t="n">
        <v>46193.4104166667</v>
      </c>
      <c r="B976" s="24" t="s">
        <v>1069</v>
      </c>
      <c r="C976" s="24" t="s">
        <v>1070</v>
      </c>
      <c r="D976" s="24" t="n">
        <v>3</v>
      </c>
      <c r="E976" s="25" t="n">
        <v>4500</v>
      </c>
      <c r="F976" s="25" t="n">
        <v>3000</v>
      </c>
      <c r="G976" s="24" t="s">
        <v>59</v>
      </c>
      <c r="H976" s="24" t="s">
        <v>60</v>
      </c>
      <c r="I976" s="28" t="n">
        <f aca="false">IF(A976="","",D976*E976)</f>
        <v>13500</v>
      </c>
      <c r="J976" s="28" t="n">
        <f aca="false">IF(A976="","",D976*F976)</f>
        <v>9000</v>
      </c>
      <c r="K976" s="26" t="n">
        <f aca="false">IF(A976="","",YEAR(A976))</f>
        <v>2026</v>
      </c>
      <c r="L976" s="26" t="n">
        <f aca="false">IF(A976="","",MONTH(A976))</f>
        <v>6</v>
      </c>
    </row>
    <row r="977" customFormat="false" ht="15" hidden="false" customHeight="false" outlineLevel="0" collapsed="false">
      <c r="A977" s="23" t="n">
        <v>46193.4770833333</v>
      </c>
      <c r="B977" s="24" t="s">
        <v>1071</v>
      </c>
      <c r="C977" s="24" t="s">
        <v>1072</v>
      </c>
      <c r="D977" s="24" t="n">
        <v>3</v>
      </c>
      <c r="E977" s="25" t="n">
        <v>2000</v>
      </c>
      <c r="F977" s="25" t="n">
        <v>1100</v>
      </c>
      <c r="G977" s="24" t="s">
        <v>59</v>
      </c>
      <c r="H977" s="24" t="s">
        <v>60</v>
      </c>
      <c r="I977" s="28" t="n">
        <f aca="false">IF(A977="","",D977*E977)</f>
        <v>6000</v>
      </c>
      <c r="J977" s="28" t="n">
        <f aca="false">IF(A977="","",D977*F977)</f>
        <v>3300</v>
      </c>
      <c r="K977" s="26" t="n">
        <f aca="false">IF(A977="","",YEAR(A977))</f>
        <v>2026</v>
      </c>
      <c r="L977" s="26" t="n">
        <f aca="false">IF(A977="","",MONTH(A977))</f>
        <v>6</v>
      </c>
    </row>
    <row r="978" customFormat="false" ht="15" hidden="false" customHeight="false" outlineLevel="0" collapsed="false">
      <c r="A978" s="23" t="n">
        <v>46194.3388888889</v>
      </c>
      <c r="B978" s="24" t="s">
        <v>1071</v>
      </c>
      <c r="C978" s="24" t="s">
        <v>1072</v>
      </c>
      <c r="D978" s="24" t="n">
        <v>1</v>
      </c>
      <c r="E978" s="25" t="n">
        <v>2000</v>
      </c>
      <c r="F978" s="25" t="n">
        <v>1100</v>
      </c>
      <c r="G978" s="24" t="s">
        <v>59</v>
      </c>
      <c r="H978" s="24" t="s">
        <v>80</v>
      </c>
      <c r="I978" s="28" t="n">
        <f aca="false">IF(A978="","",D978*E978)</f>
        <v>2000</v>
      </c>
      <c r="J978" s="28" t="n">
        <f aca="false">IF(A978="","",D978*F978)</f>
        <v>1100</v>
      </c>
      <c r="K978" s="26" t="n">
        <f aca="false">IF(A978="","",YEAR(A978))</f>
        <v>2026</v>
      </c>
      <c r="L978" s="26" t="n">
        <f aca="false">IF(A978="","",MONTH(A978))</f>
        <v>6</v>
      </c>
    </row>
    <row r="979" customFormat="false" ht="15" hidden="false" customHeight="false" outlineLevel="0" collapsed="false">
      <c r="A979" s="23" t="n">
        <v>46194.4208333333</v>
      </c>
      <c r="B979" s="24" t="s">
        <v>1065</v>
      </c>
      <c r="C979" s="24" t="s">
        <v>1066</v>
      </c>
      <c r="D979" s="24" t="n">
        <v>1</v>
      </c>
      <c r="E979" s="25" t="n">
        <v>3000</v>
      </c>
      <c r="F979" s="25" t="n">
        <v>2000</v>
      </c>
      <c r="G979" s="24" t="s">
        <v>59</v>
      </c>
      <c r="H979" s="24" t="s">
        <v>55</v>
      </c>
      <c r="I979" s="28" t="n">
        <f aca="false">IF(A979="","",D979*E979)</f>
        <v>3000</v>
      </c>
      <c r="J979" s="28" t="n">
        <f aca="false">IF(A979="","",D979*F979)</f>
        <v>2000</v>
      </c>
      <c r="K979" s="26" t="n">
        <f aca="false">IF(A979="","",YEAR(A979))</f>
        <v>2026</v>
      </c>
      <c r="L979" s="26" t="n">
        <f aca="false">IF(A979="","",MONTH(A979))</f>
        <v>6</v>
      </c>
    </row>
    <row r="980" customFormat="false" ht="15" hidden="false" customHeight="false" outlineLevel="0" collapsed="false">
      <c r="A980" s="23" t="n">
        <v>46194.5868055556</v>
      </c>
      <c r="B980" s="24" t="s">
        <v>1079</v>
      </c>
      <c r="C980" s="24" t="s">
        <v>1080</v>
      </c>
      <c r="D980" s="24" t="n">
        <v>2</v>
      </c>
      <c r="E980" s="25" t="n">
        <v>2500</v>
      </c>
      <c r="F980" s="25" t="n">
        <v>1600</v>
      </c>
      <c r="G980" s="24" t="s">
        <v>59</v>
      </c>
      <c r="H980" s="24" t="s">
        <v>60</v>
      </c>
      <c r="I980" s="28" t="n">
        <f aca="false">IF(A980="","",D980*E980)</f>
        <v>5000</v>
      </c>
      <c r="J980" s="28" t="n">
        <f aca="false">IF(A980="","",D980*F980)</f>
        <v>3200</v>
      </c>
      <c r="K980" s="26" t="n">
        <f aca="false">IF(A980="","",YEAR(A980))</f>
        <v>2026</v>
      </c>
      <c r="L980" s="26" t="n">
        <f aca="false">IF(A980="","",MONTH(A980))</f>
        <v>6</v>
      </c>
    </row>
    <row r="981" customFormat="false" ht="15" hidden="false" customHeight="false" outlineLevel="0" collapsed="false">
      <c r="A981" s="23" t="n">
        <v>46194.5951388889</v>
      </c>
      <c r="B981" s="24" t="s">
        <v>1065</v>
      </c>
      <c r="C981" s="24" t="s">
        <v>1066</v>
      </c>
      <c r="D981" s="24" t="n">
        <v>1</v>
      </c>
      <c r="E981" s="25" t="n">
        <v>3000</v>
      </c>
      <c r="F981" s="25" t="n">
        <v>2000</v>
      </c>
      <c r="G981" s="24" t="s">
        <v>59</v>
      </c>
      <c r="H981" s="24" t="s">
        <v>55</v>
      </c>
      <c r="I981" s="28" t="n">
        <f aca="false">IF(A981="","",D981*E981)</f>
        <v>3000</v>
      </c>
      <c r="J981" s="28" t="n">
        <f aca="false">IF(A981="","",D981*F981)</f>
        <v>2000</v>
      </c>
      <c r="K981" s="26" t="n">
        <f aca="false">IF(A981="","",YEAR(A981))</f>
        <v>2026</v>
      </c>
      <c r="L981" s="26" t="n">
        <f aca="false">IF(A981="","",MONTH(A981))</f>
        <v>6</v>
      </c>
    </row>
    <row r="982" customFormat="false" ht="15" hidden="false" customHeight="false" outlineLevel="0" collapsed="false">
      <c r="A982" s="23" t="n">
        <v>46194.6416666667</v>
      </c>
      <c r="B982" s="24" t="s">
        <v>1065</v>
      </c>
      <c r="C982" s="24" t="s">
        <v>1066</v>
      </c>
      <c r="D982" s="24" t="n">
        <v>2</v>
      </c>
      <c r="E982" s="25" t="n">
        <v>3000</v>
      </c>
      <c r="F982" s="25" t="n">
        <v>2000</v>
      </c>
      <c r="G982" s="24" t="s">
        <v>69</v>
      </c>
      <c r="H982" s="24" t="s">
        <v>80</v>
      </c>
      <c r="I982" s="28" t="n">
        <f aca="false">IF(A982="","",D982*E982)</f>
        <v>6000</v>
      </c>
      <c r="J982" s="28" t="n">
        <f aca="false">IF(A982="","",D982*F982)</f>
        <v>4000</v>
      </c>
      <c r="K982" s="26" t="n">
        <f aca="false">IF(A982="","",YEAR(A982))</f>
        <v>2026</v>
      </c>
      <c r="L982" s="26" t="n">
        <f aca="false">IF(A982="","",MONTH(A982))</f>
        <v>6</v>
      </c>
    </row>
    <row r="983" customFormat="false" ht="15" hidden="false" customHeight="false" outlineLevel="0" collapsed="false">
      <c r="A983" s="23" t="n">
        <v>46195.4583333333</v>
      </c>
      <c r="B983" s="24" t="s">
        <v>1065</v>
      </c>
      <c r="C983" s="24" t="s">
        <v>1066</v>
      </c>
      <c r="D983" s="24" t="n">
        <v>1</v>
      </c>
      <c r="E983" s="25" t="n">
        <v>3000</v>
      </c>
      <c r="F983" s="25" t="n">
        <v>2000</v>
      </c>
      <c r="G983" s="24" t="s">
        <v>59</v>
      </c>
      <c r="H983" s="24" t="s">
        <v>80</v>
      </c>
      <c r="I983" s="28" t="n">
        <f aca="false">IF(A983="","",D983*E983)</f>
        <v>3000</v>
      </c>
      <c r="J983" s="28" t="n">
        <f aca="false">IF(A983="","",D983*F983)</f>
        <v>2000</v>
      </c>
      <c r="K983" s="26" t="n">
        <f aca="false">IF(A983="","",YEAR(A983))</f>
        <v>2026</v>
      </c>
      <c r="L983" s="26" t="n">
        <f aca="false">IF(A983="","",MONTH(A983))</f>
        <v>6</v>
      </c>
    </row>
    <row r="984" customFormat="false" ht="15" hidden="false" customHeight="false" outlineLevel="0" collapsed="false">
      <c r="A984" s="23" t="n">
        <v>46196.4048611111</v>
      </c>
      <c r="B984" s="24" t="s">
        <v>1067</v>
      </c>
      <c r="C984" s="24" t="s">
        <v>1068</v>
      </c>
      <c r="D984" s="24" t="n">
        <v>1</v>
      </c>
      <c r="E984" s="25" t="n">
        <v>4000</v>
      </c>
      <c r="F984" s="25" t="n">
        <v>2600</v>
      </c>
      <c r="G984" s="24" t="s">
        <v>59</v>
      </c>
      <c r="H984" s="24" t="s">
        <v>60</v>
      </c>
      <c r="I984" s="28" t="n">
        <f aca="false">IF(A984="","",D984*E984)</f>
        <v>4000</v>
      </c>
      <c r="J984" s="28" t="n">
        <f aca="false">IF(A984="","",D984*F984)</f>
        <v>2600</v>
      </c>
      <c r="K984" s="26" t="n">
        <f aca="false">IF(A984="","",YEAR(A984))</f>
        <v>2026</v>
      </c>
      <c r="L984" s="26" t="n">
        <f aca="false">IF(A984="","",MONTH(A984))</f>
        <v>6</v>
      </c>
    </row>
    <row r="985" customFormat="false" ht="15" hidden="false" customHeight="false" outlineLevel="0" collapsed="false">
      <c r="A985" s="23" t="n">
        <v>46196.8409722222</v>
      </c>
      <c r="B985" s="24" t="s">
        <v>1071</v>
      </c>
      <c r="C985" s="24" t="s">
        <v>1072</v>
      </c>
      <c r="D985" s="24" t="n">
        <v>2</v>
      </c>
      <c r="E985" s="25" t="n">
        <v>2000</v>
      </c>
      <c r="F985" s="25" t="n">
        <v>1100</v>
      </c>
      <c r="G985" s="24" t="s">
        <v>59</v>
      </c>
      <c r="H985" s="24" t="s">
        <v>60</v>
      </c>
      <c r="I985" s="28" t="n">
        <f aca="false">IF(A985="","",D985*E985)</f>
        <v>4000</v>
      </c>
      <c r="J985" s="28" t="n">
        <f aca="false">IF(A985="","",D985*F985)</f>
        <v>2200</v>
      </c>
      <c r="K985" s="26" t="n">
        <f aca="false">IF(A985="","",YEAR(A985))</f>
        <v>2026</v>
      </c>
      <c r="L985" s="26" t="n">
        <f aca="false">IF(A985="","",MONTH(A985))</f>
        <v>6</v>
      </c>
    </row>
    <row r="986" customFormat="false" ht="15" hidden="false" customHeight="false" outlineLevel="0" collapsed="false">
      <c r="A986" s="23" t="n">
        <v>46197.3090277778</v>
      </c>
      <c r="B986" s="24" t="s">
        <v>1077</v>
      </c>
      <c r="C986" s="24" t="s">
        <v>1078</v>
      </c>
      <c r="D986" s="24" t="n">
        <v>1</v>
      </c>
      <c r="E986" s="25" t="n">
        <v>1500</v>
      </c>
      <c r="F986" s="25" t="n">
        <v>900</v>
      </c>
      <c r="G986" s="24" t="s">
        <v>59</v>
      </c>
      <c r="H986" s="24" t="s">
        <v>80</v>
      </c>
      <c r="I986" s="28" t="n">
        <f aca="false">IF(A986="","",D986*E986)</f>
        <v>1500</v>
      </c>
      <c r="J986" s="28" t="n">
        <f aca="false">IF(A986="","",D986*F986)</f>
        <v>900</v>
      </c>
      <c r="K986" s="26" t="n">
        <f aca="false">IF(A986="","",YEAR(A986))</f>
        <v>2026</v>
      </c>
      <c r="L986" s="26" t="n">
        <f aca="false">IF(A986="","",MONTH(A986))</f>
        <v>6</v>
      </c>
    </row>
    <row r="987" customFormat="false" ht="15" hidden="false" customHeight="false" outlineLevel="0" collapsed="false">
      <c r="A987" s="23" t="n">
        <v>46197.4875</v>
      </c>
      <c r="B987" s="24" t="s">
        <v>1067</v>
      </c>
      <c r="C987" s="24" t="s">
        <v>1068</v>
      </c>
      <c r="D987" s="24" t="n">
        <v>2</v>
      </c>
      <c r="E987" s="25" t="n">
        <v>4000</v>
      </c>
      <c r="F987" s="25" t="n">
        <v>2600</v>
      </c>
      <c r="G987" s="24" t="s">
        <v>59</v>
      </c>
      <c r="H987" s="24" t="s">
        <v>80</v>
      </c>
      <c r="I987" s="28" t="n">
        <f aca="false">IF(A987="","",D987*E987)</f>
        <v>8000</v>
      </c>
      <c r="J987" s="28" t="n">
        <f aca="false">IF(A987="","",D987*F987)</f>
        <v>5200</v>
      </c>
      <c r="K987" s="26" t="n">
        <f aca="false">IF(A987="","",YEAR(A987))</f>
        <v>2026</v>
      </c>
      <c r="L987" s="26" t="n">
        <f aca="false">IF(A987="","",MONTH(A987))</f>
        <v>6</v>
      </c>
    </row>
    <row r="988" customFormat="false" ht="15" hidden="false" customHeight="false" outlineLevel="0" collapsed="false">
      <c r="A988" s="23" t="n">
        <v>46198.4305555556</v>
      </c>
      <c r="B988" s="24" t="s">
        <v>1077</v>
      </c>
      <c r="C988" s="24" t="s">
        <v>1078</v>
      </c>
      <c r="D988" s="24" t="n">
        <v>2</v>
      </c>
      <c r="E988" s="25" t="n">
        <v>1500</v>
      </c>
      <c r="F988" s="25" t="n">
        <v>900</v>
      </c>
      <c r="G988" s="24" t="s">
        <v>69</v>
      </c>
      <c r="H988" s="24" t="s">
        <v>80</v>
      </c>
      <c r="I988" s="28" t="n">
        <f aca="false">IF(A988="","",D988*E988)</f>
        <v>3000</v>
      </c>
      <c r="J988" s="28" t="n">
        <f aca="false">IF(A988="","",D988*F988)</f>
        <v>1800</v>
      </c>
      <c r="K988" s="26" t="n">
        <f aca="false">IF(A988="","",YEAR(A988))</f>
        <v>2026</v>
      </c>
      <c r="L988" s="26" t="n">
        <f aca="false">IF(A988="","",MONTH(A988))</f>
        <v>6</v>
      </c>
    </row>
    <row r="989" customFormat="false" ht="15" hidden="false" customHeight="false" outlineLevel="0" collapsed="false">
      <c r="A989" s="23" t="n">
        <v>46198.4479166667</v>
      </c>
      <c r="B989" s="24" t="s">
        <v>1067</v>
      </c>
      <c r="C989" s="24" t="s">
        <v>1068</v>
      </c>
      <c r="D989" s="24" t="n">
        <v>1</v>
      </c>
      <c r="E989" s="25" t="n">
        <v>4000</v>
      </c>
      <c r="F989" s="25" t="n">
        <v>2600</v>
      </c>
      <c r="G989" s="24" t="s">
        <v>59</v>
      </c>
      <c r="H989" s="24" t="s">
        <v>80</v>
      </c>
      <c r="I989" s="28" t="n">
        <f aca="false">IF(A989="","",D989*E989)</f>
        <v>4000</v>
      </c>
      <c r="J989" s="28" t="n">
        <f aca="false">IF(A989="","",D989*F989)</f>
        <v>2600</v>
      </c>
      <c r="K989" s="26" t="n">
        <f aca="false">IF(A989="","",YEAR(A989))</f>
        <v>2026</v>
      </c>
      <c r="L989" s="26" t="n">
        <f aca="false">IF(A989="","",MONTH(A989))</f>
        <v>6</v>
      </c>
    </row>
    <row r="990" customFormat="false" ht="15" hidden="false" customHeight="false" outlineLevel="0" collapsed="false">
      <c r="A990" s="23" t="n">
        <v>46198.5729166667</v>
      </c>
      <c r="B990" s="24" t="s">
        <v>1071</v>
      </c>
      <c r="C990" s="24" t="s">
        <v>1072</v>
      </c>
      <c r="D990" s="24" t="n">
        <v>3</v>
      </c>
      <c r="E990" s="25" t="n">
        <v>2000</v>
      </c>
      <c r="F990" s="25" t="n">
        <v>1100</v>
      </c>
      <c r="G990" s="24" t="s">
        <v>59</v>
      </c>
      <c r="H990" s="24" t="s">
        <v>55</v>
      </c>
      <c r="I990" s="28" t="n">
        <f aca="false">IF(A990="","",D990*E990)</f>
        <v>6000</v>
      </c>
      <c r="J990" s="28" t="n">
        <f aca="false">IF(A990="","",D990*F990)</f>
        <v>3300</v>
      </c>
      <c r="K990" s="26" t="n">
        <f aca="false">IF(A990="","",YEAR(A990))</f>
        <v>2026</v>
      </c>
      <c r="L990" s="26" t="n">
        <f aca="false">IF(A990="","",MONTH(A990))</f>
        <v>6</v>
      </c>
    </row>
    <row r="991" customFormat="false" ht="15" hidden="false" customHeight="false" outlineLevel="0" collapsed="false">
      <c r="A991" s="23" t="n">
        <v>46199.3236111111</v>
      </c>
      <c r="B991" s="24" t="s">
        <v>1069</v>
      </c>
      <c r="C991" s="24" t="s">
        <v>1070</v>
      </c>
      <c r="D991" s="24" t="n">
        <v>1</v>
      </c>
      <c r="E991" s="25" t="n">
        <v>4500</v>
      </c>
      <c r="F991" s="25" t="n">
        <v>3000</v>
      </c>
      <c r="G991" s="24" t="s">
        <v>59</v>
      </c>
      <c r="H991" s="24" t="s">
        <v>55</v>
      </c>
      <c r="I991" s="28" t="n">
        <f aca="false">IF(A991="","",D991*E991)</f>
        <v>4500</v>
      </c>
      <c r="J991" s="28" t="n">
        <f aca="false">IF(A991="","",D991*F991)</f>
        <v>3000</v>
      </c>
      <c r="K991" s="26" t="n">
        <f aca="false">IF(A991="","",YEAR(A991))</f>
        <v>2026</v>
      </c>
      <c r="L991" s="26" t="n">
        <f aca="false">IF(A991="","",MONTH(A991))</f>
        <v>6</v>
      </c>
    </row>
    <row r="992" customFormat="false" ht="15" hidden="false" customHeight="false" outlineLevel="0" collapsed="false">
      <c r="A992" s="23" t="n">
        <v>46199.3861111111</v>
      </c>
      <c r="B992" s="24" t="s">
        <v>1077</v>
      </c>
      <c r="C992" s="24" t="s">
        <v>1078</v>
      </c>
      <c r="D992" s="24" t="n">
        <v>3</v>
      </c>
      <c r="E992" s="25" t="n">
        <v>1500</v>
      </c>
      <c r="F992" s="25" t="n">
        <v>900</v>
      </c>
      <c r="G992" s="24" t="s">
        <v>59</v>
      </c>
      <c r="H992" s="24" t="s">
        <v>55</v>
      </c>
      <c r="I992" s="28" t="n">
        <f aca="false">IF(A992="","",D992*E992)</f>
        <v>4500</v>
      </c>
      <c r="J992" s="28" t="n">
        <f aca="false">IF(A992="","",D992*F992)</f>
        <v>2700</v>
      </c>
      <c r="K992" s="26" t="n">
        <f aca="false">IF(A992="","",YEAR(A992))</f>
        <v>2026</v>
      </c>
      <c r="L992" s="26" t="n">
        <f aca="false">IF(A992="","",MONTH(A992))</f>
        <v>6</v>
      </c>
    </row>
    <row r="993" customFormat="false" ht="15" hidden="false" customHeight="false" outlineLevel="0" collapsed="false">
      <c r="A993" s="23" t="n">
        <v>46199.4270833333</v>
      </c>
      <c r="B993" s="24" t="s">
        <v>1075</v>
      </c>
      <c r="C993" s="24" t="s">
        <v>1076</v>
      </c>
      <c r="D993" s="24" t="n">
        <v>3</v>
      </c>
      <c r="E993" s="25" t="n">
        <v>1000</v>
      </c>
      <c r="F993" s="25" t="n">
        <v>300</v>
      </c>
      <c r="G993" s="24" t="s">
        <v>69</v>
      </c>
      <c r="H993" s="24" t="s">
        <v>55</v>
      </c>
      <c r="I993" s="28" t="n">
        <f aca="false">IF(A993="","",D993*E993)</f>
        <v>3000</v>
      </c>
      <c r="J993" s="28" t="n">
        <f aca="false">IF(A993="","",D993*F993)</f>
        <v>900</v>
      </c>
      <c r="K993" s="26" t="n">
        <f aca="false">IF(A993="","",YEAR(A993))</f>
        <v>2026</v>
      </c>
      <c r="L993" s="26" t="n">
        <f aca="false">IF(A993="","",MONTH(A993))</f>
        <v>6</v>
      </c>
    </row>
    <row r="994" customFormat="false" ht="15" hidden="false" customHeight="false" outlineLevel="0" collapsed="false">
      <c r="A994" s="23" t="n">
        <v>46200.44375</v>
      </c>
      <c r="B994" s="24" t="s">
        <v>1079</v>
      </c>
      <c r="C994" s="24" t="s">
        <v>1080</v>
      </c>
      <c r="D994" s="24" t="n">
        <v>2</v>
      </c>
      <c r="E994" s="25" t="n">
        <v>2500</v>
      </c>
      <c r="F994" s="25" t="n">
        <v>1600</v>
      </c>
      <c r="G994" s="24" t="s">
        <v>69</v>
      </c>
      <c r="H994" s="24" t="s">
        <v>60</v>
      </c>
      <c r="I994" s="28" t="n">
        <f aca="false">IF(A994="","",D994*E994)</f>
        <v>5000</v>
      </c>
      <c r="J994" s="28" t="n">
        <f aca="false">IF(A994="","",D994*F994)</f>
        <v>3200</v>
      </c>
      <c r="K994" s="26" t="n">
        <f aca="false">IF(A994="","",YEAR(A994))</f>
        <v>2026</v>
      </c>
      <c r="L994" s="26" t="n">
        <f aca="false">IF(A994="","",MONTH(A994))</f>
        <v>6</v>
      </c>
    </row>
    <row r="995" customFormat="false" ht="15" hidden="false" customHeight="false" outlineLevel="0" collapsed="false">
      <c r="A995" s="23" t="n">
        <v>46201.8597222222</v>
      </c>
      <c r="B995" s="24" t="s">
        <v>1071</v>
      </c>
      <c r="C995" s="24" t="s">
        <v>1072</v>
      </c>
      <c r="D995" s="24" t="n">
        <v>3</v>
      </c>
      <c r="E995" s="25" t="n">
        <v>2000</v>
      </c>
      <c r="F995" s="25" t="n">
        <v>1100</v>
      </c>
      <c r="G995" s="24" t="s">
        <v>59</v>
      </c>
      <c r="H995" s="24" t="s">
        <v>55</v>
      </c>
      <c r="I995" s="28" t="n">
        <f aca="false">IF(A995="","",D995*E995)</f>
        <v>6000</v>
      </c>
      <c r="J995" s="28" t="n">
        <f aca="false">IF(A995="","",D995*F995)</f>
        <v>3300</v>
      </c>
      <c r="K995" s="26" t="n">
        <f aca="false">IF(A995="","",YEAR(A995))</f>
        <v>2026</v>
      </c>
      <c r="L995" s="26" t="n">
        <f aca="false">IF(A995="","",MONTH(A995))</f>
        <v>6</v>
      </c>
    </row>
    <row r="996" customFormat="false" ht="15" hidden="false" customHeight="false" outlineLevel="0" collapsed="false">
      <c r="A996" s="23" t="n">
        <v>46204.4270833333</v>
      </c>
      <c r="B996" s="24" t="s">
        <v>1075</v>
      </c>
      <c r="C996" s="24" t="s">
        <v>1076</v>
      </c>
      <c r="D996" s="24" t="n">
        <v>2</v>
      </c>
      <c r="E996" s="25" t="n">
        <v>1000</v>
      </c>
      <c r="F996" s="25" t="n">
        <v>300</v>
      </c>
      <c r="G996" s="24" t="s">
        <v>69</v>
      </c>
      <c r="H996" s="24" t="s">
        <v>80</v>
      </c>
      <c r="I996" s="28" t="n">
        <f aca="false">IF(A996="","",D996*E996)</f>
        <v>2000</v>
      </c>
      <c r="J996" s="28" t="n">
        <f aca="false">IF(A996="","",D996*F996)</f>
        <v>600</v>
      </c>
      <c r="K996" s="26" t="n">
        <f aca="false">IF(A996="","",YEAR(A996))</f>
        <v>2026</v>
      </c>
      <c r="L996" s="26" t="n">
        <f aca="false">IF(A996="","",MONTH(A996))</f>
        <v>7</v>
      </c>
    </row>
    <row r="997" customFormat="false" ht="15" hidden="false" customHeight="false" outlineLevel="0" collapsed="false">
      <c r="A997" s="23" t="n">
        <v>46204.4395833333</v>
      </c>
      <c r="B997" s="24" t="s">
        <v>1075</v>
      </c>
      <c r="C997" s="24" t="s">
        <v>1076</v>
      </c>
      <c r="D997" s="24" t="n">
        <v>2</v>
      </c>
      <c r="E997" s="25" t="n">
        <v>1000</v>
      </c>
      <c r="F997" s="25" t="n">
        <v>300</v>
      </c>
      <c r="G997" s="24" t="s">
        <v>59</v>
      </c>
      <c r="H997" s="24" t="s">
        <v>55</v>
      </c>
      <c r="I997" s="28" t="n">
        <f aca="false">IF(A997="","",D997*E997)</f>
        <v>2000</v>
      </c>
      <c r="J997" s="28" t="n">
        <f aca="false">IF(A997="","",D997*F997)</f>
        <v>600</v>
      </c>
      <c r="K997" s="26" t="n">
        <f aca="false">IF(A997="","",YEAR(A997))</f>
        <v>2026</v>
      </c>
      <c r="L997" s="26" t="n">
        <f aca="false">IF(A997="","",MONTH(A997))</f>
        <v>7</v>
      </c>
    </row>
    <row r="998" customFormat="false" ht="15" hidden="false" customHeight="false" outlineLevel="0" collapsed="false">
      <c r="A998" s="23" t="n">
        <v>46204.7798611111</v>
      </c>
      <c r="B998" s="24" t="s">
        <v>1069</v>
      </c>
      <c r="C998" s="24" t="s">
        <v>1070</v>
      </c>
      <c r="D998" s="24" t="n">
        <v>1</v>
      </c>
      <c r="E998" s="25" t="n">
        <v>4500</v>
      </c>
      <c r="F998" s="25" t="n">
        <v>3000</v>
      </c>
      <c r="G998" s="24" t="s">
        <v>69</v>
      </c>
      <c r="H998" s="24" t="s">
        <v>80</v>
      </c>
      <c r="I998" s="28" t="n">
        <f aca="false">IF(A998="","",D998*E998)</f>
        <v>4500</v>
      </c>
      <c r="J998" s="28" t="n">
        <f aca="false">IF(A998="","",D998*F998)</f>
        <v>3000</v>
      </c>
      <c r="K998" s="26" t="n">
        <f aca="false">IF(A998="","",YEAR(A998))</f>
        <v>2026</v>
      </c>
      <c r="L998" s="26" t="n">
        <f aca="false">IF(A998="","",MONTH(A998))</f>
        <v>7</v>
      </c>
    </row>
    <row r="999" customFormat="false" ht="15" hidden="false" customHeight="false" outlineLevel="0" collapsed="false">
      <c r="A999" s="23" t="n">
        <v>46205.3229166667</v>
      </c>
      <c r="B999" s="24" t="s">
        <v>1067</v>
      </c>
      <c r="C999" s="24" t="s">
        <v>1068</v>
      </c>
      <c r="D999" s="24" t="n">
        <v>3</v>
      </c>
      <c r="E999" s="25" t="n">
        <v>4000</v>
      </c>
      <c r="F999" s="25" t="n">
        <v>2600</v>
      </c>
      <c r="G999" s="24" t="s">
        <v>59</v>
      </c>
      <c r="H999" s="24" t="s">
        <v>80</v>
      </c>
      <c r="I999" s="28" t="n">
        <f aca="false">IF(A999="","",D999*E999)</f>
        <v>12000</v>
      </c>
      <c r="J999" s="28" t="n">
        <f aca="false">IF(A999="","",D999*F999)</f>
        <v>7800</v>
      </c>
      <c r="K999" s="26" t="n">
        <f aca="false">IF(A999="","",YEAR(A999))</f>
        <v>2026</v>
      </c>
      <c r="L999" s="26" t="n">
        <f aca="false">IF(A999="","",MONTH(A999))</f>
        <v>7</v>
      </c>
    </row>
    <row r="1000" customFormat="false" ht="15" hidden="false" customHeight="false" outlineLevel="0" collapsed="false">
      <c r="A1000" s="23" t="n">
        <v>46205.61875</v>
      </c>
      <c r="B1000" s="24" t="s">
        <v>1077</v>
      </c>
      <c r="C1000" s="24" t="s">
        <v>1078</v>
      </c>
      <c r="D1000" s="24" t="n">
        <v>2</v>
      </c>
      <c r="E1000" s="25" t="n">
        <v>1500</v>
      </c>
      <c r="F1000" s="25" t="n">
        <v>900</v>
      </c>
      <c r="G1000" s="24" t="s">
        <v>59</v>
      </c>
      <c r="H1000" s="24" t="s">
        <v>60</v>
      </c>
      <c r="I1000" s="28" t="n">
        <f aca="false">IF(A1000="","",D1000*E1000)</f>
        <v>3000</v>
      </c>
      <c r="J1000" s="28" t="n">
        <f aca="false">IF(A1000="","",D1000*F1000)</f>
        <v>1800</v>
      </c>
      <c r="K1000" s="26" t="n">
        <f aca="false">IF(A1000="","",YEAR(A1000))</f>
        <v>2026</v>
      </c>
      <c r="L1000" s="26" t="n">
        <f aca="false">IF(A1000="","",MONTH(A1000))</f>
        <v>7</v>
      </c>
    </row>
    <row r="1001" customFormat="false" ht="15" hidden="false" customHeight="false" outlineLevel="0" collapsed="false">
      <c r="A1001" s="23" t="n">
        <v>46205.6583333333</v>
      </c>
      <c r="B1001" s="24" t="s">
        <v>1067</v>
      </c>
      <c r="C1001" s="24" t="s">
        <v>1068</v>
      </c>
      <c r="D1001" s="24" t="n">
        <v>1</v>
      </c>
      <c r="E1001" s="25" t="n">
        <v>4000</v>
      </c>
      <c r="F1001" s="25" t="n">
        <v>2600</v>
      </c>
      <c r="G1001" s="24" t="s">
        <v>59</v>
      </c>
      <c r="H1001" s="24" t="s">
        <v>55</v>
      </c>
      <c r="I1001" s="28" t="n">
        <f aca="false">IF(A1001="","",D1001*E1001)</f>
        <v>4000</v>
      </c>
      <c r="J1001" s="28" t="n">
        <f aca="false">IF(A1001="","",D1001*F1001)</f>
        <v>2600</v>
      </c>
      <c r="K1001" s="26" t="n">
        <f aca="false">IF(A1001="","",YEAR(A1001))</f>
        <v>2026</v>
      </c>
      <c r="L1001" s="26" t="n">
        <f aca="false">IF(A1001="","",MONTH(A1001))</f>
        <v>7</v>
      </c>
    </row>
    <row r="1002" customFormat="false" ht="15" hidden="false" customHeight="false" outlineLevel="0" collapsed="false">
      <c r="A1002" s="23" t="n">
        <v>46206.3166666667</v>
      </c>
      <c r="B1002" s="24" t="s">
        <v>1079</v>
      </c>
      <c r="C1002" s="24" t="s">
        <v>1080</v>
      </c>
      <c r="D1002" s="24" t="n">
        <v>3</v>
      </c>
      <c r="E1002" s="25" t="n">
        <v>2500</v>
      </c>
      <c r="F1002" s="25" t="n">
        <v>1600</v>
      </c>
      <c r="G1002" s="24" t="s">
        <v>59</v>
      </c>
      <c r="H1002" s="24" t="s">
        <v>55</v>
      </c>
      <c r="I1002" s="28" t="n">
        <f aca="false">IF(A1002="","",D1002*E1002)</f>
        <v>7500</v>
      </c>
      <c r="J1002" s="28" t="n">
        <f aca="false">IF(A1002="","",D1002*F1002)</f>
        <v>4800</v>
      </c>
      <c r="K1002" s="26" t="n">
        <f aca="false">IF(A1002="","",YEAR(A1002))</f>
        <v>2026</v>
      </c>
      <c r="L1002" s="26" t="n">
        <f aca="false">IF(A1002="","",MONTH(A1002))</f>
        <v>7</v>
      </c>
    </row>
    <row r="1003" customFormat="false" ht="15" hidden="false" customHeight="false" outlineLevel="0" collapsed="false">
      <c r="A1003" s="23" t="n">
        <v>46206.3972222222</v>
      </c>
      <c r="B1003" s="24" t="s">
        <v>1077</v>
      </c>
      <c r="C1003" s="24" t="s">
        <v>1078</v>
      </c>
      <c r="D1003" s="24" t="n">
        <v>1</v>
      </c>
      <c r="E1003" s="25" t="n">
        <v>1500</v>
      </c>
      <c r="F1003" s="25" t="n">
        <v>900</v>
      </c>
      <c r="G1003" s="24" t="s">
        <v>59</v>
      </c>
      <c r="H1003" s="24" t="s">
        <v>60</v>
      </c>
      <c r="I1003" s="28" t="n">
        <f aca="false">IF(A1003="","",D1003*E1003)</f>
        <v>1500</v>
      </c>
      <c r="J1003" s="28" t="n">
        <f aca="false">IF(A1003="","",D1003*F1003)</f>
        <v>900</v>
      </c>
      <c r="K1003" s="26" t="n">
        <f aca="false">IF(A1003="","",YEAR(A1003))</f>
        <v>2026</v>
      </c>
      <c r="L1003" s="26" t="n">
        <f aca="false">IF(A1003="","",MONTH(A1003))</f>
        <v>7</v>
      </c>
    </row>
    <row r="1004" customFormat="false" ht="15" hidden="false" customHeight="false" outlineLevel="0" collapsed="false">
      <c r="A1004" s="23" t="n">
        <v>46206.8333333333</v>
      </c>
      <c r="B1004" s="24" t="s">
        <v>1073</v>
      </c>
      <c r="C1004" s="24" t="s">
        <v>1074</v>
      </c>
      <c r="D1004" s="24" t="n">
        <v>1</v>
      </c>
      <c r="E1004" s="25" t="n">
        <v>7000</v>
      </c>
      <c r="F1004" s="25" t="n">
        <v>4800</v>
      </c>
      <c r="G1004" s="24" t="s">
        <v>59</v>
      </c>
      <c r="H1004" s="24" t="s">
        <v>80</v>
      </c>
      <c r="I1004" s="28" t="n">
        <f aca="false">IF(A1004="","",D1004*E1004)</f>
        <v>7000</v>
      </c>
      <c r="J1004" s="28" t="n">
        <f aca="false">IF(A1004="","",D1004*F1004)</f>
        <v>4800</v>
      </c>
      <c r="K1004" s="26" t="n">
        <f aca="false">IF(A1004="","",YEAR(A1004))</f>
        <v>2026</v>
      </c>
      <c r="L1004" s="26" t="n">
        <f aca="false">IF(A1004="","",MONTH(A1004))</f>
        <v>7</v>
      </c>
    </row>
    <row r="1005" customFormat="false" ht="15" hidden="false" customHeight="false" outlineLevel="0" collapsed="false">
      <c r="A1005" s="23" t="n">
        <v>46207.3222222222</v>
      </c>
      <c r="B1005" s="24" t="s">
        <v>1071</v>
      </c>
      <c r="C1005" s="24" t="s">
        <v>1072</v>
      </c>
      <c r="D1005" s="24" t="n">
        <v>3</v>
      </c>
      <c r="E1005" s="25" t="n">
        <v>2000</v>
      </c>
      <c r="F1005" s="25" t="n">
        <v>1100</v>
      </c>
      <c r="G1005" s="24" t="s">
        <v>59</v>
      </c>
      <c r="H1005" s="24" t="s">
        <v>80</v>
      </c>
      <c r="I1005" s="28" t="n">
        <f aca="false">IF(A1005="","",D1005*E1005)</f>
        <v>6000</v>
      </c>
      <c r="J1005" s="28" t="n">
        <f aca="false">IF(A1005="","",D1005*F1005)</f>
        <v>3300</v>
      </c>
      <c r="K1005" s="26" t="n">
        <f aca="false">IF(A1005="","",YEAR(A1005))</f>
        <v>2026</v>
      </c>
      <c r="L1005" s="26" t="n">
        <f aca="false">IF(A1005="","",MONTH(A1005))</f>
        <v>7</v>
      </c>
    </row>
    <row r="1006" customFormat="false" ht="15" hidden="false" customHeight="false" outlineLevel="0" collapsed="false">
      <c r="A1006" s="23" t="n">
        <v>46207.5111111111</v>
      </c>
      <c r="B1006" s="24" t="s">
        <v>1079</v>
      </c>
      <c r="C1006" s="24" t="s">
        <v>1080</v>
      </c>
      <c r="D1006" s="24" t="n">
        <v>2</v>
      </c>
      <c r="E1006" s="25" t="n">
        <v>2500</v>
      </c>
      <c r="F1006" s="25" t="n">
        <v>1600</v>
      </c>
      <c r="G1006" s="24" t="s">
        <v>59</v>
      </c>
      <c r="H1006" s="24" t="s">
        <v>80</v>
      </c>
      <c r="I1006" s="28" t="n">
        <f aca="false">IF(A1006="","",D1006*E1006)</f>
        <v>5000</v>
      </c>
      <c r="J1006" s="28" t="n">
        <f aca="false">IF(A1006="","",D1006*F1006)</f>
        <v>3200</v>
      </c>
      <c r="K1006" s="26" t="n">
        <f aca="false">IF(A1006="","",YEAR(A1006))</f>
        <v>2026</v>
      </c>
      <c r="L1006" s="26" t="n">
        <f aca="false">IF(A1006="","",MONTH(A1006))</f>
        <v>7</v>
      </c>
    </row>
    <row r="1007" customFormat="false" ht="15" hidden="false" customHeight="false" outlineLevel="0" collapsed="false">
      <c r="A1007" s="23" t="n">
        <v>46208.5</v>
      </c>
      <c r="B1007" s="24" t="s">
        <v>1079</v>
      </c>
      <c r="C1007" s="24" t="s">
        <v>1080</v>
      </c>
      <c r="D1007" s="24" t="n">
        <v>1</v>
      </c>
      <c r="E1007" s="25" t="n">
        <v>2500</v>
      </c>
      <c r="F1007" s="25" t="n">
        <v>1600</v>
      </c>
      <c r="G1007" s="24" t="s">
        <v>59</v>
      </c>
      <c r="H1007" s="24" t="s">
        <v>80</v>
      </c>
      <c r="I1007" s="28" t="n">
        <f aca="false">IF(A1007="","",D1007*E1007)</f>
        <v>2500</v>
      </c>
      <c r="J1007" s="28" t="n">
        <f aca="false">IF(A1007="","",D1007*F1007)</f>
        <v>1600</v>
      </c>
      <c r="K1007" s="26" t="n">
        <f aca="false">IF(A1007="","",YEAR(A1007))</f>
        <v>2026</v>
      </c>
      <c r="L1007" s="26" t="n">
        <f aca="false">IF(A1007="","",MONTH(A1007))</f>
        <v>7</v>
      </c>
    </row>
    <row r="1008" customFormat="false" ht="15" hidden="false" customHeight="false" outlineLevel="0" collapsed="false">
      <c r="A1008" s="23" t="n">
        <v>46208.5513888889</v>
      </c>
      <c r="B1008" s="24" t="s">
        <v>1081</v>
      </c>
      <c r="C1008" s="24" t="s">
        <v>1082</v>
      </c>
      <c r="D1008" s="24" t="n">
        <v>1</v>
      </c>
      <c r="E1008" s="25" t="n">
        <v>2500</v>
      </c>
      <c r="F1008" s="25" t="n">
        <v>1500</v>
      </c>
      <c r="G1008" s="24" t="s">
        <v>59</v>
      </c>
      <c r="H1008" s="24" t="s">
        <v>55</v>
      </c>
      <c r="I1008" s="28" t="n">
        <f aca="false">IF(A1008="","",D1008*E1008)</f>
        <v>2500</v>
      </c>
      <c r="J1008" s="28" t="n">
        <f aca="false">IF(A1008="","",D1008*F1008)</f>
        <v>1500</v>
      </c>
      <c r="K1008" s="26" t="n">
        <f aca="false">IF(A1008="","",YEAR(A1008))</f>
        <v>2026</v>
      </c>
      <c r="L1008" s="26" t="n">
        <f aca="false">IF(A1008="","",MONTH(A1008))</f>
        <v>7</v>
      </c>
    </row>
    <row r="1009" customFormat="false" ht="15" hidden="false" customHeight="false" outlineLevel="0" collapsed="false">
      <c r="A1009" s="23" t="n">
        <v>46208.8590277778</v>
      </c>
      <c r="B1009" s="24" t="s">
        <v>1069</v>
      </c>
      <c r="C1009" s="24" t="s">
        <v>1070</v>
      </c>
      <c r="D1009" s="24" t="n">
        <v>1</v>
      </c>
      <c r="E1009" s="25" t="n">
        <v>4500</v>
      </c>
      <c r="F1009" s="25" t="n">
        <v>3000</v>
      </c>
      <c r="G1009" s="24" t="s">
        <v>59</v>
      </c>
      <c r="H1009" s="24" t="s">
        <v>60</v>
      </c>
      <c r="I1009" s="28" t="n">
        <f aca="false">IF(A1009="","",D1009*E1009)</f>
        <v>4500</v>
      </c>
      <c r="J1009" s="28" t="n">
        <f aca="false">IF(A1009="","",D1009*F1009)</f>
        <v>3000</v>
      </c>
      <c r="K1009" s="26" t="n">
        <f aca="false">IF(A1009="","",YEAR(A1009))</f>
        <v>2026</v>
      </c>
      <c r="L1009" s="26" t="n">
        <f aca="false">IF(A1009="","",MONTH(A1009))</f>
        <v>7</v>
      </c>
    </row>
    <row r="1010" customFormat="false" ht="15" hidden="false" customHeight="false" outlineLevel="0" collapsed="false">
      <c r="A1010" s="23" t="n">
        <v>46209.6881944445</v>
      </c>
      <c r="B1010" s="24" t="s">
        <v>1071</v>
      </c>
      <c r="C1010" s="24" t="s">
        <v>1072</v>
      </c>
      <c r="D1010" s="24" t="n">
        <v>1</v>
      </c>
      <c r="E1010" s="25" t="n">
        <v>2000</v>
      </c>
      <c r="F1010" s="25" t="n">
        <v>1100</v>
      </c>
      <c r="G1010" s="24" t="s">
        <v>59</v>
      </c>
      <c r="H1010" s="24" t="s">
        <v>55</v>
      </c>
      <c r="I1010" s="28" t="n">
        <f aca="false">IF(A1010="","",D1010*E1010)</f>
        <v>2000</v>
      </c>
      <c r="J1010" s="28" t="n">
        <f aca="false">IF(A1010="","",D1010*F1010)</f>
        <v>1100</v>
      </c>
      <c r="K1010" s="26" t="n">
        <f aca="false">IF(A1010="","",YEAR(A1010))</f>
        <v>2026</v>
      </c>
      <c r="L1010" s="26" t="n">
        <f aca="false">IF(A1010="","",MONTH(A1010))</f>
        <v>7</v>
      </c>
    </row>
    <row r="1011" customFormat="false" ht="15" hidden="false" customHeight="false" outlineLevel="0" collapsed="false">
      <c r="A1011" s="23" t="n">
        <v>46209.8298611111</v>
      </c>
      <c r="B1011" s="24" t="s">
        <v>1075</v>
      </c>
      <c r="C1011" s="24" t="s">
        <v>1076</v>
      </c>
      <c r="D1011" s="24" t="n">
        <v>2</v>
      </c>
      <c r="E1011" s="25" t="n">
        <v>1000</v>
      </c>
      <c r="F1011" s="25" t="n">
        <v>300</v>
      </c>
      <c r="G1011" s="24" t="s">
        <v>59</v>
      </c>
      <c r="H1011" s="24" t="s">
        <v>60</v>
      </c>
      <c r="I1011" s="28" t="n">
        <f aca="false">IF(A1011="","",D1011*E1011)</f>
        <v>2000</v>
      </c>
      <c r="J1011" s="28" t="n">
        <f aca="false">IF(A1011="","",D1011*F1011)</f>
        <v>600</v>
      </c>
      <c r="K1011" s="26" t="n">
        <f aca="false">IF(A1011="","",YEAR(A1011))</f>
        <v>2026</v>
      </c>
      <c r="L1011" s="26" t="n">
        <f aca="false">IF(A1011="","",MONTH(A1011))</f>
        <v>7</v>
      </c>
    </row>
    <row r="1012" customFormat="false" ht="15" hidden="false" customHeight="false" outlineLevel="0" collapsed="false">
      <c r="A1012" s="23" t="n">
        <v>46210.29375</v>
      </c>
      <c r="B1012" s="24" t="s">
        <v>1073</v>
      </c>
      <c r="C1012" s="24" t="s">
        <v>1074</v>
      </c>
      <c r="D1012" s="24" t="n">
        <v>1</v>
      </c>
      <c r="E1012" s="25" t="n">
        <v>7000</v>
      </c>
      <c r="F1012" s="25" t="n">
        <v>4800</v>
      </c>
      <c r="G1012" s="24" t="s">
        <v>59</v>
      </c>
      <c r="H1012" s="24" t="s">
        <v>55</v>
      </c>
      <c r="I1012" s="28" t="n">
        <f aca="false">IF(A1012="","",D1012*E1012)</f>
        <v>7000</v>
      </c>
      <c r="J1012" s="28" t="n">
        <f aca="false">IF(A1012="","",D1012*F1012)</f>
        <v>4800</v>
      </c>
      <c r="K1012" s="26" t="n">
        <f aca="false">IF(A1012="","",YEAR(A1012))</f>
        <v>2026</v>
      </c>
      <c r="L1012" s="26" t="n">
        <f aca="false">IF(A1012="","",MONTH(A1012))</f>
        <v>7</v>
      </c>
    </row>
    <row r="1013" customFormat="false" ht="15" hidden="false" customHeight="false" outlineLevel="0" collapsed="false">
      <c r="A1013" s="23" t="n">
        <v>46210.4944444444</v>
      </c>
      <c r="B1013" s="24" t="s">
        <v>1079</v>
      </c>
      <c r="C1013" s="24" t="s">
        <v>1080</v>
      </c>
      <c r="D1013" s="24" t="n">
        <v>1</v>
      </c>
      <c r="E1013" s="25" t="n">
        <v>2500</v>
      </c>
      <c r="F1013" s="25" t="n">
        <v>1600</v>
      </c>
      <c r="G1013" s="24" t="s">
        <v>59</v>
      </c>
      <c r="H1013" s="24" t="s">
        <v>55</v>
      </c>
      <c r="I1013" s="28" t="n">
        <f aca="false">IF(A1013="","",D1013*E1013)</f>
        <v>2500</v>
      </c>
      <c r="J1013" s="28" t="n">
        <f aca="false">IF(A1013="","",D1013*F1013)</f>
        <v>1600</v>
      </c>
      <c r="K1013" s="26" t="n">
        <f aca="false">IF(A1013="","",YEAR(A1013))</f>
        <v>2026</v>
      </c>
      <c r="L1013" s="26" t="n">
        <f aca="false">IF(A1013="","",MONTH(A1013))</f>
        <v>7</v>
      </c>
    </row>
    <row r="1014" customFormat="false" ht="15" hidden="false" customHeight="false" outlineLevel="0" collapsed="false">
      <c r="A1014" s="23" t="n">
        <v>46211.3659722222</v>
      </c>
      <c r="B1014" s="24" t="s">
        <v>1077</v>
      </c>
      <c r="C1014" s="24" t="s">
        <v>1078</v>
      </c>
      <c r="D1014" s="24" t="n">
        <v>1</v>
      </c>
      <c r="E1014" s="25" t="n">
        <v>1500</v>
      </c>
      <c r="F1014" s="25" t="n">
        <v>900</v>
      </c>
      <c r="G1014" s="24" t="s">
        <v>59</v>
      </c>
      <c r="H1014" s="24" t="s">
        <v>60</v>
      </c>
      <c r="I1014" s="28" t="n">
        <f aca="false">IF(A1014="","",D1014*E1014)</f>
        <v>1500</v>
      </c>
      <c r="J1014" s="28" t="n">
        <f aca="false">IF(A1014="","",D1014*F1014)</f>
        <v>900</v>
      </c>
      <c r="K1014" s="26" t="n">
        <f aca="false">IF(A1014="","",YEAR(A1014))</f>
        <v>2026</v>
      </c>
      <c r="L1014" s="26" t="n">
        <f aca="false">IF(A1014="","",MONTH(A1014))</f>
        <v>7</v>
      </c>
    </row>
    <row r="1015" customFormat="false" ht="15" hidden="false" customHeight="false" outlineLevel="0" collapsed="false">
      <c r="A1015" s="23" t="n">
        <v>46211.3923611111</v>
      </c>
      <c r="B1015" s="24" t="s">
        <v>1081</v>
      </c>
      <c r="C1015" s="24" t="s">
        <v>1082</v>
      </c>
      <c r="D1015" s="24" t="n">
        <v>1</v>
      </c>
      <c r="E1015" s="25" t="n">
        <v>2500</v>
      </c>
      <c r="F1015" s="25" t="n">
        <v>1500</v>
      </c>
      <c r="G1015" s="24" t="s">
        <v>69</v>
      </c>
      <c r="H1015" s="24" t="s">
        <v>60</v>
      </c>
      <c r="I1015" s="28" t="n">
        <f aca="false">IF(A1015="","",D1015*E1015)</f>
        <v>2500</v>
      </c>
      <c r="J1015" s="28" t="n">
        <f aca="false">IF(A1015="","",D1015*F1015)</f>
        <v>1500</v>
      </c>
      <c r="K1015" s="26" t="n">
        <f aca="false">IF(A1015="","",YEAR(A1015))</f>
        <v>2026</v>
      </c>
      <c r="L1015" s="26" t="n">
        <f aca="false">IF(A1015="","",MONTH(A1015))</f>
        <v>7</v>
      </c>
    </row>
    <row r="1016" customFormat="false" ht="15" hidden="false" customHeight="false" outlineLevel="0" collapsed="false">
      <c r="A1016" s="23" t="n">
        <v>46211.4361111111</v>
      </c>
      <c r="B1016" s="24" t="s">
        <v>1079</v>
      </c>
      <c r="C1016" s="24" t="s">
        <v>1080</v>
      </c>
      <c r="D1016" s="24" t="n">
        <v>1</v>
      </c>
      <c r="E1016" s="25" t="n">
        <v>2500</v>
      </c>
      <c r="F1016" s="25" t="n">
        <v>1600</v>
      </c>
      <c r="G1016" s="24" t="s">
        <v>59</v>
      </c>
      <c r="H1016" s="24" t="s">
        <v>60</v>
      </c>
      <c r="I1016" s="28" t="n">
        <f aca="false">IF(A1016="","",D1016*E1016)</f>
        <v>2500</v>
      </c>
      <c r="J1016" s="28" t="n">
        <f aca="false">IF(A1016="","",D1016*F1016)</f>
        <v>1600</v>
      </c>
      <c r="K1016" s="26" t="n">
        <f aca="false">IF(A1016="","",YEAR(A1016))</f>
        <v>2026</v>
      </c>
      <c r="L1016" s="26" t="n">
        <f aca="false">IF(A1016="","",MONTH(A1016))</f>
        <v>7</v>
      </c>
    </row>
    <row r="1017" customFormat="false" ht="15" hidden="false" customHeight="false" outlineLevel="0" collapsed="false">
      <c r="A1017" s="23" t="n">
        <v>46211.4520833333</v>
      </c>
      <c r="B1017" s="24" t="s">
        <v>1075</v>
      </c>
      <c r="C1017" s="24" t="s">
        <v>1076</v>
      </c>
      <c r="D1017" s="24" t="n">
        <v>1</v>
      </c>
      <c r="E1017" s="25" t="n">
        <v>1000</v>
      </c>
      <c r="F1017" s="25" t="n">
        <v>300</v>
      </c>
      <c r="G1017" s="24" t="s">
        <v>59</v>
      </c>
      <c r="H1017" s="24" t="s">
        <v>80</v>
      </c>
      <c r="I1017" s="28" t="n">
        <f aca="false">IF(A1017="","",D1017*E1017)</f>
        <v>1000</v>
      </c>
      <c r="J1017" s="28" t="n">
        <f aca="false">IF(A1017="","",D1017*F1017)</f>
        <v>300</v>
      </c>
      <c r="K1017" s="26" t="n">
        <f aca="false">IF(A1017="","",YEAR(A1017))</f>
        <v>2026</v>
      </c>
      <c r="L1017" s="26" t="n">
        <f aca="false">IF(A1017="","",MONTH(A1017))</f>
        <v>7</v>
      </c>
    </row>
    <row r="1018" customFormat="false" ht="15" hidden="false" customHeight="false" outlineLevel="0" collapsed="false">
      <c r="A1018" s="23" t="n">
        <v>46211.4798611111</v>
      </c>
      <c r="B1018" s="24" t="s">
        <v>1079</v>
      </c>
      <c r="C1018" s="24" t="s">
        <v>1080</v>
      </c>
      <c r="D1018" s="24" t="n">
        <v>1</v>
      </c>
      <c r="E1018" s="25" t="n">
        <v>2500</v>
      </c>
      <c r="F1018" s="25" t="n">
        <v>1600</v>
      </c>
      <c r="G1018" s="24" t="s">
        <v>59</v>
      </c>
      <c r="H1018" s="24" t="s">
        <v>55</v>
      </c>
      <c r="I1018" s="28" t="n">
        <f aca="false">IF(A1018="","",D1018*E1018)</f>
        <v>2500</v>
      </c>
      <c r="J1018" s="28" t="n">
        <f aca="false">IF(A1018="","",D1018*F1018)</f>
        <v>1600</v>
      </c>
      <c r="K1018" s="26" t="n">
        <f aca="false">IF(A1018="","",YEAR(A1018))</f>
        <v>2026</v>
      </c>
      <c r="L1018" s="26" t="n">
        <f aca="false">IF(A1018="","",MONTH(A1018))</f>
        <v>7</v>
      </c>
    </row>
    <row r="1019" customFormat="false" ht="15" hidden="false" customHeight="false" outlineLevel="0" collapsed="false">
      <c r="A1019" s="23" t="n">
        <v>46211.69375</v>
      </c>
      <c r="B1019" s="24" t="s">
        <v>1065</v>
      </c>
      <c r="C1019" s="24" t="s">
        <v>1066</v>
      </c>
      <c r="D1019" s="24" t="n">
        <v>1</v>
      </c>
      <c r="E1019" s="25" t="n">
        <v>3000</v>
      </c>
      <c r="F1019" s="25" t="n">
        <v>2000</v>
      </c>
      <c r="G1019" s="24" t="s">
        <v>59</v>
      </c>
      <c r="H1019" s="24" t="s">
        <v>55</v>
      </c>
      <c r="I1019" s="28" t="n">
        <f aca="false">IF(A1019="","",D1019*E1019)</f>
        <v>3000</v>
      </c>
      <c r="J1019" s="28" t="n">
        <f aca="false">IF(A1019="","",D1019*F1019)</f>
        <v>2000</v>
      </c>
      <c r="K1019" s="26" t="n">
        <f aca="false">IF(A1019="","",YEAR(A1019))</f>
        <v>2026</v>
      </c>
      <c r="L1019" s="26" t="n">
        <f aca="false">IF(A1019="","",MONTH(A1019))</f>
        <v>7</v>
      </c>
    </row>
    <row r="1020" customFormat="false" ht="15" hidden="false" customHeight="false" outlineLevel="0" collapsed="false">
      <c r="A1020" s="23" t="n">
        <v>46212.4722222222</v>
      </c>
      <c r="B1020" s="24" t="s">
        <v>1065</v>
      </c>
      <c r="C1020" s="24" t="s">
        <v>1066</v>
      </c>
      <c r="D1020" s="24" t="n">
        <v>3</v>
      </c>
      <c r="E1020" s="25" t="n">
        <v>3000</v>
      </c>
      <c r="F1020" s="25" t="n">
        <v>2000</v>
      </c>
      <c r="G1020" s="24" t="s">
        <v>59</v>
      </c>
      <c r="H1020" s="24" t="s">
        <v>55</v>
      </c>
      <c r="I1020" s="28" t="n">
        <f aca="false">IF(A1020="","",D1020*E1020)</f>
        <v>9000</v>
      </c>
      <c r="J1020" s="28" t="n">
        <f aca="false">IF(A1020="","",D1020*F1020)</f>
        <v>6000</v>
      </c>
      <c r="K1020" s="26" t="n">
        <f aca="false">IF(A1020="","",YEAR(A1020))</f>
        <v>2026</v>
      </c>
      <c r="L1020" s="26" t="n">
        <f aca="false">IF(A1020="","",MONTH(A1020))</f>
        <v>7</v>
      </c>
    </row>
    <row r="1021" customFormat="false" ht="15" hidden="false" customHeight="false" outlineLevel="0" collapsed="false">
      <c r="A1021" s="23" t="n">
        <v>46212.8576388889</v>
      </c>
      <c r="B1021" s="24" t="s">
        <v>1065</v>
      </c>
      <c r="C1021" s="24" t="s">
        <v>1066</v>
      </c>
      <c r="D1021" s="24" t="n">
        <v>1</v>
      </c>
      <c r="E1021" s="25" t="n">
        <v>3000</v>
      </c>
      <c r="F1021" s="25" t="n">
        <v>2000</v>
      </c>
      <c r="G1021" s="24" t="s">
        <v>59</v>
      </c>
      <c r="H1021" s="24" t="s">
        <v>60</v>
      </c>
      <c r="I1021" s="28" t="n">
        <f aca="false">IF(A1021="","",D1021*E1021)</f>
        <v>3000</v>
      </c>
      <c r="J1021" s="28" t="n">
        <f aca="false">IF(A1021="","",D1021*F1021)</f>
        <v>2000</v>
      </c>
      <c r="K1021" s="26" t="n">
        <f aca="false">IF(A1021="","",YEAR(A1021))</f>
        <v>2026</v>
      </c>
      <c r="L1021" s="26" t="n">
        <f aca="false">IF(A1021="","",MONTH(A1021))</f>
        <v>7</v>
      </c>
    </row>
    <row r="1022" customFormat="false" ht="15" hidden="false" customHeight="false" outlineLevel="0" collapsed="false">
      <c r="A1022" s="23" t="n">
        <v>46212.8645833333</v>
      </c>
      <c r="B1022" s="24" t="s">
        <v>1067</v>
      </c>
      <c r="C1022" s="24" t="s">
        <v>1068</v>
      </c>
      <c r="D1022" s="24" t="n">
        <v>3</v>
      </c>
      <c r="E1022" s="25" t="n">
        <v>4000</v>
      </c>
      <c r="F1022" s="25" t="n">
        <v>2600</v>
      </c>
      <c r="G1022" s="24" t="s">
        <v>69</v>
      </c>
      <c r="H1022" s="24" t="s">
        <v>80</v>
      </c>
      <c r="I1022" s="28" t="n">
        <f aca="false">IF(A1022="","",D1022*E1022)</f>
        <v>12000</v>
      </c>
      <c r="J1022" s="28" t="n">
        <f aca="false">IF(A1022="","",D1022*F1022)</f>
        <v>7800</v>
      </c>
      <c r="K1022" s="26" t="n">
        <f aca="false">IF(A1022="","",YEAR(A1022))</f>
        <v>2026</v>
      </c>
      <c r="L1022" s="26" t="n">
        <f aca="false">IF(A1022="","",MONTH(A1022))</f>
        <v>7</v>
      </c>
    </row>
    <row r="1023" customFormat="false" ht="15" hidden="false" customHeight="false" outlineLevel="0" collapsed="false">
      <c r="A1023" s="23" t="n">
        <v>46213.6326388889</v>
      </c>
      <c r="B1023" s="24" t="s">
        <v>1067</v>
      </c>
      <c r="C1023" s="24" t="s">
        <v>1068</v>
      </c>
      <c r="D1023" s="24" t="n">
        <v>1</v>
      </c>
      <c r="E1023" s="25" t="n">
        <v>4000</v>
      </c>
      <c r="F1023" s="25" t="n">
        <v>2600</v>
      </c>
      <c r="G1023" s="24" t="s">
        <v>59</v>
      </c>
      <c r="H1023" s="24" t="s">
        <v>55</v>
      </c>
      <c r="I1023" s="28" t="n">
        <f aca="false">IF(A1023="","",D1023*E1023)</f>
        <v>4000</v>
      </c>
      <c r="J1023" s="28" t="n">
        <f aca="false">IF(A1023="","",D1023*F1023)</f>
        <v>2600</v>
      </c>
      <c r="K1023" s="26" t="n">
        <f aca="false">IF(A1023="","",YEAR(A1023))</f>
        <v>2026</v>
      </c>
      <c r="L1023" s="26" t="n">
        <f aca="false">IF(A1023="","",MONTH(A1023))</f>
        <v>7</v>
      </c>
    </row>
    <row r="1024" customFormat="false" ht="15" hidden="false" customHeight="false" outlineLevel="0" collapsed="false">
      <c r="A1024" s="23" t="n">
        <v>46213.7083333333</v>
      </c>
      <c r="B1024" s="24" t="s">
        <v>1075</v>
      </c>
      <c r="C1024" s="24" t="s">
        <v>1076</v>
      </c>
      <c r="D1024" s="24" t="n">
        <v>1</v>
      </c>
      <c r="E1024" s="25" t="n">
        <v>1000</v>
      </c>
      <c r="F1024" s="25" t="n">
        <v>300</v>
      </c>
      <c r="G1024" s="24" t="s">
        <v>59</v>
      </c>
      <c r="H1024" s="24" t="s">
        <v>80</v>
      </c>
      <c r="I1024" s="28" t="n">
        <f aca="false">IF(A1024="","",D1024*E1024)</f>
        <v>1000</v>
      </c>
      <c r="J1024" s="28" t="n">
        <f aca="false">IF(A1024="","",D1024*F1024)</f>
        <v>300</v>
      </c>
      <c r="K1024" s="26" t="n">
        <f aca="false">IF(A1024="","",YEAR(A1024))</f>
        <v>2026</v>
      </c>
      <c r="L1024" s="26" t="n">
        <f aca="false">IF(A1024="","",MONTH(A1024))</f>
        <v>7</v>
      </c>
    </row>
    <row r="1025" customFormat="false" ht="15" hidden="false" customHeight="false" outlineLevel="0" collapsed="false">
      <c r="A1025" s="23" t="n">
        <v>46213.7236111111</v>
      </c>
      <c r="B1025" s="24" t="s">
        <v>1065</v>
      </c>
      <c r="C1025" s="24" t="s">
        <v>1066</v>
      </c>
      <c r="D1025" s="24" t="n">
        <v>2</v>
      </c>
      <c r="E1025" s="25" t="n">
        <v>3000</v>
      </c>
      <c r="F1025" s="25" t="n">
        <v>2000</v>
      </c>
      <c r="G1025" s="24" t="s">
        <v>59</v>
      </c>
      <c r="H1025" s="24" t="s">
        <v>80</v>
      </c>
      <c r="I1025" s="28" t="n">
        <f aca="false">IF(A1025="","",D1025*E1025)</f>
        <v>6000</v>
      </c>
      <c r="J1025" s="28" t="n">
        <f aca="false">IF(A1025="","",D1025*F1025)</f>
        <v>4000</v>
      </c>
      <c r="K1025" s="26" t="n">
        <f aca="false">IF(A1025="","",YEAR(A1025))</f>
        <v>2026</v>
      </c>
      <c r="L1025" s="26" t="n">
        <f aca="false">IF(A1025="","",MONTH(A1025))</f>
        <v>7</v>
      </c>
    </row>
    <row r="1026" customFormat="false" ht="15" hidden="false" customHeight="false" outlineLevel="0" collapsed="false">
      <c r="A1026" s="23" t="n">
        <v>46214.2986111111</v>
      </c>
      <c r="B1026" s="24" t="s">
        <v>1077</v>
      </c>
      <c r="C1026" s="24" t="s">
        <v>1078</v>
      </c>
      <c r="D1026" s="24" t="n">
        <v>2</v>
      </c>
      <c r="E1026" s="25" t="n">
        <v>1500</v>
      </c>
      <c r="F1026" s="25" t="n">
        <v>900</v>
      </c>
      <c r="G1026" s="24" t="s">
        <v>59</v>
      </c>
      <c r="H1026" s="24" t="s">
        <v>60</v>
      </c>
      <c r="I1026" s="28" t="n">
        <f aca="false">IF(A1026="","",D1026*E1026)</f>
        <v>3000</v>
      </c>
      <c r="J1026" s="28" t="n">
        <f aca="false">IF(A1026="","",D1026*F1026)</f>
        <v>1800</v>
      </c>
      <c r="K1026" s="26" t="n">
        <f aca="false">IF(A1026="","",YEAR(A1026))</f>
        <v>2026</v>
      </c>
      <c r="L1026" s="26" t="n">
        <f aca="false">IF(A1026="","",MONTH(A1026))</f>
        <v>7</v>
      </c>
    </row>
    <row r="1027" customFormat="false" ht="15" hidden="false" customHeight="false" outlineLevel="0" collapsed="false">
      <c r="A1027" s="23" t="n">
        <v>46214.4145833333</v>
      </c>
      <c r="B1027" s="24" t="s">
        <v>1071</v>
      </c>
      <c r="C1027" s="24" t="s">
        <v>1072</v>
      </c>
      <c r="D1027" s="24" t="n">
        <v>1</v>
      </c>
      <c r="E1027" s="25" t="n">
        <v>2000</v>
      </c>
      <c r="F1027" s="25" t="n">
        <v>1100</v>
      </c>
      <c r="G1027" s="24" t="s">
        <v>59</v>
      </c>
      <c r="H1027" s="24" t="s">
        <v>55</v>
      </c>
      <c r="I1027" s="28" t="n">
        <f aca="false">IF(A1027="","",D1027*E1027)</f>
        <v>2000</v>
      </c>
      <c r="J1027" s="28" t="n">
        <f aca="false">IF(A1027="","",D1027*F1027)</f>
        <v>1100</v>
      </c>
      <c r="K1027" s="26" t="n">
        <f aca="false">IF(A1027="","",YEAR(A1027))</f>
        <v>2026</v>
      </c>
      <c r="L1027" s="26" t="n">
        <f aca="false">IF(A1027="","",MONTH(A1027))</f>
        <v>7</v>
      </c>
    </row>
    <row r="1028" customFormat="false" ht="15" hidden="false" customHeight="false" outlineLevel="0" collapsed="false">
      <c r="A1028" s="23" t="n">
        <v>46214.5791666667</v>
      </c>
      <c r="B1028" s="24" t="s">
        <v>1073</v>
      </c>
      <c r="C1028" s="24" t="s">
        <v>1074</v>
      </c>
      <c r="D1028" s="24" t="n">
        <v>1</v>
      </c>
      <c r="E1028" s="25" t="n">
        <v>7000</v>
      </c>
      <c r="F1028" s="25" t="n">
        <v>4800</v>
      </c>
      <c r="G1028" s="24" t="s">
        <v>59</v>
      </c>
      <c r="H1028" s="24" t="s">
        <v>80</v>
      </c>
      <c r="I1028" s="28" t="n">
        <f aca="false">IF(A1028="","",D1028*E1028)</f>
        <v>7000</v>
      </c>
      <c r="J1028" s="28" t="n">
        <f aca="false">IF(A1028="","",D1028*F1028)</f>
        <v>4800</v>
      </c>
      <c r="K1028" s="26" t="n">
        <f aca="false">IF(A1028="","",YEAR(A1028))</f>
        <v>2026</v>
      </c>
      <c r="L1028" s="26" t="n">
        <f aca="false">IF(A1028="","",MONTH(A1028))</f>
        <v>7</v>
      </c>
    </row>
    <row r="1029" customFormat="false" ht="15" hidden="false" customHeight="false" outlineLevel="0" collapsed="false">
      <c r="A1029" s="23" t="n">
        <v>46214.7048611111</v>
      </c>
      <c r="B1029" s="24" t="s">
        <v>1067</v>
      </c>
      <c r="C1029" s="24" t="s">
        <v>1068</v>
      </c>
      <c r="D1029" s="24" t="n">
        <v>3</v>
      </c>
      <c r="E1029" s="25" t="n">
        <v>4000</v>
      </c>
      <c r="F1029" s="25" t="n">
        <v>2600</v>
      </c>
      <c r="G1029" s="24" t="s">
        <v>59</v>
      </c>
      <c r="H1029" s="24" t="s">
        <v>55</v>
      </c>
      <c r="I1029" s="28" t="n">
        <f aca="false">IF(A1029="","",D1029*E1029)</f>
        <v>12000</v>
      </c>
      <c r="J1029" s="28" t="n">
        <f aca="false">IF(A1029="","",D1029*F1029)</f>
        <v>7800</v>
      </c>
      <c r="K1029" s="26" t="n">
        <f aca="false">IF(A1029="","",YEAR(A1029))</f>
        <v>2026</v>
      </c>
      <c r="L1029" s="26" t="n">
        <f aca="false">IF(A1029="","",MONTH(A1029))</f>
        <v>7</v>
      </c>
    </row>
    <row r="1030" customFormat="false" ht="15" hidden="false" customHeight="false" outlineLevel="0" collapsed="false">
      <c r="A1030" s="23" t="n">
        <v>46215.6458333333</v>
      </c>
      <c r="B1030" s="24" t="s">
        <v>1081</v>
      </c>
      <c r="C1030" s="24" t="s">
        <v>1082</v>
      </c>
      <c r="D1030" s="24" t="n">
        <v>1</v>
      </c>
      <c r="E1030" s="25" t="n">
        <v>2500</v>
      </c>
      <c r="F1030" s="25" t="n">
        <v>1500</v>
      </c>
      <c r="G1030" s="24" t="s">
        <v>59</v>
      </c>
      <c r="H1030" s="24" t="s">
        <v>80</v>
      </c>
      <c r="I1030" s="28" t="n">
        <f aca="false">IF(A1030="","",D1030*E1030)</f>
        <v>2500</v>
      </c>
      <c r="J1030" s="28" t="n">
        <f aca="false">IF(A1030="","",D1030*F1030)</f>
        <v>1500</v>
      </c>
      <c r="K1030" s="26" t="n">
        <f aca="false">IF(A1030="","",YEAR(A1030))</f>
        <v>2026</v>
      </c>
      <c r="L1030" s="26" t="n">
        <f aca="false">IF(A1030="","",MONTH(A1030))</f>
        <v>7</v>
      </c>
    </row>
    <row r="1031" customFormat="false" ht="15" hidden="false" customHeight="false" outlineLevel="0" collapsed="false">
      <c r="A1031" s="23" t="n">
        <v>46215.7951388889</v>
      </c>
      <c r="B1031" s="24" t="s">
        <v>1077</v>
      </c>
      <c r="C1031" s="24" t="s">
        <v>1078</v>
      </c>
      <c r="D1031" s="24" t="n">
        <v>1</v>
      </c>
      <c r="E1031" s="25" t="n">
        <v>1500</v>
      </c>
      <c r="F1031" s="25" t="n">
        <v>900</v>
      </c>
      <c r="G1031" s="24" t="s">
        <v>69</v>
      </c>
      <c r="H1031" s="24" t="s">
        <v>80</v>
      </c>
      <c r="I1031" s="28" t="n">
        <f aca="false">IF(A1031="","",D1031*E1031)</f>
        <v>1500</v>
      </c>
      <c r="J1031" s="28" t="n">
        <f aca="false">IF(A1031="","",D1031*F1031)</f>
        <v>900</v>
      </c>
      <c r="K1031" s="26" t="n">
        <f aca="false">IF(A1031="","",YEAR(A1031))</f>
        <v>2026</v>
      </c>
      <c r="L1031" s="26" t="n">
        <f aca="false">IF(A1031="","",MONTH(A1031))</f>
        <v>7</v>
      </c>
    </row>
    <row r="1032" customFormat="false" ht="15" hidden="false" customHeight="false" outlineLevel="0" collapsed="false">
      <c r="A1032" s="23" t="n">
        <v>46216.3159722222</v>
      </c>
      <c r="B1032" s="24" t="s">
        <v>1071</v>
      </c>
      <c r="C1032" s="24" t="s">
        <v>1072</v>
      </c>
      <c r="D1032" s="24" t="n">
        <v>1</v>
      </c>
      <c r="E1032" s="25" t="n">
        <v>2000</v>
      </c>
      <c r="F1032" s="25" t="n">
        <v>1100</v>
      </c>
      <c r="G1032" s="24" t="s">
        <v>59</v>
      </c>
      <c r="H1032" s="24" t="s">
        <v>55</v>
      </c>
      <c r="I1032" s="28" t="n">
        <f aca="false">IF(A1032="","",D1032*E1032)</f>
        <v>2000</v>
      </c>
      <c r="J1032" s="28" t="n">
        <f aca="false">IF(A1032="","",D1032*F1032)</f>
        <v>1100</v>
      </c>
      <c r="K1032" s="26" t="n">
        <f aca="false">IF(A1032="","",YEAR(A1032))</f>
        <v>2026</v>
      </c>
      <c r="L1032" s="26" t="n">
        <f aca="false">IF(A1032="","",MONTH(A1032))</f>
        <v>7</v>
      </c>
    </row>
    <row r="1033" customFormat="false" ht="15" hidden="false" customHeight="false" outlineLevel="0" collapsed="false">
      <c r="A1033" s="23" t="n">
        <v>46216.7201388889</v>
      </c>
      <c r="B1033" s="24" t="s">
        <v>1077</v>
      </c>
      <c r="C1033" s="24" t="s">
        <v>1078</v>
      </c>
      <c r="D1033" s="24" t="n">
        <v>1</v>
      </c>
      <c r="E1033" s="25" t="n">
        <v>1500</v>
      </c>
      <c r="F1033" s="25" t="n">
        <v>900</v>
      </c>
      <c r="G1033" s="24" t="s">
        <v>59</v>
      </c>
      <c r="H1033" s="24" t="s">
        <v>80</v>
      </c>
      <c r="I1033" s="28" t="n">
        <f aca="false">IF(A1033="","",D1033*E1033)</f>
        <v>1500</v>
      </c>
      <c r="J1033" s="28" t="n">
        <f aca="false">IF(A1033="","",D1033*F1033)</f>
        <v>900</v>
      </c>
      <c r="K1033" s="26" t="n">
        <f aca="false">IF(A1033="","",YEAR(A1033))</f>
        <v>2026</v>
      </c>
      <c r="L1033" s="26" t="n">
        <f aca="false">IF(A1033="","",MONTH(A1033))</f>
        <v>7</v>
      </c>
    </row>
    <row r="1034" customFormat="false" ht="15" hidden="false" customHeight="false" outlineLevel="0" collapsed="false">
      <c r="A1034" s="23" t="n">
        <v>46217.5402777778</v>
      </c>
      <c r="B1034" s="24" t="s">
        <v>1071</v>
      </c>
      <c r="C1034" s="24" t="s">
        <v>1072</v>
      </c>
      <c r="D1034" s="24" t="n">
        <v>1</v>
      </c>
      <c r="E1034" s="25" t="n">
        <v>2000</v>
      </c>
      <c r="F1034" s="25" t="n">
        <v>1100</v>
      </c>
      <c r="G1034" s="24" t="s">
        <v>59</v>
      </c>
      <c r="H1034" s="24" t="s">
        <v>55</v>
      </c>
      <c r="I1034" s="28" t="n">
        <f aca="false">IF(A1034="","",D1034*E1034)</f>
        <v>2000</v>
      </c>
      <c r="J1034" s="28" t="n">
        <f aca="false">IF(A1034="","",D1034*F1034)</f>
        <v>1100</v>
      </c>
      <c r="K1034" s="26" t="n">
        <f aca="false">IF(A1034="","",YEAR(A1034))</f>
        <v>2026</v>
      </c>
      <c r="L1034" s="26" t="n">
        <f aca="false">IF(A1034="","",MONTH(A1034))</f>
        <v>7</v>
      </c>
    </row>
    <row r="1035" customFormat="false" ht="15" hidden="false" customHeight="false" outlineLevel="0" collapsed="false">
      <c r="A1035" s="23" t="n">
        <v>46219.6375</v>
      </c>
      <c r="B1035" s="24" t="s">
        <v>1067</v>
      </c>
      <c r="C1035" s="24" t="s">
        <v>1068</v>
      </c>
      <c r="D1035" s="24" t="n">
        <v>3</v>
      </c>
      <c r="E1035" s="25" t="n">
        <v>4000</v>
      </c>
      <c r="F1035" s="25" t="n">
        <v>2600</v>
      </c>
      <c r="G1035" s="24" t="s">
        <v>59</v>
      </c>
      <c r="H1035" s="24" t="s">
        <v>80</v>
      </c>
      <c r="I1035" s="28" t="n">
        <f aca="false">IF(A1035="","",D1035*E1035)</f>
        <v>12000</v>
      </c>
      <c r="J1035" s="28" t="n">
        <f aca="false">IF(A1035="","",D1035*F1035)</f>
        <v>7800</v>
      </c>
      <c r="K1035" s="26" t="n">
        <f aca="false">IF(A1035="","",YEAR(A1035))</f>
        <v>2026</v>
      </c>
      <c r="L1035" s="26" t="n">
        <f aca="false">IF(A1035="","",MONTH(A1035))</f>
        <v>7</v>
      </c>
    </row>
    <row r="1036" customFormat="false" ht="15" hidden="false" customHeight="false" outlineLevel="0" collapsed="false">
      <c r="A1036" s="23" t="n">
        <v>46219.6993055556</v>
      </c>
      <c r="B1036" s="24" t="s">
        <v>1081</v>
      </c>
      <c r="C1036" s="24" t="s">
        <v>1082</v>
      </c>
      <c r="D1036" s="24" t="n">
        <v>1</v>
      </c>
      <c r="E1036" s="25" t="n">
        <v>2500</v>
      </c>
      <c r="F1036" s="25" t="n">
        <v>1500</v>
      </c>
      <c r="G1036" s="24" t="s">
        <v>59</v>
      </c>
      <c r="H1036" s="24" t="s">
        <v>60</v>
      </c>
      <c r="I1036" s="28" t="n">
        <f aca="false">IF(A1036="","",D1036*E1036)</f>
        <v>2500</v>
      </c>
      <c r="J1036" s="28" t="n">
        <f aca="false">IF(A1036="","",D1036*F1036)</f>
        <v>1500</v>
      </c>
      <c r="K1036" s="26" t="n">
        <f aca="false">IF(A1036="","",YEAR(A1036))</f>
        <v>2026</v>
      </c>
      <c r="L1036" s="26" t="n">
        <f aca="false">IF(A1036="","",MONTH(A1036))</f>
        <v>7</v>
      </c>
    </row>
    <row r="1037" customFormat="false" ht="15" hidden="false" customHeight="false" outlineLevel="0" collapsed="false">
      <c r="A1037" s="23" t="n">
        <v>46219.7826388889</v>
      </c>
      <c r="B1037" s="24" t="s">
        <v>1073</v>
      </c>
      <c r="C1037" s="24" t="s">
        <v>1074</v>
      </c>
      <c r="D1037" s="24" t="n">
        <v>1</v>
      </c>
      <c r="E1037" s="25" t="n">
        <v>7000</v>
      </c>
      <c r="F1037" s="25" t="n">
        <v>4800</v>
      </c>
      <c r="G1037" s="24" t="s">
        <v>59</v>
      </c>
      <c r="H1037" s="24" t="s">
        <v>80</v>
      </c>
      <c r="I1037" s="28" t="n">
        <f aca="false">IF(A1037="","",D1037*E1037)</f>
        <v>7000</v>
      </c>
      <c r="J1037" s="28" t="n">
        <f aca="false">IF(A1037="","",D1037*F1037)</f>
        <v>4800</v>
      </c>
      <c r="K1037" s="26" t="n">
        <f aca="false">IF(A1037="","",YEAR(A1037))</f>
        <v>2026</v>
      </c>
      <c r="L1037" s="26" t="n">
        <f aca="false">IF(A1037="","",MONTH(A1037))</f>
        <v>7</v>
      </c>
    </row>
    <row r="1038" customFormat="false" ht="15" hidden="false" customHeight="false" outlineLevel="0" collapsed="false">
      <c r="A1038" s="23" t="n">
        <v>46220.3666666667</v>
      </c>
      <c r="B1038" s="24" t="s">
        <v>1081</v>
      </c>
      <c r="C1038" s="24" t="s">
        <v>1082</v>
      </c>
      <c r="D1038" s="24" t="n">
        <v>3</v>
      </c>
      <c r="E1038" s="25" t="n">
        <v>2500</v>
      </c>
      <c r="F1038" s="25" t="n">
        <v>1500</v>
      </c>
      <c r="G1038" s="24" t="s">
        <v>59</v>
      </c>
      <c r="H1038" s="24" t="s">
        <v>60</v>
      </c>
      <c r="I1038" s="28" t="n">
        <f aca="false">IF(A1038="","",D1038*E1038)</f>
        <v>7500</v>
      </c>
      <c r="J1038" s="28" t="n">
        <f aca="false">IF(A1038="","",D1038*F1038)</f>
        <v>4500</v>
      </c>
      <c r="K1038" s="26" t="n">
        <f aca="false">IF(A1038="","",YEAR(A1038))</f>
        <v>2026</v>
      </c>
      <c r="L1038" s="26" t="n">
        <f aca="false">IF(A1038="","",MONTH(A1038))</f>
        <v>7</v>
      </c>
    </row>
    <row r="1039" customFormat="false" ht="15" hidden="false" customHeight="false" outlineLevel="0" collapsed="false">
      <c r="A1039" s="23" t="n">
        <v>46220.4631944444</v>
      </c>
      <c r="B1039" s="24" t="s">
        <v>1077</v>
      </c>
      <c r="C1039" s="24" t="s">
        <v>1078</v>
      </c>
      <c r="D1039" s="24" t="n">
        <v>1</v>
      </c>
      <c r="E1039" s="25" t="n">
        <v>1500</v>
      </c>
      <c r="F1039" s="25" t="n">
        <v>900</v>
      </c>
      <c r="G1039" s="24" t="s">
        <v>59</v>
      </c>
      <c r="H1039" s="24" t="s">
        <v>55</v>
      </c>
      <c r="I1039" s="28" t="n">
        <f aca="false">IF(A1039="","",D1039*E1039)</f>
        <v>1500</v>
      </c>
      <c r="J1039" s="28" t="n">
        <f aca="false">IF(A1039="","",D1039*F1039)</f>
        <v>900</v>
      </c>
      <c r="K1039" s="26" t="n">
        <f aca="false">IF(A1039="","",YEAR(A1039))</f>
        <v>2026</v>
      </c>
      <c r="L1039" s="26" t="n">
        <f aca="false">IF(A1039="","",MONTH(A1039))</f>
        <v>7</v>
      </c>
    </row>
    <row r="1040" customFormat="false" ht="15" hidden="false" customHeight="false" outlineLevel="0" collapsed="false">
      <c r="A1040" s="23" t="n">
        <v>46220.5076388889</v>
      </c>
      <c r="B1040" s="24" t="s">
        <v>1077</v>
      </c>
      <c r="C1040" s="24" t="s">
        <v>1078</v>
      </c>
      <c r="D1040" s="24" t="n">
        <v>1</v>
      </c>
      <c r="E1040" s="25" t="n">
        <v>1500</v>
      </c>
      <c r="F1040" s="25" t="n">
        <v>900</v>
      </c>
      <c r="G1040" s="24" t="s">
        <v>59</v>
      </c>
      <c r="H1040" s="24" t="s">
        <v>60</v>
      </c>
      <c r="I1040" s="28" t="n">
        <f aca="false">IF(A1040="","",D1040*E1040)</f>
        <v>1500</v>
      </c>
      <c r="J1040" s="28" t="n">
        <f aca="false">IF(A1040="","",D1040*F1040)</f>
        <v>900</v>
      </c>
      <c r="K1040" s="26" t="n">
        <f aca="false">IF(A1040="","",YEAR(A1040))</f>
        <v>2026</v>
      </c>
      <c r="L1040" s="26" t="n">
        <f aca="false">IF(A1040="","",MONTH(A1040))</f>
        <v>7</v>
      </c>
    </row>
    <row r="1041" customFormat="false" ht="15" hidden="false" customHeight="false" outlineLevel="0" collapsed="false">
      <c r="A1041" s="23" t="n">
        <v>46220.5430555556</v>
      </c>
      <c r="B1041" s="24" t="s">
        <v>1071</v>
      </c>
      <c r="C1041" s="24" t="s">
        <v>1072</v>
      </c>
      <c r="D1041" s="24" t="n">
        <v>1</v>
      </c>
      <c r="E1041" s="25" t="n">
        <v>2000</v>
      </c>
      <c r="F1041" s="25" t="n">
        <v>1100</v>
      </c>
      <c r="G1041" s="24" t="s">
        <v>59</v>
      </c>
      <c r="H1041" s="24" t="s">
        <v>80</v>
      </c>
      <c r="I1041" s="28" t="n">
        <f aca="false">IF(A1041="","",D1041*E1041)</f>
        <v>2000</v>
      </c>
      <c r="J1041" s="28" t="n">
        <f aca="false">IF(A1041="","",D1041*F1041)</f>
        <v>1100</v>
      </c>
      <c r="K1041" s="26" t="n">
        <f aca="false">IF(A1041="","",YEAR(A1041))</f>
        <v>2026</v>
      </c>
      <c r="L1041" s="26" t="n">
        <f aca="false">IF(A1041="","",MONTH(A1041))</f>
        <v>7</v>
      </c>
    </row>
    <row r="1042" customFormat="false" ht="15" hidden="false" customHeight="false" outlineLevel="0" collapsed="false">
      <c r="A1042" s="23" t="n">
        <v>46220.8951388889</v>
      </c>
      <c r="B1042" s="24" t="s">
        <v>1073</v>
      </c>
      <c r="C1042" s="24" t="s">
        <v>1074</v>
      </c>
      <c r="D1042" s="24" t="n">
        <v>3</v>
      </c>
      <c r="E1042" s="25" t="n">
        <v>7000</v>
      </c>
      <c r="F1042" s="25" t="n">
        <v>4800</v>
      </c>
      <c r="G1042" s="24" t="s">
        <v>69</v>
      </c>
      <c r="H1042" s="24" t="s">
        <v>55</v>
      </c>
      <c r="I1042" s="28" t="n">
        <f aca="false">IF(A1042="","",D1042*E1042)</f>
        <v>21000</v>
      </c>
      <c r="J1042" s="28" t="n">
        <f aca="false">IF(A1042="","",D1042*F1042)</f>
        <v>14400</v>
      </c>
      <c r="K1042" s="26" t="n">
        <f aca="false">IF(A1042="","",YEAR(A1042))</f>
        <v>2026</v>
      </c>
      <c r="L1042" s="26" t="n">
        <f aca="false">IF(A1042="","",MONTH(A1042))</f>
        <v>7</v>
      </c>
    </row>
    <row r="1043" customFormat="false" ht="15" hidden="false" customHeight="false" outlineLevel="0" collapsed="false">
      <c r="A1043" s="23" t="n">
        <v>46221.8006944444</v>
      </c>
      <c r="B1043" s="24" t="s">
        <v>1081</v>
      </c>
      <c r="C1043" s="24" t="s">
        <v>1082</v>
      </c>
      <c r="D1043" s="24" t="n">
        <v>3</v>
      </c>
      <c r="E1043" s="25" t="n">
        <v>2500</v>
      </c>
      <c r="F1043" s="25" t="n">
        <v>1500</v>
      </c>
      <c r="G1043" s="24" t="s">
        <v>69</v>
      </c>
      <c r="H1043" s="24" t="s">
        <v>60</v>
      </c>
      <c r="I1043" s="28" t="n">
        <f aca="false">IF(A1043="","",D1043*E1043)</f>
        <v>7500</v>
      </c>
      <c r="J1043" s="28" t="n">
        <f aca="false">IF(A1043="","",D1043*F1043)</f>
        <v>4500</v>
      </c>
      <c r="K1043" s="26" t="n">
        <f aca="false">IF(A1043="","",YEAR(A1043))</f>
        <v>2026</v>
      </c>
      <c r="L1043" s="26" t="n">
        <f aca="false">IF(A1043="","",MONTH(A1043))</f>
        <v>7</v>
      </c>
    </row>
    <row r="1044" customFormat="false" ht="15" hidden="false" customHeight="false" outlineLevel="0" collapsed="false">
      <c r="A1044" s="23" t="n">
        <v>46221.8291666667</v>
      </c>
      <c r="B1044" s="24" t="s">
        <v>1077</v>
      </c>
      <c r="C1044" s="24" t="s">
        <v>1078</v>
      </c>
      <c r="D1044" s="24" t="n">
        <v>1</v>
      </c>
      <c r="E1044" s="25" t="n">
        <v>1500</v>
      </c>
      <c r="F1044" s="25" t="n">
        <v>900</v>
      </c>
      <c r="G1044" s="24" t="s">
        <v>59</v>
      </c>
      <c r="H1044" s="24" t="s">
        <v>55</v>
      </c>
      <c r="I1044" s="28" t="n">
        <f aca="false">IF(A1044="","",D1044*E1044)</f>
        <v>1500</v>
      </c>
      <c r="J1044" s="28" t="n">
        <f aca="false">IF(A1044="","",D1044*F1044)</f>
        <v>900</v>
      </c>
      <c r="K1044" s="26" t="n">
        <f aca="false">IF(A1044="","",YEAR(A1044))</f>
        <v>2026</v>
      </c>
      <c r="L1044" s="26" t="n">
        <f aca="false">IF(A1044="","",MONTH(A1044))</f>
        <v>7</v>
      </c>
    </row>
    <row r="1045" customFormat="false" ht="15" hidden="false" customHeight="false" outlineLevel="0" collapsed="false">
      <c r="A1045" s="23" t="n">
        <v>46222.3076388889</v>
      </c>
      <c r="B1045" s="24" t="s">
        <v>1065</v>
      </c>
      <c r="C1045" s="24" t="s">
        <v>1066</v>
      </c>
      <c r="D1045" s="24" t="n">
        <v>2</v>
      </c>
      <c r="E1045" s="25" t="n">
        <v>3000</v>
      </c>
      <c r="F1045" s="25" t="n">
        <v>2000</v>
      </c>
      <c r="G1045" s="24" t="s">
        <v>59</v>
      </c>
      <c r="H1045" s="24" t="s">
        <v>55</v>
      </c>
      <c r="I1045" s="28" t="n">
        <f aca="false">IF(A1045="","",D1045*E1045)</f>
        <v>6000</v>
      </c>
      <c r="J1045" s="28" t="n">
        <f aca="false">IF(A1045="","",D1045*F1045)</f>
        <v>4000</v>
      </c>
      <c r="K1045" s="26" t="n">
        <f aca="false">IF(A1045="","",YEAR(A1045))</f>
        <v>2026</v>
      </c>
      <c r="L1045" s="26" t="n">
        <f aca="false">IF(A1045="","",MONTH(A1045))</f>
        <v>7</v>
      </c>
    </row>
    <row r="1046" customFormat="false" ht="15" hidden="false" customHeight="false" outlineLevel="0" collapsed="false">
      <c r="A1046" s="23" t="n">
        <v>46222.3111111111</v>
      </c>
      <c r="B1046" s="24" t="s">
        <v>1071</v>
      </c>
      <c r="C1046" s="24" t="s">
        <v>1072</v>
      </c>
      <c r="D1046" s="24" t="n">
        <v>1</v>
      </c>
      <c r="E1046" s="25" t="n">
        <v>2000</v>
      </c>
      <c r="F1046" s="25" t="n">
        <v>1100</v>
      </c>
      <c r="G1046" s="24" t="s">
        <v>59</v>
      </c>
      <c r="H1046" s="24" t="s">
        <v>60</v>
      </c>
      <c r="I1046" s="28" t="n">
        <f aca="false">IF(A1046="","",D1046*E1046)</f>
        <v>2000</v>
      </c>
      <c r="J1046" s="28" t="n">
        <f aca="false">IF(A1046="","",D1046*F1046)</f>
        <v>1100</v>
      </c>
      <c r="K1046" s="26" t="n">
        <f aca="false">IF(A1046="","",YEAR(A1046))</f>
        <v>2026</v>
      </c>
      <c r="L1046" s="26" t="n">
        <f aca="false">IF(A1046="","",MONTH(A1046))</f>
        <v>7</v>
      </c>
    </row>
    <row r="1047" customFormat="false" ht="15" hidden="false" customHeight="false" outlineLevel="0" collapsed="false">
      <c r="A1047" s="23" t="n">
        <v>46222.3409722222</v>
      </c>
      <c r="B1047" s="24" t="s">
        <v>1077</v>
      </c>
      <c r="C1047" s="24" t="s">
        <v>1078</v>
      </c>
      <c r="D1047" s="24" t="n">
        <v>2</v>
      </c>
      <c r="E1047" s="25" t="n">
        <v>1500</v>
      </c>
      <c r="F1047" s="25" t="n">
        <v>900</v>
      </c>
      <c r="G1047" s="24" t="s">
        <v>59</v>
      </c>
      <c r="H1047" s="24" t="s">
        <v>60</v>
      </c>
      <c r="I1047" s="28" t="n">
        <f aca="false">IF(A1047="","",D1047*E1047)</f>
        <v>3000</v>
      </c>
      <c r="J1047" s="28" t="n">
        <f aca="false">IF(A1047="","",D1047*F1047)</f>
        <v>1800</v>
      </c>
      <c r="K1047" s="26" t="n">
        <f aca="false">IF(A1047="","",YEAR(A1047))</f>
        <v>2026</v>
      </c>
      <c r="L1047" s="26" t="n">
        <f aca="false">IF(A1047="","",MONTH(A1047))</f>
        <v>7</v>
      </c>
    </row>
    <row r="1048" customFormat="false" ht="15" hidden="false" customHeight="false" outlineLevel="0" collapsed="false">
      <c r="A1048" s="23" t="n">
        <v>46222.3944444444</v>
      </c>
      <c r="B1048" s="24" t="s">
        <v>1073</v>
      </c>
      <c r="C1048" s="24" t="s">
        <v>1074</v>
      </c>
      <c r="D1048" s="24" t="n">
        <v>1</v>
      </c>
      <c r="E1048" s="25" t="n">
        <v>7000</v>
      </c>
      <c r="F1048" s="25" t="n">
        <v>4800</v>
      </c>
      <c r="G1048" s="24" t="s">
        <v>69</v>
      </c>
      <c r="H1048" s="24" t="s">
        <v>60</v>
      </c>
      <c r="I1048" s="28" t="n">
        <f aca="false">IF(A1048="","",D1048*E1048)</f>
        <v>7000</v>
      </c>
      <c r="J1048" s="28" t="n">
        <f aca="false">IF(A1048="","",D1048*F1048)</f>
        <v>4800</v>
      </c>
      <c r="K1048" s="26" t="n">
        <f aca="false">IF(A1048="","",YEAR(A1048))</f>
        <v>2026</v>
      </c>
      <c r="L1048" s="26" t="n">
        <f aca="false">IF(A1048="","",MONTH(A1048))</f>
        <v>7</v>
      </c>
    </row>
    <row r="1049" customFormat="false" ht="15" hidden="false" customHeight="false" outlineLevel="0" collapsed="false">
      <c r="A1049" s="23" t="n">
        <v>46222.4229166667</v>
      </c>
      <c r="B1049" s="24" t="s">
        <v>1067</v>
      </c>
      <c r="C1049" s="24" t="s">
        <v>1068</v>
      </c>
      <c r="D1049" s="24" t="n">
        <v>1</v>
      </c>
      <c r="E1049" s="25" t="n">
        <v>4000</v>
      </c>
      <c r="F1049" s="25" t="n">
        <v>2600</v>
      </c>
      <c r="G1049" s="24" t="s">
        <v>59</v>
      </c>
      <c r="H1049" s="24" t="s">
        <v>60</v>
      </c>
      <c r="I1049" s="28" t="n">
        <f aca="false">IF(A1049="","",D1049*E1049)</f>
        <v>4000</v>
      </c>
      <c r="J1049" s="28" t="n">
        <f aca="false">IF(A1049="","",D1049*F1049)</f>
        <v>2600</v>
      </c>
      <c r="K1049" s="26" t="n">
        <f aca="false">IF(A1049="","",YEAR(A1049))</f>
        <v>2026</v>
      </c>
      <c r="L1049" s="26" t="n">
        <f aca="false">IF(A1049="","",MONTH(A1049))</f>
        <v>7</v>
      </c>
    </row>
    <row r="1050" customFormat="false" ht="15" hidden="false" customHeight="false" outlineLevel="0" collapsed="false">
      <c r="A1050" s="23" t="n">
        <v>46222.4923611111</v>
      </c>
      <c r="B1050" s="24" t="s">
        <v>1073</v>
      </c>
      <c r="C1050" s="24" t="s">
        <v>1074</v>
      </c>
      <c r="D1050" s="24" t="n">
        <v>1</v>
      </c>
      <c r="E1050" s="25" t="n">
        <v>7000</v>
      </c>
      <c r="F1050" s="25" t="n">
        <v>4800</v>
      </c>
      <c r="G1050" s="24" t="s">
        <v>69</v>
      </c>
      <c r="H1050" s="24" t="s">
        <v>55</v>
      </c>
      <c r="I1050" s="28" t="n">
        <f aca="false">IF(A1050="","",D1050*E1050)</f>
        <v>7000</v>
      </c>
      <c r="J1050" s="28" t="n">
        <f aca="false">IF(A1050="","",D1050*F1050)</f>
        <v>4800</v>
      </c>
      <c r="K1050" s="26" t="n">
        <f aca="false">IF(A1050="","",YEAR(A1050))</f>
        <v>2026</v>
      </c>
      <c r="L1050" s="26" t="n">
        <f aca="false">IF(A1050="","",MONTH(A1050))</f>
        <v>7</v>
      </c>
    </row>
    <row r="1051" customFormat="false" ht="15" hidden="false" customHeight="false" outlineLevel="0" collapsed="false">
      <c r="A1051" s="23" t="n">
        <v>46222.7284722222</v>
      </c>
      <c r="B1051" s="24" t="s">
        <v>1067</v>
      </c>
      <c r="C1051" s="24" t="s">
        <v>1068</v>
      </c>
      <c r="D1051" s="24" t="n">
        <v>1</v>
      </c>
      <c r="E1051" s="25" t="n">
        <v>4000</v>
      </c>
      <c r="F1051" s="25" t="n">
        <v>2600</v>
      </c>
      <c r="G1051" s="24" t="s">
        <v>59</v>
      </c>
      <c r="H1051" s="24" t="s">
        <v>80</v>
      </c>
      <c r="I1051" s="28" t="n">
        <f aca="false">IF(A1051="","",D1051*E1051)</f>
        <v>4000</v>
      </c>
      <c r="J1051" s="28" t="n">
        <f aca="false">IF(A1051="","",D1051*F1051)</f>
        <v>2600</v>
      </c>
      <c r="K1051" s="26" t="n">
        <f aca="false">IF(A1051="","",YEAR(A1051))</f>
        <v>2026</v>
      </c>
      <c r="L1051" s="26" t="n">
        <f aca="false">IF(A1051="","",MONTH(A1051))</f>
        <v>7</v>
      </c>
    </row>
    <row r="1052" customFormat="false" ht="15" hidden="false" customHeight="false" outlineLevel="0" collapsed="false">
      <c r="A1052" s="23" t="n">
        <v>46222.8097222222</v>
      </c>
      <c r="B1052" s="24" t="s">
        <v>1071</v>
      </c>
      <c r="C1052" s="24" t="s">
        <v>1072</v>
      </c>
      <c r="D1052" s="24" t="n">
        <v>1</v>
      </c>
      <c r="E1052" s="25" t="n">
        <v>2000</v>
      </c>
      <c r="F1052" s="25" t="n">
        <v>1100</v>
      </c>
      <c r="G1052" s="24" t="s">
        <v>59</v>
      </c>
      <c r="H1052" s="24" t="s">
        <v>60</v>
      </c>
      <c r="I1052" s="28" t="n">
        <f aca="false">IF(A1052="","",D1052*E1052)</f>
        <v>2000</v>
      </c>
      <c r="J1052" s="28" t="n">
        <f aca="false">IF(A1052="","",D1052*F1052)</f>
        <v>1100</v>
      </c>
      <c r="K1052" s="26" t="n">
        <f aca="false">IF(A1052="","",YEAR(A1052))</f>
        <v>2026</v>
      </c>
      <c r="L1052" s="26" t="n">
        <f aca="false">IF(A1052="","",MONTH(A1052))</f>
        <v>7</v>
      </c>
    </row>
    <row r="1053" customFormat="false" ht="15" hidden="false" customHeight="false" outlineLevel="0" collapsed="false">
      <c r="A1053" s="23" t="n">
        <v>46223.4041666667</v>
      </c>
      <c r="B1053" s="24" t="s">
        <v>1067</v>
      </c>
      <c r="C1053" s="24" t="s">
        <v>1068</v>
      </c>
      <c r="D1053" s="24" t="n">
        <v>2</v>
      </c>
      <c r="E1053" s="25" t="n">
        <v>4000</v>
      </c>
      <c r="F1053" s="25" t="n">
        <v>2600</v>
      </c>
      <c r="G1053" s="24" t="s">
        <v>59</v>
      </c>
      <c r="H1053" s="24" t="s">
        <v>60</v>
      </c>
      <c r="I1053" s="28" t="n">
        <f aca="false">IF(A1053="","",D1053*E1053)</f>
        <v>8000</v>
      </c>
      <c r="J1053" s="28" t="n">
        <f aca="false">IF(A1053="","",D1053*F1053)</f>
        <v>5200</v>
      </c>
      <c r="K1053" s="26" t="n">
        <f aca="false">IF(A1053="","",YEAR(A1053))</f>
        <v>2026</v>
      </c>
      <c r="L1053" s="26" t="n">
        <f aca="false">IF(A1053="","",MONTH(A1053))</f>
        <v>7</v>
      </c>
    </row>
    <row r="1054" customFormat="false" ht="15" hidden="false" customHeight="false" outlineLevel="0" collapsed="false">
      <c r="A1054" s="23" t="n">
        <v>46223.5541666667</v>
      </c>
      <c r="B1054" s="24" t="s">
        <v>1081</v>
      </c>
      <c r="C1054" s="24" t="s">
        <v>1082</v>
      </c>
      <c r="D1054" s="24" t="n">
        <v>1</v>
      </c>
      <c r="E1054" s="25" t="n">
        <v>2500</v>
      </c>
      <c r="F1054" s="25" t="n">
        <v>1500</v>
      </c>
      <c r="G1054" s="24" t="s">
        <v>59</v>
      </c>
      <c r="H1054" s="24" t="s">
        <v>80</v>
      </c>
      <c r="I1054" s="28" t="n">
        <f aca="false">IF(A1054="","",D1054*E1054)</f>
        <v>2500</v>
      </c>
      <c r="J1054" s="28" t="n">
        <f aca="false">IF(A1054="","",D1054*F1054)</f>
        <v>1500</v>
      </c>
      <c r="K1054" s="26" t="n">
        <f aca="false">IF(A1054="","",YEAR(A1054))</f>
        <v>2026</v>
      </c>
      <c r="L1054" s="26" t="n">
        <f aca="false">IF(A1054="","",MONTH(A1054))</f>
        <v>7</v>
      </c>
    </row>
    <row r="1055" customFormat="false" ht="15" hidden="false" customHeight="false" outlineLevel="0" collapsed="false">
      <c r="A1055" s="23" t="n">
        <v>46223.6041666667</v>
      </c>
      <c r="B1055" s="24" t="s">
        <v>1073</v>
      </c>
      <c r="C1055" s="24" t="s">
        <v>1074</v>
      </c>
      <c r="D1055" s="24" t="n">
        <v>2</v>
      </c>
      <c r="E1055" s="25" t="n">
        <v>7000</v>
      </c>
      <c r="F1055" s="25" t="n">
        <v>4800</v>
      </c>
      <c r="G1055" s="24" t="s">
        <v>59</v>
      </c>
      <c r="H1055" s="24" t="s">
        <v>80</v>
      </c>
      <c r="I1055" s="28" t="n">
        <f aca="false">IF(A1055="","",D1055*E1055)</f>
        <v>14000</v>
      </c>
      <c r="J1055" s="28" t="n">
        <f aca="false">IF(A1055="","",D1055*F1055)</f>
        <v>9600</v>
      </c>
      <c r="K1055" s="26" t="n">
        <f aca="false">IF(A1055="","",YEAR(A1055))</f>
        <v>2026</v>
      </c>
      <c r="L1055" s="26" t="n">
        <f aca="false">IF(A1055="","",MONTH(A1055))</f>
        <v>7</v>
      </c>
    </row>
    <row r="1056" customFormat="false" ht="15" hidden="false" customHeight="false" outlineLevel="0" collapsed="false">
      <c r="A1056" s="23" t="n">
        <v>46224.4215277778</v>
      </c>
      <c r="B1056" s="24" t="s">
        <v>1069</v>
      </c>
      <c r="C1056" s="24" t="s">
        <v>1070</v>
      </c>
      <c r="D1056" s="24" t="n">
        <v>1</v>
      </c>
      <c r="E1056" s="25" t="n">
        <v>4500</v>
      </c>
      <c r="F1056" s="25" t="n">
        <v>3000</v>
      </c>
      <c r="G1056" s="24" t="s">
        <v>69</v>
      </c>
      <c r="H1056" s="24" t="s">
        <v>80</v>
      </c>
      <c r="I1056" s="28" t="n">
        <f aca="false">IF(A1056="","",D1056*E1056)</f>
        <v>4500</v>
      </c>
      <c r="J1056" s="28" t="n">
        <f aca="false">IF(A1056="","",D1056*F1056)</f>
        <v>3000</v>
      </c>
      <c r="K1056" s="26" t="n">
        <f aca="false">IF(A1056="","",YEAR(A1056))</f>
        <v>2026</v>
      </c>
      <c r="L1056" s="26" t="n">
        <f aca="false">IF(A1056="","",MONTH(A1056))</f>
        <v>7</v>
      </c>
    </row>
    <row r="1057" customFormat="false" ht="15" hidden="false" customHeight="false" outlineLevel="0" collapsed="false">
      <c r="A1057" s="23" t="n">
        <v>46224.46875</v>
      </c>
      <c r="B1057" s="24" t="s">
        <v>1081</v>
      </c>
      <c r="C1057" s="24" t="s">
        <v>1082</v>
      </c>
      <c r="D1057" s="24" t="n">
        <v>1</v>
      </c>
      <c r="E1057" s="25" t="n">
        <v>2500</v>
      </c>
      <c r="F1057" s="25" t="n">
        <v>1500</v>
      </c>
      <c r="G1057" s="24" t="s">
        <v>69</v>
      </c>
      <c r="H1057" s="24" t="s">
        <v>60</v>
      </c>
      <c r="I1057" s="28" t="n">
        <f aca="false">IF(A1057="","",D1057*E1057)</f>
        <v>2500</v>
      </c>
      <c r="J1057" s="28" t="n">
        <f aca="false">IF(A1057="","",D1057*F1057)</f>
        <v>1500</v>
      </c>
      <c r="K1057" s="26" t="n">
        <f aca="false">IF(A1057="","",YEAR(A1057))</f>
        <v>2026</v>
      </c>
      <c r="L1057" s="26" t="n">
        <f aca="false">IF(A1057="","",MONTH(A1057))</f>
        <v>7</v>
      </c>
    </row>
    <row r="1058" customFormat="false" ht="15" hidden="false" customHeight="false" outlineLevel="0" collapsed="false">
      <c r="A1058" s="23" t="n">
        <v>46224.6243055556</v>
      </c>
      <c r="B1058" s="24" t="s">
        <v>1067</v>
      </c>
      <c r="C1058" s="24" t="s">
        <v>1068</v>
      </c>
      <c r="D1058" s="24" t="n">
        <v>1</v>
      </c>
      <c r="E1058" s="25" t="n">
        <v>4000</v>
      </c>
      <c r="F1058" s="25" t="n">
        <v>2600</v>
      </c>
      <c r="G1058" s="24" t="s">
        <v>59</v>
      </c>
      <c r="H1058" s="24" t="s">
        <v>60</v>
      </c>
      <c r="I1058" s="28" t="n">
        <f aca="false">IF(A1058="","",D1058*E1058)</f>
        <v>4000</v>
      </c>
      <c r="J1058" s="28" t="n">
        <f aca="false">IF(A1058="","",D1058*F1058)</f>
        <v>2600</v>
      </c>
      <c r="K1058" s="26" t="n">
        <f aca="false">IF(A1058="","",YEAR(A1058))</f>
        <v>2026</v>
      </c>
      <c r="L1058" s="26" t="n">
        <f aca="false">IF(A1058="","",MONTH(A1058))</f>
        <v>7</v>
      </c>
    </row>
    <row r="1059" customFormat="false" ht="15" hidden="false" customHeight="false" outlineLevel="0" collapsed="false">
      <c r="A1059" s="23" t="n">
        <v>46225.375</v>
      </c>
      <c r="B1059" s="24" t="s">
        <v>1065</v>
      </c>
      <c r="C1059" s="24" t="s">
        <v>1066</v>
      </c>
      <c r="D1059" s="24" t="n">
        <v>2</v>
      </c>
      <c r="E1059" s="25" t="n">
        <v>3000</v>
      </c>
      <c r="F1059" s="25" t="n">
        <v>2000</v>
      </c>
      <c r="G1059" s="24" t="s">
        <v>59</v>
      </c>
      <c r="H1059" s="24" t="s">
        <v>60</v>
      </c>
      <c r="I1059" s="28" t="n">
        <f aca="false">IF(A1059="","",D1059*E1059)</f>
        <v>6000</v>
      </c>
      <c r="J1059" s="28" t="n">
        <f aca="false">IF(A1059="","",D1059*F1059)</f>
        <v>4000</v>
      </c>
      <c r="K1059" s="26" t="n">
        <f aca="false">IF(A1059="","",YEAR(A1059))</f>
        <v>2026</v>
      </c>
      <c r="L1059" s="26" t="n">
        <f aca="false">IF(A1059="","",MONTH(A1059))</f>
        <v>7</v>
      </c>
    </row>
    <row r="1060" customFormat="false" ht="15" hidden="false" customHeight="false" outlineLevel="0" collapsed="false">
      <c r="A1060" s="23" t="n">
        <v>46225.6423611111</v>
      </c>
      <c r="B1060" s="24" t="s">
        <v>1071</v>
      </c>
      <c r="C1060" s="24" t="s">
        <v>1072</v>
      </c>
      <c r="D1060" s="24" t="n">
        <v>2</v>
      </c>
      <c r="E1060" s="25" t="n">
        <v>2000</v>
      </c>
      <c r="F1060" s="25" t="n">
        <v>1100</v>
      </c>
      <c r="G1060" s="24" t="s">
        <v>59</v>
      </c>
      <c r="H1060" s="24" t="s">
        <v>80</v>
      </c>
      <c r="I1060" s="28" t="n">
        <f aca="false">IF(A1060="","",D1060*E1060)</f>
        <v>4000</v>
      </c>
      <c r="J1060" s="28" t="n">
        <f aca="false">IF(A1060="","",D1060*F1060)</f>
        <v>2200</v>
      </c>
      <c r="K1060" s="26" t="n">
        <f aca="false">IF(A1060="","",YEAR(A1060))</f>
        <v>2026</v>
      </c>
      <c r="L1060" s="26" t="n">
        <f aca="false">IF(A1060="","",MONTH(A1060))</f>
        <v>7</v>
      </c>
    </row>
    <row r="1061" customFormat="false" ht="15" hidden="false" customHeight="false" outlineLevel="0" collapsed="false">
      <c r="A1061" s="23" t="n">
        <v>46225.7506944445</v>
      </c>
      <c r="B1061" s="24" t="s">
        <v>1067</v>
      </c>
      <c r="C1061" s="24" t="s">
        <v>1068</v>
      </c>
      <c r="D1061" s="24" t="n">
        <v>1</v>
      </c>
      <c r="E1061" s="25" t="n">
        <v>4000</v>
      </c>
      <c r="F1061" s="25" t="n">
        <v>2600</v>
      </c>
      <c r="G1061" s="24" t="s">
        <v>59</v>
      </c>
      <c r="H1061" s="24" t="s">
        <v>55</v>
      </c>
      <c r="I1061" s="28" t="n">
        <f aca="false">IF(A1061="","",D1061*E1061)</f>
        <v>4000</v>
      </c>
      <c r="J1061" s="28" t="n">
        <f aca="false">IF(A1061="","",D1061*F1061)</f>
        <v>2600</v>
      </c>
      <c r="K1061" s="26" t="n">
        <f aca="false">IF(A1061="","",YEAR(A1061))</f>
        <v>2026</v>
      </c>
      <c r="L1061" s="26" t="n">
        <f aca="false">IF(A1061="","",MONTH(A1061))</f>
        <v>7</v>
      </c>
    </row>
    <row r="1062" customFormat="false" ht="15" hidden="false" customHeight="false" outlineLevel="0" collapsed="false">
      <c r="A1062" s="23" t="n">
        <v>46225.9083333333</v>
      </c>
      <c r="B1062" s="24" t="s">
        <v>1069</v>
      </c>
      <c r="C1062" s="24" t="s">
        <v>1070</v>
      </c>
      <c r="D1062" s="24" t="n">
        <v>1</v>
      </c>
      <c r="E1062" s="25" t="n">
        <v>4500</v>
      </c>
      <c r="F1062" s="25" t="n">
        <v>3000</v>
      </c>
      <c r="G1062" s="24" t="s">
        <v>69</v>
      </c>
      <c r="H1062" s="24" t="s">
        <v>60</v>
      </c>
      <c r="I1062" s="28" t="n">
        <f aca="false">IF(A1062="","",D1062*E1062)</f>
        <v>4500</v>
      </c>
      <c r="J1062" s="28" t="n">
        <f aca="false">IF(A1062="","",D1062*F1062)</f>
        <v>3000</v>
      </c>
      <c r="K1062" s="26" t="n">
        <f aca="false">IF(A1062="","",YEAR(A1062))</f>
        <v>2026</v>
      </c>
      <c r="L1062" s="26" t="n">
        <f aca="false">IF(A1062="","",MONTH(A1062))</f>
        <v>7</v>
      </c>
    </row>
    <row r="1063" customFormat="false" ht="15" hidden="false" customHeight="false" outlineLevel="0" collapsed="false">
      <c r="A1063" s="23" t="n">
        <v>46226.8875</v>
      </c>
      <c r="B1063" s="24" t="s">
        <v>1065</v>
      </c>
      <c r="C1063" s="24" t="s">
        <v>1066</v>
      </c>
      <c r="D1063" s="24" t="n">
        <v>2</v>
      </c>
      <c r="E1063" s="25" t="n">
        <v>3000</v>
      </c>
      <c r="F1063" s="25" t="n">
        <v>2000</v>
      </c>
      <c r="G1063" s="24" t="s">
        <v>69</v>
      </c>
      <c r="H1063" s="24" t="s">
        <v>60</v>
      </c>
      <c r="I1063" s="28" t="n">
        <f aca="false">IF(A1063="","",D1063*E1063)</f>
        <v>6000</v>
      </c>
      <c r="J1063" s="28" t="n">
        <f aca="false">IF(A1063="","",D1063*F1063)</f>
        <v>4000</v>
      </c>
      <c r="K1063" s="26" t="n">
        <f aca="false">IF(A1063="","",YEAR(A1063))</f>
        <v>2026</v>
      </c>
      <c r="L1063" s="26" t="n">
        <f aca="false">IF(A1063="","",MONTH(A1063))</f>
        <v>7</v>
      </c>
    </row>
    <row r="1064" customFormat="false" ht="15" hidden="false" customHeight="false" outlineLevel="0" collapsed="false">
      <c r="A1064" s="23" t="n">
        <v>46227.4611111111</v>
      </c>
      <c r="B1064" s="24" t="s">
        <v>1065</v>
      </c>
      <c r="C1064" s="24" t="s">
        <v>1066</v>
      </c>
      <c r="D1064" s="24" t="n">
        <v>1</v>
      </c>
      <c r="E1064" s="25" t="n">
        <v>3000</v>
      </c>
      <c r="F1064" s="25" t="n">
        <v>2000</v>
      </c>
      <c r="G1064" s="24" t="s">
        <v>59</v>
      </c>
      <c r="H1064" s="24" t="s">
        <v>60</v>
      </c>
      <c r="I1064" s="28" t="n">
        <f aca="false">IF(A1064="","",D1064*E1064)</f>
        <v>3000</v>
      </c>
      <c r="J1064" s="28" t="n">
        <f aca="false">IF(A1064="","",D1064*F1064)</f>
        <v>2000</v>
      </c>
      <c r="K1064" s="26" t="n">
        <f aca="false">IF(A1064="","",YEAR(A1064))</f>
        <v>2026</v>
      </c>
      <c r="L1064" s="26" t="n">
        <f aca="false">IF(A1064="","",MONTH(A1064))</f>
        <v>7</v>
      </c>
    </row>
    <row r="1065" customFormat="false" ht="15" hidden="false" customHeight="false" outlineLevel="0" collapsed="false">
      <c r="A1065" s="23" t="n">
        <v>46227.5090277778</v>
      </c>
      <c r="B1065" s="24" t="s">
        <v>1077</v>
      </c>
      <c r="C1065" s="24" t="s">
        <v>1078</v>
      </c>
      <c r="D1065" s="24" t="n">
        <v>1</v>
      </c>
      <c r="E1065" s="25" t="n">
        <v>1500</v>
      </c>
      <c r="F1065" s="25" t="n">
        <v>900</v>
      </c>
      <c r="G1065" s="24" t="s">
        <v>69</v>
      </c>
      <c r="H1065" s="24" t="s">
        <v>60</v>
      </c>
      <c r="I1065" s="28" t="n">
        <f aca="false">IF(A1065="","",D1065*E1065)</f>
        <v>1500</v>
      </c>
      <c r="J1065" s="28" t="n">
        <f aca="false">IF(A1065="","",D1065*F1065)</f>
        <v>900</v>
      </c>
      <c r="K1065" s="26" t="n">
        <f aca="false">IF(A1065="","",YEAR(A1065))</f>
        <v>2026</v>
      </c>
      <c r="L1065" s="26" t="n">
        <f aca="false">IF(A1065="","",MONTH(A1065))</f>
        <v>7</v>
      </c>
    </row>
    <row r="1066" customFormat="false" ht="15" hidden="false" customHeight="false" outlineLevel="0" collapsed="false">
      <c r="A1066" s="23" t="n">
        <v>46227.5423611111</v>
      </c>
      <c r="B1066" s="24" t="s">
        <v>1081</v>
      </c>
      <c r="C1066" s="24" t="s">
        <v>1082</v>
      </c>
      <c r="D1066" s="24" t="n">
        <v>3</v>
      </c>
      <c r="E1066" s="25" t="n">
        <v>2500</v>
      </c>
      <c r="F1066" s="25" t="n">
        <v>1500</v>
      </c>
      <c r="G1066" s="24" t="s">
        <v>69</v>
      </c>
      <c r="H1066" s="24" t="s">
        <v>55</v>
      </c>
      <c r="I1066" s="28" t="n">
        <f aca="false">IF(A1066="","",D1066*E1066)</f>
        <v>7500</v>
      </c>
      <c r="J1066" s="28" t="n">
        <f aca="false">IF(A1066="","",D1066*F1066)</f>
        <v>4500</v>
      </c>
      <c r="K1066" s="26" t="n">
        <f aca="false">IF(A1066="","",YEAR(A1066))</f>
        <v>2026</v>
      </c>
      <c r="L1066" s="26" t="n">
        <f aca="false">IF(A1066="","",MONTH(A1066))</f>
        <v>7</v>
      </c>
    </row>
    <row r="1067" customFormat="false" ht="15" hidden="false" customHeight="false" outlineLevel="0" collapsed="false">
      <c r="A1067" s="23" t="n">
        <v>46227.6944444445</v>
      </c>
      <c r="B1067" s="24" t="s">
        <v>1075</v>
      </c>
      <c r="C1067" s="24" t="s">
        <v>1076</v>
      </c>
      <c r="D1067" s="24" t="n">
        <v>1</v>
      </c>
      <c r="E1067" s="25" t="n">
        <v>1000</v>
      </c>
      <c r="F1067" s="25" t="n">
        <v>300</v>
      </c>
      <c r="G1067" s="24" t="s">
        <v>59</v>
      </c>
      <c r="H1067" s="24" t="s">
        <v>60</v>
      </c>
      <c r="I1067" s="28" t="n">
        <f aca="false">IF(A1067="","",D1067*E1067)</f>
        <v>1000</v>
      </c>
      <c r="J1067" s="28" t="n">
        <f aca="false">IF(A1067="","",D1067*F1067)</f>
        <v>300</v>
      </c>
      <c r="K1067" s="26" t="n">
        <f aca="false">IF(A1067="","",YEAR(A1067))</f>
        <v>2026</v>
      </c>
      <c r="L1067" s="26" t="n">
        <f aca="false">IF(A1067="","",MONTH(A1067))</f>
        <v>7</v>
      </c>
    </row>
    <row r="1068" customFormat="false" ht="15" hidden="false" customHeight="false" outlineLevel="0" collapsed="false">
      <c r="A1068" s="23" t="n">
        <v>46227.8298611111</v>
      </c>
      <c r="B1068" s="24" t="s">
        <v>1069</v>
      </c>
      <c r="C1068" s="24" t="s">
        <v>1070</v>
      </c>
      <c r="D1068" s="24" t="n">
        <v>1</v>
      </c>
      <c r="E1068" s="25" t="n">
        <v>4500</v>
      </c>
      <c r="F1068" s="25" t="n">
        <v>3000</v>
      </c>
      <c r="G1068" s="24" t="s">
        <v>69</v>
      </c>
      <c r="H1068" s="24" t="s">
        <v>55</v>
      </c>
      <c r="I1068" s="28" t="n">
        <f aca="false">IF(A1068="","",D1068*E1068)</f>
        <v>4500</v>
      </c>
      <c r="J1068" s="28" t="n">
        <f aca="false">IF(A1068="","",D1068*F1068)</f>
        <v>3000</v>
      </c>
      <c r="K1068" s="26" t="n">
        <f aca="false">IF(A1068="","",YEAR(A1068))</f>
        <v>2026</v>
      </c>
      <c r="L1068" s="26" t="n">
        <f aca="false">IF(A1068="","",MONTH(A1068))</f>
        <v>7</v>
      </c>
    </row>
    <row r="1069" customFormat="false" ht="15" hidden="false" customHeight="false" outlineLevel="0" collapsed="false">
      <c r="A1069" s="23" t="n">
        <v>46227.8576388889</v>
      </c>
      <c r="B1069" s="24" t="s">
        <v>1079</v>
      </c>
      <c r="C1069" s="24" t="s">
        <v>1080</v>
      </c>
      <c r="D1069" s="24" t="n">
        <v>1</v>
      </c>
      <c r="E1069" s="25" t="n">
        <v>2500</v>
      </c>
      <c r="F1069" s="25" t="n">
        <v>1600</v>
      </c>
      <c r="G1069" s="24" t="s">
        <v>59</v>
      </c>
      <c r="H1069" s="24" t="s">
        <v>55</v>
      </c>
      <c r="I1069" s="28" t="n">
        <f aca="false">IF(A1069="","",D1069*E1069)</f>
        <v>2500</v>
      </c>
      <c r="J1069" s="28" t="n">
        <f aca="false">IF(A1069="","",D1069*F1069)</f>
        <v>1600</v>
      </c>
      <c r="K1069" s="26" t="n">
        <f aca="false">IF(A1069="","",YEAR(A1069))</f>
        <v>2026</v>
      </c>
      <c r="L1069" s="26" t="n">
        <f aca="false">IF(A1069="","",MONTH(A1069))</f>
        <v>7</v>
      </c>
    </row>
    <row r="1070" customFormat="false" ht="15" hidden="false" customHeight="false" outlineLevel="0" collapsed="false">
      <c r="A1070" s="23" t="n">
        <v>46228.3909722222</v>
      </c>
      <c r="B1070" s="24" t="s">
        <v>1067</v>
      </c>
      <c r="C1070" s="24" t="s">
        <v>1068</v>
      </c>
      <c r="D1070" s="24" t="n">
        <v>3</v>
      </c>
      <c r="E1070" s="25" t="n">
        <v>4000</v>
      </c>
      <c r="F1070" s="25" t="n">
        <v>2600</v>
      </c>
      <c r="G1070" s="24" t="s">
        <v>59</v>
      </c>
      <c r="H1070" s="24" t="s">
        <v>60</v>
      </c>
      <c r="I1070" s="28" t="n">
        <f aca="false">IF(A1070="","",D1070*E1070)</f>
        <v>12000</v>
      </c>
      <c r="J1070" s="28" t="n">
        <f aca="false">IF(A1070="","",D1070*F1070)</f>
        <v>7800</v>
      </c>
      <c r="K1070" s="26" t="n">
        <f aca="false">IF(A1070="","",YEAR(A1070))</f>
        <v>2026</v>
      </c>
      <c r="L1070" s="26" t="n">
        <f aca="false">IF(A1070="","",MONTH(A1070))</f>
        <v>7</v>
      </c>
    </row>
    <row r="1071" customFormat="false" ht="15" hidden="false" customHeight="false" outlineLevel="0" collapsed="false">
      <c r="A1071" s="23" t="n">
        <v>46229.3534722222</v>
      </c>
      <c r="B1071" s="24" t="s">
        <v>1065</v>
      </c>
      <c r="C1071" s="24" t="s">
        <v>1066</v>
      </c>
      <c r="D1071" s="24" t="n">
        <v>1</v>
      </c>
      <c r="E1071" s="25" t="n">
        <v>3000</v>
      </c>
      <c r="F1071" s="25" t="n">
        <v>2000</v>
      </c>
      <c r="G1071" s="24" t="s">
        <v>59</v>
      </c>
      <c r="H1071" s="24" t="s">
        <v>55</v>
      </c>
      <c r="I1071" s="28" t="n">
        <f aca="false">IF(A1071="","",D1071*E1071)</f>
        <v>3000</v>
      </c>
      <c r="J1071" s="28" t="n">
        <f aca="false">IF(A1071="","",D1071*F1071)</f>
        <v>2000</v>
      </c>
      <c r="K1071" s="26" t="n">
        <f aca="false">IF(A1071="","",YEAR(A1071))</f>
        <v>2026</v>
      </c>
      <c r="L1071" s="26" t="n">
        <f aca="false">IF(A1071="","",MONTH(A1071))</f>
        <v>7</v>
      </c>
    </row>
    <row r="1072" customFormat="false" ht="15" hidden="false" customHeight="false" outlineLevel="0" collapsed="false">
      <c r="A1072" s="23" t="n">
        <v>46229.58125</v>
      </c>
      <c r="B1072" s="24" t="s">
        <v>1067</v>
      </c>
      <c r="C1072" s="24" t="s">
        <v>1068</v>
      </c>
      <c r="D1072" s="24" t="n">
        <v>2</v>
      </c>
      <c r="E1072" s="25" t="n">
        <v>4000</v>
      </c>
      <c r="F1072" s="25" t="n">
        <v>2600</v>
      </c>
      <c r="G1072" s="24" t="s">
        <v>59</v>
      </c>
      <c r="H1072" s="24" t="s">
        <v>55</v>
      </c>
      <c r="I1072" s="28" t="n">
        <f aca="false">IF(A1072="","",D1072*E1072)</f>
        <v>8000</v>
      </c>
      <c r="J1072" s="28" t="n">
        <f aca="false">IF(A1072="","",D1072*F1072)</f>
        <v>5200</v>
      </c>
      <c r="K1072" s="26" t="n">
        <f aca="false">IF(A1072="","",YEAR(A1072))</f>
        <v>2026</v>
      </c>
      <c r="L1072" s="26" t="n">
        <f aca="false">IF(A1072="","",MONTH(A1072))</f>
        <v>7</v>
      </c>
    </row>
    <row r="1073" customFormat="false" ht="15" hidden="false" customHeight="false" outlineLevel="0" collapsed="false">
      <c r="A1073" s="23" t="n">
        <v>46229.7263888889</v>
      </c>
      <c r="B1073" s="24" t="s">
        <v>1065</v>
      </c>
      <c r="C1073" s="24" t="s">
        <v>1066</v>
      </c>
      <c r="D1073" s="24" t="n">
        <v>1</v>
      </c>
      <c r="E1073" s="25" t="n">
        <v>3000</v>
      </c>
      <c r="F1073" s="25" t="n">
        <v>2000</v>
      </c>
      <c r="G1073" s="24" t="s">
        <v>69</v>
      </c>
      <c r="H1073" s="24" t="s">
        <v>60</v>
      </c>
      <c r="I1073" s="28" t="n">
        <f aca="false">IF(A1073="","",D1073*E1073)</f>
        <v>3000</v>
      </c>
      <c r="J1073" s="28" t="n">
        <f aca="false">IF(A1073="","",D1073*F1073)</f>
        <v>2000</v>
      </c>
      <c r="K1073" s="26" t="n">
        <f aca="false">IF(A1073="","",YEAR(A1073))</f>
        <v>2026</v>
      </c>
      <c r="L1073" s="26" t="n">
        <f aca="false">IF(A1073="","",MONTH(A1073))</f>
        <v>7</v>
      </c>
    </row>
    <row r="1074" customFormat="false" ht="15" hidden="false" customHeight="false" outlineLevel="0" collapsed="false">
      <c r="A1074" s="23" t="n">
        <v>46230.4680555556</v>
      </c>
      <c r="B1074" s="24" t="s">
        <v>1065</v>
      </c>
      <c r="C1074" s="24" t="s">
        <v>1066</v>
      </c>
      <c r="D1074" s="24" t="n">
        <v>1</v>
      </c>
      <c r="E1074" s="25" t="n">
        <v>3000</v>
      </c>
      <c r="F1074" s="25" t="n">
        <v>2000</v>
      </c>
      <c r="G1074" s="24" t="s">
        <v>59</v>
      </c>
      <c r="H1074" s="24" t="s">
        <v>80</v>
      </c>
      <c r="I1074" s="28" t="n">
        <f aca="false">IF(A1074="","",D1074*E1074)</f>
        <v>3000</v>
      </c>
      <c r="J1074" s="28" t="n">
        <f aca="false">IF(A1074="","",D1074*F1074)</f>
        <v>2000</v>
      </c>
      <c r="K1074" s="26" t="n">
        <f aca="false">IF(A1074="","",YEAR(A1074))</f>
        <v>2026</v>
      </c>
      <c r="L1074" s="26" t="n">
        <f aca="false">IF(A1074="","",MONTH(A1074))</f>
        <v>7</v>
      </c>
    </row>
    <row r="1075" customFormat="false" ht="15" hidden="false" customHeight="false" outlineLevel="0" collapsed="false">
      <c r="A1075" s="23" t="n">
        <v>46230.5861111111</v>
      </c>
      <c r="B1075" s="24" t="s">
        <v>1075</v>
      </c>
      <c r="C1075" s="24" t="s">
        <v>1076</v>
      </c>
      <c r="D1075" s="24" t="n">
        <v>1</v>
      </c>
      <c r="E1075" s="25" t="n">
        <v>1000</v>
      </c>
      <c r="F1075" s="25" t="n">
        <v>300</v>
      </c>
      <c r="G1075" s="24" t="s">
        <v>59</v>
      </c>
      <c r="H1075" s="24" t="s">
        <v>60</v>
      </c>
      <c r="I1075" s="28" t="n">
        <f aca="false">IF(A1075="","",D1075*E1075)</f>
        <v>1000</v>
      </c>
      <c r="J1075" s="28" t="n">
        <f aca="false">IF(A1075="","",D1075*F1075)</f>
        <v>300</v>
      </c>
      <c r="K1075" s="26" t="n">
        <f aca="false">IF(A1075="","",YEAR(A1075))</f>
        <v>2026</v>
      </c>
      <c r="L1075" s="26" t="n">
        <f aca="false">IF(A1075="","",MONTH(A1075))</f>
        <v>7</v>
      </c>
    </row>
    <row r="1076" customFormat="false" ht="15" hidden="false" customHeight="false" outlineLevel="0" collapsed="false">
      <c r="A1076" s="23" t="n">
        <v>46230.5916666667</v>
      </c>
      <c r="B1076" s="24" t="s">
        <v>1069</v>
      </c>
      <c r="C1076" s="24" t="s">
        <v>1070</v>
      </c>
      <c r="D1076" s="24" t="n">
        <v>1</v>
      </c>
      <c r="E1076" s="25" t="n">
        <v>4500</v>
      </c>
      <c r="F1076" s="25" t="n">
        <v>3000</v>
      </c>
      <c r="G1076" s="24" t="s">
        <v>59</v>
      </c>
      <c r="H1076" s="24" t="s">
        <v>60</v>
      </c>
      <c r="I1076" s="28" t="n">
        <f aca="false">IF(A1076="","",D1076*E1076)</f>
        <v>4500</v>
      </c>
      <c r="J1076" s="28" t="n">
        <f aca="false">IF(A1076="","",D1076*F1076)</f>
        <v>3000</v>
      </c>
      <c r="K1076" s="26" t="n">
        <f aca="false">IF(A1076="","",YEAR(A1076))</f>
        <v>2026</v>
      </c>
      <c r="L1076" s="26" t="n">
        <f aca="false">IF(A1076="","",MONTH(A1076))</f>
        <v>7</v>
      </c>
    </row>
    <row r="1077" customFormat="false" ht="15" hidden="false" customHeight="false" outlineLevel="0" collapsed="false">
      <c r="A1077" s="23" t="n">
        <v>46231.8576388889</v>
      </c>
      <c r="B1077" s="24" t="s">
        <v>1079</v>
      </c>
      <c r="C1077" s="24" t="s">
        <v>1080</v>
      </c>
      <c r="D1077" s="24" t="n">
        <v>3</v>
      </c>
      <c r="E1077" s="25" t="n">
        <v>2500</v>
      </c>
      <c r="F1077" s="25" t="n">
        <v>1600</v>
      </c>
      <c r="G1077" s="24" t="s">
        <v>69</v>
      </c>
      <c r="H1077" s="24" t="s">
        <v>55</v>
      </c>
      <c r="I1077" s="28" t="n">
        <f aca="false">IF(A1077="","",D1077*E1077)</f>
        <v>7500</v>
      </c>
      <c r="J1077" s="28" t="n">
        <f aca="false">IF(A1077="","",D1077*F1077)</f>
        <v>4800</v>
      </c>
      <c r="K1077" s="26" t="n">
        <f aca="false">IF(A1077="","",YEAR(A1077))</f>
        <v>2026</v>
      </c>
      <c r="L1077" s="26" t="n">
        <f aca="false">IF(A1077="","",MONTH(A1077))</f>
        <v>7</v>
      </c>
    </row>
    <row r="1078" customFormat="false" ht="15" hidden="false" customHeight="false" outlineLevel="0" collapsed="false">
      <c r="A1078" s="23" t="n">
        <v>46235.3854166667</v>
      </c>
      <c r="B1078" s="24" t="s">
        <v>1077</v>
      </c>
      <c r="C1078" s="24" t="s">
        <v>1078</v>
      </c>
      <c r="D1078" s="24" t="n">
        <v>1</v>
      </c>
      <c r="E1078" s="25" t="n">
        <v>1500</v>
      </c>
      <c r="F1078" s="25" t="n">
        <v>900</v>
      </c>
      <c r="G1078" s="24" t="s">
        <v>69</v>
      </c>
      <c r="H1078" s="24" t="s">
        <v>55</v>
      </c>
      <c r="I1078" s="28" t="n">
        <f aca="false">IF(A1078="","",D1078*E1078)</f>
        <v>1500</v>
      </c>
      <c r="J1078" s="28" t="n">
        <f aca="false">IF(A1078="","",D1078*F1078)</f>
        <v>900</v>
      </c>
      <c r="K1078" s="26" t="n">
        <f aca="false">IF(A1078="","",YEAR(A1078))</f>
        <v>2026</v>
      </c>
      <c r="L1078" s="26" t="n">
        <f aca="false">IF(A1078="","",MONTH(A1078))</f>
        <v>8</v>
      </c>
    </row>
    <row r="1079" customFormat="false" ht="15" hidden="false" customHeight="false" outlineLevel="0" collapsed="false">
      <c r="A1079" s="23" t="n">
        <v>46236.3194444445</v>
      </c>
      <c r="B1079" s="24" t="s">
        <v>1065</v>
      </c>
      <c r="C1079" s="24" t="s">
        <v>1066</v>
      </c>
      <c r="D1079" s="24" t="n">
        <v>3</v>
      </c>
      <c r="E1079" s="25" t="n">
        <v>3000</v>
      </c>
      <c r="F1079" s="25" t="n">
        <v>2000</v>
      </c>
      <c r="G1079" s="24" t="s">
        <v>59</v>
      </c>
      <c r="H1079" s="24" t="s">
        <v>80</v>
      </c>
      <c r="I1079" s="28" t="n">
        <f aca="false">IF(A1079="","",D1079*E1079)</f>
        <v>9000</v>
      </c>
      <c r="J1079" s="28" t="n">
        <f aca="false">IF(A1079="","",D1079*F1079)</f>
        <v>6000</v>
      </c>
      <c r="K1079" s="26" t="n">
        <f aca="false">IF(A1079="","",YEAR(A1079))</f>
        <v>2026</v>
      </c>
      <c r="L1079" s="26" t="n">
        <f aca="false">IF(A1079="","",MONTH(A1079))</f>
        <v>8</v>
      </c>
    </row>
    <row r="1080" customFormat="false" ht="15" hidden="false" customHeight="false" outlineLevel="0" collapsed="false">
      <c r="A1080" s="23" t="n">
        <v>46236.3451388889</v>
      </c>
      <c r="B1080" s="24" t="s">
        <v>1079</v>
      </c>
      <c r="C1080" s="24" t="s">
        <v>1080</v>
      </c>
      <c r="D1080" s="24" t="n">
        <v>1</v>
      </c>
      <c r="E1080" s="25" t="n">
        <v>2500</v>
      </c>
      <c r="F1080" s="25" t="n">
        <v>1600</v>
      </c>
      <c r="G1080" s="24" t="s">
        <v>59</v>
      </c>
      <c r="H1080" s="24" t="s">
        <v>80</v>
      </c>
      <c r="I1080" s="28" t="n">
        <f aca="false">IF(A1080="","",D1080*E1080)</f>
        <v>2500</v>
      </c>
      <c r="J1080" s="28" t="n">
        <f aca="false">IF(A1080="","",D1080*F1080)</f>
        <v>1600</v>
      </c>
      <c r="K1080" s="26" t="n">
        <f aca="false">IF(A1080="","",YEAR(A1080))</f>
        <v>2026</v>
      </c>
      <c r="L1080" s="26" t="n">
        <f aca="false">IF(A1080="","",MONTH(A1080))</f>
        <v>8</v>
      </c>
    </row>
    <row r="1081" customFormat="false" ht="15" hidden="false" customHeight="false" outlineLevel="0" collapsed="false">
      <c r="A1081" s="23" t="n">
        <v>46236.4875</v>
      </c>
      <c r="B1081" s="24" t="s">
        <v>1081</v>
      </c>
      <c r="C1081" s="24" t="s">
        <v>1082</v>
      </c>
      <c r="D1081" s="24" t="n">
        <v>1</v>
      </c>
      <c r="E1081" s="25" t="n">
        <v>2500</v>
      </c>
      <c r="F1081" s="25" t="n">
        <v>1500</v>
      </c>
      <c r="G1081" s="24" t="s">
        <v>59</v>
      </c>
      <c r="H1081" s="24" t="s">
        <v>60</v>
      </c>
      <c r="I1081" s="28" t="n">
        <f aca="false">IF(A1081="","",D1081*E1081)</f>
        <v>2500</v>
      </c>
      <c r="J1081" s="28" t="n">
        <f aca="false">IF(A1081="","",D1081*F1081)</f>
        <v>1500</v>
      </c>
      <c r="K1081" s="26" t="n">
        <f aca="false">IF(A1081="","",YEAR(A1081))</f>
        <v>2026</v>
      </c>
      <c r="L1081" s="26" t="n">
        <f aca="false">IF(A1081="","",MONTH(A1081))</f>
        <v>8</v>
      </c>
    </row>
    <row r="1082" customFormat="false" ht="15" hidden="false" customHeight="false" outlineLevel="0" collapsed="false">
      <c r="A1082" s="23" t="n">
        <v>46237.3111111111</v>
      </c>
      <c r="B1082" s="24" t="s">
        <v>1071</v>
      </c>
      <c r="C1082" s="24" t="s">
        <v>1072</v>
      </c>
      <c r="D1082" s="24" t="n">
        <v>1</v>
      </c>
      <c r="E1082" s="25" t="n">
        <v>2000</v>
      </c>
      <c r="F1082" s="25" t="n">
        <v>1100</v>
      </c>
      <c r="G1082" s="24" t="s">
        <v>69</v>
      </c>
      <c r="H1082" s="24" t="s">
        <v>80</v>
      </c>
      <c r="I1082" s="28" t="n">
        <f aca="false">IF(A1082="","",D1082*E1082)</f>
        <v>2000</v>
      </c>
      <c r="J1082" s="28" t="n">
        <f aca="false">IF(A1082="","",D1082*F1082)</f>
        <v>1100</v>
      </c>
      <c r="K1082" s="26" t="n">
        <f aca="false">IF(A1082="","",YEAR(A1082))</f>
        <v>2026</v>
      </c>
      <c r="L1082" s="26" t="n">
        <f aca="false">IF(A1082="","",MONTH(A1082))</f>
        <v>8</v>
      </c>
    </row>
    <row r="1083" customFormat="false" ht="15" hidden="false" customHeight="false" outlineLevel="0" collapsed="false">
      <c r="A1083" s="23" t="n">
        <v>46237.3229166667</v>
      </c>
      <c r="B1083" s="24" t="s">
        <v>1075</v>
      </c>
      <c r="C1083" s="24" t="s">
        <v>1076</v>
      </c>
      <c r="D1083" s="24" t="n">
        <v>1</v>
      </c>
      <c r="E1083" s="25" t="n">
        <v>1000</v>
      </c>
      <c r="F1083" s="25" t="n">
        <v>300</v>
      </c>
      <c r="G1083" s="24" t="s">
        <v>59</v>
      </c>
      <c r="H1083" s="24" t="s">
        <v>55</v>
      </c>
      <c r="I1083" s="28" t="n">
        <f aca="false">IF(A1083="","",D1083*E1083)</f>
        <v>1000</v>
      </c>
      <c r="J1083" s="28" t="n">
        <f aca="false">IF(A1083="","",D1083*F1083)</f>
        <v>300</v>
      </c>
      <c r="K1083" s="26" t="n">
        <f aca="false">IF(A1083="","",YEAR(A1083))</f>
        <v>2026</v>
      </c>
      <c r="L1083" s="26" t="n">
        <f aca="false">IF(A1083="","",MONTH(A1083))</f>
        <v>8</v>
      </c>
    </row>
    <row r="1084" customFormat="false" ht="15" hidden="false" customHeight="false" outlineLevel="0" collapsed="false">
      <c r="A1084" s="23" t="n">
        <v>46237.6993055556</v>
      </c>
      <c r="B1084" s="24" t="s">
        <v>1071</v>
      </c>
      <c r="C1084" s="24" t="s">
        <v>1072</v>
      </c>
      <c r="D1084" s="24" t="n">
        <v>3</v>
      </c>
      <c r="E1084" s="25" t="n">
        <v>2000</v>
      </c>
      <c r="F1084" s="25" t="n">
        <v>1100</v>
      </c>
      <c r="G1084" s="24" t="s">
        <v>69</v>
      </c>
      <c r="H1084" s="24" t="s">
        <v>60</v>
      </c>
      <c r="I1084" s="28" t="n">
        <f aca="false">IF(A1084="","",D1084*E1084)</f>
        <v>6000</v>
      </c>
      <c r="J1084" s="28" t="n">
        <f aca="false">IF(A1084="","",D1084*F1084)</f>
        <v>3300</v>
      </c>
      <c r="K1084" s="26" t="n">
        <f aca="false">IF(A1084="","",YEAR(A1084))</f>
        <v>2026</v>
      </c>
      <c r="L1084" s="26" t="n">
        <f aca="false">IF(A1084="","",MONTH(A1084))</f>
        <v>8</v>
      </c>
    </row>
    <row r="1085" customFormat="false" ht="15" hidden="false" customHeight="false" outlineLevel="0" collapsed="false">
      <c r="A1085" s="23" t="n">
        <v>46238.3368055556</v>
      </c>
      <c r="B1085" s="24" t="s">
        <v>1071</v>
      </c>
      <c r="C1085" s="24" t="s">
        <v>1072</v>
      </c>
      <c r="D1085" s="24" t="n">
        <v>1</v>
      </c>
      <c r="E1085" s="25" t="n">
        <v>2000</v>
      </c>
      <c r="F1085" s="25" t="n">
        <v>1100</v>
      </c>
      <c r="G1085" s="24" t="s">
        <v>59</v>
      </c>
      <c r="H1085" s="24" t="s">
        <v>55</v>
      </c>
      <c r="I1085" s="28" t="n">
        <f aca="false">IF(A1085="","",D1085*E1085)</f>
        <v>2000</v>
      </c>
      <c r="J1085" s="28" t="n">
        <f aca="false">IF(A1085="","",D1085*F1085)</f>
        <v>1100</v>
      </c>
      <c r="K1085" s="26" t="n">
        <f aca="false">IF(A1085="","",YEAR(A1085))</f>
        <v>2026</v>
      </c>
      <c r="L1085" s="26" t="n">
        <f aca="false">IF(A1085="","",MONTH(A1085))</f>
        <v>8</v>
      </c>
    </row>
    <row r="1086" customFormat="false" ht="15" hidden="false" customHeight="false" outlineLevel="0" collapsed="false">
      <c r="A1086" s="23" t="n">
        <v>46238.5993055556</v>
      </c>
      <c r="B1086" s="24" t="s">
        <v>1081</v>
      </c>
      <c r="C1086" s="24" t="s">
        <v>1082</v>
      </c>
      <c r="D1086" s="24" t="n">
        <v>1</v>
      </c>
      <c r="E1086" s="25" t="n">
        <v>2500</v>
      </c>
      <c r="F1086" s="25" t="n">
        <v>1500</v>
      </c>
      <c r="G1086" s="24" t="s">
        <v>59</v>
      </c>
      <c r="H1086" s="24" t="s">
        <v>55</v>
      </c>
      <c r="I1086" s="28" t="n">
        <f aca="false">IF(A1086="","",D1086*E1086)</f>
        <v>2500</v>
      </c>
      <c r="J1086" s="28" t="n">
        <f aca="false">IF(A1086="","",D1086*F1086)</f>
        <v>1500</v>
      </c>
      <c r="K1086" s="26" t="n">
        <f aca="false">IF(A1086="","",YEAR(A1086))</f>
        <v>2026</v>
      </c>
      <c r="L1086" s="26" t="n">
        <f aca="false">IF(A1086="","",MONTH(A1086))</f>
        <v>8</v>
      </c>
    </row>
    <row r="1087" customFormat="false" ht="15" hidden="false" customHeight="false" outlineLevel="0" collapsed="false">
      <c r="A1087" s="23" t="n">
        <v>46239.8027777778</v>
      </c>
      <c r="B1087" s="24" t="s">
        <v>1071</v>
      </c>
      <c r="C1087" s="24" t="s">
        <v>1072</v>
      </c>
      <c r="D1087" s="24" t="n">
        <v>1</v>
      </c>
      <c r="E1087" s="25" t="n">
        <v>2000</v>
      </c>
      <c r="F1087" s="25" t="n">
        <v>1100</v>
      </c>
      <c r="G1087" s="24" t="s">
        <v>59</v>
      </c>
      <c r="H1087" s="24" t="s">
        <v>60</v>
      </c>
      <c r="I1087" s="28" t="n">
        <f aca="false">IF(A1087="","",D1087*E1087)</f>
        <v>2000</v>
      </c>
      <c r="J1087" s="28" t="n">
        <f aca="false">IF(A1087="","",D1087*F1087)</f>
        <v>1100</v>
      </c>
      <c r="K1087" s="26" t="n">
        <f aca="false">IF(A1087="","",YEAR(A1087))</f>
        <v>2026</v>
      </c>
      <c r="L1087" s="26" t="n">
        <f aca="false">IF(A1087="","",MONTH(A1087))</f>
        <v>8</v>
      </c>
    </row>
    <row r="1088" customFormat="false" ht="15" hidden="false" customHeight="false" outlineLevel="0" collapsed="false">
      <c r="A1088" s="23" t="n">
        <v>46239.8263888889</v>
      </c>
      <c r="B1088" s="24" t="s">
        <v>1079</v>
      </c>
      <c r="C1088" s="24" t="s">
        <v>1080</v>
      </c>
      <c r="D1088" s="24" t="n">
        <v>1</v>
      </c>
      <c r="E1088" s="25" t="n">
        <v>2500</v>
      </c>
      <c r="F1088" s="25" t="n">
        <v>1600</v>
      </c>
      <c r="G1088" s="24" t="s">
        <v>59</v>
      </c>
      <c r="H1088" s="24" t="s">
        <v>55</v>
      </c>
      <c r="I1088" s="28" t="n">
        <f aca="false">IF(A1088="","",D1088*E1088)</f>
        <v>2500</v>
      </c>
      <c r="J1088" s="28" t="n">
        <f aca="false">IF(A1088="","",D1088*F1088)</f>
        <v>1600</v>
      </c>
      <c r="K1088" s="26" t="n">
        <f aca="false">IF(A1088="","",YEAR(A1088))</f>
        <v>2026</v>
      </c>
      <c r="L1088" s="26" t="n">
        <f aca="false">IF(A1088="","",MONTH(A1088))</f>
        <v>8</v>
      </c>
    </row>
    <row r="1089" customFormat="false" ht="15" hidden="false" customHeight="false" outlineLevel="0" collapsed="false">
      <c r="A1089" s="23" t="n">
        <v>46240.8756944445</v>
      </c>
      <c r="B1089" s="24" t="s">
        <v>1075</v>
      </c>
      <c r="C1089" s="24" t="s">
        <v>1076</v>
      </c>
      <c r="D1089" s="24" t="n">
        <v>1</v>
      </c>
      <c r="E1089" s="25" t="n">
        <v>1000</v>
      </c>
      <c r="F1089" s="25" t="n">
        <v>300</v>
      </c>
      <c r="G1089" s="24" t="s">
        <v>59</v>
      </c>
      <c r="H1089" s="24" t="s">
        <v>80</v>
      </c>
      <c r="I1089" s="28" t="n">
        <f aca="false">IF(A1089="","",D1089*E1089)</f>
        <v>1000</v>
      </c>
      <c r="J1089" s="28" t="n">
        <f aca="false">IF(A1089="","",D1089*F1089)</f>
        <v>300</v>
      </c>
      <c r="K1089" s="26" t="n">
        <f aca="false">IF(A1089="","",YEAR(A1089))</f>
        <v>2026</v>
      </c>
      <c r="L1089" s="26" t="n">
        <f aca="false">IF(A1089="","",MONTH(A1089))</f>
        <v>8</v>
      </c>
    </row>
    <row r="1090" customFormat="false" ht="15" hidden="false" customHeight="false" outlineLevel="0" collapsed="false">
      <c r="A1090" s="23" t="n">
        <v>46240.9111111111</v>
      </c>
      <c r="B1090" s="24" t="s">
        <v>1065</v>
      </c>
      <c r="C1090" s="24" t="s">
        <v>1066</v>
      </c>
      <c r="D1090" s="24" t="n">
        <v>1</v>
      </c>
      <c r="E1090" s="25" t="n">
        <v>3000</v>
      </c>
      <c r="F1090" s="25" t="n">
        <v>2000</v>
      </c>
      <c r="G1090" s="24" t="s">
        <v>69</v>
      </c>
      <c r="H1090" s="24" t="s">
        <v>55</v>
      </c>
      <c r="I1090" s="28" t="n">
        <f aca="false">IF(A1090="","",D1090*E1090)</f>
        <v>3000</v>
      </c>
      <c r="J1090" s="28" t="n">
        <f aca="false">IF(A1090="","",D1090*F1090)</f>
        <v>2000</v>
      </c>
      <c r="K1090" s="26" t="n">
        <f aca="false">IF(A1090="","",YEAR(A1090))</f>
        <v>2026</v>
      </c>
      <c r="L1090" s="26" t="n">
        <f aca="false">IF(A1090="","",MONTH(A1090))</f>
        <v>8</v>
      </c>
    </row>
    <row r="1091" customFormat="false" ht="15" hidden="false" customHeight="false" outlineLevel="0" collapsed="false">
      <c r="A1091" s="23" t="n">
        <v>46242.7354166667</v>
      </c>
      <c r="B1091" s="24" t="s">
        <v>1077</v>
      </c>
      <c r="C1091" s="24" t="s">
        <v>1078</v>
      </c>
      <c r="D1091" s="24" t="n">
        <v>3</v>
      </c>
      <c r="E1091" s="25" t="n">
        <v>1500</v>
      </c>
      <c r="F1091" s="25" t="n">
        <v>900</v>
      </c>
      <c r="G1091" s="24" t="s">
        <v>59</v>
      </c>
      <c r="H1091" s="24" t="s">
        <v>55</v>
      </c>
      <c r="I1091" s="28" t="n">
        <f aca="false">IF(A1091="","",D1091*E1091)</f>
        <v>4500</v>
      </c>
      <c r="J1091" s="28" t="n">
        <f aca="false">IF(A1091="","",D1091*F1091)</f>
        <v>2700</v>
      </c>
      <c r="K1091" s="26" t="n">
        <f aca="false">IF(A1091="","",YEAR(A1091))</f>
        <v>2026</v>
      </c>
      <c r="L1091" s="26" t="n">
        <f aca="false">IF(A1091="","",MONTH(A1091))</f>
        <v>8</v>
      </c>
    </row>
    <row r="1092" customFormat="false" ht="15" hidden="false" customHeight="false" outlineLevel="0" collapsed="false">
      <c r="A1092" s="23" t="n">
        <v>46242.8319444444</v>
      </c>
      <c r="B1092" s="24" t="s">
        <v>1067</v>
      </c>
      <c r="C1092" s="24" t="s">
        <v>1068</v>
      </c>
      <c r="D1092" s="24" t="n">
        <v>3</v>
      </c>
      <c r="E1092" s="25" t="n">
        <v>4000</v>
      </c>
      <c r="F1092" s="25" t="n">
        <v>2600</v>
      </c>
      <c r="G1092" s="24" t="s">
        <v>69</v>
      </c>
      <c r="H1092" s="24" t="s">
        <v>80</v>
      </c>
      <c r="I1092" s="28" t="n">
        <f aca="false">IF(A1092="","",D1092*E1092)</f>
        <v>12000</v>
      </c>
      <c r="J1092" s="28" t="n">
        <f aca="false">IF(A1092="","",D1092*F1092)</f>
        <v>7800</v>
      </c>
      <c r="K1092" s="26" t="n">
        <f aca="false">IF(A1092="","",YEAR(A1092))</f>
        <v>2026</v>
      </c>
      <c r="L1092" s="26" t="n">
        <f aca="false">IF(A1092="","",MONTH(A1092))</f>
        <v>8</v>
      </c>
    </row>
    <row r="1093" customFormat="false" ht="15" hidden="false" customHeight="false" outlineLevel="0" collapsed="false">
      <c r="A1093" s="23" t="n">
        <v>46243.8152777778</v>
      </c>
      <c r="B1093" s="24" t="s">
        <v>1079</v>
      </c>
      <c r="C1093" s="24" t="s">
        <v>1080</v>
      </c>
      <c r="D1093" s="24" t="n">
        <v>1</v>
      </c>
      <c r="E1093" s="25" t="n">
        <v>2500</v>
      </c>
      <c r="F1093" s="25" t="n">
        <v>1600</v>
      </c>
      <c r="G1093" s="24" t="s">
        <v>59</v>
      </c>
      <c r="H1093" s="24" t="s">
        <v>55</v>
      </c>
      <c r="I1093" s="28" t="n">
        <f aca="false">IF(A1093="","",D1093*E1093)</f>
        <v>2500</v>
      </c>
      <c r="J1093" s="28" t="n">
        <f aca="false">IF(A1093="","",D1093*F1093)</f>
        <v>1600</v>
      </c>
      <c r="K1093" s="26" t="n">
        <f aca="false">IF(A1093="","",YEAR(A1093))</f>
        <v>2026</v>
      </c>
      <c r="L1093" s="26" t="n">
        <f aca="false">IF(A1093="","",MONTH(A1093))</f>
        <v>8</v>
      </c>
    </row>
    <row r="1094" customFormat="false" ht="15" hidden="false" customHeight="false" outlineLevel="0" collapsed="false">
      <c r="A1094" s="23" t="n">
        <v>46244.5131944444</v>
      </c>
      <c r="B1094" s="24" t="s">
        <v>1077</v>
      </c>
      <c r="C1094" s="24" t="s">
        <v>1078</v>
      </c>
      <c r="D1094" s="24" t="n">
        <v>1</v>
      </c>
      <c r="E1094" s="25" t="n">
        <v>1500</v>
      </c>
      <c r="F1094" s="25" t="n">
        <v>900</v>
      </c>
      <c r="G1094" s="24" t="s">
        <v>59</v>
      </c>
      <c r="H1094" s="24" t="s">
        <v>80</v>
      </c>
      <c r="I1094" s="28" t="n">
        <f aca="false">IF(A1094="","",D1094*E1094)</f>
        <v>1500</v>
      </c>
      <c r="J1094" s="28" t="n">
        <f aca="false">IF(A1094="","",D1094*F1094)</f>
        <v>900</v>
      </c>
      <c r="K1094" s="26" t="n">
        <f aca="false">IF(A1094="","",YEAR(A1094))</f>
        <v>2026</v>
      </c>
      <c r="L1094" s="26" t="n">
        <f aca="false">IF(A1094="","",MONTH(A1094))</f>
        <v>8</v>
      </c>
    </row>
    <row r="1095" customFormat="false" ht="15" hidden="false" customHeight="false" outlineLevel="0" collapsed="false">
      <c r="A1095" s="23" t="n">
        <v>46244.8694444444</v>
      </c>
      <c r="B1095" s="24" t="s">
        <v>1069</v>
      </c>
      <c r="C1095" s="24" t="s">
        <v>1070</v>
      </c>
      <c r="D1095" s="24" t="n">
        <v>1</v>
      </c>
      <c r="E1095" s="25" t="n">
        <v>4500</v>
      </c>
      <c r="F1095" s="25" t="n">
        <v>3000</v>
      </c>
      <c r="G1095" s="24" t="s">
        <v>59</v>
      </c>
      <c r="H1095" s="24" t="s">
        <v>60</v>
      </c>
      <c r="I1095" s="28" t="n">
        <f aca="false">IF(A1095="","",D1095*E1095)</f>
        <v>4500</v>
      </c>
      <c r="J1095" s="28" t="n">
        <f aca="false">IF(A1095="","",D1095*F1095)</f>
        <v>3000</v>
      </c>
      <c r="K1095" s="26" t="n">
        <f aca="false">IF(A1095="","",YEAR(A1095))</f>
        <v>2026</v>
      </c>
      <c r="L1095" s="26" t="n">
        <f aca="false">IF(A1095="","",MONTH(A1095))</f>
        <v>8</v>
      </c>
    </row>
    <row r="1096" customFormat="false" ht="15" hidden="false" customHeight="false" outlineLevel="0" collapsed="false">
      <c r="A1096" s="23" t="n">
        <v>46244.8979166667</v>
      </c>
      <c r="B1096" s="24" t="s">
        <v>1069</v>
      </c>
      <c r="C1096" s="24" t="s">
        <v>1070</v>
      </c>
      <c r="D1096" s="24" t="n">
        <v>2</v>
      </c>
      <c r="E1096" s="25" t="n">
        <v>4500</v>
      </c>
      <c r="F1096" s="25" t="n">
        <v>3000</v>
      </c>
      <c r="G1096" s="24" t="s">
        <v>59</v>
      </c>
      <c r="H1096" s="24" t="s">
        <v>55</v>
      </c>
      <c r="I1096" s="28" t="n">
        <f aca="false">IF(A1096="","",D1096*E1096)</f>
        <v>9000</v>
      </c>
      <c r="J1096" s="28" t="n">
        <f aca="false">IF(A1096="","",D1096*F1096)</f>
        <v>6000</v>
      </c>
      <c r="K1096" s="26" t="n">
        <f aca="false">IF(A1096="","",YEAR(A1096))</f>
        <v>2026</v>
      </c>
      <c r="L1096" s="26" t="n">
        <f aca="false">IF(A1096="","",MONTH(A1096))</f>
        <v>8</v>
      </c>
    </row>
    <row r="1097" customFormat="false" ht="15" hidden="false" customHeight="false" outlineLevel="0" collapsed="false">
      <c r="A1097" s="23" t="n">
        <v>46246.6986111111</v>
      </c>
      <c r="B1097" s="24" t="s">
        <v>1069</v>
      </c>
      <c r="C1097" s="24" t="s">
        <v>1070</v>
      </c>
      <c r="D1097" s="24" t="n">
        <v>3</v>
      </c>
      <c r="E1097" s="25" t="n">
        <v>4500</v>
      </c>
      <c r="F1097" s="25" t="n">
        <v>3000</v>
      </c>
      <c r="G1097" s="24" t="s">
        <v>69</v>
      </c>
      <c r="H1097" s="24" t="s">
        <v>60</v>
      </c>
      <c r="I1097" s="28" t="n">
        <f aca="false">IF(A1097="","",D1097*E1097)</f>
        <v>13500</v>
      </c>
      <c r="J1097" s="28" t="n">
        <f aca="false">IF(A1097="","",D1097*F1097)</f>
        <v>9000</v>
      </c>
      <c r="K1097" s="26" t="n">
        <f aca="false">IF(A1097="","",YEAR(A1097))</f>
        <v>2026</v>
      </c>
      <c r="L1097" s="26" t="n">
        <f aca="false">IF(A1097="","",MONTH(A1097))</f>
        <v>8</v>
      </c>
    </row>
    <row r="1098" customFormat="false" ht="15" hidden="false" customHeight="false" outlineLevel="0" collapsed="false">
      <c r="A1098" s="23" t="n">
        <v>46246.8222222222</v>
      </c>
      <c r="B1098" s="24" t="s">
        <v>1069</v>
      </c>
      <c r="C1098" s="24" t="s">
        <v>1070</v>
      </c>
      <c r="D1098" s="24" t="n">
        <v>3</v>
      </c>
      <c r="E1098" s="25" t="n">
        <v>4500</v>
      </c>
      <c r="F1098" s="25" t="n">
        <v>3000</v>
      </c>
      <c r="G1098" s="24" t="s">
        <v>69</v>
      </c>
      <c r="H1098" s="24" t="s">
        <v>55</v>
      </c>
      <c r="I1098" s="28" t="n">
        <f aca="false">IF(A1098="","",D1098*E1098)</f>
        <v>13500</v>
      </c>
      <c r="J1098" s="28" t="n">
        <f aca="false">IF(A1098="","",D1098*F1098)</f>
        <v>9000</v>
      </c>
      <c r="K1098" s="26" t="n">
        <f aca="false">IF(A1098="","",YEAR(A1098))</f>
        <v>2026</v>
      </c>
      <c r="L1098" s="26" t="n">
        <f aca="false">IF(A1098="","",MONTH(A1098))</f>
        <v>8</v>
      </c>
    </row>
    <row r="1099" customFormat="false" ht="15" hidden="false" customHeight="false" outlineLevel="0" collapsed="false">
      <c r="A1099" s="23" t="n">
        <v>46248.4416666667</v>
      </c>
      <c r="B1099" s="24" t="s">
        <v>1073</v>
      </c>
      <c r="C1099" s="24" t="s">
        <v>1074</v>
      </c>
      <c r="D1099" s="24" t="n">
        <v>2</v>
      </c>
      <c r="E1099" s="25" t="n">
        <v>7000</v>
      </c>
      <c r="F1099" s="25" t="n">
        <v>4800</v>
      </c>
      <c r="G1099" s="24" t="s">
        <v>59</v>
      </c>
      <c r="H1099" s="24" t="s">
        <v>55</v>
      </c>
      <c r="I1099" s="28" t="n">
        <f aca="false">IF(A1099="","",D1099*E1099)</f>
        <v>14000</v>
      </c>
      <c r="J1099" s="28" t="n">
        <f aca="false">IF(A1099="","",D1099*F1099)</f>
        <v>9600</v>
      </c>
      <c r="K1099" s="26" t="n">
        <f aca="false">IF(A1099="","",YEAR(A1099))</f>
        <v>2026</v>
      </c>
      <c r="L1099" s="26" t="n">
        <f aca="false">IF(A1099="","",MONTH(A1099))</f>
        <v>8</v>
      </c>
    </row>
    <row r="1100" customFormat="false" ht="15" hidden="false" customHeight="false" outlineLevel="0" collapsed="false">
      <c r="A1100" s="23" t="n">
        <v>46248.71875</v>
      </c>
      <c r="B1100" s="24" t="s">
        <v>1073</v>
      </c>
      <c r="C1100" s="24" t="s">
        <v>1074</v>
      </c>
      <c r="D1100" s="24" t="n">
        <v>2</v>
      </c>
      <c r="E1100" s="25" t="n">
        <v>7000</v>
      </c>
      <c r="F1100" s="25" t="n">
        <v>4800</v>
      </c>
      <c r="G1100" s="24" t="s">
        <v>59</v>
      </c>
      <c r="H1100" s="24" t="s">
        <v>60</v>
      </c>
      <c r="I1100" s="28" t="n">
        <f aca="false">IF(A1100="","",D1100*E1100)</f>
        <v>14000</v>
      </c>
      <c r="J1100" s="28" t="n">
        <f aca="false">IF(A1100="","",D1100*F1100)</f>
        <v>9600</v>
      </c>
      <c r="K1100" s="26" t="n">
        <f aca="false">IF(A1100="","",YEAR(A1100))</f>
        <v>2026</v>
      </c>
      <c r="L1100" s="26" t="n">
        <f aca="false">IF(A1100="","",MONTH(A1100))</f>
        <v>8</v>
      </c>
    </row>
    <row r="1101" customFormat="false" ht="15" hidden="false" customHeight="false" outlineLevel="0" collapsed="false">
      <c r="A1101" s="23" t="n">
        <v>46248.8173611111</v>
      </c>
      <c r="B1101" s="24" t="s">
        <v>1075</v>
      </c>
      <c r="C1101" s="24" t="s">
        <v>1076</v>
      </c>
      <c r="D1101" s="24" t="n">
        <v>1</v>
      </c>
      <c r="E1101" s="25" t="n">
        <v>1000</v>
      </c>
      <c r="F1101" s="25" t="n">
        <v>300</v>
      </c>
      <c r="G1101" s="24" t="s">
        <v>59</v>
      </c>
      <c r="H1101" s="24" t="s">
        <v>60</v>
      </c>
      <c r="I1101" s="28" t="n">
        <f aca="false">IF(A1101="","",D1101*E1101)</f>
        <v>1000</v>
      </c>
      <c r="J1101" s="28" t="n">
        <f aca="false">IF(A1101="","",D1101*F1101)</f>
        <v>300</v>
      </c>
      <c r="K1101" s="26" t="n">
        <f aca="false">IF(A1101="","",YEAR(A1101))</f>
        <v>2026</v>
      </c>
      <c r="L1101" s="26" t="n">
        <f aca="false">IF(A1101="","",MONTH(A1101))</f>
        <v>8</v>
      </c>
    </row>
    <row r="1102" customFormat="false" ht="15" hidden="false" customHeight="false" outlineLevel="0" collapsed="false">
      <c r="A1102" s="23" t="n">
        <v>46249.3229166667</v>
      </c>
      <c r="B1102" s="24" t="s">
        <v>1081</v>
      </c>
      <c r="C1102" s="24" t="s">
        <v>1082</v>
      </c>
      <c r="D1102" s="24" t="n">
        <v>1</v>
      </c>
      <c r="E1102" s="25" t="n">
        <v>2500</v>
      </c>
      <c r="F1102" s="25" t="n">
        <v>1500</v>
      </c>
      <c r="G1102" s="24" t="s">
        <v>59</v>
      </c>
      <c r="H1102" s="24" t="s">
        <v>55</v>
      </c>
      <c r="I1102" s="28" t="n">
        <f aca="false">IF(A1102="","",D1102*E1102)</f>
        <v>2500</v>
      </c>
      <c r="J1102" s="28" t="n">
        <f aca="false">IF(A1102="","",D1102*F1102)</f>
        <v>1500</v>
      </c>
      <c r="K1102" s="26" t="n">
        <f aca="false">IF(A1102="","",YEAR(A1102))</f>
        <v>2026</v>
      </c>
      <c r="L1102" s="26" t="n">
        <f aca="false">IF(A1102="","",MONTH(A1102))</f>
        <v>8</v>
      </c>
    </row>
    <row r="1103" customFormat="false" ht="15" hidden="false" customHeight="false" outlineLevel="0" collapsed="false">
      <c r="A1103" s="23" t="n">
        <v>46250.2965277778</v>
      </c>
      <c r="B1103" s="24" t="s">
        <v>1079</v>
      </c>
      <c r="C1103" s="24" t="s">
        <v>1080</v>
      </c>
      <c r="D1103" s="24" t="n">
        <v>3</v>
      </c>
      <c r="E1103" s="25" t="n">
        <v>2500</v>
      </c>
      <c r="F1103" s="25" t="n">
        <v>1600</v>
      </c>
      <c r="G1103" s="24" t="s">
        <v>59</v>
      </c>
      <c r="H1103" s="24" t="s">
        <v>55</v>
      </c>
      <c r="I1103" s="28" t="n">
        <f aca="false">IF(A1103="","",D1103*E1103)</f>
        <v>7500</v>
      </c>
      <c r="J1103" s="28" t="n">
        <f aca="false">IF(A1103="","",D1103*F1103)</f>
        <v>4800</v>
      </c>
      <c r="K1103" s="26" t="n">
        <f aca="false">IF(A1103="","",YEAR(A1103))</f>
        <v>2026</v>
      </c>
      <c r="L1103" s="26" t="n">
        <f aca="false">IF(A1103="","",MONTH(A1103))</f>
        <v>8</v>
      </c>
    </row>
    <row r="1104" customFormat="false" ht="15" hidden="false" customHeight="false" outlineLevel="0" collapsed="false">
      <c r="A1104" s="23" t="n">
        <v>46251.3138888889</v>
      </c>
      <c r="B1104" s="24" t="s">
        <v>1079</v>
      </c>
      <c r="C1104" s="24" t="s">
        <v>1080</v>
      </c>
      <c r="D1104" s="24" t="n">
        <v>1</v>
      </c>
      <c r="E1104" s="25" t="n">
        <v>2500</v>
      </c>
      <c r="F1104" s="25" t="n">
        <v>1600</v>
      </c>
      <c r="G1104" s="24" t="s">
        <v>69</v>
      </c>
      <c r="H1104" s="24" t="s">
        <v>60</v>
      </c>
      <c r="I1104" s="28" t="n">
        <f aca="false">IF(A1104="","",D1104*E1104)</f>
        <v>2500</v>
      </c>
      <c r="J1104" s="28" t="n">
        <f aca="false">IF(A1104="","",D1104*F1104)</f>
        <v>1600</v>
      </c>
      <c r="K1104" s="26" t="n">
        <f aca="false">IF(A1104="","",YEAR(A1104))</f>
        <v>2026</v>
      </c>
      <c r="L1104" s="26" t="n">
        <f aca="false">IF(A1104="","",MONTH(A1104))</f>
        <v>8</v>
      </c>
    </row>
    <row r="1105" customFormat="false" ht="15" hidden="false" customHeight="false" outlineLevel="0" collapsed="false">
      <c r="A1105" s="23" t="n">
        <v>46251.3652777778</v>
      </c>
      <c r="B1105" s="24" t="s">
        <v>1073</v>
      </c>
      <c r="C1105" s="24" t="s">
        <v>1074</v>
      </c>
      <c r="D1105" s="24" t="n">
        <v>1</v>
      </c>
      <c r="E1105" s="25" t="n">
        <v>7000</v>
      </c>
      <c r="F1105" s="25" t="n">
        <v>4800</v>
      </c>
      <c r="G1105" s="24" t="s">
        <v>59</v>
      </c>
      <c r="H1105" s="24" t="s">
        <v>60</v>
      </c>
      <c r="I1105" s="28" t="n">
        <f aca="false">IF(A1105="","",D1105*E1105)</f>
        <v>7000</v>
      </c>
      <c r="J1105" s="28" t="n">
        <f aca="false">IF(A1105="","",D1105*F1105)</f>
        <v>4800</v>
      </c>
      <c r="K1105" s="26" t="n">
        <f aca="false">IF(A1105="","",YEAR(A1105))</f>
        <v>2026</v>
      </c>
      <c r="L1105" s="26" t="n">
        <f aca="false">IF(A1105="","",MONTH(A1105))</f>
        <v>8</v>
      </c>
    </row>
    <row r="1106" customFormat="false" ht="15" hidden="false" customHeight="false" outlineLevel="0" collapsed="false">
      <c r="A1106" s="23" t="n">
        <v>46252.6805555556</v>
      </c>
      <c r="B1106" s="24" t="s">
        <v>1075</v>
      </c>
      <c r="C1106" s="24" t="s">
        <v>1076</v>
      </c>
      <c r="D1106" s="24" t="n">
        <v>3</v>
      </c>
      <c r="E1106" s="25" t="n">
        <v>1000</v>
      </c>
      <c r="F1106" s="25" t="n">
        <v>300</v>
      </c>
      <c r="G1106" s="24" t="s">
        <v>59</v>
      </c>
      <c r="H1106" s="24" t="s">
        <v>80</v>
      </c>
      <c r="I1106" s="28" t="n">
        <f aca="false">IF(A1106="","",D1106*E1106)</f>
        <v>3000</v>
      </c>
      <c r="J1106" s="28" t="n">
        <f aca="false">IF(A1106="","",D1106*F1106)</f>
        <v>900</v>
      </c>
      <c r="K1106" s="26" t="n">
        <f aca="false">IF(A1106="","",YEAR(A1106))</f>
        <v>2026</v>
      </c>
      <c r="L1106" s="26" t="n">
        <f aca="false">IF(A1106="","",MONTH(A1106))</f>
        <v>8</v>
      </c>
    </row>
    <row r="1107" customFormat="false" ht="15" hidden="false" customHeight="false" outlineLevel="0" collapsed="false">
      <c r="A1107" s="23" t="n">
        <v>46253.5326388889</v>
      </c>
      <c r="B1107" s="24" t="s">
        <v>1069</v>
      </c>
      <c r="C1107" s="24" t="s">
        <v>1070</v>
      </c>
      <c r="D1107" s="24" t="n">
        <v>1</v>
      </c>
      <c r="E1107" s="25" t="n">
        <v>4500</v>
      </c>
      <c r="F1107" s="25" t="n">
        <v>3000</v>
      </c>
      <c r="G1107" s="24" t="s">
        <v>59</v>
      </c>
      <c r="H1107" s="24" t="s">
        <v>55</v>
      </c>
      <c r="I1107" s="28" t="n">
        <f aca="false">IF(A1107="","",D1107*E1107)</f>
        <v>4500</v>
      </c>
      <c r="J1107" s="28" t="n">
        <f aca="false">IF(A1107="","",D1107*F1107)</f>
        <v>3000</v>
      </c>
      <c r="K1107" s="26" t="n">
        <f aca="false">IF(A1107="","",YEAR(A1107))</f>
        <v>2026</v>
      </c>
      <c r="L1107" s="26" t="n">
        <f aca="false">IF(A1107="","",MONTH(A1107))</f>
        <v>8</v>
      </c>
    </row>
    <row r="1108" customFormat="false" ht="15" hidden="false" customHeight="false" outlineLevel="0" collapsed="false">
      <c r="A1108" s="23" t="n">
        <v>46253.5944444445</v>
      </c>
      <c r="B1108" s="24" t="s">
        <v>1075</v>
      </c>
      <c r="C1108" s="24" t="s">
        <v>1076</v>
      </c>
      <c r="D1108" s="24" t="n">
        <v>2</v>
      </c>
      <c r="E1108" s="25" t="n">
        <v>1000</v>
      </c>
      <c r="F1108" s="25" t="n">
        <v>300</v>
      </c>
      <c r="G1108" s="24" t="s">
        <v>59</v>
      </c>
      <c r="H1108" s="24" t="s">
        <v>80</v>
      </c>
      <c r="I1108" s="28" t="n">
        <f aca="false">IF(A1108="","",D1108*E1108)</f>
        <v>2000</v>
      </c>
      <c r="J1108" s="28" t="n">
        <f aca="false">IF(A1108="","",D1108*F1108)</f>
        <v>600</v>
      </c>
      <c r="K1108" s="26" t="n">
        <f aca="false">IF(A1108="","",YEAR(A1108))</f>
        <v>2026</v>
      </c>
      <c r="L1108" s="26" t="n">
        <f aca="false">IF(A1108="","",MONTH(A1108))</f>
        <v>8</v>
      </c>
    </row>
    <row r="1109" customFormat="false" ht="15" hidden="false" customHeight="false" outlineLevel="0" collapsed="false">
      <c r="A1109" s="23" t="n">
        <v>46254.7659722222</v>
      </c>
      <c r="B1109" s="24" t="s">
        <v>1069</v>
      </c>
      <c r="C1109" s="24" t="s">
        <v>1070</v>
      </c>
      <c r="D1109" s="24" t="n">
        <v>1</v>
      </c>
      <c r="E1109" s="25" t="n">
        <v>4500</v>
      </c>
      <c r="F1109" s="25" t="n">
        <v>3000</v>
      </c>
      <c r="G1109" s="24" t="s">
        <v>59</v>
      </c>
      <c r="H1109" s="24" t="s">
        <v>55</v>
      </c>
      <c r="I1109" s="28" t="n">
        <f aca="false">IF(A1109="","",D1109*E1109)</f>
        <v>4500</v>
      </c>
      <c r="J1109" s="28" t="n">
        <f aca="false">IF(A1109="","",D1109*F1109)</f>
        <v>3000</v>
      </c>
      <c r="K1109" s="26" t="n">
        <f aca="false">IF(A1109="","",YEAR(A1109))</f>
        <v>2026</v>
      </c>
      <c r="L1109" s="26" t="n">
        <f aca="false">IF(A1109="","",MONTH(A1109))</f>
        <v>8</v>
      </c>
    </row>
    <row r="1110" customFormat="false" ht="15" hidden="false" customHeight="false" outlineLevel="0" collapsed="false">
      <c r="A1110" s="23" t="n">
        <v>46255.3111111111</v>
      </c>
      <c r="B1110" s="24" t="s">
        <v>1065</v>
      </c>
      <c r="C1110" s="24" t="s">
        <v>1066</v>
      </c>
      <c r="D1110" s="24" t="n">
        <v>2</v>
      </c>
      <c r="E1110" s="25" t="n">
        <v>3000</v>
      </c>
      <c r="F1110" s="25" t="n">
        <v>2000</v>
      </c>
      <c r="G1110" s="24" t="s">
        <v>69</v>
      </c>
      <c r="H1110" s="24" t="s">
        <v>80</v>
      </c>
      <c r="I1110" s="28" t="n">
        <f aca="false">IF(A1110="","",D1110*E1110)</f>
        <v>6000</v>
      </c>
      <c r="J1110" s="28" t="n">
        <f aca="false">IF(A1110="","",D1110*F1110)</f>
        <v>4000</v>
      </c>
      <c r="K1110" s="26" t="n">
        <f aca="false">IF(A1110="","",YEAR(A1110))</f>
        <v>2026</v>
      </c>
      <c r="L1110" s="26" t="n">
        <f aca="false">IF(A1110="","",MONTH(A1110))</f>
        <v>8</v>
      </c>
    </row>
    <row r="1111" customFormat="false" ht="15" hidden="false" customHeight="false" outlineLevel="0" collapsed="false">
      <c r="A1111" s="23" t="n">
        <v>46255.3270833333</v>
      </c>
      <c r="B1111" s="24" t="s">
        <v>1067</v>
      </c>
      <c r="C1111" s="24" t="s">
        <v>1068</v>
      </c>
      <c r="D1111" s="24" t="n">
        <v>2</v>
      </c>
      <c r="E1111" s="25" t="n">
        <v>4000</v>
      </c>
      <c r="F1111" s="25" t="n">
        <v>2600</v>
      </c>
      <c r="G1111" s="24" t="s">
        <v>59</v>
      </c>
      <c r="H1111" s="24" t="s">
        <v>55</v>
      </c>
      <c r="I1111" s="28" t="n">
        <f aca="false">IF(A1111="","",D1111*E1111)</f>
        <v>8000</v>
      </c>
      <c r="J1111" s="28" t="n">
        <f aca="false">IF(A1111="","",D1111*F1111)</f>
        <v>5200</v>
      </c>
      <c r="K1111" s="26" t="n">
        <f aca="false">IF(A1111="","",YEAR(A1111))</f>
        <v>2026</v>
      </c>
      <c r="L1111" s="26" t="n">
        <f aca="false">IF(A1111="","",MONTH(A1111))</f>
        <v>8</v>
      </c>
    </row>
    <row r="1112" customFormat="false" ht="15" hidden="false" customHeight="false" outlineLevel="0" collapsed="false">
      <c r="A1112" s="23" t="n">
        <v>46255.53125</v>
      </c>
      <c r="B1112" s="24" t="s">
        <v>1071</v>
      </c>
      <c r="C1112" s="24" t="s">
        <v>1072</v>
      </c>
      <c r="D1112" s="24" t="n">
        <v>1</v>
      </c>
      <c r="E1112" s="25" t="n">
        <v>2000</v>
      </c>
      <c r="F1112" s="25" t="n">
        <v>1100</v>
      </c>
      <c r="G1112" s="24" t="s">
        <v>59</v>
      </c>
      <c r="H1112" s="24" t="s">
        <v>55</v>
      </c>
      <c r="I1112" s="28" t="n">
        <f aca="false">IF(A1112="","",D1112*E1112)</f>
        <v>2000</v>
      </c>
      <c r="J1112" s="28" t="n">
        <f aca="false">IF(A1112="","",D1112*F1112)</f>
        <v>1100</v>
      </c>
      <c r="K1112" s="26" t="n">
        <f aca="false">IF(A1112="","",YEAR(A1112))</f>
        <v>2026</v>
      </c>
      <c r="L1112" s="26" t="n">
        <f aca="false">IF(A1112="","",MONTH(A1112))</f>
        <v>8</v>
      </c>
    </row>
    <row r="1113" customFormat="false" ht="15" hidden="false" customHeight="false" outlineLevel="0" collapsed="false">
      <c r="A1113" s="23" t="n">
        <v>46255.6958333333</v>
      </c>
      <c r="B1113" s="24" t="s">
        <v>1079</v>
      </c>
      <c r="C1113" s="24" t="s">
        <v>1080</v>
      </c>
      <c r="D1113" s="24" t="n">
        <v>1</v>
      </c>
      <c r="E1113" s="25" t="n">
        <v>2500</v>
      </c>
      <c r="F1113" s="25" t="n">
        <v>1600</v>
      </c>
      <c r="G1113" s="24" t="s">
        <v>69</v>
      </c>
      <c r="H1113" s="24" t="s">
        <v>55</v>
      </c>
      <c r="I1113" s="28" t="n">
        <f aca="false">IF(A1113="","",D1113*E1113)</f>
        <v>2500</v>
      </c>
      <c r="J1113" s="28" t="n">
        <f aca="false">IF(A1113="","",D1113*F1113)</f>
        <v>1600</v>
      </c>
      <c r="K1113" s="26" t="n">
        <f aca="false">IF(A1113="","",YEAR(A1113))</f>
        <v>2026</v>
      </c>
      <c r="L1113" s="26" t="n">
        <f aca="false">IF(A1113="","",MONTH(A1113))</f>
        <v>8</v>
      </c>
    </row>
    <row r="1114" customFormat="false" ht="15" hidden="false" customHeight="false" outlineLevel="0" collapsed="false">
      <c r="A1114" s="23" t="n">
        <v>46256.4166666667</v>
      </c>
      <c r="B1114" s="24" t="s">
        <v>1069</v>
      </c>
      <c r="C1114" s="24" t="s">
        <v>1070</v>
      </c>
      <c r="D1114" s="24" t="n">
        <v>1</v>
      </c>
      <c r="E1114" s="25" t="n">
        <v>4500</v>
      </c>
      <c r="F1114" s="25" t="n">
        <v>3000</v>
      </c>
      <c r="G1114" s="24" t="s">
        <v>59</v>
      </c>
      <c r="H1114" s="24" t="s">
        <v>55</v>
      </c>
      <c r="I1114" s="28" t="n">
        <f aca="false">IF(A1114="","",D1114*E1114)</f>
        <v>4500</v>
      </c>
      <c r="J1114" s="28" t="n">
        <f aca="false">IF(A1114="","",D1114*F1114)</f>
        <v>3000</v>
      </c>
      <c r="K1114" s="26" t="n">
        <f aca="false">IF(A1114="","",YEAR(A1114))</f>
        <v>2026</v>
      </c>
      <c r="L1114" s="26" t="n">
        <f aca="false">IF(A1114="","",MONTH(A1114))</f>
        <v>8</v>
      </c>
    </row>
    <row r="1115" customFormat="false" ht="15" hidden="false" customHeight="false" outlineLevel="0" collapsed="false">
      <c r="A1115" s="23" t="n">
        <v>46256.5986111111</v>
      </c>
      <c r="B1115" s="24" t="s">
        <v>1073</v>
      </c>
      <c r="C1115" s="24" t="s">
        <v>1074</v>
      </c>
      <c r="D1115" s="24" t="n">
        <v>3</v>
      </c>
      <c r="E1115" s="25" t="n">
        <v>7000</v>
      </c>
      <c r="F1115" s="25" t="n">
        <v>4800</v>
      </c>
      <c r="G1115" s="24" t="s">
        <v>59</v>
      </c>
      <c r="H1115" s="24" t="s">
        <v>60</v>
      </c>
      <c r="I1115" s="28" t="n">
        <f aca="false">IF(A1115="","",D1115*E1115)</f>
        <v>21000</v>
      </c>
      <c r="J1115" s="28" t="n">
        <f aca="false">IF(A1115="","",D1115*F1115)</f>
        <v>14400</v>
      </c>
      <c r="K1115" s="26" t="n">
        <f aca="false">IF(A1115="","",YEAR(A1115))</f>
        <v>2026</v>
      </c>
      <c r="L1115" s="26" t="n">
        <f aca="false">IF(A1115="","",MONTH(A1115))</f>
        <v>8</v>
      </c>
    </row>
    <row r="1116" customFormat="false" ht="15" hidden="false" customHeight="false" outlineLevel="0" collapsed="false">
      <c r="A1116" s="23" t="n">
        <v>46256.7708333333</v>
      </c>
      <c r="B1116" s="24" t="s">
        <v>1077</v>
      </c>
      <c r="C1116" s="24" t="s">
        <v>1078</v>
      </c>
      <c r="D1116" s="24" t="n">
        <v>1</v>
      </c>
      <c r="E1116" s="25" t="n">
        <v>1500</v>
      </c>
      <c r="F1116" s="25" t="n">
        <v>900</v>
      </c>
      <c r="G1116" s="24" t="s">
        <v>59</v>
      </c>
      <c r="H1116" s="24" t="s">
        <v>55</v>
      </c>
      <c r="I1116" s="28" t="n">
        <f aca="false">IF(A1116="","",D1116*E1116)</f>
        <v>1500</v>
      </c>
      <c r="J1116" s="28" t="n">
        <f aca="false">IF(A1116="","",D1116*F1116)</f>
        <v>900</v>
      </c>
      <c r="K1116" s="26" t="n">
        <f aca="false">IF(A1116="","",YEAR(A1116))</f>
        <v>2026</v>
      </c>
      <c r="L1116" s="26" t="n">
        <f aca="false">IF(A1116="","",MONTH(A1116))</f>
        <v>8</v>
      </c>
    </row>
    <row r="1117" customFormat="false" ht="15" hidden="false" customHeight="false" outlineLevel="0" collapsed="false">
      <c r="A1117" s="23" t="n">
        <v>46258.6444444444</v>
      </c>
      <c r="B1117" s="24" t="s">
        <v>1071</v>
      </c>
      <c r="C1117" s="24" t="s">
        <v>1072</v>
      </c>
      <c r="D1117" s="24" t="n">
        <v>1</v>
      </c>
      <c r="E1117" s="25" t="n">
        <v>2000</v>
      </c>
      <c r="F1117" s="25" t="n">
        <v>1100</v>
      </c>
      <c r="G1117" s="24" t="s">
        <v>59</v>
      </c>
      <c r="H1117" s="24" t="s">
        <v>80</v>
      </c>
      <c r="I1117" s="28" t="n">
        <f aca="false">IF(A1117="","",D1117*E1117)</f>
        <v>2000</v>
      </c>
      <c r="J1117" s="28" t="n">
        <f aca="false">IF(A1117="","",D1117*F1117)</f>
        <v>1100</v>
      </c>
      <c r="K1117" s="26" t="n">
        <f aca="false">IF(A1117="","",YEAR(A1117))</f>
        <v>2026</v>
      </c>
      <c r="L1117" s="26" t="n">
        <f aca="false">IF(A1117="","",MONTH(A1117))</f>
        <v>8</v>
      </c>
    </row>
    <row r="1118" customFormat="false" ht="15" hidden="false" customHeight="false" outlineLevel="0" collapsed="false">
      <c r="A1118" s="23" t="n">
        <v>46258.6597222222</v>
      </c>
      <c r="B1118" s="24" t="s">
        <v>1065</v>
      </c>
      <c r="C1118" s="24" t="s">
        <v>1066</v>
      </c>
      <c r="D1118" s="24" t="n">
        <v>1</v>
      </c>
      <c r="E1118" s="25" t="n">
        <v>3000</v>
      </c>
      <c r="F1118" s="25" t="n">
        <v>2000</v>
      </c>
      <c r="G1118" s="24" t="s">
        <v>59</v>
      </c>
      <c r="H1118" s="24" t="s">
        <v>60</v>
      </c>
      <c r="I1118" s="28" t="n">
        <f aca="false">IF(A1118="","",D1118*E1118)</f>
        <v>3000</v>
      </c>
      <c r="J1118" s="28" t="n">
        <f aca="false">IF(A1118="","",D1118*F1118)</f>
        <v>2000</v>
      </c>
      <c r="K1118" s="26" t="n">
        <f aca="false">IF(A1118="","",YEAR(A1118))</f>
        <v>2026</v>
      </c>
      <c r="L1118" s="26" t="n">
        <f aca="false">IF(A1118="","",MONTH(A1118))</f>
        <v>8</v>
      </c>
    </row>
    <row r="1119" customFormat="false" ht="15" hidden="false" customHeight="false" outlineLevel="0" collapsed="false">
      <c r="A1119" s="23" t="n">
        <v>46258.6791666667</v>
      </c>
      <c r="B1119" s="24" t="s">
        <v>1067</v>
      </c>
      <c r="C1119" s="24" t="s">
        <v>1068</v>
      </c>
      <c r="D1119" s="24" t="n">
        <v>1</v>
      </c>
      <c r="E1119" s="25" t="n">
        <v>4000</v>
      </c>
      <c r="F1119" s="25" t="n">
        <v>2600</v>
      </c>
      <c r="G1119" s="24" t="s">
        <v>59</v>
      </c>
      <c r="H1119" s="24" t="s">
        <v>55</v>
      </c>
      <c r="I1119" s="28" t="n">
        <f aca="false">IF(A1119="","",D1119*E1119)</f>
        <v>4000</v>
      </c>
      <c r="J1119" s="28" t="n">
        <f aca="false">IF(A1119="","",D1119*F1119)</f>
        <v>2600</v>
      </c>
      <c r="K1119" s="26" t="n">
        <f aca="false">IF(A1119="","",YEAR(A1119))</f>
        <v>2026</v>
      </c>
      <c r="L1119" s="26" t="n">
        <f aca="false">IF(A1119="","",MONTH(A1119))</f>
        <v>8</v>
      </c>
    </row>
    <row r="1120" customFormat="false" ht="15" hidden="false" customHeight="false" outlineLevel="0" collapsed="false">
      <c r="A1120" s="23" t="n">
        <v>46259.8118055556</v>
      </c>
      <c r="B1120" s="24" t="s">
        <v>1079</v>
      </c>
      <c r="C1120" s="24" t="s">
        <v>1080</v>
      </c>
      <c r="D1120" s="24" t="n">
        <v>3</v>
      </c>
      <c r="E1120" s="25" t="n">
        <v>2500</v>
      </c>
      <c r="F1120" s="25" t="n">
        <v>1600</v>
      </c>
      <c r="G1120" s="24" t="s">
        <v>59</v>
      </c>
      <c r="H1120" s="24" t="s">
        <v>55</v>
      </c>
      <c r="I1120" s="28" t="n">
        <f aca="false">IF(A1120="","",D1120*E1120)</f>
        <v>7500</v>
      </c>
      <c r="J1120" s="28" t="n">
        <f aca="false">IF(A1120="","",D1120*F1120)</f>
        <v>4800</v>
      </c>
      <c r="K1120" s="26" t="n">
        <f aca="false">IF(A1120="","",YEAR(A1120))</f>
        <v>2026</v>
      </c>
      <c r="L1120" s="26" t="n">
        <f aca="false">IF(A1120="","",MONTH(A1120))</f>
        <v>8</v>
      </c>
    </row>
    <row r="1121" customFormat="false" ht="15" hidden="false" customHeight="false" outlineLevel="0" collapsed="false">
      <c r="A1121" s="23" t="n">
        <v>46260.8256944444</v>
      </c>
      <c r="B1121" s="24" t="s">
        <v>1069</v>
      </c>
      <c r="C1121" s="24" t="s">
        <v>1070</v>
      </c>
      <c r="D1121" s="24" t="n">
        <v>2</v>
      </c>
      <c r="E1121" s="25" t="n">
        <v>4500</v>
      </c>
      <c r="F1121" s="25" t="n">
        <v>3000</v>
      </c>
      <c r="G1121" s="24" t="s">
        <v>59</v>
      </c>
      <c r="H1121" s="24" t="s">
        <v>55</v>
      </c>
      <c r="I1121" s="28" t="n">
        <f aca="false">IF(A1121="","",D1121*E1121)</f>
        <v>9000</v>
      </c>
      <c r="J1121" s="28" t="n">
        <f aca="false">IF(A1121="","",D1121*F1121)</f>
        <v>6000</v>
      </c>
      <c r="K1121" s="26" t="n">
        <f aca="false">IF(A1121="","",YEAR(A1121))</f>
        <v>2026</v>
      </c>
      <c r="L1121" s="26" t="n">
        <f aca="false">IF(A1121="","",MONTH(A1121))</f>
        <v>8</v>
      </c>
    </row>
    <row r="1122" customFormat="false" ht="15" hidden="false" customHeight="false" outlineLevel="0" collapsed="false">
      <c r="A1122" s="23" t="n">
        <v>46261.60625</v>
      </c>
      <c r="B1122" s="24" t="s">
        <v>1073</v>
      </c>
      <c r="C1122" s="24" t="s">
        <v>1074</v>
      </c>
      <c r="D1122" s="24" t="n">
        <v>2</v>
      </c>
      <c r="E1122" s="25" t="n">
        <v>7000</v>
      </c>
      <c r="F1122" s="25" t="n">
        <v>4800</v>
      </c>
      <c r="G1122" s="24" t="s">
        <v>59</v>
      </c>
      <c r="H1122" s="24" t="s">
        <v>60</v>
      </c>
      <c r="I1122" s="28" t="n">
        <f aca="false">IF(A1122="","",D1122*E1122)</f>
        <v>14000</v>
      </c>
      <c r="J1122" s="28" t="n">
        <f aca="false">IF(A1122="","",D1122*F1122)</f>
        <v>9600</v>
      </c>
      <c r="K1122" s="26" t="n">
        <f aca="false">IF(A1122="","",YEAR(A1122))</f>
        <v>2026</v>
      </c>
      <c r="L1122" s="26" t="n">
        <f aca="false">IF(A1122="","",MONTH(A1122))</f>
        <v>8</v>
      </c>
    </row>
    <row r="1123" customFormat="false" ht="15" hidden="false" customHeight="false" outlineLevel="0" collapsed="false">
      <c r="A1123" s="23" t="n">
        <v>46266.58125</v>
      </c>
      <c r="B1123" s="24" t="s">
        <v>1081</v>
      </c>
      <c r="C1123" s="24" t="s">
        <v>1082</v>
      </c>
      <c r="D1123" s="24" t="n">
        <v>1</v>
      </c>
      <c r="E1123" s="25" t="n">
        <v>2500</v>
      </c>
      <c r="F1123" s="25" t="n">
        <v>1500</v>
      </c>
      <c r="G1123" s="24" t="s">
        <v>59</v>
      </c>
      <c r="H1123" s="24" t="s">
        <v>60</v>
      </c>
      <c r="I1123" s="28" t="n">
        <f aca="false">IF(A1123="","",D1123*E1123)</f>
        <v>2500</v>
      </c>
      <c r="J1123" s="28" t="n">
        <f aca="false">IF(A1123="","",D1123*F1123)</f>
        <v>1500</v>
      </c>
      <c r="K1123" s="26" t="n">
        <f aca="false">IF(A1123="","",YEAR(A1123))</f>
        <v>2026</v>
      </c>
      <c r="L1123" s="26" t="n">
        <f aca="false">IF(A1123="","",MONTH(A1123))</f>
        <v>9</v>
      </c>
    </row>
    <row r="1124" customFormat="false" ht="15" hidden="false" customHeight="false" outlineLevel="0" collapsed="false">
      <c r="A1124" s="23" t="n">
        <v>46266.5847222222</v>
      </c>
      <c r="B1124" s="24" t="s">
        <v>1065</v>
      </c>
      <c r="C1124" s="24" t="s">
        <v>1066</v>
      </c>
      <c r="D1124" s="24" t="n">
        <v>1</v>
      </c>
      <c r="E1124" s="25" t="n">
        <v>3000</v>
      </c>
      <c r="F1124" s="25" t="n">
        <v>2000</v>
      </c>
      <c r="G1124" s="24" t="s">
        <v>59</v>
      </c>
      <c r="H1124" s="24" t="s">
        <v>55</v>
      </c>
      <c r="I1124" s="28" t="n">
        <f aca="false">IF(A1124="","",D1124*E1124)</f>
        <v>3000</v>
      </c>
      <c r="J1124" s="28" t="n">
        <f aca="false">IF(A1124="","",D1124*F1124)</f>
        <v>2000</v>
      </c>
      <c r="K1124" s="26" t="n">
        <f aca="false">IF(A1124="","",YEAR(A1124))</f>
        <v>2026</v>
      </c>
      <c r="L1124" s="26" t="n">
        <f aca="false">IF(A1124="","",MONTH(A1124))</f>
        <v>9</v>
      </c>
    </row>
    <row r="1125" customFormat="false" ht="15" hidden="false" customHeight="false" outlineLevel="0" collapsed="false">
      <c r="A1125" s="23" t="n">
        <v>46266.7777777778</v>
      </c>
      <c r="B1125" s="24" t="s">
        <v>1071</v>
      </c>
      <c r="C1125" s="24" t="s">
        <v>1072</v>
      </c>
      <c r="D1125" s="24" t="n">
        <v>3</v>
      </c>
      <c r="E1125" s="25" t="n">
        <v>2000</v>
      </c>
      <c r="F1125" s="25" t="n">
        <v>1100</v>
      </c>
      <c r="G1125" s="24" t="s">
        <v>59</v>
      </c>
      <c r="H1125" s="24" t="s">
        <v>60</v>
      </c>
      <c r="I1125" s="28" t="n">
        <f aca="false">IF(A1125="","",D1125*E1125)</f>
        <v>6000</v>
      </c>
      <c r="J1125" s="28" t="n">
        <f aca="false">IF(A1125="","",D1125*F1125)</f>
        <v>3300</v>
      </c>
      <c r="K1125" s="26" t="n">
        <f aca="false">IF(A1125="","",YEAR(A1125))</f>
        <v>2026</v>
      </c>
      <c r="L1125" s="26" t="n">
        <f aca="false">IF(A1125="","",MONTH(A1125))</f>
        <v>9</v>
      </c>
    </row>
    <row r="1126" customFormat="false" ht="15" hidden="false" customHeight="false" outlineLevel="0" collapsed="false">
      <c r="A1126" s="23" t="n">
        <v>46266.7777777778</v>
      </c>
      <c r="B1126" s="24" t="s">
        <v>1065</v>
      </c>
      <c r="C1126" s="24" t="s">
        <v>1066</v>
      </c>
      <c r="D1126" s="24" t="n">
        <v>2</v>
      </c>
      <c r="E1126" s="25" t="n">
        <v>3000</v>
      </c>
      <c r="F1126" s="25" t="n">
        <v>2000</v>
      </c>
      <c r="G1126" s="24" t="s">
        <v>59</v>
      </c>
      <c r="H1126" s="24" t="s">
        <v>55</v>
      </c>
      <c r="I1126" s="28" t="n">
        <f aca="false">IF(A1126="","",D1126*E1126)</f>
        <v>6000</v>
      </c>
      <c r="J1126" s="28" t="n">
        <f aca="false">IF(A1126="","",D1126*F1126)</f>
        <v>4000</v>
      </c>
      <c r="K1126" s="26" t="n">
        <f aca="false">IF(A1126="","",YEAR(A1126))</f>
        <v>2026</v>
      </c>
      <c r="L1126" s="26" t="n">
        <f aca="false">IF(A1126="","",MONTH(A1126))</f>
        <v>9</v>
      </c>
    </row>
    <row r="1127" customFormat="false" ht="15" hidden="false" customHeight="false" outlineLevel="0" collapsed="false">
      <c r="A1127" s="23" t="n">
        <v>46267.5006944445</v>
      </c>
      <c r="B1127" s="24" t="s">
        <v>1069</v>
      </c>
      <c r="C1127" s="24" t="s">
        <v>1070</v>
      </c>
      <c r="D1127" s="24" t="n">
        <v>2</v>
      </c>
      <c r="E1127" s="25" t="n">
        <v>4500</v>
      </c>
      <c r="F1127" s="25" t="n">
        <v>3000</v>
      </c>
      <c r="G1127" s="24" t="s">
        <v>59</v>
      </c>
      <c r="H1127" s="24" t="s">
        <v>60</v>
      </c>
      <c r="I1127" s="28" t="n">
        <f aca="false">IF(A1127="","",D1127*E1127)</f>
        <v>9000</v>
      </c>
      <c r="J1127" s="28" t="n">
        <f aca="false">IF(A1127="","",D1127*F1127)</f>
        <v>6000</v>
      </c>
      <c r="K1127" s="26" t="n">
        <f aca="false">IF(A1127="","",YEAR(A1127))</f>
        <v>2026</v>
      </c>
      <c r="L1127" s="26" t="n">
        <f aca="false">IF(A1127="","",MONTH(A1127))</f>
        <v>9</v>
      </c>
    </row>
    <row r="1128" customFormat="false" ht="15" hidden="false" customHeight="false" outlineLevel="0" collapsed="false">
      <c r="A1128" s="23" t="n">
        <v>46267.6131944444</v>
      </c>
      <c r="B1128" s="24" t="s">
        <v>1081</v>
      </c>
      <c r="C1128" s="24" t="s">
        <v>1082</v>
      </c>
      <c r="D1128" s="24" t="n">
        <v>3</v>
      </c>
      <c r="E1128" s="25" t="n">
        <v>2500</v>
      </c>
      <c r="F1128" s="25" t="n">
        <v>1500</v>
      </c>
      <c r="G1128" s="24" t="s">
        <v>59</v>
      </c>
      <c r="H1128" s="24" t="s">
        <v>55</v>
      </c>
      <c r="I1128" s="28" t="n">
        <f aca="false">IF(A1128="","",D1128*E1128)</f>
        <v>7500</v>
      </c>
      <c r="J1128" s="28" t="n">
        <f aca="false">IF(A1128="","",D1128*F1128)</f>
        <v>4500</v>
      </c>
      <c r="K1128" s="26" t="n">
        <f aca="false">IF(A1128="","",YEAR(A1128))</f>
        <v>2026</v>
      </c>
      <c r="L1128" s="26" t="n">
        <f aca="false">IF(A1128="","",MONTH(A1128))</f>
        <v>9</v>
      </c>
    </row>
    <row r="1129" customFormat="false" ht="15" hidden="false" customHeight="false" outlineLevel="0" collapsed="false">
      <c r="A1129" s="23" t="n">
        <v>46267.7840277778</v>
      </c>
      <c r="B1129" s="24" t="s">
        <v>1071</v>
      </c>
      <c r="C1129" s="24" t="s">
        <v>1072</v>
      </c>
      <c r="D1129" s="24" t="n">
        <v>1</v>
      </c>
      <c r="E1129" s="25" t="n">
        <v>2000</v>
      </c>
      <c r="F1129" s="25" t="n">
        <v>1100</v>
      </c>
      <c r="G1129" s="24" t="s">
        <v>59</v>
      </c>
      <c r="H1129" s="24" t="s">
        <v>55</v>
      </c>
      <c r="I1129" s="28" t="n">
        <f aca="false">IF(A1129="","",D1129*E1129)</f>
        <v>2000</v>
      </c>
      <c r="J1129" s="28" t="n">
        <f aca="false">IF(A1129="","",D1129*F1129)</f>
        <v>1100</v>
      </c>
      <c r="K1129" s="26" t="n">
        <f aca="false">IF(A1129="","",YEAR(A1129))</f>
        <v>2026</v>
      </c>
      <c r="L1129" s="26" t="n">
        <f aca="false">IF(A1129="","",MONTH(A1129))</f>
        <v>9</v>
      </c>
    </row>
    <row r="1130" customFormat="false" ht="15" hidden="false" customHeight="false" outlineLevel="0" collapsed="false">
      <c r="A1130" s="23" t="n">
        <v>46267.8465277778</v>
      </c>
      <c r="B1130" s="24" t="s">
        <v>1065</v>
      </c>
      <c r="C1130" s="24" t="s">
        <v>1066</v>
      </c>
      <c r="D1130" s="24" t="n">
        <v>2</v>
      </c>
      <c r="E1130" s="25" t="n">
        <v>3000</v>
      </c>
      <c r="F1130" s="25" t="n">
        <v>2000</v>
      </c>
      <c r="G1130" s="24" t="s">
        <v>59</v>
      </c>
      <c r="H1130" s="24" t="s">
        <v>55</v>
      </c>
      <c r="I1130" s="28" t="n">
        <f aca="false">IF(A1130="","",D1130*E1130)</f>
        <v>6000</v>
      </c>
      <c r="J1130" s="28" t="n">
        <f aca="false">IF(A1130="","",D1130*F1130)</f>
        <v>4000</v>
      </c>
      <c r="K1130" s="26" t="n">
        <f aca="false">IF(A1130="","",YEAR(A1130))</f>
        <v>2026</v>
      </c>
      <c r="L1130" s="26" t="n">
        <f aca="false">IF(A1130="","",MONTH(A1130))</f>
        <v>9</v>
      </c>
    </row>
    <row r="1131" customFormat="false" ht="15" hidden="false" customHeight="false" outlineLevel="0" collapsed="false">
      <c r="A1131" s="23" t="n">
        <v>46268.4048611111</v>
      </c>
      <c r="B1131" s="24" t="s">
        <v>1073</v>
      </c>
      <c r="C1131" s="24" t="s">
        <v>1074</v>
      </c>
      <c r="D1131" s="24" t="n">
        <v>2</v>
      </c>
      <c r="E1131" s="25" t="n">
        <v>7000</v>
      </c>
      <c r="F1131" s="25" t="n">
        <v>4800</v>
      </c>
      <c r="G1131" s="24" t="s">
        <v>59</v>
      </c>
      <c r="H1131" s="24" t="s">
        <v>55</v>
      </c>
      <c r="I1131" s="28" t="n">
        <f aca="false">IF(A1131="","",D1131*E1131)</f>
        <v>14000</v>
      </c>
      <c r="J1131" s="28" t="n">
        <f aca="false">IF(A1131="","",D1131*F1131)</f>
        <v>9600</v>
      </c>
      <c r="K1131" s="26" t="n">
        <f aca="false">IF(A1131="","",YEAR(A1131))</f>
        <v>2026</v>
      </c>
      <c r="L1131" s="26" t="n">
        <f aca="false">IF(A1131="","",MONTH(A1131))</f>
        <v>9</v>
      </c>
    </row>
    <row r="1132" customFormat="false" ht="15" hidden="false" customHeight="false" outlineLevel="0" collapsed="false">
      <c r="A1132" s="23" t="n">
        <v>46268.8381944444</v>
      </c>
      <c r="B1132" s="24" t="s">
        <v>1069</v>
      </c>
      <c r="C1132" s="24" t="s">
        <v>1070</v>
      </c>
      <c r="D1132" s="24" t="n">
        <v>1</v>
      </c>
      <c r="E1132" s="25" t="n">
        <v>4500</v>
      </c>
      <c r="F1132" s="25" t="n">
        <v>3000</v>
      </c>
      <c r="G1132" s="24" t="s">
        <v>59</v>
      </c>
      <c r="H1132" s="24" t="s">
        <v>60</v>
      </c>
      <c r="I1132" s="28" t="n">
        <f aca="false">IF(A1132="","",D1132*E1132)</f>
        <v>4500</v>
      </c>
      <c r="J1132" s="28" t="n">
        <f aca="false">IF(A1132="","",D1132*F1132)</f>
        <v>3000</v>
      </c>
      <c r="K1132" s="26" t="n">
        <f aca="false">IF(A1132="","",YEAR(A1132))</f>
        <v>2026</v>
      </c>
      <c r="L1132" s="26" t="n">
        <f aca="false">IF(A1132="","",MONTH(A1132))</f>
        <v>9</v>
      </c>
    </row>
    <row r="1133" customFormat="false" ht="15" hidden="false" customHeight="false" outlineLevel="0" collapsed="false">
      <c r="A1133" s="23" t="n">
        <v>46269.3402777778</v>
      </c>
      <c r="B1133" s="24" t="s">
        <v>1069</v>
      </c>
      <c r="C1133" s="24" t="s">
        <v>1070</v>
      </c>
      <c r="D1133" s="24" t="n">
        <v>1</v>
      </c>
      <c r="E1133" s="25" t="n">
        <v>4500</v>
      </c>
      <c r="F1133" s="25" t="n">
        <v>3000</v>
      </c>
      <c r="G1133" s="24" t="s">
        <v>59</v>
      </c>
      <c r="H1133" s="24" t="s">
        <v>60</v>
      </c>
      <c r="I1133" s="28" t="n">
        <f aca="false">IF(A1133="","",D1133*E1133)</f>
        <v>4500</v>
      </c>
      <c r="J1133" s="28" t="n">
        <f aca="false">IF(A1133="","",D1133*F1133)</f>
        <v>3000</v>
      </c>
      <c r="K1133" s="26" t="n">
        <f aca="false">IF(A1133="","",YEAR(A1133))</f>
        <v>2026</v>
      </c>
      <c r="L1133" s="26" t="n">
        <f aca="false">IF(A1133="","",MONTH(A1133))</f>
        <v>9</v>
      </c>
    </row>
    <row r="1134" customFormat="false" ht="15" hidden="false" customHeight="false" outlineLevel="0" collapsed="false">
      <c r="A1134" s="23" t="n">
        <v>46269.8388888889</v>
      </c>
      <c r="B1134" s="24" t="s">
        <v>1073</v>
      </c>
      <c r="C1134" s="24" t="s">
        <v>1074</v>
      </c>
      <c r="D1134" s="24" t="n">
        <v>2</v>
      </c>
      <c r="E1134" s="25" t="n">
        <v>7000</v>
      </c>
      <c r="F1134" s="25" t="n">
        <v>4800</v>
      </c>
      <c r="G1134" s="24" t="s">
        <v>69</v>
      </c>
      <c r="H1134" s="24" t="s">
        <v>60</v>
      </c>
      <c r="I1134" s="28" t="n">
        <f aca="false">IF(A1134="","",D1134*E1134)</f>
        <v>14000</v>
      </c>
      <c r="J1134" s="28" t="n">
        <f aca="false">IF(A1134="","",D1134*F1134)</f>
        <v>9600</v>
      </c>
      <c r="K1134" s="26" t="n">
        <f aca="false">IF(A1134="","",YEAR(A1134))</f>
        <v>2026</v>
      </c>
      <c r="L1134" s="26" t="n">
        <f aca="false">IF(A1134="","",MONTH(A1134))</f>
        <v>9</v>
      </c>
    </row>
    <row r="1135" customFormat="false" ht="15" hidden="false" customHeight="false" outlineLevel="0" collapsed="false">
      <c r="A1135" s="23" t="n">
        <v>46270.64375</v>
      </c>
      <c r="B1135" s="24" t="s">
        <v>1065</v>
      </c>
      <c r="C1135" s="24" t="s">
        <v>1066</v>
      </c>
      <c r="D1135" s="24" t="n">
        <v>1</v>
      </c>
      <c r="E1135" s="25" t="n">
        <v>3000</v>
      </c>
      <c r="F1135" s="25" t="n">
        <v>2000</v>
      </c>
      <c r="G1135" s="24" t="s">
        <v>59</v>
      </c>
      <c r="H1135" s="24" t="s">
        <v>55</v>
      </c>
      <c r="I1135" s="28" t="n">
        <f aca="false">IF(A1135="","",D1135*E1135)</f>
        <v>3000</v>
      </c>
      <c r="J1135" s="28" t="n">
        <f aca="false">IF(A1135="","",D1135*F1135)</f>
        <v>2000</v>
      </c>
      <c r="K1135" s="26" t="n">
        <f aca="false">IF(A1135="","",YEAR(A1135))</f>
        <v>2026</v>
      </c>
      <c r="L1135" s="26" t="n">
        <f aca="false">IF(A1135="","",MONTH(A1135))</f>
        <v>9</v>
      </c>
    </row>
    <row r="1136" customFormat="false" ht="15" hidden="false" customHeight="false" outlineLevel="0" collapsed="false">
      <c r="A1136" s="23" t="n">
        <v>46271.3277777778</v>
      </c>
      <c r="B1136" s="24" t="s">
        <v>1067</v>
      </c>
      <c r="C1136" s="24" t="s">
        <v>1068</v>
      </c>
      <c r="D1136" s="24" t="n">
        <v>1</v>
      </c>
      <c r="E1136" s="25" t="n">
        <v>4000</v>
      </c>
      <c r="F1136" s="25" t="n">
        <v>2600</v>
      </c>
      <c r="G1136" s="24" t="s">
        <v>69</v>
      </c>
      <c r="H1136" s="24" t="s">
        <v>55</v>
      </c>
      <c r="I1136" s="28" t="n">
        <f aca="false">IF(A1136="","",D1136*E1136)</f>
        <v>4000</v>
      </c>
      <c r="J1136" s="28" t="n">
        <f aca="false">IF(A1136="","",D1136*F1136)</f>
        <v>2600</v>
      </c>
      <c r="K1136" s="26" t="n">
        <f aca="false">IF(A1136="","",YEAR(A1136))</f>
        <v>2026</v>
      </c>
      <c r="L1136" s="26" t="n">
        <f aca="false">IF(A1136="","",MONTH(A1136))</f>
        <v>9</v>
      </c>
    </row>
    <row r="1137" customFormat="false" ht="15" hidden="false" customHeight="false" outlineLevel="0" collapsed="false">
      <c r="A1137" s="23" t="n">
        <v>46271.5256944444</v>
      </c>
      <c r="B1137" s="24" t="s">
        <v>1065</v>
      </c>
      <c r="C1137" s="24" t="s">
        <v>1066</v>
      </c>
      <c r="D1137" s="24" t="n">
        <v>2</v>
      </c>
      <c r="E1137" s="25" t="n">
        <v>3000</v>
      </c>
      <c r="F1137" s="25" t="n">
        <v>2000</v>
      </c>
      <c r="G1137" s="24" t="s">
        <v>69</v>
      </c>
      <c r="H1137" s="24" t="s">
        <v>60</v>
      </c>
      <c r="I1137" s="28" t="n">
        <f aca="false">IF(A1137="","",D1137*E1137)</f>
        <v>6000</v>
      </c>
      <c r="J1137" s="28" t="n">
        <f aca="false">IF(A1137="","",D1137*F1137)</f>
        <v>4000</v>
      </c>
      <c r="K1137" s="26" t="n">
        <f aca="false">IF(A1137="","",YEAR(A1137))</f>
        <v>2026</v>
      </c>
      <c r="L1137" s="26" t="n">
        <f aca="false">IF(A1137="","",MONTH(A1137))</f>
        <v>9</v>
      </c>
    </row>
    <row r="1138" customFormat="false" ht="15" hidden="false" customHeight="false" outlineLevel="0" collapsed="false">
      <c r="A1138" s="23" t="n">
        <v>46271.5805555556</v>
      </c>
      <c r="B1138" s="24" t="s">
        <v>1065</v>
      </c>
      <c r="C1138" s="24" t="s">
        <v>1066</v>
      </c>
      <c r="D1138" s="24" t="n">
        <v>1</v>
      </c>
      <c r="E1138" s="25" t="n">
        <v>3000</v>
      </c>
      <c r="F1138" s="25" t="n">
        <v>2000</v>
      </c>
      <c r="G1138" s="24" t="s">
        <v>59</v>
      </c>
      <c r="H1138" s="24" t="s">
        <v>60</v>
      </c>
      <c r="I1138" s="28" t="n">
        <f aca="false">IF(A1138="","",D1138*E1138)</f>
        <v>3000</v>
      </c>
      <c r="J1138" s="28" t="n">
        <f aca="false">IF(A1138="","",D1138*F1138)</f>
        <v>2000</v>
      </c>
      <c r="K1138" s="26" t="n">
        <f aca="false">IF(A1138="","",YEAR(A1138))</f>
        <v>2026</v>
      </c>
      <c r="L1138" s="26" t="n">
        <f aca="false">IF(A1138="","",MONTH(A1138))</f>
        <v>9</v>
      </c>
    </row>
    <row r="1139" customFormat="false" ht="15" hidden="false" customHeight="false" outlineLevel="0" collapsed="false">
      <c r="A1139" s="23" t="n">
        <v>46271.6354166667</v>
      </c>
      <c r="B1139" s="24" t="s">
        <v>1079</v>
      </c>
      <c r="C1139" s="24" t="s">
        <v>1080</v>
      </c>
      <c r="D1139" s="24" t="n">
        <v>1</v>
      </c>
      <c r="E1139" s="25" t="n">
        <v>2500</v>
      </c>
      <c r="F1139" s="25" t="n">
        <v>1600</v>
      </c>
      <c r="G1139" s="24" t="s">
        <v>59</v>
      </c>
      <c r="H1139" s="24" t="s">
        <v>55</v>
      </c>
      <c r="I1139" s="28" t="n">
        <f aca="false">IF(A1139="","",D1139*E1139)</f>
        <v>2500</v>
      </c>
      <c r="J1139" s="28" t="n">
        <f aca="false">IF(A1139="","",D1139*F1139)</f>
        <v>1600</v>
      </c>
      <c r="K1139" s="26" t="n">
        <f aca="false">IF(A1139="","",YEAR(A1139))</f>
        <v>2026</v>
      </c>
      <c r="L1139" s="26" t="n">
        <f aca="false">IF(A1139="","",MONTH(A1139))</f>
        <v>9</v>
      </c>
    </row>
    <row r="1140" customFormat="false" ht="15" hidden="false" customHeight="false" outlineLevel="0" collapsed="false">
      <c r="A1140" s="23" t="n">
        <v>46271.9</v>
      </c>
      <c r="B1140" s="24" t="s">
        <v>1077</v>
      </c>
      <c r="C1140" s="24" t="s">
        <v>1078</v>
      </c>
      <c r="D1140" s="24" t="n">
        <v>1</v>
      </c>
      <c r="E1140" s="25" t="n">
        <v>1500</v>
      </c>
      <c r="F1140" s="25" t="n">
        <v>900</v>
      </c>
      <c r="G1140" s="24" t="s">
        <v>59</v>
      </c>
      <c r="H1140" s="24" t="s">
        <v>55</v>
      </c>
      <c r="I1140" s="28" t="n">
        <f aca="false">IF(A1140="","",D1140*E1140)</f>
        <v>1500</v>
      </c>
      <c r="J1140" s="28" t="n">
        <f aca="false">IF(A1140="","",D1140*F1140)</f>
        <v>900</v>
      </c>
      <c r="K1140" s="26" t="n">
        <f aca="false">IF(A1140="","",YEAR(A1140))</f>
        <v>2026</v>
      </c>
      <c r="L1140" s="26" t="n">
        <f aca="false">IF(A1140="","",MONTH(A1140))</f>
        <v>9</v>
      </c>
    </row>
    <row r="1141" customFormat="false" ht="15" hidden="false" customHeight="false" outlineLevel="0" collapsed="false">
      <c r="A1141" s="23" t="n">
        <v>46272.4923611111</v>
      </c>
      <c r="B1141" s="24" t="s">
        <v>1073</v>
      </c>
      <c r="C1141" s="24" t="s">
        <v>1074</v>
      </c>
      <c r="D1141" s="24" t="n">
        <v>1</v>
      </c>
      <c r="E1141" s="25" t="n">
        <v>7000</v>
      </c>
      <c r="F1141" s="25" t="n">
        <v>4800</v>
      </c>
      <c r="G1141" s="24" t="s">
        <v>59</v>
      </c>
      <c r="H1141" s="24" t="s">
        <v>55</v>
      </c>
      <c r="I1141" s="28" t="n">
        <f aca="false">IF(A1141="","",D1141*E1141)</f>
        <v>7000</v>
      </c>
      <c r="J1141" s="28" t="n">
        <f aca="false">IF(A1141="","",D1141*F1141)</f>
        <v>4800</v>
      </c>
      <c r="K1141" s="26" t="n">
        <f aca="false">IF(A1141="","",YEAR(A1141))</f>
        <v>2026</v>
      </c>
      <c r="L1141" s="26" t="n">
        <f aca="false">IF(A1141="","",MONTH(A1141))</f>
        <v>9</v>
      </c>
    </row>
    <row r="1142" customFormat="false" ht="15" hidden="false" customHeight="false" outlineLevel="0" collapsed="false">
      <c r="A1142" s="23" t="n">
        <v>46272.7361111111</v>
      </c>
      <c r="B1142" s="24" t="s">
        <v>1077</v>
      </c>
      <c r="C1142" s="24" t="s">
        <v>1078</v>
      </c>
      <c r="D1142" s="24" t="n">
        <v>3</v>
      </c>
      <c r="E1142" s="25" t="n">
        <v>1500</v>
      </c>
      <c r="F1142" s="25" t="n">
        <v>900</v>
      </c>
      <c r="G1142" s="24" t="s">
        <v>59</v>
      </c>
      <c r="H1142" s="24" t="s">
        <v>60</v>
      </c>
      <c r="I1142" s="28" t="n">
        <f aca="false">IF(A1142="","",D1142*E1142)</f>
        <v>4500</v>
      </c>
      <c r="J1142" s="28" t="n">
        <f aca="false">IF(A1142="","",D1142*F1142)</f>
        <v>2700</v>
      </c>
      <c r="K1142" s="26" t="n">
        <f aca="false">IF(A1142="","",YEAR(A1142))</f>
        <v>2026</v>
      </c>
      <c r="L1142" s="26" t="n">
        <f aca="false">IF(A1142="","",MONTH(A1142))</f>
        <v>9</v>
      </c>
    </row>
    <row r="1143" customFormat="false" ht="15" hidden="false" customHeight="false" outlineLevel="0" collapsed="false">
      <c r="A1143" s="23" t="n">
        <v>46273.4326388889</v>
      </c>
      <c r="B1143" s="24" t="s">
        <v>1073</v>
      </c>
      <c r="C1143" s="24" t="s">
        <v>1074</v>
      </c>
      <c r="D1143" s="24" t="n">
        <v>3</v>
      </c>
      <c r="E1143" s="25" t="n">
        <v>7000</v>
      </c>
      <c r="F1143" s="25" t="n">
        <v>4800</v>
      </c>
      <c r="G1143" s="24" t="s">
        <v>69</v>
      </c>
      <c r="H1143" s="24" t="s">
        <v>55</v>
      </c>
      <c r="I1143" s="28" t="n">
        <f aca="false">IF(A1143="","",D1143*E1143)</f>
        <v>21000</v>
      </c>
      <c r="J1143" s="28" t="n">
        <f aca="false">IF(A1143="","",D1143*F1143)</f>
        <v>14400</v>
      </c>
      <c r="K1143" s="26" t="n">
        <f aca="false">IF(A1143="","",YEAR(A1143))</f>
        <v>2026</v>
      </c>
      <c r="L1143" s="26" t="n">
        <f aca="false">IF(A1143="","",MONTH(A1143))</f>
        <v>9</v>
      </c>
    </row>
    <row r="1144" customFormat="false" ht="15" hidden="false" customHeight="false" outlineLevel="0" collapsed="false">
      <c r="A1144" s="23" t="n">
        <v>46273.4805555556</v>
      </c>
      <c r="B1144" s="24" t="s">
        <v>1079</v>
      </c>
      <c r="C1144" s="24" t="s">
        <v>1080</v>
      </c>
      <c r="D1144" s="24" t="n">
        <v>1</v>
      </c>
      <c r="E1144" s="25" t="n">
        <v>2500</v>
      </c>
      <c r="F1144" s="25" t="n">
        <v>1600</v>
      </c>
      <c r="G1144" s="24" t="s">
        <v>59</v>
      </c>
      <c r="H1144" s="24" t="s">
        <v>80</v>
      </c>
      <c r="I1144" s="28" t="n">
        <f aca="false">IF(A1144="","",D1144*E1144)</f>
        <v>2500</v>
      </c>
      <c r="J1144" s="28" t="n">
        <f aca="false">IF(A1144="","",D1144*F1144)</f>
        <v>1600</v>
      </c>
      <c r="K1144" s="26" t="n">
        <f aca="false">IF(A1144="","",YEAR(A1144))</f>
        <v>2026</v>
      </c>
      <c r="L1144" s="26" t="n">
        <f aca="false">IF(A1144="","",MONTH(A1144))</f>
        <v>9</v>
      </c>
    </row>
    <row r="1145" customFormat="false" ht="15" hidden="false" customHeight="false" outlineLevel="0" collapsed="false">
      <c r="A1145" s="23" t="n">
        <v>46273.6145833333</v>
      </c>
      <c r="B1145" s="24" t="s">
        <v>1069</v>
      </c>
      <c r="C1145" s="24" t="s">
        <v>1070</v>
      </c>
      <c r="D1145" s="24" t="n">
        <v>1</v>
      </c>
      <c r="E1145" s="25" t="n">
        <v>4500</v>
      </c>
      <c r="F1145" s="25" t="n">
        <v>3000</v>
      </c>
      <c r="G1145" s="24" t="s">
        <v>59</v>
      </c>
      <c r="H1145" s="24" t="s">
        <v>80</v>
      </c>
      <c r="I1145" s="28" t="n">
        <f aca="false">IF(A1145="","",D1145*E1145)</f>
        <v>4500</v>
      </c>
      <c r="J1145" s="28" t="n">
        <f aca="false">IF(A1145="","",D1145*F1145)</f>
        <v>3000</v>
      </c>
      <c r="K1145" s="26" t="n">
        <f aca="false">IF(A1145="","",YEAR(A1145))</f>
        <v>2026</v>
      </c>
      <c r="L1145" s="26" t="n">
        <f aca="false">IF(A1145="","",MONTH(A1145))</f>
        <v>9</v>
      </c>
    </row>
    <row r="1146" customFormat="false" ht="15" hidden="false" customHeight="false" outlineLevel="0" collapsed="false">
      <c r="A1146" s="23" t="n">
        <v>46273.6777777778</v>
      </c>
      <c r="B1146" s="24" t="s">
        <v>1069</v>
      </c>
      <c r="C1146" s="24" t="s">
        <v>1070</v>
      </c>
      <c r="D1146" s="24" t="n">
        <v>1</v>
      </c>
      <c r="E1146" s="25" t="n">
        <v>4500</v>
      </c>
      <c r="F1146" s="25" t="n">
        <v>3000</v>
      </c>
      <c r="G1146" s="24" t="s">
        <v>59</v>
      </c>
      <c r="H1146" s="24" t="s">
        <v>60</v>
      </c>
      <c r="I1146" s="28" t="n">
        <f aca="false">IF(A1146="","",D1146*E1146)</f>
        <v>4500</v>
      </c>
      <c r="J1146" s="28" t="n">
        <f aca="false">IF(A1146="","",D1146*F1146)</f>
        <v>3000</v>
      </c>
      <c r="K1146" s="26" t="n">
        <f aca="false">IF(A1146="","",YEAR(A1146))</f>
        <v>2026</v>
      </c>
      <c r="L1146" s="26" t="n">
        <f aca="false">IF(A1146="","",MONTH(A1146))</f>
        <v>9</v>
      </c>
    </row>
    <row r="1147" customFormat="false" ht="15" hidden="false" customHeight="false" outlineLevel="0" collapsed="false">
      <c r="A1147" s="23" t="n">
        <v>46274.3625</v>
      </c>
      <c r="B1147" s="24" t="s">
        <v>1073</v>
      </c>
      <c r="C1147" s="24" t="s">
        <v>1074</v>
      </c>
      <c r="D1147" s="24" t="n">
        <v>1</v>
      </c>
      <c r="E1147" s="25" t="n">
        <v>7000</v>
      </c>
      <c r="F1147" s="25" t="n">
        <v>4800</v>
      </c>
      <c r="G1147" s="24" t="s">
        <v>59</v>
      </c>
      <c r="H1147" s="24" t="s">
        <v>80</v>
      </c>
      <c r="I1147" s="28" t="n">
        <f aca="false">IF(A1147="","",D1147*E1147)</f>
        <v>7000</v>
      </c>
      <c r="J1147" s="28" t="n">
        <f aca="false">IF(A1147="","",D1147*F1147)</f>
        <v>4800</v>
      </c>
      <c r="K1147" s="26" t="n">
        <f aca="false">IF(A1147="","",YEAR(A1147))</f>
        <v>2026</v>
      </c>
      <c r="L1147" s="26" t="n">
        <f aca="false">IF(A1147="","",MONTH(A1147))</f>
        <v>9</v>
      </c>
    </row>
    <row r="1148" customFormat="false" ht="15" hidden="false" customHeight="false" outlineLevel="0" collapsed="false">
      <c r="A1148" s="23" t="n">
        <v>46274.4493055556</v>
      </c>
      <c r="B1148" s="24" t="s">
        <v>1079</v>
      </c>
      <c r="C1148" s="24" t="s">
        <v>1080</v>
      </c>
      <c r="D1148" s="24" t="n">
        <v>1</v>
      </c>
      <c r="E1148" s="25" t="n">
        <v>2500</v>
      </c>
      <c r="F1148" s="25" t="n">
        <v>1600</v>
      </c>
      <c r="G1148" s="24" t="s">
        <v>59</v>
      </c>
      <c r="H1148" s="24" t="s">
        <v>80</v>
      </c>
      <c r="I1148" s="28" t="n">
        <f aca="false">IF(A1148="","",D1148*E1148)</f>
        <v>2500</v>
      </c>
      <c r="J1148" s="28" t="n">
        <f aca="false">IF(A1148="","",D1148*F1148)</f>
        <v>1600</v>
      </c>
      <c r="K1148" s="26" t="n">
        <f aca="false">IF(A1148="","",YEAR(A1148))</f>
        <v>2026</v>
      </c>
      <c r="L1148" s="26" t="n">
        <f aca="false">IF(A1148="","",MONTH(A1148))</f>
        <v>9</v>
      </c>
    </row>
    <row r="1149" customFormat="false" ht="15" hidden="false" customHeight="false" outlineLevel="0" collapsed="false">
      <c r="A1149" s="23" t="n">
        <v>46274.6423611111</v>
      </c>
      <c r="B1149" s="24" t="s">
        <v>1079</v>
      </c>
      <c r="C1149" s="24" t="s">
        <v>1080</v>
      </c>
      <c r="D1149" s="24" t="n">
        <v>3</v>
      </c>
      <c r="E1149" s="25" t="n">
        <v>2500</v>
      </c>
      <c r="F1149" s="25" t="n">
        <v>1600</v>
      </c>
      <c r="G1149" s="24" t="s">
        <v>59</v>
      </c>
      <c r="H1149" s="24" t="s">
        <v>80</v>
      </c>
      <c r="I1149" s="28" t="n">
        <f aca="false">IF(A1149="","",D1149*E1149)</f>
        <v>7500</v>
      </c>
      <c r="J1149" s="28" t="n">
        <f aca="false">IF(A1149="","",D1149*F1149)</f>
        <v>4800</v>
      </c>
      <c r="K1149" s="26" t="n">
        <f aca="false">IF(A1149="","",YEAR(A1149))</f>
        <v>2026</v>
      </c>
      <c r="L1149" s="26" t="n">
        <f aca="false">IF(A1149="","",MONTH(A1149))</f>
        <v>9</v>
      </c>
    </row>
    <row r="1150" customFormat="false" ht="15" hidden="false" customHeight="false" outlineLevel="0" collapsed="false">
      <c r="A1150" s="23" t="n">
        <v>46274.7423611111</v>
      </c>
      <c r="B1150" s="24" t="s">
        <v>1067</v>
      </c>
      <c r="C1150" s="24" t="s">
        <v>1068</v>
      </c>
      <c r="D1150" s="24" t="n">
        <v>2</v>
      </c>
      <c r="E1150" s="25" t="n">
        <v>4000</v>
      </c>
      <c r="F1150" s="25" t="n">
        <v>2600</v>
      </c>
      <c r="G1150" s="24" t="s">
        <v>59</v>
      </c>
      <c r="H1150" s="24" t="s">
        <v>60</v>
      </c>
      <c r="I1150" s="28" t="n">
        <f aca="false">IF(A1150="","",D1150*E1150)</f>
        <v>8000</v>
      </c>
      <c r="J1150" s="28" t="n">
        <f aca="false">IF(A1150="","",D1150*F1150)</f>
        <v>5200</v>
      </c>
      <c r="K1150" s="26" t="n">
        <f aca="false">IF(A1150="","",YEAR(A1150))</f>
        <v>2026</v>
      </c>
      <c r="L1150" s="26" t="n">
        <f aca="false">IF(A1150="","",MONTH(A1150))</f>
        <v>9</v>
      </c>
    </row>
    <row r="1151" customFormat="false" ht="15" hidden="false" customHeight="false" outlineLevel="0" collapsed="false">
      <c r="A1151" s="23" t="n">
        <v>46275.4784722222</v>
      </c>
      <c r="B1151" s="24" t="s">
        <v>1079</v>
      </c>
      <c r="C1151" s="24" t="s">
        <v>1080</v>
      </c>
      <c r="D1151" s="24" t="n">
        <v>1</v>
      </c>
      <c r="E1151" s="25" t="n">
        <v>2500</v>
      </c>
      <c r="F1151" s="25" t="n">
        <v>1600</v>
      </c>
      <c r="G1151" s="24" t="s">
        <v>59</v>
      </c>
      <c r="H1151" s="24" t="s">
        <v>60</v>
      </c>
      <c r="I1151" s="28" t="n">
        <f aca="false">IF(A1151="","",D1151*E1151)</f>
        <v>2500</v>
      </c>
      <c r="J1151" s="28" t="n">
        <f aca="false">IF(A1151="","",D1151*F1151)</f>
        <v>1600</v>
      </c>
      <c r="K1151" s="26" t="n">
        <f aca="false">IF(A1151="","",YEAR(A1151))</f>
        <v>2026</v>
      </c>
      <c r="L1151" s="26" t="n">
        <f aca="false">IF(A1151="","",MONTH(A1151))</f>
        <v>9</v>
      </c>
    </row>
    <row r="1152" customFormat="false" ht="15" hidden="false" customHeight="false" outlineLevel="0" collapsed="false">
      <c r="A1152" s="23" t="n">
        <v>46275.9013888889</v>
      </c>
      <c r="B1152" s="24" t="s">
        <v>1079</v>
      </c>
      <c r="C1152" s="24" t="s">
        <v>1080</v>
      </c>
      <c r="D1152" s="24" t="n">
        <v>1</v>
      </c>
      <c r="E1152" s="25" t="n">
        <v>2500</v>
      </c>
      <c r="F1152" s="25" t="n">
        <v>1600</v>
      </c>
      <c r="G1152" s="24" t="s">
        <v>59</v>
      </c>
      <c r="H1152" s="24" t="s">
        <v>60</v>
      </c>
      <c r="I1152" s="28" t="n">
        <f aca="false">IF(A1152="","",D1152*E1152)</f>
        <v>2500</v>
      </c>
      <c r="J1152" s="28" t="n">
        <f aca="false">IF(A1152="","",D1152*F1152)</f>
        <v>1600</v>
      </c>
      <c r="K1152" s="26" t="n">
        <f aca="false">IF(A1152="","",YEAR(A1152))</f>
        <v>2026</v>
      </c>
      <c r="L1152" s="26" t="n">
        <f aca="false">IF(A1152="","",MONTH(A1152))</f>
        <v>9</v>
      </c>
    </row>
    <row r="1153" customFormat="false" ht="15" hidden="false" customHeight="false" outlineLevel="0" collapsed="false">
      <c r="A1153" s="23" t="n">
        <v>46276.4611111111</v>
      </c>
      <c r="B1153" s="24" t="s">
        <v>1067</v>
      </c>
      <c r="C1153" s="24" t="s">
        <v>1068</v>
      </c>
      <c r="D1153" s="24" t="n">
        <v>1</v>
      </c>
      <c r="E1153" s="25" t="n">
        <v>4000</v>
      </c>
      <c r="F1153" s="25" t="n">
        <v>2600</v>
      </c>
      <c r="G1153" s="24" t="s">
        <v>59</v>
      </c>
      <c r="H1153" s="24" t="s">
        <v>80</v>
      </c>
      <c r="I1153" s="28" t="n">
        <f aca="false">IF(A1153="","",D1153*E1153)</f>
        <v>4000</v>
      </c>
      <c r="J1153" s="28" t="n">
        <f aca="false">IF(A1153="","",D1153*F1153)</f>
        <v>2600</v>
      </c>
      <c r="K1153" s="26" t="n">
        <f aca="false">IF(A1153="","",YEAR(A1153))</f>
        <v>2026</v>
      </c>
      <c r="L1153" s="26" t="n">
        <f aca="false">IF(A1153="","",MONTH(A1153))</f>
        <v>9</v>
      </c>
    </row>
    <row r="1154" customFormat="false" ht="15" hidden="false" customHeight="false" outlineLevel="0" collapsed="false">
      <c r="A1154" s="23" t="n">
        <v>46277.4659722222</v>
      </c>
      <c r="B1154" s="24" t="s">
        <v>1069</v>
      </c>
      <c r="C1154" s="24" t="s">
        <v>1070</v>
      </c>
      <c r="D1154" s="24" t="n">
        <v>1</v>
      </c>
      <c r="E1154" s="25" t="n">
        <v>4500</v>
      </c>
      <c r="F1154" s="25" t="n">
        <v>3000</v>
      </c>
      <c r="G1154" s="24" t="s">
        <v>59</v>
      </c>
      <c r="H1154" s="24" t="s">
        <v>55</v>
      </c>
      <c r="I1154" s="28" t="n">
        <f aca="false">IF(A1154="","",D1154*E1154)</f>
        <v>4500</v>
      </c>
      <c r="J1154" s="28" t="n">
        <f aca="false">IF(A1154="","",D1154*F1154)</f>
        <v>3000</v>
      </c>
      <c r="K1154" s="26" t="n">
        <f aca="false">IF(A1154="","",YEAR(A1154))</f>
        <v>2026</v>
      </c>
      <c r="L1154" s="26" t="n">
        <f aca="false">IF(A1154="","",MONTH(A1154))</f>
        <v>9</v>
      </c>
    </row>
    <row r="1155" customFormat="false" ht="15" hidden="false" customHeight="false" outlineLevel="0" collapsed="false">
      <c r="A1155" s="23" t="n">
        <v>46277.5284722222</v>
      </c>
      <c r="B1155" s="24" t="s">
        <v>1065</v>
      </c>
      <c r="C1155" s="24" t="s">
        <v>1066</v>
      </c>
      <c r="D1155" s="24" t="n">
        <v>1</v>
      </c>
      <c r="E1155" s="25" t="n">
        <v>3000</v>
      </c>
      <c r="F1155" s="25" t="n">
        <v>2000</v>
      </c>
      <c r="G1155" s="24" t="s">
        <v>59</v>
      </c>
      <c r="H1155" s="24" t="s">
        <v>80</v>
      </c>
      <c r="I1155" s="28" t="n">
        <f aca="false">IF(A1155="","",D1155*E1155)</f>
        <v>3000</v>
      </c>
      <c r="J1155" s="28" t="n">
        <f aca="false">IF(A1155="","",D1155*F1155)</f>
        <v>2000</v>
      </c>
      <c r="K1155" s="26" t="n">
        <f aca="false">IF(A1155="","",YEAR(A1155))</f>
        <v>2026</v>
      </c>
      <c r="L1155" s="26" t="n">
        <f aca="false">IF(A1155="","",MONTH(A1155))</f>
        <v>9</v>
      </c>
    </row>
    <row r="1156" customFormat="false" ht="15" hidden="false" customHeight="false" outlineLevel="0" collapsed="false">
      <c r="A1156" s="23" t="n">
        <v>46278.6930555556</v>
      </c>
      <c r="B1156" s="24" t="s">
        <v>1073</v>
      </c>
      <c r="C1156" s="24" t="s">
        <v>1074</v>
      </c>
      <c r="D1156" s="24" t="n">
        <v>1</v>
      </c>
      <c r="E1156" s="25" t="n">
        <v>7000</v>
      </c>
      <c r="F1156" s="25" t="n">
        <v>4800</v>
      </c>
      <c r="G1156" s="24" t="s">
        <v>59</v>
      </c>
      <c r="H1156" s="24" t="s">
        <v>80</v>
      </c>
      <c r="I1156" s="28" t="n">
        <f aca="false">IF(A1156="","",D1156*E1156)</f>
        <v>7000</v>
      </c>
      <c r="J1156" s="28" t="n">
        <f aca="false">IF(A1156="","",D1156*F1156)</f>
        <v>4800</v>
      </c>
      <c r="K1156" s="26" t="n">
        <f aca="false">IF(A1156="","",YEAR(A1156))</f>
        <v>2026</v>
      </c>
      <c r="L1156" s="26" t="n">
        <f aca="false">IF(A1156="","",MONTH(A1156))</f>
        <v>9</v>
      </c>
    </row>
    <row r="1157" customFormat="false" ht="15" hidden="false" customHeight="false" outlineLevel="0" collapsed="false">
      <c r="A1157" s="23" t="n">
        <v>46278.8743055556</v>
      </c>
      <c r="B1157" s="24" t="s">
        <v>1071</v>
      </c>
      <c r="C1157" s="24" t="s">
        <v>1072</v>
      </c>
      <c r="D1157" s="24" t="n">
        <v>1</v>
      </c>
      <c r="E1157" s="25" t="n">
        <v>2000</v>
      </c>
      <c r="F1157" s="25" t="n">
        <v>1100</v>
      </c>
      <c r="G1157" s="24" t="s">
        <v>69</v>
      </c>
      <c r="H1157" s="24" t="s">
        <v>60</v>
      </c>
      <c r="I1157" s="28" t="n">
        <f aca="false">IF(A1157="","",D1157*E1157)</f>
        <v>2000</v>
      </c>
      <c r="J1157" s="28" t="n">
        <f aca="false">IF(A1157="","",D1157*F1157)</f>
        <v>1100</v>
      </c>
      <c r="K1157" s="26" t="n">
        <f aca="false">IF(A1157="","",YEAR(A1157))</f>
        <v>2026</v>
      </c>
      <c r="L1157" s="26" t="n">
        <f aca="false">IF(A1157="","",MONTH(A1157))</f>
        <v>9</v>
      </c>
    </row>
    <row r="1158" customFormat="false" ht="15" hidden="false" customHeight="false" outlineLevel="0" collapsed="false">
      <c r="A1158" s="23" t="n">
        <v>46279.4784722222</v>
      </c>
      <c r="B1158" s="24" t="s">
        <v>1077</v>
      </c>
      <c r="C1158" s="24" t="s">
        <v>1078</v>
      </c>
      <c r="D1158" s="24" t="n">
        <v>3</v>
      </c>
      <c r="E1158" s="25" t="n">
        <v>1500</v>
      </c>
      <c r="F1158" s="25" t="n">
        <v>900</v>
      </c>
      <c r="G1158" s="24" t="s">
        <v>69</v>
      </c>
      <c r="H1158" s="24" t="s">
        <v>60</v>
      </c>
      <c r="I1158" s="28" t="n">
        <f aca="false">IF(A1158="","",D1158*E1158)</f>
        <v>4500</v>
      </c>
      <c r="J1158" s="28" t="n">
        <f aca="false">IF(A1158="","",D1158*F1158)</f>
        <v>2700</v>
      </c>
      <c r="K1158" s="26" t="n">
        <f aca="false">IF(A1158="","",YEAR(A1158))</f>
        <v>2026</v>
      </c>
      <c r="L1158" s="26" t="n">
        <f aca="false">IF(A1158="","",MONTH(A1158))</f>
        <v>9</v>
      </c>
    </row>
    <row r="1159" customFormat="false" ht="15" hidden="false" customHeight="false" outlineLevel="0" collapsed="false">
      <c r="A1159" s="23" t="n">
        <v>46279.4895833333</v>
      </c>
      <c r="B1159" s="24" t="s">
        <v>1073</v>
      </c>
      <c r="C1159" s="24" t="s">
        <v>1074</v>
      </c>
      <c r="D1159" s="24" t="n">
        <v>2</v>
      </c>
      <c r="E1159" s="25" t="n">
        <v>7000</v>
      </c>
      <c r="F1159" s="25" t="n">
        <v>4800</v>
      </c>
      <c r="G1159" s="24" t="s">
        <v>59</v>
      </c>
      <c r="H1159" s="24" t="s">
        <v>55</v>
      </c>
      <c r="I1159" s="28" t="n">
        <f aca="false">IF(A1159="","",D1159*E1159)</f>
        <v>14000</v>
      </c>
      <c r="J1159" s="28" t="n">
        <f aca="false">IF(A1159="","",D1159*F1159)</f>
        <v>9600</v>
      </c>
      <c r="K1159" s="26" t="n">
        <f aca="false">IF(A1159="","",YEAR(A1159))</f>
        <v>2026</v>
      </c>
      <c r="L1159" s="26" t="n">
        <f aca="false">IF(A1159="","",MONTH(A1159))</f>
        <v>9</v>
      </c>
    </row>
    <row r="1160" customFormat="false" ht="15" hidden="false" customHeight="false" outlineLevel="0" collapsed="false">
      <c r="A1160" s="23" t="n">
        <v>46279.6715277778</v>
      </c>
      <c r="B1160" s="24" t="s">
        <v>1071</v>
      </c>
      <c r="C1160" s="24" t="s">
        <v>1072</v>
      </c>
      <c r="D1160" s="24" t="n">
        <v>1</v>
      </c>
      <c r="E1160" s="25" t="n">
        <v>2000</v>
      </c>
      <c r="F1160" s="25" t="n">
        <v>1100</v>
      </c>
      <c r="G1160" s="24" t="s">
        <v>59</v>
      </c>
      <c r="H1160" s="24" t="s">
        <v>60</v>
      </c>
      <c r="I1160" s="28" t="n">
        <f aca="false">IF(A1160="","",D1160*E1160)</f>
        <v>2000</v>
      </c>
      <c r="J1160" s="28" t="n">
        <f aca="false">IF(A1160="","",D1160*F1160)</f>
        <v>1100</v>
      </c>
      <c r="K1160" s="26" t="n">
        <f aca="false">IF(A1160="","",YEAR(A1160))</f>
        <v>2026</v>
      </c>
      <c r="L1160" s="26" t="n">
        <f aca="false">IF(A1160="","",MONTH(A1160))</f>
        <v>9</v>
      </c>
    </row>
    <row r="1161" customFormat="false" ht="15" hidden="false" customHeight="false" outlineLevel="0" collapsed="false">
      <c r="A1161" s="23" t="n">
        <v>46279.7298611111</v>
      </c>
      <c r="B1161" s="24" t="s">
        <v>1081</v>
      </c>
      <c r="C1161" s="24" t="s">
        <v>1082</v>
      </c>
      <c r="D1161" s="24" t="n">
        <v>3</v>
      </c>
      <c r="E1161" s="25" t="n">
        <v>2500</v>
      </c>
      <c r="F1161" s="25" t="n">
        <v>1500</v>
      </c>
      <c r="G1161" s="24" t="s">
        <v>59</v>
      </c>
      <c r="H1161" s="24" t="s">
        <v>55</v>
      </c>
      <c r="I1161" s="28" t="n">
        <f aca="false">IF(A1161="","",D1161*E1161)</f>
        <v>7500</v>
      </c>
      <c r="J1161" s="28" t="n">
        <f aca="false">IF(A1161="","",D1161*F1161)</f>
        <v>4500</v>
      </c>
      <c r="K1161" s="26" t="n">
        <f aca="false">IF(A1161="","",YEAR(A1161))</f>
        <v>2026</v>
      </c>
      <c r="L1161" s="26" t="n">
        <f aca="false">IF(A1161="","",MONTH(A1161))</f>
        <v>9</v>
      </c>
    </row>
    <row r="1162" customFormat="false" ht="15" hidden="false" customHeight="false" outlineLevel="0" collapsed="false">
      <c r="A1162" s="23" t="n">
        <v>46279.7451388889</v>
      </c>
      <c r="B1162" s="24" t="s">
        <v>1069</v>
      </c>
      <c r="C1162" s="24" t="s">
        <v>1070</v>
      </c>
      <c r="D1162" s="24" t="n">
        <v>1</v>
      </c>
      <c r="E1162" s="25" t="n">
        <v>4500</v>
      </c>
      <c r="F1162" s="25" t="n">
        <v>3000</v>
      </c>
      <c r="G1162" s="24" t="s">
        <v>69</v>
      </c>
      <c r="H1162" s="24" t="s">
        <v>80</v>
      </c>
      <c r="I1162" s="28" t="n">
        <f aca="false">IF(A1162="","",D1162*E1162)</f>
        <v>4500</v>
      </c>
      <c r="J1162" s="28" t="n">
        <f aca="false">IF(A1162="","",D1162*F1162)</f>
        <v>3000</v>
      </c>
      <c r="K1162" s="26" t="n">
        <f aca="false">IF(A1162="","",YEAR(A1162))</f>
        <v>2026</v>
      </c>
      <c r="L1162" s="26" t="n">
        <f aca="false">IF(A1162="","",MONTH(A1162))</f>
        <v>9</v>
      </c>
    </row>
    <row r="1163" customFormat="false" ht="15" hidden="false" customHeight="false" outlineLevel="0" collapsed="false">
      <c r="A1163" s="23" t="n">
        <v>46280.5347222222</v>
      </c>
      <c r="B1163" s="24" t="s">
        <v>1067</v>
      </c>
      <c r="C1163" s="24" t="s">
        <v>1068</v>
      </c>
      <c r="D1163" s="24" t="n">
        <v>1</v>
      </c>
      <c r="E1163" s="25" t="n">
        <v>4000</v>
      </c>
      <c r="F1163" s="25" t="n">
        <v>2600</v>
      </c>
      <c r="G1163" s="24" t="s">
        <v>59</v>
      </c>
      <c r="H1163" s="24" t="s">
        <v>80</v>
      </c>
      <c r="I1163" s="28" t="n">
        <f aca="false">IF(A1163="","",D1163*E1163)</f>
        <v>4000</v>
      </c>
      <c r="J1163" s="28" t="n">
        <f aca="false">IF(A1163="","",D1163*F1163)</f>
        <v>2600</v>
      </c>
      <c r="K1163" s="26" t="n">
        <f aca="false">IF(A1163="","",YEAR(A1163))</f>
        <v>2026</v>
      </c>
      <c r="L1163" s="26" t="n">
        <f aca="false">IF(A1163="","",MONTH(A1163))</f>
        <v>9</v>
      </c>
    </row>
    <row r="1164" customFormat="false" ht="15" hidden="false" customHeight="false" outlineLevel="0" collapsed="false">
      <c r="A1164" s="23" t="n">
        <v>46280.5444444444</v>
      </c>
      <c r="B1164" s="24" t="s">
        <v>1081</v>
      </c>
      <c r="C1164" s="24" t="s">
        <v>1082</v>
      </c>
      <c r="D1164" s="24" t="n">
        <v>2</v>
      </c>
      <c r="E1164" s="25" t="n">
        <v>2500</v>
      </c>
      <c r="F1164" s="25" t="n">
        <v>1500</v>
      </c>
      <c r="G1164" s="24" t="s">
        <v>59</v>
      </c>
      <c r="H1164" s="24" t="s">
        <v>80</v>
      </c>
      <c r="I1164" s="28" t="n">
        <f aca="false">IF(A1164="","",D1164*E1164)</f>
        <v>5000</v>
      </c>
      <c r="J1164" s="28" t="n">
        <f aca="false">IF(A1164="","",D1164*F1164)</f>
        <v>3000</v>
      </c>
      <c r="K1164" s="26" t="n">
        <f aca="false">IF(A1164="","",YEAR(A1164))</f>
        <v>2026</v>
      </c>
      <c r="L1164" s="26" t="n">
        <f aca="false">IF(A1164="","",MONTH(A1164))</f>
        <v>9</v>
      </c>
    </row>
    <row r="1165" customFormat="false" ht="15" hidden="false" customHeight="false" outlineLevel="0" collapsed="false">
      <c r="A1165" s="23" t="n">
        <v>46282.3416666667</v>
      </c>
      <c r="B1165" s="24" t="s">
        <v>1069</v>
      </c>
      <c r="C1165" s="24" t="s">
        <v>1070</v>
      </c>
      <c r="D1165" s="24" t="n">
        <v>1</v>
      </c>
      <c r="E1165" s="25" t="n">
        <v>4500</v>
      </c>
      <c r="F1165" s="25" t="n">
        <v>3000</v>
      </c>
      <c r="G1165" s="24" t="s">
        <v>59</v>
      </c>
      <c r="H1165" s="24" t="s">
        <v>80</v>
      </c>
      <c r="I1165" s="28" t="n">
        <f aca="false">IF(A1165="","",D1165*E1165)</f>
        <v>4500</v>
      </c>
      <c r="J1165" s="28" t="n">
        <f aca="false">IF(A1165="","",D1165*F1165)</f>
        <v>3000</v>
      </c>
      <c r="K1165" s="26" t="n">
        <f aca="false">IF(A1165="","",YEAR(A1165))</f>
        <v>2026</v>
      </c>
      <c r="L1165" s="26" t="n">
        <f aca="false">IF(A1165="","",MONTH(A1165))</f>
        <v>9</v>
      </c>
    </row>
    <row r="1166" customFormat="false" ht="15" hidden="false" customHeight="false" outlineLevel="0" collapsed="false">
      <c r="A1166" s="23" t="n">
        <v>46282.6791666667</v>
      </c>
      <c r="B1166" s="24" t="s">
        <v>1071</v>
      </c>
      <c r="C1166" s="24" t="s">
        <v>1072</v>
      </c>
      <c r="D1166" s="24" t="n">
        <v>1</v>
      </c>
      <c r="E1166" s="25" t="n">
        <v>2000</v>
      </c>
      <c r="F1166" s="25" t="n">
        <v>1100</v>
      </c>
      <c r="G1166" s="24" t="s">
        <v>59</v>
      </c>
      <c r="H1166" s="24" t="s">
        <v>60</v>
      </c>
      <c r="I1166" s="28" t="n">
        <f aca="false">IF(A1166="","",D1166*E1166)</f>
        <v>2000</v>
      </c>
      <c r="J1166" s="28" t="n">
        <f aca="false">IF(A1166="","",D1166*F1166)</f>
        <v>1100</v>
      </c>
      <c r="K1166" s="26" t="n">
        <f aca="false">IF(A1166="","",YEAR(A1166))</f>
        <v>2026</v>
      </c>
      <c r="L1166" s="26" t="n">
        <f aca="false">IF(A1166="","",MONTH(A1166))</f>
        <v>9</v>
      </c>
    </row>
    <row r="1167" customFormat="false" ht="15" hidden="false" customHeight="false" outlineLevel="0" collapsed="false">
      <c r="A1167" s="23" t="n">
        <v>46282.8798611111</v>
      </c>
      <c r="B1167" s="24" t="s">
        <v>1075</v>
      </c>
      <c r="C1167" s="24" t="s">
        <v>1076</v>
      </c>
      <c r="D1167" s="24" t="n">
        <v>1</v>
      </c>
      <c r="E1167" s="25" t="n">
        <v>1000</v>
      </c>
      <c r="F1167" s="25" t="n">
        <v>300</v>
      </c>
      <c r="G1167" s="24" t="s">
        <v>59</v>
      </c>
      <c r="H1167" s="24" t="s">
        <v>80</v>
      </c>
      <c r="I1167" s="28" t="n">
        <f aca="false">IF(A1167="","",D1167*E1167)</f>
        <v>1000</v>
      </c>
      <c r="J1167" s="28" t="n">
        <f aca="false">IF(A1167="","",D1167*F1167)</f>
        <v>300</v>
      </c>
      <c r="K1167" s="26" t="n">
        <f aca="false">IF(A1167="","",YEAR(A1167))</f>
        <v>2026</v>
      </c>
      <c r="L1167" s="26" t="n">
        <f aca="false">IF(A1167="","",MONTH(A1167))</f>
        <v>9</v>
      </c>
    </row>
    <row r="1168" customFormat="false" ht="15" hidden="false" customHeight="false" outlineLevel="0" collapsed="false">
      <c r="A1168" s="23" t="n">
        <v>46283.6625</v>
      </c>
      <c r="B1168" s="24" t="s">
        <v>1065</v>
      </c>
      <c r="C1168" s="24" t="s">
        <v>1066</v>
      </c>
      <c r="D1168" s="24" t="n">
        <v>3</v>
      </c>
      <c r="E1168" s="25" t="n">
        <v>3000</v>
      </c>
      <c r="F1168" s="25" t="n">
        <v>2000</v>
      </c>
      <c r="G1168" s="24" t="s">
        <v>59</v>
      </c>
      <c r="H1168" s="24" t="s">
        <v>60</v>
      </c>
      <c r="I1168" s="28" t="n">
        <f aca="false">IF(A1168="","",D1168*E1168)</f>
        <v>9000</v>
      </c>
      <c r="J1168" s="28" t="n">
        <f aca="false">IF(A1168="","",D1168*F1168)</f>
        <v>6000</v>
      </c>
      <c r="K1168" s="26" t="n">
        <f aca="false">IF(A1168="","",YEAR(A1168))</f>
        <v>2026</v>
      </c>
      <c r="L1168" s="26" t="n">
        <f aca="false">IF(A1168="","",MONTH(A1168))</f>
        <v>9</v>
      </c>
    </row>
    <row r="1169" customFormat="false" ht="15" hidden="false" customHeight="false" outlineLevel="0" collapsed="false">
      <c r="A1169" s="23" t="n">
        <v>46283.7548611111</v>
      </c>
      <c r="B1169" s="24" t="s">
        <v>1077</v>
      </c>
      <c r="C1169" s="24" t="s">
        <v>1078</v>
      </c>
      <c r="D1169" s="24" t="n">
        <v>1</v>
      </c>
      <c r="E1169" s="25" t="n">
        <v>1500</v>
      </c>
      <c r="F1169" s="25" t="n">
        <v>900</v>
      </c>
      <c r="G1169" s="24" t="s">
        <v>69</v>
      </c>
      <c r="H1169" s="24" t="s">
        <v>80</v>
      </c>
      <c r="I1169" s="28" t="n">
        <f aca="false">IF(A1169="","",D1169*E1169)</f>
        <v>1500</v>
      </c>
      <c r="J1169" s="28" t="n">
        <f aca="false">IF(A1169="","",D1169*F1169)</f>
        <v>900</v>
      </c>
      <c r="K1169" s="26" t="n">
        <f aca="false">IF(A1169="","",YEAR(A1169))</f>
        <v>2026</v>
      </c>
      <c r="L1169" s="26" t="n">
        <f aca="false">IF(A1169="","",MONTH(A1169))</f>
        <v>9</v>
      </c>
    </row>
    <row r="1170" customFormat="false" ht="15" hidden="false" customHeight="false" outlineLevel="0" collapsed="false">
      <c r="A1170" s="23" t="n">
        <v>46283.8090277778</v>
      </c>
      <c r="B1170" s="24" t="s">
        <v>1071</v>
      </c>
      <c r="C1170" s="24" t="s">
        <v>1072</v>
      </c>
      <c r="D1170" s="24" t="n">
        <v>1</v>
      </c>
      <c r="E1170" s="25" t="n">
        <v>2000</v>
      </c>
      <c r="F1170" s="25" t="n">
        <v>1100</v>
      </c>
      <c r="G1170" s="24" t="s">
        <v>59</v>
      </c>
      <c r="H1170" s="24" t="s">
        <v>55</v>
      </c>
      <c r="I1170" s="28" t="n">
        <f aca="false">IF(A1170="","",D1170*E1170)</f>
        <v>2000</v>
      </c>
      <c r="J1170" s="28" t="n">
        <f aca="false">IF(A1170="","",D1170*F1170)</f>
        <v>1100</v>
      </c>
      <c r="K1170" s="26" t="n">
        <f aca="false">IF(A1170="","",YEAR(A1170))</f>
        <v>2026</v>
      </c>
      <c r="L1170" s="26" t="n">
        <f aca="false">IF(A1170="","",MONTH(A1170))</f>
        <v>9</v>
      </c>
    </row>
    <row r="1171" customFormat="false" ht="15" hidden="false" customHeight="false" outlineLevel="0" collapsed="false">
      <c r="A1171" s="23" t="n">
        <v>46284.4888888889</v>
      </c>
      <c r="B1171" s="24" t="s">
        <v>1065</v>
      </c>
      <c r="C1171" s="24" t="s">
        <v>1066</v>
      </c>
      <c r="D1171" s="24" t="n">
        <v>1</v>
      </c>
      <c r="E1171" s="25" t="n">
        <v>3000</v>
      </c>
      <c r="F1171" s="25" t="n">
        <v>2000</v>
      </c>
      <c r="G1171" s="24" t="s">
        <v>59</v>
      </c>
      <c r="H1171" s="24" t="s">
        <v>60</v>
      </c>
      <c r="I1171" s="28" t="n">
        <f aca="false">IF(A1171="","",D1171*E1171)</f>
        <v>3000</v>
      </c>
      <c r="J1171" s="28" t="n">
        <f aca="false">IF(A1171="","",D1171*F1171)</f>
        <v>2000</v>
      </c>
      <c r="K1171" s="26" t="n">
        <f aca="false">IF(A1171="","",YEAR(A1171))</f>
        <v>2026</v>
      </c>
      <c r="L1171" s="26" t="n">
        <f aca="false">IF(A1171="","",MONTH(A1171))</f>
        <v>9</v>
      </c>
    </row>
    <row r="1172" customFormat="false" ht="15" hidden="false" customHeight="false" outlineLevel="0" collapsed="false">
      <c r="A1172" s="23" t="n">
        <v>46284.6513888889</v>
      </c>
      <c r="B1172" s="24" t="s">
        <v>1079</v>
      </c>
      <c r="C1172" s="24" t="s">
        <v>1080</v>
      </c>
      <c r="D1172" s="24" t="n">
        <v>1</v>
      </c>
      <c r="E1172" s="25" t="n">
        <v>2500</v>
      </c>
      <c r="F1172" s="25" t="n">
        <v>1600</v>
      </c>
      <c r="G1172" s="24" t="s">
        <v>59</v>
      </c>
      <c r="H1172" s="24" t="s">
        <v>60</v>
      </c>
      <c r="I1172" s="28" t="n">
        <f aca="false">IF(A1172="","",D1172*E1172)</f>
        <v>2500</v>
      </c>
      <c r="J1172" s="28" t="n">
        <f aca="false">IF(A1172="","",D1172*F1172)</f>
        <v>1600</v>
      </c>
      <c r="K1172" s="26" t="n">
        <f aca="false">IF(A1172="","",YEAR(A1172))</f>
        <v>2026</v>
      </c>
      <c r="L1172" s="26" t="n">
        <f aca="false">IF(A1172="","",MONTH(A1172))</f>
        <v>9</v>
      </c>
    </row>
    <row r="1173" customFormat="false" ht="15" hidden="false" customHeight="false" outlineLevel="0" collapsed="false">
      <c r="A1173" s="23" t="n">
        <v>46285.9055555556</v>
      </c>
      <c r="B1173" s="24" t="s">
        <v>1081</v>
      </c>
      <c r="C1173" s="24" t="s">
        <v>1082</v>
      </c>
      <c r="D1173" s="24" t="n">
        <v>1</v>
      </c>
      <c r="E1173" s="25" t="n">
        <v>2500</v>
      </c>
      <c r="F1173" s="25" t="n">
        <v>1500</v>
      </c>
      <c r="G1173" s="24" t="s">
        <v>59</v>
      </c>
      <c r="H1173" s="24" t="s">
        <v>55</v>
      </c>
      <c r="I1173" s="28" t="n">
        <f aca="false">IF(A1173="","",D1173*E1173)</f>
        <v>2500</v>
      </c>
      <c r="J1173" s="28" t="n">
        <f aca="false">IF(A1173="","",D1173*F1173)</f>
        <v>1500</v>
      </c>
      <c r="K1173" s="26" t="n">
        <f aca="false">IF(A1173="","",YEAR(A1173))</f>
        <v>2026</v>
      </c>
      <c r="L1173" s="26" t="n">
        <f aca="false">IF(A1173="","",MONTH(A1173))</f>
        <v>9</v>
      </c>
    </row>
    <row r="1174" customFormat="false" ht="15" hidden="false" customHeight="false" outlineLevel="0" collapsed="false">
      <c r="A1174" s="23" t="n">
        <v>46286.5194444444</v>
      </c>
      <c r="B1174" s="24" t="s">
        <v>1075</v>
      </c>
      <c r="C1174" s="24" t="s">
        <v>1076</v>
      </c>
      <c r="D1174" s="24" t="n">
        <v>2</v>
      </c>
      <c r="E1174" s="25" t="n">
        <v>1000</v>
      </c>
      <c r="F1174" s="25" t="n">
        <v>300</v>
      </c>
      <c r="G1174" s="24" t="s">
        <v>59</v>
      </c>
      <c r="H1174" s="24" t="s">
        <v>80</v>
      </c>
      <c r="I1174" s="28" t="n">
        <f aca="false">IF(A1174="","",D1174*E1174)</f>
        <v>2000</v>
      </c>
      <c r="J1174" s="28" t="n">
        <f aca="false">IF(A1174="","",D1174*F1174)</f>
        <v>600</v>
      </c>
      <c r="K1174" s="26" t="n">
        <f aca="false">IF(A1174="","",YEAR(A1174))</f>
        <v>2026</v>
      </c>
      <c r="L1174" s="26" t="n">
        <f aca="false">IF(A1174="","",MONTH(A1174))</f>
        <v>9</v>
      </c>
    </row>
    <row r="1175" customFormat="false" ht="15" hidden="false" customHeight="false" outlineLevel="0" collapsed="false">
      <c r="A1175" s="23" t="n">
        <v>46286.7958333333</v>
      </c>
      <c r="B1175" s="24" t="s">
        <v>1079</v>
      </c>
      <c r="C1175" s="24" t="s">
        <v>1080</v>
      </c>
      <c r="D1175" s="24" t="n">
        <v>1</v>
      </c>
      <c r="E1175" s="25" t="n">
        <v>2500</v>
      </c>
      <c r="F1175" s="25" t="n">
        <v>1600</v>
      </c>
      <c r="G1175" s="24" t="s">
        <v>59</v>
      </c>
      <c r="H1175" s="24" t="s">
        <v>55</v>
      </c>
      <c r="I1175" s="28" t="n">
        <f aca="false">IF(A1175="","",D1175*E1175)</f>
        <v>2500</v>
      </c>
      <c r="J1175" s="28" t="n">
        <f aca="false">IF(A1175="","",D1175*F1175)</f>
        <v>1600</v>
      </c>
      <c r="K1175" s="26" t="n">
        <f aca="false">IF(A1175="","",YEAR(A1175))</f>
        <v>2026</v>
      </c>
      <c r="L1175" s="26" t="n">
        <f aca="false">IF(A1175="","",MONTH(A1175))</f>
        <v>9</v>
      </c>
    </row>
    <row r="1176" customFormat="false" ht="15" hidden="false" customHeight="false" outlineLevel="0" collapsed="false">
      <c r="A1176" s="23" t="n">
        <v>46287.4527777778</v>
      </c>
      <c r="B1176" s="24" t="s">
        <v>1065</v>
      </c>
      <c r="C1176" s="24" t="s">
        <v>1066</v>
      </c>
      <c r="D1176" s="24" t="n">
        <v>3</v>
      </c>
      <c r="E1176" s="25" t="n">
        <v>3000</v>
      </c>
      <c r="F1176" s="25" t="n">
        <v>2000</v>
      </c>
      <c r="G1176" s="24" t="s">
        <v>59</v>
      </c>
      <c r="H1176" s="24" t="s">
        <v>60</v>
      </c>
      <c r="I1176" s="28" t="n">
        <f aca="false">IF(A1176="","",D1176*E1176)</f>
        <v>9000</v>
      </c>
      <c r="J1176" s="28" t="n">
        <f aca="false">IF(A1176="","",D1176*F1176)</f>
        <v>6000</v>
      </c>
      <c r="K1176" s="26" t="n">
        <f aca="false">IF(A1176="","",YEAR(A1176))</f>
        <v>2026</v>
      </c>
      <c r="L1176" s="26" t="n">
        <f aca="false">IF(A1176="","",MONTH(A1176))</f>
        <v>9</v>
      </c>
    </row>
    <row r="1177" customFormat="false" ht="15" hidden="false" customHeight="false" outlineLevel="0" collapsed="false">
      <c r="A1177" s="23" t="n">
        <v>46288.33125</v>
      </c>
      <c r="B1177" s="24" t="s">
        <v>1075</v>
      </c>
      <c r="C1177" s="24" t="s">
        <v>1076</v>
      </c>
      <c r="D1177" s="24" t="n">
        <v>1</v>
      </c>
      <c r="E1177" s="25" t="n">
        <v>1000</v>
      </c>
      <c r="F1177" s="25" t="n">
        <v>300</v>
      </c>
      <c r="G1177" s="24" t="s">
        <v>59</v>
      </c>
      <c r="H1177" s="24" t="s">
        <v>55</v>
      </c>
      <c r="I1177" s="28" t="n">
        <f aca="false">IF(A1177="","",D1177*E1177)</f>
        <v>1000</v>
      </c>
      <c r="J1177" s="28" t="n">
        <f aca="false">IF(A1177="","",D1177*F1177)</f>
        <v>300</v>
      </c>
      <c r="K1177" s="26" t="n">
        <f aca="false">IF(A1177="","",YEAR(A1177))</f>
        <v>2026</v>
      </c>
      <c r="L1177" s="26" t="n">
        <f aca="false">IF(A1177="","",MONTH(A1177))</f>
        <v>9</v>
      </c>
    </row>
    <row r="1178" customFormat="false" ht="15" hidden="false" customHeight="false" outlineLevel="0" collapsed="false">
      <c r="A1178" s="23" t="n">
        <v>46288.4243055556</v>
      </c>
      <c r="B1178" s="24" t="s">
        <v>1065</v>
      </c>
      <c r="C1178" s="24" t="s">
        <v>1066</v>
      </c>
      <c r="D1178" s="24" t="n">
        <v>1</v>
      </c>
      <c r="E1178" s="25" t="n">
        <v>3000</v>
      </c>
      <c r="F1178" s="25" t="n">
        <v>2000</v>
      </c>
      <c r="G1178" s="24" t="s">
        <v>59</v>
      </c>
      <c r="H1178" s="24" t="s">
        <v>80</v>
      </c>
      <c r="I1178" s="28" t="n">
        <f aca="false">IF(A1178="","",D1178*E1178)</f>
        <v>3000</v>
      </c>
      <c r="J1178" s="28" t="n">
        <f aca="false">IF(A1178="","",D1178*F1178)</f>
        <v>2000</v>
      </c>
      <c r="K1178" s="26" t="n">
        <f aca="false">IF(A1178="","",YEAR(A1178))</f>
        <v>2026</v>
      </c>
      <c r="L1178" s="26" t="n">
        <f aca="false">IF(A1178="","",MONTH(A1178))</f>
        <v>9</v>
      </c>
    </row>
    <row r="1179" customFormat="false" ht="15" hidden="false" customHeight="false" outlineLevel="0" collapsed="false">
      <c r="A1179" s="23" t="n">
        <v>46288.6895833333</v>
      </c>
      <c r="B1179" s="24" t="s">
        <v>1069</v>
      </c>
      <c r="C1179" s="24" t="s">
        <v>1070</v>
      </c>
      <c r="D1179" s="24" t="n">
        <v>1</v>
      </c>
      <c r="E1179" s="25" t="n">
        <v>4500</v>
      </c>
      <c r="F1179" s="25" t="n">
        <v>3000</v>
      </c>
      <c r="G1179" s="24" t="s">
        <v>59</v>
      </c>
      <c r="H1179" s="24" t="s">
        <v>80</v>
      </c>
      <c r="I1179" s="28" t="n">
        <f aca="false">IF(A1179="","",D1179*E1179)</f>
        <v>4500</v>
      </c>
      <c r="J1179" s="28" t="n">
        <f aca="false">IF(A1179="","",D1179*F1179)</f>
        <v>3000</v>
      </c>
      <c r="K1179" s="26" t="n">
        <f aca="false">IF(A1179="","",YEAR(A1179))</f>
        <v>2026</v>
      </c>
      <c r="L1179" s="26" t="n">
        <f aca="false">IF(A1179="","",MONTH(A1179))</f>
        <v>9</v>
      </c>
    </row>
    <row r="1180" customFormat="false" ht="15" hidden="false" customHeight="false" outlineLevel="0" collapsed="false">
      <c r="A1180" s="23" t="n">
        <v>46288.7243055556</v>
      </c>
      <c r="B1180" s="24" t="s">
        <v>1069</v>
      </c>
      <c r="C1180" s="24" t="s">
        <v>1070</v>
      </c>
      <c r="D1180" s="24" t="n">
        <v>3</v>
      </c>
      <c r="E1180" s="25" t="n">
        <v>4500</v>
      </c>
      <c r="F1180" s="25" t="n">
        <v>3000</v>
      </c>
      <c r="G1180" s="24" t="s">
        <v>59</v>
      </c>
      <c r="H1180" s="24" t="s">
        <v>80</v>
      </c>
      <c r="I1180" s="28" t="n">
        <f aca="false">IF(A1180="","",D1180*E1180)</f>
        <v>13500</v>
      </c>
      <c r="J1180" s="28" t="n">
        <f aca="false">IF(A1180="","",D1180*F1180)</f>
        <v>9000</v>
      </c>
      <c r="K1180" s="26" t="n">
        <f aca="false">IF(A1180="","",YEAR(A1180))</f>
        <v>2026</v>
      </c>
      <c r="L1180" s="26" t="n">
        <f aca="false">IF(A1180="","",MONTH(A1180))</f>
        <v>9</v>
      </c>
    </row>
    <row r="1181" customFormat="false" ht="15" hidden="false" customHeight="false" outlineLevel="0" collapsed="false">
      <c r="A1181" s="23" t="n">
        <v>46288.7791666667</v>
      </c>
      <c r="B1181" s="24" t="s">
        <v>1065</v>
      </c>
      <c r="C1181" s="24" t="s">
        <v>1066</v>
      </c>
      <c r="D1181" s="24" t="n">
        <v>1</v>
      </c>
      <c r="E1181" s="25" t="n">
        <v>3000</v>
      </c>
      <c r="F1181" s="25" t="n">
        <v>2000</v>
      </c>
      <c r="G1181" s="24" t="s">
        <v>69</v>
      </c>
      <c r="H1181" s="24" t="s">
        <v>55</v>
      </c>
      <c r="I1181" s="28" t="n">
        <f aca="false">IF(A1181="","",D1181*E1181)</f>
        <v>3000</v>
      </c>
      <c r="J1181" s="28" t="n">
        <f aca="false">IF(A1181="","",D1181*F1181)</f>
        <v>2000</v>
      </c>
      <c r="K1181" s="26" t="n">
        <f aca="false">IF(A1181="","",YEAR(A1181))</f>
        <v>2026</v>
      </c>
      <c r="L1181" s="26" t="n">
        <f aca="false">IF(A1181="","",MONTH(A1181))</f>
        <v>9</v>
      </c>
    </row>
    <row r="1182" customFormat="false" ht="15" hidden="false" customHeight="false" outlineLevel="0" collapsed="false">
      <c r="A1182" s="23" t="n">
        <v>46288.8305555556</v>
      </c>
      <c r="B1182" s="24" t="s">
        <v>1079</v>
      </c>
      <c r="C1182" s="24" t="s">
        <v>1080</v>
      </c>
      <c r="D1182" s="24" t="n">
        <v>2</v>
      </c>
      <c r="E1182" s="25" t="n">
        <v>2500</v>
      </c>
      <c r="F1182" s="25" t="n">
        <v>1600</v>
      </c>
      <c r="G1182" s="24" t="s">
        <v>59</v>
      </c>
      <c r="H1182" s="24" t="s">
        <v>60</v>
      </c>
      <c r="I1182" s="28" t="n">
        <f aca="false">IF(A1182="","",D1182*E1182)</f>
        <v>5000</v>
      </c>
      <c r="J1182" s="28" t="n">
        <f aca="false">IF(A1182="","",D1182*F1182)</f>
        <v>3200</v>
      </c>
      <c r="K1182" s="26" t="n">
        <f aca="false">IF(A1182="","",YEAR(A1182))</f>
        <v>2026</v>
      </c>
      <c r="L1182" s="26" t="n">
        <f aca="false">IF(A1182="","",MONTH(A1182))</f>
        <v>9</v>
      </c>
    </row>
    <row r="1183" customFormat="false" ht="15" hidden="false" customHeight="false" outlineLevel="0" collapsed="false">
      <c r="A1183" s="23" t="n">
        <v>46288.8458333333</v>
      </c>
      <c r="B1183" s="24" t="s">
        <v>1073</v>
      </c>
      <c r="C1183" s="24" t="s">
        <v>1074</v>
      </c>
      <c r="D1183" s="24" t="n">
        <v>1</v>
      </c>
      <c r="E1183" s="25" t="n">
        <v>7000</v>
      </c>
      <c r="F1183" s="25" t="n">
        <v>4800</v>
      </c>
      <c r="G1183" s="24" t="s">
        <v>69</v>
      </c>
      <c r="H1183" s="24" t="s">
        <v>55</v>
      </c>
      <c r="I1183" s="28" t="n">
        <f aca="false">IF(A1183="","",D1183*E1183)</f>
        <v>7000</v>
      </c>
      <c r="J1183" s="28" t="n">
        <f aca="false">IF(A1183="","",D1183*F1183)</f>
        <v>4800</v>
      </c>
      <c r="K1183" s="26" t="n">
        <f aca="false">IF(A1183="","",YEAR(A1183))</f>
        <v>2026</v>
      </c>
      <c r="L1183" s="26" t="n">
        <f aca="false">IF(A1183="","",MONTH(A1183))</f>
        <v>9</v>
      </c>
    </row>
    <row r="1184" customFormat="false" ht="15" hidden="false" customHeight="false" outlineLevel="0" collapsed="false">
      <c r="A1184" s="23" t="n">
        <v>46290.3388888889</v>
      </c>
      <c r="B1184" s="24" t="s">
        <v>1079</v>
      </c>
      <c r="C1184" s="24" t="s">
        <v>1080</v>
      </c>
      <c r="D1184" s="24" t="n">
        <v>1</v>
      </c>
      <c r="E1184" s="25" t="n">
        <v>2500</v>
      </c>
      <c r="F1184" s="25" t="n">
        <v>1600</v>
      </c>
      <c r="G1184" s="24" t="s">
        <v>59</v>
      </c>
      <c r="H1184" s="24" t="s">
        <v>55</v>
      </c>
      <c r="I1184" s="28" t="n">
        <f aca="false">IF(A1184="","",D1184*E1184)</f>
        <v>2500</v>
      </c>
      <c r="J1184" s="28" t="n">
        <f aca="false">IF(A1184="","",D1184*F1184)</f>
        <v>1600</v>
      </c>
      <c r="K1184" s="26" t="n">
        <f aca="false">IF(A1184="","",YEAR(A1184))</f>
        <v>2026</v>
      </c>
      <c r="L1184" s="26" t="n">
        <f aca="false">IF(A1184="","",MONTH(A1184))</f>
        <v>9</v>
      </c>
    </row>
    <row r="1185" customFormat="false" ht="15" hidden="false" customHeight="false" outlineLevel="0" collapsed="false">
      <c r="A1185" s="23" t="n">
        <v>46290.5583333333</v>
      </c>
      <c r="B1185" s="24" t="s">
        <v>1075</v>
      </c>
      <c r="C1185" s="24" t="s">
        <v>1076</v>
      </c>
      <c r="D1185" s="24" t="n">
        <v>1</v>
      </c>
      <c r="E1185" s="25" t="n">
        <v>1000</v>
      </c>
      <c r="F1185" s="25" t="n">
        <v>300</v>
      </c>
      <c r="G1185" s="24" t="s">
        <v>59</v>
      </c>
      <c r="H1185" s="24" t="s">
        <v>55</v>
      </c>
      <c r="I1185" s="28" t="n">
        <f aca="false">IF(A1185="","",D1185*E1185)</f>
        <v>1000</v>
      </c>
      <c r="J1185" s="28" t="n">
        <f aca="false">IF(A1185="","",D1185*F1185)</f>
        <v>300</v>
      </c>
      <c r="K1185" s="26" t="n">
        <f aca="false">IF(A1185="","",YEAR(A1185))</f>
        <v>2026</v>
      </c>
      <c r="L1185" s="26" t="n">
        <f aca="false">IF(A1185="","",MONTH(A1185))</f>
        <v>9</v>
      </c>
    </row>
    <row r="1186" customFormat="false" ht="15" hidden="false" customHeight="false" outlineLevel="0" collapsed="false">
      <c r="A1186" s="23" t="n">
        <v>46290.6291666667</v>
      </c>
      <c r="B1186" s="24" t="s">
        <v>1069</v>
      </c>
      <c r="C1186" s="24" t="s">
        <v>1070</v>
      </c>
      <c r="D1186" s="24" t="n">
        <v>3</v>
      </c>
      <c r="E1186" s="25" t="n">
        <v>4500</v>
      </c>
      <c r="F1186" s="25" t="n">
        <v>3000</v>
      </c>
      <c r="G1186" s="24" t="s">
        <v>59</v>
      </c>
      <c r="H1186" s="24" t="s">
        <v>60</v>
      </c>
      <c r="I1186" s="28" t="n">
        <f aca="false">IF(A1186="","",D1186*E1186)</f>
        <v>13500</v>
      </c>
      <c r="J1186" s="28" t="n">
        <f aca="false">IF(A1186="","",D1186*F1186)</f>
        <v>9000</v>
      </c>
      <c r="K1186" s="26" t="n">
        <f aca="false">IF(A1186="","",YEAR(A1186))</f>
        <v>2026</v>
      </c>
      <c r="L1186" s="26" t="n">
        <f aca="false">IF(A1186="","",MONTH(A1186))</f>
        <v>9</v>
      </c>
    </row>
    <row r="1187" customFormat="false" ht="15" hidden="false" customHeight="false" outlineLevel="0" collapsed="false">
      <c r="A1187" s="23" t="n">
        <v>46291.3694444444</v>
      </c>
      <c r="B1187" s="24" t="s">
        <v>1081</v>
      </c>
      <c r="C1187" s="24" t="s">
        <v>1082</v>
      </c>
      <c r="D1187" s="24" t="n">
        <v>3</v>
      </c>
      <c r="E1187" s="25" t="n">
        <v>2500</v>
      </c>
      <c r="F1187" s="25" t="n">
        <v>1500</v>
      </c>
      <c r="G1187" s="24" t="s">
        <v>59</v>
      </c>
      <c r="H1187" s="24" t="s">
        <v>55</v>
      </c>
      <c r="I1187" s="28" t="n">
        <f aca="false">IF(A1187="","",D1187*E1187)</f>
        <v>7500</v>
      </c>
      <c r="J1187" s="28" t="n">
        <f aca="false">IF(A1187="","",D1187*F1187)</f>
        <v>4500</v>
      </c>
      <c r="K1187" s="26" t="n">
        <f aca="false">IF(A1187="","",YEAR(A1187))</f>
        <v>2026</v>
      </c>
      <c r="L1187" s="26" t="n">
        <f aca="false">IF(A1187="","",MONTH(A1187))</f>
        <v>9</v>
      </c>
    </row>
    <row r="1188" customFormat="false" ht="15" hidden="false" customHeight="false" outlineLevel="0" collapsed="false">
      <c r="A1188" s="23" t="n">
        <v>46291.5340277778</v>
      </c>
      <c r="B1188" s="24" t="s">
        <v>1077</v>
      </c>
      <c r="C1188" s="24" t="s">
        <v>1078</v>
      </c>
      <c r="D1188" s="24" t="n">
        <v>1</v>
      </c>
      <c r="E1188" s="25" t="n">
        <v>1500</v>
      </c>
      <c r="F1188" s="25" t="n">
        <v>900</v>
      </c>
      <c r="G1188" s="24" t="s">
        <v>59</v>
      </c>
      <c r="H1188" s="24" t="s">
        <v>55</v>
      </c>
      <c r="I1188" s="28" t="n">
        <f aca="false">IF(A1188="","",D1188*E1188)</f>
        <v>1500</v>
      </c>
      <c r="J1188" s="28" t="n">
        <f aca="false">IF(A1188="","",D1188*F1188)</f>
        <v>900</v>
      </c>
      <c r="K1188" s="26" t="n">
        <f aca="false">IF(A1188="","",YEAR(A1188))</f>
        <v>2026</v>
      </c>
      <c r="L1188" s="26" t="n">
        <f aca="false">IF(A1188="","",MONTH(A1188))</f>
        <v>9</v>
      </c>
    </row>
    <row r="1189" customFormat="false" ht="15" hidden="false" customHeight="false" outlineLevel="0" collapsed="false">
      <c r="A1189" s="23" t="n">
        <v>46291.8368055556</v>
      </c>
      <c r="B1189" s="24" t="s">
        <v>1073</v>
      </c>
      <c r="C1189" s="24" t="s">
        <v>1074</v>
      </c>
      <c r="D1189" s="24" t="n">
        <v>2</v>
      </c>
      <c r="E1189" s="25" t="n">
        <v>7000</v>
      </c>
      <c r="F1189" s="25" t="n">
        <v>4800</v>
      </c>
      <c r="G1189" s="24" t="s">
        <v>59</v>
      </c>
      <c r="H1189" s="24" t="s">
        <v>80</v>
      </c>
      <c r="I1189" s="28" t="n">
        <f aca="false">IF(A1189="","",D1189*E1189)</f>
        <v>14000</v>
      </c>
      <c r="J1189" s="28" t="n">
        <f aca="false">IF(A1189="","",D1189*F1189)</f>
        <v>9600</v>
      </c>
      <c r="K1189" s="26" t="n">
        <f aca="false">IF(A1189="","",YEAR(A1189))</f>
        <v>2026</v>
      </c>
      <c r="L1189" s="26" t="n">
        <f aca="false">IF(A1189="","",MONTH(A1189))</f>
        <v>9</v>
      </c>
    </row>
    <row r="1190" customFormat="false" ht="15" hidden="false" customHeight="false" outlineLevel="0" collapsed="false">
      <c r="A1190" s="23" t="n">
        <v>46292.5243055556</v>
      </c>
      <c r="B1190" s="24" t="s">
        <v>1077</v>
      </c>
      <c r="C1190" s="24" t="s">
        <v>1078</v>
      </c>
      <c r="D1190" s="24" t="n">
        <v>2</v>
      </c>
      <c r="E1190" s="25" t="n">
        <v>1500</v>
      </c>
      <c r="F1190" s="25" t="n">
        <v>900</v>
      </c>
      <c r="G1190" s="24" t="s">
        <v>59</v>
      </c>
      <c r="H1190" s="24" t="s">
        <v>80</v>
      </c>
      <c r="I1190" s="28" t="n">
        <f aca="false">IF(A1190="","",D1190*E1190)</f>
        <v>3000</v>
      </c>
      <c r="J1190" s="28" t="n">
        <f aca="false">IF(A1190="","",D1190*F1190)</f>
        <v>1800</v>
      </c>
      <c r="K1190" s="26" t="n">
        <f aca="false">IF(A1190="","",YEAR(A1190))</f>
        <v>2026</v>
      </c>
      <c r="L1190" s="26" t="n">
        <f aca="false">IF(A1190="","",MONTH(A1190))</f>
        <v>9</v>
      </c>
    </row>
    <row r="1191" customFormat="false" ht="15" hidden="false" customHeight="false" outlineLevel="0" collapsed="false">
      <c r="A1191" s="23" t="n">
        <v>46293.3861111111</v>
      </c>
      <c r="B1191" s="24" t="s">
        <v>1067</v>
      </c>
      <c r="C1191" s="24" t="s">
        <v>1068</v>
      </c>
      <c r="D1191" s="24" t="n">
        <v>1</v>
      </c>
      <c r="E1191" s="25" t="n">
        <v>4000</v>
      </c>
      <c r="F1191" s="25" t="n">
        <v>2600</v>
      </c>
      <c r="G1191" s="24" t="s">
        <v>69</v>
      </c>
      <c r="H1191" s="24" t="s">
        <v>55</v>
      </c>
      <c r="I1191" s="28" t="n">
        <f aca="false">IF(A1191="","",D1191*E1191)</f>
        <v>4000</v>
      </c>
      <c r="J1191" s="28" t="n">
        <f aca="false">IF(A1191="","",D1191*F1191)</f>
        <v>2600</v>
      </c>
      <c r="K1191" s="26" t="n">
        <f aca="false">IF(A1191="","",YEAR(A1191))</f>
        <v>2026</v>
      </c>
      <c r="L1191" s="26" t="n">
        <f aca="false">IF(A1191="","",MONTH(A1191))</f>
        <v>9</v>
      </c>
    </row>
    <row r="1192" customFormat="false" ht="15" hidden="false" customHeight="false" outlineLevel="0" collapsed="false">
      <c r="A1192" s="23" t="n">
        <v>46293.7243055556</v>
      </c>
      <c r="B1192" s="24" t="s">
        <v>1077</v>
      </c>
      <c r="C1192" s="24" t="s">
        <v>1078</v>
      </c>
      <c r="D1192" s="24" t="n">
        <v>1</v>
      </c>
      <c r="E1192" s="25" t="n">
        <v>1500</v>
      </c>
      <c r="F1192" s="25" t="n">
        <v>900</v>
      </c>
      <c r="G1192" s="24" t="s">
        <v>69</v>
      </c>
      <c r="H1192" s="24" t="s">
        <v>55</v>
      </c>
      <c r="I1192" s="28" t="n">
        <f aca="false">IF(A1192="","",D1192*E1192)</f>
        <v>1500</v>
      </c>
      <c r="J1192" s="28" t="n">
        <f aca="false">IF(A1192="","",D1192*F1192)</f>
        <v>900</v>
      </c>
      <c r="K1192" s="26" t="n">
        <f aca="false">IF(A1192="","",YEAR(A1192))</f>
        <v>2026</v>
      </c>
      <c r="L1192" s="26" t="n">
        <f aca="false">IF(A1192="","",MONTH(A1192))</f>
        <v>9</v>
      </c>
    </row>
    <row r="1193" customFormat="false" ht="15" hidden="false" customHeight="false" outlineLevel="0" collapsed="false">
      <c r="A1193" s="23" t="n">
        <v>46296.3243055556</v>
      </c>
      <c r="B1193" s="24" t="s">
        <v>1079</v>
      </c>
      <c r="C1193" s="24" t="s">
        <v>1080</v>
      </c>
      <c r="D1193" s="24" t="n">
        <v>3</v>
      </c>
      <c r="E1193" s="25" t="n">
        <v>2500</v>
      </c>
      <c r="F1193" s="25" t="n">
        <v>1600</v>
      </c>
      <c r="G1193" s="24" t="s">
        <v>59</v>
      </c>
      <c r="H1193" s="24" t="s">
        <v>55</v>
      </c>
      <c r="I1193" s="28" t="n">
        <f aca="false">IF(A1193="","",D1193*E1193)</f>
        <v>7500</v>
      </c>
      <c r="J1193" s="28" t="n">
        <f aca="false">IF(A1193="","",D1193*F1193)</f>
        <v>4800</v>
      </c>
      <c r="K1193" s="26" t="n">
        <f aca="false">IF(A1193="","",YEAR(A1193))</f>
        <v>2026</v>
      </c>
      <c r="L1193" s="26" t="n">
        <f aca="false">IF(A1193="","",MONTH(A1193))</f>
        <v>10</v>
      </c>
    </row>
    <row r="1194" customFormat="false" ht="15" hidden="false" customHeight="false" outlineLevel="0" collapsed="false">
      <c r="A1194" s="23" t="n">
        <v>46297.8118055556</v>
      </c>
      <c r="B1194" s="24" t="s">
        <v>1069</v>
      </c>
      <c r="C1194" s="24" t="s">
        <v>1070</v>
      </c>
      <c r="D1194" s="24" t="n">
        <v>1</v>
      </c>
      <c r="E1194" s="25" t="n">
        <v>4500</v>
      </c>
      <c r="F1194" s="25" t="n">
        <v>3000</v>
      </c>
      <c r="G1194" s="24" t="s">
        <v>59</v>
      </c>
      <c r="H1194" s="24" t="s">
        <v>80</v>
      </c>
      <c r="I1194" s="28" t="n">
        <f aca="false">IF(A1194="","",D1194*E1194)</f>
        <v>4500</v>
      </c>
      <c r="J1194" s="28" t="n">
        <f aca="false">IF(A1194="","",D1194*F1194)</f>
        <v>3000</v>
      </c>
      <c r="K1194" s="26" t="n">
        <f aca="false">IF(A1194="","",YEAR(A1194))</f>
        <v>2026</v>
      </c>
      <c r="L1194" s="26" t="n">
        <f aca="false">IF(A1194="","",MONTH(A1194))</f>
        <v>10</v>
      </c>
    </row>
    <row r="1195" customFormat="false" ht="15" hidden="false" customHeight="false" outlineLevel="0" collapsed="false">
      <c r="A1195" s="23" t="n">
        <v>46298.6951388889</v>
      </c>
      <c r="B1195" s="24" t="s">
        <v>1065</v>
      </c>
      <c r="C1195" s="24" t="s">
        <v>1066</v>
      </c>
      <c r="D1195" s="24" t="n">
        <v>1</v>
      </c>
      <c r="E1195" s="25" t="n">
        <v>3000</v>
      </c>
      <c r="F1195" s="25" t="n">
        <v>2000</v>
      </c>
      <c r="G1195" s="24" t="s">
        <v>59</v>
      </c>
      <c r="H1195" s="24" t="s">
        <v>80</v>
      </c>
      <c r="I1195" s="28" t="n">
        <f aca="false">IF(A1195="","",D1195*E1195)</f>
        <v>3000</v>
      </c>
      <c r="J1195" s="28" t="n">
        <f aca="false">IF(A1195="","",D1195*F1195)</f>
        <v>2000</v>
      </c>
      <c r="K1195" s="26" t="n">
        <f aca="false">IF(A1195="","",YEAR(A1195))</f>
        <v>2026</v>
      </c>
      <c r="L1195" s="26" t="n">
        <f aca="false">IF(A1195="","",MONTH(A1195))</f>
        <v>10</v>
      </c>
    </row>
    <row r="1196" customFormat="false" ht="15" hidden="false" customHeight="false" outlineLevel="0" collapsed="false">
      <c r="A1196" s="23" t="n">
        <v>46299.4104166667</v>
      </c>
      <c r="B1196" s="24" t="s">
        <v>1067</v>
      </c>
      <c r="C1196" s="24" t="s">
        <v>1068</v>
      </c>
      <c r="D1196" s="24" t="n">
        <v>3</v>
      </c>
      <c r="E1196" s="25" t="n">
        <v>4000</v>
      </c>
      <c r="F1196" s="25" t="n">
        <v>2600</v>
      </c>
      <c r="G1196" s="24" t="s">
        <v>59</v>
      </c>
      <c r="H1196" s="24" t="s">
        <v>60</v>
      </c>
      <c r="I1196" s="28" t="n">
        <f aca="false">IF(A1196="","",D1196*E1196)</f>
        <v>12000</v>
      </c>
      <c r="J1196" s="28" t="n">
        <f aca="false">IF(A1196="","",D1196*F1196)</f>
        <v>7800</v>
      </c>
      <c r="K1196" s="26" t="n">
        <f aca="false">IF(A1196="","",YEAR(A1196))</f>
        <v>2026</v>
      </c>
      <c r="L1196" s="26" t="n">
        <f aca="false">IF(A1196="","",MONTH(A1196))</f>
        <v>10</v>
      </c>
    </row>
    <row r="1197" customFormat="false" ht="15" hidden="false" customHeight="false" outlineLevel="0" collapsed="false">
      <c r="A1197" s="23" t="n">
        <v>46299.8138888889</v>
      </c>
      <c r="B1197" s="24" t="s">
        <v>1073</v>
      </c>
      <c r="C1197" s="24" t="s">
        <v>1074</v>
      </c>
      <c r="D1197" s="24" t="n">
        <v>2</v>
      </c>
      <c r="E1197" s="25" t="n">
        <v>7000</v>
      </c>
      <c r="F1197" s="25" t="n">
        <v>4800</v>
      </c>
      <c r="G1197" s="24" t="s">
        <v>59</v>
      </c>
      <c r="H1197" s="24" t="s">
        <v>55</v>
      </c>
      <c r="I1197" s="28" t="n">
        <f aca="false">IF(A1197="","",D1197*E1197)</f>
        <v>14000</v>
      </c>
      <c r="J1197" s="28" t="n">
        <f aca="false">IF(A1197="","",D1197*F1197)</f>
        <v>9600</v>
      </c>
      <c r="K1197" s="26" t="n">
        <f aca="false">IF(A1197="","",YEAR(A1197))</f>
        <v>2026</v>
      </c>
      <c r="L1197" s="26" t="n">
        <f aca="false">IF(A1197="","",MONTH(A1197))</f>
        <v>10</v>
      </c>
    </row>
    <row r="1198" customFormat="false" ht="15" hidden="false" customHeight="false" outlineLevel="0" collapsed="false">
      <c r="A1198" s="23" t="n">
        <v>46301.4618055556</v>
      </c>
      <c r="B1198" s="24" t="s">
        <v>1069</v>
      </c>
      <c r="C1198" s="24" t="s">
        <v>1070</v>
      </c>
      <c r="D1198" s="24" t="n">
        <v>3</v>
      </c>
      <c r="E1198" s="25" t="n">
        <v>4500</v>
      </c>
      <c r="F1198" s="25" t="n">
        <v>3000</v>
      </c>
      <c r="G1198" s="24" t="s">
        <v>59</v>
      </c>
      <c r="H1198" s="24" t="s">
        <v>80</v>
      </c>
      <c r="I1198" s="28" t="n">
        <f aca="false">IF(A1198="","",D1198*E1198)</f>
        <v>13500</v>
      </c>
      <c r="J1198" s="28" t="n">
        <f aca="false">IF(A1198="","",D1198*F1198)</f>
        <v>9000</v>
      </c>
      <c r="K1198" s="26" t="n">
        <f aca="false">IF(A1198="","",YEAR(A1198))</f>
        <v>2026</v>
      </c>
      <c r="L1198" s="26" t="n">
        <f aca="false">IF(A1198="","",MONTH(A1198))</f>
        <v>10</v>
      </c>
    </row>
    <row r="1199" customFormat="false" ht="15" hidden="false" customHeight="false" outlineLevel="0" collapsed="false">
      <c r="A1199" s="23" t="n">
        <v>46301.4659722222</v>
      </c>
      <c r="B1199" s="24" t="s">
        <v>1067</v>
      </c>
      <c r="C1199" s="24" t="s">
        <v>1068</v>
      </c>
      <c r="D1199" s="24" t="n">
        <v>1</v>
      </c>
      <c r="E1199" s="25" t="n">
        <v>4000</v>
      </c>
      <c r="F1199" s="25" t="n">
        <v>2600</v>
      </c>
      <c r="G1199" s="24" t="s">
        <v>69</v>
      </c>
      <c r="H1199" s="24" t="s">
        <v>55</v>
      </c>
      <c r="I1199" s="28" t="n">
        <f aca="false">IF(A1199="","",D1199*E1199)</f>
        <v>4000</v>
      </c>
      <c r="J1199" s="28" t="n">
        <f aca="false">IF(A1199="","",D1199*F1199)</f>
        <v>2600</v>
      </c>
      <c r="K1199" s="26" t="n">
        <f aca="false">IF(A1199="","",YEAR(A1199))</f>
        <v>2026</v>
      </c>
      <c r="L1199" s="26" t="n">
        <f aca="false">IF(A1199="","",MONTH(A1199))</f>
        <v>10</v>
      </c>
    </row>
    <row r="1200" customFormat="false" ht="15" hidden="false" customHeight="false" outlineLevel="0" collapsed="false">
      <c r="A1200" s="23" t="n">
        <v>46302.5388888889</v>
      </c>
      <c r="B1200" s="24" t="s">
        <v>1077</v>
      </c>
      <c r="C1200" s="24" t="s">
        <v>1078</v>
      </c>
      <c r="D1200" s="24" t="n">
        <v>2</v>
      </c>
      <c r="E1200" s="25" t="n">
        <v>1500</v>
      </c>
      <c r="F1200" s="25" t="n">
        <v>900</v>
      </c>
      <c r="G1200" s="24" t="s">
        <v>69</v>
      </c>
      <c r="H1200" s="24" t="s">
        <v>55</v>
      </c>
      <c r="I1200" s="28" t="n">
        <f aca="false">IF(A1200="","",D1200*E1200)</f>
        <v>3000</v>
      </c>
      <c r="J1200" s="28" t="n">
        <f aca="false">IF(A1200="","",D1200*F1200)</f>
        <v>1800</v>
      </c>
      <c r="K1200" s="26" t="n">
        <f aca="false">IF(A1200="","",YEAR(A1200))</f>
        <v>2026</v>
      </c>
      <c r="L1200" s="26" t="n">
        <f aca="false">IF(A1200="","",MONTH(A1200))</f>
        <v>10</v>
      </c>
    </row>
    <row r="1201" customFormat="false" ht="15" hidden="false" customHeight="false" outlineLevel="0" collapsed="false">
      <c r="A1201" s="23" t="n">
        <v>46302.7444444444</v>
      </c>
      <c r="B1201" s="24" t="s">
        <v>1069</v>
      </c>
      <c r="C1201" s="24" t="s">
        <v>1070</v>
      </c>
      <c r="D1201" s="24" t="n">
        <v>1</v>
      </c>
      <c r="E1201" s="25" t="n">
        <v>4500</v>
      </c>
      <c r="F1201" s="25" t="n">
        <v>3000</v>
      </c>
      <c r="G1201" s="24" t="s">
        <v>69</v>
      </c>
      <c r="H1201" s="24" t="s">
        <v>80</v>
      </c>
      <c r="I1201" s="28" t="n">
        <f aca="false">IF(A1201="","",D1201*E1201)</f>
        <v>4500</v>
      </c>
      <c r="J1201" s="28" t="n">
        <f aca="false">IF(A1201="","",D1201*F1201)</f>
        <v>3000</v>
      </c>
      <c r="K1201" s="26" t="n">
        <f aca="false">IF(A1201="","",YEAR(A1201))</f>
        <v>2026</v>
      </c>
      <c r="L1201" s="26" t="n">
        <f aca="false">IF(A1201="","",MONTH(A1201))</f>
        <v>10</v>
      </c>
    </row>
    <row r="1202" customFormat="false" ht="15" hidden="false" customHeight="false" outlineLevel="0" collapsed="false">
      <c r="A1202" s="23" t="n">
        <v>46303.7375</v>
      </c>
      <c r="B1202" s="24" t="s">
        <v>1075</v>
      </c>
      <c r="C1202" s="24" t="s">
        <v>1076</v>
      </c>
      <c r="D1202" s="24" t="n">
        <v>1</v>
      </c>
      <c r="E1202" s="25" t="n">
        <v>1000</v>
      </c>
      <c r="F1202" s="25" t="n">
        <v>300</v>
      </c>
      <c r="G1202" s="24" t="s">
        <v>59</v>
      </c>
      <c r="H1202" s="24" t="s">
        <v>60</v>
      </c>
      <c r="I1202" s="28" t="n">
        <f aca="false">IF(A1202="","",D1202*E1202)</f>
        <v>1000</v>
      </c>
      <c r="J1202" s="28" t="n">
        <f aca="false">IF(A1202="","",D1202*F1202)</f>
        <v>300</v>
      </c>
      <c r="K1202" s="26" t="n">
        <f aca="false">IF(A1202="","",YEAR(A1202))</f>
        <v>2026</v>
      </c>
      <c r="L1202" s="26" t="n">
        <f aca="false">IF(A1202="","",MONTH(A1202))</f>
        <v>10</v>
      </c>
    </row>
    <row r="1203" customFormat="false" ht="15" hidden="false" customHeight="false" outlineLevel="0" collapsed="false">
      <c r="A1203" s="23" t="n">
        <v>46304.3923611111</v>
      </c>
      <c r="B1203" s="24" t="s">
        <v>1067</v>
      </c>
      <c r="C1203" s="24" t="s">
        <v>1068</v>
      </c>
      <c r="D1203" s="24" t="n">
        <v>2</v>
      </c>
      <c r="E1203" s="25" t="n">
        <v>4000</v>
      </c>
      <c r="F1203" s="25" t="n">
        <v>2600</v>
      </c>
      <c r="G1203" s="24" t="s">
        <v>69</v>
      </c>
      <c r="H1203" s="24" t="s">
        <v>60</v>
      </c>
      <c r="I1203" s="28" t="n">
        <f aca="false">IF(A1203="","",D1203*E1203)</f>
        <v>8000</v>
      </c>
      <c r="J1203" s="28" t="n">
        <f aca="false">IF(A1203="","",D1203*F1203)</f>
        <v>5200</v>
      </c>
      <c r="K1203" s="26" t="n">
        <f aca="false">IF(A1203="","",YEAR(A1203))</f>
        <v>2026</v>
      </c>
      <c r="L1203" s="26" t="n">
        <f aca="false">IF(A1203="","",MONTH(A1203))</f>
        <v>10</v>
      </c>
    </row>
    <row r="1204" customFormat="false" ht="15" hidden="false" customHeight="false" outlineLevel="0" collapsed="false">
      <c r="A1204" s="23" t="n">
        <v>46305.4215277778</v>
      </c>
      <c r="B1204" s="24" t="s">
        <v>1073</v>
      </c>
      <c r="C1204" s="24" t="s">
        <v>1074</v>
      </c>
      <c r="D1204" s="24" t="n">
        <v>1</v>
      </c>
      <c r="E1204" s="25" t="n">
        <v>7000</v>
      </c>
      <c r="F1204" s="25" t="n">
        <v>4800</v>
      </c>
      <c r="G1204" s="24" t="s">
        <v>59</v>
      </c>
      <c r="H1204" s="24" t="s">
        <v>80</v>
      </c>
      <c r="I1204" s="28" t="n">
        <f aca="false">IF(A1204="","",D1204*E1204)</f>
        <v>7000</v>
      </c>
      <c r="J1204" s="28" t="n">
        <f aca="false">IF(A1204="","",D1204*F1204)</f>
        <v>4800</v>
      </c>
      <c r="K1204" s="26" t="n">
        <f aca="false">IF(A1204="","",YEAR(A1204))</f>
        <v>2026</v>
      </c>
      <c r="L1204" s="26" t="n">
        <f aca="false">IF(A1204="","",MONTH(A1204))</f>
        <v>10</v>
      </c>
    </row>
    <row r="1205" customFormat="false" ht="15" hidden="false" customHeight="false" outlineLevel="0" collapsed="false">
      <c r="A1205" s="23" t="n">
        <v>46305.5083333333</v>
      </c>
      <c r="B1205" s="24" t="s">
        <v>1075</v>
      </c>
      <c r="C1205" s="24" t="s">
        <v>1076</v>
      </c>
      <c r="D1205" s="24" t="n">
        <v>2</v>
      </c>
      <c r="E1205" s="25" t="n">
        <v>1000</v>
      </c>
      <c r="F1205" s="25" t="n">
        <v>300</v>
      </c>
      <c r="G1205" s="24" t="s">
        <v>59</v>
      </c>
      <c r="H1205" s="24" t="s">
        <v>60</v>
      </c>
      <c r="I1205" s="28" t="n">
        <f aca="false">IF(A1205="","",D1205*E1205)</f>
        <v>2000</v>
      </c>
      <c r="J1205" s="28" t="n">
        <f aca="false">IF(A1205="","",D1205*F1205)</f>
        <v>600</v>
      </c>
      <c r="K1205" s="26" t="n">
        <f aca="false">IF(A1205="","",YEAR(A1205))</f>
        <v>2026</v>
      </c>
      <c r="L1205" s="26" t="n">
        <f aca="false">IF(A1205="","",MONTH(A1205))</f>
        <v>10</v>
      </c>
    </row>
    <row r="1206" customFormat="false" ht="15" hidden="false" customHeight="false" outlineLevel="0" collapsed="false">
      <c r="A1206" s="23" t="n">
        <v>46307.6784722222</v>
      </c>
      <c r="B1206" s="24" t="s">
        <v>1077</v>
      </c>
      <c r="C1206" s="24" t="s">
        <v>1078</v>
      </c>
      <c r="D1206" s="24" t="n">
        <v>1</v>
      </c>
      <c r="E1206" s="25" t="n">
        <v>1500</v>
      </c>
      <c r="F1206" s="25" t="n">
        <v>900</v>
      </c>
      <c r="G1206" s="24" t="s">
        <v>59</v>
      </c>
      <c r="H1206" s="24" t="s">
        <v>60</v>
      </c>
      <c r="I1206" s="28" t="n">
        <f aca="false">IF(A1206="","",D1206*E1206)</f>
        <v>1500</v>
      </c>
      <c r="J1206" s="28" t="n">
        <f aca="false">IF(A1206="","",D1206*F1206)</f>
        <v>900</v>
      </c>
      <c r="K1206" s="26" t="n">
        <f aca="false">IF(A1206="","",YEAR(A1206))</f>
        <v>2026</v>
      </c>
      <c r="L1206" s="26" t="n">
        <f aca="false">IF(A1206="","",MONTH(A1206))</f>
        <v>10</v>
      </c>
    </row>
    <row r="1207" customFormat="false" ht="15" hidden="false" customHeight="false" outlineLevel="0" collapsed="false">
      <c r="A1207" s="23" t="n">
        <v>46307.7416666667</v>
      </c>
      <c r="B1207" s="24" t="s">
        <v>1065</v>
      </c>
      <c r="C1207" s="24" t="s">
        <v>1066</v>
      </c>
      <c r="D1207" s="24" t="n">
        <v>1</v>
      </c>
      <c r="E1207" s="25" t="n">
        <v>3000</v>
      </c>
      <c r="F1207" s="25" t="n">
        <v>2000</v>
      </c>
      <c r="G1207" s="24" t="s">
        <v>69</v>
      </c>
      <c r="H1207" s="24" t="s">
        <v>55</v>
      </c>
      <c r="I1207" s="28" t="n">
        <f aca="false">IF(A1207="","",D1207*E1207)</f>
        <v>3000</v>
      </c>
      <c r="J1207" s="28" t="n">
        <f aca="false">IF(A1207="","",D1207*F1207)</f>
        <v>2000</v>
      </c>
      <c r="K1207" s="26" t="n">
        <f aca="false">IF(A1207="","",YEAR(A1207))</f>
        <v>2026</v>
      </c>
      <c r="L1207" s="26" t="n">
        <f aca="false">IF(A1207="","",MONTH(A1207))</f>
        <v>10</v>
      </c>
    </row>
    <row r="1208" customFormat="false" ht="15" hidden="false" customHeight="false" outlineLevel="0" collapsed="false">
      <c r="A1208" s="23" t="n">
        <v>46308.4152777778</v>
      </c>
      <c r="B1208" s="24" t="s">
        <v>1065</v>
      </c>
      <c r="C1208" s="24" t="s">
        <v>1066</v>
      </c>
      <c r="D1208" s="24" t="n">
        <v>1</v>
      </c>
      <c r="E1208" s="25" t="n">
        <v>3000</v>
      </c>
      <c r="F1208" s="25" t="n">
        <v>2000</v>
      </c>
      <c r="G1208" s="24" t="s">
        <v>59</v>
      </c>
      <c r="H1208" s="24" t="s">
        <v>80</v>
      </c>
      <c r="I1208" s="28" t="n">
        <f aca="false">IF(A1208="","",D1208*E1208)</f>
        <v>3000</v>
      </c>
      <c r="J1208" s="28" t="n">
        <f aca="false">IF(A1208="","",D1208*F1208)</f>
        <v>2000</v>
      </c>
      <c r="K1208" s="26" t="n">
        <f aca="false">IF(A1208="","",YEAR(A1208))</f>
        <v>2026</v>
      </c>
      <c r="L1208" s="26" t="n">
        <f aca="false">IF(A1208="","",MONTH(A1208))</f>
        <v>10</v>
      </c>
    </row>
    <row r="1209" customFormat="false" ht="15" hidden="false" customHeight="false" outlineLevel="0" collapsed="false">
      <c r="A1209" s="23" t="n">
        <v>46308.6458333333</v>
      </c>
      <c r="B1209" s="24" t="s">
        <v>1077</v>
      </c>
      <c r="C1209" s="24" t="s">
        <v>1078</v>
      </c>
      <c r="D1209" s="24" t="n">
        <v>1</v>
      </c>
      <c r="E1209" s="25" t="n">
        <v>1500</v>
      </c>
      <c r="F1209" s="25" t="n">
        <v>900</v>
      </c>
      <c r="G1209" s="24" t="s">
        <v>59</v>
      </c>
      <c r="H1209" s="24" t="s">
        <v>60</v>
      </c>
      <c r="I1209" s="28" t="n">
        <f aca="false">IF(A1209="","",D1209*E1209)</f>
        <v>1500</v>
      </c>
      <c r="J1209" s="28" t="n">
        <f aca="false">IF(A1209="","",D1209*F1209)</f>
        <v>900</v>
      </c>
      <c r="K1209" s="26" t="n">
        <f aca="false">IF(A1209="","",YEAR(A1209))</f>
        <v>2026</v>
      </c>
      <c r="L1209" s="26" t="n">
        <f aca="false">IF(A1209="","",MONTH(A1209))</f>
        <v>10</v>
      </c>
    </row>
    <row r="1210" customFormat="false" ht="15" hidden="false" customHeight="false" outlineLevel="0" collapsed="false">
      <c r="A1210" s="23" t="n">
        <v>46308.84375</v>
      </c>
      <c r="B1210" s="24" t="s">
        <v>1081</v>
      </c>
      <c r="C1210" s="24" t="s">
        <v>1082</v>
      </c>
      <c r="D1210" s="24" t="n">
        <v>1</v>
      </c>
      <c r="E1210" s="25" t="n">
        <v>2500</v>
      </c>
      <c r="F1210" s="25" t="n">
        <v>1500</v>
      </c>
      <c r="G1210" s="24" t="s">
        <v>59</v>
      </c>
      <c r="H1210" s="24" t="s">
        <v>60</v>
      </c>
      <c r="I1210" s="28" t="n">
        <f aca="false">IF(A1210="","",D1210*E1210)</f>
        <v>2500</v>
      </c>
      <c r="J1210" s="28" t="n">
        <f aca="false">IF(A1210="","",D1210*F1210)</f>
        <v>1500</v>
      </c>
      <c r="K1210" s="26" t="n">
        <f aca="false">IF(A1210="","",YEAR(A1210))</f>
        <v>2026</v>
      </c>
      <c r="L1210" s="26" t="n">
        <f aca="false">IF(A1210="","",MONTH(A1210))</f>
        <v>10</v>
      </c>
    </row>
    <row r="1211" customFormat="false" ht="15" hidden="false" customHeight="false" outlineLevel="0" collapsed="false">
      <c r="A1211" s="23" t="n">
        <v>46310.3416666667</v>
      </c>
      <c r="B1211" s="24" t="s">
        <v>1073</v>
      </c>
      <c r="C1211" s="24" t="s">
        <v>1074</v>
      </c>
      <c r="D1211" s="24" t="n">
        <v>1</v>
      </c>
      <c r="E1211" s="25" t="n">
        <v>7000</v>
      </c>
      <c r="F1211" s="25" t="n">
        <v>4800</v>
      </c>
      <c r="G1211" s="24" t="s">
        <v>59</v>
      </c>
      <c r="H1211" s="24" t="s">
        <v>60</v>
      </c>
      <c r="I1211" s="28" t="n">
        <f aca="false">IF(A1211="","",D1211*E1211)</f>
        <v>7000</v>
      </c>
      <c r="J1211" s="28" t="n">
        <f aca="false">IF(A1211="","",D1211*F1211)</f>
        <v>4800</v>
      </c>
      <c r="K1211" s="26" t="n">
        <f aca="false">IF(A1211="","",YEAR(A1211))</f>
        <v>2026</v>
      </c>
      <c r="L1211" s="26" t="n">
        <f aca="false">IF(A1211="","",MONTH(A1211))</f>
        <v>10</v>
      </c>
    </row>
    <row r="1212" customFormat="false" ht="15" hidden="false" customHeight="false" outlineLevel="0" collapsed="false">
      <c r="A1212" s="23" t="n">
        <v>46314.8618055556</v>
      </c>
      <c r="B1212" s="24" t="s">
        <v>1077</v>
      </c>
      <c r="C1212" s="24" t="s">
        <v>1078</v>
      </c>
      <c r="D1212" s="24" t="n">
        <v>3</v>
      </c>
      <c r="E1212" s="25" t="n">
        <v>1500</v>
      </c>
      <c r="F1212" s="25" t="n">
        <v>900</v>
      </c>
      <c r="G1212" s="24" t="s">
        <v>59</v>
      </c>
      <c r="H1212" s="24" t="s">
        <v>55</v>
      </c>
      <c r="I1212" s="28" t="n">
        <f aca="false">IF(A1212="","",D1212*E1212)</f>
        <v>4500</v>
      </c>
      <c r="J1212" s="28" t="n">
        <f aca="false">IF(A1212="","",D1212*F1212)</f>
        <v>2700</v>
      </c>
      <c r="K1212" s="26" t="n">
        <f aca="false">IF(A1212="","",YEAR(A1212))</f>
        <v>2026</v>
      </c>
      <c r="L1212" s="26" t="n">
        <f aca="false">IF(A1212="","",MONTH(A1212))</f>
        <v>10</v>
      </c>
    </row>
    <row r="1213" customFormat="false" ht="15" hidden="false" customHeight="false" outlineLevel="0" collapsed="false">
      <c r="A1213" s="23" t="n">
        <v>46315.4652777778</v>
      </c>
      <c r="B1213" s="24" t="s">
        <v>1077</v>
      </c>
      <c r="C1213" s="24" t="s">
        <v>1078</v>
      </c>
      <c r="D1213" s="24" t="n">
        <v>1</v>
      </c>
      <c r="E1213" s="25" t="n">
        <v>1500</v>
      </c>
      <c r="F1213" s="25" t="n">
        <v>900</v>
      </c>
      <c r="G1213" s="24" t="s">
        <v>59</v>
      </c>
      <c r="H1213" s="24" t="s">
        <v>80</v>
      </c>
      <c r="I1213" s="28" t="n">
        <f aca="false">IF(A1213="","",D1213*E1213)</f>
        <v>1500</v>
      </c>
      <c r="J1213" s="28" t="n">
        <f aca="false">IF(A1213="","",D1213*F1213)</f>
        <v>900</v>
      </c>
      <c r="K1213" s="26" t="n">
        <f aca="false">IF(A1213="","",YEAR(A1213))</f>
        <v>2026</v>
      </c>
      <c r="L1213" s="26" t="n">
        <f aca="false">IF(A1213="","",MONTH(A1213))</f>
        <v>10</v>
      </c>
    </row>
    <row r="1214" customFormat="false" ht="15" hidden="false" customHeight="false" outlineLevel="0" collapsed="false">
      <c r="A1214" s="23" t="n">
        <v>46315.6631944445</v>
      </c>
      <c r="B1214" s="24" t="s">
        <v>1079</v>
      </c>
      <c r="C1214" s="24" t="s">
        <v>1080</v>
      </c>
      <c r="D1214" s="24" t="n">
        <v>1</v>
      </c>
      <c r="E1214" s="25" t="n">
        <v>2500</v>
      </c>
      <c r="F1214" s="25" t="n">
        <v>1600</v>
      </c>
      <c r="G1214" s="24" t="s">
        <v>59</v>
      </c>
      <c r="H1214" s="24" t="s">
        <v>55</v>
      </c>
      <c r="I1214" s="28" t="n">
        <f aca="false">IF(A1214="","",D1214*E1214)</f>
        <v>2500</v>
      </c>
      <c r="J1214" s="28" t="n">
        <f aca="false">IF(A1214="","",D1214*F1214)</f>
        <v>1600</v>
      </c>
      <c r="K1214" s="26" t="n">
        <f aca="false">IF(A1214="","",YEAR(A1214))</f>
        <v>2026</v>
      </c>
      <c r="L1214" s="26" t="n">
        <f aca="false">IF(A1214="","",MONTH(A1214))</f>
        <v>10</v>
      </c>
    </row>
    <row r="1215" customFormat="false" ht="15" hidden="false" customHeight="false" outlineLevel="0" collapsed="false">
      <c r="A1215" s="23" t="n">
        <v>46316.5305555556</v>
      </c>
      <c r="B1215" s="24" t="s">
        <v>1081</v>
      </c>
      <c r="C1215" s="24" t="s">
        <v>1082</v>
      </c>
      <c r="D1215" s="24" t="n">
        <v>1</v>
      </c>
      <c r="E1215" s="25" t="n">
        <v>2500</v>
      </c>
      <c r="F1215" s="25" t="n">
        <v>1500</v>
      </c>
      <c r="G1215" s="24" t="s">
        <v>59</v>
      </c>
      <c r="H1215" s="24" t="s">
        <v>80</v>
      </c>
      <c r="I1215" s="28" t="n">
        <f aca="false">IF(A1215="","",D1215*E1215)</f>
        <v>2500</v>
      </c>
      <c r="J1215" s="28" t="n">
        <f aca="false">IF(A1215="","",D1215*F1215)</f>
        <v>1500</v>
      </c>
      <c r="K1215" s="26" t="n">
        <f aca="false">IF(A1215="","",YEAR(A1215))</f>
        <v>2026</v>
      </c>
      <c r="L1215" s="26" t="n">
        <f aca="false">IF(A1215="","",MONTH(A1215))</f>
        <v>10</v>
      </c>
    </row>
    <row r="1216" customFormat="false" ht="15" hidden="false" customHeight="false" outlineLevel="0" collapsed="false">
      <c r="A1216" s="23" t="n">
        <v>46317.4131944445</v>
      </c>
      <c r="B1216" s="24" t="s">
        <v>1081</v>
      </c>
      <c r="C1216" s="24" t="s">
        <v>1082</v>
      </c>
      <c r="D1216" s="24" t="n">
        <v>3</v>
      </c>
      <c r="E1216" s="25" t="n">
        <v>2500</v>
      </c>
      <c r="F1216" s="25" t="n">
        <v>1500</v>
      </c>
      <c r="G1216" s="24" t="s">
        <v>59</v>
      </c>
      <c r="H1216" s="24" t="s">
        <v>55</v>
      </c>
      <c r="I1216" s="28" t="n">
        <f aca="false">IF(A1216="","",D1216*E1216)</f>
        <v>7500</v>
      </c>
      <c r="J1216" s="28" t="n">
        <f aca="false">IF(A1216="","",D1216*F1216)</f>
        <v>4500</v>
      </c>
      <c r="K1216" s="26" t="n">
        <f aca="false">IF(A1216="","",YEAR(A1216))</f>
        <v>2026</v>
      </c>
      <c r="L1216" s="26" t="n">
        <f aca="false">IF(A1216="","",MONTH(A1216))</f>
        <v>10</v>
      </c>
    </row>
    <row r="1217" customFormat="false" ht="15" hidden="false" customHeight="false" outlineLevel="0" collapsed="false">
      <c r="A1217" s="23" t="n">
        <v>46317.9090277778</v>
      </c>
      <c r="B1217" s="24" t="s">
        <v>1075</v>
      </c>
      <c r="C1217" s="24" t="s">
        <v>1076</v>
      </c>
      <c r="D1217" s="24" t="n">
        <v>1</v>
      </c>
      <c r="E1217" s="25" t="n">
        <v>1000</v>
      </c>
      <c r="F1217" s="25" t="n">
        <v>300</v>
      </c>
      <c r="G1217" s="24" t="s">
        <v>59</v>
      </c>
      <c r="H1217" s="24" t="s">
        <v>80</v>
      </c>
      <c r="I1217" s="28" t="n">
        <f aca="false">IF(A1217="","",D1217*E1217)</f>
        <v>1000</v>
      </c>
      <c r="J1217" s="28" t="n">
        <f aca="false">IF(A1217="","",D1217*F1217)</f>
        <v>300</v>
      </c>
      <c r="K1217" s="26" t="n">
        <f aca="false">IF(A1217="","",YEAR(A1217))</f>
        <v>2026</v>
      </c>
      <c r="L1217" s="26" t="n">
        <f aca="false">IF(A1217="","",MONTH(A1217))</f>
        <v>10</v>
      </c>
    </row>
    <row r="1218" customFormat="false" ht="15" hidden="false" customHeight="false" outlineLevel="0" collapsed="false">
      <c r="A1218" s="23" t="n">
        <v>46318.4236111111</v>
      </c>
      <c r="B1218" s="24" t="s">
        <v>1077</v>
      </c>
      <c r="C1218" s="24" t="s">
        <v>1078</v>
      </c>
      <c r="D1218" s="24" t="n">
        <v>1</v>
      </c>
      <c r="E1218" s="25" t="n">
        <v>1500</v>
      </c>
      <c r="F1218" s="25" t="n">
        <v>900</v>
      </c>
      <c r="G1218" s="24" t="s">
        <v>59</v>
      </c>
      <c r="H1218" s="24" t="s">
        <v>80</v>
      </c>
      <c r="I1218" s="28" t="n">
        <f aca="false">IF(A1218="","",D1218*E1218)</f>
        <v>1500</v>
      </c>
      <c r="J1218" s="28" t="n">
        <f aca="false">IF(A1218="","",D1218*F1218)</f>
        <v>900</v>
      </c>
      <c r="K1218" s="26" t="n">
        <f aca="false">IF(A1218="","",YEAR(A1218))</f>
        <v>2026</v>
      </c>
      <c r="L1218" s="26" t="n">
        <f aca="false">IF(A1218="","",MONTH(A1218))</f>
        <v>10</v>
      </c>
    </row>
    <row r="1219" customFormat="false" ht="15" hidden="false" customHeight="false" outlineLevel="0" collapsed="false">
      <c r="A1219" s="23" t="n">
        <v>46318.4416666667</v>
      </c>
      <c r="B1219" s="24" t="s">
        <v>1065</v>
      </c>
      <c r="C1219" s="24" t="s">
        <v>1066</v>
      </c>
      <c r="D1219" s="24" t="n">
        <v>1</v>
      </c>
      <c r="E1219" s="25" t="n">
        <v>3000</v>
      </c>
      <c r="F1219" s="25" t="n">
        <v>2000</v>
      </c>
      <c r="G1219" s="24" t="s">
        <v>69</v>
      </c>
      <c r="H1219" s="24" t="s">
        <v>60</v>
      </c>
      <c r="I1219" s="28" t="n">
        <f aca="false">IF(A1219="","",D1219*E1219)</f>
        <v>3000</v>
      </c>
      <c r="J1219" s="28" t="n">
        <f aca="false">IF(A1219="","",D1219*F1219)</f>
        <v>2000</v>
      </c>
      <c r="K1219" s="26" t="n">
        <f aca="false">IF(A1219="","",YEAR(A1219))</f>
        <v>2026</v>
      </c>
      <c r="L1219" s="26" t="n">
        <f aca="false">IF(A1219="","",MONTH(A1219))</f>
        <v>10</v>
      </c>
    </row>
    <row r="1220" customFormat="false" ht="15" hidden="false" customHeight="false" outlineLevel="0" collapsed="false">
      <c r="A1220" s="23" t="n">
        <v>46318.4819444444</v>
      </c>
      <c r="B1220" s="24" t="s">
        <v>1065</v>
      </c>
      <c r="C1220" s="24" t="s">
        <v>1066</v>
      </c>
      <c r="D1220" s="24" t="n">
        <v>1</v>
      </c>
      <c r="E1220" s="25" t="n">
        <v>3000</v>
      </c>
      <c r="F1220" s="25" t="n">
        <v>2000</v>
      </c>
      <c r="G1220" s="24" t="s">
        <v>59</v>
      </c>
      <c r="H1220" s="24" t="s">
        <v>55</v>
      </c>
      <c r="I1220" s="28" t="n">
        <f aca="false">IF(A1220="","",D1220*E1220)</f>
        <v>3000</v>
      </c>
      <c r="J1220" s="28" t="n">
        <f aca="false">IF(A1220="","",D1220*F1220)</f>
        <v>2000</v>
      </c>
      <c r="K1220" s="26" t="n">
        <f aca="false">IF(A1220="","",YEAR(A1220))</f>
        <v>2026</v>
      </c>
      <c r="L1220" s="26" t="n">
        <f aca="false">IF(A1220="","",MONTH(A1220))</f>
        <v>10</v>
      </c>
    </row>
    <row r="1221" customFormat="false" ht="15" hidden="false" customHeight="false" outlineLevel="0" collapsed="false">
      <c r="A1221" s="23" t="n">
        <v>46318.5506944444</v>
      </c>
      <c r="B1221" s="24" t="s">
        <v>1071</v>
      </c>
      <c r="C1221" s="24" t="s">
        <v>1072</v>
      </c>
      <c r="D1221" s="24" t="n">
        <v>2</v>
      </c>
      <c r="E1221" s="25" t="n">
        <v>2000</v>
      </c>
      <c r="F1221" s="25" t="n">
        <v>1100</v>
      </c>
      <c r="G1221" s="24" t="s">
        <v>59</v>
      </c>
      <c r="H1221" s="24" t="s">
        <v>55</v>
      </c>
      <c r="I1221" s="28" t="n">
        <f aca="false">IF(A1221="","",D1221*E1221)</f>
        <v>4000</v>
      </c>
      <c r="J1221" s="28" t="n">
        <f aca="false">IF(A1221="","",D1221*F1221)</f>
        <v>2200</v>
      </c>
      <c r="K1221" s="26" t="n">
        <f aca="false">IF(A1221="","",YEAR(A1221))</f>
        <v>2026</v>
      </c>
      <c r="L1221" s="26" t="n">
        <f aca="false">IF(A1221="","",MONTH(A1221))</f>
        <v>10</v>
      </c>
    </row>
    <row r="1222" customFormat="false" ht="15" hidden="false" customHeight="false" outlineLevel="0" collapsed="false">
      <c r="A1222" s="23" t="n">
        <v>46318.6965277778</v>
      </c>
      <c r="B1222" s="24" t="s">
        <v>1067</v>
      </c>
      <c r="C1222" s="24" t="s">
        <v>1068</v>
      </c>
      <c r="D1222" s="24" t="n">
        <v>2</v>
      </c>
      <c r="E1222" s="25" t="n">
        <v>4000</v>
      </c>
      <c r="F1222" s="25" t="n">
        <v>2600</v>
      </c>
      <c r="G1222" s="24" t="s">
        <v>59</v>
      </c>
      <c r="H1222" s="24" t="s">
        <v>60</v>
      </c>
      <c r="I1222" s="28" t="n">
        <f aca="false">IF(A1222="","",D1222*E1222)</f>
        <v>8000</v>
      </c>
      <c r="J1222" s="28" t="n">
        <f aca="false">IF(A1222="","",D1222*F1222)</f>
        <v>5200</v>
      </c>
      <c r="K1222" s="26" t="n">
        <f aca="false">IF(A1222="","",YEAR(A1222))</f>
        <v>2026</v>
      </c>
      <c r="L1222" s="26" t="n">
        <f aca="false">IF(A1222="","",MONTH(A1222))</f>
        <v>10</v>
      </c>
    </row>
    <row r="1223" customFormat="false" ht="15" hidden="false" customHeight="false" outlineLevel="0" collapsed="false">
      <c r="A1223" s="23" t="n">
        <v>46320.8041666667</v>
      </c>
      <c r="B1223" s="24" t="s">
        <v>1077</v>
      </c>
      <c r="C1223" s="24" t="s">
        <v>1078</v>
      </c>
      <c r="D1223" s="24" t="n">
        <v>1</v>
      </c>
      <c r="E1223" s="25" t="n">
        <v>1500</v>
      </c>
      <c r="F1223" s="25" t="n">
        <v>900</v>
      </c>
      <c r="G1223" s="24" t="s">
        <v>59</v>
      </c>
      <c r="H1223" s="24" t="s">
        <v>55</v>
      </c>
      <c r="I1223" s="28" t="n">
        <f aca="false">IF(A1223="","",D1223*E1223)</f>
        <v>1500</v>
      </c>
      <c r="J1223" s="28" t="n">
        <f aca="false">IF(A1223="","",D1223*F1223)</f>
        <v>900</v>
      </c>
      <c r="K1223" s="26" t="n">
        <f aca="false">IF(A1223="","",YEAR(A1223))</f>
        <v>2026</v>
      </c>
      <c r="L1223" s="26" t="n">
        <f aca="false">IF(A1223="","",MONTH(A1223))</f>
        <v>10</v>
      </c>
    </row>
    <row r="1224" customFormat="false" ht="15" hidden="false" customHeight="false" outlineLevel="0" collapsed="false">
      <c r="A1224" s="23" t="n">
        <v>46320.8958333333</v>
      </c>
      <c r="B1224" s="24" t="s">
        <v>1073</v>
      </c>
      <c r="C1224" s="24" t="s">
        <v>1074</v>
      </c>
      <c r="D1224" s="24" t="n">
        <v>3</v>
      </c>
      <c r="E1224" s="25" t="n">
        <v>7000</v>
      </c>
      <c r="F1224" s="25" t="n">
        <v>4800</v>
      </c>
      <c r="G1224" s="24" t="s">
        <v>59</v>
      </c>
      <c r="H1224" s="24" t="s">
        <v>55</v>
      </c>
      <c r="I1224" s="28" t="n">
        <f aca="false">IF(A1224="","",D1224*E1224)</f>
        <v>21000</v>
      </c>
      <c r="J1224" s="28" t="n">
        <f aca="false">IF(A1224="","",D1224*F1224)</f>
        <v>14400</v>
      </c>
      <c r="K1224" s="26" t="n">
        <f aca="false">IF(A1224="","",YEAR(A1224))</f>
        <v>2026</v>
      </c>
      <c r="L1224" s="26" t="n">
        <f aca="false">IF(A1224="","",MONTH(A1224))</f>
        <v>10</v>
      </c>
    </row>
    <row r="1225" customFormat="false" ht="15" hidden="false" customHeight="false" outlineLevel="0" collapsed="false">
      <c r="A1225" s="27"/>
      <c r="E1225" s="28"/>
      <c r="F1225" s="28"/>
      <c r="I1225" s="28" t="str">
        <f aca="false">IF(A1225="","",D1225*E1225)</f>
        <v/>
      </c>
      <c r="J1225" s="28" t="str">
        <f aca="false">IF(A1225="","",D1225*F1225)</f>
        <v/>
      </c>
      <c r="K1225" s="0" t="str">
        <f aca="false">IF(A1225="","",YEAR(A1225))</f>
        <v/>
      </c>
      <c r="L1225" s="0" t="str">
        <f aca="false">IF(A1225="","",MONTH(A1225))</f>
        <v/>
      </c>
    </row>
    <row r="1226" customFormat="false" ht="15" hidden="false" customHeight="false" outlineLevel="0" collapsed="false">
      <c r="A1226" s="27"/>
      <c r="E1226" s="28"/>
      <c r="F1226" s="28"/>
      <c r="I1226" s="28" t="str">
        <f aca="false">IF(A1226="","",D1226*E1226)</f>
        <v/>
      </c>
      <c r="J1226" s="28" t="str">
        <f aca="false">IF(A1226="","",D1226*F1226)</f>
        <v/>
      </c>
      <c r="K1226" s="0" t="str">
        <f aca="false">IF(A1226="","",YEAR(A1226))</f>
        <v/>
      </c>
      <c r="L1226" s="0" t="str">
        <f aca="false">IF(A1226="","",MONTH(A1226))</f>
        <v/>
      </c>
    </row>
    <row r="1227" customFormat="false" ht="15" hidden="false" customHeight="false" outlineLevel="0" collapsed="false">
      <c r="A1227" s="27"/>
      <c r="E1227" s="28"/>
      <c r="F1227" s="28"/>
      <c r="I1227" s="28" t="str">
        <f aca="false">IF(A1227="","",D1227*E1227)</f>
        <v/>
      </c>
      <c r="J1227" s="28" t="str">
        <f aca="false">IF(A1227="","",D1227*F1227)</f>
        <v/>
      </c>
      <c r="K1227" s="0" t="str">
        <f aca="false">IF(A1227="","",YEAR(A1227))</f>
        <v/>
      </c>
      <c r="L1227" s="0" t="str">
        <f aca="false">IF(A1227="","",MONTH(A1227))</f>
        <v/>
      </c>
    </row>
    <row r="1228" customFormat="false" ht="15" hidden="false" customHeight="false" outlineLevel="0" collapsed="false">
      <c r="A1228" s="27"/>
      <c r="E1228" s="28"/>
      <c r="F1228" s="28"/>
      <c r="I1228" s="28" t="str">
        <f aca="false">IF(A1228="","",D1228*E1228)</f>
        <v/>
      </c>
      <c r="J1228" s="28" t="str">
        <f aca="false">IF(A1228="","",D1228*F1228)</f>
        <v/>
      </c>
      <c r="K1228" s="0" t="str">
        <f aca="false">IF(A1228="","",YEAR(A1228))</f>
        <v/>
      </c>
      <c r="L1228" s="0" t="str">
        <f aca="false">IF(A1228="","",MONTH(A1228))</f>
        <v/>
      </c>
    </row>
    <row r="1229" customFormat="false" ht="15" hidden="false" customHeight="false" outlineLevel="0" collapsed="false">
      <c r="A1229" s="27"/>
      <c r="E1229" s="28"/>
      <c r="F1229" s="28"/>
      <c r="I1229" s="28" t="str">
        <f aca="false">IF(A1229="","",D1229*E1229)</f>
        <v/>
      </c>
      <c r="J1229" s="28" t="str">
        <f aca="false">IF(A1229="","",D1229*F1229)</f>
        <v/>
      </c>
      <c r="K1229" s="0" t="str">
        <f aca="false">IF(A1229="","",YEAR(A1229))</f>
        <v/>
      </c>
      <c r="L1229" s="0" t="str">
        <f aca="false">IF(A1229="","",MONTH(A1229))</f>
        <v/>
      </c>
    </row>
    <row r="1230" customFormat="false" ht="15" hidden="false" customHeight="false" outlineLevel="0" collapsed="false">
      <c r="A1230" s="27"/>
      <c r="E1230" s="28"/>
      <c r="F1230" s="28"/>
      <c r="I1230" s="28" t="str">
        <f aca="false">IF(A1230="","",D1230*E1230)</f>
        <v/>
      </c>
      <c r="J1230" s="28" t="str">
        <f aca="false">IF(A1230="","",D1230*F1230)</f>
        <v/>
      </c>
      <c r="K1230" s="0" t="str">
        <f aca="false">IF(A1230="","",YEAR(A1230))</f>
        <v/>
      </c>
      <c r="L1230" s="0" t="str">
        <f aca="false">IF(A1230="","",MONTH(A1230))</f>
        <v/>
      </c>
    </row>
    <row r="1231" customFormat="false" ht="15" hidden="false" customHeight="false" outlineLevel="0" collapsed="false">
      <c r="A1231" s="27"/>
      <c r="E1231" s="28"/>
      <c r="F1231" s="28"/>
      <c r="I1231" s="28" t="str">
        <f aca="false">IF(A1231="","",D1231*E1231)</f>
        <v/>
      </c>
      <c r="J1231" s="28" t="str">
        <f aca="false">IF(A1231="","",D1231*F1231)</f>
        <v/>
      </c>
      <c r="K1231" s="0" t="str">
        <f aca="false">IF(A1231="","",YEAR(A1231))</f>
        <v/>
      </c>
      <c r="L1231" s="0" t="str">
        <f aca="false">IF(A1231="","",MONTH(A1231))</f>
        <v/>
      </c>
    </row>
    <row r="1232" customFormat="false" ht="15" hidden="false" customHeight="false" outlineLevel="0" collapsed="false">
      <c r="A1232" s="27"/>
      <c r="E1232" s="28"/>
      <c r="F1232" s="28"/>
      <c r="I1232" s="28" t="str">
        <f aca="false">IF(A1232="","",D1232*E1232)</f>
        <v/>
      </c>
      <c r="J1232" s="28" t="str">
        <f aca="false">IF(A1232="","",D1232*F1232)</f>
        <v/>
      </c>
      <c r="K1232" s="0" t="str">
        <f aca="false">IF(A1232="","",YEAR(A1232))</f>
        <v/>
      </c>
      <c r="L1232" s="0" t="str">
        <f aca="false">IF(A1232="","",MONTH(A1232))</f>
        <v/>
      </c>
    </row>
    <row r="1233" customFormat="false" ht="15" hidden="false" customHeight="false" outlineLevel="0" collapsed="false">
      <c r="A1233" s="27"/>
      <c r="E1233" s="28"/>
      <c r="F1233" s="28"/>
      <c r="I1233" s="28" t="str">
        <f aca="false">IF(A1233="","",D1233*E1233)</f>
        <v/>
      </c>
      <c r="J1233" s="28" t="str">
        <f aca="false">IF(A1233="","",D1233*F1233)</f>
        <v/>
      </c>
      <c r="K1233" s="0" t="str">
        <f aca="false">IF(A1233="","",YEAR(A1233))</f>
        <v/>
      </c>
      <c r="L1233" s="0" t="str">
        <f aca="false">IF(A1233="","",MONTH(A1233))</f>
        <v/>
      </c>
    </row>
    <row r="1234" customFormat="false" ht="15" hidden="false" customHeight="false" outlineLevel="0" collapsed="false">
      <c r="A1234" s="27"/>
      <c r="E1234" s="28"/>
      <c r="F1234" s="28"/>
      <c r="I1234" s="28" t="str">
        <f aca="false">IF(A1234="","",D1234*E1234)</f>
        <v/>
      </c>
      <c r="J1234" s="28" t="str">
        <f aca="false">IF(A1234="","",D1234*F1234)</f>
        <v/>
      </c>
      <c r="K1234" s="0" t="str">
        <f aca="false">IF(A1234="","",YEAR(A1234))</f>
        <v/>
      </c>
      <c r="L1234" s="0" t="str">
        <f aca="false">IF(A1234="","",MONTH(A1234))</f>
        <v/>
      </c>
    </row>
    <row r="1235" customFormat="false" ht="15" hidden="false" customHeight="false" outlineLevel="0" collapsed="false">
      <c r="A1235" s="27"/>
      <c r="E1235" s="28"/>
      <c r="F1235" s="28"/>
      <c r="I1235" s="28" t="str">
        <f aca="false">IF(A1235="","",D1235*E1235)</f>
        <v/>
      </c>
      <c r="J1235" s="28" t="str">
        <f aca="false">IF(A1235="","",D1235*F1235)</f>
        <v/>
      </c>
      <c r="K1235" s="0" t="str">
        <f aca="false">IF(A1235="","",YEAR(A1235))</f>
        <v/>
      </c>
      <c r="L1235" s="0" t="str">
        <f aca="false">IF(A1235="","",MONTH(A1235))</f>
        <v/>
      </c>
    </row>
    <row r="1236" customFormat="false" ht="15" hidden="false" customHeight="false" outlineLevel="0" collapsed="false">
      <c r="A1236" s="27"/>
      <c r="E1236" s="28"/>
      <c r="F1236" s="28"/>
      <c r="I1236" s="28" t="str">
        <f aca="false">IF(A1236="","",D1236*E1236)</f>
        <v/>
      </c>
      <c r="J1236" s="28" t="str">
        <f aca="false">IF(A1236="","",D1236*F1236)</f>
        <v/>
      </c>
      <c r="K1236" s="0" t="str">
        <f aca="false">IF(A1236="","",YEAR(A1236))</f>
        <v/>
      </c>
      <c r="L1236" s="0" t="str">
        <f aca="false">IF(A1236="","",MONTH(A1236))</f>
        <v/>
      </c>
    </row>
    <row r="1237" customFormat="false" ht="15" hidden="false" customHeight="false" outlineLevel="0" collapsed="false">
      <c r="A1237" s="27"/>
      <c r="E1237" s="28"/>
      <c r="F1237" s="28"/>
      <c r="I1237" s="28" t="str">
        <f aca="false">IF(A1237="","",D1237*E1237)</f>
        <v/>
      </c>
      <c r="J1237" s="28" t="str">
        <f aca="false">IF(A1237="","",D1237*F1237)</f>
        <v/>
      </c>
      <c r="K1237" s="0" t="str">
        <f aca="false">IF(A1237="","",YEAR(A1237))</f>
        <v/>
      </c>
      <c r="L1237" s="0" t="str">
        <f aca="false">IF(A1237="","",MONTH(A1237))</f>
        <v/>
      </c>
    </row>
    <row r="1238" customFormat="false" ht="15" hidden="false" customHeight="false" outlineLevel="0" collapsed="false">
      <c r="A1238" s="27"/>
      <c r="E1238" s="28"/>
      <c r="F1238" s="28"/>
      <c r="I1238" s="28" t="str">
        <f aca="false">IF(A1238="","",D1238*E1238)</f>
        <v/>
      </c>
      <c r="J1238" s="28" t="str">
        <f aca="false">IF(A1238="","",D1238*F1238)</f>
        <v/>
      </c>
      <c r="K1238" s="0" t="str">
        <f aca="false">IF(A1238="","",YEAR(A1238))</f>
        <v/>
      </c>
      <c r="L1238" s="0" t="str">
        <f aca="false">IF(A1238="","",MONTH(A1238))</f>
        <v/>
      </c>
    </row>
    <row r="1239" customFormat="false" ht="15" hidden="false" customHeight="false" outlineLevel="0" collapsed="false">
      <c r="A1239" s="27"/>
      <c r="E1239" s="28"/>
      <c r="F1239" s="28"/>
      <c r="I1239" s="28" t="str">
        <f aca="false">IF(A1239="","",D1239*E1239)</f>
        <v/>
      </c>
      <c r="J1239" s="28" t="str">
        <f aca="false">IF(A1239="","",D1239*F1239)</f>
        <v/>
      </c>
      <c r="K1239" s="0" t="str">
        <f aca="false">IF(A1239="","",YEAR(A1239))</f>
        <v/>
      </c>
      <c r="L1239" s="0" t="str">
        <f aca="false">IF(A1239="","",MONTH(A1239))</f>
        <v/>
      </c>
    </row>
    <row r="1240" customFormat="false" ht="15" hidden="false" customHeight="false" outlineLevel="0" collapsed="false">
      <c r="A1240" s="27"/>
      <c r="E1240" s="28"/>
      <c r="F1240" s="28"/>
      <c r="I1240" s="28" t="str">
        <f aca="false">IF(A1240="","",D1240*E1240)</f>
        <v/>
      </c>
      <c r="J1240" s="28" t="str">
        <f aca="false">IF(A1240="","",D1240*F1240)</f>
        <v/>
      </c>
      <c r="K1240" s="0" t="str">
        <f aca="false">IF(A1240="","",YEAR(A1240))</f>
        <v/>
      </c>
      <c r="L1240" s="0" t="str">
        <f aca="false">IF(A1240="","",MONTH(A1240))</f>
        <v/>
      </c>
    </row>
    <row r="1241" customFormat="false" ht="15" hidden="false" customHeight="false" outlineLevel="0" collapsed="false">
      <c r="A1241" s="27"/>
      <c r="E1241" s="28"/>
      <c r="F1241" s="28"/>
      <c r="I1241" s="28" t="str">
        <f aca="false">IF(A1241="","",D1241*E1241)</f>
        <v/>
      </c>
      <c r="J1241" s="28" t="str">
        <f aca="false">IF(A1241="","",D1241*F1241)</f>
        <v/>
      </c>
      <c r="K1241" s="0" t="str">
        <f aca="false">IF(A1241="","",YEAR(A1241))</f>
        <v/>
      </c>
      <c r="L1241" s="0" t="str">
        <f aca="false">IF(A1241="","",MONTH(A1241))</f>
        <v/>
      </c>
    </row>
    <row r="1242" customFormat="false" ht="15" hidden="false" customHeight="false" outlineLevel="0" collapsed="false">
      <c r="A1242" s="27"/>
      <c r="E1242" s="28"/>
      <c r="F1242" s="28"/>
      <c r="I1242" s="28" t="str">
        <f aca="false">IF(A1242="","",D1242*E1242)</f>
        <v/>
      </c>
      <c r="J1242" s="28" t="str">
        <f aca="false">IF(A1242="","",D1242*F1242)</f>
        <v/>
      </c>
      <c r="K1242" s="0" t="str">
        <f aca="false">IF(A1242="","",YEAR(A1242))</f>
        <v/>
      </c>
      <c r="L1242" s="0" t="str">
        <f aca="false">IF(A1242="","",MONTH(A1242))</f>
        <v/>
      </c>
    </row>
    <row r="1243" customFormat="false" ht="15" hidden="false" customHeight="false" outlineLevel="0" collapsed="false">
      <c r="A1243" s="27"/>
      <c r="E1243" s="28"/>
      <c r="F1243" s="28"/>
      <c r="I1243" s="28" t="str">
        <f aca="false">IF(A1243="","",D1243*E1243)</f>
        <v/>
      </c>
      <c r="J1243" s="28" t="str">
        <f aca="false">IF(A1243="","",D1243*F1243)</f>
        <v/>
      </c>
      <c r="K1243" s="0" t="str">
        <f aca="false">IF(A1243="","",YEAR(A1243))</f>
        <v/>
      </c>
      <c r="L1243" s="0" t="str">
        <f aca="false">IF(A1243="","",MONTH(A1243))</f>
        <v/>
      </c>
    </row>
    <row r="1244" customFormat="false" ht="15" hidden="false" customHeight="false" outlineLevel="0" collapsed="false">
      <c r="A1244" s="27"/>
      <c r="E1244" s="28"/>
      <c r="F1244" s="28"/>
      <c r="I1244" s="28" t="str">
        <f aca="false">IF(A1244="","",D1244*E1244)</f>
        <v/>
      </c>
      <c r="J1244" s="28" t="str">
        <f aca="false">IF(A1244="","",D1244*F1244)</f>
        <v/>
      </c>
      <c r="K1244" s="0" t="str">
        <f aca="false">IF(A1244="","",YEAR(A1244))</f>
        <v/>
      </c>
      <c r="L1244" s="0" t="str">
        <f aca="false">IF(A1244="","",MONTH(A1244))</f>
        <v/>
      </c>
    </row>
    <row r="1245" customFormat="false" ht="15" hidden="false" customHeight="false" outlineLevel="0" collapsed="false">
      <c r="A1245" s="27"/>
      <c r="E1245" s="28"/>
      <c r="F1245" s="28"/>
      <c r="I1245" s="28" t="str">
        <f aca="false">IF(A1245="","",D1245*E1245)</f>
        <v/>
      </c>
      <c r="J1245" s="28" t="str">
        <f aca="false">IF(A1245="","",D1245*F1245)</f>
        <v/>
      </c>
      <c r="K1245" s="0" t="str">
        <f aca="false">IF(A1245="","",YEAR(A1245))</f>
        <v/>
      </c>
      <c r="L1245" s="0" t="str">
        <f aca="false">IF(A1245="","",MONTH(A1245))</f>
        <v/>
      </c>
    </row>
    <row r="1246" customFormat="false" ht="15" hidden="false" customHeight="false" outlineLevel="0" collapsed="false">
      <c r="A1246" s="27"/>
      <c r="E1246" s="28"/>
      <c r="F1246" s="28"/>
      <c r="I1246" s="28" t="str">
        <f aca="false">IF(A1246="","",D1246*E1246)</f>
        <v/>
      </c>
      <c r="J1246" s="28" t="str">
        <f aca="false">IF(A1246="","",D1246*F1246)</f>
        <v/>
      </c>
      <c r="K1246" s="0" t="str">
        <f aca="false">IF(A1246="","",YEAR(A1246))</f>
        <v/>
      </c>
      <c r="L1246" s="0" t="str">
        <f aca="false">IF(A1246="","",MONTH(A1246))</f>
        <v/>
      </c>
    </row>
    <row r="1247" customFormat="false" ht="15" hidden="false" customHeight="false" outlineLevel="0" collapsed="false">
      <c r="A1247" s="27"/>
      <c r="E1247" s="28"/>
      <c r="F1247" s="28"/>
      <c r="I1247" s="28" t="str">
        <f aca="false">IF(A1247="","",D1247*E1247)</f>
        <v/>
      </c>
      <c r="J1247" s="28" t="str">
        <f aca="false">IF(A1247="","",D1247*F1247)</f>
        <v/>
      </c>
      <c r="K1247" s="0" t="str">
        <f aca="false">IF(A1247="","",YEAR(A1247))</f>
        <v/>
      </c>
      <c r="L1247" s="0" t="str">
        <f aca="false">IF(A1247="","",MONTH(A1247))</f>
        <v/>
      </c>
    </row>
    <row r="1248" customFormat="false" ht="15" hidden="false" customHeight="false" outlineLevel="0" collapsed="false">
      <c r="A1248" s="27"/>
      <c r="E1248" s="28"/>
      <c r="F1248" s="28"/>
      <c r="I1248" s="28" t="str">
        <f aca="false">IF(A1248="","",D1248*E1248)</f>
        <v/>
      </c>
      <c r="J1248" s="28" t="str">
        <f aca="false">IF(A1248="","",D1248*F1248)</f>
        <v/>
      </c>
      <c r="K1248" s="0" t="str">
        <f aca="false">IF(A1248="","",YEAR(A1248))</f>
        <v/>
      </c>
      <c r="L1248" s="0" t="str">
        <f aca="false">IF(A1248="","",MONTH(A1248))</f>
        <v/>
      </c>
    </row>
    <row r="1249" customFormat="false" ht="15" hidden="false" customHeight="false" outlineLevel="0" collapsed="false">
      <c r="A1249" s="27"/>
      <c r="E1249" s="28"/>
      <c r="F1249" s="28"/>
      <c r="I1249" s="28" t="str">
        <f aca="false">IF(A1249="","",D1249*E1249)</f>
        <v/>
      </c>
      <c r="J1249" s="28" t="str">
        <f aca="false">IF(A1249="","",D1249*F1249)</f>
        <v/>
      </c>
      <c r="K1249" s="0" t="str">
        <f aca="false">IF(A1249="","",YEAR(A1249))</f>
        <v/>
      </c>
      <c r="L1249" s="0" t="str">
        <f aca="false">IF(A1249="","",MONTH(A1249))</f>
        <v/>
      </c>
    </row>
    <row r="1250" customFormat="false" ht="15" hidden="false" customHeight="false" outlineLevel="0" collapsed="false">
      <c r="A1250" s="27"/>
      <c r="E1250" s="28"/>
      <c r="F1250" s="28"/>
      <c r="I1250" s="28" t="str">
        <f aca="false">IF(A1250="","",D1250*E1250)</f>
        <v/>
      </c>
      <c r="J1250" s="28" t="str">
        <f aca="false">IF(A1250="","",D1250*F1250)</f>
        <v/>
      </c>
      <c r="K1250" s="0" t="str">
        <f aca="false">IF(A1250="","",YEAR(A1250))</f>
        <v/>
      </c>
      <c r="L1250" s="0" t="str">
        <f aca="false">IF(A1250="","",MONTH(A1250))</f>
        <v/>
      </c>
    </row>
    <row r="1251" customFormat="false" ht="15" hidden="false" customHeight="false" outlineLevel="0" collapsed="false">
      <c r="A1251" s="27"/>
      <c r="E1251" s="28"/>
      <c r="F1251" s="28"/>
      <c r="I1251" s="28" t="str">
        <f aca="false">IF(A1251="","",D1251*E1251)</f>
        <v/>
      </c>
      <c r="J1251" s="28" t="str">
        <f aca="false">IF(A1251="","",D1251*F1251)</f>
        <v/>
      </c>
      <c r="K1251" s="0" t="str">
        <f aca="false">IF(A1251="","",YEAR(A1251))</f>
        <v/>
      </c>
      <c r="L1251" s="0" t="str">
        <f aca="false">IF(A1251="","",MONTH(A1251))</f>
        <v/>
      </c>
    </row>
    <row r="1252" customFormat="false" ht="15" hidden="false" customHeight="false" outlineLevel="0" collapsed="false">
      <c r="A1252" s="27"/>
      <c r="E1252" s="28"/>
      <c r="F1252" s="28"/>
      <c r="I1252" s="28" t="str">
        <f aca="false">IF(A1252="","",D1252*E1252)</f>
        <v/>
      </c>
      <c r="J1252" s="28" t="str">
        <f aca="false">IF(A1252="","",D1252*F1252)</f>
        <v/>
      </c>
      <c r="K1252" s="0" t="str">
        <f aca="false">IF(A1252="","",YEAR(A1252))</f>
        <v/>
      </c>
      <c r="L1252" s="0" t="str">
        <f aca="false">IF(A1252="","",MONTH(A1252))</f>
        <v/>
      </c>
    </row>
    <row r="1253" customFormat="false" ht="15" hidden="false" customHeight="false" outlineLevel="0" collapsed="false">
      <c r="A1253" s="27"/>
      <c r="E1253" s="28"/>
      <c r="F1253" s="28"/>
      <c r="I1253" s="28" t="str">
        <f aca="false">IF(A1253="","",D1253*E1253)</f>
        <v/>
      </c>
      <c r="J1253" s="28" t="str">
        <f aca="false">IF(A1253="","",D1253*F1253)</f>
        <v/>
      </c>
      <c r="K1253" s="0" t="str">
        <f aca="false">IF(A1253="","",YEAR(A1253))</f>
        <v/>
      </c>
      <c r="L1253" s="0" t="str">
        <f aca="false">IF(A1253="","",MONTH(A1253))</f>
        <v/>
      </c>
    </row>
    <row r="1254" customFormat="false" ht="15" hidden="false" customHeight="false" outlineLevel="0" collapsed="false">
      <c r="A1254" s="27"/>
      <c r="E1254" s="28"/>
      <c r="F1254" s="28"/>
      <c r="I1254" s="28" t="str">
        <f aca="false">IF(A1254="","",D1254*E1254)</f>
        <v/>
      </c>
      <c r="J1254" s="28" t="str">
        <f aca="false">IF(A1254="","",D1254*F1254)</f>
        <v/>
      </c>
      <c r="K1254" s="0" t="str">
        <f aca="false">IF(A1254="","",YEAR(A1254))</f>
        <v/>
      </c>
      <c r="L1254" s="0" t="str">
        <f aca="false">IF(A1254="","",MONTH(A1254))</f>
        <v/>
      </c>
    </row>
    <row r="1255" customFormat="false" ht="15" hidden="false" customHeight="false" outlineLevel="0" collapsed="false">
      <c r="A1255" s="27"/>
      <c r="E1255" s="28"/>
      <c r="F1255" s="28"/>
      <c r="I1255" s="28" t="str">
        <f aca="false">IF(A1255="","",D1255*E1255)</f>
        <v/>
      </c>
      <c r="J1255" s="28" t="str">
        <f aca="false">IF(A1255="","",D1255*F1255)</f>
        <v/>
      </c>
      <c r="K1255" s="0" t="str">
        <f aca="false">IF(A1255="","",YEAR(A1255))</f>
        <v/>
      </c>
      <c r="L1255" s="0" t="str">
        <f aca="false">IF(A1255="","",MONTH(A1255))</f>
        <v/>
      </c>
    </row>
    <row r="1256" customFormat="false" ht="15" hidden="false" customHeight="false" outlineLevel="0" collapsed="false">
      <c r="A1256" s="27"/>
      <c r="E1256" s="28"/>
      <c r="F1256" s="28"/>
      <c r="I1256" s="28" t="str">
        <f aca="false">IF(A1256="","",D1256*E1256)</f>
        <v/>
      </c>
      <c r="J1256" s="28" t="str">
        <f aca="false">IF(A1256="","",D1256*F1256)</f>
        <v/>
      </c>
      <c r="K1256" s="0" t="str">
        <f aca="false">IF(A1256="","",YEAR(A1256))</f>
        <v/>
      </c>
      <c r="L1256" s="0" t="str">
        <f aca="false">IF(A1256="","",MONTH(A1256))</f>
        <v/>
      </c>
    </row>
    <row r="1257" customFormat="false" ht="15" hidden="false" customHeight="false" outlineLevel="0" collapsed="false">
      <c r="A1257" s="27"/>
      <c r="E1257" s="28"/>
      <c r="F1257" s="28"/>
      <c r="I1257" s="28" t="str">
        <f aca="false">IF(A1257="","",D1257*E1257)</f>
        <v/>
      </c>
      <c r="J1257" s="28" t="str">
        <f aca="false">IF(A1257="","",D1257*F1257)</f>
        <v/>
      </c>
      <c r="K1257" s="0" t="str">
        <f aca="false">IF(A1257="","",YEAR(A1257))</f>
        <v/>
      </c>
      <c r="L1257" s="0" t="str">
        <f aca="false">IF(A1257="","",MONTH(A1257))</f>
        <v/>
      </c>
    </row>
    <row r="1258" customFormat="false" ht="15" hidden="false" customHeight="false" outlineLevel="0" collapsed="false">
      <c r="A1258" s="27"/>
      <c r="E1258" s="28"/>
      <c r="F1258" s="28"/>
      <c r="I1258" s="28" t="str">
        <f aca="false">IF(A1258="","",D1258*E1258)</f>
        <v/>
      </c>
      <c r="J1258" s="28" t="str">
        <f aca="false">IF(A1258="","",D1258*F1258)</f>
        <v/>
      </c>
      <c r="K1258" s="0" t="str">
        <f aca="false">IF(A1258="","",YEAR(A1258))</f>
        <v/>
      </c>
      <c r="L1258" s="0" t="str">
        <f aca="false">IF(A1258="","",MONTH(A1258))</f>
        <v/>
      </c>
    </row>
    <row r="1259" customFormat="false" ht="15" hidden="false" customHeight="false" outlineLevel="0" collapsed="false">
      <c r="A1259" s="27"/>
      <c r="E1259" s="28"/>
      <c r="F1259" s="28"/>
      <c r="I1259" s="28" t="str">
        <f aca="false">IF(A1259="","",D1259*E1259)</f>
        <v/>
      </c>
      <c r="J1259" s="28" t="str">
        <f aca="false">IF(A1259="","",D1259*F1259)</f>
        <v/>
      </c>
      <c r="K1259" s="0" t="str">
        <f aca="false">IF(A1259="","",YEAR(A1259))</f>
        <v/>
      </c>
      <c r="L1259" s="0" t="str">
        <f aca="false">IF(A1259="","",MONTH(A1259))</f>
        <v/>
      </c>
    </row>
    <row r="1260" customFormat="false" ht="15" hidden="false" customHeight="false" outlineLevel="0" collapsed="false">
      <c r="A1260" s="27"/>
      <c r="E1260" s="28"/>
      <c r="F1260" s="28"/>
      <c r="I1260" s="28" t="str">
        <f aca="false">IF(A1260="","",D1260*E1260)</f>
        <v/>
      </c>
      <c r="J1260" s="28" t="str">
        <f aca="false">IF(A1260="","",D1260*F1260)</f>
        <v/>
      </c>
      <c r="K1260" s="0" t="str">
        <f aca="false">IF(A1260="","",YEAR(A1260))</f>
        <v/>
      </c>
      <c r="L1260" s="0" t="str">
        <f aca="false">IF(A1260="","",MONTH(A1260))</f>
        <v/>
      </c>
    </row>
    <row r="1261" customFormat="false" ht="15" hidden="false" customHeight="false" outlineLevel="0" collapsed="false">
      <c r="A1261" s="27"/>
      <c r="E1261" s="28"/>
      <c r="F1261" s="28"/>
      <c r="I1261" s="28" t="str">
        <f aca="false">IF(A1261="","",D1261*E1261)</f>
        <v/>
      </c>
      <c r="J1261" s="28" t="str">
        <f aca="false">IF(A1261="","",D1261*F1261)</f>
        <v/>
      </c>
      <c r="K1261" s="0" t="str">
        <f aca="false">IF(A1261="","",YEAR(A1261))</f>
        <v/>
      </c>
      <c r="L1261" s="0" t="str">
        <f aca="false">IF(A1261="","",MONTH(A1261))</f>
        <v/>
      </c>
    </row>
    <row r="1262" customFormat="false" ht="15" hidden="false" customHeight="false" outlineLevel="0" collapsed="false">
      <c r="A1262" s="27"/>
      <c r="E1262" s="28"/>
      <c r="F1262" s="28"/>
      <c r="I1262" s="28" t="str">
        <f aca="false">IF(A1262="","",D1262*E1262)</f>
        <v/>
      </c>
      <c r="J1262" s="28" t="str">
        <f aca="false">IF(A1262="","",D1262*F1262)</f>
        <v/>
      </c>
      <c r="K1262" s="0" t="str">
        <f aca="false">IF(A1262="","",YEAR(A1262))</f>
        <v/>
      </c>
      <c r="L1262" s="0" t="str">
        <f aca="false">IF(A1262="","",MONTH(A1262))</f>
        <v/>
      </c>
    </row>
    <row r="1263" customFormat="false" ht="15" hidden="false" customHeight="false" outlineLevel="0" collapsed="false">
      <c r="A1263" s="27"/>
      <c r="E1263" s="28"/>
      <c r="F1263" s="28"/>
      <c r="I1263" s="28" t="str">
        <f aca="false">IF(A1263="","",D1263*E1263)</f>
        <v/>
      </c>
      <c r="J1263" s="28" t="str">
        <f aca="false">IF(A1263="","",D1263*F1263)</f>
        <v/>
      </c>
      <c r="K1263" s="0" t="str">
        <f aca="false">IF(A1263="","",YEAR(A1263))</f>
        <v/>
      </c>
      <c r="L1263" s="0" t="str">
        <f aca="false">IF(A1263="","",MONTH(A1263))</f>
        <v/>
      </c>
    </row>
    <row r="1264" customFormat="false" ht="15" hidden="false" customHeight="false" outlineLevel="0" collapsed="false">
      <c r="A1264" s="27"/>
      <c r="E1264" s="28"/>
      <c r="F1264" s="28"/>
      <c r="I1264" s="28" t="str">
        <f aca="false">IF(A1264="","",D1264*E1264)</f>
        <v/>
      </c>
      <c r="J1264" s="28" t="str">
        <f aca="false">IF(A1264="","",D1264*F1264)</f>
        <v/>
      </c>
      <c r="K1264" s="0" t="str">
        <f aca="false">IF(A1264="","",YEAR(A1264))</f>
        <v/>
      </c>
      <c r="L1264" s="0" t="str">
        <f aca="false">IF(A1264="","",MONTH(A1264))</f>
        <v/>
      </c>
    </row>
    <row r="1265" customFormat="false" ht="15" hidden="false" customHeight="false" outlineLevel="0" collapsed="false">
      <c r="A1265" s="27"/>
      <c r="E1265" s="28"/>
      <c r="F1265" s="28"/>
      <c r="I1265" s="28" t="str">
        <f aca="false">IF(A1265="","",D1265*E1265)</f>
        <v/>
      </c>
      <c r="J1265" s="28" t="str">
        <f aca="false">IF(A1265="","",D1265*F1265)</f>
        <v/>
      </c>
      <c r="K1265" s="0" t="str">
        <f aca="false">IF(A1265="","",YEAR(A1265))</f>
        <v/>
      </c>
      <c r="L1265" s="0" t="str">
        <f aca="false">IF(A1265="","",MONTH(A1265))</f>
        <v/>
      </c>
    </row>
    <row r="1266" customFormat="false" ht="15" hidden="false" customHeight="false" outlineLevel="0" collapsed="false">
      <c r="A1266" s="27"/>
      <c r="E1266" s="28"/>
      <c r="F1266" s="28"/>
      <c r="I1266" s="28" t="str">
        <f aca="false">IF(A1266="","",D1266*E1266)</f>
        <v/>
      </c>
      <c r="J1266" s="28" t="str">
        <f aca="false">IF(A1266="","",D1266*F1266)</f>
        <v/>
      </c>
      <c r="K1266" s="0" t="str">
        <f aca="false">IF(A1266="","",YEAR(A1266))</f>
        <v/>
      </c>
      <c r="L1266" s="0" t="str">
        <f aca="false">IF(A1266="","",MONTH(A1266))</f>
        <v/>
      </c>
    </row>
    <row r="1267" customFormat="false" ht="15" hidden="false" customHeight="false" outlineLevel="0" collapsed="false">
      <c r="A1267" s="27"/>
      <c r="E1267" s="28"/>
      <c r="F1267" s="28"/>
      <c r="I1267" s="28" t="str">
        <f aca="false">IF(A1267="","",D1267*E1267)</f>
        <v/>
      </c>
      <c r="J1267" s="28" t="str">
        <f aca="false">IF(A1267="","",D1267*F1267)</f>
        <v/>
      </c>
      <c r="K1267" s="0" t="str">
        <f aca="false">IF(A1267="","",YEAR(A1267))</f>
        <v/>
      </c>
      <c r="L1267" s="0" t="str">
        <f aca="false">IF(A1267="","",MONTH(A1267))</f>
        <v/>
      </c>
    </row>
    <row r="1268" customFormat="false" ht="15" hidden="false" customHeight="false" outlineLevel="0" collapsed="false">
      <c r="A1268" s="27"/>
      <c r="E1268" s="28"/>
      <c r="F1268" s="28"/>
      <c r="I1268" s="28" t="str">
        <f aca="false">IF(A1268="","",D1268*E1268)</f>
        <v/>
      </c>
      <c r="J1268" s="28" t="str">
        <f aca="false">IF(A1268="","",D1268*F1268)</f>
        <v/>
      </c>
      <c r="K1268" s="0" t="str">
        <f aca="false">IF(A1268="","",YEAR(A1268))</f>
        <v/>
      </c>
      <c r="L1268" s="0" t="str">
        <f aca="false">IF(A1268="","",MONTH(A1268))</f>
        <v/>
      </c>
    </row>
    <row r="1269" customFormat="false" ht="15" hidden="false" customHeight="false" outlineLevel="0" collapsed="false">
      <c r="A1269" s="27"/>
      <c r="E1269" s="28"/>
      <c r="F1269" s="28"/>
      <c r="I1269" s="28" t="str">
        <f aca="false">IF(A1269="","",D1269*E1269)</f>
        <v/>
      </c>
      <c r="J1269" s="28" t="str">
        <f aca="false">IF(A1269="","",D1269*F1269)</f>
        <v/>
      </c>
      <c r="K1269" s="0" t="str">
        <f aca="false">IF(A1269="","",YEAR(A1269))</f>
        <v/>
      </c>
      <c r="L1269" s="0" t="str">
        <f aca="false">IF(A1269="","",MONTH(A1269))</f>
        <v/>
      </c>
    </row>
    <row r="1270" customFormat="false" ht="15" hidden="false" customHeight="false" outlineLevel="0" collapsed="false">
      <c r="A1270" s="27"/>
      <c r="E1270" s="28"/>
      <c r="F1270" s="28"/>
      <c r="I1270" s="28" t="str">
        <f aca="false">IF(A1270="","",D1270*E1270)</f>
        <v/>
      </c>
      <c r="J1270" s="28" t="str">
        <f aca="false">IF(A1270="","",D1270*F1270)</f>
        <v/>
      </c>
      <c r="K1270" s="0" t="str">
        <f aca="false">IF(A1270="","",YEAR(A1270))</f>
        <v/>
      </c>
      <c r="L1270" s="0" t="str">
        <f aca="false">IF(A1270="","",MONTH(A1270))</f>
        <v/>
      </c>
    </row>
    <row r="1271" customFormat="false" ht="15" hidden="false" customHeight="false" outlineLevel="0" collapsed="false">
      <c r="A1271" s="27"/>
      <c r="E1271" s="28"/>
      <c r="F1271" s="28"/>
      <c r="I1271" s="28" t="str">
        <f aca="false">IF(A1271="","",D1271*E1271)</f>
        <v/>
      </c>
      <c r="J1271" s="28" t="str">
        <f aca="false">IF(A1271="","",D1271*F1271)</f>
        <v/>
      </c>
      <c r="K1271" s="0" t="str">
        <f aca="false">IF(A1271="","",YEAR(A1271))</f>
        <v/>
      </c>
      <c r="L1271" s="0" t="str">
        <f aca="false">IF(A1271="","",MONTH(A1271))</f>
        <v/>
      </c>
    </row>
    <row r="1272" customFormat="false" ht="15" hidden="false" customHeight="false" outlineLevel="0" collapsed="false">
      <c r="A1272" s="27"/>
      <c r="E1272" s="28"/>
      <c r="F1272" s="28"/>
      <c r="I1272" s="28" t="str">
        <f aca="false">IF(A1272="","",D1272*E1272)</f>
        <v/>
      </c>
      <c r="J1272" s="28" t="str">
        <f aca="false">IF(A1272="","",D1272*F1272)</f>
        <v/>
      </c>
      <c r="K1272" s="0" t="str">
        <f aca="false">IF(A1272="","",YEAR(A1272))</f>
        <v/>
      </c>
      <c r="L1272" s="0" t="str">
        <f aca="false">IF(A1272="","",MONTH(A1272))</f>
        <v/>
      </c>
    </row>
    <row r="1273" customFormat="false" ht="15" hidden="false" customHeight="false" outlineLevel="0" collapsed="false">
      <c r="A1273" s="27"/>
      <c r="E1273" s="28"/>
      <c r="F1273" s="28"/>
      <c r="I1273" s="28" t="str">
        <f aca="false">IF(A1273="","",D1273*E1273)</f>
        <v/>
      </c>
      <c r="J1273" s="28" t="str">
        <f aca="false">IF(A1273="","",D1273*F1273)</f>
        <v/>
      </c>
      <c r="K1273" s="0" t="str">
        <f aca="false">IF(A1273="","",YEAR(A1273))</f>
        <v/>
      </c>
      <c r="L1273" s="0" t="str">
        <f aca="false">IF(A1273="","",MONTH(A1273))</f>
        <v/>
      </c>
    </row>
    <row r="1274" customFormat="false" ht="15" hidden="false" customHeight="false" outlineLevel="0" collapsed="false">
      <c r="A1274" s="27"/>
      <c r="E1274" s="28"/>
      <c r="F1274" s="28"/>
      <c r="I1274" s="28" t="str">
        <f aca="false">IF(A1274="","",D1274*E1274)</f>
        <v/>
      </c>
      <c r="J1274" s="28" t="str">
        <f aca="false">IF(A1274="","",D1274*F1274)</f>
        <v/>
      </c>
      <c r="K1274" s="0" t="str">
        <f aca="false">IF(A1274="","",YEAR(A1274))</f>
        <v/>
      </c>
      <c r="L1274" s="0" t="str">
        <f aca="false">IF(A1274="","",MONTH(A1274))</f>
        <v/>
      </c>
    </row>
    <row r="1275" customFormat="false" ht="15" hidden="false" customHeight="false" outlineLevel="0" collapsed="false">
      <c r="A1275" s="27"/>
      <c r="E1275" s="28"/>
      <c r="F1275" s="28"/>
      <c r="I1275" s="28" t="str">
        <f aca="false">IF(A1275="","",D1275*E1275)</f>
        <v/>
      </c>
      <c r="J1275" s="28" t="str">
        <f aca="false">IF(A1275="","",D1275*F1275)</f>
        <v/>
      </c>
      <c r="K1275" s="0" t="str">
        <f aca="false">IF(A1275="","",YEAR(A1275))</f>
        <v/>
      </c>
      <c r="L1275" s="0" t="str">
        <f aca="false">IF(A1275="","",MONTH(A1275))</f>
        <v/>
      </c>
    </row>
    <row r="1276" customFormat="false" ht="15" hidden="false" customHeight="false" outlineLevel="0" collapsed="false">
      <c r="A1276" s="27"/>
      <c r="E1276" s="28"/>
      <c r="F1276" s="28"/>
      <c r="I1276" s="28" t="str">
        <f aca="false">IF(A1276="","",D1276*E1276)</f>
        <v/>
      </c>
      <c r="J1276" s="28" t="str">
        <f aca="false">IF(A1276="","",D1276*F1276)</f>
        <v/>
      </c>
      <c r="K1276" s="0" t="str">
        <f aca="false">IF(A1276="","",YEAR(A1276))</f>
        <v/>
      </c>
      <c r="L1276" s="0" t="str">
        <f aca="false">IF(A1276="","",MONTH(A1276))</f>
        <v/>
      </c>
    </row>
    <row r="1277" customFormat="false" ht="15" hidden="false" customHeight="false" outlineLevel="0" collapsed="false">
      <c r="A1277" s="27"/>
      <c r="E1277" s="28"/>
      <c r="F1277" s="28"/>
      <c r="I1277" s="28" t="str">
        <f aca="false">IF(A1277="","",D1277*E1277)</f>
        <v/>
      </c>
      <c r="J1277" s="28" t="str">
        <f aca="false">IF(A1277="","",D1277*F1277)</f>
        <v/>
      </c>
      <c r="K1277" s="0" t="str">
        <f aca="false">IF(A1277="","",YEAR(A1277))</f>
        <v/>
      </c>
      <c r="L1277" s="0" t="str">
        <f aca="false">IF(A1277="","",MONTH(A1277))</f>
        <v/>
      </c>
    </row>
    <row r="1278" customFormat="false" ht="15" hidden="false" customHeight="false" outlineLevel="0" collapsed="false">
      <c r="A1278" s="27"/>
      <c r="E1278" s="28"/>
      <c r="F1278" s="28"/>
      <c r="I1278" s="28" t="str">
        <f aca="false">IF(A1278="","",D1278*E1278)</f>
        <v/>
      </c>
      <c r="J1278" s="28" t="str">
        <f aca="false">IF(A1278="","",D1278*F1278)</f>
        <v/>
      </c>
      <c r="K1278" s="0" t="str">
        <f aca="false">IF(A1278="","",YEAR(A1278))</f>
        <v/>
      </c>
      <c r="L1278" s="0" t="str">
        <f aca="false">IF(A1278="","",MONTH(A1278))</f>
        <v/>
      </c>
    </row>
    <row r="1279" customFormat="false" ht="15" hidden="false" customHeight="false" outlineLevel="0" collapsed="false">
      <c r="A1279" s="27"/>
      <c r="E1279" s="28"/>
      <c r="F1279" s="28"/>
      <c r="I1279" s="28" t="str">
        <f aca="false">IF(A1279="","",D1279*E1279)</f>
        <v/>
      </c>
      <c r="J1279" s="28" t="str">
        <f aca="false">IF(A1279="","",D1279*F1279)</f>
        <v/>
      </c>
      <c r="K1279" s="0" t="str">
        <f aca="false">IF(A1279="","",YEAR(A1279))</f>
        <v/>
      </c>
      <c r="L1279" s="0" t="str">
        <f aca="false">IF(A1279="","",MONTH(A1279))</f>
        <v/>
      </c>
    </row>
    <row r="1280" customFormat="false" ht="15" hidden="false" customHeight="false" outlineLevel="0" collapsed="false">
      <c r="A1280" s="27"/>
      <c r="E1280" s="28"/>
      <c r="F1280" s="28"/>
      <c r="I1280" s="28" t="str">
        <f aca="false">IF(A1280="","",D1280*E1280)</f>
        <v/>
      </c>
      <c r="J1280" s="28" t="str">
        <f aca="false">IF(A1280="","",D1280*F1280)</f>
        <v/>
      </c>
      <c r="K1280" s="0" t="str">
        <f aca="false">IF(A1280="","",YEAR(A1280))</f>
        <v/>
      </c>
      <c r="L1280" s="0" t="str">
        <f aca="false">IF(A1280="","",MONTH(A1280))</f>
        <v/>
      </c>
    </row>
    <row r="1281" customFormat="false" ht="15" hidden="false" customHeight="false" outlineLevel="0" collapsed="false">
      <c r="A1281" s="27"/>
      <c r="E1281" s="28"/>
      <c r="F1281" s="28"/>
      <c r="I1281" s="28" t="str">
        <f aca="false">IF(A1281="","",D1281*E1281)</f>
        <v/>
      </c>
      <c r="J1281" s="28" t="str">
        <f aca="false">IF(A1281="","",D1281*F1281)</f>
        <v/>
      </c>
      <c r="K1281" s="0" t="str">
        <f aca="false">IF(A1281="","",YEAR(A1281))</f>
        <v/>
      </c>
      <c r="L1281" s="0" t="str">
        <f aca="false">IF(A1281="","",MONTH(A1281))</f>
        <v/>
      </c>
    </row>
    <row r="1282" customFormat="false" ht="15" hidden="false" customHeight="false" outlineLevel="0" collapsed="false">
      <c r="A1282" s="27"/>
      <c r="E1282" s="28"/>
      <c r="F1282" s="28"/>
      <c r="I1282" s="28" t="str">
        <f aca="false">IF(A1282="","",D1282*E1282)</f>
        <v/>
      </c>
      <c r="J1282" s="28" t="str">
        <f aca="false">IF(A1282="","",D1282*F1282)</f>
        <v/>
      </c>
      <c r="K1282" s="0" t="str">
        <f aca="false">IF(A1282="","",YEAR(A1282))</f>
        <v/>
      </c>
      <c r="L1282" s="0" t="str">
        <f aca="false">IF(A1282="","",MONTH(A1282))</f>
        <v/>
      </c>
    </row>
    <row r="1283" customFormat="false" ht="15" hidden="false" customHeight="false" outlineLevel="0" collapsed="false">
      <c r="A1283" s="27"/>
      <c r="E1283" s="28"/>
      <c r="F1283" s="28"/>
      <c r="I1283" s="28" t="str">
        <f aca="false">IF(A1283="","",D1283*E1283)</f>
        <v/>
      </c>
      <c r="J1283" s="28" t="str">
        <f aca="false">IF(A1283="","",D1283*F1283)</f>
        <v/>
      </c>
      <c r="K1283" s="0" t="str">
        <f aca="false">IF(A1283="","",YEAR(A1283))</f>
        <v/>
      </c>
      <c r="L1283" s="0" t="str">
        <f aca="false">IF(A1283="","",MONTH(A1283))</f>
        <v/>
      </c>
    </row>
    <row r="1284" customFormat="false" ht="15" hidden="false" customHeight="false" outlineLevel="0" collapsed="false">
      <c r="A1284" s="27"/>
      <c r="E1284" s="28"/>
      <c r="F1284" s="28"/>
      <c r="I1284" s="28" t="str">
        <f aca="false">IF(A1284="","",D1284*E1284)</f>
        <v/>
      </c>
      <c r="J1284" s="28" t="str">
        <f aca="false">IF(A1284="","",D1284*F1284)</f>
        <v/>
      </c>
      <c r="K1284" s="0" t="str">
        <f aca="false">IF(A1284="","",YEAR(A1284))</f>
        <v/>
      </c>
      <c r="L1284" s="0" t="str">
        <f aca="false">IF(A1284="","",MONTH(A1284))</f>
        <v/>
      </c>
    </row>
    <row r="1285" customFormat="false" ht="15" hidden="false" customHeight="false" outlineLevel="0" collapsed="false">
      <c r="A1285" s="27"/>
      <c r="E1285" s="28"/>
      <c r="F1285" s="28"/>
      <c r="I1285" s="28" t="str">
        <f aca="false">IF(A1285="","",D1285*E1285)</f>
        <v/>
      </c>
      <c r="J1285" s="28" t="str">
        <f aca="false">IF(A1285="","",D1285*F1285)</f>
        <v/>
      </c>
      <c r="K1285" s="0" t="str">
        <f aca="false">IF(A1285="","",YEAR(A1285))</f>
        <v/>
      </c>
      <c r="L1285" s="0" t="str">
        <f aca="false">IF(A1285="","",MONTH(A1285))</f>
        <v/>
      </c>
    </row>
    <row r="1286" customFormat="false" ht="15" hidden="false" customHeight="false" outlineLevel="0" collapsed="false">
      <c r="A1286" s="27"/>
      <c r="E1286" s="28"/>
      <c r="F1286" s="28"/>
      <c r="I1286" s="28" t="str">
        <f aca="false">IF(A1286="","",D1286*E1286)</f>
        <v/>
      </c>
      <c r="J1286" s="28" t="str">
        <f aca="false">IF(A1286="","",D1286*F1286)</f>
        <v/>
      </c>
      <c r="K1286" s="0" t="str">
        <f aca="false">IF(A1286="","",YEAR(A1286))</f>
        <v/>
      </c>
      <c r="L1286" s="0" t="str">
        <f aca="false">IF(A1286="","",MONTH(A1286))</f>
        <v/>
      </c>
    </row>
    <row r="1287" customFormat="false" ht="15" hidden="false" customHeight="false" outlineLevel="0" collapsed="false">
      <c r="A1287" s="27"/>
      <c r="E1287" s="28"/>
      <c r="F1287" s="28"/>
      <c r="I1287" s="28" t="str">
        <f aca="false">IF(A1287="","",D1287*E1287)</f>
        <v/>
      </c>
      <c r="J1287" s="28" t="str">
        <f aca="false">IF(A1287="","",D1287*F1287)</f>
        <v/>
      </c>
      <c r="K1287" s="0" t="str">
        <f aca="false">IF(A1287="","",YEAR(A1287))</f>
        <v/>
      </c>
      <c r="L1287" s="0" t="str">
        <f aca="false">IF(A1287="","",MONTH(A1287))</f>
        <v/>
      </c>
    </row>
    <row r="1288" customFormat="false" ht="15" hidden="false" customHeight="false" outlineLevel="0" collapsed="false">
      <c r="A1288" s="27"/>
      <c r="E1288" s="28"/>
      <c r="F1288" s="28"/>
      <c r="I1288" s="28" t="str">
        <f aca="false">IF(A1288="","",D1288*E1288)</f>
        <v/>
      </c>
      <c r="J1288" s="28" t="str">
        <f aca="false">IF(A1288="","",D1288*F1288)</f>
        <v/>
      </c>
      <c r="K1288" s="0" t="str">
        <f aca="false">IF(A1288="","",YEAR(A1288))</f>
        <v/>
      </c>
      <c r="L1288" s="0" t="str">
        <f aca="false">IF(A1288="","",MONTH(A1288))</f>
        <v/>
      </c>
    </row>
    <row r="1289" customFormat="false" ht="15" hidden="false" customHeight="false" outlineLevel="0" collapsed="false">
      <c r="A1289" s="27"/>
      <c r="E1289" s="28"/>
      <c r="F1289" s="28"/>
      <c r="I1289" s="28" t="str">
        <f aca="false">IF(A1289="","",D1289*E1289)</f>
        <v/>
      </c>
      <c r="J1289" s="28" t="str">
        <f aca="false">IF(A1289="","",D1289*F1289)</f>
        <v/>
      </c>
      <c r="K1289" s="0" t="str">
        <f aca="false">IF(A1289="","",YEAR(A1289))</f>
        <v/>
      </c>
      <c r="L1289" s="0" t="str">
        <f aca="false">IF(A1289="","",MONTH(A1289))</f>
        <v/>
      </c>
    </row>
    <row r="1290" customFormat="false" ht="15" hidden="false" customHeight="false" outlineLevel="0" collapsed="false">
      <c r="A1290" s="27"/>
      <c r="E1290" s="28"/>
      <c r="F1290" s="28"/>
      <c r="I1290" s="28" t="str">
        <f aca="false">IF(A1290="","",D1290*E1290)</f>
        <v/>
      </c>
      <c r="J1290" s="28" t="str">
        <f aca="false">IF(A1290="","",D1290*F1290)</f>
        <v/>
      </c>
      <c r="K1290" s="0" t="str">
        <f aca="false">IF(A1290="","",YEAR(A1290))</f>
        <v/>
      </c>
      <c r="L1290" s="0" t="str">
        <f aca="false">IF(A1290="","",MONTH(A1290))</f>
        <v/>
      </c>
    </row>
    <row r="1291" customFormat="false" ht="15" hidden="false" customHeight="false" outlineLevel="0" collapsed="false">
      <c r="A1291" s="27"/>
      <c r="E1291" s="28"/>
      <c r="F1291" s="28"/>
      <c r="I1291" s="28" t="str">
        <f aca="false">IF(A1291="","",D1291*E1291)</f>
        <v/>
      </c>
      <c r="J1291" s="28" t="str">
        <f aca="false">IF(A1291="","",D1291*F1291)</f>
        <v/>
      </c>
      <c r="K1291" s="0" t="str">
        <f aca="false">IF(A1291="","",YEAR(A1291))</f>
        <v/>
      </c>
      <c r="L1291" s="0" t="str">
        <f aca="false">IF(A1291="","",MONTH(A1291))</f>
        <v/>
      </c>
    </row>
    <row r="1292" customFormat="false" ht="15" hidden="false" customHeight="false" outlineLevel="0" collapsed="false">
      <c r="A1292" s="27"/>
      <c r="E1292" s="28"/>
      <c r="F1292" s="28"/>
      <c r="I1292" s="28" t="str">
        <f aca="false">IF(A1292="","",D1292*E1292)</f>
        <v/>
      </c>
      <c r="J1292" s="28" t="str">
        <f aca="false">IF(A1292="","",D1292*F1292)</f>
        <v/>
      </c>
      <c r="K1292" s="0" t="str">
        <f aca="false">IF(A1292="","",YEAR(A1292))</f>
        <v/>
      </c>
      <c r="L1292" s="0" t="str">
        <f aca="false">IF(A1292="","",MONTH(A1292))</f>
        <v/>
      </c>
    </row>
    <row r="1293" customFormat="false" ht="15" hidden="false" customHeight="false" outlineLevel="0" collapsed="false">
      <c r="A1293" s="27"/>
      <c r="E1293" s="28"/>
      <c r="F1293" s="28"/>
      <c r="I1293" s="28" t="str">
        <f aca="false">IF(A1293="","",D1293*E1293)</f>
        <v/>
      </c>
      <c r="J1293" s="28" t="str">
        <f aca="false">IF(A1293="","",D1293*F1293)</f>
        <v/>
      </c>
      <c r="K1293" s="0" t="str">
        <f aca="false">IF(A1293="","",YEAR(A1293))</f>
        <v/>
      </c>
      <c r="L1293" s="0" t="str">
        <f aca="false">IF(A1293="","",MONTH(A1293))</f>
        <v/>
      </c>
    </row>
    <row r="1294" customFormat="false" ht="15" hidden="false" customHeight="false" outlineLevel="0" collapsed="false">
      <c r="A1294" s="27"/>
      <c r="E1294" s="28"/>
      <c r="F1294" s="28"/>
      <c r="I1294" s="28" t="str">
        <f aca="false">IF(A1294="","",D1294*E1294)</f>
        <v/>
      </c>
      <c r="J1294" s="28" t="str">
        <f aca="false">IF(A1294="","",D1294*F1294)</f>
        <v/>
      </c>
      <c r="K1294" s="0" t="str">
        <f aca="false">IF(A1294="","",YEAR(A1294))</f>
        <v/>
      </c>
      <c r="L1294" s="0" t="str">
        <f aca="false">IF(A1294="","",MONTH(A1294))</f>
        <v/>
      </c>
    </row>
    <row r="1295" customFormat="false" ht="15" hidden="false" customHeight="false" outlineLevel="0" collapsed="false">
      <c r="A1295" s="27"/>
      <c r="E1295" s="28"/>
      <c r="F1295" s="28"/>
      <c r="I1295" s="28" t="str">
        <f aca="false">IF(A1295="","",D1295*E1295)</f>
        <v/>
      </c>
      <c r="J1295" s="28" t="str">
        <f aca="false">IF(A1295="","",D1295*F1295)</f>
        <v/>
      </c>
      <c r="K1295" s="0" t="str">
        <f aca="false">IF(A1295="","",YEAR(A1295))</f>
        <v/>
      </c>
      <c r="L1295" s="0" t="str">
        <f aca="false">IF(A1295="","",MONTH(A1295))</f>
        <v/>
      </c>
    </row>
    <row r="1296" customFormat="false" ht="15" hidden="false" customHeight="false" outlineLevel="0" collapsed="false">
      <c r="A1296" s="27"/>
      <c r="E1296" s="28"/>
      <c r="F1296" s="28"/>
      <c r="I1296" s="28" t="str">
        <f aca="false">IF(A1296="","",D1296*E1296)</f>
        <v/>
      </c>
      <c r="J1296" s="28" t="str">
        <f aca="false">IF(A1296="","",D1296*F1296)</f>
        <v/>
      </c>
      <c r="K1296" s="0" t="str">
        <f aca="false">IF(A1296="","",YEAR(A1296))</f>
        <v/>
      </c>
      <c r="L1296" s="0" t="str">
        <f aca="false">IF(A1296="","",MONTH(A1296))</f>
        <v/>
      </c>
    </row>
    <row r="1297" customFormat="false" ht="15" hidden="false" customHeight="false" outlineLevel="0" collapsed="false">
      <c r="A1297" s="27"/>
      <c r="E1297" s="28"/>
      <c r="F1297" s="28"/>
      <c r="I1297" s="28" t="str">
        <f aca="false">IF(A1297="","",D1297*E1297)</f>
        <v/>
      </c>
      <c r="J1297" s="28" t="str">
        <f aca="false">IF(A1297="","",D1297*F1297)</f>
        <v/>
      </c>
      <c r="K1297" s="0" t="str">
        <f aca="false">IF(A1297="","",YEAR(A1297))</f>
        <v/>
      </c>
      <c r="L1297" s="0" t="str">
        <f aca="false">IF(A1297="","",MONTH(A1297))</f>
        <v/>
      </c>
    </row>
    <row r="1298" customFormat="false" ht="15" hidden="false" customHeight="false" outlineLevel="0" collapsed="false">
      <c r="A1298" s="27"/>
      <c r="E1298" s="28"/>
      <c r="F1298" s="28"/>
      <c r="I1298" s="28" t="str">
        <f aca="false">IF(A1298="","",D1298*E1298)</f>
        <v/>
      </c>
      <c r="J1298" s="28" t="str">
        <f aca="false">IF(A1298="","",D1298*F1298)</f>
        <v/>
      </c>
      <c r="K1298" s="0" t="str">
        <f aca="false">IF(A1298="","",YEAR(A1298))</f>
        <v/>
      </c>
      <c r="L1298" s="0" t="str">
        <f aca="false">IF(A1298="","",MONTH(A1298))</f>
        <v/>
      </c>
    </row>
    <row r="1299" customFormat="false" ht="15" hidden="false" customHeight="false" outlineLevel="0" collapsed="false">
      <c r="A1299" s="27"/>
      <c r="E1299" s="28"/>
      <c r="F1299" s="28"/>
      <c r="I1299" s="28" t="str">
        <f aca="false">IF(A1299="","",D1299*E1299)</f>
        <v/>
      </c>
      <c r="J1299" s="28" t="str">
        <f aca="false">IF(A1299="","",D1299*F1299)</f>
        <v/>
      </c>
      <c r="K1299" s="0" t="str">
        <f aca="false">IF(A1299="","",YEAR(A1299))</f>
        <v/>
      </c>
      <c r="L1299" s="0" t="str">
        <f aca="false">IF(A1299="","",MONTH(A1299))</f>
        <v/>
      </c>
    </row>
    <row r="1300" customFormat="false" ht="15" hidden="false" customHeight="false" outlineLevel="0" collapsed="false">
      <c r="A1300" s="27"/>
      <c r="E1300" s="28"/>
      <c r="F1300" s="28"/>
      <c r="I1300" s="28" t="str">
        <f aca="false">IF(A1300="","",D1300*E1300)</f>
        <v/>
      </c>
      <c r="J1300" s="28" t="str">
        <f aca="false">IF(A1300="","",D1300*F1300)</f>
        <v/>
      </c>
      <c r="K1300" s="0" t="str">
        <f aca="false">IF(A1300="","",YEAR(A1300))</f>
        <v/>
      </c>
      <c r="L1300" s="0" t="str">
        <f aca="false">IF(A1300="","",MONTH(A1300))</f>
        <v/>
      </c>
    </row>
    <row r="1301" customFormat="false" ht="15" hidden="false" customHeight="false" outlineLevel="0" collapsed="false">
      <c r="A1301" s="27"/>
      <c r="E1301" s="28"/>
      <c r="F1301" s="28"/>
      <c r="I1301" s="28" t="str">
        <f aca="false">IF(A1301="","",D1301*E1301)</f>
        <v/>
      </c>
      <c r="J1301" s="28" t="str">
        <f aca="false">IF(A1301="","",D1301*F1301)</f>
        <v/>
      </c>
      <c r="K1301" s="0" t="str">
        <f aca="false">IF(A1301="","",YEAR(A1301))</f>
        <v/>
      </c>
      <c r="L1301" s="0" t="str">
        <f aca="false">IF(A1301="","",MONTH(A1301))</f>
        <v/>
      </c>
    </row>
    <row r="1302" customFormat="false" ht="15" hidden="false" customHeight="false" outlineLevel="0" collapsed="false">
      <c r="A1302" s="27"/>
      <c r="E1302" s="28"/>
      <c r="F1302" s="28"/>
      <c r="I1302" s="28" t="str">
        <f aca="false">IF(A1302="","",D1302*E1302)</f>
        <v/>
      </c>
      <c r="J1302" s="28" t="str">
        <f aca="false">IF(A1302="","",D1302*F1302)</f>
        <v/>
      </c>
      <c r="K1302" s="0" t="str">
        <f aca="false">IF(A1302="","",YEAR(A1302))</f>
        <v/>
      </c>
      <c r="L1302" s="0" t="str">
        <f aca="false">IF(A1302="","",MONTH(A1302))</f>
        <v/>
      </c>
    </row>
    <row r="1303" customFormat="false" ht="15" hidden="false" customHeight="false" outlineLevel="0" collapsed="false">
      <c r="A1303" s="27"/>
      <c r="E1303" s="28"/>
      <c r="F1303" s="28"/>
      <c r="I1303" s="28" t="str">
        <f aca="false">IF(A1303="","",D1303*E1303)</f>
        <v/>
      </c>
      <c r="J1303" s="28" t="str">
        <f aca="false">IF(A1303="","",D1303*F1303)</f>
        <v/>
      </c>
      <c r="K1303" s="0" t="str">
        <f aca="false">IF(A1303="","",YEAR(A1303))</f>
        <v/>
      </c>
      <c r="L1303" s="0" t="str">
        <f aca="false">IF(A1303="","",MONTH(A1303))</f>
        <v/>
      </c>
    </row>
    <row r="1304" customFormat="false" ht="15" hidden="false" customHeight="false" outlineLevel="0" collapsed="false">
      <c r="A1304" s="27"/>
      <c r="E1304" s="28"/>
      <c r="F1304" s="28"/>
      <c r="I1304" s="28" t="str">
        <f aca="false">IF(A1304="","",D1304*E1304)</f>
        <v/>
      </c>
      <c r="J1304" s="28" t="str">
        <f aca="false">IF(A1304="","",D1304*F1304)</f>
        <v/>
      </c>
      <c r="K1304" s="0" t="str">
        <f aca="false">IF(A1304="","",YEAR(A1304))</f>
        <v/>
      </c>
      <c r="L1304" s="0" t="str">
        <f aca="false">IF(A1304="","",MONTH(A1304))</f>
        <v/>
      </c>
    </row>
    <row r="1305" customFormat="false" ht="15" hidden="false" customHeight="false" outlineLevel="0" collapsed="false">
      <c r="A1305" s="27"/>
      <c r="E1305" s="28"/>
      <c r="F1305" s="28"/>
      <c r="I1305" s="28" t="str">
        <f aca="false">IF(A1305="","",D1305*E1305)</f>
        <v/>
      </c>
      <c r="J1305" s="28" t="str">
        <f aca="false">IF(A1305="","",D1305*F1305)</f>
        <v/>
      </c>
      <c r="K1305" s="0" t="str">
        <f aca="false">IF(A1305="","",YEAR(A1305))</f>
        <v/>
      </c>
      <c r="L1305" s="0" t="str">
        <f aca="false">IF(A1305="","",MONTH(A1305))</f>
        <v/>
      </c>
    </row>
    <row r="1306" customFormat="false" ht="15" hidden="false" customHeight="false" outlineLevel="0" collapsed="false">
      <c r="A1306" s="27"/>
      <c r="E1306" s="28"/>
      <c r="F1306" s="28"/>
      <c r="I1306" s="28" t="str">
        <f aca="false">IF(A1306="","",D1306*E1306)</f>
        <v/>
      </c>
      <c r="J1306" s="28" t="str">
        <f aca="false">IF(A1306="","",D1306*F1306)</f>
        <v/>
      </c>
      <c r="K1306" s="0" t="str">
        <f aca="false">IF(A1306="","",YEAR(A1306))</f>
        <v/>
      </c>
      <c r="L1306" s="0" t="str">
        <f aca="false">IF(A1306="","",MONTH(A1306))</f>
        <v/>
      </c>
    </row>
    <row r="1307" customFormat="false" ht="15" hidden="false" customHeight="false" outlineLevel="0" collapsed="false">
      <c r="A1307" s="27"/>
      <c r="E1307" s="28"/>
      <c r="F1307" s="28"/>
      <c r="I1307" s="28" t="str">
        <f aca="false">IF(A1307="","",D1307*E1307)</f>
        <v/>
      </c>
      <c r="J1307" s="28" t="str">
        <f aca="false">IF(A1307="","",D1307*F1307)</f>
        <v/>
      </c>
      <c r="K1307" s="0" t="str">
        <f aca="false">IF(A1307="","",YEAR(A1307))</f>
        <v/>
      </c>
      <c r="L1307" s="0" t="str">
        <f aca="false">IF(A1307="","",MONTH(A1307))</f>
        <v/>
      </c>
    </row>
    <row r="1308" customFormat="false" ht="15" hidden="false" customHeight="false" outlineLevel="0" collapsed="false">
      <c r="A1308" s="27"/>
      <c r="E1308" s="28"/>
      <c r="F1308" s="28"/>
      <c r="I1308" s="28" t="str">
        <f aca="false">IF(A1308="","",D1308*E1308)</f>
        <v/>
      </c>
      <c r="J1308" s="28" t="str">
        <f aca="false">IF(A1308="","",D1308*F1308)</f>
        <v/>
      </c>
      <c r="K1308" s="0" t="str">
        <f aca="false">IF(A1308="","",YEAR(A1308))</f>
        <v/>
      </c>
      <c r="L1308" s="0" t="str">
        <f aca="false">IF(A1308="","",MONTH(A1308))</f>
        <v/>
      </c>
    </row>
    <row r="1309" customFormat="false" ht="15" hidden="false" customHeight="false" outlineLevel="0" collapsed="false">
      <c r="A1309" s="27"/>
      <c r="E1309" s="28"/>
      <c r="F1309" s="28"/>
      <c r="I1309" s="28" t="str">
        <f aca="false">IF(A1309="","",D1309*E1309)</f>
        <v/>
      </c>
      <c r="J1309" s="28" t="str">
        <f aca="false">IF(A1309="","",D1309*F1309)</f>
        <v/>
      </c>
      <c r="K1309" s="0" t="str">
        <f aca="false">IF(A1309="","",YEAR(A1309))</f>
        <v/>
      </c>
      <c r="L1309" s="0" t="str">
        <f aca="false">IF(A1309="","",MONTH(A1309))</f>
        <v/>
      </c>
    </row>
    <row r="1310" customFormat="false" ht="15" hidden="false" customHeight="false" outlineLevel="0" collapsed="false">
      <c r="A1310" s="27"/>
      <c r="E1310" s="28"/>
      <c r="F1310" s="28"/>
      <c r="I1310" s="28" t="str">
        <f aca="false">IF(A1310="","",D1310*E1310)</f>
        <v/>
      </c>
      <c r="J1310" s="28" t="str">
        <f aca="false">IF(A1310="","",D1310*F1310)</f>
        <v/>
      </c>
      <c r="K1310" s="0" t="str">
        <f aca="false">IF(A1310="","",YEAR(A1310))</f>
        <v/>
      </c>
      <c r="L1310" s="0" t="str">
        <f aca="false">IF(A1310="","",MONTH(A1310))</f>
        <v/>
      </c>
    </row>
    <row r="1311" customFormat="false" ht="15" hidden="false" customHeight="false" outlineLevel="0" collapsed="false">
      <c r="A1311" s="27"/>
      <c r="E1311" s="28"/>
      <c r="F1311" s="28"/>
      <c r="I1311" s="28" t="str">
        <f aca="false">IF(A1311="","",D1311*E1311)</f>
        <v/>
      </c>
      <c r="J1311" s="28" t="str">
        <f aca="false">IF(A1311="","",D1311*F1311)</f>
        <v/>
      </c>
      <c r="K1311" s="0" t="str">
        <f aca="false">IF(A1311="","",YEAR(A1311))</f>
        <v/>
      </c>
      <c r="L1311" s="0" t="str">
        <f aca="false">IF(A1311="","",MONTH(A1311))</f>
        <v/>
      </c>
    </row>
    <row r="1312" customFormat="false" ht="15" hidden="false" customHeight="false" outlineLevel="0" collapsed="false">
      <c r="A1312" s="27"/>
      <c r="E1312" s="28"/>
      <c r="F1312" s="28"/>
      <c r="I1312" s="28" t="str">
        <f aca="false">IF(A1312="","",D1312*E1312)</f>
        <v/>
      </c>
      <c r="J1312" s="28" t="str">
        <f aca="false">IF(A1312="","",D1312*F1312)</f>
        <v/>
      </c>
      <c r="K1312" s="0" t="str">
        <f aca="false">IF(A1312="","",YEAR(A1312))</f>
        <v/>
      </c>
      <c r="L1312" s="0" t="str">
        <f aca="false">IF(A1312="","",MONTH(A1312))</f>
        <v/>
      </c>
    </row>
    <row r="1313" customFormat="false" ht="15" hidden="false" customHeight="false" outlineLevel="0" collapsed="false">
      <c r="A1313" s="27"/>
      <c r="E1313" s="28"/>
      <c r="F1313" s="28"/>
      <c r="I1313" s="28" t="str">
        <f aca="false">IF(A1313="","",D1313*E1313)</f>
        <v/>
      </c>
      <c r="J1313" s="28" t="str">
        <f aca="false">IF(A1313="","",D1313*F1313)</f>
        <v/>
      </c>
      <c r="K1313" s="0" t="str">
        <f aca="false">IF(A1313="","",YEAR(A1313))</f>
        <v/>
      </c>
      <c r="L1313" s="0" t="str">
        <f aca="false">IF(A1313="","",MONTH(A1313))</f>
        <v/>
      </c>
    </row>
    <row r="1314" customFormat="false" ht="15" hidden="false" customHeight="false" outlineLevel="0" collapsed="false">
      <c r="A1314" s="27"/>
      <c r="E1314" s="28"/>
      <c r="F1314" s="28"/>
      <c r="I1314" s="28" t="str">
        <f aca="false">IF(A1314="","",D1314*E1314)</f>
        <v/>
      </c>
      <c r="J1314" s="28" t="str">
        <f aca="false">IF(A1314="","",D1314*F1314)</f>
        <v/>
      </c>
      <c r="K1314" s="0" t="str">
        <f aca="false">IF(A1314="","",YEAR(A1314))</f>
        <v/>
      </c>
      <c r="L1314" s="0" t="str">
        <f aca="false">IF(A1314="","",MONTH(A1314))</f>
        <v/>
      </c>
    </row>
    <row r="1315" customFormat="false" ht="15" hidden="false" customHeight="false" outlineLevel="0" collapsed="false">
      <c r="A1315" s="27"/>
      <c r="E1315" s="28"/>
      <c r="F1315" s="28"/>
      <c r="I1315" s="28" t="str">
        <f aca="false">IF(A1315="","",D1315*E1315)</f>
        <v/>
      </c>
      <c r="J1315" s="28" t="str">
        <f aca="false">IF(A1315="","",D1315*F1315)</f>
        <v/>
      </c>
      <c r="K1315" s="0" t="str">
        <f aca="false">IF(A1315="","",YEAR(A1315))</f>
        <v/>
      </c>
      <c r="L1315" s="0" t="str">
        <f aca="false">IF(A1315="","",MONTH(A1315))</f>
        <v/>
      </c>
    </row>
    <row r="1316" customFormat="false" ht="15" hidden="false" customHeight="false" outlineLevel="0" collapsed="false">
      <c r="A1316" s="27"/>
      <c r="E1316" s="28"/>
      <c r="F1316" s="28"/>
      <c r="I1316" s="28" t="str">
        <f aca="false">IF(A1316="","",D1316*E1316)</f>
        <v/>
      </c>
      <c r="J1316" s="28" t="str">
        <f aca="false">IF(A1316="","",D1316*F1316)</f>
        <v/>
      </c>
      <c r="K1316" s="0" t="str">
        <f aca="false">IF(A1316="","",YEAR(A1316))</f>
        <v/>
      </c>
      <c r="L1316" s="0" t="str">
        <f aca="false">IF(A1316="","",MONTH(A1316))</f>
        <v/>
      </c>
    </row>
    <row r="1317" customFormat="false" ht="15" hidden="false" customHeight="false" outlineLevel="0" collapsed="false">
      <c r="A1317" s="27"/>
      <c r="E1317" s="28"/>
      <c r="F1317" s="28"/>
      <c r="I1317" s="28" t="str">
        <f aca="false">IF(A1317="","",D1317*E1317)</f>
        <v/>
      </c>
      <c r="J1317" s="28" t="str">
        <f aca="false">IF(A1317="","",D1317*F1317)</f>
        <v/>
      </c>
      <c r="K1317" s="0" t="str">
        <f aca="false">IF(A1317="","",YEAR(A1317))</f>
        <v/>
      </c>
      <c r="L1317" s="0" t="str">
        <f aca="false">IF(A1317="","",MONTH(A1317))</f>
        <v/>
      </c>
    </row>
    <row r="1318" customFormat="false" ht="15" hidden="false" customHeight="false" outlineLevel="0" collapsed="false">
      <c r="A1318" s="27"/>
      <c r="E1318" s="28"/>
      <c r="F1318" s="28"/>
      <c r="I1318" s="28" t="str">
        <f aca="false">IF(A1318="","",D1318*E1318)</f>
        <v/>
      </c>
      <c r="J1318" s="28" t="str">
        <f aca="false">IF(A1318="","",D1318*F1318)</f>
        <v/>
      </c>
      <c r="K1318" s="0" t="str">
        <f aca="false">IF(A1318="","",YEAR(A1318))</f>
        <v/>
      </c>
      <c r="L1318" s="0" t="str">
        <f aca="false">IF(A1318="","",MONTH(A1318))</f>
        <v/>
      </c>
    </row>
    <row r="1319" customFormat="false" ht="15" hidden="false" customHeight="false" outlineLevel="0" collapsed="false">
      <c r="A1319" s="27"/>
      <c r="E1319" s="28"/>
      <c r="F1319" s="28"/>
      <c r="I1319" s="28" t="str">
        <f aca="false">IF(A1319="","",D1319*E1319)</f>
        <v/>
      </c>
      <c r="J1319" s="28" t="str">
        <f aca="false">IF(A1319="","",D1319*F1319)</f>
        <v/>
      </c>
      <c r="K1319" s="0" t="str">
        <f aca="false">IF(A1319="","",YEAR(A1319))</f>
        <v/>
      </c>
      <c r="L1319" s="0" t="str">
        <f aca="false">IF(A1319="","",MONTH(A1319))</f>
        <v/>
      </c>
    </row>
    <row r="1320" customFormat="false" ht="15" hidden="false" customHeight="false" outlineLevel="0" collapsed="false">
      <c r="A1320" s="27"/>
      <c r="E1320" s="28"/>
      <c r="F1320" s="28"/>
      <c r="I1320" s="28" t="str">
        <f aca="false">IF(A1320="","",D1320*E1320)</f>
        <v/>
      </c>
      <c r="J1320" s="28" t="str">
        <f aca="false">IF(A1320="","",D1320*F1320)</f>
        <v/>
      </c>
      <c r="K1320" s="0" t="str">
        <f aca="false">IF(A1320="","",YEAR(A1320))</f>
        <v/>
      </c>
      <c r="L1320" s="0" t="str">
        <f aca="false">IF(A1320="","",MONTH(A1320))</f>
        <v/>
      </c>
    </row>
    <row r="1321" customFormat="false" ht="15" hidden="false" customHeight="false" outlineLevel="0" collapsed="false">
      <c r="A1321" s="27"/>
      <c r="E1321" s="28"/>
      <c r="F1321" s="28"/>
      <c r="I1321" s="28" t="str">
        <f aca="false">IF(A1321="","",D1321*E1321)</f>
        <v/>
      </c>
      <c r="J1321" s="28" t="str">
        <f aca="false">IF(A1321="","",D1321*F1321)</f>
        <v/>
      </c>
      <c r="K1321" s="0" t="str">
        <f aca="false">IF(A1321="","",YEAR(A1321))</f>
        <v/>
      </c>
      <c r="L1321" s="0" t="str">
        <f aca="false">IF(A1321="","",MONTH(A1321))</f>
        <v/>
      </c>
    </row>
    <row r="1322" customFormat="false" ht="15" hidden="false" customHeight="false" outlineLevel="0" collapsed="false">
      <c r="A1322" s="27"/>
      <c r="E1322" s="28"/>
      <c r="F1322" s="28"/>
      <c r="I1322" s="28" t="str">
        <f aca="false">IF(A1322="","",D1322*E1322)</f>
        <v/>
      </c>
      <c r="J1322" s="28" t="str">
        <f aca="false">IF(A1322="","",D1322*F1322)</f>
        <v/>
      </c>
      <c r="K1322" s="0" t="str">
        <f aca="false">IF(A1322="","",YEAR(A1322))</f>
        <v/>
      </c>
      <c r="L1322" s="0" t="str">
        <f aca="false">IF(A1322="","",MONTH(A1322))</f>
        <v/>
      </c>
    </row>
    <row r="1323" customFormat="false" ht="15" hidden="false" customHeight="false" outlineLevel="0" collapsed="false">
      <c r="A1323" s="27"/>
      <c r="E1323" s="28"/>
      <c r="F1323" s="28"/>
      <c r="I1323" s="28" t="str">
        <f aca="false">IF(A1323="","",D1323*E1323)</f>
        <v/>
      </c>
      <c r="J1323" s="28" t="str">
        <f aca="false">IF(A1323="","",D1323*F1323)</f>
        <v/>
      </c>
      <c r="K1323" s="0" t="str">
        <f aca="false">IF(A1323="","",YEAR(A1323))</f>
        <v/>
      </c>
      <c r="L1323" s="0" t="str">
        <f aca="false">IF(A1323="","",MONTH(A1323))</f>
        <v/>
      </c>
    </row>
    <row r="1324" customFormat="false" ht="15" hidden="false" customHeight="false" outlineLevel="0" collapsed="false">
      <c r="A1324" s="27"/>
      <c r="E1324" s="28"/>
      <c r="F1324" s="28"/>
      <c r="I1324" s="28" t="str">
        <f aca="false">IF(A1324="","",D1324*E1324)</f>
        <v/>
      </c>
      <c r="J1324" s="28" t="str">
        <f aca="false">IF(A1324="","",D1324*F1324)</f>
        <v/>
      </c>
      <c r="K1324" s="0" t="str">
        <f aca="false">IF(A1324="","",YEAR(A1324))</f>
        <v/>
      </c>
      <c r="L1324" s="0" t="str">
        <f aca="false">IF(A1324="","",MONTH(A1324))</f>
        <v/>
      </c>
    </row>
    <row r="1325" customFormat="false" ht="15" hidden="false" customHeight="false" outlineLevel="0" collapsed="false">
      <c r="A1325" s="27"/>
      <c r="E1325" s="28"/>
      <c r="F1325" s="28"/>
      <c r="I1325" s="28" t="str">
        <f aca="false">IF(A1325="","",D1325*E1325)</f>
        <v/>
      </c>
      <c r="J1325" s="28" t="str">
        <f aca="false">IF(A1325="","",D1325*F1325)</f>
        <v/>
      </c>
      <c r="K1325" s="0" t="str">
        <f aca="false">IF(A1325="","",YEAR(A1325))</f>
        <v/>
      </c>
      <c r="L1325" s="0" t="str">
        <f aca="false">IF(A1325="","",MONTH(A1325))</f>
        <v/>
      </c>
    </row>
    <row r="1326" customFormat="false" ht="15" hidden="false" customHeight="false" outlineLevel="0" collapsed="false">
      <c r="A1326" s="27"/>
      <c r="E1326" s="28"/>
      <c r="F1326" s="28"/>
      <c r="I1326" s="28" t="str">
        <f aca="false">IF(A1326="","",D1326*E1326)</f>
        <v/>
      </c>
      <c r="J1326" s="28" t="str">
        <f aca="false">IF(A1326="","",D1326*F1326)</f>
        <v/>
      </c>
      <c r="K1326" s="0" t="str">
        <f aca="false">IF(A1326="","",YEAR(A1326))</f>
        <v/>
      </c>
      <c r="L1326" s="0" t="str">
        <f aca="false">IF(A1326="","",MONTH(A1326))</f>
        <v/>
      </c>
    </row>
    <row r="1327" customFormat="false" ht="15" hidden="false" customHeight="false" outlineLevel="0" collapsed="false">
      <c r="A1327" s="27"/>
      <c r="E1327" s="28"/>
      <c r="F1327" s="28"/>
      <c r="I1327" s="28" t="str">
        <f aca="false">IF(A1327="","",D1327*E1327)</f>
        <v/>
      </c>
      <c r="J1327" s="28" t="str">
        <f aca="false">IF(A1327="","",D1327*F1327)</f>
        <v/>
      </c>
      <c r="K1327" s="0" t="str">
        <f aca="false">IF(A1327="","",YEAR(A1327))</f>
        <v/>
      </c>
      <c r="L1327" s="0" t="str">
        <f aca="false">IF(A1327="","",MONTH(A1327))</f>
        <v/>
      </c>
    </row>
    <row r="1328" customFormat="false" ht="15" hidden="false" customHeight="false" outlineLevel="0" collapsed="false">
      <c r="A1328" s="27"/>
      <c r="E1328" s="28"/>
      <c r="F1328" s="28"/>
      <c r="I1328" s="28" t="str">
        <f aca="false">IF(A1328="","",D1328*E1328)</f>
        <v/>
      </c>
      <c r="J1328" s="28" t="str">
        <f aca="false">IF(A1328="","",D1328*F1328)</f>
        <v/>
      </c>
      <c r="K1328" s="0" t="str">
        <f aca="false">IF(A1328="","",YEAR(A1328))</f>
        <v/>
      </c>
      <c r="L1328" s="0" t="str">
        <f aca="false">IF(A1328="","",MONTH(A1328))</f>
        <v/>
      </c>
    </row>
    <row r="1329" customFormat="false" ht="15" hidden="false" customHeight="false" outlineLevel="0" collapsed="false">
      <c r="A1329" s="27"/>
      <c r="E1329" s="28"/>
      <c r="F1329" s="28"/>
      <c r="I1329" s="28" t="str">
        <f aca="false">IF(A1329="","",D1329*E1329)</f>
        <v/>
      </c>
      <c r="J1329" s="28" t="str">
        <f aca="false">IF(A1329="","",D1329*F1329)</f>
        <v/>
      </c>
      <c r="K1329" s="0" t="str">
        <f aca="false">IF(A1329="","",YEAR(A1329))</f>
        <v/>
      </c>
      <c r="L1329" s="0" t="str">
        <f aca="false">IF(A1329="","",MONTH(A1329))</f>
        <v/>
      </c>
    </row>
    <row r="1330" customFormat="false" ht="15" hidden="false" customHeight="false" outlineLevel="0" collapsed="false">
      <c r="A1330" s="27"/>
      <c r="E1330" s="28"/>
      <c r="F1330" s="28"/>
      <c r="I1330" s="28" t="str">
        <f aca="false">IF(A1330="","",D1330*E1330)</f>
        <v/>
      </c>
      <c r="J1330" s="28" t="str">
        <f aca="false">IF(A1330="","",D1330*F1330)</f>
        <v/>
      </c>
      <c r="K1330" s="0" t="str">
        <f aca="false">IF(A1330="","",YEAR(A1330))</f>
        <v/>
      </c>
      <c r="L1330" s="0" t="str">
        <f aca="false">IF(A1330="","",MONTH(A1330))</f>
        <v/>
      </c>
    </row>
    <row r="1331" customFormat="false" ht="15" hidden="false" customHeight="false" outlineLevel="0" collapsed="false">
      <c r="A1331" s="27"/>
      <c r="E1331" s="28"/>
      <c r="F1331" s="28"/>
      <c r="I1331" s="28" t="str">
        <f aca="false">IF(A1331="","",D1331*E1331)</f>
        <v/>
      </c>
      <c r="J1331" s="28" t="str">
        <f aca="false">IF(A1331="","",D1331*F1331)</f>
        <v/>
      </c>
      <c r="K1331" s="0" t="str">
        <f aca="false">IF(A1331="","",YEAR(A1331))</f>
        <v/>
      </c>
      <c r="L1331" s="0" t="str">
        <f aca="false">IF(A1331="","",MONTH(A1331))</f>
        <v/>
      </c>
    </row>
    <row r="1332" customFormat="false" ht="15" hidden="false" customHeight="false" outlineLevel="0" collapsed="false">
      <c r="A1332" s="27"/>
      <c r="E1332" s="28"/>
      <c r="F1332" s="28"/>
      <c r="I1332" s="28" t="str">
        <f aca="false">IF(A1332="","",D1332*E1332)</f>
        <v/>
      </c>
      <c r="J1332" s="28" t="str">
        <f aca="false">IF(A1332="","",D1332*F1332)</f>
        <v/>
      </c>
      <c r="K1332" s="0" t="str">
        <f aca="false">IF(A1332="","",YEAR(A1332))</f>
        <v/>
      </c>
      <c r="L1332" s="0" t="str">
        <f aca="false">IF(A1332="","",MONTH(A1332))</f>
        <v/>
      </c>
    </row>
    <row r="1333" customFormat="false" ht="15" hidden="false" customHeight="false" outlineLevel="0" collapsed="false">
      <c r="A1333" s="27"/>
      <c r="E1333" s="28"/>
      <c r="F1333" s="28"/>
      <c r="I1333" s="28" t="str">
        <f aca="false">IF(A1333="","",D1333*E1333)</f>
        <v/>
      </c>
      <c r="J1333" s="28" t="str">
        <f aca="false">IF(A1333="","",D1333*F1333)</f>
        <v/>
      </c>
      <c r="K1333" s="0" t="str">
        <f aca="false">IF(A1333="","",YEAR(A1333))</f>
        <v/>
      </c>
      <c r="L1333" s="0" t="str">
        <f aca="false">IF(A1333="","",MONTH(A1333))</f>
        <v/>
      </c>
    </row>
    <row r="1334" customFormat="false" ht="15" hidden="false" customHeight="false" outlineLevel="0" collapsed="false">
      <c r="A1334" s="27"/>
      <c r="E1334" s="28"/>
      <c r="F1334" s="28"/>
      <c r="I1334" s="28" t="str">
        <f aca="false">IF(A1334="","",D1334*E1334)</f>
        <v/>
      </c>
      <c r="J1334" s="28" t="str">
        <f aca="false">IF(A1334="","",D1334*F1334)</f>
        <v/>
      </c>
      <c r="K1334" s="0" t="str">
        <f aca="false">IF(A1334="","",YEAR(A1334))</f>
        <v/>
      </c>
      <c r="L1334" s="0" t="str">
        <f aca="false">IF(A1334="","",MONTH(A1334))</f>
        <v/>
      </c>
    </row>
    <row r="1335" customFormat="false" ht="15" hidden="false" customHeight="false" outlineLevel="0" collapsed="false">
      <c r="A1335" s="27"/>
      <c r="E1335" s="28"/>
      <c r="F1335" s="28"/>
      <c r="I1335" s="28" t="str">
        <f aca="false">IF(A1335="","",D1335*E1335)</f>
        <v/>
      </c>
      <c r="J1335" s="28" t="str">
        <f aca="false">IF(A1335="","",D1335*F1335)</f>
        <v/>
      </c>
      <c r="K1335" s="0" t="str">
        <f aca="false">IF(A1335="","",YEAR(A1335))</f>
        <v/>
      </c>
      <c r="L1335" s="0" t="str">
        <f aca="false">IF(A1335="","",MONTH(A1335))</f>
        <v/>
      </c>
    </row>
    <row r="1336" customFormat="false" ht="15" hidden="false" customHeight="false" outlineLevel="0" collapsed="false">
      <c r="A1336" s="27"/>
      <c r="E1336" s="28"/>
      <c r="F1336" s="28"/>
      <c r="I1336" s="28" t="str">
        <f aca="false">IF(A1336="","",D1336*E1336)</f>
        <v/>
      </c>
      <c r="J1336" s="28" t="str">
        <f aca="false">IF(A1336="","",D1336*F1336)</f>
        <v/>
      </c>
      <c r="K1336" s="0" t="str">
        <f aca="false">IF(A1336="","",YEAR(A1336))</f>
        <v/>
      </c>
      <c r="L1336" s="0" t="str">
        <f aca="false">IF(A1336="","",MONTH(A1336))</f>
        <v/>
      </c>
    </row>
    <row r="1337" customFormat="false" ht="15" hidden="false" customHeight="false" outlineLevel="0" collapsed="false">
      <c r="A1337" s="27"/>
      <c r="E1337" s="28"/>
      <c r="F1337" s="28"/>
      <c r="I1337" s="28" t="str">
        <f aca="false">IF(A1337="","",D1337*E1337)</f>
        <v/>
      </c>
      <c r="J1337" s="28" t="str">
        <f aca="false">IF(A1337="","",D1337*F1337)</f>
        <v/>
      </c>
      <c r="K1337" s="0" t="str">
        <f aca="false">IF(A1337="","",YEAR(A1337))</f>
        <v/>
      </c>
      <c r="L1337" s="0" t="str">
        <f aca="false">IF(A1337="","",MONTH(A1337))</f>
        <v/>
      </c>
    </row>
    <row r="1338" customFormat="false" ht="15" hidden="false" customHeight="false" outlineLevel="0" collapsed="false">
      <c r="A1338" s="27"/>
      <c r="E1338" s="28"/>
      <c r="F1338" s="28"/>
      <c r="I1338" s="28" t="str">
        <f aca="false">IF(A1338="","",D1338*E1338)</f>
        <v/>
      </c>
      <c r="J1338" s="28" t="str">
        <f aca="false">IF(A1338="","",D1338*F1338)</f>
        <v/>
      </c>
      <c r="K1338" s="0" t="str">
        <f aca="false">IF(A1338="","",YEAR(A1338))</f>
        <v/>
      </c>
      <c r="L1338" s="0" t="str">
        <f aca="false">IF(A1338="","",MONTH(A1338))</f>
        <v/>
      </c>
    </row>
    <row r="1339" customFormat="false" ht="15" hidden="false" customHeight="false" outlineLevel="0" collapsed="false">
      <c r="A1339" s="27"/>
      <c r="E1339" s="28"/>
      <c r="F1339" s="28"/>
      <c r="I1339" s="28" t="str">
        <f aca="false">IF(A1339="","",D1339*E1339)</f>
        <v/>
      </c>
      <c r="J1339" s="28" t="str">
        <f aca="false">IF(A1339="","",D1339*F1339)</f>
        <v/>
      </c>
      <c r="K1339" s="0" t="str">
        <f aca="false">IF(A1339="","",YEAR(A1339))</f>
        <v/>
      </c>
      <c r="L1339" s="0" t="str">
        <f aca="false">IF(A1339="","",MONTH(A1339))</f>
        <v/>
      </c>
    </row>
    <row r="1340" customFormat="false" ht="15" hidden="false" customHeight="false" outlineLevel="0" collapsed="false">
      <c r="A1340" s="27"/>
      <c r="E1340" s="28"/>
      <c r="F1340" s="28"/>
      <c r="I1340" s="28" t="str">
        <f aca="false">IF(A1340="","",D1340*E1340)</f>
        <v/>
      </c>
      <c r="J1340" s="28" t="str">
        <f aca="false">IF(A1340="","",D1340*F1340)</f>
        <v/>
      </c>
      <c r="K1340" s="0" t="str">
        <f aca="false">IF(A1340="","",YEAR(A1340))</f>
        <v/>
      </c>
      <c r="L1340" s="0" t="str">
        <f aca="false">IF(A1340="","",MONTH(A1340))</f>
        <v/>
      </c>
    </row>
    <row r="1341" customFormat="false" ht="15" hidden="false" customHeight="false" outlineLevel="0" collapsed="false">
      <c r="A1341" s="27"/>
      <c r="E1341" s="28"/>
      <c r="F1341" s="28"/>
      <c r="I1341" s="28" t="str">
        <f aca="false">IF(A1341="","",D1341*E1341)</f>
        <v/>
      </c>
      <c r="J1341" s="28" t="str">
        <f aca="false">IF(A1341="","",D1341*F1341)</f>
        <v/>
      </c>
      <c r="K1341" s="0" t="str">
        <f aca="false">IF(A1341="","",YEAR(A1341))</f>
        <v/>
      </c>
      <c r="L1341" s="0" t="str">
        <f aca="false">IF(A1341="","",MONTH(A1341))</f>
        <v/>
      </c>
    </row>
    <row r="1342" customFormat="false" ht="15" hidden="false" customHeight="false" outlineLevel="0" collapsed="false">
      <c r="A1342" s="27"/>
      <c r="E1342" s="28"/>
      <c r="F1342" s="28"/>
      <c r="I1342" s="28" t="str">
        <f aca="false">IF(A1342="","",D1342*E1342)</f>
        <v/>
      </c>
      <c r="J1342" s="28" t="str">
        <f aca="false">IF(A1342="","",D1342*F1342)</f>
        <v/>
      </c>
      <c r="K1342" s="0" t="str">
        <f aca="false">IF(A1342="","",YEAR(A1342))</f>
        <v/>
      </c>
      <c r="L1342" s="0" t="str">
        <f aca="false">IF(A1342="","",MONTH(A1342))</f>
        <v/>
      </c>
    </row>
    <row r="1343" customFormat="false" ht="15" hidden="false" customHeight="false" outlineLevel="0" collapsed="false">
      <c r="A1343" s="27"/>
      <c r="E1343" s="28"/>
      <c r="F1343" s="28"/>
      <c r="I1343" s="28" t="str">
        <f aca="false">IF(A1343="","",D1343*E1343)</f>
        <v/>
      </c>
      <c r="J1343" s="28" t="str">
        <f aca="false">IF(A1343="","",D1343*F1343)</f>
        <v/>
      </c>
      <c r="K1343" s="0" t="str">
        <f aca="false">IF(A1343="","",YEAR(A1343))</f>
        <v/>
      </c>
      <c r="L1343" s="0" t="str">
        <f aca="false">IF(A1343="","",MONTH(A1343))</f>
        <v/>
      </c>
    </row>
    <row r="1344" customFormat="false" ht="15" hidden="false" customHeight="false" outlineLevel="0" collapsed="false">
      <c r="A1344" s="27"/>
      <c r="E1344" s="28"/>
      <c r="F1344" s="28"/>
      <c r="I1344" s="28" t="str">
        <f aca="false">IF(A1344="","",D1344*E1344)</f>
        <v/>
      </c>
      <c r="J1344" s="28" t="str">
        <f aca="false">IF(A1344="","",D1344*F1344)</f>
        <v/>
      </c>
      <c r="K1344" s="0" t="str">
        <f aca="false">IF(A1344="","",YEAR(A1344))</f>
        <v/>
      </c>
      <c r="L1344" s="0" t="str">
        <f aca="false">IF(A1344="","",MONTH(A1344))</f>
        <v/>
      </c>
    </row>
    <row r="1345" customFormat="false" ht="15" hidden="false" customHeight="false" outlineLevel="0" collapsed="false">
      <c r="A1345" s="27"/>
      <c r="E1345" s="28"/>
      <c r="F1345" s="28"/>
      <c r="I1345" s="28" t="str">
        <f aca="false">IF(A1345="","",D1345*E1345)</f>
        <v/>
      </c>
      <c r="J1345" s="28" t="str">
        <f aca="false">IF(A1345="","",D1345*F1345)</f>
        <v/>
      </c>
      <c r="K1345" s="0" t="str">
        <f aca="false">IF(A1345="","",YEAR(A1345))</f>
        <v/>
      </c>
      <c r="L1345" s="0" t="str">
        <f aca="false">IF(A1345="","",MONTH(A1345))</f>
        <v/>
      </c>
    </row>
    <row r="1346" customFormat="false" ht="15" hidden="false" customHeight="false" outlineLevel="0" collapsed="false">
      <c r="A1346" s="27"/>
      <c r="E1346" s="28"/>
      <c r="F1346" s="28"/>
      <c r="I1346" s="28" t="str">
        <f aca="false">IF(A1346="","",D1346*E1346)</f>
        <v/>
      </c>
      <c r="J1346" s="28" t="str">
        <f aca="false">IF(A1346="","",D1346*F1346)</f>
        <v/>
      </c>
      <c r="K1346" s="0" t="str">
        <f aca="false">IF(A1346="","",YEAR(A1346))</f>
        <v/>
      </c>
      <c r="L1346" s="0" t="str">
        <f aca="false">IF(A1346="","",MONTH(A1346))</f>
        <v/>
      </c>
    </row>
    <row r="1347" customFormat="false" ht="15" hidden="false" customHeight="false" outlineLevel="0" collapsed="false">
      <c r="A1347" s="27"/>
      <c r="E1347" s="28"/>
      <c r="F1347" s="28"/>
      <c r="I1347" s="28" t="str">
        <f aca="false">IF(A1347="","",D1347*E1347)</f>
        <v/>
      </c>
      <c r="J1347" s="28" t="str">
        <f aca="false">IF(A1347="","",D1347*F1347)</f>
        <v/>
      </c>
      <c r="K1347" s="0" t="str">
        <f aca="false">IF(A1347="","",YEAR(A1347))</f>
        <v/>
      </c>
      <c r="L1347" s="0" t="str">
        <f aca="false">IF(A1347="","",MONTH(A1347))</f>
        <v/>
      </c>
    </row>
    <row r="1348" customFormat="false" ht="15" hidden="false" customHeight="false" outlineLevel="0" collapsed="false">
      <c r="A1348" s="27"/>
      <c r="E1348" s="28"/>
      <c r="F1348" s="28"/>
      <c r="I1348" s="28" t="str">
        <f aca="false">IF(A1348="","",D1348*E1348)</f>
        <v/>
      </c>
      <c r="J1348" s="28" t="str">
        <f aca="false">IF(A1348="","",D1348*F1348)</f>
        <v/>
      </c>
      <c r="K1348" s="0" t="str">
        <f aca="false">IF(A1348="","",YEAR(A1348))</f>
        <v/>
      </c>
      <c r="L1348" s="0" t="str">
        <f aca="false">IF(A1348="","",MONTH(A1348))</f>
        <v/>
      </c>
    </row>
    <row r="1349" customFormat="false" ht="15" hidden="false" customHeight="false" outlineLevel="0" collapsed="false">
      <c r="A1349" s="27"/>
      <c r="E1349" s="28"/>
      <c r="F1349" s="28"/>
      <c r="I1349" s="28" t="str">
        <f aca="false">IF(A1349="","",D1349*E1349)</f>
        <v/>
      </c>
      <c r="J1349" s="28" t="str">
        <f aca="false">IF(A1349="","",D1349*F1349)</f>
        <v/>
      </c>
      <c r="K1349" s="0" t="str">
        <f aca="false">IF(A1349="","",YEAR(A1349))</f>
        <v/>
      </c>
      <c r="L1349" s="0" t="str">
        <f aca="false">IF(A1349="","",MONTH(A1349))</f>
        <v/>
      </c>
    </row>
    <row r="1350" customFormat="false" ht="15" hidden="false" customHeight="false" outlineLevel="0" collapsed="false">
      <c r="A1350" s="27"/>
      <c r="E1350" s="28"/>
      <c r="F1350" s="28"/>
      <c r="I1350" s="28" t="str">
        <f aca="false">IF(A1350="","",D1350*E1350)</f>
        <v/>
      </c>
      <c r="J1350" s="28" t="str">
        <f aca="false">IF(A1350="","",D1350*F1350)</f>
        <v/>
      </c>
      <c r="K1350" s="0" t="str">
        <f aca="false">IF(A1350="","",YEAR(A1350))</f>
        <v/>
      </c>
      <c r="L1350" s="0" t="str">
        <f aca="false">IF(A1350="","",MONTH(A1350))</f>
        <v/>
      </c>
    </row>
    <row r="1351" customFormat="false" ht="15" hidden="false" customHeight="false" outlineLevel="0" collapsed="false">
      <c r="A1351" s="27"/>
      <c r="E1351" s="28"/>
      <c r="F1351" s="28"/>
      <c r="I1351" s="28" t="str">
        <f aca="false">IF(A1351="","",D1351*E1351)</f>
        <v/>
      </c>
      <c r="J1351" s="28" t="str">
        <f aca="false">IF(A1351="","",D1351*F1351)</f>
        <v/>
      </c>
      <c r="K1351" s="0" t="str">
        <f aca="false">IF(A1351="","",YEAR(A1351))</f>
        <v/>
      </c>
      <c r="L1351" s="0" t="str">
        <f aca="false">IF(A1351="","",MONTH(A1351))</f>
        <v/>
      </c>
    </row>
    <row r="1352" customFormat="false" ht="15" hidden="false" customHeight="false" outlineLevel="0" collapsed="false">
      <c r="A1352" s="27"/>
      <c r="E1352" s="28"/>
      <c r="F1352" s="28"/>
      <c r="I1352" s="28" t="str">
        <f aca="false">IF(A1352="","",D1352*E1352)</f>
        <v/>
      </c>
      <c r="J1352" s="28" t="str">
        <f aca="false">IF(A1352="","",D1352*F1352)</f>
        <v/>
      </c>
      <c r="K1352" s="0" t="str">
        <f aca="false">IF(A1352="","",YEAR(A1352))</f>
        <v/>
      </c>
      <c r="L1352" s="0" t="str">
        <f aca="false">IF(A1352="","",MONTH(A1352))</f>
        <v/>
      </c>
    </row>
    <row r="1353" customFormat="false" ht="15" hidden="false" customHeight="false" outlineLevel="0" collapsed="false">
      <c r="A1353" s="27"/>
      <c r="E1353" s="28"/>
      <c r="F1353" s="28"/>
      <c r="I1353" s="28" t="str">
        <f aca="false">IF(A1353="","",D1353*E1353)</f>
        <v/>
      </c>
      <c r="J1353" s="28" t="str">
        <f aca="false">IF(A1353="","",D1353*F1353)</f>
        <v/>
      </c>
      <c r="K1353" s="0" t="str">
        <f aca="false">IF(A1353="","",YEAR(A1353))</f>
        <v/>
      </c>
      <c r="L1353" s="0" t="str">
        <f aca="false">IF(A1353="","",MONTH(A1353))</f>
        <v/>
      </c>
    </row>
    <row r="1354" customFormat="false" ht="15" hidden="false" customHeight="false" outlineLevel="0" collapsed="false">
      <c r="A1354" s="27"/>
      <c r="E1354" s="28"/>
      <c r="F1354" s="28"/>
      <c r="I1354" s="28" t="str">
        <f aca="false">IF(A1354="","",D1354*E1354)</f>
        <v/>
      </c>
      <c r="J1354" s="28" t="str">
        <f aca="false">IF(A1354="","",D1354*F1354)</f>
        <v/>
      </c>
      <c r="K1354" s="0" t="str">
        <f aca="false">IF(A1354="","",YEAR(A1354))</f>
        <v/>
      </c>
      <c r="L1354" s="0" t="str">
        <f aca="false">IF(A1354="","",MONTH(A1354))</f>
        <v/>
      </c>
    </row>
    <row r="1355" customFormat="false" ht="15" hidden="false" customHeight="false" outlineLevel="0" collapsed="false">
      <c r="A1355" s="27"/>
      <c r="E1355" s="28"/>
      <c r="F1355" s="28"/>
      <c r="I1355" s="28" t="str">
        <f aca="false">IF(A1355="","",D1355*E1355)</f>
        <v/>
      </c>
      <c r="J1355" s="28" t="str">
        <f aca="false">IF(A1355="","",D1355*F1355)</f>
        <v/>
      </c>
      <c r="K1355" s="0" t="str">
        <f aca="false">IF(A1355="","",YEAR(A1355))</f>
        <v/>
      </c>
      <c r="L1355" s="0" t="str">
        <f aca="false">IF(A1355="","",MONTH(A1355))</f>
        <v/>
      </c>
    </row>
    <row r="1356" customFormat="false" ht="15" hidden="false" customHeight="false" outlineLevel="0" collapsed="false">
      <c r="A1356" s="27"/>
      <c r="E1356" s="28"/>
      <c r="F1356" s="28"/>
      <c r="I1356" s="28" t="str">
        <f aca="false">IF(A1356="","",D1356*E1356)</f>
        <v/>
      </c>
      <c r="J1356" s="28" t="str">
        <f aca="false">IF(A1356="","",D1356*F1356)</f>
        <v/>
      </c>
      <c r="K1356" s="0" t="str">
        <f aca="false">IF(A1356="","",YEAR(A1356))</f>
        <v/>
      </c>
      <c r="L1356" s="0" t="str">
        <f aca="false">IF(A1356="","",MONTH(A1356))</f>
        <v/>
      </c>
    </row>
    <row r="1357" customFormat="false" ht="15" hidden="false" customHeight="false" outlineLevel="0" collapsed="false">
      <c r="A1357" s="27"/>
      <c r="E1357" s="28"/>
      <c r="F1357" s="28"/>
      <c r="I1357" s="28" t="str">
        <f aca="false">IF(A1357="","",D1357*E1357)</f>
        <v/>
      </c>
      <c r="J1357" s="28" t="str">
        <f aca="false">IF(A1357="","",D1357*F1357)</f>
        <v/>
      </c>
      <c r="K1357" s="0" t="str">
        <f aca="false">IF(A1357="","",YEAR(A1357))</f>
        <v/>
      </c>
      <c r="L1357" s="0" t="str">
        <f aca="false">IF(A1357="","",MONTH(A1357))</f>
        <v/>
      </c>
    </row>
    <row r="1358" customFormat="false" ht="15" hidden="false" customHeight="false" outlineLevel="0" collapsed="false">
      <c r="A1358" s="27"/>
      <c r="E1358" s="28"/>
      <c r="F1358" s="28"/>
      <c r="I1358" s="28" t="str">
        <f aca="false">IF(A1358="","",D1358*E1358)</f>
        <v/>
      </c>
      <c r="J1358" s="28" t="str">
        <f aca="false">IF(A1358="","",D1358*F1358)</f>
        <v/>
      </c>
      <c r="K1358" s="0" t="str">
        <f aca="false">IF(A1358="","",YEAR(A1358))</f>
        <v/>
      </c>
      <c r="L1358" s="0" t="str">
        <f aca="false">IF(A1358="","",MONTH(A1358))</f>
        <v/>
      </c>
    </row>
    <row r="1359" customFormat="false" ht="15" hidden="false" customHeight="false" outlineLevel="0" collapsed="false">
      <c r="A1359" s="27"/>
      <c r="E1359" s="28"/>
      <c r="F1359" s="28"/>
      <c r="I1359" s="28" t="str">
        <f aca="false">IF(A1359="","",D1359*E1359)</f>
        <v/>
      </c>
      <c r="J1359" s="28" t="str">
        <f aca="false">IF(A1359="","",D1359*F1359)</f>
        <v/>
      </c>
      <c r="K1359" s="0" t="str">
        <f aca="false">IF(A1359="","",YEAR(A1359))</f>
        <v/>
      </c>
      <c r="L1359" s="0" t="str">
        <f aca="false">IF(A1359="","",MONTH(A1359))</f>
        <v/>
      </c>
    </row>
    <row r="1360" customFormat="false" ht="15" hidden="false" customHeight="false" outlineLevel="0" collapsed="false">
      <c r="A1360" s="27"/>
      <c r="E1360" s="28"/>
      <c r="F1360" s="28"/>
      <c r="I1360" s="28" t="str">
        <f aca="false">IF(A1360="","",D1360*E1360)</f>
        <v/>
      </c>
      <c r="J1360" s="28" t="str">
        <f aca="false">IF(A1360="","",D1360*F1360)</f>
        <v/>
      </c>
      <c r="K1360" s="0" t="str">
        <f aca="false">IF(A1360="","",YEAR(A1360))</f>
        <v/>
      </c>
      <c r="L1360" s="0" t="str">
        <f aca="false">IF(A1360="","",MONTH(A1360))</f>
        <v/>
      </c>
    </row>
    <row r="1361" customFormat="false" ht="15" hidden="false" customHeight="false" outlineLevel="0" collapsed="false">
      <c r="A1361" s="27"/>
      <c r="E1361" s="28"/>
      <c r="F1361" s="28"/>
      <c r="I1361" s="28" t="str">
        <f aca="false">IF(A1361="","",D1361*E1361)</f>
        <v/>
      </c>
      <c r="J1361" s="28" t="str">
        <f aca="false">IF(A1361="","",D1361*F1361)</f>
        <v/>
      </c>
      <c r="K1361" s="0" t="str">
        <f aca="false">IF(A1361="","",YEAR(A1361))</f>
        <v/>
      </c>
      <c r="L1361" s="0" t="str">
        <f aca="false">IF(A1361="","",MONTH(A1361))</f>
        <v/>
      </c>
    </row>
    <row r="1362" customFormat="false" ht="15" hidden="false" customHeight="false" outlineLevel="0" collapsed="false">
      <c r="A1362" s="27"/>
      <c r="E1362" s="28"/>
      <c r="F1362" s="28"/>
      <c r="I1362" s="28" t="str">
        <f aca="false">IF(A1362="","",D1362*E1362)</f>
        <v/>
      </c>
      <c r="J1362" s="28" t="str">
        <f aca="false">IF(A1362="","",D1362*F1362)</f>
        <v/>
      </c>
      <c r="K1362" s="0" t="str">
        <f aca="false">IF(A1362="","",YEAR(A1362))</f>
        <v/>
      </c>
      <c r="L1362" s="0" t="str">
        <f aca="false">IF(A1362="","",MONTH(A1362))</f>
        <v/>
      </c>
    </row>
    <row r="1363" customFormat="false" ht="15" hidden="false" customHeight="false" outlineLevel="0" collapsed="false">
      <c r="A1363" s="27"/>
      <c r="E1363" s="28"/>
      <c r="F1363" s="28"/>
      <c r="I1363" s="28" t="str">
        <f aca="false">IF(A1363="","",D1363*E1363)</f>
        <v/>
      </c>
      <c r="J1363" s="28" t="str">
        <f aca="false">IF(A1363="","",D1363*F1363)</f>
        <v/>
      </c>
      <c r="K1363" s="0" t="str">
        <f aca="false">IF(A1363="","",YEAR(A1363))</f>
        <v/>
      </c>
      <c r="L1363" s="0" t="str">
        <f aca="false">IF(A1363="","",MONTH(A1363))</f>
        <v/>
      </c>
    </row>
    <row r="1364" customFormat="false" ht="15" hidden="false" customHeight="false" outlineLevel="0" collapsed="false">
      <c r="A1364" s="27"/>
      <c r="E1364" s="28"/>
      <c r="F1364" s="28"/>
      <c r="I1364" s="28" t="str">
        <f aca="false">IF(A1364="","",D1364*E1364)</f>
        <v/>
      </c>
      <c r="J1364" s="28" t="str">
        <f aca="false">IF(A1364="","",D1364*F1364)</f>
        <v/>
      </c>
      <c r="K1364" s="0" t="str">
        <f aca="false">IF(A1364="","",YEAR(A1364))</f>
        <v/>
      </c>
      <c r="L1364" s="0" t="str">
        <f aca="false">IF(A1364="","",MONTH(A1364))</f>
        <v/>
      </c>
    </row>
    <row r="1365" customFormat="false" ht="15" hidden="false" customHeight="false" outlineLevel="0" collapsed="false">
      <c r="A1365" s="27"/>
      <c r="E1365" s="28"/>
      <c r="F1365" s="28"/>
      <c r="I1365" s="28" t="str">
        <f aca="false">IF(A1365="","",D1365*E1365)</f>
        <v/>
      </c>
      <c r="J1365" s="28" t="str">
        <f aca="false">IF(A1365="","",D1365*F1365)</f>
        <v/>
      </c>
      <c r="K1365" s="0" t="str">
        <f aca="false">IF(A1365="","",YEAR(A1365))</f>
        <v/>
      </c>
      <c r="L1365" s="0" t="str">
        <f aca="false">IF(A1365="","",MONTH(A1365))</f>
        <v/>
      </c>
    </row>
    <row r="1366" customFormat="false" ht="15" hidden="false" customHeight="false" outlineLevel="0" collapsed="false">
      <c r="A1366" s="27"/>
      <c r="E1366" s="28"/>
      <c r="F1366" s="28"/>
      <c r="I1366" s="28" t="str">
        <f aca="false">IF(A1366="","",D1366*E1366)</f>
        <v/>
      </c>
      <c r="J1366" s="28" t="str">
        <f aca="false">IF(A1366="","",D1366*F1366)</f>
        <v/>
      </c>
      <c r="K1366" s="0" t="str">
        <f aca="false">IF(A1366="","",YEAR(A1366))</f>
        <v/>
      </c>
      <c r="L1366" s="0" t="str">
        <f aca="false">IF(A1366="","",MONTH(A1366))</f>
        <v/>
      </c>
    </row>
    <row r="1367" customFormat="false" ht="15" hidden="false" customHeight="false" outlineLevel="0" collapsed="false">
      <c r="A1367" s="27"/>
      <c r="E1367" s="28"/>
      <c r="F1367" s="28"/>
      <c r="I1367" s="28" t="str">
        <f aca="false">IF(A1367="","",D1367*E1367)</f>
        <v/>
      </c>
      <c r="J1367" s="28" t="str">
        <f aca="false">IF(A1367="","",D1367*F1367)</f>
        <v/>
      </c>
      <c r="K1367" s="0" t="str">
        <f aca="false">IF(A1367="","",YEAR(A1367))</f>
        <v/>
      </c>
      <c r="L1367" s="0" t="str">
        <f aca="false">IF(A1367="","",MONTH(A1367))</f>
        <v/>
      </c>
    </row>
    <row r="1368" customFormat="false" ht="15" hidden="false" customHeight="false" outlineLevel="0" collapsed="false">
      <c r="A1368" s="27"/>
      <c r="E1368" s="28"/>
      <c r="F1368" s="28"/>
      <c r="I1368" s="28" t="str">
        <f aca="false">IF(A1368="","",D1368*E1368)</f>
        <v/>
      </c>
      <c r="J1368" s="28" t="str">
        <f aca="false">IF(A1368="","",D1368*F1368)</f>
        <v/>
      </c>
      <c r="K1368" s="0" t="str">
        <f aca="false">IF(A1368="","",YEAR(A1368))</f>
        <v/>
      </c>
      <c r="L1368" s="0" t="str">
        <f aca="false">IF(A1368="","",MONTH(A1368))</f>
        <v/>
      </c>
    </row>
    <row r="1369" customFormat="false" ht="15" hidden="false" customHeight="false" outlineLevel="0" collapsed="false">
      <c r="A1369" s="27"/>
      <c r="E1369" s="28"/>
      <c r="F1369" s="28"/>
      <c r="I1369" s="28" t="str">
        <f aca="false">IF(A1369="","",D1369*E1369)</f>
        <v/>
      </c>
      <c r="J1369" s="28" t="str">
        <f aca="false">IF(A1369="","",D1369*F1369)</f>
        <v/>
      </c>
      <c r="K1369" s="0" t="str">
        <f aca="false">IF(A1369="","",YEAR(A1369))</f>
        <v/>
      </c>
      <c r="L1369" s="0" t="str">
        <f aca="false">IF(A1369="","",MONTH(A1369))</f>
        <v/>
      </c>
    </row>
    <row r="1370" customFormat="false" ht="15" hidden="false" customHeight="false" outlineLevel="0" collapsed="false">
      <c r="A1370" s="27"/>
      <c r="E1370" s="28"/>
      <c r="F1370" s="28"/>
      <c r="I1370" s="28" t="str">
        <f aca="false">IF(A1370="","",D1370*E1370)</f>
        <v/>
      </c>
      <c r="J1370" s="28" t="str">
        <f aca="false">IF(A1370="","",D1370*F1370)</f>
        <v/>
      </c>
      <c r="K1370" s="0" t="str">
        <f aca="false">IF(A1370="","",YEAR(A1370))</f>
        <v/>
      </c>
      <c r="L1370" s="0" t="str">
        <f aca="false">IF(A1370="","",MONTH(A1370))</f>
        <v/>
      </c>
    </row>
    <row r="1371" customFormat="false" ht="15" hidden="false" customHeight="false" outlineLevel="0" collapsed="false">
      <c r="A1371" s="27"/>
      <c r="E1371" s="28"/>
      <c r="F1371" s="28"/>
      <c r="I1371" s="28" t="str">
        <f aca="false">IF(A1371="","",D1371*E1371)</f>
        <v/>
      </c>
      <c r="J1371" s="28" t="str">
        <f aca="false">IF(A1371="","",D1371*F1371)</f>
        <v/>
      </c>
      <c r="K1371" s="0" t="str">
        <f aca="false">IF(A1371="","",YEAR(A1371))</f>
        <v/>
      </c>
      <c r="L1371" s="0" t="str">
        <f aca="false">IF(A1371="","",MONTH(A1371))</f>
        <v/>
      </c>
    </row>
    <row r="1372" customFormat="false" ht="15" hidden="false" customHeight="false" outlineLevel="0" collapsed="false">
      <c r="A1372" s="27"/>
      <c r="E1372" s="28"/>
      <c r="F1372" s="28"/>
      <c r="I1372" s="28" t="str">
        <f aca="false">IF(A1372="","",D1372*E1372)</f>
        <v/>
      </c>
      <c r="J1372" s="28" t="str">
        <f aca="false">IF(A1372="","",D1372*F1372)</f>
        <v/>
      </c>
      <c r="K1372" s="0" t="str">
        <f aca="false">IF(A1372="","",YEAR(A1372))</f>
        <v/>
      </c>
      <c r="L1372" s="0" t="str">
        <f aca="false">IF(A1372="","",MONTH(A1372))</f>
        <v/>
      </c>
    </row>
    <row r="1373" customFormat="false" ht="15" hidden="false" customHeight="false" outlineLevel="0" collapsed="false">
      <c r="A1373" s="27"/>
      <c r="E1373" s="28"/>
      <c r="F1373" s="28"/>
      <c r="I1373" s="28" t="str">
        <f aca="false">IF(A1373="","",D1373*E1373)</f>
        <v/>
      </c>
      <c r="J1373" s="28" t="str">
        <f aca="false">IF(A1373="","",D1373*F1373)</f>
        <v/>
      </c>
      <c r="K1373" s="0" t="str">
        <f aca="false">IF(A1373="","",YEAR(A1373))</f>
        <v/>
      </c>
      <c r="L1373" s="0" t="str">
        <f aca="false">IF(A1373="","",MONTH(A1373))</f>
        <v/>
      </c>
    </row>
    <row r="1374" customFormat="false" ht="15" hidden="false" customHeight="false" outlineLevel="0" collapsed="false">
      <c r="A1374" s="27"/>
      <c r="E1374" s="28"/>
      <c r="F1374" s="28"/>
      <c r="I1374" s="28" t="str">
        <f aca="false">IF(A1374="","",D1374*E1374)</f>
        <v/>
      </c>
      <c r="J1374" s="28" t="str">
        <f aca="false">IF(A1374="","",D1374*F1374)</f>
        <v/>
      </c>
      <c r="K1374" s="0" t="str">
        <f aca="false">IF(A1374="","",YEAR(A1374))</f>
        <v/>
      </c>
      <c r="L1374" s="0" t="str">
        <f aca="false">IF(A1374="","",MONTH(A1374))</f>
        <v/>
      </c>
    </row>
    <row r="1375" customFormat="false" ht="15" hidden="false" customHeight="false" outlineLevel="0" collapsed="false">
      <c r="A1375" s="27"/>
      <c r="E1375" s="28"/>
      <c r="F1375" s="28"/>
      <c r="I1375" s="28" t="str">
        <f aca="false">IF(A1375="","",D1375*E1375)</f>
        <v/>
      </c>
      <c r="J1375" s="28" t="str">
        <f aca="false">IF(A1375="","",D1375*F1375)</f>
        <v/>
      </c>
      <c r="K1375" s="0" t="str">
        <f aca="false">IF(A1375="","",YEAR(A1375))</f>
        <v/>
      </c>
      <c r="L1375" s="0" t="str">
        <f aca="false">IF(A1375="","",MONTH(A1375))</f>
        <v/>
      </c>
    </row>
    <row r="1376" customFormat="false" ht="15" hidden="false" customHeight="false" outlineLevel="0" collapsed="false">
      <c r="A1376" s="27"/>
      <c r="E1376" s="28"/>
      <c r="F1376" s="28"/>
      <c r="I1376" s="28" t="str">
        <f aca="false">IF(A1376="","",D1376*E1376)</f>
        <v/>
      </c>
      <c r="J1376" s="28" t="str">
        <f aca="false">IF(A1376="","",D1376*F1376)</f>
        <v/>
      </c>
      <c r="K1376" s="0" t="str">
        <f aca="false">IF(A1376="","",YEAR(A1376))</f>
        <v/>
      </c>
      <c r="L1376" s="0" t="str">
        <f aca="false">IF(A1376="","",MONTH(A1376))</f>
        <v/>
      </c>
    </row>
    <row r="1377" customFormat="false" ht="15" hidden="false" customHeight="false" outlineLevel="0" collapsed="false">
      <c r="A1377" s="27"/>
      <c r="E1377" s="28"/>
      <c r="F1377" s="28"/>
      <c r="I1377" s="28" t="str">
        <f aca="false">IF(A1377="","",D1377*E1377)</f>
        <v/>
      </c>
      <c r="J1377" s="28" t="str">
        <f aca="false">IF(A1377="","",D1377*F1377)</f>
        <v/>
      </c>
      <c r="K1377" s="0" t="str">
        <f aca="false">IF(A1377="","",YEAR(A1377))</f>
        <v/>
      </c>
      <c r="L1377" s="0" t="str">
        <f aca="false">IF(A1377="","",MONTH(A1377))</f>
        <v/>
      </c>
    </row>
    <row r="1378" customFormat="false" ht="15" hidden="false" customHeight="false" outlineLevel="0" collapsed="false">
      <c r="A1378" s="27"/>
      <c r="E1378" s="28"/>
      <c r="F1378" s="28"/>
      <c r="I1378" s="28" t="str">
        <f aca="false">IF(A1378="","",D1378*E1378)</f>
        <v/>
      </c>
      <c r="J1378" s="28" t="str">
        <f aca="false">IF(A1378="","",D1378*F1378)</f>
        <v/>
      </c>
      <c r="K1378" s="0" t="str">
        <f aca="false">IF(A1378="","",YEAR(A1378))</f>
        <v/>
      </c>
      <c r="L1378" s="0" t="str">
        <f aca="false">IF(A1378="","",MONTH(A1378))</f>
        <v/>
      </c>
    </row>
    <row r="1379" customFormat="false" ht="15" hidden="false" customHeight="false" outlineLevel="0" collapsed="false">
      <c r="A1379" s="27"/>
      <c r="E1379" s="28"/>
      <c r="F1379" s="28"/>
      <c r="I1379" s="28" t="str">
        <f aca="false">IF(A1379="","",D1379*E1379)</f>
        <v/>
      </c>
      <c r="J1379" s="28" t="str">
        <f aca="false">IF(A1379="","",D1379*F1379)</f>
        <v/>
      </c>
      <c r="K1379" s="0" t="str">
        <f aca="false">IF(A1379="","",YEAR(A1379))</f>
        <v/>
      </c>
      <c r="L1379" s="0" t="str">
        <f aca="false">IF(A1379="","",MONTH(A1379))</f>
        <v/>
      </c>
    </row>
    <row r="1380" customFormat="false" ht="15" hidden="false" customHeight="false" outlineLevel="0" collapsed="false">
      <c r="A1380" s="27"/>
      <c r="E1380" s="28"/>
      <c r="F1380" s="28"/>
      <c r="I1380" s="28" t="str">
        <f aca="false">IF(A1380="","",D1380*E1380)</f>
        <v/>
      </c>
      <c r="J1380" s="28" t="str">
        <f aca="false">IF(A1380="","",D1380*F1380)</f>
        <v/>
      </c>
      <c r="K1380" s="0" t="str">
        <f aca="false">IF(A1380="","",YEAR(A1380))</f>
        <v/>
      </c>
      <c r="L1380" s="0" t="str">
        <f aca="false">IF(A1380="","",MONTH(A1380))</f>
        <v/>
      </c>
    </row>
    <row r="1381" customFormat="false" ht="15" hidden="false" customHeight="false" outlineLevel="0" collapsed="false">
      <c r="A1381" s="27"/>
      <c r="E1381" s="28"/>
      <c r="F1381" s="28"/>
      <c r="I1381" s="28" t="str">
        <f aca="false">IF(A1381="","",D1381*E1381)</f>
        <v/>
      </c>
      <c r="J1381" s="28" t="str">
        <f aca="false">IF(A1381="","",D1381*F1381)</f>
        <v/>
      </c>
      <c r="K1381" s="0" t="str">
        <f aca="false">IF(A1381="","",YEAR(A1381))</f>
        <v/>
      </c>
      <c r="L1381" s="0" t="str">
        <f aca="false">IF(A1381="","",MONTH(A1381))</f>
        <v/>
      </c>
    </row>
    <row r="1382" customFormat="false" ht="15" hidden="false" customHeight="false" outlineLevel="0" collapsed="false">
      <c r="A1382" s="27"/>
      <c r="E1382" s="28"/>
      <c r="F1382" s="28"/>
      <c r="I1382" s="28" t="str">
        <f aca="false">IF(A1382="","",D1382*E1382)</f>
        <v/>
      </c>
      <c r="J1382" s="28" t="str">
        <f aca="false">IF(A1382="","",D1382*F1382)</f>
        <v/>
      </c>
      <c r="K1382" s="0" t="str">
        <f aca="false">IF(A1382="","",YEAR(A1382))</f>
        <v/>
      </c>
      <c r="L1382" s="0" t="str">
        <f aca="false">IF(A1382="","",MONTH(A1382))</f>
        <v/>
      </c>
    </row>
    <row r="1383" customFormat="false" ht="15" hidden="false" customHeight="false" outlineLevel="0" collapsed="false">
      <c r="A1383" s="27"/>
      <c r="E1383" s="28"/>
      <c r="F1383" s="28"/>
      <c r="I1383" s="28" t="str">
        <f aca="false">IF(A1383="","",D1383*E1383)</f>
        <v/>
      </c>
      <c r="J1383" s="28" t="str">
        <f aca="false">IF(A1383="","",D1383*F1383)</f>
        <v/>
      </c>
      <c r="K1383" s="0" t="str">
        <f aca="false">IF(A1383="","",YEAR(A1383))</f>
        <v/>
      </c>
      <c r="L1383" s="0" t="str">
        <f aca="false">IF(A1383="","",MONTH(A1383))</f>
        <v/>
      </c>
    </row>
    <row r="1384" customFormat="false" ht="15" hidden="false" customHeight="false" outlineLevel="0" collapsed="false">
      <c r="A1384" s="27"/>
      <c r="E1384" s="28"/>
      <c r="F1384" s="28"/>
      <c r="I1384" s="28" t="str">
        <f aca="false">IF(A1384="","",D1384*E1384)</f>
        <v/>
      </c>
      <c r="J1384" s="28" t="str">
        <f aca="false">IF(A1384="","",D1384*F1384)</f>
        <v/>
      </c>
      <c r="K1384" s="0" t="str">
        <f aca="false">IF(A1384="","",YEAR(A1384))</f>
        <v/>
      </c>
      <c r="L1384" s="0" t="str">
        <f aca="false">IF(A1384="","",MONTH(A1384))</f>
        <v/>
      </c>
    </row>
    <row r="1385" customFormat="false" ht="15" hidden="false" customHeight="false" outlineLevel="0" collapsed="false">
      <c r="A1385" s="27"/>
      <c r="E1385" s="28"/>
      <c r="F1385" s="28"/>
      <c r="I1385" s="28" t="str">
        <f aca="false">IF(A1385="","",D1385*E1385)</f>
        <v/>
      </c>
      <c r="J1385" s="28" t="str">
        <f aca="false">IF(A1385="","",D1385*F1385)</f>
        <v/>
      </c>
      <c r="K1385" s="0" t="str">
        <f aca="false">IF(A1385="","",YEAR(A1385))</f>
        <v/>
      </c>
      <c r="L1385" s="0" t="str">
        <f aca="false">IF(A1385="","",MONTH(A1385))</f>
        <v/>
      </c>
    </row>
    <row r="1386" customFormat="false" ht="15" hidden="false" customHeight="false" outlineLevel="0" collapsed="false">
      <c r="A1386" s="27"/>
      <c r="E1386" s="28"/>
      <c r="F1386" s="28"/>
      <c r="I1386" s="28" t="str">
        <f aca="false">IF(A1386="","",D1386*E1386)</f>
        <v/>
      </c>
      <c r="J1386" s="28" t="str">
        <f aca="false">IF(A1386="","",D1386*F1386)</f>
        <v/>
      </c>
      <c r="K1386" s="0" t="str">
        <f aca="false">IF(A1386="","",YEAR(A1386))</f>
        <v/>
      </c>
      <c r="L1386" s="0" t="str">
        <f aca="false">IF(A1386="","",MONTH(A1386))</f>
        <v/>
      </c>
    </row>
    <row r="1387" customFormat="false" ht="15" hidden="false" customHeight="false" outlineLevel="0" collapsed="false">
      <c r="A1387" s="27"/>
      <c r="E1387" s="28"/>
      <c r="F1387" s="28"/>
      <c r="I1387" s="28" t="str">
        <f aca="false">IF(A1387="","",D1387*E1387)</f>
        <v/>
      </c>
      <c r="J1387" s="28" t="str">
        <f aca="false">IF(A1387="","",D1387*F1387)</f>
        <v/>
      </c>
      <c r="K1387" s="0" t="str">
        <f aca="false">IF(A1387="","",YEAR(A1387))</f>
        <v/>
      </c>
      <c r="L1387" s="0" t="str">
        <f aca="false">IF(A1387="","",MONTH(A1387))</f>
        <v/>
      </c>
    </row>
    <row r="1388" customFormat="false" ht="15" hidden="false" customHeight="false" outlineLevel="0" collapsed="false">
      <c r="A1388" s="27"/>
      <c r="E1388" s="28"/>
      <c r="F1388" s="28"/>
      <c r="I1388" s="28" t="str">
        <f aca="false">IF(A1388="","",D1388*E1388)</f>
        <v/>
      </c>
      <c r="J1388" s="28" t="str">
        <f aca="false">IF(A1388="","",D1388*F1388)</f>
        <v/>
      </c>
      <c r="K1388" s="0" t="str">
        <f aca="false">IF(A1388="","",YEAR(A1388))</f>
        <v/>
      </c>
      <c r="L1388" s="0" t="str">
        <f aca="false">IF(A1388="","",MONTH(A1388))</f>
        <v/>
      </c>
    </row>
    <row r="1389" customFormat="false" ht="15" hidden="false" customHeight="false" outlineLevel="0" collapsed="false">
      <c r="A1389" s="27"/>
      <c r="E1389" s="28"/>
      <c r="F1389" s="28"/>
      <c r="I1389" s="28" t="str">
        <f aca="false">IF(A1389="","",D1389*E1389)</f>
        <v/>
      </c>
      <c r="J1389" s="28" t="str">
        <f aca="false">IF(A1389="","",D1389*F1389)</f>
        <v/>
      </c>
      <c r="K1389" s="0" t="str">
        <f aca="false">IF(A1389="","",YEAR(A1389))</f>
        <v/>
      </c>
      <c r="L1389" s="0" t="str">
        <f aca="false">IF(A1389="","",MONTH(A1389))</f>
        <v/>
      </c>
    </row>
    <row r="1390" customFormat="false" ht="15" hidden="false" customHeight="false" outlineLevel="0" collapsed="false">
      <c r="A1390" s="27"/>
      <c r="E1390" s="28"/>
      <c r="F1390" s="28"/>
      <c r="I1390" s="28" t="str">
        <f aca="false">IF(A1390="","",D1390*E1390)</f>
        <v/>
      </c>
      <c r="J1390" s="28" t="str">
        <f aca="false">IF(A1390="","",D1390*F1390)</f>
        <v/>
      </c>
      <c r="K1390" s="0" t="str">
        <f aca="false">IF(A1390="","",YEAR(A1390))</f>
        <v/>
      </c>
      <c r="L1390" s="0" t="str">
        <f aca="false">IF(A1390="","",MONTH(A1390))</f>
        <v/>
      </c>
    </row>
    <row r="1391" customFormat="false" ht="15" hidden="false" customHeight="false" outlineLevel="0" collapsed="false">
      <c r="A1391" s="27"/>
      <c r="E1391" s="28"/>
      <c r="F1391" s="28"/>
      <c r="I1391" s="28" t="str">
        <f aca="false">IF(A1391="","",D1391*E1391)</f>
        <v/>
      </c>
      <c r="J1391" s="28" t="str">
        <f aca="false">IF(A1391="","",D1391*F1391)</f>
        <v/>
      </c>
      <c r="K1391" s="0" t="str">
        <f aca="false">IF(A1391="","",YEAR(A1391))</f>
        <v/>
      </c>
      <c r="L1391" s="0" t="str">
        <f aca="false">IF(A1391="","",MONTH(A1391))</f>
        <v/>
      </c>
    </row>
    <row r="1392" customFormat="false" ht="15" hidden="false" customHeight="false" outlineLevel="0" collapsed="false">
      <c r="A1392" s="27"/>
      <c r="E1392" s="28"/>
      <c r="F1392" s="28"/>
      <c r="I1392" s="28" t="str">
        <f aca="false">IF(A1392="","",D1392*E1392)</f>
        <v/>
      </c>
      <c r="J1392" s="28" t="str">
        <f aca="false">IF(A1392="","",D1392*F1392)</f>
        <v/>
      </c>
      <c r="K1392" s="0" t="str">
        <f aca="false">IF(A1392="","",YEAR(A1392))</f>
        <v/>
      </c>
      <c r="L1392" s="0" t="str">
        <f aca="false">IF(A1392="","",MONTH(A1392))</f>
        <v/>
      </c>
    </row>
    <row r="1393" customFormat="false" ht="15" hidden="false" customHeight="false" outlineLevel="0" collapsed="false">
      <c r="A1393" s="27"/>
      <c r="E1393" s="28"/>
      <c r="F1393" s="28"/>
      <c r="I1393" s="28" t="str">
        <f aca="false">IF(A1393="","",D1393*E1393)</f>
        <v/>
      </c>
      <c r="J1393" s="28" t="str">
        <f aca="false">IF(A1393="","",D1393*F1393)</f>
        <v/>
      </c>
      <c r="K1393" s="0" t="str">
        <f aca="false">IF(A1393="","",YEAR(A1393))</f>
        <v/>
      </c>
      <c r="L1393" s="0" t="str">
        <f aca="false">IF(A1393="","",MONTH(A1393))</f>
        <v/>
      </c>
    </row>
    <row r="1394" customFormat="false" ht="15" hidden="false" customHeight="false" outlineLevel="0" collapsed="false">
      <c r="A1394" s="27"/>
      <c r="E1394" s="28"/>
      <c r="F1394" s="28"/>
      <c r="I1394" s="28" t="str">
        <f aca="false">IF(A1394="","",D1394*E1394)</f>
        <v/>
      </c>
      <c r="J1394" s="28" t="str">
        <f aca="false">IF(A1394="","",D1394*F1394)</f>
        <v/>
      </c>
      <c r="K1394" s="0" t="str">
        <f aca="false">IF(A1394="","",YEAR(A1394))</f>
        <v/>
      </c>
      <c r="L1394" s="0" t="str">
        <f aca="false">IF(A1394="","",MONTH(A1394))</f>
        <v/>
      </c>
    </row>
    <row r="1395" customFormat="false" ht="15" hidden="false" customHeight="false" outlineLevel="0" collapsed="false">
      <c r="A1395" s="27"/>
      <c r="E1395" s="28"/>
      <c r="F1395" s="28"/>
      <c r="I1395" s="28" t="str">
        <f aca="false">IF(A1395="","",D1395*E1395)</f>
        <v/>
      </c>
      <c r="J1395" s="28" t="str">
        <f aca="false">IF(A1395="","",D1395*F1395)</f>
        <v/>
      </c>
      <c r="K1395" s="0" t="str">
        <f aca="false">IF(A1395="","",YEAR(A1395))</f>
        <v/>
      </c>
      <c r="L1395" s="0" t="str">
        <f aca="false">IF(A1395="","",MONTH(A1395))</f>
        <v/>
      </c>
    </row>
    <row r="1396" customFormat="false" ht="15" hidden="false" customHeight="false" outlineLevel="0" collapsed="false">
      <c r="A1396" s="27"/>
      <c r="E1396" s="28"/>
      <c r="F1396" s="28"/>
      <c r="I1396" s="28" t="str">
        <f aca="false">IF(A1396="","",D1396*E1396)</f>
        <v/>
      </c>
      <c r="J1396" s="28" t="str">
        <f aca="false">IF(A1396="","",D1396*F1396)</f>
        <v/>
      </c>
      <c r="K1396" s="0" t="str">
        <f aca="false">IF(A1396="","",YEAR(A1396))</f>
        <v/>
      </c>
      <c r="L1396" s="0" t="str">
        <f aca="false">IF(A1396="","",MONTH(A1396))</f>
        <v/>
      </c>
    </row>
    <row r="1397" customFormat="false" ht="15" hidden="false" customHeight="false" outlineLevel="0" collapsed="false">
      <c r="A1397" s="27"/>
      <c r="E1397" s="28"/>
      <c r="F1397" s="28"/>
      <c r="I1397" s="28" t="str">
        <f aca="false">IF(A1397="","",D1397*E1397)</f>
        <v/>
      </c>
      <c r="J1397" s="28" t="str">
        <f aca="false">IF(A1397="","",D1397*F1397)</f>
        <v/>
      </c>
      <c r="K1397" s="0" t="str">
        <f aca="false">IF(A1397="","",YEAR(A1397))</f>
        <v/>
      </c>
      <c r="L1397" s="0" t="str">
        <f aca="false">IF(A1397="","",MONTH(A1397))</f>
        <v/>
      </c>
    </row>
    <row r="1398" customFormat="false" ht="15" hidden="false" customHeight="false" outlineLevel="0" collapsed="false">
      <c r="A1398" s="27"/>
      <c r="E1398" s="28"/>
      <c r="F1398" s="28"/>
      <c r="I1398" s="28" t="str">
        <f aca="false">IF(A1398="","",D1398*E1398)</f>
        <v/>
      </c>
      <c r="J1398" s="28" t="str">
        <f aca="false">IF(A1398="","",D1398*F1398)</f>
        <v/>
      </c>
      <c r="K1398" s="0" t="str">
        <f aca="false">IF(A1398="","",YEAR(A1398))</f>
        <v/>
      </c>
      <c r="L1398" s="0" t="str">
        <f aca="false">IF(A1398="","",MONTH(A1398))</f>
        <v/>
      </c>
    </row>
    <row r="1399" customFormat="false" ht="15" hidden="false" customHeight="false" outlineLevel="0" collapsed="false">
      <c r="A1399" s="27"/>
      <c r="E1399" s="28"/>
      <c r="F1399" s="28"/>
      <c r="I1399" s="28" t="str">
        <f aca="false">IF(A1399="","",D1399*E1399)</f>
        <v/>
      </c>
      <c r="J1399" s="28" t="str">
        <f aca="false">IF(A1399="","",D1399*F1399)</f>
        <v/>
      </c>
      <c r="K1399" s="0" t="str">
        <f aca="false">IF(A1399="","",YEAR(A1399))</f>
        <v/>
      </c>
      <c r="L1399" s="0" t="str">
        <f aca="false">IF(A1399="","",MONTH(A1399))</f>
        <v/>
      </c>
    </row>
    <row r="1400" customFormat="false" ht="15" hidden="false" customHeight="false" outlineLevel="0" collapsed="false">
      <c r="A1400" s="27"/>
      <c r="E1400" s="28"/>
      <c r="F1400" s="28"/>
      <c r="I1400" s="28" t="str">
        <f aca="false">IF(A1400="","",D1400*E1400)</f>
        <v/>
      </c>
      <c r="J1400" s="28" t="str">
        <f aca="false">IF(A1400="","",D1400*F1400)</f>
        <v/>
      </c>
      <c r="K1400" s="0" t="str">
        <f aca="false">IF(A1400="","",YEAR(A1400))</f>
        <v/>
      </c>
      <c r="L1400" s="0" t="str">
        <f aca="false">IF(A1400="","",MONTH(A1400))</f>
        <v/>
      </c>
    </row>
    <row r="1401" customFormat="false" ht="15" hidden="false" customHeight="false" outlineLevel="0" collapsed="false">
      <c r="A1401" s="27"/>
      <c r="E1401" s="28"/>
      <c r="F1401" s="28"/>
      <c r="I1401" s="28" t="str">
        <f aca="false">IF(A1401="","",D1401*E1401)</f>
        <v/>
      </c>
      <c r="J1401" s="28" t="str">
        <f aca="false">IF(A1401="","",D1401*F1401)</f>
        <v/>
      </c>
      <c r="K1401" s="0" t="str">
        <f aca="false">IF(A1401="","",YEAR(A1401))</f>
        <v/>
      </c>
      <c r="L1401" s="0" t="str">
        <f aca="false">IF(A1401="","",MONTH(A1401))</f>
        <v/>
      </c>
    </row>
    <row r="1402" customFormat="false" ht="15" hidden="false" customHeight="false" outlineLevel="0" collapsed="false">
      <c r="A1402" s="27"/>
      <c r="E1402" s="28"/>
      <c r="F1402" s="28"/>
      <c r="I1402" s="28" t="str">
        <f aca="false">IF(A1402="","",D1402*E1402)</f>
        <v/>
      </c>
      <c r="J1402" s="28" t="str">
        <f aca="false">IF(A1402="","",D1402*F1402)</f>
        <v/>
      </c>
      <c r="K1402" s="0" t="str">
        <f aca="false">IF(A1402="","",YEAR(A1402))</f>
        <v/>
      </c>
      <c r="L1402" s="0" t="str">
        <f aca="false">IF(A1402="","",MONTH(A1402))</f>
        <v/>
      </c>
    </row>
    <row r="1403" customFormat="false" ht="15" hidden="false" customHeight="false" outlineLevel="0" collapsed="false">
      <c r="A1403" s="27"/>
      <c r="E1403" s="28"/>
      <c r="F1403" s="28"/>
      <c r="I1403" s="28" t="str">
        <f aca="false">IF(A1403="","",D1403*E1403)</f>
        <v/>
      </c>
      <c r="J1403" s="28" t="str">
        <f aca="false">IF(A1403="","",D1403*F1403)</f>
        <v/>
      </c>
      <c r="K1403" s="0" t="str">
        <f aca="false">IF(A1403="","",YEAR(A1403))</f>
        <v/>
      </c>
      <c r="L1403" s="0" t="str">
        <f aca="false">IF(A1403="","",MONTH(A1403))</f>
        <v/>
      </c>
    </row>
    <row r="1404" customFormat="false" ht="15" hidden="false" customHeight="false" outlineLevel="0" collapsed="false">
      <c r="A1404" s="27"/>
      <c r="E1404" s="28"/>
      <c r="F1404" s="28"/>
      <c r="I1404" s="28" t="str">
        <f aca="false">IF(A1404="","",D1404*E1404)</f>
        <v/>
      </c>
      <c r="J1404" s="28" t="str">
        <f aca="false">IF(A1404="","",D1404*F1404)</f>
        <v/>
      </c>
      <c r="K1404" s="0" t="str">
        <f aca="false">IF(A1404="","",YEAR(A1404))</f>
        <v/>
      </c>
      <c r="L1404" s="0" t="str">
        <f aca="false">IF(A1404="","",MONTH(A1404))</f>
        <v/>
      </c>
    </row>
    <row r="1405" customFormat="false" ht="15" hidden="false" customHeight="false" outlineLevel="0" collapsed="false">
      <c r="A1405" s="27"/>
      <c r="E1405" s="28"/>
      <c r="F1405" s="28"/>
      <c r="I1405" s="28" t="str">
        <f aca="false">IF(A1405="","",D1405*E1405)</f>
        <v/>
      </c>
      <c r="J1405" s="28" t="str">
        <f aca="false">IF(A1405="","",D1405*F1405)</f>
        <v/>
      </c>
      <c r="K1405" s="0" t="str">
        <f aca="false">IF(A1405="","",YEAR(A1405))</f>
        <v/>
      </c>
      <c r="L1405" s="0" t="str">
        <f aca="false">IF(A1405="","",MONTH(A1405))</f>
        <v/>
      </c>
    </row>
    <row r="1406" customFormat="false" ht="15" hidden="false" customHeight="false" outlineLevel="0" collapsed="false">
      <c r="A1406" s="27"/>
      <c r="E1406" s="28"/>
      <c r="F1406" s="28"/>
      <c r="I1406" s="28" t="str">
        <f aca="false">IF(A1406="","",D1406*E1406)</f>
        <v/>
      </c>
      <c r="J1406" s="28" t="str">
        <f aca="false">IF(A1406="","",D1406*F1406)</f>
        <v/>
      </c>
      <c r="K1406" s="0" t="str">
        <f aca="false">IF(A1406="","",YEAR(A1406))</f>
        <v/>
      </c>
      <c r="L1406" s="0" t="str">
        <f aca="false">IF(A1406="","",MONTH(A1406))</f>
        <v/>
      </c>
    </row>
    <row r="1407" customFormat="false" ht="15" hidden="false" customHeight="false" outlineLevel="0" collapsed="false">
      <c r="A1407" s="27"/>
      <c r="E1407" s="28"/>
      <c r="F1407" s="28"/>
      <c r="I1407" s="28" t="str">
        <f aca="false">IF(A1407="","",D1407*E1407)</f>
        <v/>
      </c>
      <c r="J1407" s="28" t="str">
        <f aca="false">IF(A1407="","",D1407*F1407)</f>
        <v/>
      </c>
      <c r="K1407" s="0" t="str">
        <f aca="false">IF(A1407="","",YEAR(A1407))</f>
        <v/>
      </c>
      <c r="L1407" s="0" t="str">
        <f aca="false">IF(A1407="","",MONTH(A1407))</f>
        <v/>
      </c>
    </row>
    <row r="1408" customFormat="false" ht="15" hidden="false" customHeight="false" outlineLevel="0" collapsed="false">
      <c r="A1408" s="27"/>
      <c r="E1408" s="28"/>
      <c r="F1408" s="28"/>
      <c r="I1408" s="28" t="str">
        <f aca="false">IF(A1408="","",D1408*E1408)</f>
        <v/>
      </c>
      <c r="J1408" s="28" t="str">
        <f aca="false">IF(A1408="","",D1408*F1408)</f>
        <v/>
      </c>
      <c r="K1408" s="0" t="str">
        <f aca="false">IF(A1408="","",YEAR(A1408))</f>
        <v/>
      </c>
      <c r="L1408" s="0" t="str">
        <f aca="false">IF(A1408="","",MONTH(A1408))</f>
        <v/>
      </c>
    </row>
    <row r="1409" customFormat="false" ht="15" hidden="false" customHeight="false" outlineLevel="0" collapsed="false">
      <c r="A1409" s="27"/>
      <c r="E1409" s="28"/>
      <c r="F1409" s="28"/>
      <c r="I1409" s="28" t="str">
        <f aca="false">IF(A1409="","",D1409*E1409)</f>
        <v/>
      </c>
      <c r="J1409" s="28" t="str">
        <f aca="false">IF(A1409="","",D1409*F1409)</f>
        <v/>
      </c>
      <c r="K1409" s="0" t="str">
        <f aca="false">IF(A1409="","",YEAR(A1409))</f>
        <v/>
      </c>
      <c r="L1409" s="0" t="str">
        <f aca="false">IF(A1409="","",MONTH(A1409))</f>
        <v/>
      </c>
    </row>
    <row r="1410" customFormat="false" ht="15" hidden="false" customHeight="false" outlineLevel="0" collapsed="false">
      <c r="A1410" s="27"/>
      <c r="E1410" s="28"/>
      <c r="F1410" s="28"/>
      <c r="I1410" s="28" t="str">
        <f aca="false">IF(A1410="","",D1410*E1410)</f>
        <v/>
      </c>
      <c r="J1410" s="28" t="str">
        <f aca="false">IF(A1410="","",D1410*F1410)</f>
        <v/>
      </c>
      <c r="K1410" s="0" t="str">
        <f aca="false">IF(A1410="","",YEAR(A1410))</f>
        <v/>
      </c>
      <c r="L1410" s="0" t="str">
        <f aca="false">IF(A1410="","",MONTH(A1410))</f>
        <v/>
      </c>
    </row>
    <row r="1411" customFormat="false" ht="15" hidden="false" customHeight="false" outlineLevel="0" collapsed="false">
      <c r="A1411" s="27"/>
      <c r="E1411" s="28"/>
      <c r="F1411" s="28"/>
      <c r="I1411" s="28" t="str">
        <f aca="false">IF(A1411="","",D1411*E1411)</f>
        <v/>
      </c>
      <c r="J1411" s="28" t="str">
        <f aca="false">IF(A1411="","",D1411*F1411)</f>
        <v/>
      </c>
      <c r="K1411" s="0" t="str">
        <f aca="false">IF(A1411="","",YEAR(A1411))</f>
        <v/>
      </c>
      <c r="L1411" s="0" t="str">
        <f aca="false">IF(A1411="","",MONTH(A1411))</f>
        <v/>
      </c>
    </row>
    <row r="1412" customFormat="false" ht="15" hidden="false" customHeight="false" outlineLevel="0" collapsed="false">
      <c r="A1412" s="27"/>
      <c r="E1412" s="28"/>
      <c r="F1412" s="28"/>
      <c r="I1412" s="28" t="str">
        <f aca="false">IF(A1412="","",D1412*E1412)</f>
        <v/>
      </c>
      <c r="J1412" s="28" t="str">
        <f aca="false">IF(A1412="","",D1412*F1412)</f>
        <v/>
      </c>
      <c r="K1412" s="0" t="str">
        <f aca="false">IF(A1412="","",YEAR(A1412))</f>
        <v/>
      </c>
      <c r="L1412" s="0" t="str">
        <f aca="false">IF(A1412="","",MONTH(A1412))</f>
        <v/>
      </c>
    </row>
    <row r="1413" customFormat="false" ht="15" hidden="false" customHeight="false" outlineLevel="0" collapsed="false">
      <c r="A1413" s="27"/>
      <c r="E1413" s="28"/>
      <c r="F1413" s="28"/>
      <c r="I1413" s="28" t="str">
        <f aca="false">IF(A1413="","",D1413*E1413)</f>
        <v/>
      </c>
      <c r="J1413" s="28" t="str">
        <f aca="false">IF(A1413="","",D1413*F1413)</f>
        <v/>
      </c>
      <c r="K1413" s="0" t="str">
        <f aca="false">IF(A1413="","",YEAR(A1413))</f>
        <v/>
      </c>
      <c r="L1413" s="0" t="str">
        <f aca="false">IF(A1413="","",MONTH(A1413))</f>
        <v/>
      </c>
    </row>
    <row r="1414" customFormat="false" ht="15" hidden="false" customHeight="false" outlineLevel="0" collapsed="false">
      <c r="A1414" s="27"/>
      <c r="E1414" s="28"/>
      <c r="F1414" s="28"/>
      <c r="I1414" s="28" t="str">
        <f aca="false">IF(A1414="","",D1414*E1414)</f>
        <v/>
      </c>
      <c r="J1414" s="28" t="str">
        <f aca="false">IF(A1414="","",D1414*F1414)</f>
        <v/>
      </c>
      <c r="K1414" s="0" t="str">
        <f aca="false">IF(A1414="","",YEAR(A1414))</f>
        <v/>
      </c>
      <c r="L1414" s="0" t="str">
        <f aca="false">IF(A1414="","",MONTH(A1414))</f>
        <v/>
      </c>
    </row>
    <row r="1415" customFormat="false" ht="15" hidden="false" customHeight="false" outlineLevel="0" collapsed="false">
      <c r="A1415" s="27"/>
      <c r="E1415" s="28"/>
      <c r="F1415" s="28"/>
      <c r="I1415" s="28" t="str">
        <f aca="false">IF(A1415="","",D1415*E1415)</f>
        <v/>
      </c>
      <c r="J1415" s="28" t="str">
        <f aca="false">IF(A1415="","",D1415*F1415)</f>
        <v/>
      </c>
      <c r="K1415" s="0" t="str">
        <f aca="false">IF(A1415="","",YEAR(A1415))</f>
        <v/>
      </c>
      <c r="L1415" s="0" t="str">
        <f aca="false">IF(A1415="","",MONTH(A1415))</f>
        <v/>
      </c>
    </row>
    <row r="1416" customFormat="false" ht="15" hidden="false" customHeight="false" outlineLevel="0" collapsed="false">
      <c r="A1416" s="27"/>
      <c r="E1416" s="28"/>
      <c r="F1416" s="28"/>
      <c r="I1416" s="28" t="str">
        <f aca="false">IF(A1416="","",D1416*E1416)</f>
        <v/>
      </c>
      <c r="J1416" s="28" t="str">
        <f aca="false">IF(A1416="","",D1416*F1416)</f>
        <v/>
      </c>
      <c r="K1416" s="0" t="str">
        <f aca="false">IF(A1416="","",YEAR(A1416))</f>
        <v/>
      </c>
      <c r="L1416" s="0" t="str">
        <f aca="false">IF(A1416="","",MONTH(A1416))</f>
        <v/>
      </c>
    </row>
    <row r="1417" customFormat="false" ht="15" hidden="false" customHeight="false" outlineLevel="0" collapsed="false">
      <c r="A1417" s="27"/>
      <c r="E1417" s="28"/>
      <c r="F1417" s="28"/>
      <c r="I1417" s="28" t="str">
        <f aca="false">IF(A1417="","",D1417*E1417)</f>
        <v/>
      </c>
      <c r="J1417" s="28" t="str">
        <f aca="false">IF(A1417="","",D1417*F1417)</f>
        <v/>
      </c>
      <c r="K1417" s="0" t="str">
        <f aca="false">IF(A1417="","",YEAR(A1417))</f>
        <v/>
      </c>
      <c r="L1417" s="0" t="str">
        <f aca="false">IF(A1417="","",MONTH(A1417))</f>
        <v/>
      </c>
    </row>
    <row r="1418" customFormat="false" ht="15" hidden="false" customHeight="false" outlineLevel="0" collapsed="false">
      <c r="A1418" s="27"/>
      <c r="E1418" s="28"/>
      <c r="F1418" s="28"/>
      <c r="I1418" s="28" t="str">
        <f aca="false">IF(A1418="","",D1418*E1418)</f>
        <v/>
      </c>
      <c r="J1418" s="28" t="str">
        <f aca="false">IF(A1418="","",D1418*F1418)</f>
        <v/>
      </c>
      <c r="K1418" s="0" t="str">
        <f aca="false">IF(A1418="","",YEAR(A1418))</f>
        <v/>
      </c>
      <c r="L1418" s="0" t="str">
        <f aca="false">IF(A1418="","",MONTH(A1418))</f>
        <v/>
      </c>
    </row>
    <row r="1419" customFormat="false" ht="15" hidden="false" customHeight="false" outlineLevel="0" collapsed="false">
      <c r="A1419" s="27"/>
      <c r="E1419" s="28"/>
      <c r="F1419" s="28"/>
      <c r="I1419" s="28" t="str">
        <f aca="false">IF(A1419="","",D1419*E1419)</f>
        <v/>
      </c>
      <c r="J1419" s="28" t="str">
        <f aca="false">IF(A1419="","",D1419*F1419)</f>
        <v/>
      </c>
      <c r="K1419" s="0" t="str">
        <f aca="false">IF(A1419="","",YEAR(A1419))</f>
        <v/>
      </c>
      <c r="L1419" s="0" t="str">
        <f aca="false">IF(A1419="","",MONTH(A1419))</f>
        <v/>
      </c>
    </row>
    <row r="1420" customFormat="false" ht="15" hidden="false" customHeight="false" outlineLevel="0" collapsed="false">
      <c r="A1420" s="27"/>
      <c r="E1420" s="28"/>
      <c r="F1420" s="28"/>
      <c r="I1420" s="28" t="str">
        <f aca="false">IF(A1420="","",D1420*E1420)</f>
        <v/>
      </c>
      <c r="J1420" s="28" t="str">
        <f aca="false">IF(A1420="","",D1420*F1420)</f>
        <v/>
      </c>
      <c r="K1420" s="0" t="str">
        <f aca="false">IF(A1420="","",YEAR(A1420))</f>
        <v/>
      </c>
      <c r="L1420" s="0" t="str">
        <f aca="false">IF(A1420="","",MONTH(A1420))</f>
        <v/>
      </c>
    </row>
    <row r="1421" customFormat="false" ht="15" hidden="false" customHeight="false" outlineLevel="0" collapsed="false">
      <c r="A1421" s="27"/>
      <c r="E1421" s="28"/>
      <c r="F1421" s="28"/>
      <c r="I1421" s="28" t="str">
        <f aca="false">IF(A1421="","",D1421*E1421)</f>
        <v/>
      </c>
      <c r="J1421" s="28" t="str">
        <f aca="false">IF(A1421="","",D1421*F1421)</f>
        <v/>
      </c>
      <c r="K1421" s="0" t="str">
        <f aca="false">IF(A1421="","",YEAR(A1421))</f>
        <v/>
      </c>
      <c r="L1421" s="0" t="str">
        <f aca="false">IF(A1421="","",MONTH(A1421))</f>
        <v/>
      </c>
    </row>
    <row r="1422" customFormat="false" ht="15" hidden="false" customHeight="false" outlineLevel="0" collapsed="false">
      <c r="A1422" s="27"/>
      <c r="E1422" s="28"/>
      <c r="F1422" s="28"/>
      <c r="I1422" s="28" t="str">
        <f aca="false">IF(A1422="","",D1422*E1422)</f>
        <v/>
      </c>
      <c r="J1422" s="28" t="str">
        <f aca="false">IF(A1422="","",D1422*F1422)</f>
        <v/>
      </c>
      <c r="K1422" s="0" t="str">
        <f aca="false">IF(A1422="","",YEAR(A1422))</f>
        <v/>
      </c>
      <c r="L1422" s="0" t="str">
        <f aca="false">IF(A1422="","",MONTH(A1422))</f>
        <v/>
      </c>
    </row>
    <row r="1423" customFormat="false" ht="15" hidden="false" customHeight="false" outlineLevel="0" collapsed="false">
      <c r="A1423" s="27"/>
      <c r="E1423" s="28"/>
      <c r="F1423" s="28"/>
      <c r="I1423" s="28" t="str">
        <f aca="false">IF(A1423="","",D1423*E1423)</f>
        <v/>
      </c>
      <c r="J1423" s="28" t="str">
        <f aca="false">IF(A1423="","",D1423*F1423)</f>
        <v/>
      </c>
      <c r="K1423" s="0" t="str">
        <f aca="false">IF(A1423="","",YEAR(A1423))</f>
        <v/>
      </c>
      <c r="L1423" s="0" t="str">
        <f aca="false">IF(A1423="","",MONTH(A1423))</f>
        <v/>
      </c>
    </row>
    <row r="1424" customFormat="false" ht="15" hidden="false" customHeight="false" outlineLevel="0" collapsed="false">
      <c r="A1424" s="27"/>
      <c r="E1424" s="28"/>
      <c r="F1424" s="28"/>
      <c r="I1424" s="28" t="str">
        <f aca="false">IF(A1424="","",D1424*E1424)</f>
        <v/>
      </c>
      <c r="J1424" s="28" t="str">
        <f aca="false">IF(A1424="","",D1424*F1424)</f>
        <v/>
      </c>
      <c r="K1424" s="0" t="str">
        <f aca="false">IF(A1424="","",YEAR(A1424))</f>
        <v/>
      </c>
      <c r="L1424" s="0" t="str">
        <f aca="false">IF(A1424="","",MONTH(A1424))</f>
        <v/>
      </c>
    </row>
    <row r="1425" customFormat="false" ht="15" hidden="false" customHeight="false" outlineLevel="0" collapsed="false">
      <c r="A1425" s="27"/>
      <c r="E1425" s="28"/>
      <c r="F1425" s="28"/>
      <c r="I1425" s="28" t="str">
        <f aca="false">IF(A1425="","",D1425*E1425)</f>
        <v/>
      </c>
      <c r="J1425" s="28" t="str">
        <f aca="false">IF(A1425="","",D1425*F1425)</f>
        <v/>
      </c>
      <c r="K1425" s="0" t="str">
        <f aca="false">IF(A1425="","",YEAR(A1425))</f>
        <v/>
      </c>
      <c r="L1425" s="0" t="str">
        <f aca="false">IF(A1425="","",MONTH(A1425))</f>
        <v/>
      </c>
    </row>
    <row r="1426" customFormat="false" ht="15" hidden="false" customHeight="false" outlineLevel="0" collapsed="false">
      <c r="A1426" s="27"/>
      <c r="E1426" s="28"/>
      <c r="F1426" s="28"/>
      <c r="I1426" s="28" t="str">
        <f aca="false">IF(A1426="","",D1426*E1426)</f>
        <v/>
      </c>
      <c r="J1426" s="28" t="str">
        <f aca="false">IF(A1426="","",D1426*F1426)</f>
        <v/>
      </c>
      <c r="K1426" s="0" t="str">
        <f aca="false">IF(A1426="","",YEAR(A1426))</f>
        <v/>
      </c>
      <c r="L1426" s="0" t="str">
        <f aca="false">IF(A1426="","",MONTH(A1426))</f>
        <v/>
      </c>
    </row>
    <row r="1427" customFormat="false" ht="15" hidden="false" customHeight="false" outlineLevel="0" collapsed="false">
      <c r="A1427" s="27"/>
      <c r="E1427" s="28"/>
      <c r="F1427" s="28"/>
      <c r="I1427" s="28" t="str">
        <f aca="false">IF(A1427="","",D1427*E1427)</f>
        <v/>
      </c>
      <c r="J1427" s="28" t="str">
        <f aca="false">IF(A1427="","",D1427*F1427)</f>
        <v/>
      </c>
      <c r="K1427" s="0" t="str">
        <f aca="false">IF(A1427="","",YEAR(A1427))</f>
        <v/>
      </c>
      <c r="L1427" s="0" t="str">
        <f aca="false">IF(A1427="","",MONTH(A1427))</f>
        <v/>
      </c>
    </row>
    <row r="1428" customFormat="false" ht="15" hidden="false" customHeight="false" outlineLevel="0" collapsed="false">
      <c r="A1428" s="27"/>
      <c r="E1428" s="28"/>
      <c r="F1428" s="28"/>
      <c r="I1428" s="28" t="str">
        <f aca="false">IF(A1428="","",D1428*E1428)</f>
        <v/>
      </c>
      <c r="J1428" s="28" t="str">
        <f aca="false">IF(A1428="","",D1428*F1428)</f>
        <v/>
      </c>
      <c r="K1428" s="0" t="str">
        <f aca="false">IF(A1428="","",YEAR(A1428))</f>
        <v/>
      </c>
      <c r="L1428" s="0" t="str">
        <f aca="false">IF(A1428="","",MONTH(A1428))</f>
        <v/>
      </c>
    </row>
    <row r="1429" customFormat="false" ht="15" hidden="false" customHeight="false" outlineLevel="0" collapsed="false">
      <c r="A1429" s="27"/>
      <c r="E1429" s="28"/>
      <c r="F1429" s="28"/>
      <c r="I1429" s="28" t="str">
        <f aca="false">IF(A1429="","",D1429*E1429)</f>
        <v/>
      </c>
      <c r="J1429" s="28" t="str">
        <f aca="false">IF(A1429="","",D1429*F1429)</f>
        <v/>
      </c>
      <c r="K1429" s="0" t="str">
        <f aca="false">IF(A1429="","",YEAR(A1429))</f>
        <v/>
      </c>
      <c r="L1429" s="0" t="str">
        <f aca="false">IF(A1429="","",MONTH(A1429))</f>
        <v/>
      </c>
    </row>
    <row r="1430" customFormat="false" ht="15" hidden="false" customHeight="false" outlineLevel="0" collapsed="false">
      <c r="A1430" s="27"/>
      <c r="E1430" s="28"/>
      <c r="F1430" s="28"/>
      <c r="I1430" s="28" t="str">
        <f aca="false">IF(A1430="","",D1430*E1430)</f>
        <v/>
      </c>
      <c r="J1430" s="28" t="str">
        <f aca="false">IF(A1430="","",D1430*F1430)</f>
        <v/>
      </c>
      <c r="K1430" s="0" t="str">
        <f aca="false">IF(A1430="","",YEAR(A1430))</f>
        <v/>
      </c>
      <c r="L1430" s="0" t="str">
        <f aca="false">IF(A1430="","",MONTH(A1430))</f>
        <v/>
      </c>
    </row>
    <row r="1431" customFormat="false" ht="15" hidden="false" customHeight="false" outlineLevel="0" collapsed="false">
      <c r="A1431" s="27"/>
      <c r="E1431" s="28"/>
      <c r="F1431" s="28"/>
      <c r="I1431" s="28" t="str">
        <f aca="false">IF(A1431="","",D1431*E1431)</f>
        <v/>
      </c>
      <c r="J1431" s="28" t="str">
        <f aca="false">IF(A1431="","",D1431*F1431)</f>
        <v/>
      </c>
      <c r="K1431" s="0" t="str">
        <f aca="false">IF(A1431="","",YEAR(A1431))</f>
        <v/>
      </c>
      <c r="L1431" s="0" t="str">
        <f aca="false">IF(A1431="","",MONTH(A1431))</f>
        <v/>
      </c>
    </row>
    <row r="1432" customFormat="false" ht="15" hidden="false" customHeight="false" outlineLevel="0" collapsed="false">
      <c r="A1432" s="27"/>
      <c r="E1432" s="28"/>
      <c r="F1432" s="28"/>
      <c r="I1432" s="28" t="str">
        <f aca="false">IF(A1432="","",D1432*E1432)</f>
        <v/>
      </c>
      <c r="J1432" s="28" t="str">
        <f aca="false">IF(A1432="","",D1432*F1432)</f>
        <v/>
      </c>
      <c r="K1432" s="0" t="str">
        <f aca="false">IF(A1432="","",YEAR(A1432))</f>
        <v/>
      </c>
      <c r="L1432" s="0" t="str">
        <f aca="false">IF(A1432="","",MONTH(A1432))</f>
        <v/>
      </c>
    </row>
    <row r="1433" customFormat="false" ht="15" hidden="false" customHeight="false" outlineLevel="0" collapsed="false">
      <c r="A1433" s="27"/>
      <c r="E1433" s="28"/>
      <c r="F1433" s="28"/>
      <c r="I1433" s="28" t="str">
        <f aca="false">IF(A1433="","",D1433*E1433)</f>
        <v/>
      </c>
      <c r="J1433" s="28" t="str">
        <f aca="false">IF(A1433="","",D1433*F1433)</f>
        <v/>
      </c>
      <c r="K1433" s="0" t="str">
        <f aca="false">IF(A1433="","",YEAR(A1433))</f>
        <v/>
      </c>
      <c r="L1433" s="0" t="str">
        <f aca="false">IF(A1433="","",MONTH(A1433))</f>
        <v/>
      </c>
    </row>
    <row r="1434" customFormat="false" ht="15" hidden="false" customHeight="false" outlineLevel="0" collapsed="false">
      <c r="A1434" s="27"/>
      <c r="E1434" s="28"/>
      <c r="F1434" s="28"/>
      <c r="I1434" s="28" t="str">
        <f aca="false">IF(A1434="","",D1434*E1434)</f>
        <v/>
      </c>
      <c r="J1434" s="28" t="str">
        <f aca="false">IF(A1434="","",D1434*F1434)</f>
        <v/>
      </c>
      <c r="K1434" s="0" t="str">
        <f aca="false">IF(A1434="","",YEAR(A1434))</f>
        <v/>
      </c>
      <c r="L1434" s="0" t="str">
        <f aca="false">IF(A1434="","",MONTH(A1434))</f>
        <v/>
      </c>
    </row>
    <row r="1435" customFormat="false" ht="15" hidden="false" customHeight="false" outlineLevel="0" collapsed="false">
      <c r="A1435" s="27"/>
      <c r="E1435" s="28"/>
      <c r="F1435" s="28"/>
      <c r="I1435" s="28" t="str">
        <f aca="false">IF(A1435="","",D1435*E1435)</f>
        <v/>
      </c>
      <c r="J1435" s="28" t="str">
        <f aca="false">IF(A1435="","",D1435*F1435)</f>
        <v/>
      </c>
      <c r="K1435" s="0" t="str">
        <f aca="false">IF(A1435="","",YEAR(A1435))</f>
        <v/>
      </c>
      <c r="L1435" s="0" t="str">
        <f aca="false">IF(A1435="","",MONTH(A1435))</f>
        <v/>
      </c>
    </row>
    <row r="1436" customFormat="false" ht="15" hidden="false" customHeight="false" outlineLevel="0" collapsed="false">
      <c r="A1436" s="27"/>
      <c r="E1436" s="28"/>
      <c r="F1436" s="28"/>
      <c r="I1436" s="28" t="str">
        <f aca="false">IF(A1436="","",D1436*E1436)</f>
        <v/>
      </c>
      <c r="J1436" s="28" t="str">
        <f aca="false">IF(A1436="","",D1436*F1436)</f>
        <v/>
      </c>
      <c r="K1436" s="0" t="str">
        <f aca="false">IF(A1436="","",YEAR(A1436))</f>
        <v/>
      </c>
      <c r="L1436" s="0" t="str">
        <f aca="false">IF(A1436="","",MONTH(A1436))</f>
        <v/>
      </c>
    </row>
    <row r="1437" customFormat="false" ht="15" hidden="false" customHeight="false" outlineLevel="0" collapsed="false">
      <c r="A1437" s="27"/>
      <c r="E1437" s="28"/>
      <c r="F1437" s="28"/>
      <c r="I1437" s="28" t="str">
        <f aca="false">IF(A1437="","",D1437*E1437)</f>
        <v/>
      </c>
      <c r="J1437" s="28" t="str">
        <f aca="false">IF(A1437="","",D1437*F1437)</f>
        <v/>
      </c>
      <c r="K1437" s="0" t="str">
        <f aca="false">IF(A1437="","",YEAR(A1437))</f>
        <v/>
      </c>
      <c r="L1437" s="0" t="str">
        <f aca="false">IF(A1437="","",MONTH(A1437))</f>
        <v/>
      </c>
    </row>
    <row r="1438" customFormat="false" ht="15" hidden="false" customHeight="false" outlineLevel="0" collapsed="false">
      <c r="A1438" s="27"/>
      <c r="E1438" s="28"/>
      <c r="F1438" s="28"/>
      <c r="I1438" s="28" t="str">
        <f aca="false">IF(A1438="","",D1438*E1438)</f>
        <v/>
      </c>
      <c r="J1438" s="28" t="str">
        <f aca="false">IF(A1438="","",D1438*F1438)</f>
        <v/>
      </c>
      <c r="K1438" s="0" t="str">
        <f aca="false">IF(A1438="","",YEAR(A1438))</f>
        <v/>
      </c>
      <c r="L1438" s="0" t="str">
        <f aca="false">IF(A1438="","",MONTH(A1438))</f>
        <v/>
      </c>
    </row>
    <row r="1439" customFormat="false" ht="15" hidden="false" customHeight="false" outlineLevel="0" collapsed="false">
      <c r="A1439" s="27"/>
      <c r="E1439" s="28"/>
      <c r="F1439" s="28"/>
      <c r="I1439" s="28" t="str">
        <f aca="false">IF(A1439="","",D1439*E1439)</f>
        <v/>
      </c>
      <c r="J1439" s="28" t="str">
        <f aca="false">IF(A1439="","",D1439*F1439)</f>
        <v/>
      </c>
      <c r="K1439" s="0" t="str">
        <f aca="false">IF(A1439="","",YEAR(A1439))</f>
        <v/>
      </c>
      <c r="L1439" s="0" t="str">
        <f aca="false">IF(A1439="","",MONTH(A1439))</f>
        <v/>
      </c>
    </row>
    <row r="1440" customFormat="false" ht="15" hidden="false" customHeight="false" outlineLevel="0" collapsed="false">
      <c r="A1440" s="27"/>
      <c r="E1440" s="28"/>
      <c r="F1440" s="28"/>
      <c r="I1440" s="28" t="str">
        <f aca="false">IF(A1440="","",D1440*E1440)</f>
        <v/>
      </c>
      <c r="J1440" s="28" t="str">
        <f aca="false">IF(A1440="","",D1440*F1440)</f>
        <v/>
      </c>
      <c r="K1440" s="0" t="str">
        <f aca="false">IF(A1440="","",YEAR(A1440))</f>
        <v/>
      </c>
      <c r="L1440" s="0" t="str">
        <f aca="false">IF(A1440="","",MONTH(A1440))</f>
        <v/>
      </c>
    </row>
    <row r="1441" customFormat="false" ht="15" hidden="false" customHeight="false" outlineLevel="0" collapsed="false">
      <c r="A1441" s="27"/>
      <c r="E1441" s="28"/>
      <c r="F1441" s="28"/>
      <c r="I1441" s="28" t="str">
        <f aca="false">IF(A1441="","",D1441*E1441)</f>
        <v/>
      </c>
      <c r="J1441" s="28" t="str">
        <f aca="false">IF(A1441="","",D1441*F1441)</f>
        <v/>
      </c>
      <c r="K1441" s="0" t="str">
        <f aca="false">IF(A1441="","",YEAR(A1441))</f>
        <v/>
      </c>
      <c r="L1441" s="0" t="str">
        <f aca="false">IF(A1441="","",MONTH(A1441))</f>
        <v/>
      </c>
    </row>
    <row r="1442" customFormat="false" ht="15" hidden="false" customHeight="false" outlineLevel="0" collapsed="false">
      <c r="A1442" s="27"/>
      <c r="E1442" s="28"/>
      <c r="F1442" s="28"/>
      <c r="I1442" s="28" t="str">
        <f aca="false">IF(A1442="","",D1442*E1442)</f>
        <v/>
      </c>
      <c r="J1442" s="28" t="str">
        <f aca="false">IF(A1442="","",D1442*F1442)</f>
        <v/>
      </c>
      <c r="K1442" s="0" t="str">
        <f aca="false">IF(A1442="","",YEAR(A1442))</f>
        <v/>
      </c>
      <c r="L1442" s="0" t="str">
        <f aca="false">IF(A1442="","",MONTH(A1442))</f>
        <v/>
      </c>
    </row>
    <row r="1443" customFormat="false" ht="15" hidden="false" customHeight="false" outlineLevel="0" collapsed="false">
      <c r="A1443" s="27"/>
      <c r="E1443" s="28"/>
      <c r="F1443" s="28"/>
      <c r="I1443" s="28" t="str">
        <f aca="false">IF(A1443="","",D1443*E1443)</f>
        <v/>
      </c>
      <c r="J1443" s="28" t="str">
        <f aca="false">IF(A1443="","",D1443*F1443)</f>
        <v/>
      </c>
      <c r="K1443" s="0" t="str">
        <f aca="false">IF(A1443="","",YEAR(A1443))</f>
        <v/>
      </c>
      <c r="L1443" s="0" t="str">
        <f aca="false">IF(A1443="","",MONTH(A1443))</f>
        <v/>
      </c>
    </row>
    <row r="1444" customFormat="false" ht="15" hidden="false" customHeight="false" outlineLevel="0" collapsed="false">
      <c r="A1444" s="27"/>
      <c r="E1444" s="28"/>
      <c r="F1444" s="28"/>
      <c r="I1444" s="28" t="str">
        <f aca="false">IF(A1444="","",D1444*E1444)</f>
        <v/>
      </c>
      <c r="J1444" s="28" t="str">
        <f aca="false">IF(A1444="","",D1444*F1444)</f>
        <v/>
      </c>
      <c r="K1444" s="0" t="str">
        <f aca="false">IF(A1444="","",YEAR(A1444))</f>
        <v/>
      </c>
      <c r="L1444" s="0" t="str">
        <f aca="false">IF(A1444="","",MONTH(A1444))</f>
        <v/>
      </c>
    </row>
    <row r="1445" customFormat="false" ht="15" hidden="false" customHeight="false" outlineLevel="0" collapsed="false">
      <c r="A1445" s="27"/>
      <c r="E1445" s="28"/>
      <c r="F1445" s="28"/>
      <c r="I1445" s="28" t="str">
        <f aca="false">IF(A1445="","",D1445*E1445)</f>
        <v/>
      </c>
      <c r="J1445" s="28" t="str">
        <f aca="false">IF(A1445="","",D1445*F1445)</f>
        <v/>
      </c>
      <c r="K1445" s="0" t="str">
        <f aca="false">IF(A1445="","",YEAR(A1445))</f>
        <v/>
      </c>
      <c r="L1445" s="0" t="str">
        <f aca="false">IF(A1445="","",MONTH(A1445))</f>
        <v/>
      </c>
    </row>
    <row r="1446" customFormat="false" ht="15" hidden="false" customHeight="false" outlineLevel="0" collapsed="false">
      <c r="A1446" s="27"/>
      <c r="E1446" s="28"/>
      <c r="F1446" s="28"/>
      <c r="I1446" s="28" t="str">
        <f aca="false">IF(A1446="","",D1446*E1446)</f>
        <v/>
      </c>
      <c r="J1446" s="28" t="str">
        <f aca="false">IF(A1446="","",D1446*F1446)</f>
        <v/>
      </c>
      <c r="K1446" s="0" t="str">
        <f aca="false">IF(A1446="","",YEAR(A1446))</f>
        <v/>
      </c>
      <c r="L1446" s="0" t="str">
        <f aca="false">IF(A1446="","",MONTH(A1446))</f>
        <v/>
      </c>
    </row>
    <row r="1447" customFormat="false" ht="15" hidden="false" customHeight="false" outlineLevel="0" collapsed="false">
      <c r="A1447" s="27"/>
      <c r="E1447" s="28"/>
      <c r="F1447" s="28"/>
      <c r="I1447" s="28" t="str">
        <f aca="false">IF(A1447="","",D1447*E1447)</f>
        <v/>
      </c>
      <c r="J1447" s="28" t="str">
        <f aca="false">IF(A1447="","",D1447*F1447)</f>
        <v/>
      </c>
      <c r="K1447" s="0" t="str">
        <f aca="false">IF(A1447="","",YEAR(A1447))</f>
        <v/>
      </c>
      <c r="L1447" s="0" t="str">
        <f aca="false">IF(A1447="","",MONTH(A1447))</f>
        <v/>
      </c>
    </row>
    <row r="1448" customFormat="false" ht="15" hidden="false" customHeight="false" outlineLevel="0" collapsed="false">
      <c r="A1448" s="27"/>
      <c r="E1448" s="28"/>
      <c r="F1448" s="28"/>
      <c r="I1448" s="28" t="str">
        <f aca="false">IF(A1448="","",D1448*E1448)</f>
        <v/>
      </c>
      <c r="J1448" s="28" t="str">
        <f aca="false">IF(A1448="","",D1448*F1448)</f>
        <v/>
      </c>
      <c r="K1448" s="0" t="str">
        <f aca="false">IF(A1448="","",YEAR(A1448))</f>
        <v/>
      </c>
      <c r="L1448" s="0" t="str">
        <f aca="false">IF(A1448="","",MONTH(A1448))</f>
        <v/>
      </c>
    </row>
    <row r="1449" customFormat="false" ht="15" hidden="false" customHeight="false" outlineLevel="0" collapsed="false">
      <c r="A1449" s="27"/>
      <c r="E1449" s="28"/>
      <c r="F1449" s="28"/>
      <c r="I1449" s="28" t="str">
        <f aca="false">IF(A1449="","",D1449*E1449)</f>
        <v/>
      </c>
      <c r="J1449" s="28" t="str">
        <f aca="false">IF(A1449="","",D1449*F1449)</f>
        <v/>
      </c>
      <c r="K1449" s="0" t="str">
        <f aca="false">IF(A1449="","",YEAR(A1449))</f>
        <v/>
      </c>
      <c r="L1449" s="0" t="str">
        <f aca="false">IF(A1449="","",MONTH(A1449))</f>
        <v/>
      </c>
    </row>
    <row r="1450" customFormat="false" ht="15" hidden="false" customHeight="false" outlineLevel="0" collapsed="false">
      <c r="A1450" s="27"/>
      <c r="E1450" s="28"/>
      <c r="F1450" s="28"/>
      <c r="I1450" s="28" t="str">
        <f aca="false">IF(A1450="","",D1450*E1450)</f>
        <v/>
      </c>
      <c r="J1450" s="28" t="str">
        <f aca="false">IF(A1450="","",D1450*F1450)</f>
        <v/>
      </c>
      <c r="K1450" s="0" t="str">
        <f aca="false">IF(A1450="","",YEAR(A1450))</f>
        <v/>
      </c>
      <c r="L1450" s="0" t="str">
        <f aca="false">IF(A1450="","",MONTH(A1450))</f>
        <v/>
      </c>
    </row>
    <row r="1451" customFormat="false" ht="15" hidden="false" customHeight="false" outlineLevel="0" collapsed="false">
      <c r="A1451" s="27"/>
      <c r="E1451" s="28"/>
      <c r="F1451" s="28"/>
      <c r="I1451" s="28" t="str">
        <f aca="false">IF(A1451="","",D1451*E1451)</f>
        <v/>
      </c>
      <c r="J1451" s="28" t="str">
        <f aca="false">IF(A1451="","",D1451*F1451)</f>
        <v/>
      </c>
      <c r="K1451" s="0" t="str">
        <f aca="false">IF(A1451="","",YEAR(A1451))</f>
        <v/>
      </c>
      <c r="L1451" s="0" t="str">
        <f aca="false">IF(A1451="","",MONTH(A1451))</f>
        <v/>
      </c>
    </row>
    <row r="1452" customFormat="false" ht="15" hidden="false" customHeight="false" outlineLevel="0" collapsed="false">
      <c r="A1452" s="27"/>
      <c r="E1452" s="28"/>
      <c r="F1452" s="28"/>
      <c r="I1452" s="28" t="str">
        <f aca="false">IF(A1452="","",D1452*E1452)</f>
        <v/>
      </c>
      <c r="J1452" s="28" t="str">
        <f aca="false">IF(A1452="","",D1452*F1452)</f>
        <v/>
      </c>
      <c r="K1452" s="0" t="str">
        <f aca="false">IF(A1452="","",YEAR(A1452))</f>
        <v/>
      </c>
      <c r="L1452" s="0" t="str">
        <f aca="false">IF(A1452="","",MONTH(A1452))</f>
        <v/>
      </c>
    </row>
    <row r="1453" customFormat="false" ht="15" hidden="false" customHeight="false" outlineLevel="0" collapsed="false">
      <c r="A1453" s="27"/>
      <c r="E1453" s="28"/>
      <c r="F1453" s="28"/>
      <c r="I1453" s="28" t="str">
        <f aca="false">IF(A1453="","",D1453*E1453)</f>
        <v/>
      </c>
      <c r="J1453" s="28" t="str">
        <f aca="false">IF(A1453="","",D1453*F1453)</f>
        <v/>
      </c>
      <c r="K1453" s="0" t="str">
        <f aca="false">IF(A1453="","",YEAR(A1453))</f>
        <v/>
      </c>
      <c r="L1453" s="0" t="str">
        <f aca="false">IF(A1453="","",MONTH(A1453))</f>
        <v/>
      </c>
    </row>
    <row r="1454" customFormat="false" ht="15" hidden="false" customHeight="false" outlineLevel="0" collapsed="false">
      <c r="A1454" s="27"/>
      <c r="E1454" s="28"/>
      <c r="F1454" s="28"/>
      <c r="I1454" s="28" t="str">
        <f aca="false">IF(A1454="","",D1454*E1454)</f>
        <v/>
      </c>
      <c r="J1454" s="28" t="str">
        <f aca="false">IF(A1454="","",D1454*F1454)</f>
        <v/>
      </c>
      <c r="K1454" s="0" t="str">
        <f aca="false">IF(A1454="","",YEAR(A1454))</f>
        <v/>
      </c>
      <c r="L1454" s="0" t="str">
        <f aca="false">IF(A1454="","",MONTH(A1454))</f>
        <v/>
      </c>
    </row>
    <row r="1455" customFormat="false" ht="15" hidden="false" customHeight="false" outlineLevel="0" collapsed="false">
      <c r="A1455" s="27"/>
      <c r="E1455" s="28"/>
      <c r="F1455" s="28"/>
      <c r="I1455" s="28" t="str">
        <f aca="false">IF(A1455="","",D1455*E1455)</f>
        <v/>
      </c>
      <c r="J1455" s="28" t="str">
        <f aca="false">IF(A1455="","",D1455*F1455)</f>
        <v/>
      </c>
      <c r="K1455" s="0" t="str">
        <f aca="false">IF(A1455="","",YEAR(A1455))</f>
        <v/>
      </c>
      <c r="L1455" s="0" t="str">
        <f aca="false">IF(A1455="","",MONTH(A1455))</f>
        <v/>
      </c>
    </row>
    <row r="1456" customFormat="false" ht="15" hidden="false" customHeight="false" outlineLevel="0" collapsed="false">
      <c r="A1456" s="27"/>
      <c r="E1456" s="28"/>
      <c r="F1456" s="28"/>
      <c r="I1456" s="28" t="str">
        <f aca="false">IF(A1456="","",D1456*E1456)</f>
        <v/>
      </c>
      <c r="J1456" s="28" t="str">
        <f aca="false">IF(A1456="","",D1456*F1456)</f>
        <v/>
      </c>
      <c r="K1456" s="0" t="str">
        <f aca="false">IF(A1456="","",YEAR(A1456))</f>
        <v/>
      </c>
      <c r="L1456" s="0" t="str">
        <f aca="false">IF(A1456="","",MONTH(A1456))</f>
        <v/>
      </c>
    </row>
    <row r="1457" customFormat="false" ht="15" hidden="false" customHeight="false" outlineLevel="0" collapsed="false">
      <c r="A1457" s="27"/>
      <c r="E1457" s="28"/>
      <c r="F1457" s="28"/>
      <c r="I1457" s="28" t="str">
        <f aca="false">IF(A1457="","",D1457*E1457)</f>
        <v/>
      </c>
      <c r="J1457" s="28" t="str">
        <f aca="false">IF(A1457="","",D1457*F1457)</f>
        <v/>
      </c>
      <c r="K1457" s="0" t="str">
        <f aca="false">IF(A1457="","",YEAR(A1457))</f>
        <v/>
      </c>
      <c r="L1457" s="0" t="str">
        <f aca="false">IF(A1457="","",MONTH(A1457))</f>
        <v/>
      </c>
    </row>
    <row r="1458" customFormat="false" ht="15" hidden="false" customHeight="false" outlineLevel="0" collapsed="false">
      <c r="A1458" s="27"/>
      <c r="E1458" s="28"/>
      <c r="F1458" s="28"/>
      <c r="I1458" s="28" t="str">
        <f aca="false">IF(A1458="","",D1458*E1458)</f>
        <v/>
      </c>
      <c r="J1458" s="28" t="str">
        <f aca="false">IF(A1458="","",D1458*F1458)</f>
        <v/>
      </c>
      <c r="K1458" s="0" t="str">
        <f aca="false">IF(A1458="","",YEAR(A1458))</f>
        <v/>
      </c>
      <c r="L1458" s="0" t="str">
        <f aca="false">IF(A1458="","",MONTH(A1458))</f>
        <v/>
      </c>
    </row>
    <row r="1459" customFormat="false" ht="15" hidden="false" customHeight="false" outlineLevel="0" collapsed="false">
      <c r="A1459" s="27"/>
      <c r="E1459" s="28"/>
      <c r="F1459" s="28"/>
      <c r="I1459" s="28" t="str">
        <f aca="false">IF(A1459="","",D1459*E1459)</f>
        <v/>
      </c>
      <c r="J1459" s="28" t="str">
        <f aca="false">IF(A1459="","",D1459*F1459)</f>
        <v/>
      </c>
      <c r="K1459" s="0" t="str">
        <f aca="false">IF(A1459="","",YEAR(A1459))</f>
        <v/>
      </c>
      <c r="L1459" s="0" t="str">
        <f aca="false">IF(A1459="","",MONTH(A1459))</f>
        <v/>
      </c>
    </row>
    <row r="1460" customFormat="false" ht="15" hidden="false" customHeight="false" outlineLevel="0" collapsed="false">
      <c r="A1460" s="27"/>
      <c r="E1460" s="28"/>
      <c r="F1460" s="28"/>
      <c r="I1460" s="28" t="str">
        <f aca="false">IF(A1460="","",D1460*E1460)</f>
        <v/>
      </c>
      <c r="J1460" s="28" t="str">
        <f aca="false">IF(A1460="","",D1460*F1460)</f>
        <v/>
      </c>
      <c r="K1460" s="0" t="str">
        <f aca="false">IF(A1460="","",YEAR(A1460))</f>
        <v/>
      </c>
      <c r="L1460" s="0" t="str">
        <f aca="false">IF(A1460="","",MONTH(A1460))</f>
        <v/>
      </c>
    </row>
    <row r="1461" customFormat="false" ht="15" hidden="false" customHeight="false" outlineLevel="0" collapsed="false">
      <c r="A1461" s="27"/>
      <c r="E1461" s="28"/>
      <c r="F1461" s="28"/>
      <c r="I1461" s="28" t="str">
        <f aca="false">IF(A1461="","",D1461*E1461)</f>
        <v/>
      </c>
      <c r="J1461" s="28" t="str">
        <f aca="false">IF(A1461="","",D1461*F1461)</f>
        <v/>
      </c>
      <c r="K1461" s="0" t="str">
        <f aca="false">IF(A1461="","",YEAR(A1461))</f>
        <v/>
      </c>
      <c r="L1461" s="0" t="str">
        <f aca="false">IF(A1461="","",MONTH(A1461))</f>
        <v/>
      </c>
    </row>
    <row r="1462" customFormat="false" ht="15" hidden="false" customHeight="false" outlineLevel="0" collapsed="false">
      <c r="A1462" s="27"/>
      <c r="E1462" s="28"/>
      <c r="F1462" s="28"/>
      <c r="I1462" s="28" t="str">
        <f aca="false">IF(A1462="","",D1462*E1462)</f>
        <v/>
      </c>
      <c r="J1462" s="28" t="str">
        <f aca="false">IF(A1462="","",D1462*F1462)</f>
        <v/>
      </c>
      <c r="K1462" s="0" t="str">
        <f aca="false">IF(A1462="","",YEAR(A1462))</f>
        <v/>
      </c>
      <c r="L1462" s="0" t="str">
        <f aca="false">IF(A1462="","",MONTH(A1462))</f>
        <v/>
      </c>
    </row>
    <row r="1463" customFormat="false" ht="15" hidden="false" customHeight="false" outlineLevel="0" collapsed="false">
      <c r="A1463" s="27"/>
      <c r="E1463" s="28"/>
      <c r="F1463" s="28"/>
      <c r="I1463" s="28" t="str">
        <f aca="false">IF(A1463="","",D1463*E1463)</f>
        <v/>
      </c>
      <c r="J1463" s="28" t="str">
        <f aca="false">IF(A1463="","",D1463*F1463)</f>
        <v/>
      </c>
      <c r="K1463" s="0" t="str">
        <f aca="false">IF(A1463="","",YEAR(A1463))</f>
        <v/>
      </c>
      <c r="L1463" s="0" t="str">
        <f aca="false">IF(A1463="","",MONTH(A1463))</f>
        <v/>
      </c>
    </row>
    <row r="1464" customFormat="false" ht="15" hidden="false" customHeight="false" outlineLevel="0" collapsed="false">
      <c r="A1464" s="27"/>
      <c r="E1464" s="28"/>
      <c r="F1464" s="28"/>
      <c r="I1464" s="28" t="str">
        <f aca="false">IF(A1464="","",D1464*E1464)</f>
        <v/>
      </c>
      <c r="J1464" s="28" t="str">
        <f aca="false">IF(A1464="","",D1464*F1464)</f>
        <v/>
      </c>
      <c r="K1464" s="0" t="str">
        <f aca="false">IF(A1464="","",YEAR(A1464))</f>
        <v/>
      </c>
      <c r="L1464" s="0" t="str">
        <f aca="false">IF(A1464="","",MONTH(A1464))</f>
        <v/>
      </c>
    </row>
    <row r="1465" customFormat="false" ht="15" hidden="false" customHeight="false" outlineLevel="0" collapsed="false">
      <c r="A1465" s="27"/>
      <c r="E1465" s="28"/>
      <c r="F1465" s="28"/>
      <c r="I1465" s="28" t="str">
        <f aca="false">IF(A1465="","",D1465*E1465)</f>
        <v/>
      </c>
      <c r="J1465" s="28" t="str">
        <f aca="false">IF(A1465="","",D1465*F1465)</f>
        <v/>
      </c>
      <c r="K1465" s="0" t="str">
        <f aca="false">IF(A1465="","",YEAR(A1465))</f>
        <v/>
      </c>
      <c r="L1465" s="0" t="str">
        <f aca="false">IF(A1465="","",MONTH(A1465))</f>
        <v/>
      </c>
    </row>
    <row r="1466" customFormat="false" ht="15" hidden="false" customHeight="false" outlineLevel="0" collapsed="false">
      <c r="A1466" s="27"/>
      <c r="E1466" s="28"/>
      <c r="F1466" s="28"/>
      <c r="I1466" s="28" t="str">
        <f aca="false">IF(A1466="","",D1466*E1466)</f>
        <v/>
      </c>
      <c r="J1466" s="28" t="str">
        <f aca="false">IF(A1466="","",D1466*F1466)</f>
        <v/>
      </c>
      <c r="K1466" s="0" t="str">
        <f aca="false">IF(A1466="","",YEAR(A1466))</f>
        <v/>
      </c>
      <c r="L1466" s="0" t="str">
        <f aca="false">IF(A1466="","",MONTH(A1466))</f>
        <v/>
      </c>
    </row>
    <row r="1467" customFormat="false" ht="15" hidden="false" customHeight="false" outlineLevel="0" collapsed="false">
      <c r="A1467" s="27"/>
      <c r="E1467" s="28"/>
      <c r="F1467" s="28"/>
      <c r="I1467" s="28" t="str">
        <f aca="false">IF(A1467="","",D1467*E1467)</f>
        <v/>
      </c>
      <c r="J1467" s="28" t="str">
        <f aca="false">IF(A1467="","",D1467*F1467)</f>
        <v/>
      </c>
      <c r="K1467" s="0" t="str">
        <f aca="false">IF(A1467="","",YEAR(A1467))</f>
        <v/>
      </c>
      <c r="L1467" s="0" t="str">
        <f aca="false">IF(A1467="","",MONTH(A1467))</f>
        <v/>
      </c>
    </row>
    <row r="1468" customFormat="false" ht="15" hidden="false" customHeight="false" outlineLevel="0" collapsed="false">
      <c r="A1468" s="27"/>
      <c r="E1468" s="28"/>
      <c r="F1468" s="28"/>
      <c r="I1468" s="28" t="str">
        <f aca="false">IF(A1468="","",D1468*E1468)</f>
        <v/>
      </c>
      <c r="J1468" s="28" t="str">
        <f aca="false">IF(A1468="","",D1468*F1468)</f>
        <v/>
      </c>
      <c r="K1468" s="0" t="str">
        <f aca="false">IF(A1468="","",YEAR(A1468))</f>
        <v/>
      </c>
      <c r="L1468" s="0" t="str">
        <f aca="false">IF(A1468="","",MONTH(A1468))</f>
        <v/>
      </c>
    </row>
    <row r="1469" customFormat="false" ht="15" hidden="false" customHeight="false" outlineLevel="0" collapsed="false">
      <c r="A1469" s="27"/>
      <c r="E1469" s="28"/>
      <c r="F1469" s="28"/>
      <c r="I1469" s="28" t="str">
        <f aca="false">IF(A1469="","",D1469*E1469)</f>
        <v/>
      </c>
      <c r="J1469" s="28" t="str">
        <f aca="false">IF(A1469="","",D1469*F1469)</f>
        <v/>
      </c>
      <c r="K1469" s="0" t="str">
        <f aca="false">IF(A1469="","",YEAR(A1469))</f>
        <v/>
      </c>
      <c r="L1469" s="0" t="str">
        <f aca="false">IF(A1469="","",MONTH(A1469))</f>
        <v/>
      </c>
    </row>
    <row r="1470" customFormat="false" ht="15" hidden="false" customHeight="false" outlineLevel="0" collapsed="false">
      <c r="A1470" s="27"/>
      <c r="E1470" s="28"/>
      <c r="F1470" s="28"/>
      <c r="I1470" s="28" t="str">
        <f aca="false">IF(A1470="","",D1470*E1470)</f>
        <v/>
      </c>
      <c r="J1470" s="28" t="str">
        <f aca="false">IF(A1470="","",D1470*F1470)</f>
        <v/>
      </c>
      <c r="K1470" s="0" t="str">
        <f aca="false">IF(A1470="","",YEAR(A1470))</f>
        <v/>
      </c>
      <c r="L1470" s="0" t="str">
        <f aca="false">IF(A1470="","",MONTH(A1470))</f>
        <v/>
      </c>
    </row>
    <row r="1471" customFormat="false" ht="15" hidden="false" customHeight="false" outlineLevel="0" collapsed="false">
      <c r="A1471" s="27"/>
      <c r="E1471" s="28"/>
      <c r="F1471" s="28"/>
      <c r="I1471" s="28" t="str">
        <f aca="false">IF(A1471="","",D1471*E1471)</f>
        <v/>
      </c>
      <c r="J1471" s="28" t="str">
        <f aca="false">IF(A1471="","",D1471*F1471)</f>
        <v/>
      </c>
      <c r="K1471" s="0" t="str">
        <f aca="false">IF(A1471="","",YEAR(A1471))</f>
        <v/>
      </c>
      <c r="L1471" s="0" t="str">
        <f aca="false">IF(A1471="","",MONTH(A1471))</f>
        <v/>
      </c>
    </row>
    <row r="1472" customFormat="false" ht="15" hidden="false" customHeight="false" outlineLevel="0" collapsed="false">
      <c r="A1472" s="27"/>
      <c r="E1472" s="28"/>
      <c r="F1472" s="28"/>
      <c r="I1472" s="28" t="str">
        <f aca="false">IF(A1472="","",D1472*E1472)</f>
        <v/>
      </c>
      <c r="J1472" s="28" t="str">
        <f aca="false">IF(A1472="","",D1472*F1472)</f>
        <v/>
      </c>
      <c r="K1472" s="0" t="str">
        <f aca="false">IF(A1472="","",YEAR(A1472))</f>
        <v/>
      </c>
      <c r="L1472" s="0" t="str">
        <f aca="false">IF(A1472="","",MONTH(A1472))</f>
        <v/>
      </c>
    </row>
    <row r="1473" customFormat="false" ht="15" hidden="false" customHeight="false" outlineLevel="0" collapsed="false">
      <c r="A1473" s="27"/>
      <c r="E1473" s="28"/>
      <c r="F1473" s="28"/>
      <c r="I1473" s="28" t="str">
        <f aca="false">IF(A1473="","",D1473*E1473)</f>
        <v/>
      </c>
      <c r="J1473" s="28" t="str">
        <f aca="false">IF(A1473="","",D1473*F1473)</f>
        <v/>
      </c>
      <c r="K1473" s="0" t="str">
        <f aca="false">IF(A1473="","",YEAR(A1473))</f>
        <v/>
      </c>
      <c r="L1473" s="0" t="str">
        <f aca="false">IF(A1473="","",MONTH(A1473))</f>
        <v/>
      </c>
    </row>
    <row r="1474" customFormat="false" ht="15" hidden="false" customHeight="false" outlineLevel="0" collapsed="false">
      <c r="A1474" s="27"/>
      <c r="E1474" s="28"/>
      <c r="F1474" s="28"/>
      <c r="I1474" s="28" t="str">
        <f aca="false">IF(A1474="","",D1474*E1474)</f>
        <v/>
      </c>
      <c r="J1474" s="28" t="str">
        <f aca="false">IF(A1474="","",D1474*F1474)</f>
        <v/>
      </c>
      <c r="K1474" s="0" t="str">
        <f aca="false">IF(A1474="","",YEAR(A1474))</f>
        <v/>
      </c>
      <c r="L1474" s="0" t="str">
        <f aca="false">IF(A1474="","",MONTH(A1474))</f>
        <v/>
      </c>
    </row>
    <row r="1475" customFormat="false" ht="15" hidden="false" customHeight="false" outlineLevel="0" collapsed="false">
      <c r="A1475" s="27"/>
      <c r="E1475" s="28"/>
      <c r="F1475" s="28"/>
      <c r="I1475" s="28" t="str">
        <f aca="false">IF(A1475="","",D1475*E1475)</f>
        <v/>
      </c>
      <c r="J1475" s="28" t="str">
        <f aca="false">IF(A1475="","",D1475*F1475)</f>
        <v/>
      </c>
      <c r="K1475" s="0" t="str">
        <f aca="false">IF(A1475="","",YEAR(A1475))</f>
        <v/>
      </c>
      <c r="L1475" s="0" t="str">
        <f aca="false">IF(A1475="","",MONTH(A1475))</f>
        <v/>
      </c>
    </row>
    <row r="1476" customFormat="false" ht="15" hidden="false" customHeight="false" outlineLevel="0" collapsed="false">
      <c r="A1476" s="27"/>
      <c r="E1476" s="28"/>
      <c r="F1476" s="28"/>
      <c r="I1476" s="28" t="str">
        <f aca="false">IF(A1476="","",D1476*E1476)</f>
        <v/>
      </c>
      <c r="J1476" s="28" t="str">
        <f aca="false">IF(A1476="","",D1476*F1476)</f>
        <v/>
      </c>
      <c r="K1476" s="0" t="str">
        <f aca="false">IF(A1476="","",YEAR(A1476))</f>
        <v/>
      </c>
      <c r="L1476" s="0" t="str">
        <f aca="false">IF(A1476="","",MONTH(A1476))</f>
        <v/>
      </c>
    </row>
    <row r="1477" customFormat="false" ht="15" hidden="false" customHeight="false" outlineLevel="0" collapsed="false">
      <c r="A1477" s="27"/>
      <c r="E1477" s="28"/>
      <c r="F1477" s="28"/>
      <c r="I1477" s="28" t="str">
        <f aca="false">IF(A1477="","",D1477*E1477)</f>
        <v/>
      </c>
      <c r="J1477" s="28" t="str">
        <f aca="false">IF(A1477="","",D1477*F1477)</f>
        <v/>
      </c>
      <c r="K1477" s="0" t="str">
        <f aca="false">IF(A1477="","",YEAR(A1477))</f>
        <v/>
      </c>
      <c r="L1477" s="0" t="str">
        <f aca="false">IF(A1477="","",MONTH(A1477))</f>
        <v/>
      </c>
    </row>
    <row r="1478" customFormat="false" ht="15" hidden="false" customHeight="false" outlineLevel="0" collapsed="false">
      <c r="A1478" s="27"/>
      <c r="E1478" s="28"/>
      <c r="F1478" s="28"/>
      <c r="I1478" s="28" t="str">
        <f aca="false">IF(A1478="","",D1478*E1478)</f>
        <v/>
      </c>
      <c r="J1478" s="28" t="str">
        <f aca="false">IF(A1478="","",D1478*F1478)</f>
        <v/>
      </c>
      <c r="K1478" s="0" t="str">
        <f aca="false">IF(A1478="","",YEAR(A1478))</f>
        <v/>
      </c>
      <c r="L1478" s="0" t="str">
        <f aca="false">IF(A1478="","",MONTH(A1478))</f>
        <v/>
      </c>
    </row>
    <row r="1479" customFormat="false" ht="15" hidden="false" customHeight="false" outlineLevel="0" collapsed="false">
      <c r="A1479" s="27"/>
      <c r="E1479" s="28"/>
      <c r="F1479" s="28"/>
      <c r="I1479" s="28" t="str">
        <f aca="false">IF(A1479="","",D1479*E1479)</f>
        <v/>
      </c>
      <c r="J1479" s="28" t="str">
        <f aca="false">IF(A1479="","",D1479*F1479)</f>
        <v/>
      </c>
      <c r="K1479" s="0" t="str">
        <f aca="false">IF(A1479="","",YEAR(A1479))</f>
        <v/>
      </c>
      <c r="L1479" s="0" t="str">
        <f aca="false">IF(A1479="","",MONTH(A1479))</f>
        <v/>
      </c>
    </row>
    <row r="1480" customFormat="false" ht="15" hidden="false" customHeight="false" outlineLevel="0" collapsed="false">
      <c r="A1480" s="27"/>
      <c r="E1480" s="28"/>
      <c r="F1480" s="28"/>
      <c r="I1480" s="28" t="str">
        <f aca="false">IF(A1480="","",D1480*E1480)</f>
        <v/>
      </c>
      <c r="J1480" s="28" t="str">
        <f aca="false">IF(A1480="","",D1480*F1480)</f>
        <v/>
      </c>
      <c r="K1480" s="0" t="str">
        <f aca="false">IF(A1480="","",YEAR(A1480))</f>
        <v/>
      </c>
      <c r="L1480" s="0" t="str">
        <f aca="false">IF(A1480="","",MONTH(A1480))</f>
        <v/>
      </c>
    </row>
    <row r="1481" customFormat="false" ht="15" hidden="false" customHeight="false" outlineLevel="0" collapsed="false">
      <c r="A1481" s="27"/>
      <c r="E1481" s="28"/>
      <c r="F1481" s="28"/>
      <c r="I1481" s="28" t="str">
        <f aca="false">IF(A1481="","",D1481*E1481)</f>
        <v/>
      </c>
      <c r="J1481" s="28" t="str">
        <f aca="false">IF(A1481="","",D1481*F1481)</f>
        <v/>
      </c>
      <c r="K1481" s="0" t="str">
        <f aca="false">IF(A1481="","",YEAR(A1481))</f>
        <v/>
      </c>
      <c r="L1481" s="0" t="str">
        <f aca="false">IF(A1481="","",MONTH(A1481))</f>
        <v/>
      </c>
    </row>
    <row r="1482" customFormat="false" ht="15" hidden="false" customHeight="false" outlineLevel="0" collapsed="false">
      <c r="A1482" s="27"/>
      <c r="E1482" s="28"/>
      <c r="F1482" s="28"/>
      <c r="I1482" s="28" t="str">
        <f aca="false">IF(A1482="","",D1482*E1482)</f>
        <v/>
      </c>
      <c r="J1482" s="28" t="str">
        <f aca="false">IF(A1482="","",D1482*F1482)</f>
        <v/>
      </c>
      <c r="K1482" s="0" t="str">
        <f aca="false">IF(A1482="","",YEAR(A1482))</f>
        <v/>
      </c>
      <c r="L1482" s="0" t="str">
        <f aca="false">IF(A1482="","",MONTH(A1482))</f>
        <v/>
      </c>
    </row>
    <row r="1483" customFormat="false" ht="15" hidden="false" customHeight="false" outlineLevel="0" collapsed="false">
      <c r="A1483" s="27"/>
      <c r="E1483" s="28"/>
      <c r="F1483" s="28"/>
      <c r="I1483" s="28" t="str">
        <f aca="false">IF(A1483="","",D1483*E1483)</f>
        <v/>
      </c>
      <c r="J1483" s="28" t="str">
        <f aca="false">IF(A1483="","",D1483*F1483)</f>
        <v/>
      </c>
      <c r="K1483" s="0" t="str">
        <f aca="false">IF(A1483="","",YEAR(A1483))</f>
        <v/>
      </c>
      <c r="L1483" s="0" t="str">
        <f aca="false">IF(A1483="","",MONTH(A1483))</f>
        <v/>
      </c>
    </row>
    <row r="1484" customFormat="false" ht="15" hidden="false" customHeight="false" outlineLevel="0" collapsed="false">
      <c r="A1484" s="27"/>
      <c r="E1484" s="28"/>
      <c r="F1484" s="28"/>
      <c r="I1484" s="28" t="str">
        <f aca="false">IF(A1484="","",D1484*E1484)</f>
        <v/>
      </c>
      <c r="J1484" s="28" t="str">
        <f aca="false">IF(A1484="","",D1484*F1484)</f>
        <v/>
      </c>
      <c r="K1484" s="0" t="str">
        <f aca="false">IF(A1484="","",YEAR(A1484))</f>
        <v/>
      </c>
      <c r="L1484" s="0" t="str">
        <f aca="false">IF(A1484="","",MONTH(A1484))</f>
        <v/>
      </c>
    </row>
    <row r="1485" customFormat="false" ht="15" hidden="false" customHeight="false" outlineLevel="0" collapsed="false">
      <c r="A1485" s="27"/>
      <c r="E1485" s="28"/>
      <c r="F1485" s="28"/>
      <c r="I1485" s="28" t="str">
        <f aca="false">IF(A1485="","",D1485*E1485)</f>
        <v/>
      </c>
      <c r="J1485" s="28" t="str">
        <f aca="false">IF(A1485="","",D1485*F1485)</f>
        <v/>
      </c>
      <c r="K1485" s="0" t="str">
        <f aca="false">IF(A1485="","",YEAR(A1485))</f>
        <v/>
      </c>
      <c r="L1485" s="0" t="str">
        <f aca="false">IF(A1485="","",MONTH(A1485))</f>
        <v/>
      </c>
    </row>
    <row r="1486" customFormat="false" ht="15" hidden="false" customHeight="false" outlineLevel="0" collapsed="false">
      <c r="A1486" s="27"/>
      <c r="E1486" s="28"/>
      <c r="F1486" s="28"/>
      <c r="I1486" s="28" t="str">
        <f aca="false">IF(A1486="","",D1486*E1486)</f>
        <v/>
      </c>
      <c r="J1486" s="28" t="str">
        <f aca="false">IF(A1486="","",D1486*F1486)</f>
        <v/>
      </c>
      <c r="K1486" s="0" t="str">
        <f aca="false">IF(A1486="","",YEAR(A1486))</f>
        <v/>
      </c>
      <c r="L1486" s="0" t="str">
        <f aca="false">IF(A1486="","",MONTH(A1486))</f>
        <v/>
      </c>
    </row>
    <row r="1487" customFormat="false" ht="15" hidden="false" customHeight="false" outlineLevel="0" collapsed="false">
      <c r="A1487" s="27"/>
      <c r="E1487" s="28"/>
      <c r="F1487" s="28"/>
      <c r="I1487" s="28" t="str">
        <f aca="false">IF(A1487="","",D1487*E1487)</f>
        <v/>
      </c>
      <c r="J1487" s="28" t="str">
        <f aca="false">IF(A1487="","",D1487*F1487)</f>
        <v/>
      </c>
      <c r="K1487" s="0" t="str">
        <f aca="false">IF(A1487="","",YEAR(A1487))</f>
        <v/>
      </c>
      <c r="L1487" s="0" t="str">
        <f aca="false">IF(A1487="","",MONTH(A1487))</f>
        <v/>
      </c>
    </row>
    <row r="1488" customFormat="false" ht="15" hidden="false" customHeight="false" outlineLevel="0" collapsed="false">
      <c r="A1488" s="27"/>
      <c r="E1488" s="28"/>
      <c r="F1488" s="28"/>
      <c r="I1488" s="28" t="str">
        <f aca="false">IF(A1488="","",D1488*E1488)</f>
        <v/>
      </c>
      <c r="J1488" s="28" t="str">
        <f aca="false">IF(A1488="","",D1488*F1488)</f>
        <v/>
      </c>
      <c r="K1488" s="0" t="str">
        <f aca="false">IF(A1488="","",YEAR(A1488))</f>
        <v/>
      </c>
      <c r="L1488" s="0" t="str">
        <f aca="false">IF(A1488="","",MONTH(A1488))</f>
        <v/>
      </c>
    </row>
    <row r="1489" customFormat="false" ht="15" hidden="false" customHeight="false" outlineLevel="0" collapsed="false">
      <c r="A1489" s="27"/>
      <c r="E1489" s="28"/>
      <c r="F1489" s="28"/>
      <c r="I1489" s="28" t="str">
        <f aca="false">IF(A1489="","",D1489*E1489)</f>
        <v/>
      </c>
      <c r="J1489" s="28" t="str">
        <f aca="false">IF(A1489="","",D1489*F1489)</f>
        <v/>
      </c>
      <c r="K1489" s="0" t="str">
        <f aca="false">IF(A1489="","",YEAR(A1489))</f>
        <v/>
      </c>
      <c r="L1489" s="0" t="str">
        <f aca="false">IF(A1489="","",MONTH(A1489))</f>
        <v/>
      </c>
    </row>
    <row r="1490" customFormat="false" ht="15" hidden="false" customHeight="false" outlineLevel="0" collapsed="false">
      <c r="A1490" s="27"/>
      <c r="E1490" s="28"/>
      <c r="F1490" s="28"/>
      <c r="I1490" s="28" t="str">
        <f aca="false">IF(A1490="","",D1490*E1490)</f>
        <v/>
      </c>
      <c r="J1490" s="28" t="str">
        <f aca="false">IF(A1490="","",D1490*F1490)</f>
        <v/>
      </c>
      <c r="K1490" s="0" t="str">
        <f aca="false">IF(A1490="","",YEAR(A1490))</f>
        <v/>
      </c>
      <c r="L1490" s="0" t="str">
        <f aca="false">IF(A1490="","",MONTH(A1490))</f>
        <v/>
      </c>
    </row>
    <row r="1491" customFormat="false" ht="15" hidden="false" customHeight="false" outlineLevel="0" collapsed="false">
      <c r="A1491" s="27"/>
      <c r="E1491" s="28"/>
      <c r="F1491" s="28"/>
      <c r="I1491" s="28" t="str">
        <f aca="false">IF(A1491="","",D1491*E1491)</f>
        <v/>
      </c>
      <c r="J1491" s="28" t="str">
        <f aca="false">IF(A1491="","",D1491*F1491)</f>
        <v/>
      </c>
      <c r="K1491" s="0" t="str">
        <f aca="false">IF(A1491="","",YEAR(A1491))</f>
        <v/>
      </c>
      <c r="L1491" s="0" t="str">
        <f aca="false">IF(A1491="","",MONTH(A1491))</f>
        <v/>
      </c>
    </row>
    <row r="1492" customFormat="false" ht="15" hidden="false" customHeight="false" outlineLevel="0" collapsed="false">
      <c r="A1492" s="27"/>
      <c r="E1492" s="28"/>
      <c r="F1492" s="28"/>
      <c r="I1492" s="28" t="str">
        <f aca="false">IF(A1492="","",D1492*E1492)</f>
        <v/>
      </c>
      <c r="J1492" s="28" t="str">
        <f aca="false">IF(A1492="","",D1492*F1492)</f>
        <v/>
      </c>
      <c r="K1492" s="0" t="str">
        <f aca="false">IF(A1492="","",YEAR(A1492))</f>
        <v/>
      </c>
      <c r="L1492" s="0" t="str">
        <f aca="false">IF(A1492="","",MONTH(A1492))</f>
        <v/>
      </c>
    </row>
    <row r="1493" customFormat="false" ht="15" hidden="false" customHeight="false" outlineLevel="0" collapsed="false">
      <c r="A1493" s="27"/>
      <c r="E1493" s="28"/>
      <c r="F1493" s="28"/>
      <c r="I1493" s="28" t="str">
        <f aca="false">IF(A1493="","",D1493*E1493)</f>
        <v/>
      </c>
      <c r="J1493" s="28" t="str">
        <f aca="false">IF(A1493="","",D1493*F1493)</f>
        <v/>
      </c>
      <c r="K1493" s="0" t="str">
        <f aca="false">IF(A1493="","",YEAR(A1493))</f>
        <v/>
      </c>
      <c r="L1493" s="0" t="str">
        <f aca="false">IF(A1493="","",MONTH(A1493))</f>
        <v/>
      </c>
    </row>
    <row r="1494" customFormat="false" ht="15" hidden="false" customHeight="false" outlineLevel="0" collapsed="false">
      <c r="A1494" s="27"/>
      <c r="E1494" s="28"/>
      <c r="F1494" s="28"/>
      <c r="I1494" s="28" t="str">
        <f aca="false">IF(A1494="","",D1494*E1494)</f>
        <v/>
      </c>
      <c r="J1494" s="28" t="str">
        <f aca="false">IF(A1494="","",D1494*F1494)</f>
        <v/>
      </c>
      <c r="K1494" s="0" t="str">
        <f aca="false">IF(A1494="","",YEAR(A1494))</f>
        <v/>
      </c>
      <c r="L1494" s="0" t="str">
        <f aca="false">IF(A1494="","",MONTH(A1494))</f>
        <v/>
      </c>
    </row>
    <row r="1495" customFormat="false" ht="15" hidden="false" customHeight="false" outlineLevel="0" collapsed="false">
      <c r="A1495" s="27"/>
      <c r="E1495" s="28"/>
      <c r="F1495" s="28"/>
      <c r="I1495" s="28" t="str">
        <f aca="false">IF(A1495="","",D1495*E1495)</f>
        <v/>
      </c>
      <c r="J1495" s="28" t="str">
        <f aca="false">IF(A1495="","",D1495*F1495)</f>
        <v/>
      </c>
      <c r="K1495" s="0" t="str">
        <f aca="false">IF(A1495="","",YEAR(A1495))</f>
        <v/>
      </c>
      <c r="L1495" s="0" t="str">
        <f aca="false">IF(A1495="","",MONTH(A1495))</f>
        <v/>
      </c>
    </row>
    <row r="1496" customFormat="false" ht="15" hidden="false" customHeight="false" outlineLevel="0" collapsed="false">
      <c r="A1496" s="27"/>
      <c r="E1496" s="28"/>
      <c r="F1496" s="28"/>
      <c r="I1496" s="28" t="str">
        <f aca="false">IF(A1496="","",D1496*E1496)</f>
        <v/>
      </c>
      <c r="J1496" s="28" t="str">
        <f aca="false">IF(A1496="","",D1496*F1496)</f>
        <v/>
      </c>
      <c r="K1496" s="0" t="str">
        <f aca="false">IF(A1496="","",YEAR(A1496))</f>
        <v/>
      </c>
      <c r="L1496" s="0" t="str">
        <f aca="false">IF(A1496="","",MONTH(A1496))</f>
        <v/>
      </c>
    </row>
    <row r="1497" customFormat="false" ht="15" hidden="false" customHeight="false" outlineLevel="0" collapsed="false">
      <c r="A1497" s="27"/>
      <c r="E1497" s="28"/>
      <c r="F1497" s="28"/>
      <c r="I1497" s="28" t="str">
        <f aca="false">IF(A1497="","",D1497*E1497)</f>
        <v/>
      </c>
      <c r="J1497" s="28" t="str">
        <f aca="false">IF(A1497="","",D1497*F1497)</f>
        <v/>
      </c>
      <c r="K1497" s="0" t="str">
        <f aca="false">IF(A1497="","",YEAR(A1497))</f>
        <v/>
      </c>
      <c r="L1497" s="0" t="str">
        <f aca="false">IF(A1497="","",MONTH(A1497))</f>
        <v/>
      </c>
    </row>
    <row r="1498" customFormat="false" ht="15" hidden="false" customHeight="false" outlineLevel="0" collapsed="false">
      <c r="A1498" s="27"/>
      <c r="E1498" s="28"/>
      <c r="F1498" s="28"/>
      <c r="I1498" s="28" t="str">
        <f aca="false">IF(A1498="","",D1498*E1498)</f>
        <v/>
      </c>
      <c r="J1498" s="28" t="str">
        <f aca="false">IF(A1498="","",D1498*F1498)</f>
        <v/>
      </c>
      <c r="K1498" s="0" t="str">
        <f aca="false">IF(A1498="","",YEAR(A1498))</f>
        <v/>
      </c>
      <c r="L1498" s="0" t="str">
        <f aca="false">IF(A1498="","",MONTH(A1498))</f>
        <v/>
      </c>
    </row>
    <row r="1499" customFormat="false" ht="15" hidden="false" customHeight="false" outlineLevel="0" collapsed="false">
      <c r="A1499" s="27"/>
      <c r="E1499" s="28"/>
      <c r="F1499" s="28"/>
      <c r="I1499" s="28" t="str">
        <f aca="false">IF(A1499="","",D1499*E1499)</f>
        <v/>
      </c>
      <c r="J1499" s="28" t="str">
        <f aca="false">IF(A1499="","",D1499*F1499)</f>
        <v/>
      </c>
      <c r="K1499" s="0" t="str">
        <f aca="false">IF(A1499="","",YEAR(A1499))</f>
        <v/>
      </c>
      <c r="L1499" s="0" t="str">
        <f aca="false">IF(A1499="","",MONTH(A1499))</f>
        <v/>
      </c>
    </row>
    <row r="1500" customFormat="false" ht="15" hidden="false" customHeight="false" outlineLevel="0" collapsed="false">
      <c r="A1500" s="27"/>
      <c r="E1500" s="28"/>
      <c r="F1500" s="28"/>
      <c r="I1500" s="28" t="str">
        <f aca="false">IF(A1500="","",D1500*E1500)</f>
        <v/>
      </c>
      <c r="J1500" s="28" t="str">
        <f aca="false">IF(A1500="","",D1500*F1500)</f>
        <v/>
      </c>
      <c r="K1500" s="0" t="str">
        <f aca="false">IF(A1500="","",YEAR(A1500))</f>
        <v/>
      </c>
      <c r="L1500" s="0" t="str">
        <f aca="false">IF(A1500="","",MONTH(A1500))</f>
        <v/>
      </c>
    </row>
    <row r="1501" customFormat="false" ht="15" hidden="false" customHeight="false" outlineLevel="0" collapsed="false">
      <c r="A1501" s="27"/>
      <c r="E1501" s="28"/>
      <c r="F1501" s="28"/>
      <c r="I1501" s="28" t="str">
        <f aca="false">IF(A1501="","",D1501*E1501)</f>
        <v/>
      </c>
      <c r="J1501" s="28" t="str">
        <f aca="false">IF(A1501="","",D1501*F1501)</f>
        <v/>
      </c>
      <c r="K1501" s="0" t="str">
        <f aca="false">IF(A1501="","",YEAR(A1501))</f>
        <v/>
      </c>
      <c r="L1501" s="0" t="str">
        <f aca="false">IF(A1501="","",MONTH(A1501))</f>
        <v/>
      </c>
    </row>
    <row r="1502" customFormat="false" ht="15" hidden="false" customHeight="false" outlineLevel="0" collapsed="false">
      <c r="A1502" s="27"/>
      <c r="E1502" s="28"/>
      <c r="F1502" s="28"/>
      <c r="I1502" s="28" t="str">
        <f aca="false">IF(A1502="","",D1502*E1502)</f>
        <v/>
      </c>
      <c r="J1502" s="28" t="str">
        <f aca="false">IF(A1502="","",D1502*F1502)</f>
        <v/>
      </c>
      <c r="K1502" s="0" t="str">
        <f aca="false">IF(A1502="","",YEAR(A1502))</f>
        <v/>
      </c>
      <c r="L1502" s="0" t="str">
        <f aca="false">IF(A1502="","",MONTH(A1502))</f>
        <v/>
      </c>
    </row>
    <row r="1503" customFormat="false" ht="15" hidden="false" customHeight="false" outlineLevel="0" collapsed="false">
      <c r="A1503" s="27"/>
      <c r="E1503" s="28"/>
      <c r="F1503" s="28"/>
      <c r="I1503" s="28" t="str">
        <f aca="false">IF(A1503="","",D1503*E1503)</f>
        <v/>
      </c>
      <c r="J1503" s="28" t="str">
        <f aca="false">IF(A1503="","",D1503*F1503)</f>
        <v/>
      </c>
      <c r="K1503" s="0" t="str">
        <f aca="false">IF(A1503="","",YEAR(A1503))</f>
        <v/>
      </c>
      <c r="L1503" s="0" t="str">
        <f aca="false">IF(A1503="","",MONTH(A1503))</f>
        <v/>
      </c>
    </row>
    <row r="1504" customFormat="false" ht="15" hidden="false" customHeight="false" outlineLevel="0" collapsed="false">
      <c r="A1504" s="27"/>
      <c r="E1504" s="28"/>
      <c r="F1504" s="28"/>
      <c r="I1504" s="28" t="str">
        <f aca="false">IF(A1504="","",D1504*E1504)</f>
        <v/>
      </c>
      <c r="J1504" s="28" t="str">
        <f aca="false">IF(A1504="","",D1504*F1504)</f>
        <v/>
      </c>
      <c r="K1504" s="0" t="str">
        <f aca="false">IF(A1504="","",YEAR(A1504))</f>
        <v/>
      </c>
      <c r="L1504" s="0" t="str">
        <f aca="false">IF(A1504="","",MONTH(A1504))</f>
        <v/>
      </c>
    </row>
    <row r="1505" customFormat="false" ht="15" hidden="false" customHeight="false" outlineLevel="0" collapsed="false">
      <c r="A1505" s="27"/>
      <c r="E1505" s="28"/>
      <c r="F1505" s="28"/>
      <c r="I1505" s="28" t="str">
        <f aca="false">IF(A1505="","",D1505*E1505)</f>
        <v/>
      </c>
      <c r="J1505" s="28" t="str">
        <f aca="false">IF(A1505="","",D1505*F1505)</f>
        <v/>
      </c>
      <c r="K1505" s="0" t="str">
        <f aca="false">IF(A1505="","",YEAR(A1505))</f>
        <v/>
      </c>
      <c r="L1505" s="0" t="str">
        <f aca="false">IF(A1505="","",MONTH(A1505))</f>
        <v/>
      </c>
    </row>
    <row r="1506" customFormat="false" ht="15" hidden="false" customHeight="false" outlineLevel="0" collapsed="false">
      <c r="A1506" s="27"/>
      <c r="E1506" s="28"/>
      <c r="F1506" s="28"/>
      <c r="I1506" s="28" t="str">
        <f aca="false">IF(A1506="","",D1506*E1506)</f>
        <v/>
      </c>
      <c r="J1506" s="28" t="str">
        <f aca="false">IF(A1506="","",D1506*F1506)</f>
        <v/>
      </c>
      <c r="K1506" s="0" t="str">
        <f aca="false">IF(A1506="","",YEAR(A1506))</f>
        <v/>
      </c>
      <c r="L1506" s="0" t="str">
        <f aca="false">IF(A1506="","",MONTH(A1506))</f>
        <v/>
      </c>
    </row>
    <row r="1507" customFormat="false" ht="15" hidden="false" customHeight="false" outlineLevel="0" collapsed="false">
      <c r="A1507" s="27"/>
      <c r="E1507" s="28"/>
      <c r="F1507" s="28"/>
      <c r="I1507" s="28" t="str">
        <f aca="false">IF(A1507="","",D1507*E1507)</f>
        <v/>
      </c>
      <c r="J1507" s="28" t="str">
        <f aca="false">IF(A1507="","",D1507*F1507)</f>
        <v/>
      </c>
      <c r="K1507" s="0" t="str">
        <f aca="false">IF(A1507="","",YEAR(A1507))</f>
        <v/>
      </c>
      <c r="L1507" s="0" t="str">
        <f aca="false">IF(A1507="","",MONTH(A1507))</f>
        <v/>
      </c>
    </row>
    <row r="1508" customFormat="false" ht="15" hidden="false" customHeight="false" outlineLevel="0" collapsed="false">
      <c r="A1508" s="27"/>
      <c r="E1508" s="28"/>
      <c r="F1508" s="28"/>
      <c r="I1508" s="28" t="str">
        <f aca="false">IF(A1508="","",D1508*E1508)</f>
        <v/>
      </c>
      <c r="J1508" s="28" t="str">
        <f aca="false">IF(A1508="","",D1508*F1508)</f>
        <v/>
      </c>
      <c r="K1508" s="0" t="str">
        <f aca="false">IF(A1508="","",YEAR(A1508))</f>
        <v/>
      </c>
      <c r="L1508" s="0" t="str">
        <f aca="false">IF(A1508="","",MONTH(A1508))</f>
        <v/>
      </c>
    </row>
    <row r="1509" customFormat="false" ht="15" hidden="false" customHeight="false" outlineLevel="0" collapsed="false">
      <c r="A1509" s="27"/>
      <c r="E1509" s="28"/>
      <c r="F1509" s="28"/>
      <c r="I1509" s="28" t="str">
        <f aca="false">IF(A1509="","",D1509*E1509)</f>
        <v/>
      </c>
      <c r="J1509" s="28" t="str">
        <f aca="false">IF(A1509="","",D1509*F1509)</f>
        <v/>
      </c>
      <c r="K1509" s="0" t="str">
        <f aca="false">IF(A1509="","",YEAR(A1509))</f>
        <v/>
      </c>
      <c r="L1509" s="0" t="str">
        <f aca="false">IF(A1509="","",MONTH(A1509))</f>
        <v/>
      </c>
    </row>
    <row r="1510" customFormat="false" ht="15" hidden="false" customHeight="false" outlineLevel="0" collapsed="false">
      <c r="A1510" s="27"/>
      <c r="E1510" s="28"/>
      <c r="F1510" s="28"/>
      <c r="I1510" s="28" t="str">
        <f aca="false">IF(A1510="","",D1510*E1510)</f>
        <v/>
      </c>
      <c r="J1510" s="28" t="str">
        <f aca="false">IF(A1510="","",D1510*F1510)</f>
        <v/>
      </c>
      <c r="K1510" s="0" t="str">
        <f aca="false">IF(A1510="","",YEAR(A1510))</f>
        <v/>
      </c>
      <c r="L1510" s="0" t="str">
        <f aca="false">IF(A1510="","",MONTH(A1510))</f>
        <v/>
      </c>
    </row>
    <row r="1511" customFormat="false" ht="15" hidden="false" customHeight="false" outlineLevel="0" collapsed="false">
      <c r="A1511" s="27"/>
      <c r="E1511" s="28"/>
      <c r="F1511" s="28"/>
      <c r="I1511" s="28" t="str">
        <f aca="false">IF(A1511="","",D1511*E1511)</f>
        <v/>
      </c>
      <c r="J1511" s="28" t="str">
        <f aca="false">IF(A1511="","",D1511*F1511)</f>
        <v/>
      </c>
      <c r="K1511" s="0" t="str">
        <f aca="false">IF(A1511="","",YEAR(A1511))</f>
        <v/>
      </c>
      <c r="L1511" s="0" t="str">
        <f aca="false">IF(A1511="","",MONTH(A1511))</f>
        <v/>
      </c>
    </row>
    <row r="1512" customFormat="false" ht="15" hidden="false" customHeight="false" outlineLevel="0" collapsed="false">
      <c r="A1512" s="27"/>
      <c r="E1512" s="28"/>
      <c r="F1512" s="28"/>
      <c r="I1512" s="28" t="str">
        <f aca="false">IF(A1512="","",D1512*E1512)</f>
        <v/>
      </c>
      <c r="J1512" s="28" t="str">
        <f aca="false">IF(A1512="","",D1512*F1512)</f>
        <v/>
      </c>
      <c r="K1512" s="0" t="str">
        <f aca="false">IF(A1512="","",YEAR(A1512))</f>
        <v/>
      </c>
      <c r="L1512" s="0" t="str">
        <f aca="false">IF(A1512="","",MONTH(A1512))</f>
        <v/>
      </c>
    </row>
    <row r="1513" customFormat="false" ht="15" hidden="false" customHeight="false" outlineLevel="0" collapsed="false">
      <c r="A1513" s="27"/>
      <c r="E1513" s="28"/>
      <c r="F1513" s="28"/>
      <c r="I1513" s="28" t="str">
        <f aca="false">IF(A1513="","",D1513*E1513)</f>
        <v/>
      </c>
      <c r="J1513" s="28" t="str">
        <f aca="false">IF(A1513="","",D1513*F1513)</f>
        <v/>
      </c>
      <c r="K1513" s="0" t="str">
        <f aca="false">IF(A1513="","",YEAR(A1513))</f>
        <v/>
      </c>
      <c r="L1513" s="0" t="str">
        <f aca="false">IF(A1513="","",MONTH(A1513))</f>
        <v/>
      </c>
    </row>
    <row r="1514" customFormat="false" ht="15" hidden="false" customHeight="false" outlineLevel="0" collapsed="false">
      <c r="A1514" s="27"/>
      <c r="E1514" s="28"/>
      <c r="F1514" s="28"/>
      <c r="I1514" s="28" t="str">
        <f aca="false">IF(A1514="","",D1514*E1514)</f>
        <v/>
      </c>
      <c r="J1514" s="28" t="str">
        <f aca="false">IF(A1514="","",D1514*F1514)</f>
        <v/>
      </c>
      <c r="K1514" s="0" t="str">
        <f aca="false">IF(A1514="","",YEAR(A1514))</f>
        <v/>
      </c>
      <c r="L1514" s="0" t="str">
        <f aca="false">IF(A1514="","",MONTH(A1514))</f>
        <v/>
      </c>
    </row>
    <row r="1515" customFormat="false" ht="15" hidden="false" customHeight="false" outlineLevel="0" collapsed="false">
      <c r="A1515" s="27"/>
      <c r="E1515" s="28"/>
      <c r="F1515" s="28"/>
      <c r="I1515" s="28" t="str">
        <f aca="false">IF(A1515="","",D1515*E1515)</f>
        <v/>
      </c>
      <c r="J1515" s="28" t="str">
        <f aca="false">IF(A1515="","",D1515*F1515)</f>
        <v/>
      </c>
      <c r="K1515" s="0" t="str">
        <f aca="false">IF(A1515="","",YEAR(A1515))</f>
        <v/>
      </c>
      <c r="L1515" s="0" t="str">
        <f aca="false">IF(A1515="","",MONTH(A1515))</f>
        <v/>
      </c>
    </row>
    <row r="1516" customFormat="false" ht="15" hidden="false" customHeight="false" outlineLevel="0" collapsed="false">
      <c r="A1516" s="27"/>
      <c r="E1516" s="28"/>
      <c r="F1516" s="28"/>
      <c r="I1516" s="28" t="str">
        <f aca="false">IF(A1516="","",D1516*E1516)</f>
        <v/>
      </c>
      <c r="J1516" s="28" t="str">
        <f aca="false">IF(A1516="","",D1516*F1516)</f>
        <v/>
      </c>
      <c r="K1516" s="0" t="str">
        <f aca="false">IF(A1516="","",YEAR(A1516))</f>
        <v/>
      </c>
      <c r="L1516" s="0" t="str">
        <f aca="false">IF(A1516="","",MONTH(A1516))</f>
        <v/>
      </c>
    </row>
    <row r="1517" customFormat="false" ht="15" hidden="false" customHeight="false" outlineLevel="0" collapsed="false">
      <c r="A1517" s="27"/>
      <c r="E1517" s="28"/>
      <c r="F1517" s="28"/>
      <c r="I1517" s="28" t="str">
        <f aca="false">IF(A1517="","",D1517*E1517)</f>
        <v/>
      </c>
      <c r="J1517" s="28" t="str">
        <f aca="false">IF(A1517="","",D1517*F1517)</f>
        <v/>
      </c>
      <c r="K1517" s="0" t="str">
        <f aca="false">IF(A1517="","",YEAR(A1517))</f>
        <v/>
      </c>
      <c r="L1517" s="0" t="str">
        <f aca="false">IF(A1517="","",MONTH(A1517))</f>
        <v/>
      </c>
    </row>
    <row r="1518" customFormat="false" ht="15" hidden="false" customHeight="false" outlineLevel="0" collapsed="false">
      <c r="A1518" s="27"/>
      <c r="E1518" s="28"/>
      <c r="F1518" s="28"/>
      <c r="I1518" s="28" t="str">
        <f aca="false">IF(A1518="","",D1518*E1518)</f>
        <v/>
      </c>
      <c r="J1518" s="28" t="str">
        <f aca="false">IF(A1518="","",D1518*F1518)</f>
        <v/>
      </c>
      <c r="K1518" s="0" t="str">
        <f aca="false">IF(A1518="","",YEAR(A1518))</f>
        <v/>
      </c>
      <c r="L1518" s="0" t="str">
        <f aca="false">IF(A1518="","",MONTH(A1518))</f>
        <v/>
      </c>
    </row>
    <row r="1519" customFormat="false" ht="15" hidden="false" customHeight="false" outlineLevel="0" collapsed="false">
      <c r="A1519" s="27"/>
      <c r="E1519" s="28"/>
      <c r="F1519" s="28"/>
      <c r="I1519" s="28" t="str">
        <f aca="false">IF(A1519="","",D1519*E1519)</f>
        <v/>
      </c>
      <c r="J1519" s="28" t="str">
        <f aca="false">IF(A1519="","",D1519*F1519)</f>
        <v/>
      </c>
      <c r="K1519" s="0" t="str">
        <f aca="false">IF(A1519="","",YEAR(A1519))</f>
        <v/>
      </c>
      <c r="L1519" s="0" t="str">
        <f aca="false">IF(A1519="","",MONTH(A1519))</f>
        <v/>
      </c>
    </row>
    <row r="1520" customFormat="false" ht="15" hidden="false" customHeight="false" outlineLevel="0" collapsed="false">
      <c r="A1520" s="27"/>
      <c r="E1520" s="28"/>
      <c r="F1520" s="28"/>
      <c r="I1520" s="28" t="str">
        <f aca="false">IF(A1520="","",D1520*E1520)</f>
        <v/>
      </c>
      <c r="J1520" s="28" t="str">
        <f aca="false">IF(A1520="","",D1520*F1520)</f>
        <v/>
      </c>
      <c r="K1520" s="0" t="str">
        <f aca="false">IF(A1520="","",YEAR(A1520))</f>
        <v/>
      </c>
      <c r="L1520" s="0" t="str">
        <f aca="false">IF(A1520="","",MONTH(A1520))</f>
        <v/>
      </c>
    </row>
    <row r="1521" customFormat="false" ht="15" hidden="false" customHeight="false" outlineLevel="0" collapsed="false">
      <c r="A1521" s="27"/>
      <c r="E1521" s="28"/>
      <c r="F1521" s="28"/>
      <c r="I1521" s="28" t="str">
        <f aca="false">IF(A1521="","",D1521*E1521)</f>
        <v/>
      </c>
      <c r="J1521" s="28" t="str">
        <f aca="false">IF(A1521="","",D1521*F1521)</f>
        <v/>
      </c>
      <c r="K1521" s="0" t="str">
        <f aca="false">IF(A1521="","",YEAR(A1521))</f>
        <v/>
      </c>
      <c r="L1521" s="0" t="str">
        <f aca="false">IF(A1521="","",MONTH(A1521))</f>
        <v/>
      </c>
    </row>
    <row r="1522" customFormat="false" ht="15" hidden="false" customHeight="false" outlineLevel="0" collapsed="false">
      <c r="A1522" s="27"/>
      <c r="E1522" s="28"/>
      <c r="F1522" s="28"/>
      <c r="I1522" s="28" t="str">
        <f aca="false">IF(A1522="","",D1522*E1522)</f>
        <v/>
      </c>
      <c r="J1522" s="28" t="str">
        <f aca="false">IF(A1522="","",D1522*F1522)</f>
        <v/>
      </c>
      <c r="K1522" s="0" t="str">
        <f aca="false">IF(A1522="","",YEAR(A1522))</f>
        <v/>
      </c>
      <c r="L1522" s="0" t="str">
        <f aca="false">IF(A1522="","",MONTH(A1522))</f>
        <v/>
      </c>
    </row>
    <row r="1523" customFormat="false" ht="15" hidden="false" customHeight="false" outlineLevel="0" collapsed="false">
      <c r="A1523" s="27"/>
      <c r="E1523" s="28"/>
      <c r="F1523" s="28"/>
      <c r="I1523" s="28" t="str">
        <f aca="false">IF(A1523="","",D1523*E1523)</f>
        <v/>
      </c>
      <c r="J1523" s="28" t="str">
        <f aca="false">IF(A1523="","",D1523*F1523)</f>
        <v/>
      </c>
      <c r="K1523" s="0" t="str">
        <f aca="false">IF(A1523="","",YEAR(A1523))</f>
        <v/>
      </c>
      <c r="L1523" s="0" t="str">
        <f aca="false">IF(A1523="","",MONTH(A1523))</f>
        <v/>
      </c>
    </row>
    <row r="1524" customFormat="false" ht="15" hidden="false" customHeight="false" outlineLevel="0" collapsed="false">
      <c r="A1524" s="27"/>
      <c r="E1524" s="28"/>
      <c r="F1524" s="28"/>
      <c r="I1524" s="28" t="str">
        <f aca="false">IF(A1524="","",D1524*E1524)</f>
        <v/>
      </c>
      <c r="J1524" s="28" t="str">
        <f aca="false">IF(A1524="","",D1524*F1524)</f>
        <v/>
      </c>
      <c r="K1524" s="0" t="str">
        <f aca="false">IF(A1524="","",YEAR(A1524))</f>
        <v/>
      </c>
      <c r="L1524" s="0" t="str">
        <f aca="false">IF(A1524="","",MONTH(A1524))</f>
        <v/>
      </c>
    </row>
    <row r="1525" customFormat="false" ht="15" hidden="false" customHeight="false" outlineLevel="0" collapsed="false">
      <c r="A1525" s="27"/>
      <c r="E1525" s="28"/>
      <c r="F1525" s="28"/>
      <c r="I1525" s="28" t="str">
        <f aca="false">IF(A1525="","",D1525*E1525)</f>
        <v/>
      </c>
      <c r="J1525" s="28" t="str">
        <f aca="false">IF(A1525="","",D1525*F1525)</f>
        <v/>
      </c>
      <c r="K1525" s="0" t="str">
        <f aca="false">IF(A1525="","",YEAR(A1525))</f>
        <v/>
      </c>
      <c r="L1525" s="0" t="str">
        <f aca="false">IF(A1525="","",MONTH(A1525))</f>
        <v/>
      </c>
    </row>
    <row r="1526" customFormat="false" ht="15" hidden="false" customHeight="false" outlineLevel="0" collapsed="false">
      <c r="A1526" s="27"/>
      <c r="E1526" s="28"/>
      <c r="F1526" s="28"/>
      <c r="I1526" s="28" t="str">
        <f aca="false">IF(A1526="","",D1526*E1526)</f>
        <v/>
      </c>
      <c r="J1526" s="28" t="str">
        <f aca="false">IF(A1526="","",D1526*F1526)</f>
        <v/>
      </c>
      <c r="K1526" s="0" t="str">
        <f aca="false">IF(A1526="","",YEAR(A1526))</f>
        <v/>
      </c>
      <c r="L1526" s="0" t="str">
        <f aca="false">IF(A1526="","",MONTH(A1526))</f>
        <v/>
      </c>
    </row>
    <row r="1527" customFormat="false" ht="15" hidden="false" customHeight="false" outlineLevel="0" collapsed="false">
      <c r="A1527" s="27"/>
      <c r="E1527" s="28"/>
      <c r="F1527" s="28"/>
      <c r="I1527" s="28" t="str">
        <f aca="false">IF(A1527="","",D1527*E1527)</f>
        <v/>
      </c>
      <c r="J1527" s="28" t="str">
        <f aca="false">IF(A1527="","",D1527*F1527)</f>
        <v/>
      </c>
      <c r="K1527" s="0" t="str">
        <f aca="false">IF(A1527="","",YEAR(A1527))</f>
        <v/>
      </c>
      <c r="L1527" s="0" t="str">
        <f aca="false">IF(A1527="","",MONTH(A1527))</f>
        <v/>
      </c>
    </row>
    <row r="1528" customFormat="false" ht="15" hidden="false" customHeight="false" outlineLevel="0" collapsed="false">
      <c r="A1528" s="27"/>
      <c r="E1528" s="28"/>
      <c r="F1528" s="28"/>
      <c r="I1528" s="28" t="str">
        <f aca="false">IF(A1528="","",D1528*E1528)</f>
        <v/>
      </c>
      <c r="J1528" s="28" t="str">
        <f aca="false">IF(A1528="","",D1528*F1528)</f>
        <v/>
      </c>
      <c r="K1528" s="0" t="str">
        <f aca="false">IF(A1528="","",YEAR(A1528))</f>
        <v/>
      </c>
      <c r="L1528" s="0" t="str">
        <f aca="false">IF(A1528="","",MONTH(A1528))</f>
        <v/>
      </c>
    </row>
    <row r="1529" customFormat="false" ht="15" hidden="false" customHeight="false" outlineLevel="0" collapsed="false">
      <c r="A1529" s="27"/>
      <c r="E1529" s="28"/>
      <c r="F1529" s="28"/>
      <c r="I1529" s="28" t="str">
        <f aca="false">IF(A1529="","",D1529*E1529)</f>
        <v/>
      </c>
      <c r="J1529" s="28" t="str">
        <f aca="false">IF(A1529="","",D1529*F1529)</f>
        <v/>
      </c>
      <c r="K1529" s="0" t="str">
        <f aca="false">IF(A1529="","",YEAR(A1529))</f>
        <v/>
      </c>
      <c r="L1529" s="0" t="str">
        <f aca="false">IF(A1529="","",MONTH(A1529))</f>
        <v/>
      </c>
    </row>
    <row r="1530" customFormat="false" ht="15" hidden="false" customHeight="false" outlineLevel="0" collapsed="false">
      <c r="A1530" s="27"/>
      <c r="E1530" s="28"/>
      <c r="F1530" s="28"/>
      <c r="I1530" s="28" t="str">
        <f aca="false">IF(A1530="","",D1530*E1530)</f>
        <v/>
      </c>
      <c r="J1530" s="28" t="str">
        <f aca="false">IF(A1530="","",D1530*F1530)</f>
        <v/>
      </c>
      <c r="K1530" s="0" t="str">
        <f aca="false">IF(A1530="","",YEAR(A1530))</f>
        <v/>
      </c>
      <c r="L1530" s="0" t="str">
        <f aca="false">IF(A1530="","",MONTH(A1530))</f>
        <v/>
      </c>
    </row>
    <row r="1531" customFormat="false" ht="15" hidden="false" customHeight="false" outlineLevel="0" collapsed="false">
      <c r="A1531" s="27"/>
      <c r="E1531" s="28"/>
      <c r="F1531" s="28"/>
      <c r="I1531" s="28" t="str">
        <f aca="false">IF(A1531="","",D1531*E1531)</f>
        <v/>
      </c>
      <c r="J1531" s="28" t="str">
        <f aca="false">IF(A1531="","",D1531*F1531)</f>
        <v/>
      </c>
      <c r="K1531" s="0" t="str">
        <f aca="false">IF(A1531="","",YEAR(A1531))</f>
        <v/>
      </c>
      <c r="L1531" s="0" t="str">
        <f aca="false">IF(A1531="","",MONTH(A1531))</f>
        <v/>
      </c>
    </row>
    <row r="1532" customFormat="false" ht="15" hidden="false" customHeight="false" outlineLevel="0" collapsed="false">
      <c r="A1532" s="27"/>
      <c r="E1532" s="28"/>
      <c r="F1532" s="28"/>
      <c r="I1532" s="28" t="str">
        <f aca="false">IF(A1532="","",D1532*E1532)</f>
        <v/>
      </c>
      <c r="J1532" s="28" t="str">
        <f aca="false">IF(A1532="","",D1532*F1532)</f>
        <v/>
      </c>
      <c r="K1532" s="0" t="str">
        <f aca="false">IF(A1532="","",YEAR(A1532))</f>
        <v/>
      </c>
      <c r="L1532" s="0" t="str">
        <f aca="false">IF(A1532="","",MONTH(A1532))</f>
        <v/>
      </c>
    </row>
    <row r="1533" customFormat="false" ht="15" hidden="false" customHeight="false" outlineLevel="0" collapsed="false">
      <c r="A1533" s="27"/>
      <c r="E1533" s="28"/>
      <c r="F1533" s="28"/>
      <c r="I1533" s="28" t="str">
        <f aca="false">IF(A1533="","",D1533*E1533)</f>
        <v/>
      </c>
      <c r="J1533" s="28" t="str">
        <f aca="false">IF(A1533="","",D1533*F1533)</f>
        <v/>
      </c>
      <c r="K1533" s="0" t="str">
        <f aca="false">IF(A1533="","",YEAR(A1533))</f>
        <v/>
      </c>
      <c r="L1533" s="0" t="str">
        <f aca="false">IF(A1533="","",MONTH(A1533))</f>
        <v/>
      </c>
    </row>
    <row r="1534" customFormat="false" ht="15" hidden="false" customHeight="false" outlineLevel="0" collapsed="false">
      <c r="A1534" s="27"/>
      <c r="E1534" s="28"/>
      <c r="F1534" s="28"/>
      <c r="I1534" s="28" t="str">
        <f aca="false">IF(A1534="","",D1534*E1534)</f>
        <v/>
      </c>
      <c r="J1534" s="28" t="str">
        <f aca="false">IF(A1534="","",D1534*F1534)</f>
        <v/>
      </c>
      <c r="K1534" s="0" t="str">
        <f aca="false">IF(A1534="","",YEAR(A1534))</f>
        <v/>
      </c>
      <c r="L1534" s="0" t="str">
        <f aca="false">IF(A1534="","",MONTH(A1534))</f>
        <v/>
      </c>
    </row>
    <row r="1535" customFormat="false" ht="15" hidden="false" customHeight="false" outlineLevel="0" collapsed="false">
      <c r="A1535" s="27"/>
      <c r="E1535" s="28"/>
      <c r="F1535" s="28"/>
      <c r="I1535" s="28" t="str">
        <f aca="false">IF(A1535="","",D1535*E1535)</f>
        <v/>
      </c>
      <c r="J1535" s="28" t="str">
        <f aca="false">IF(A1535="","",D1535*F1535)</f>
        <v/>
      </c>
      <c r="K1535" s="0" t="str">
        <f aca="false">IF(A1535="","",YEAR(A1535))</f>
        <v/>
      </c>
      <c r="L1535" s="0" t="str">
        <f aca="false">IF(A1535="","",MONTH(A1535))</f>
        <v/>
      </c>
    </row>
    <row r="1536" customFormat="false" ht="15" hidden="false" customHeight="false" outlineLevel="0" collapsed="false">
      <c r="A1536" s="27"/>
      <c r="E1536" s="28"/>
      <c r="F1536" s="28"/>
      <c r="I1536" s="28" t="str">
        <f aca="false">IF(A1536="","",D1536*E1536)</f>
        <v/>
      </c>
      <c r="J1536" s="28" t="str">
        <f aca="false">IF(A1536="","",D1536*F1536)</f>
        <v/>
      </c>
      <c r="K1536" s="0" t="str">
        <f aca="false">IF(A1536="","",YEAR(A1536))</f>
        <v/>
      </c>
      <c r="L1536" s="0" t="str">
        <f aca="false">IF(A1536="","",MONTH(A1536))</f>
        <v/>
      </c>
    </row>
    <row r="1537" customFormat="false" ht="15" hidden="false" customHeight="false" outlineLevel="0" collapsed="false">
      <c r="A1537" s="27"/>
      <c r="E1537" s="28"/>
      <c r="F1537" s="28"/>
      <c r="I1537" s="28" t="str">
        <f aca="false">IF(A1537="","",D1537*E1537)</f>
        <v/>
      </c>
      <c r="J1537" s="28" t="str">
        <f aca="false">IF(A1537="","",D1537*F1537)</f>
        <v/>
      </c>
      <c r="K1537" s="0" t="str">
        <f aca="false">IF(A1537="","",YEAR(A1537))</f>
        <v/>
      </c>
      <c r="L1537" s="0" t="str">
        <f aca="false">IF(A1537="","",MONTH(A1537))</f>
        <v/>
      </c>
    </row>
    <row r="1538" customFormat="false" ht="15" hidden="false" customHeight="false" outlineLevel="0" collapsed="false">
      <c r="A1538" s="27"/>
      <c r="E1538" s="28"/>
      <c r="F1538" s="28"/>
      <c r="I1538" s="28" t="str">
        <f aca="false">IF(A1538="","",D1538*E1538)</f>
        <v/>
      </c>
      <c r="J1538" s="28" t="str">
        <f aca="false">IF(A1538="","",D1538*F1538)</f>
        <v/>
      </c>
      <c r="K1538" s="0" t="str">
        <f aca="false">IF(A1538="","",YEAR(A1538))</f>
        <v/>
      </c>
      <c r="L1538" s="0" t="str">
        <f aca="false">IF(A1538="","",MONTH(A1538))</f>
        <v/>
      </c>
    </row>
    <row r="1539" customFormat="false" ht="15" hidden="false" customHeight="false" outlineLevel="0" collapsed="false">
      <c r="A1539" s="27"/>
      <c r="E1539" s="28"/>
      <c r="F1539" s="28"/>
      <c r="I1539" s="28" t="str">
        <f aca="false">IF(A1539="","",D1539*E1539)</f>
        <v/>
      </c>
      <c r="J1539" s="28" t="str">
        <f aca="false">IF(A1539="","",D1539*F1539)</f>
        <v/>
      </c>
      <c r="K1539" s="0" t="str">
        <f aca="false">IF(A1539="","",YEAR(A1539))</f>
        <v/>
      </c>
      <c r="L1539" s="0" t="str">
        <f aca="false">IF(A1539="","",MONTH(A1539))</f>
        <v/>
      </c>
    </row>
    <row r="1540" customFormat="false" ht="15" hidden="false" customHeight="false" outlineLevel="0" collapsed="false">
      <c r="A1540" s="27"/>
      <c r="E1540" s="28"/>
      <c r="F1540" s="28"/>
      <c r="I1540" s="28" t="str">
        <f aca="false">IF(A1540="","",D1540*E1540)</f>
        <v/>
      </c>
      <c r="J1540" s="28" t="str">
        <f aca="false">IF(A1540="","",D1540*F1540)</f>
        <v/>
      </c>
      <c r="K1540" s="0" t="str">
        <f aca="false">IF(A1540="","",YEAR(A1540))</f>
        <v/>
      </c>
      <c r="L1540" s="0" t="str">
        <f aca="false">IF(A1540="","",MONTH(A1540))</f>
        <v/>
      </c>
    </row>
    <row r="1541" customFormat="false" ht="15" hidden="false" customHeight="false" outlineLevel="0" collapsed="false">
      <c r="A1541" s="27"/>
      <c r="E1541" s="28"/>
      <c r="F1541" s="28"/>
      <c r="I1541" s="28" t="str">
        <f aca="false">IF(A1541="","",D1541*E1541)</f>
        <v/>
      </c>
      <c r="J1541" s="28" t="str">
        <f aca="false">IF(A1541="","",D1541*F1541)</f>
        <v/>
      </c>
      <c r="K1541" s="0" t="str">
        <f aca="false">IF(A1541="","",YEAR(A1541))</f>
        <v/>
      </c>
      <c r="L1541" s="0" t="str">
        <f aca="false">IF(A1541="","",MONTH(A1541))</f>
        <v/>
      </c>
    </row>
    <row r="1542" customFormat="false" ht="15" hidden="false" customHeight="false" outlineLevel="0" collapsed="false">
      <c r="A1542" s="27"/>
      <c r="E1542" s="28"/>
      <c r="F1542" s="28"/>
      <c r="I1542" s="28" t="str">
        <f aca="false">IF(A1542="","",D1542*E1542)</f>
        <v/>
      </c>
      <c r="J1542" s="28" t="str">
        <f aca="false">IF(A1542="","",D1542*F1542)</f>
        <v/>
      </c>
      <c r="K1542" s="0" t="str">
        <f aca="false">IF(A1542="","",YEAR(A1542))</f>
        <v/>
      </c>
      <c r="L1542" s="0" t="str">
        <f aca="false">IF(A1542="","",MONTH(A1542))</f>
        <v/>
      </c>
    </row>
    <row r="1543" customFormat="false" ht="15" hidden="false" customHeight="false" outlineLevel="0" collapsed="false">
      <c r="A1543" s="27"/>
      <c r="E1543" s="28"/>
      <c r="F1543" s="28"/>
      <c r="I1543" s="28" t="str">
        <f aca="false">IF(A1543="","",D1543*E1543)</f>
        <v/>
      </c>
      <c r="J1543" s="28" t="str">
        <f aca="false">IF(A1543="","",D1543*F1543)</f>
        <v/>
      </c>
      <c r="K1543" s="0" t="str">
        <f aca="false">IF(A1543="","",YEAR(A1543))</f>
        <v/>
      </c>
      <c r="L1543" s="0" t="str">
        <f aca="false">IF(A1543="","",MONTH(A1543))</f>
        <v/>
      </c>
    </row>
    <row r="1544" customFormat="false" ht="15" hidden="false" customHeight="false" outlineLevel="0" collapsed="false">
      <c r="A1544" s="27"/>
      <c r="E1544" s="28"/>
      <c r="F1544" s="28"/>
      <c r="I1544" s="28" t="str">
        <f aca="false">IF(A1544="","",D1544*E1544)</f>
        <v/>
      </c>
      <c r="J1544" s="28" t="str">
        <f aca="false">IF(A1544="","",D1544*F1544)</f>
        <v/>
      </c>
      <c r="K1544" s="0" t="str">
        <f aca="false">IF(A1544="","",YEAR(A1544))</f>
        <v/>
      </c>
      <c r="L1544" s="0" t="str">
        <f aca="false">IF(A1544="","",MONTH(A1544))</f>
        <v/>
      </c>
    </row>
    <row r="1545" customFormat="false" ht="15" hidden="false" customHeight="false" outlineLevel="0" collapsed="false">
      <c r="A1545" s="27"/>
      <c r="E1545" s="28"/>
      <c r="F1545" s="28"/>
      <c r="I1545" s="28" t="str">
        <f aca="false">IF(A1545="","",D1545*E1545)</f>
        <v/>
      </c>
      <c r="J1545" s="28" t="str">
        <f aca="false">IF(A1545="","",D1545*F1545)</f>
        <v/>
      </c>
      <c r="K1545" s="0" t="str">
        <f aca="false">IF(A1545="","",YEAR(A1545))</f>
        <v/>
      </c>
      <c r="L1545" s="0" t="str">
        <f aca="false">IF(A1545="","",MONTH(A1545))</f>
        <v/>
      </c>
    </row>
    <row r="1546" customFormat="false" ht="15" hidden="false" customHeight="false" outlineLevel="0" collapsed="false">
      <c r="A1546" s="27"/>
      <c r="E1546" s="28"/>
      <c r="F1546" s="28"/>
      <c r="I1546" s="28" t="str">
        <f aca="false">IF(A1546="","",D1546*E1546)</f>
        <v/>
      </c>
      <c r="J1546" s="28" t="str">
        <f aca="false">IF(A1546="","",D1546*F1546)</f>
        <v/>
      </c>
      <c r="K1546" s="0" t="str">
        <f aca="false">IF(A1546="","",YEAR(A1546))</f>
        <v/>
      </c>
      <c r="L1546" s="0" t="str">
        <f aca="false">IF(A1546="","",MONTH(A1546))</f>
        <v/>
      </c>
    </row>
    <row r="1547" customFormat="false" ht="15" hidden="false" customHeight="false" outlineLevel="0" collapsed="false">
      <c r="A1547" s="27"/>
      <c r="E1547" s="28"/>
      <c r="F1547" s="28"/>
      <c r="I1547" s="28" t="str">
        <f aca="false">IF(A1547="","",D1547*E1547)</f>
        <v/>
      </c>
      <c r="J1547" s="28" t="str">
        <f aca="false">IF(A1547="","",D1547*F1547)</f>
        <v/>
      </c>
      <c r="K1547" s="0" t="str">
        <f aca="false">IF(A1547="","",YEAR(A1547))</f>
        <v/>
      </c>
      <c r="L1547" s="0" t="str">
        <f aca="false">IF(A1547="","",MONTH(A1547))</f>
        <v/>
      </c>
    </row>
    <row r="1548" customFormat="false" ht="15" hidden="false" customHeight="false" outlineLevel="0" collapsed="false">
      <c r="A1548" s="27"/>
      <c r="E1548" s="28"/>
      <c r="F1548" s="28"/>
      <c r="I1548" s="28" t="str">
        <f aca="false">IF(A1548="","",D1548*E1548)</f>
        <v/>
      </c>
      <c r="J1548" s="28" t="str">
        <f aca="false">IF(A1548="","",D1548*F1548)</f>
        <v/>
      </c>
      <c r="K1548" s="0" t="str">
        <f aca="false">IF(A1548="","",YEAR(A1548))</f>
        <v/>
      </c>
      <c r="L1548" s="0" t="str">
        <f aca="false">IF(A1548="","",MONTH(A1548))</f>
        <v/>
      </c>
    </row>
    <row r="1549" customFormat="false" ht="15" hidden="false" customHeight="false" outlineLevel="0" collapsed="false">
      <c r="A1549" s="27"/>
      <c r="E1549" s="28"/>
      <c r="F1549" s="28"/>
      <c r="I1549" s="28" t="str">
        <f aca="false">IF(A1549="","",D1549*E1549)</f>
        <v/>
      </c>
      <c r="J1549" s="28" t="str">
        <f aca="false">IF(A1549="","",D1549*F1549)</f>
        <v/>
      </c>
      <c r="K1549" s="0" t="str">
        <f aca="false">IF(A1549="","",YEAR(A1549))</f>
        <v/>
      </c>
      <c r="L1549" s="0" t="str">
        <f aca="false">IF(A1549="","",MONTH(A1549))</f>
        <v/>
      </c>
    </row>
    <row r="1550" customFormat="false" ht="15" hidden="false" customHeight="false" outlineLevel="0" collapsed="false">
      <c r="A1550" s="27"/>
      <c r="E1550" s="28"/>
      <c r="F1550" s="28"/>
      <c r="I1550" s="28" t="str">
        <f aca="false">IF(A1550="","",D1550*E1550)</f>
        <v/>
      </c>
      <c r="J1550" s="28" t="str">
        <f aca="false">IF(A1550="","",D1550*F1550)</f>
        <v/>
      </c>
      <c r="K1550" s="0" t="str">
        <f aca="false">IF(A1550="","",YEAR(A1550))</f>
        <v/>
      </c>
      <c r="L1550" s="0" t="str">
        <f aca="false">IF(A1550="","",MONTH(A1550))</f>
        <v/>
      </c>
    </row>
    <row r="1551" customFormat="false" ht="15" hidden="false" customHeight="false" outlineLevel="0" collapsed="false">
      <c r="A1551" s="27"/>
      <c r="E1551" s="28"/>
      <c r="F1551" s="28"/>
      <c r="I1551" s="28" t="str">
        <f aca="false">IF(A1551="","",D1551*E1551)</f>
        <v/>
      </c>
      <c r="J1551" s="28" t="str">
        <f aca="false">IF(A1551="","",D1551*F1551)</f>
        <v/>
      </c>
      <c r="K1551" s="0" t="str">
        <f aca="false">IF(A1551="","",YEAR(A1551))</f>
        <v/>
      </c>
      <c r="L1551" s="0" t="str">
        <f aca="false">IF(A1551="","",MONTH(A1551))</f>
        <v/>
      </c>
    </row>
    <row r="1552" customFormat="false" ht="15" hidden="false" customHeight="false" outlineLevel="0" collapsed="false">
      <c r="A1552" s="27"/>
      <c r="E1552" s="28"/>
      <c r="F1552" s="28"/>
      <c r="I1552" s="28" t="str">
        <f aca="false">IF(A1552="","",D1552*E1552)</f>
        <v/>
      </c>
      <c r="J1552" s="28" t="str">
        <f aca="false">IF(A1552="","",D1552*F1552)</f>
        <v/>
      </c>
      <c r="K1552" s="0" t="str">
        <f aca="false">IF(A1552="","",YEAR(A1552))</f>
        <v/>
      </c>
      <c r="L1552" s="0" t="str">
        <f aca="false">IF(A1552="","",MONTH(A1552))</f>
        <v/>
      </c>
    </row>
    <row r="1553" customFormat="false" ht="15" hidden="false" customHeight="false" outlineLevel="0" collapsed="false">
      <c r="A1553" s="27"/>
      <c r="E1553" s="28"/>
      <c r="F1553" s="28"/>
      <c r="I1553" s="28" t="str">
        <f aca="false">IF(A1553="","",D1553*E1553)</f>
        <v/>
      </c>
      <c r="J1553" s="28" t="str">
        <f aca="false">IF(A1553="","",D1553*F1553)</f>
        <v/>
      </c>
      <c r="K1553" s="0" t="str">
        <f aca="false">IF(A1553="","",YEAR(A1553))</f>
        <v/>
      </c>
      <c r="L1553" s="0" t="str">
        <f aca="false">IF(A1553="","",MONTH(A1553))</f>
        <v/>
      </c>
    </row>
    <row r="1554" customFormat="false" ht="15" hidden="false" customHeight="false" outlineLevel="0" collapsed="false">
      <c r="A1554" s="27"/>
      <c r="E1554" s="28"/>
      <c r="F1554" s="28"/>
      <c r="I1554" s="28" t="str">
        <f aca="false">IF(A1554="","",D1554*E1554)</f>
        <v/>
      </c>
      <c r="J1554" s="28" t="str">
        <f aca="false">IF(A1554="","",D1554*F1554)</f>
        <v/>
      </c>
      <c r="K1554" s="0" t="str">
        <f aca="false">IF(A1554="","",YEAR(A1554))</f>
        <v/>
      </c>
      <c r="L1554" s="0" t="str">
        <f aca="false">IF(A1554="","",MONTH(A1554))</f>
        <v/>
      </c>
    </row>
    <row r="1555" customFormat="false" ht="15" hidden="false" customHeight="false" outlineLevel="0" collapsed="false">
      <c r="A1555" s="27"/>
      <c r="E1555" s="28"/>
      <c r="F1555" s="28"/>
      <c r="I1555" s="28" t="str">
        <f aca="false">IF(A1555="","",D1555*E1555)</f>
        <v/>
      </c>
      <c r="J1555" s="28" t="str">
        <f aca="false">IF(A1555="","",D1555*F1555)</f>
        <v/>
      </c>
      <c r="K1555" s="0" t="str">
        <f aca="false">IF(A1555="","",YEAR(A1555))</f>
        <v/>
      </c>
      <c r="L1555" s="0" t="str">
        <f aca="false">IF(A1555="","",MONTH(A1555))</f>
        <v/>
      </c>
    </row>
    <row r="1556" customFormat="false" ht="15" hidden="false" customHeight="false" outlineLevel="0" collapsed="false">
      <c r="A1556" s="27"/>
      <c r="E1556" s="28"/>
      <c r="F1556" s="28"/>
      <c r="I1556" s="28" t="str">
        <f aca="false">IF(A1556="","",D1556*E1556)</f>
        <v/>
      </c>
      <c r="J1556" s="28" t="str">
        <f aca="false">IF(A1556="","",D1556*F1556)</f>
        <v/>
      </c>
      <c r="K1556" s="0" t="str">
        <f aca="false">IF(A1556="","",YEAR(A1556))</f>
        <v/>
      </c>
      <c r="L1556" s="0" t="str">
        <f aca="false">IF(A1556="","",MONTH(A1556))</f>
        <v/>
      </c>
    </row>
    <row r="1557" customFormat="false" ht="15" hidden="false" customHeight="false" outlineLevel="0" collapsed="false">
      <c r="A1557" s="27"/>
      <c r="E1557" s="28"/>
      <c r="F1557" s="28"/>
      <c r="I1557" s="28" t="str">
        <f aca="false">IF(A1557="","",D1557*E1557)</f>
        <v/>
      </c>
      <c r="J1557" s="28" t="str">
        <f aca="false">IF(A1557="","",D1557*F1557)</f>
        <v/>
      </c>
      <c r="K1557" s="0" t="str">
        <f aca="false">IF(A1557="","",YEAR(A1557))</f>
        <v/>
      </c>
      <c r="L1557" s="0" t="str">
        <f aca="false">IF(A1557="","",MONTH(A1557))</f>
        <v/>
      </c>
    </row>
    <row r="1558" customFormat="false" ht="15" hidden="false" customHeight="false" outlineLevel="0" collapsed="false">
      <c r="A1558" s="27"/>
      <c r="E1558" s="28"/>
      <c r="F1558" s="28"/>
      <c r="I1558" s="28" t="str">
        <f aca="false">IF(A1558="","",D1558*E1558)</f>
        <v/>
      </c>
      <c r="J1558" s="28" t="str">
        <f aca="false">IF(A1558="","",D1558*F1558)</f>
        <v/>
      </c>
      <c r="K1558" s="0" t="str">
        <f aca="false">IF(A1558="","",YEAR(A1558))</f>
        <v/>
      </c>
      <c r="L1558" s="0" t="str">
        <f aca="false">IF(A1558="","",MONTH(A1558))</f>
        <v/>
      </c>
    </row>
    <row r="1559" customFormat="false" ht="15" hidden="false" customHeight="false" outlineLevel="0" collapsed="false">
      <c r="A1559" s="27"/>
      <c r="E1559" s="28"/>
      <c r="F1559" s="28"/>
      <c r="I1559" s="28" t="str">
        <f aca="false">IF(A1559="","",D1559*E1559)</f>
        <v/>
      </c>
      <c r="J1559" s="28" t="str">
        <f aca="false">IF(A1559="","",D1559*F1559)</f>
        <v/>
      </c>
      <c r="K1559" s="0" t="str">
        <f aca="false">IF(A1559="","",YEAR(A1559))</f>
        <v/>
      </c>
      <c r="L1559" s="0" t="str">
        <f aca="false">IF(A1559="","",MONTH(A1559))</f>
        <v/>
      </c>
    </row>
    <row r="1560" customFormat="false" ht="15" hidden="false" customHeight="false" outlineLevel="0" collapsed="false">
      <c r="A1560" s="27"/>
      <c r="E1560" s="28"/>
      <c r="F1560" s="28"/>
      <c r="I1560" s="28" t="str">
        <f aca="false">IF(A1560="","",D1560*E1560)</f>
        <v/>
      </c>
      <c r="J1560" s="28" t="str">
        <f aca="false">IF(A1560="","",D1560*F1560)</f>
        <v/>
      </c>
      <c r="K1560" s="0" t="str">
        <f aca="false">IF(A1560="","",YEAR(A1560))</f>
        <v/>
      </c>
      <c r="L1560" s="0" t="str">
        <f aca="false">IF(A1560="","",MONTH(A1560))</f>
        <v/>
      </c>
    </row>
    <row r="1561" customFormat="false" ht="15" hidden="false" customHeight="false" outlineLevel="0" collapsed="false">
      <c r="A1561" s="27"/>
      <c r="E1561" s="28"/>
      <c r="F1561" s="28"/>
      <c r="I1561" s="28" t="str">
        <f aca="false">IF(A1561="","",D1561*E1561)</f>
        <v/>
      </c>
      <c r="J1561" s="28" t="str">
        <f aca="false">IF(A1561="","",D1561*F1561)</f>
        <v/>
      </c>
      <c r="K1561" s="0" t="str">
        <f aca="false">IF(A1561="","",YEAR(A1561))</f>
        <v/>
      </c>
      <c r="L1561" s="0" t="str">
        <f aca="false">IF(A1561="","",MONTH(A1561))</f>
        <v/>
      </c>
    </row>
    <row r="1562" customFormat="false" ht="15" hidden="false" customHeight="false" outlineLevel="0" collapsed="false">
      <c r="A1562" s="27"/>
      <c r="E1562" s="28"/>
      <c r="F1562" s="28"/>
      <c r="I1562" s="28" t="str">
        <f aca="false">IF(A1562="","",D1562*E1562)</f>
        <v/>
      </c>
      <c r="J1562" s="28" t="str">
        <f aca="false">IF(A1562="","",D1562*F1562)</f>
        <v/>
      </c>
      <c r="K1562" s="0" t="str">
        <f aca="false">IF(A1562="","",YEAR(A1562))</f>
        <v/>
      </c>
      <c r="L1562" s="0" t="str">
        <f aca="false">IF(A1562="","",MONTH(A1562))</f>
        <v/>
      </c>
    </row>
    <row r="1563" customFormat="false" ht="15" hidden="false" customHeight="false" outlineLevel="0" collapsed="false">
      <c r="A1563" s="27"/>
      <c r="E1563" s="28"/>
      <c r="F1563" s="28"/>
      <c r="I1563" s="28" t="str">
        <f aca="false">IF(A1563="","",D1563*E1563)</f>
        <v/>
      </c>
      <c r="J1563" s="28" t="str">
        <f aca="false">IF(A1563="","",D1563*F1563)</f>
        <v/>
      </c>
      <c r="K1563" s="0" t="str">
        <f aca="false">IF(A1563="","",YEAR(A1563))</f>
        <v/>
      </c>
      <c r="L1563" s="0" t="str">
        <f aca="false">IF(A1563="","",MONTH(A1563))</f>
        <v/>
      </c>
    </row>
    <row r="1564" customFormat="false" ht="15" hidden="false" customHeight="false" outlineLevel="0" collapsed="false">
      <c r="A1564" s="27"/>
      <c r="E1564" s="28"/>
      <c r="F1564" s="28"/>
      <c r="I1564" s="28" t="str">
        <f aca="false">IF(A1564="","",D1564*E1564)</f>
        <v/>
      </c>
      <c r="J1564" s="28" t="str">
        <f aca="false">IF(A1564="","",D1564*F1564)</f>
        <v/>
      </c>
      <c r="K1564" s="0" t="str">
        <f aca="false">IF(A1564="","",YEAR(A1564))</f>
        <v/>
      </c>
      <c r="L1564" s="0" t="str">
        <f aca="false">IF(A1564="","",MONTH(A1564))</f>
        <v/>
      </c>
    </row>
    <row r="1565" customFormat="false" ht="15" hidden="false" customHeight="false" outlineLevel="0" collapsed="false">
      <c r="A1565" s="27"/>
      <c r="E1565" s="28"/>
      <c r="F1565" s="28"/>
      <c r="I1565" s="28" t="str">
        <f aca="false">IF(A1565="","",D1565*E1565)</f>
        <v/>
      </c>
      <c r="J1565" s="28" t="str">
        <f aca="false">IF(A1565="","",D1565*F1565)</f>
        <v/>
      </c>
      <c r="K1565" s="0" t="str">
        <f aca="false">IF(A1565="","",YEAR(A1565))</f>
        <v/>
      </c>
      <c r="L1565" s="0" t="str">
        <f aca="false">IF(A1565="","",MONTH(A1565))</f>
        <v/>
      </c>
    </row>
    <row r="1566" customFormat="false" ht="15" hidden="false" customHeight="false" outlineLevel="0" collapsed="false">
      <c r="A1566" s="27"/>
      <c r="E1566" s="28"/>
      <c r="F1566" s="28"/>
      <c r="I1566" s="28" t="str">
        <f aca="false">IF(A1566="","",D1566*E1566)</f>
        <v/>
      </c>
      <c r="J1566" s="28" t="str">
        <f aca="false">IF(A1566="","",D1566*F1566)</f>
        <v/>
      </c>
      <c r="K1566" s="0" t="str">
        <f aca="false">IF(A1566="","",YEAR(A1566))</f>
        <v/>
      </c>
      <c r="L1566" s="0" t="str">
        <f aca="false">IF(A1566="","",MONTH(A1566))</f>
        <v/>
      </c>
    </row>
    <row r="1567" customFormat="false" ht="15" hidden="false" customHeight="false" outlineLevel="0" collapsed="false">
      <c r="A1567" s="27"/>
      <c r="E1567" s="28"/>
      <c r="F1567" s="28"/>
      <c r="I1567" s="28" t="str">
        <f aca="false">IF(A1567="","",D1567*E1567)</f>
        <v/>
      </c>
      <c r="J1567" s="28" t="str">
        <f aca="false">IF(A1567="","",D1567*F1567)</f>
        <v/>
      </c>
      <c r="K1567" s="0" t="str">
        <f aca="false">IF(A1567="","",YEAR(A1567))</f>
        <v/>
      </c>
      <c r="L1567" s="0" t="str">
        <f aca="false">IF(A1567="","",MONTH(A1567))</f>
        <v/>
      </c>
    </row>
    <row r="1568" customFormat="false" ht="15" hidden="false" customHeight="false" outlineLevel="0" collapsed="false">
      <c r="A1568" s="27"/>
      <c r="E1568" s="28"/>
      <c r="F1568" s="28"/>
      <c r="I1568" s="28" t="str">
        <f aca="false">IF(A1568="","",D1568*E1568)</f>
        <v/>
      </c>
      <c r="J1568" s="28" t="str">
        <f aca="false">IF(A1568="","",D1568*F1568)</f>
        <v/>
      </c>
      <c r="K1568" s="0" t="str">
        <f aca="false">IF(A1568="","",YEAR(A1568))</f>
        <v/>
      </c>
      <c r="L1568" s="0" t="str">
        <f aca="false">IF(A1568="","",MONTH(A1568))</f>
        <v/>
      </c>
    </row>
    <row r="1569" customFormat="false" ht="15" hidden="false" customHeight="false" outlineLevel="0" collapsed="false">
      <c r="A1569" s="27"/>
      <c r="E1569" s="28"/>
      <c r="F1569" s="28"/>
      <c r="I1569" s="28" t="str">
        <f aca="false">IF(A1569="","",D1569*E1569)</f>
        <v/>
      </c>
      <c r="J1569" s="28" t="str">
        <f aca="false">IF(A1569="","",D1569*F1569)</f>
        <v/>
      </c>
      <c r="K1569" s="0" t="str">
        <f aca="false">IF(A1569="","",YEAR(A1569))</f>
        <v/>
      </c>
      <c r="L1569" s="0" t="str">
        <f aca="false">IF(A1569="","",MONTH(A1569))</f>
        <v/>
      </c>
    </row>
    <row r="1570" customFormat="false" ht="15" hidden="false" customHeight="false" outlineLevel="0" collapsed="false">
      <c r="A1570" s="27"/>
      <c r="E1570" s="28"/>
      <c r="F1570" s="28"/>
      <c r="I1570" s="28" t="str">
        <f aca="false">IF(A1570="","",D1570*E1570)</f>
        <v/>
      </c>
      <c r="J1570" s="28" t="str">
        <f aca="false">IF(A1570="","",D1570*F1570)</f>
        <v/>
      </c>
      <c r="K1570" s="0" t="str">
        <f aca="false">IF(A1570="","",YEAR(A1570))</f>
        <v/>
      </c>
      <c r="L1570" s="0" t="str">
        <f aca="false">IF(A1570="","",MONTH(A1570))</f>
        <v/>
      </c>
    </row>
    <row r="1571" customFormat="false" ht="15" hidden="false" customHeight="false" outlineLevel="0" collapsed="false">
      <c r="A1571" s="27"/>
      <c r="E1571" s="28"/>
      <c r="F1571" s="28"/>
      <c r="I1571" s="28" t="str">
        <f aca="false">IF(A1571="","",D1571*E1571)</f>
        <v/>
      </c>
      <c r="J1571" s="28" t="str">
        <f aca="false">IF(A1571="","",D1571*F1571)</f>
        <v/>
      </c>
      <c r="K1571" s="0" t="str">
        <f aca="false">IF(A1571="","",YEAR(A1571))</f>
        <v/>
      </c>
      <c r="L1571" s="0" t="str">
        <f aca="false">IF(A1571="","",MONTH(A1571))</f>
        <v/>
      </c>
    </row>
    <row r="1572" customFormat="false" ht="15" hidden="false" customHeight="false" outlineLevel="0" collapsed="false">
      <c r="A1572" s="27"/>
      <c r="E1572" s="28"/>
      <c r="F1572" s="28"/>
      <c r="I1572" s="28" t="str">
        <f aca="false">IF(A1572="","",D1572*E1572)</f>
        <v/>
      </c>
      <c r="J1572" s="28" t="str">
        <f aca="false">IF(A1572="","",D1572*F1572)</f>
        <v/>
      </c>
      <c r="K1572" s="0" t="str">
        <f aca="false">IF(A1572="","",YEAR(A1572))</f>
        <v/>
      </c>
      <c r="L1572" s="0" t="str">
        <f aca="false">IF(A1572="","",MONTH(A1572))</f>
        <v/>
      </c>
    </row>
    <row r="1573" customFormat="false" ht="15" hidden="false" customHeight="false" outlineLevel="0" collapsed="false">
      <c r="A1573" s="27"/>
      <c r="E1573" s="28"/>
      <c r="F1573" s="28"/>
      <c r="I1573" s="28" t="str">
        <f aca="false">IF(A1573="","",D1573*E1573)</f>
        <v/>
      </c>
      <c r="J1573" s="28" t="str">
        <f aca="false">IF(A1573="","",D1573*F1573)</f>
        <v/>
      </c>
      <c r="K1573" s="0" t="str">
        <f aca="false">IF(A1573="","",YEAR(A1573))</f>
        <v/>
      </c>
      <c r="L1573" s="0" t="str">
        <f aca="false">IF(A1573="","",MONTH(A1573))</f>
        <v/>
      </c>
    </row>
    <row r="1574" customFormat="false" ht="15" hidden="false" customHeight="false" outlineLevel="0" collapsed="false">
      <c r="A1574" s="27"/>
      <c r="E1574" s="28"/>
      <c r="F1574" s="28"/>
      <c r="I1574" s="28" t="str">
        <f aca="false">IF(A1574="","",D1574*E1574)</f>
        <v/>
      </c>
      <c r="J1574" s="28" t="str">
        <f aca="false">IF(A1574="","",D1574*F1574)</f>
        <v/>
      </c>
      <c r="K1574" s="0" t="str">
        <f aca="false">IF(A1574="","",YEAR(A1574))</f>
        <v/>
      </c>
      <c r="L1574" s="0" t="str">
        <f aca="false">IF(A1574="","",MONTH(A1574))</f>
        <v/>
      </c>
    </row>
    <row r="1575" customFormat="false" ht="15" hidden="false" customHeight="false" outlineLevel="0" collapsed="false">
      <c r="A1575" s="27"/>
      <c r="E1575" s="28"/>
      <c r="F1575" s="28"/>
      <c r="I1575" s="28" t="str">
        <f aca="false">IF(A1575="","",D1575*E1575)</f>
        <v/>
      </c>
      <c r="J1575" s="28" t="str">
        <f aca="false">IF(A1575="","",D1575*F1575)</f>
        <v/>
      </c>
      <c r="K1575" s="0" t="str">
        <f aca="false">IF(A1575="","",YEAR(A1575))</f>
        <v/>
      </c>
      <c r="L1575" s="0" t="str">
        <f aca="false">IF(A1575="","",MONTH(A1575))</f>
        <v/>
      </c>
    </row>
    <row r="1576" customFormat="false" ht="15" hidden="false" customHeight="false" outlineLevel="0" collapsed="false">
      <c r="A1576" s="27"/>
      <c r="E1576" s="28"/>
      <c r="F1576" s="28"/>
      <c r="I1576" s="28" t="str">
        <f aca="false">IF(A1576="","",D1576*E1576)</f>
        <v/>
      </c>
      <c r="J1576" s="28" t="str">
        <f aca="false">IF(A1576="","",D1576*F1576)</f>
        <v/>
      </c>
      <c r="K1576" s="0" t="str">
        <f aca="false">IF(A1576="","",YEAR(A1576))</f>
        <v/>
      </c>
      <c r="L1576" s="0" t="str">
        <f aca="false">IF(A1576="","",MONTH(A1576))</f>
        <v/>
      </c>
    </row>
    <row r="1577" customFormat="false" ht="15" hidden="false" customHeight="false" outlineLevel="0" collapsed="false">
      <c r="A1577" s="27"/>
      <c r="E1577" s="28"/>
      <c r="F1577" s="28"/>
      <c r="I1577" s="28" t="str">
        <f aca="false">IF(A1577="","",D1577*E1577)</f>
        <v/>
      </c>
      <c r="J1577" s="28" t="str">
        <f aca="false">IF(A1577="","",D1577*F1577)</f>
        <v/>
      </c>
      <c r="K1577" s="0" t="str">
        <f aca="false">IF(A1577="","",YEAR(A1577))</f>
        <v/>
      </c>
      <c r="L1577" s="0" t="str">
        <f aca="false">IF(A1577="","",MONTH(A1577))</f>
        <v/>
      </c>
    </row>
    <row r="1578" customFormat="false" ht="15" hidden="false" customHeight="false" outlineLevel="0" collapsed="false">
      <c r="A1578" s="27"/>
      <c r="E1578" s="28"/>
      <c r="F1578" s="28"/>
      <c r="I1578" s="28" t="str">
        <f aca="false">IF(A1578="","",D1578*E1578)</f>
        <v/>
      </c>
      <c r="J1578" s="28" t="str">
        <f aca="false">IF(A1578="","",D1578*F1578)</f>
        <v/>
      </c>
      <c r="K1578" s="0" t="str">
        <f aca="false">IF(A1578="","",YEAR(A1578))</f>
        <v/>
      </c>
      <c r="L1578" s="0" t="str">
        <f aca="false">IF(A1578="","",MONTH(A1578))</f>
        <v/>
      </c>
    </row>
    <row r="1579" customFormat="false" ht="15" hidden="false" customHeight="false" outlineLevel="0" collapsed="false">
      <c r="A1579" s="27"/>
      <c r="E1579" s="28"/>
      <c r="F1579" s="28"/>
      <c r="I1579" s="28" t="str">
        <f aca="false">IF(A1579="","",D1579*E1579)</f>
        <v/>
      </c>
      <c r="J1579" s="28" t="str">
        <f aca="false">IF(A1579="","",D1579*F1579)</f>
        <v/>
      </c>
      <c r="K1579" s="0" t="str">
        <f aca="false">IF(A1579="","",YEAR(A1579))</f>
        <v/>
      </c>
      <c r="L1579" s="0" t="str">
        <f aca="false">IF(A1579="","",MONTH(A1579))</f>
        <v/>
      </c>
    </row>
    <row r="1580" customFormat="false" ht="15" hidden="false" customHeight="false" outlineLevel="0" collapsed="false">
      <c r="A1580" s="27"/>
      <c r="E1580" s="28"/>
      <c r="F1580" s="28"/>
      <c r="I1580" s="28" t="str">
        <f aca="false">IF(A1580="","",D1580*E1580)</f>
        <v/>
      </c>
      <c r="J1580" s="28" t="str">
        <f aca="false">IF(A1580="","",D1580*F1580)</f>
        <v/>
      </c>
      <c r="K1580" s="0" t="str">
        <f aca="false">IF(A1580="","",YEAR(A1580))</f>
        <v/>
      </c>
      <c r="L1580" s="0" t="str">
        <f aca="false">IF(A1580="","",MONTH(A1580))</f>
        <v/>
      </c>
    </row>
    <row r="1581" customFormat="false" ht="15" hidden="false" customHeight="false" outlineLevel="0" collapsed="false">
      <c r="A1581" s="27"/>
      <c r="E1581" s="28"/>
      <c r="F1581" s="28"/>
      <c r="I1581" s="28" t="str">
        <f aca="false">IF(A1581="","",D1581*E1581)</f>
        <v/>
      </c>
      <c r="J1581" s="28" t="str">
        <f aca="false">IF(A1581="","",D1581*F1581)</f>
        <v/>
      </c>
      <c r="K1581" s="0" t="str">
        <f aca="false">IF(A1581="","",YEAR(A1581))</f>
        <v/>
      </c>
      <c r="L1581" s="0" t="str">
        <f aca="false">IF(A1581="","",MONTH(A1581))</f>
        <v/>
      </c>
    </row>
    <row r="1582" customFormat="false" ht="15" hidden="false" customHeight="false" outlineLevel="0" collapsed="false">
      <c r="A1582" s="27"/>
      <c r="E1582" s="28"/>
      <c r="F1582" s="28"/>
      <c r="I1582" s="28" t="str">
        <f aca="false">IF(A1582="","",D1582*E1582)</f>
        <v/>
      </c>
      <c r="J1582" s="28" t="str">
        <f aca="false">IF(A1582="","",D1582*F1582)</f>
        <v/>
      </c>
      <c r="K1582" s="0" t="str">
        <f aca="false">IF(A1582="","",YEAR(A1582))</f>
        <v/>
      </c>
      <c r="L1582" s="0" t="str">
        <f aca="false">IF(A1582="","",MONTH(A1582))</f>
        <v/>
      </c>
    </row>
    <row r="1583" customFormat="false" ht="15" hidden="false" customHeight="false" outlineLevel="0" collapsed="false">
      <c r="A1583" s="27"/>
      <c r="E1583" s="28"/>
      <c r="F1583" s="28"/>
      <c r="I1583" s="28" t="str">
        <f aca="false">IF(A1583="","",D1583*E1583)</f>
        <v/>
      </c>
      <c r="J1583" s="28" t="str">
        <f aca="false">IF(A1583="","",D1583*F1583)</f>
        <v/>
      </c>
      <c r="K1583" s="0" t="str">
        <f aca="false">IF(A1583="","",YEAR(A1583))</f>
        <v/>
      </c>
      <c r="L1583" s="0" t="str">
        <f aca="false">IF(A1583="","",MONTH(A1583))</f>
        <v/>
      </c>
    </row>
    <row r="1584" customFormat="false" ht="15" hidden="false" customHeight="false" outlineLevel="0" collapsed="false">
      <c r="A1584" s="27"/>
      <c r="E1584" s="28"/>
      <c r="F1584" s="28"/>
      <c r="I1584" s="28" t="str">
        <f aca="false">IF(A1584="","",D1584*E1584)</f>
        <v/>
      </c>
      <c r="J1584" s="28" t="str">
        <f aca="false">IF(A1584="","",D1584*F1584)</f>
        <v/>
      </c>
      <c r="K1584" s="0" t="str">
        <f aca="false">IF(A1584="","",YEAR(A1584))</f>
        <v/>
      </c>
      <c r="L1584" s="0" t="str">
        <f aca="false">IF(A1584="","",MONTH(A1584))</f>
        <v/>
      </c>
    </row>
    <row r="1585" customFormat="false" ht="15" hidden="false" customHeight="false" outlineLevel="0" collapsed="false">
      <c r="A1585" s="27"/>
      <c r="E1585" s="28"/>
      <c r="F1585" s="28"/>
      <c r="I1585" s="28" t="str">
        <f aca="false">IF(A1585="","",D1585*E1585)</f>
        <v/>
      </c>
      <c r="J1585" s="28" t="str">
        <f aca="false">IF(A1585="","",D1585*F1585)</f>
        <v/>
      </c>
      <c r="K1585" s="0" t="str">
        <f aca="false">IF(A1585="","",YEAR(A1585))</f>
        <v/>
      </c>
      <c r="L1585" s="0" t="str">
        <f aca="false">IF(A1585="","",MONTH(A1585))</f>
        <v/>
      </c>
    </row>
    <row r="1586" customFormat="false" ht="15" hidden="false" customHeight="false" outlineLevel="0" collapsed="false">
      <c r="A1586" s="27"/>
      <c r="E1586" s="28"/>
      <c r="F1586" s="28"/>
      <c r="I1586" s="28" t="str">
        <f aca="false">IF(A1586="","",D1586*E1586)</f>
        <v/>
      </c>
      <c r="J1586" s="28" t="str">
        <f aca="false">IF(A1586="","",D1586*F1586)</f>
        <v/>
      </c>
      <c r="K1586" s="0" t="str">
        <f aca="false">IF(A1586="","",YEAR(A1586))</f>
        <v/>
      </c>
      <c r="L1586" s="0" t="str">
        <f aca="false">IF(A1586="","",MONTH(A1586))</f>
        <v/>
      </c>
    </row>
    <row r="1587" customFormat="false" ht="15" hidden="false" customHeight="false" outlineLevel="0" collapsed="false">
      <c r="A1587" s="27"/>
      <c r="E1587" s="28"/>
      <c r="F1587" s="28"/>
      <c r="I1587" s="28" t="str">
        <f aca="false">IF(A1587="","",D1587*E1587)</f>
        <v/>
      </c>
      <c r="J1587" s="28" t="str">
        <f aca="false">IF(A1587="","",D1587*F1587)</f>
        <v/>
      </c>
      <c r="K1587" s="0" t="str">
        <f aca="false">IF(A1587="","",YEAR(A1587))</f>
        <v/>
      </c>
      <c r="L1587" s="0" t="str">
        <f aca="false">IF(A1587="","",MONTH(A1587))</f>
        <v/>
      </c>
    </row>
    <row r="1588" customFormat="false" ht="15" hidden="false" customHeight="false" outlineLevel="0" collapsed="false">
      <c r="A1588" s="27"/>
      <c r="E1588" s="28"/>
      <c r="F1588" s="28"/>
      <c r="I1588" s="28" t="str">
        <f aca="false">IF(A1588="","",D1588*E1588)</f>
        <v/>
      </c>
      <c r="J1588" s="28" t="str">
        <f aca="false">IF(A1588="","",D1588*F1588)</f>
        <v/>
      </c>
      <c r="K1588" s="0" t="str">
        <f aca="false">IF(A1588="","",YEAR(A1588))</f>
        <v/>
      </c>
      <c r="L1588" s="0" t="str">
        <f aca="false">IF(A1588="","",MONTH(A1588))</f>
        <v/>
      </c>
    </row>
    <row r="1589" customFormat="false" ht="15" hidden="false" customHeight="false" outlineLevel="0" collapsed="false">
      <c r="A1589" s="27"/>
      <c r="E1589" s="28"/>
      <c r="F1589" s="28"/>
      <c r="I1589" s="28" t="str">
        <f aca="false">IF(A1589="","",D1589*E1589)</f>
        <v/>
      </c>
      <c r="J1589" s="28" t="str">
        <f aca="false">IF(A1589="","",D1589*F1589)</f>
        <v/>
      </c>
      <c r="K1589" s="0" t="str">
        <f aca="false">IF(A1589="","",YEAR(A1589))</f>
        <v/>
      </c>
      <c r="L1589" s="0" t="str">
        <f aca="false">IF(A1589="","",MONTH(A1589))</f>
        <v/>
      </c>
    </row>
    <row r="1590" customFormat="false" ht="15" hidden="false" customHeight="false" outlineLevel="0" collapsed="false">
      <c r="A1590" s="27"/>
      <c r="E1590" s="28"/>
      <c r="F1590" s="28"/>
      <c r="I1590" s="28" t="str">
        <f aca="false">IF(A1590="","",D1590*E1590)</f>
        <v/>
      </c>
      <c r="J1590" s="28" t="str">
        <f aca="false">IF(A1590="","",D1590*F1590)</f>
        <v/>
      </c>
      <c r="K1590" s="0" t="str">
        <f aca="false">IF(A1590="","",YEAR(A1590))</f>
        <v/>
      </c>
      <c r="L1590" s="0" t="str">
        <f aca="false">IF(A1590="","",MONTH(A1590))</f>
        <v/>
      </c>
    </row>
    <row r="1591" customFormat="false" ht="15" hidden="false" customHeight="false" outlineLevel="0" collapsed="false">
      <c r="A1591" s="27"/>
      <c r="E1591" s="28"/>
      <c r="F1591" s="28"/>
      <c r="I1591" s="28" t="str">
        <f aca="false">IF(A1591="","",D1591*E1591)</f>
        <v/>
      </c>
      <c r="J1591" s="28" t="str">
        <f aca="false">IF(A1591="","",D1591*F1591)</f>
        <v/>
      </c>
      <c r="K1591" s="0" t="str">
        <f aca="false">IF(A1591="","",YEAR(A1591))</f>
        <v/>
      </c>
      <c r="L1591" s="0" t="str">
        <f aca="false">IF(A1591="","",MONTH(A1591))</f>
        <v/>
      </c>
    </row>
    <row r="1592" customFormat="false" ht="15" hidden="false" customHeight="false" outlineLevel="0" collapsed="false">
      <c r="A1592" s="27"/>
      <c r="E1592" s="28"/>
      <c r="F1592" s="28"/>
      <c r="I1592" s="28" t="str">
        <f aca="false">IF(A1592="","",D1592*E1592)</f>
        <v/>
      </c>
      <c r="J1592" s="28" t="str">
        <f aca="false">IF(A1592="","",D1592*F1592)</f>
        <v/>
      </c>
      <c r="K1592" s="0" t="str">
        <f aca="false">IF(A1592="","",YEAR(A1592))</f>
        <v/>
      </c>
      <c r="L1592" s="0" t="str">
        <f aca="false">IF(A1592="","",MONTH(A1592))</f>
        <v/>
      </c>
    </row>
    <row r="1593" customFormat="false" ht="15" hidden="false" customHeight="false" outlineLevel="0" collapsed="false">
      <c r="A1593" s="27"/>
      <c r="E1593" s="28"/>
      <c r="F1593" s="28"/>
      <c r="I1593" s="28" t="str">
        <f aca="false">IF(A1593="","",D1593*E1593)</f>
        <v/>
      </c>
      <c r="J1593" s="28" t="str">
        <f aca="false">IF(A1593="","",D1593*F1593)</f>
        <v/>
      </c>
      <c r="K1593" s="0" t="str">
        <f aca="false">IF(A1593="","",YEAR(A1593))</f>
        <v/>
      </c>
      <c r="L1593" s="0" t="str">
        <f aca="false">IF(A1593="","",MONTH(A1593))</f>
        <v/>
      </c>
    </row>
    <row r="1594" customFormat="false" ht="15" hidden="false" customHeight="false" outlineLevel="0" collapsed="false">
      <c r="A1594" s="27"/>
      <c r="E1594" s="28"/>
      <c r="F1594" s="28"/>
      <c r="I1594" s="28" t="str">
        <f aca="false">IF(A1594="","",D1594*E1594)</f>
        <v/>
      </c>
      <c r="J1594" s="28" t="str">
        <f aca="false">IF(A1594="","",D1594*F1594)</f>
        <v/>
      </c>
      <c r="K1594" s="0" t="str">
        <f aca="false">IF(A1594="","",YEAR(A1594))</f>
        <v/>
      </c>
      <c r="L1594" s="0" t="str">
        <f aca="false">IF(A1594="","",MONTH(A1594))</f>
        <v/>
      </c>
    </row>
    <row r="1595" customFormat="false" ht="15" hidden="false" customHeight="false" outlineLevel="0" collapsed="false">
      <c r="A1595" s="27"/>
      <c r="E1595" s="28"/>
      <c r="F1595" s="28"/>
      <c r="I1595" s="28" t="str">
        <f aca="false">IF(A1595="","",D1595*E1595)</f>
        <v/>
      </c>
      <c r="J1595" s="28" t="str">
        <f aca="false">IF(A1595="","",D1595*F1595)</f>
        <v/>
      </c>
      <c r="K1595" s="0" t="str">
        <f aca="false">IF(A1595="","",YEAR(A1595))</f>
        <v/>
      </c>
      <c r="L1595" s="0" t="str">
        <f aca="false">IF(A1595="","",MONTH(A1595))</f>
        <v/>
      </c>
    </row>
    <row r="1596" customFormat="false" ht="15" hidden="false" customHeight="false" outlineLevel="0" collapsed="false">
      <c r="A1596" s="27"/>
      <c r="E1596" s="28"/>
      <c r="F1596" s="28"/>
      <c r="I1596" s="28" t="str">
        <f aca="false">IF(A1596="","",D1596*E1596)</f>
        <v/>
      </c>
      <c r="J1596" s="28" t="str">
        <f aca="false">IF(A1596="","",D1596*F1596)</f>
        <v/>
      </c>
      <c r="K1596" s="0" t="str">
        <f aca="false">IF(A1596="","",YEAR(A1596))</f>
        <v/>
      </c>
      <c r="L1596" s="0" t="str">
        <f aca="false">IF(A1596="","",MONTH(A1596))</f>
        <v/>
      </c>
    </row>
    <row r="1597" customFormat="false" ht="15" hidden="false" customHeight="false" outlineLevel="0" collapsed="false">
      <c r="A1597" s="27"/>
      <c r="E1597" s="28"/>
      <c r="F1597" s="28"/>
      <c r="I1597" s="28" t="str">
        <f aca="false">IF(A1597="","",D1597*E1597)</f>
        <v/>
      </c>
      <c r="J1597" s="28" t="str">
        <f aca="false">IF(A1597="","",D1597*F1597)</f>
        <v/>
      </c>
      <c r="K1597" s="0" t="str">
        <f aca="false">IF(A1597="","",YEAR(A1597))</f>
        <v/>
      </c>
      <c r="L1597" s="0" t="str">
        <f aca="false">IF(A1597="","",MONTH(A1597))</f>
        <v/>
      </c>
    </row>
    <row r="1598" customFormat="false" ht="15" hidden="false" customHeight="false" outlineLevel="0" collapsed="false">
      <c r="A1598" s="27"/>
      <c r="E1598" s="28"/>
      <c r="F1598" s="28"/>
      <c r="I1598" s="28" t="str">
        <f aca="false">IF(A1598="","",D1598*E1598)</f>
        <v/>
      </c>
      <c r="J1598" s="28" t="str">
        <f aca="false">IF(A1598="","",D1598*F1598)</f>
        <v/>
      </c>
      <c r="K1598" s="0" t="str">
        <f aca="false">IF(A1598="","",YEAR(A1598))</f>
        <v/>
      </c>
      <c r="L1598" s="0" t="str">
        <f aca="false">IF(A1598="","",MONTH(A1598))</f>
        <v/>
      </c>
    </row>
    <row r="1599" customFormat="false" ht="15" hidden="false" customHeight="false" outlineLevel="0" collapsed="false">
      <c r="A1599" s="27"/>
      <c r="E1599" s="28"/>
      <c r="F1599" s="28"/>
      <c r="I1599" s="28" t="str">
        <f aca="false">IF(A1599="","",D1599*E1599)</f>
        <v/>
      </c>
      <c r="J1599" s="28" t="str">
        <f aca="false">IF(A1599="","",D1599*F1599)</f>
        <v/>
      </c>
      <c r="K1599" s="0" t="str">
        <f aca="false">IF(A1599="","",YEAR(A1599))</f>
        <v/>
      </c>
      <c r="L1599" s="0" t="str">
        <f aca="false">IF(A1599="","",MONTH(A1599))</f>
        <v/>
      </c>
    </row>
    <row r="1600" customFormat="false" ht="15" hidden="false" customHeight="false" outlineLevel="0" collapsed="false">
      <c r="A1600" s="27"/>
      <c r="E1600" s="28"/>
      <c r="F1600" s="28"/>
      <c r="I1600" s="28" t="str">
        <f aca="false">IF(A1600="","",D1600*E1600)</f>
        <v/>
      </c>
      <c r="J1600" s="28" t="str">
        <f aca="false">IF(A1600="","",D1600*F1600)</f>
        <v/>
      </c>
      <c r="K1600" s="0" t="str">
        <f aca="false">IF(A1600="","",YEAR(A1600))</f>
        <v/>
      </c>
      <c r="L1600" s="0" t="str">
        <f aca="false">IF(A1600="","",MONTH(A1600))</f>
        <v/>
      </c>
    </row>
    <row r="1601" customFormat="false" ht="15" hidden="false" customHeight="false" outlineLevel="0" collapsed="false">
      <c r="A1601" s="27"/>
      <c r="E1601" s="28"/>
      <c r="F1601" s="28"/>
      <c r="I1601" s="28" t="str">
        <f aca="false">IF(A1601="","",D1601*E1601)</f>
        <v/>
      </c>
      <c r="J1601" s="28" t="str">
        <f aca="false">IF(A1601="","",D1601*F1601)</f>
        <v/>
      </c>
      <c r="K1601" s="0" t="str">
        <f aca="false">IF(A1601="","",YEAR(A1601))</f>
        <v/>
      </c>
      <c r="L1601" s="0" t="str">
        <f aca="false">IF(A1601="","",MONTH(A1601))</f>
        <v/>
      </c>
    </row>
    <row r="1602" customFormat="false" ht="15" hidden="false" customHeight="false" outlineLevel="0" collapsed="false">
      <c r="A1602" s="27"/>
      <c r="E1602" s="28"/>
      <c r="F1602" s="28"/>
      <c r="I1602" s="28" t="str">
        <f aca="false">IF(A1602="","",D1602*E1602)</f>
        <v/>
      </c>
      <c r="J1602" s="28" t="str">
        <f aca="false">IF(A1602="","",D1602*F1602)</f>
        <v/>
      </c>
      <c r="K1602" s="0" t="str">
        <f aca="false">IF(A1602="","",YEAR(A1602))</f>
        <v/>
      </c>
      <c r="L1602" s="0" t="str">
        <f aca="false">IF(A1602="","",MONTH(A1602))</f>
        <v/>
      </c>
    </row>
    <row r="1603" customFormat="false" ht="15" hidden="false" customHeight="false" outlineLevel="0" collapsed="false">
      <c r="A1603" s="27"/>
      <c r="E1603" s="28"/>
      <c r="F1603" s="28"/>
      <c r="I1603" s="28" t="str">
        <f aca="false">IF(A1603="","",D1603*E1603)</f>
        <v/>
      </c>
      <c r="J1603" s="28" t="str">
        <f aca="false">IF(A1603="","",D1603*F1603)</f>
        <v/>
      </c>
      <c r="K1603" s="0" t="str">
        <f aca="false">IF(A1603="","",YEAR(A1603))</f>
        <v/>
      </c>
      <c r="L1603" s="0" t="str">
        <f aca="false">IF(A1603="","",MONTH(A1603))</f>
        <v/>
      </c>
    </row>
    <row r="1604" customFormat="false" ht="15" hidden="false" customHeight="false" outlineLevel="0" collapsed="false">
      <c r="A1604" s="27"/>
      <c r="E1604" s="28"/>
      <c r="F1604" s="28"/>
      <c r="I1604" s="28" t="str">
        <f aca="false">IF(A1604="","",D1604*E1604)</f>
        <v/>
      </c>
      <c r="J1604" s="28" t="str">
        <f aca="false">IF(A1604="","",D1604*F1604)</f>
        <v/>
      </c>
      <c r="K1604" s="0" t="str">
        <f aca="false">IF(A1604="","",YEAR(A1604))</f>
        <v/>
      </c>
      <c r="L1604" s="0" t="str">
        <f aca="false">IF(A1604="","",MONTH(A1604))</f>
        <v/>
      </c>
    </row>
    <row r="1605" customFormat="false" ht="15" hidden="false" customHeight="false" outlineLevel="0" collapsed="false">
      <c r="A1605" s="27"/>
      <c r="E1605" s="28"/>
      <c r="F1605" s="28"/>
      <c r="I1605" s="28" t="str">
        <f aca="false">IF(A1605="","",D1605*E1605)</f>
        <v/>
      </c>
      <c r="J1605" s="28" t="str">
        <f aca="false">IF(A1605="","",D1605*F1605)</f>
        <v/>
      </c>
      <c r="K1605" s="0" t="str">
        <f aca="false">IF(A1605="","",YEAR(A1605))</f>
        <v/>
      </c>
      <c r="L1605" s="0" t="str">
        <f aca="false">IF(A1605="","",MONTH(A1605))</f>
        <v/>
      </c>
    </row>
    <row r="1606" customFormat="false" ht="15" hidden="false" customHeight="false" outlineLevel="0" collapsed="false">
      <c r="A1606" s="27"/>
      <c r="E1606" s="28"/>
      <c r="F1606" s="28"/>
      <c r="I1606" s="28" t="str">
        <f aca="false">IF(A1606="","",D1606*E1606)</f>
        <v/>
      </c>
      <c r="J1606" s="28" t="str">
        <f aca="false">IF(A1606="","",D1606*F1606)</f>
        <v/>
      </c>
      <c r="K1606" s="0" t="str">
        <f aca="false">IF(A1606="","",YEAR(A1606))</f>
        <v/>
      </c>
      <c r="L1606" s="0" t="str">
        <f aca="false">IF(A1606="","",MONTH(A1606))</f>
        <v/>
      </c>
    </row>
    <row r="1607" customFormat="false" ht="15" hidden="false" customHeight="false" outlineLevel="0" collapsed="false">
      <c r="A1607" s="27"/>
      <c r="E1607" s="28"/>
      <c r="F1607" s="28"/>
      <c r="I1607" s="28" t="str">
        <f aca="false">IF(A1607="","",D1607*E1607)</f>
        <v/>
      </c>
      <c r="J1607" s="28" t="str">
        <f aca="false">IF(A1607="","",D1607*F1607)</f>
        <v/>
      </c>
      <c r="K1607" s="0" t="str">
        <f aca="false">IF(A1607="","",YEAR(A1607))</f>
        <v/>
      </c>
      <c r="L1607" s="0" t="str">
        <f aca="false">IF(A1607="","",MONTH(A1607))</f>
        <v/>
      </c>
    </row>
    <row r="1608" customFormat="false" ht="15" hidden="false" customHeight="false" outlineLevel="0" collapsed="false">
      <c r="A1608" s="27"/>
      <c r="E1608" s="28"/>
      <c r="F1608" s="28"/>
      <c r="I1608" s="28" t="str">
        <f aca="false">IF(A1608="","",D1608*E1608)</f>
        <v/>
      </c>
      <c r="J1608" s="28" t="str">
        <f aca="false">IF(A1608="","",D1608*F1608)</f>
        <v/>
      </c>
      <c r="K1608" s="0" t="str">
        <f aca="false">IF(A1608="","",YEAR(A1608))</f>
        <v/>
      </c>
      <c r="L1608" s="0" t="str">
        <f aca="false">IF(A1608="","",MONTH(A1608))</f>
        <v/>
      </c>
    </row>
    <row r="1609" customFormat="false" ht="15" hidden="false" customHeight="false" outlineLevel="0" collapsed="false">
      <c r="A1609" s="27"/>
      <c r="E1609" s="28"/>
      <c r="F1609" s="28"/>
      <c r="I1609" s="28" t="str">
        <f aca="false">IF(A1609="","",D1609*E1609)</f>
        <v/>
      </c>
      <c r="J1609" s="28" t="str">
        <f aca="false">IF(A1609="","",D1609*F1609)</f>
        <v/>
      </c>
      <c r="K1609" s="0" t="str">
        <f aca="false">IF(A1609="","",YEAR(A1609))</f>
        <v/>
      </c>
      <c r="L1609" s="0" t="str">
        <f aca="false">IF(A1609="","",MONTH(A1609))</f>
        <v/>
      </c>
    </row>
    <row r="1610" customFormat="false" ht="15" hidden="false" customHeight="false" outlineLevel="0" collapsed="false">
      <c r="A1610" s="27"/>
      <c r="E1610" s="28"/>
      <c r="F1610" s="28"/>
      <c r="I1610" s="28" t="str">
        <f aca="false">IF(A1610="","",D1610*E1610)</f>
        <v/>
      </c>
      <c r="J1610" s="28" t="str">
        <f aca="false">IF(A1610="","",D1610*F1610)</f>
        <v/>
      </c>
      <c r="K1610" s="0" t="str">
        <f aca="false">IF(A1610="","",YEAR(A1610))</f>
        <v/>
      </c>
      <c r="L1610" s="0" t="str">
        <f aca="false">IF(A1610="","",MONTH(A1610))</f>
        <v/>
      </c>
    </row>
    <row r="1611" customFormat="false" ht="15" hidden="false" customHeight="false" outlineLevel="0" collapsed="false">
      <c r="A1611" s="27"/>
      <c r="E1611" s="28"/>
      <c r="F1611" s="28"/>
      <c r="I1611" s="28" t="str">
        <f aca="false">IF(A1611="","",D1611*E1611)</f>
        <v/>
      </c>
      <c r="J1611" s="28" t="str">
        <f aca="false">IF(A1611="","",D1611*F1611)</f>
        <v/>
      </c>
      <c r="K1611" s="0" t="str">
        <f aca="false">IF(A1611="","",YEAR(A1611))</f>
        <v/>
      </c>
      <c r="L1611" s="0" t="str">
        <f aca="false">IF(A1611="","",MONTH(A1611))</f>
        <v/>
      </c>
    </row>
    <row r="1612" customFormat="false" ht="15" hidden="false" customHeight="false" outlineLevel="0" collapsed="false">
      <c r="A1612" s="27"/>
      <c r="E1612" s="28"/>
      <c r="F1612" s="28"/>
      <c r="I1612" s="28" t="str">
        <f aca="false">IF(A1612="","",D1612*E1612)</f>
        <v/>
      </c>
      <c r="J1612" s="28" t="str">
        <f aca="false">IF(A1612="","",D1612*F1612)</f>
        <v/>
      </c>
      <c r="K1612" s="0" t="str">
        <f aca="false">IF(A1612="","",YEAR(A1612))</f>
        <v/>
      </c>
      <c r="L1612" s="0" t="str">
        <f aca="false">IF(A1612="","",MONTH(A1612))</f>
        <v/>
      </c>
    </row>
    <row r="1613" customFormat="false" ht="15" hidden="false" customHeight="false" outlineLevel="0" collapsed="false">
      <c r="A1613" s="27"/>
      <c r="E1613" s="28"/>
      <c r="F1613" s="28"/>
      <c r="I1613" s="28" t="str">
        <f aca="false">IF(A1613="","",D1613*E1613)</f>
        <v/>
      </c>
      <c r="J1613" s="28" t="str">
        <f aca="false">IF(A1613="","",D1613*F1613)</f>
        <v/>
      </c>
      <c r="K1613" s="0" t="str">
        <f aca="false">IF(A1613="","",YEAR(A1613))</f>
        <v/>
      </c>
      <c r="L1613" s="0" t="str">
        <f aca="false">IF(A1613="","",MONTH(A1613))</f>
        <v/>
      </c>
    </row>
    <row r="1614" customFormat="false" ht="15" hidden="false" customHeight="false" outlineLevel="0" collapsed="false">
      <c r="A1614" s="27"/>
      <c r="E1614" s="28"/>
      <c r="F1614" s="28"/>
      <c r="I1614" s="28" t="str">
        <f aca="false">IF(A1614="","",D1614*E1614)</f>
        <v/>
      </c>
      <c r="J1614" s="28" t="str">
        <f aca="false">IF(A1614="","",D1614*F1614)</f>
        <v/>
      </c>
      <c r="K1614" s="0" t="str">
        <f aca="false">IF(A1614="","",YEAR(A1614))</f>
        <v/>
      </c>
      <c r="L1614" s="0" t="str">
        <f aca="false">IF(A1614="","",MONTH(A1614))</f>
        <v/>
      </c>
    </row>
    <row r="1615" customFormat="false" ht="15" hidden="false" customHeight="false" outlineLevel="0" collapsed="false">
      <c r="A1615" s="27"/>
      <c r="E1615" s="28"/>
      <c r="F1615" s="28"/>
      <c r="I1615" s="28" t="str">
        <f aca="false">IF(A1615="","",D1615*E1615)</f>
        <v/>
      </c>
      <c r="J1615" s="28" t="str">
        <f aca="false">IF(A1615="","",D1615*F1615)</f>
        <v/>
      </c>
      <c r="K1615" s="0" t="str">
        <f aca="false">IF(A1615="","",YEAR(A1615))</f>
        <v/>
      </c>
      <c r="L1615" s="0" t="str">
        <f aca="false">IF(A1615="","",MONTH(A1615))</f>
        <v/>
      </c>
    </row>
    <row r="1616" customFormat="false" ht="15" hidden="false" customHeight="false" outlineLevel="0" collapsed="false">
      <c r="A1616" s="27"/>
      <c r="E1616" s="28"/>
      <c r="F1616" s="28"/>
      <c r="I1616" s="28" t="str">
        <f aca="false">IF(A1616="","",D1616*E1616)</f>
        <v/>
      </c>
      <c r="J1616" s="28" t="str">
        <f aca="false">IF(A1616="","",D1616*F1616)</f>
        <v/>
      </c>
      <c r="K1616" s="0" t="str">
        <f aca="false">IF(A1616="","",YEAR(A1616))</f>
        <v/>
      </c>
      <c r="L1616" s="0" t="str">
        <f aca="false">IF(A1616="","",MONTH(A1616))</f>
        <v/>
      </c>
    </row>
    <row r="1617" customFormat="false" ht="15" hidden="false" customHeight="false" outlineLevel="0" collapsed="false">
      <c r="A1617" s="27"/>
      <c r="E1617" s="28"/>
      <c r="F1617" s="28"/>
      <c r="I1617" s="28" t="str">
        <f aca="false">IF(A1617="","",D1617*E1617)</f>
        <v/>
      </c>
      <c r="J1617" s="28" t="str">
        <f aca="false">IF(A1617="","",D1617*F1617)</f>
        <v/>
      </c>
      <c r="K1617" s="0" t="str">
        <f aca="false">IF(A1617="","",YEAR(A1617))</f>
        <v/>
      </c>
      <c r="L1617" s="0" t="str">
        <f aca="false">IF(A1617="","",MONTH(A1617))</f>
        <v/>
      </c>
    </row>
    <row r="1618" customFormat="false" ht="15" hidden="false" customHeight="false" outlineLevel="0" collapsed="false">
      <c r="A1618" s="27"/>
      <c r="E1618" s="28"/>
      <c r="F1618" s="28"/>
      <c r="I1618" s="28" t="str">
        <f aca="false">IF(A1618="","",D1618*E1618)</f>
        <v/>
      </c>
      <c r="J1618" s="28" t="str">
        <f aca="false">IF(A1618="","",D1618*F1618)</f>
        <v/>
      </c>
      <c r="K1618" s="0" t="str">
        <f aca="false">IF(A1618="","",YEAR(A1618))</f>
        <v/>
      </c>
      <c r="L1618" s="0" t="str">
        <f aca="false">IF(A1618="","",MONTH(A1618))</f>
        <v/>
      </c>
    </row>
    <row r="1619" customFormat="false" ht="15" hidden="false" customHeight="false" outlineLevel="0" collapsed="false">
      <c r="A1619" s="27"/>
      <c r="E1619" s="28"/>
      <c r="F1619" s="28"/>
      <c r="I1619" s="28" t="str">
        <f aca="false">IF(A1619="","",D1619*E1619)</f>
        <v/>
      </c>
      <c r="J1619" s="28" t="str">
        <f aca="false">IF(A1619="","",D1619*F1619)</f>
        <v/>
      </c>
      <c r="K1619" s="0" t="str">
        <f aca="false">IF(A1619="","",YEAR(A1619))</f>
        <v/>
      </c>
      <c r="L1619" s="0" t="str">
        <f aca="false">IF(A1619="","",MONTH(A1619))</f>
        <v/>
      </c>
    </row>
    <row r="1620" customFormat="false" ht="15" hidden="false" customHeight="false" outlineLevel="0" collapsed="false">
      <c r="A1620" s="27"/>
      <c r="E1620" s="28"/>
      <c r="F1620" s="28"/>
      <c r="I1620" s="28" t="str">
        <f aca="false">IF(A1620="","",D1620*E1620)</f>
        <v/>
      </c>
      <c r="J1620" s="28" t="str">
        <f aca="false">IF(A1620="","",D1620*F1620)</f>
        <v/>
      </c>
      <c r="K1620" s="0" t="str">
        <f aca="false">IF(A1620="","",YEAR(A1620))</f>
        <v/>
      </c>
      <c r="L1620" s="0" t="str">
        <f aca="false">IF(A1620="","",MONTH(A1620))</f>
        <v/>
      </c>
    </row>
    <row r="1621" customFormat="false" ht="15" hidden="false" customHeight="false" outlineLevel="0" collapsed="false">
      <c r="A1621" s="27"/>
      <c r="E1621" s="28"/>
      <c r="F1621" s="28"/>
      <c r="I1621" s="28" t="str">
        <f aca="false">IF(A1621="","",D1621*E1621)</f>
        <v/>
      </c>
      <c r="J1621" s="28" t="str">
        <f aca="false">IF(A1621="","",D1621*F1621)</f>
        <v/>
      </c>
      <c r="K1621" s="0" t="str">
        <f aca="false">IF(A1621="","",YEAR(A1621))</f>
        <v/>
      </c>
      <c r="L1621" s="0" t="str">
        <f aca="false">IF(A1621="","",MONTH(A1621))</f>
        <v/>
      </c>
    </row>
    <row r="1622" customFormat="false" ht="15" hidden="false" customHeight="false" outlineLevel="0" collapsed="false">
      <c r="A1622" s="27"/>
      <c r="E1622" s="28"/>
      <c r="F1622" s="28"/>
      <c r="I1622" s="28" t="str">
        <f aca="false">IF(A1622="","",D1622*E1622)</f>
        <v/>
      </c>
      <c r="J1622" s="28" t="str">
        <f aca="false">IF(A1622="","",D1622*F1622)</f>
        <v/>
      </c>
      <c r="K1622" s="0" t="str">
        <f aca="false">IF(A1622="","",YEAR(A1622))</f>
        <v/>
      </c>
      <c r="L1622" s="0" t="str">
        <f aca="false">IF(A1622="","",MONTH(A1622))</f>
        <v/>
      </c>
    </row>
    <row r="1623" customFormat="false" ht="15" hidden="false" customHeight="false" outlineLevel="0" collapsed="false">
      <c r="A1623" s="27"/>
      <c r="E1623" s="28"/>
      <c r="F1623" s="28"/>
      <c r="I1623" s="28" t="str">
        <f aca="false">IF(A1623="","",D1623*E1623)</f>
        <v/>
      </c>
      <c r="J1623" s="28" t="str">
        <f aca="false">IF(A1623="","",D1623*F1623)</f>
        <v/>
      </c>
      <c r="K1623" s="0" t="str">
        <f aca="false">IF(A1623="","",YEAR(A1623))</f>
        <v/>
      </c>
      <c r="L1623" s="0" t="str">
        <f aca="false">IF(A1623="","",MONTH(A1623))</f>
        <v/>
      </c>
    </row>
    <row r="1624" customFormat="false" ht="15" hidden="false" customHeight="false" outlineLevel="0" collapsed="false">
      <c r="A1624" s="27"/>
      <c r="E1624" s="28"/>
      <c r="F1624" s="28"/>
      <c r="I1624" s="28" t="str">
        <f aca="false">IF(A1624="","",D1624*E1624)</f>
        <v/>
      </c>
      <c r="J1624" s="28" t="str">
        <f aca="false">IF(A1624="","",D1624*F1624)</f>
        <v/>
      </c>
      <c r="K1624" s="0" t="str">
        <f aca="false">IF(A1624="","",YEAR(A1624))</f>
        <v/>
      </c>
      <c r="L1624" s="0" t="str">
        <f aca="false">IF(A1624="","",MONTH(A1624))</f>
        <v/>
      </c>
    </row>
    <row r="1625" customFormat="false" ht="15" hidden="false" customHeight="false" outlineLevel="0" collapsed="false">
      <c r="A1625" s="27"/>
      <c r="E1625" s="28"/>
      <c r="F1625" s="28"/>
      <c r="I1625" s="28" t="str">
        <f aca="false">IF(A1625="","",D1625*E1625)</f>
        <v/>
      </c>
      <c r="J1625" s="28" t="str">
        <f aca="false">IF(A1625="","",D1625*F1625)</f>
        <v/>
      </c>
      <c r="K1625" s="0" t="str">
        <f aca="false">IF(A1625="","",YEAR(A1625))</f>
        <v/>
      </c>
      <c r="L1625" s="0" t="str">
        <f aca="false">IF(A1625="","",MONTH(A1625))</f>
        <v/>
      </c>
    </row>
    <row r="1626" customFormat="false" ht="15" hidden="false" customHeight="false" outlineLevel="0" collapsed="false">
      <c r="A1626" s="27"/>
      <c r="E1626" s="28"/>
      <c r="F1626" s="28"/>
      <c r="I1626" s="28" t="str">
        <f aca="false">IF(A1626="","",D1626*E1626)</f>
        <v/>
      </c>
      <c r="J1626" s="28" t="str">
        <f aca="false">IF(A1626="","",D1626*F1626)</f>
        <v/>
      </c>
      <c r="K1626" s="0" t="str">
        <f aca="false">IF(A1626="","",YEAR(A1626))</f>
        <v/>
      </c>
      <c r="L1626" s="0" t="str">
        <f aca="false">IF(A1626="","",MONTH(A1626))</f>
        <v/>
      </c>
    </row>
    <row r="1627" customFormat="false" ht="15" hidden="false" customHeight="false" outlineLevel="0" collapsed="false">
      <c r="A1627" s="27"/>
      <c r="E1627" s="28"/>
      <c r="F1627" s="28"/>
      <c r="I1627" s="28" t="str">
        <f aca="false">IF(A1627="","",D1627*E1627)</f>
        <v/>
      </c>
      <c r="J1627" s="28" t="str">
        <f aca="false">IF(A1627="","",D1627*F1627)</f>
        <v/>
      </c>
      <c r="K1627" s="0" t="str">
        <f aca="false">IF(A1627="","",YEAR(A1627))</f>
        <v/>
      </c>
      <c r="L1627" s="0" t="str">
        <f aca="false">IF(A1627="","",MONTH(A1627))</f>
        <v/>
      </c>
    </row>
    <row r="1628" customFormat="false" ht="15" hidden="false" customHeight="false" outlineLevel="0" collapsed="false">
      <c r="A1628" s="27"/>
      <c r="E1628" s="28"/>
      <c r="F1628" s="28"/>
      <c r="I1628" s="28" t="str">
        <f aca="false">IF(A1628="","",D1628*E1628)</f>
        <v/>
      </c>
      <c r="J1628" s="28" t="str">
        <f aca="false">IF(A1628="","",D1628*F1628)</f>
        <v/>
      </c>
      <c r="K1628" s="0" t="str">
        <f aca="false">IF(A1628="","",YEAR(A1628))</f>
        <v/>
      </c>
      <c r="L1628" s="0" t="str">
        <f aca="false">IF(A1628="","",MONTH(A1628))</f>
        <v/>
      </c>
    </row>
    <row r="1629" customFormat="false" ht="15" hidden="false" customHeight="false" outlineLevel="0" collapsed="false">
      <c r="A1629" s="27"/>
      <c r="E1629" s="28"/>
      <c r="F1629" s="28"/>
      <c r="I1629" s="28" t="str">
        <f aca="false">IF(A1629="","",D1629*E1629)</f>
        <v/>
      </c>
      <c r="J1629" s="28" t="str">
        <f aca="false">IF(A1629="","",D1629*F1629)</f>
        <v/>
      </c>
      <c r="K1629" s="0" t="str">
        <f aca="false">IF(A1629="","",YEAR(A1629))</f>
        <v/>
      </c>
      <c r="L1629" s="0" t="str">
        <f aca="false">IF(A1629="","",MONTH(A1629))</f>
        <v/>
      </c>
    </row>
    <row r="1630" customFormat="false" ht="15" hidden="false" customHeight="false" outlineLevel="0" collapsed="false">
      <c r="A1630" s="27"/>
      <c r="E1630" s="28"/>
      <c r="F1630" s="28"/>
      <c r="I1630" s="28" t="str">
        <f aca="false">IF(A1630="","",D1630*E1630)</f>
        <v/>
      </c>
      <c r="J1630" s="28" t="str">
        <f aca="false">IF(A1630="","",D1630*F1630)</f>
        <v/>
      </c>
      <c r="K1630" s="0" t="str">
        <f aca="false">IF(A1630="","",YEAR(A1630))</f>
        <v/>
      </c>
      <c r="L1630" s="0" t="str">
        <f aca="false">IF(A1630="","",MONTH(A1630))</f>
        <v/>
      </c>
    </row>
    <row r="1631" customFormat="false" ht="15" hidden="false" customHeight="false" outlineLevel="0" collapsed="false">
      <c r="A1631" s="27"/>
      <c r="E1631" s="28"/>
      <c r="F1631" s="28"/>
      <c r="I1631" s="28" t="str">
        <f aca="false">IF(A1631="","",D1631*E1631)</f>
        <v/>
      </c>
      <c r="J1631" s="28" t="str">
        <f aca="false">IF(A1631="","",D1631*F1631)</f>
        <v/>
      </c>
      <c r="K1631" s="0" t="str">
        <f aca="false">IF(A1631="","",YEAR(A1631))</f>
        <v/>
      </c>
      <c r="L1631" s="0" t="str">
        <f aca="false">IF(A1631="","",MONTH(A1631))</f>
        <v/>
      </c>
    </row>
    <row r="1632" customFormat="false" ht="15" hidden="false" customHeight="false" outlineLevel="0" collapsed="false">
      <c r="A1632" s="27"/>
      <c r="E1632" s="28"/>
      <c r="F1632" s="28"/>
      <c r="I1632" s="28" t="str">
        <f aca="false">IF(A1632="","",D1632*E1632)</f>
        <v/>
      </c>
      <c r="J1632" s="28" t="str">
        <f aca="false">IF(A1632="","",D1632*F1632)</f>
        <v/>
      </c>
      <c r="K1632" s="0" t="str">
        <f aca="false">IF(A1632="","",YEAR(A1632))</f>
        <v/>
      </c>
      <c r="L1632" s="0" t="str">
        <f aca="false">IF(A1632="","",MONTH(A1632))</f>
        <v/>
      </c>
    </row>
    <row r="1633" customFormat="false" ht="15" hidden="false" customHeight="false" outlineLevel="0" collapsed="false">
      <c r="A1633" s="27"/>
      <c r="E1633" s="28"/>
      <c r="F1633" s="28"/>
      <c r="I1633" s="28" t="str">
        <f aca="false">IF(A1633="","",D1633*E1633)</f>
        <v/>
      </c>
      <c r="J1633" s="28" t="str">
        <f aca="false">IF(A1633="","",D1633*F1633)</f>
        <v/>
      </c>
      <c r="K1633" s="0" t="str">
        <f aca="false">IF(A1633="","",YEAR(A1633))</f>
        <v/>
      </c>
      <c r="L1633" s="0" t="str">
        <f aca="false">IF(A1633="","",MONTH(A1633))</f>
        <v/>
      </c>
    </row>
    <row r="1634" customFormat="false" ht="15" hidden="false" customHeight="false" outlineLevel="0" collapsed="false">
      <c r="A1634" s="27"/>
      <c r="E1634" s="28"/>
      <c r="F1634" s="28"/>
      <c r="I1634" s="28" t="str">
        <f aca="false">IF(A1634="","",D1634*E1634)</f>
        <v/>
      </c>
      <c r="J1634" s="28" t="str">
        <f aca="false">IF(A1634="","",D1634*F1634)</f>
        <v/>
      </c>
      <c r="K1634" s="0" t="str">
        <f aca="false">IF(A1634="","",YEAR(A1634))</f>
        <v/>
      </c>
      <c r="L1634" s="0" t="str">
        <f aca="false">IF(A1634="","",MONTH(A1634))</f>
        <v/>
      </c>
    </row>
    <row r="1635" customFormat="false" ht="15" hidden="false" customHeight="false" outlineLevel="0" collapsed="false">
      <c r="A1635" s="27"/>
      <c r="E1635" s="28"/>
      <c r="F1635" s="28"/>
      <c r="I1635" s="28" t="str">
        <f aca="false">IF(A1635="","",D1635*E1635)</f>
        <v/>
      </c>
      <c r="J1635" s="28" t="str">
        <f aca="false">IF(A1635="","",D1635*F1635)</f>
        <v/>
      </c>
      <c r="K1635" s="0" t="str">
        <f aca="false">IF(A1635="","",YEAR(A1635))</f>
        <v/>
      </c>
      <c r="L1635" s="0" t="str">
        <f aca="false">IF(A1635="","",MONTH(A1635))</f>
        <v/>
      </c>
    </row>
    <row r="1636" customFormat="false" ht="15" hidden="false" customHeight="false" outlineLevel="0" collapsed="false">
      <c r="A1636" s="27"/>
      <c r="E1636" s="28"/>
      <c r="F1636" s="28"/>
      <c r="I1636" s="28" t="str">
        <f aca="false">IF(A1636="","",D1636*E1636)</f>
        <v/>
      </c>
      <c r="J1636" s="28" t="str">
        <f aca="false">IF(A1636="","",D1636*F1636)</f>
        <v/>
      </c>
      <c r="K1636" s="0" t="str">
        <f aca="false">IF(A1636="","",YEAR(A1636))</f>
        <v/>
      </c>
      <c r="L1636" s="0" t="str">
        <f aca="false">IF(A1636="","",MONTH(A1636))</f>
        <v/>
      </c>
    </row>
    <row r="1637" customFormat="false" ht="15" hidden="false" customHeight="false" outlineLevel="0" collapsed="false">
      <c r="A1637" s="27"/>
      <c r="E1637" s="28"/>
      <c r="F1637" s="28"/>
      <c r="I1637" s="28" t="str">
        <f aca="false">IF(A1637="","",D1637*E1637)</f>
        <v/>
      </c>
      <c r="J1637" s="28" t="str">
        <f aca="false">IF(A1637="","",D1637*F1637)</f>
        <v/>
      </c>
      <c r="K1637" s="0" t="str">
        <f aca="false">IF(A1637="","",YEAR(A1637))</f>
        <v/>
      </c>
      <c r="L1637" s="0" t="str">
        <f aca="false">IF(A1637="","",MONTH(A1637))</f>
        <v/>
      </c>
    </row>
    <row r="1638" customFormat="false" ht="15" hidden="false" customHeight="false" outlineLevel="0" collapsed="false">
      <c r="A1638" s="27"/>
      <c r="E1638" s="28"/>
      <c r="F1638" s="28"/>
      <c r="I1638" s="28" t="str">
        <f aca="false">IF(A1638="","",D1638*E1638)</f>
        <v/>
      </c>
      <c r="J1638" s="28" t="str">
        <f aca="false">IF(A1638="","",D1638*F1638)</f>
        <v/>
      </c>
      <c r="K1638" s="0" t="str">
        <f aca="false">IF(A1638="","",YEAR(A1638))</f>
        <v/>
      </c>
      <c r="L1638" s="0" t="str">
        <f aca="false">IF(A1638="","",MONTH(A1638))</f>
        <v/>
      </c>
    </row>
    <row r="1639" customFormat="false" ht="15" hidden="false" customHeight="false" outlineLevel="0" collapsed="false">
      <c r="A1639" s="27"/>
      <c r="E1639" s="28"/>
      <c r="F1639" s="28"/>
      <c r="I1639" s="28" t="str">
        <f aca="false">IF(A1639="","",D1639*E1639)</f>
        <v/>
      </c>
      <c r="J1639" s="28" t="str">
        <f aca="false">IF(A1639="","",D1639*F1639)</f>
        <v/>
      </c>
      <c r="K1639" s="0" t="str">
        <f aca="false">IF(A1639="","",YEAR(A1639))</f>
        <v/>
      </c>
      <c r="L1639" s="0" t="str">
        <f aca="false">IF(A1639="","",MONTH(A1639))</f>
        <v/>
      </c>
    </row>
    <row r="1640" customFormat="false" ht="15" hidden="false" customHeight="false" outlineLevel="0" collapsed="false">
      <c r="A1640" s="27"/>
      <c r="E1640" s="28"/>
      <c r="F1640" s="28"/>
      <c r="I1640" s="28" t="str">
        <f aca="false">IF(A1640="","",D1640*E1640)</f>
        <v/>
      </c>
      <c r="J1640" s="28" t="str">
        <f aca="false">IF(A1640="","",D1640*F1640)</f>
        <v/>
      </c>
      <c r="K1640" s="0" t="str">
        <f aca="false">IF(A1640="","",YEAR(A1640))</f>
        <v/>
      </c>
      <c r="L1640" s="0" t="str">
        <f aca="false">IF(A1640="","",MONTH(A1640))</f>
        <v/>
      </c>
    </row>
    <row r="1641" customFormat="false" ht="15" hidden="false" customHeight="false" outlineLevel="0" collapsed="false">
      <c r="A1641" s="27"/>
      <c r="E1641" s="28"/>
      <c r="F1641" s="28"/>
      <c r="I1641" s="28" t="str">
        <f aca="false">IF(A1641="","",D1641*E1641)</f>
        <v/>
      </c>
      <c r="J1641" s="28" t="str">
        <f aca="false">IF(A1641="","",D1641*F1641)</f>
        <v/>
      </c>
      <c r="K1641" s="0" t="str">
        <f aca="false">IF(A1641="","",YEAR(A1641))</f>
        <v/>
      </c>
      <c r="L1641" s="0" t="str">
        <f aca="false">IF(A1641="","",MONTH(A1641))</f>
        <v/>
      </c>
    </row>
    <row r="1642" customFormat="false" ht="15" hidden="false" customHeight="false" outlineLevel="0" collapsed="false">
      <c r="A1642" s="27"/>
      <c r="E1642" s="28"/>
      <c r="F1642" s="28"/>
      <c r="I1642" s="28" t="str">
        <f aca="false">IF(A1642="","",D1642*E1642)</f>
        <v/>
      </c>
      <c r="J1642" s="28" t="str">
        <f aca="false">IF(A1642="","",D1642*F1642)</f>
        <v/>
      </c>
      <c r="K1642" s="0" t="str">
        <f aca="false">IF(A1642="","",YEAR(A1642))</f>
        <v/>
      </c>
      <c r="L1642" s="0" t="str">
        <f aca="false">IF(A1642="","",MONTH(A1642))</f>
        <v/>
      </c>
    </row>
    <row r="1643" customFormat="false" ht="15" hidden="false" customHeight="false" outlineLevel="0" collapsed="false">
      <c r="A1643" s="27"/>
      <c r="E1643" s="28"/>
      <c r="F1643" s="28"/>
      <c r="I1643" s="28" t="str">
        <f aca="false">IF(A1643="","",D1643*E1643)</f>
        <v/>
      </c>
      <c r="J1643" s="28" t="str">
        <f aca="false">IF(A1643="","",D1643*F1643)</f>
        <v/>
      </c>
      <c r="K1643" s="0" t="str">
        <f aca="false">IF(A1643="","",YEAR(A1643))</f>
        <v/>
      </c>
      <c r="L1643" s="0" t="str">
        <f aca="false">IF(A1643="","",MONTH(A1643))</f>
        <v/>
      </c>
    </row>
    <row r="1644" customFormat="false" ht="15" hidden="false" customHeight="false" outlineLevel="0" collapsed="false">
      <c r="A1644" s="27"/>
      <c r="E1644" s="28"/>
      <c r="F1644" s="28"/>
      <c r="I1644" s="28" t="str">
        <f aca="false">IF(A1644="","",D1644*E1644)</f>
        <v/>
      </c>
      <c r="J1644" s="28" t="str">
        <f aca="false">IF(A1644="","",D1644*F1644)</f>
        <v/>
      </c>
      <c r="K1644" s="0" t="str">
        <f aca="false">IF(A1644="","",YEAR(A1644))</f>
        <v/>
      </c>
      <c r="L1644" s="0" t="str">
        <f aca="false">IF(A1644="","",MONTH(A1644))</f>
        <v/>
      </c>
    </row>
    <row r="1645" customFormat="false" ht="15" hidden="false" customHeight="false" outlineLevel="0" collapsed="false">
      <c r="A1645" s="27"/>
      <c r="E1645" s="28"/>
      <c r="F1645" s="28"/>
      <c r="I1645" s="28" t="str">
        <f aca="false">IF(A1645="","",D1645*E1645)</f>
        <v/>
      </c>
      <c r="J1645" s="28" t="str">
        <f aca="false">IF(A1645="","",D1645*F1645)</f>
        <v/>
      </c>
      <c r="K1645" s="0" t="str">
        <f aca="false">IF(A1645="","",YEAR(A1645))</f>
        <v/>
      </c>
      <c r="L1645" s="0" t="str">
        <f aca="false">IF(A1645="","",MONTH(A1645))</f>
        <v/>
      </c>
    </row>
    <row r="1646" customFormat="false" ht="15" hidden="false" customHeight="false" outlineLevel="0" collapsed="false">
      <c r="A1646" s="27"/>
      <c r="E1646" s="28"/>
      <c r="F1646" s="28"/>
      <c r="I1646" s="28" t="str">
        <f aca="false">IF(A1646="","",D1646*E1646)</f>
        <v/>
      </c>
      <c r="J1646" s="28" t="str">
        <f aca="false">IF(A1646="","",D1646*F1646)</f>
        <v/>
      </c>
      <c r="K1646" s="0" t="str">
        <f aca="false">IF(A1646="","",YEAR(A1646))</f>
        <v/>
      </c>
      <c r="L1646" s="0" t="str">
        <f aca="false">IF(A1646="","",MONTH(A1646))</f>
        <v/>
      </c>
    </row>
    <row r="1647" customFormat="false" ht="15" hidden="false" customHeight="false" outlineLevel="0" collapsed="false">
      <c r="A1647" s="27"/>
      <c r="E1647" s="28"/>
      <c r="F1647" s="28"/>
      <c r="I1647" s="28" t="str">
        <f aca="false">IF(A1647="","",D1647*E1647)</f>
        <v/>
      </c>
      <c r="J1647" s="28" t="str">
        <f aca="false">IF(A1647="","",D1647*F1647)</f>
        <v/>
      </c>
      <c r="K1647" s="0" t="str">
        <f aca="false">IF(A1647="","",YEAR(A1647))</f>
        <v/>
      </c>
      <c r="L1647" s="0" t="str">
        <f aca="false">IF(A1647="","",MONTH(A1647))</f>
        <v/>
      </c>
    </row>
    <row r="1648" customFormat="false" ht="15" hidden="false" customHeight="false" outlineLevel="0" collapsed="false">
      <c r="A1648" s="27"/>
      <c r="E1648" s="28"/>
      <c r="F1648" s="28"/>
      <c r="I1648" s="28" t="str">
        <f aca="false">IF(A1648="","",D1648*E1648)</f>
        <v/>
      </c>
      <c r="J1648" s="28" t="str">
        <f aca="false">IF(A1648="","",D1648*F1648)</f>
        <v/>
      </c>
      <c r="K1648" s="0" t="str">
        <f aca="false">IF(A1648="","",YEAR(A1648))</f>
        <v/>
      </c>
      <c r="L1648" s="0" t="str">
        <f aca="false">IF(A1648="","",MONTH(A1648))</f>
        <v/>
      </c>
    </row>
    <row r="1649" customFormat="false" ht="15" hidden="false" customHeight="false" outlineLevel="0" collapsed="false">
      <c r="A1649" s="27"/>
      <c r="E1649" s="28"/>
      <c r="F1649" s="28"/>
      <c r="I1649" s="28" t="str">
        <f aca="false">IF(A1649="","",D1649*E1649)</f>
        <v/>
      </c>
      <c r="J1649" s="28" t="str">
        <f aca="false">IF(A1649="","",D1649*F1649)</f>
        <v/>
      </c>
      <c r="K1649" s="0" t="str">
        <f aca="false">IF(A1649="","",YEAR(A1649))</f>
        <v/>
      </c>
      <c r="L1649" s="0" t="str">
        <f aca="false">IF(A1649="","",MONTH(A1649))</f>
        <v/>
      </c>
    </row>
    <row r="1650" customFormat="false" ht="15" hidden="false" customHeight="false" outlineLevel="0" collapsed="false">
      <c r="A1650" s="27"/>
      <c r="E1650" s="28"/>
      <c r="F1650" s="28"/>
      <c r="I1650" s="28" t="str">
        <f aca="false">IF(A1650="","",D1650*E1650)</f>
        <v/>
      </c>
      <c r="J1650" s="28" t="str">
        <f aca="false">IF(A1650="","",D1650*F1650)</f>
        <v/>
      </c>
      <c r="K1650" s="0" t="str">
        <f aca="false">IF(A1650="","",YEAR(A1650))</f>
        <v/>
      </c>
      <c r="L1650" s="0" t="str">
        <f aca="false">IF(A1650="","",MONTH(A1650))</f>
        <v/>
      </c>
    </row>
    <row r="1651" customFormat="false" ht="15" hidden="false" customHeight="false" outlineLevel="0" collapsed="false">
      <c r="A1651" s="27"/>
      <c r="E1651" s="28"/>
      <c r="F1651" s="28"/>
      <c r="I1651" s="28" t="str">
        <f aca="false">IF(A1651="","",D1651*E1651)</f>
        <v/>
      </c>
      <c r="J1651" s="28" t="str">
        <f aca="false">IF(A1651="","",D1651*F1651)</f>
        <v/>
      </c>
      <c r="K1651" s="0" t="str">
        <f aca="false">IF(A1651="","",YEAR(A1651))</f>
        <v/>
      </c>
      <c r="L1651" s="0" t="str">
        <f aca="false">IF(A1651="","",MONTH(A1651))</f>
        <v/>
      </c>
    </row>
    <row r="1652" customFormat="false" ht="15" hidden="false" customHeight="false" outlineLevel="0" collapsed="false">
      <c r="A1652" s="27"/>
      <c r="E1652" s="28"/>
      <c r="F1652" s="28"/>
      <c r="I1652" s="28" t="str">
        <f aca="false">IF(A1652="","",D1652*E1652)</f>
        <v/>
      </c>
      <c r="J1652" s="28" t="str">
        <f aca="false">IF(A1652="","",D1652*F1652)</f>
        <v/>
      </c>
      <c r="K1652" s="0" t="str">
        <f aca="false">IF(A1652="","",YEAR(A1652))</f>
        <v/>
      </c>
      <c r="L1652" s="0" t="str">
        <f aca="false">IF(A1652="","",MONTH(A1652))</f>
        <v/>
      </c>
    </row>
    <row r="1653" customFormat="false" ht="15" hidden="false" customHeight="false" outlineLevel="0" collapsed="false">
      <c r="A1653" s="27"/>
      <c r="E1653" s="28"/>
      <c r="F1653" s="28"/>
      <c r="I1653" s="28" t="str">
        <f aca="false">IF(A1653="","",D1653*E1653)</f>
        <v/>
      </c>
      <c r="J1653" s="28" t="str">
        <f aca="false">IF(A1653="","",D1653*F1653)</f>
        <v/>
      </c>
      <c r="K1653" s="0" t="str">
        <f aca="false">IF(A1653="","",YEAR(A1653))</f>
        <v/>
      </c>
      <c r="L1653" s="0" t="str">
        <f aca="false">IF(A1653="","",MONTH(A1653))</f>
        <v/>
      </c>
    </row>
    <row r="1654" customFormat="false" ht="15" hidden="false" customHeight="false" outlineLevel="0" collapsed="false">
      <c r="A1654" s="27"/>
      <c r="E1654" s="28"/>
      <c r="F1654" s="28"/>
      <c r="I1654" s="28" t="str">
        <f aca="false">IF(A1654="","",D1654*E1654)</f>
        <v/>
      </c>
      <c r="J1654" s="28" t="str">
        <f aca="false">IF(A1654="","",D1654*F1654)</f>
        <v/>
      </c>
      <c r="K1654" s="0" t="str">
        <f aca="false">IF(A1654="","",YEAR(A1654))</f>
        <v/>
      </c>
      <c r="L1654" s="0" t="str">
        <f aca="false">IF(A1654="","",MONTH(A1654))</f>
        <v/>
      </c>
    </row>
    <row r="1655" customFormat="false" ht="15" hidden="false" customHeight="false" outlineLevel="0" collapsed="false">
      <c r="A1655" s="27"/>
      <c r="E1655" s="28"/>
      <c r="F1655" s="28"/>
      <c r="I1655" s="28" t="str">
        <f aca="false">IF(A1655="","",D1655*E1655)</f>
        <v/>
      </c>
      <c r="J1655" s="28" t="str">
        <f aca="false">IF(A1655="","",D1655*F1655)</f>
        <v/>
      </c>
      <c r="K1655" s="0" t="str">
        <f aca="false">IF(A1655="","",YEAR(A1655))</f>
        <v/>
      </c>
      <c r="L1655" s="0" t="str">
        <f aca="false">IF(A1655="","",MONTH(A1655))</f>
        <v/>
      </c>
    </row>
    <row r="1656" customFormat="false" ht="15" hidden="false" customHeight="false" outlineLevel="0" collapsed="false">
      <c r="A1656" s="27"/>
      <c r="E1656" s="28"/>
      <c r="F1656" s="28"/>
      <c r="I1656" s="28" t="str">
        <f aca="false">IF(A1656="","",D1656*E1656)</f>
        <v/>
      </c>
      <c r="J1656" s="28" t="str">
        <f aca="false">IF(A1656="","",D1656*F1656)</f>
        <v/>
      </c>
      <c r="K1656" s="0" t="str">
        <f aca="false">IF(A1656="","",YEAR(A1656))</f>
        <v/>
      </c>
      <c r="L1656" s="0" t="str">
        <f aca="false">IF(A1656="","",MONTH(A1656))</f>
        <v/>
      </c>
    </row>
    <row r="1657" customFormat="false" ht="15" hidden="false" customHeight="false" outlineLevel="0" collapsed="false">
      <c r="A1657" s="27"/>
      <c r="E1657" s="28"/>
      <c r="F1657" s="28"/>
      <c r="I1657" s="28" t="str">
        <f aca="false">IF(A1657="","",D1657*E1657)</f>
        <v/>
      </c>
      <c r="J1657" s="28" t="str">
        <f aca="false">IF(A1657="","",D1657*F1657)</f>
        <v/>
      </c>
      <c r="K1657" s="0" t="str">
        <f aca="false">IF(A1657="","",YEAR(A1657))</f>
        <v/>
      </c>
      <c r="L1657" s="0" t="str">
        <f aca="false">IF(A1657="","",MONTH(A1657))</f>
        <v/>
      </c>
    </row>
    <row r="1658" customFormat="false" ht="15" hidden="false" customHeight="false" outlineLevel="0" collapsed="false">
      <c r="A1658" s="27"/>
      <c r="E1658" s="28"/>
      <c r="F1658" s="28"/>
      <c r="I1658" s="28" t="str">
        <f aca="false">IF(A1658="","",D1658*E1658)</f>
        <v/>
      </c>
      <c r="J1658" s="28" t="str">
        <f aca="false">IF(A1658="","",D1658*F1658)</f>
        <v/>
      </c>
      <c r="K1658" s="0" t="str">
        <f aca="false">IF(A1658="","",YEAR(A1658))</f>
        <v/>
      </c>
      <c r="L1658" s="0" t="str">
        <f aca="false">IF(A1658="","",MONTH(A1658))</f>
        <v/>
      </c>
    </row>
    <row r="1659" customFormat="false" ht="15" hidden="false" customHeight="false" outlineLevel="0" collapsed="false">
      <c r="A1659" s="27"/>
      <c r="E1659" s="28"/>
      <c r="F1659" s="28"/>
      <c r="I1659" s="28" t="str">
        <f aca="false">IF(A1659="","",D1659*E1659)</f>
        <v/>
      </c>
      <c r="J1659" s="28" t="str">
        <f aca="false">IF(A1659="","",D1659*F1659)</f>
        <v/>
      </c>
      <c r="K1659" s="0" t="str">
        <f aca="false">IF(A1659="","",YEAR(A1659))</f>
        <v/>
      </c>
      <c r="L1659" s="0" t="str">
        <f aca="false">IF(A1659="","",MONTH(A1659))</f>
        <v/>
      </c>
    </row>
    <row r="1660" customFormat="false" ht="15" hidden="false" customHeight="false" outlineLevel="0" collapsed="false">
      <c r="A1660" s="27"/>
      <c r="E1660" s="28"/>
      <c r="F1660" s="28"/>
      <c r="I1660" s="28" t="str">
        <f aca="false">IF(A1660="","",D1660*E1660)</f>
        <v/>
      </c>
      <c r="J1660" s="28" t="str">
        <f aca="false">IF(A1660="","",D1660*F1660)</f>
        <v/>
      </c>
      <c r="K1660" s="0" t="str">
        <f aca="false">IF(A1660="","",YEAR(A1660))</f>
        <v/>
      </c>
      <c r="L1660" s="0" t="str">
        <f aca="false">IF(A1660="","",MONTH(A1660))</f>
        <v/>
      </c>
    </row>
    <row r="1661" customFormat="false" ht="15" hidden="false" customHeight="false" outlineLevel="0" collapsed="false">
      <c r="A1661" s="27"/>
      <c r="E1661" s="28"/>
      <c r="F1661" s="28"/>
      <c r="I1661" s="28" t="str">
        <f aca="false">IF(A1661="","",D1661*E1661)</f>
        <v/>
      </c>
      <c r="J1661" s="28" t="str">
        <f aca="false">IF(A1661="","",D1661*F1661)</f>
        <v/>
      </c>
      <c r="K1661" s="0" t="str">
        <f aca="false">IF(A1661="","",YEAR(A1661))</f>
        <v/>
      </c>
      <c r="L1661" s="0" t="str">
        <f aca="false">IF(A1661="","",MONTH(A1661))</f>
        <v/>
      </c>
    </row>
    <row r="1662" customFormat="false" ht="15" hidden="false" customHeight="false" outlineLevel="0" collapsed="false">
      <c r="A1662" s="27"/>
      <c r="E1662" s="28"/>
      <c r="F1662" s="28"/>
      <c r="I1662" s="28" t="str">
        <f aca="false">IF(A1662="","",D1662*E1662)</f>
        <v/>
      </c>
      <c r="J1662" s="28" t="str">
        <f aca="false">IF(A1662="","",D1662*F1662)</f>
        <v/>
      </c>
      <c r="K1662" s="0" t="str">
        <f aca="false">IF(A1662="","",YEAR(A1662))</f>
        <v/>
      </c>
      <c r="L1662" s="0" t="str">
        <f aca="false">IF(A1662="","",MONTH(A1662))</f>
        <v/>
      </c>
    </row>
    <row r="1663" customFormat="false" ht="15" hidden="false" customHeight="false" outlineLevel="0" collapsed="false">
      <c r="A1663" s="27"/>
      <c r="E1663" s="28"/>
      <c r="F1663" s="28"/>
      <c r="I1663" s="28" t="str">
        <f aca="false">IF(A1663="","",D1663*E1663)</f>
        <v/>
      </c>
      <c r="J1663" s="28" t="str">
        <f aca="false">IF(A1663="","",D1663*F1663)</f>
        <v/>
      </c>
      <c r="K1663" s="0" t="str">
        <f aca="false">IF(A1663="","",YEAR(A1663))</f>
        <v/>
      </c>
      <c r="L1663" s="0" t="str">
        <f aca="false">IF(A1663="","",MONTH(A1663))</f>
        <v/>
      </c>
    </row>
    <row r="1664" customFormat="false" ht="15" hidden="false" customHeight="false" outlineLevel="0" collapsed="false">
      <c r="A1664" s="27"/>
      <c r="E1664" s="28"/>
      <c r="F1664" s="28"/>
      <c r="I1664" s="28" t="str">
        <f aca="false">IF(A1664="","",D1664*E1664)</f>
        <v/>
      </c>
      <c r="J1664" s="28" t="str">
        <f aca="false">IF(A1664="","",D1664*F1664)</f>
        <v/>
      </c>
      <c r="K1664" s="0" t="str">
        <f aca="false">IF(A1664="","",YEAR(A1664))</f>
        <v/>
      </c>
      <c r="L1664" s="0" t="str">
        <f aca="false">IF(A1664="","",MONTH(A1664))</f>
        <v/>
      </c>
    </row>
    <row r="1665" customFormat="false" ht="15" hidden="false" customHeight="false" outlineLevel="0" collapsed="false">
      <c r="A1665" s="27"/>
      <c r="E1665" s="28"/>
      <c r="F1665" s="28"/>
      <c r="I1665" s="28" t="str">
        <f aca="false">IF(A1665="","",D1665*E1665)</f>
        <v/>
      </c>
      <c r="J1665" s="28" t="str">
        <f aca="false">IF(A1665="","",D1665*F1665)</f>
        <v/>
      </c>
      <c r="K1665" s="0" t="str">
        <f aca="false">IF(A1665="","",YEAR(A1665))</f>
        <v/>
      </c>
      <c r="L1665" s="0" t="str">
        <f aca="false">IF(A1665="","",MONTH(A1665))</f>
        <v/>
      </c>
    </row>
    <row r="1666" customFormat="false" ht="15" hidden="false" customHeight="false" outlineLevel="0" collapsed="false">
      <c r="A1666" s="27"/>
      <c r="E1666" s="28"/>
      <c r="F1666" s="28"/>
      <c r="I1666" s="28" t="str">
        <f aca="false">IF(A1666="","",D1666*E1666)</f>
        <v/>
      </c>
      <c r="J1666" s="28" t="str">
        <f aca="false">IF(A1666="","",D1666*F1666)</f>
        <v/>
      </c>
      <c r="K1666" s="0" t="str">
        <f aca="false">IF(A1666="","",YEAR(A1666))</f>
        <v/>
      </c>
      <c r="L1666" s="0" t="str">
        <f aca="false">IF(A1666="","",MONTH(A1666))</f>
        <v/>
      </c>
    </row>
    <row r="1667" customFormat="false" ht="15" hidden="false" customHeight="false" outlineLevel="0" collapsed="false">
      <c r="A1667" s="27"/>
      <c r="E1667" s="28"/>
      <c r="F1667" s="28"/>
      <c r="I1667" s="28" t="str">
        <f aca="false">IF(A1667="","",D1667*E1667)</f>
        <v/>
      </c>
      <c r="J1667" s="28" t="str">
        <f aca="false">IF(A1667="","",D1667*F1667)</f>
        <v/>
      </c>
      <c r="K1667" s="0" t="str">
        <f aca="false">IF(A1667="","",YEAR(A1667))</f>
        <v/>
      </c>
      <c r="L1667" s="0" t="str">
        <f aca="false">IF(A1667="","",MONTH(A1667))</f>
        <v/>
      </c>
    </row>
    <row r="1668" customFormat="false" ht="15" hidden="false" customHeight="false" outlineLevel="0" collapsed="false">
      <c r="A1668" s="27"/>
      <c r="E1668" s="28"/>
      <c r="F1668" s="28"/>
      <c r="I1668" s="28" t="str">
        <f aca="false">IF(A1668="","",D1668*E1668)</f>
        <v/>
      </c>
      <c r="J1668" s="28" t="str">
        <f aca="false">IF(A1668="","",D1668*F1668)</f>
        <v/>
      </c>
      <c r="K1668" s="0" t="str">
        <f aca="false">IF(A1668="","",YEAR(A1668))</f>
        <v/>
      </c>
      <c r="L1668" s="0" t="str">
        <f aca="false">IF(A1668="","",MONTH(A1668))</f>
        <v/>
      </c>
    </row>
    <row r="1669" customFormat="false" ht="15" hidden="false" customHeight="false" outlineLevel="0" collapsed="false">
      <c r="A1669" s="27"/>
      <c r="E1669" s="28"/>
      <c r="F1669" s="28"/>
      <c r="I1669" s="28" t="str">
        <f aca="false">IF(A1669="","",D1669*E1669)</f>
        <v/>
      </c>
      <c r="J1669" s="28" t="str">
        <f aca="false">IF(A1669="","",D1669*F1669)</f>
        <v/>
      </c>
      <c r="K1669" s="0" t="str">
        <f aca="false">IF(A1669="","",YEAR(A1669))</f>
        <v/>
      </c>
      <c r="L1669" s="0" t="str">
        <f aca="false">IF(A1669="","",MONTH(A1669))</f>
        <v/>
      </c>
    </row>
    <row r="1670" customFormat="false" ht="15" hidden="false" customHeight="false" outlineLevel="0" collapsed="false">
      <c r="A1670" s="27"/>
      <c r="E1670" s="28"/>
      <c r="F1670" s="28"/>
      <c r="I1670" s="28" t="str">
        <f aca="false">IF(A1670="","",D1670*E1670)</f>
        <v/>
      </c>
      <c r="J1670" s="28" t="str">
        <f aca="false">IF(A1670="","",D1670*F1670)</f>
        <v/>
      </c>
      <c r="K1670" s="0" t="str">
        <f aca="false">IF(A1670="","",YEAR(A1670))</f>
        <v/>
      </c>
      <c r="L1670" s="0" t="str">
        <f aca="false">IF(A1670="","",MONTH(A1670))</f>
        <v/>
      </c>
    </row>
    <row r="1671" customFormat="false" ht="15" hidden="false" customHeight="false" outlineLevel="0" collapsed="false">
      <c r="A1671" s="27"/>
      <c r="E1671" s="28"/>
      <c r="F1671" s="28"/>
      <c r="I1671" s="28" t="str">
        <f aca="false">IF(A1671="","",D1671*E1671)</f>
        <v/>
      </c>
      <c r="J1671" s="28" t="str">
        <f aca="false">IF(A1671="","",D1671*F1671)</f>
        <v/>
      </c>
      <c r="K1671" s="0" t="str">
        <f aca="false">IF(A1671="","",YEAR(A1671))</f>
        <v/>
      </c>
      <c r="L1671" s="0" t="str">
        <f aca="false">IF(A1671="","",MONTH(A1671))</f>
        <v/>
      </c>
    </row>
    <row r="1672" customFormat="false" ht="15" hidden="false" customHeight="false" outlineLevel="0" collapsed="false">
      <c r="A1672" s="27"/>
      <c r="E1672" s="28"/>
      <c r="F1672" s="28"/>
      <c r="I1672" s="28" t="str">
        <f aca="false">IF(A1672="","",D1672*E1672)</f>
        <v/>
      </c>
      <c r="J1672" s="28" t="str">
        <f aca="false">IF(A1672="","",D1672*F1672)</f>
        <v/>
      </c>
      <c r="K1672" s="0" t="str">
        <f aca="false">IF(A1672="","",YEAR(A1672))</f>
        <v/>
      </c>
      <c r="L1672" s="0" t="str">
        <f aca="false">IF(A1672="","",MONTH(A1672))</f>
        <v/>
      </c>
    </row>
    <row r="1673" customFormat="false" ht="15" hidden="false" customHeight="false" outlineLevel="0" collapsed="false">
      <c r="A1673" s="27"/>
      <c r="E1673" s="28"/>
      <c r="F1673" s="28"/>
      <c r="I1673" s="28" t="str">
        <f aca="false">IF(A1673="","",D1673*E1673)</f>
        <v/>
      </c>
      <c r="J1673" s="28" t="str">
        <f aca="false">IF(A1673="","",D1673*F1673)</f>
        <v/>
      </c>
      <c r="K1673" s="0" t="str">
        <f aca="false">IF(A1673="","",YEAR(A1673))</f>
        <v/>
      </c>
      <c r="L1673" s="0" t="str">
        <f aca="false">IF(A1673="","",MONTH(A1673))</f>
        <v/>
      </c>
    </row>
    <row r="1674" customFormat="false" ht="15" hidden="false" customHeight="false" outlineLevel="0" collapsed="false">
      <c r="A1674" s="27"/>
      <c r="E1674" s="28"/>
      <c r="F1674" s="28"/>
      <c r="I1674" s="28" t="str">
        <f aca="false">IF(A1674="","",D1674*E1674)</f>
        <v/>
      </c>
      <c r="J1674" s="28" t="str">
        <f aca="false">IF(A1674="","",D1674*F1674)</f>
        <v/>
      </c>
      <c r="K1674" s="0" t="str">
        <f aca="false">IF(A1674="","",YEAR(A1674))</f>
        <v/>
      </c>
      <c r="L1674" s="0" t="str">
        <f aca="false">IF(A1674="","",MONTH(A1674))</f>
        <v/>
      </c>
    </row>
    <row r="1675" customFormat="false" ht="15" hidden="false" customHeight="false" outlineLevel="0" collapsed="false">
      <c r="A1675" s="27"/>
      <c r="E1675" s="28"/>
      <c r="F1675" s="28"/>
      <c r="I1675" s="28" t="str">
        <f aca="false">IF(A1675="","",D1675*E1675)</f>
        <v/>
      </c>
      <c r="J1675" s="28" t="str">
        <f aca="false">IF(A1675="","",D1675*F1675)</f>
        <v/>
      </c>
      <c r="K1675" s="0" t="str">
        <f aca="false">IF(A1675="","",YEAR(A1675))</f>
        <v/>
      </c>
      <c r="L1675" s="0" t="str">
        <f aca="false">IF(A1675="","",MONTH(A1675))</f>
        <v/>
      </c>
    </row>
    <row r="1676" customFormat="false" ht="15" hidden="false" customHeight="false" outlineLevel="0" collapsed="false">
      <c r="A1676" s="27"/>
      <c r="E1676" s="28"/>
      <c r="F1676" s="28"/>
      <c r="I1676" s="28" t="str">
        <f aca="false">IF(A1676="","",D1676*E1676)</f>
        <v/>
      </c>
      <c r="J1676" s="28" t="str">
        <f aca="false">IF(A1676="","",D1676*F1676)</f>
        <v/>
      </c>
      <c r="K1676" s="0" t="str">
        <f aca="false">IF(A1676="","",YEAR(A1676))</f>
        <v/>
      </c>
      <c r="L1676" s="0" t="str">
        <f aca="false">IF(A1676="","",MONTH(A1676))</f>
        <v/>
      </c>
    </row>
    <row r="1677" customFormat="false" ht="15" hidden="false" customHeight="false" outlineLevel="0" collapsed="false">
      <c r="A1677" s="27"/>
      <c r="E1677" s="28"/>
      <c r="F1677" s="28"/>
      <c r="I1677" s="28" t="str">
        <f aca="false">IF(A1677="","",D1677*E1677)</f>
        <v/>
      </c>
      <c r="J1677" s="28" t="str">
        <f aca="false">IF(A1677="","",D1677*F1677)</f>
        <v/>
      </c>
      <c r="K1677" s="0" t="str">
        <f aca="false">IF(A1677="","",YEAR(A1677))</f>
        <v/>
      </c>
      <c r="L1677" s="0" t="str">
        <f aca="false">IF(A1677="","",MONTH(A1677))</f>
        <v/>
      </c>
    </row>
    <row r="1678" customFormat="false" ht="15" hidden="false" customHeight="false" outlineLevel="0" collapsed="false">
      <c r="A1678" s="27"/>
      <c r="E1678" s="28"/>
      <c r="F1678" s="28"/>
      <c r="I1678" s="28" t="str">
        <f aca="false">IF(A1678="","",D1678*E1678)</f>
        <v/>
      </c>
      <c r="J1678" s="28" t="str">
        <f aca="false">IF(A1678="","",D1678*F1678)</f>
        <v/>
      </c>
      <c r="K1678" s="0" t="str">
        <f aca="false">IF(A1678="","",YEAR(A1678))</f>
        <v/>
      </c>
      <c r="L1678" s="0" t="str">
        <f aca="false">IF(A1678="","",MONTH(A1678))</f>
        <v/>
      </c>
    </row>
    <row r="1679" customFormat="false" ht="15" hidden="false" customHeight="false" outlineLevel="0" collapsed="false">
      <c r="A1679" s="27"/>
      <c r="E1679" s="28"/>
      <c r="F1679" s="28"/>
      <c r="I1679" s="28" t="str">
        <f aca="false">IF(A1679="","",D1679*E1679)</f>
        <v/>
      </c>
      <c r="J1679" s="28" t="str">
        <f aca="false">IF(A1679="","",D1679*F1679)</f>
        <v/>
      </c>
      <c r="K1679" s="0" t="str">
        <f aca="false">IF(A1679="","",YEAR(A1679))</f>
        <v/>
      </c>
      <c r="L1679" s="0" t="str">
        <f aca="false">IF(A1679="","",MONTH(A1679))</f>
        <v/>
      </c>
    </row>
    <row r="1680" customFormat="false" ht="15" hidden="false" customHeight="false" outlineLevel="0" collapsed="false">
      <c r="A1680" s="27"/>
      <c r="E1680" s="28"/>
      <c r="F1680" s="28"/>
      <c r="I1680" s="28" t="str">
        <f aca="false">IF(A1680="","",D1680*E1680)</f>
        <v/>
      </c>
      <c r="J1680" s="28" t="str">
        <f aca="false">IF(A1680="","",D1680*F1680)</f>
        <v/>
      </c>
      <c r="K1680" s="0" t="str">
        <f aca="false">IF(A1680="","",YEAR(A1680))</f>
        <v/>
      </c>
      <c r="L1680" s="0" t="str">
        <f aca="false">IF(A1680="","",MONTH(A1680))</f>
        <v/>
      </c>
    </row>
    <row r="1681" customFormat="false" ht="15" hidden="false" customHeight="false" outlineLevel="0" collapsed="false">
      <c r="A1681" s="27"/>
      <c r="E1681" s="28"/>
      <c r="F1681" s="28"/>
      <c r="I1681" s="28" t="str">
        <f aca="false">IF(A1681="","",D1681*E1681)</f>
        <v/>
      </c>
      <c r="J1681" s="28" t="str">
        <f aca="false">IF(A1681="","",D1681*F1681)</f>
        <v/>
      </c>
      <c r="K1681" s="0" t="str">
        <f aca="false">IF(A1681="","",YEAR(A1681))</f>
        <v/>
      </c>
      <c r="L1681" s="0" t="str">
        <f aca="false">IF(A1681="","",MONTH(A1681))</f>
        <v/>
      </c>
    </row>
    <row r="1682" customFormat="false" ht="15" hidden="false" customHeight="false" outlineLevel="0" collapsed="false">
      <c r="A1682" s="27"/>
      <c r="E1682" s="28"/>
      <c r="F1682" s="28"/>
      <c r="I1682" s="28" t="str">
        <f aca="false">IF(A1682="","",D1682*E1682)</f>
        <v/>
      </c>
      <c r="J1682" s="28" t="str">
        <f aca="false">IF(A1682="","",D1682*F1682)</f>
        <v/>
      </c>
      <c r="K1682" s="0" t="str">
        <f aca="false">IF(A1682="","",YEAR(A1682))</f>
        <v/>
      </c>
      <c r="L1682" s="0" t="str">
        <f aca="false">IF(A1682="","",MONTH(A1682))</f>
        <v/>
      </c>
    </row>
    <row r="1683" customFormat="false" ht="15" hidden="false" customHeight="false" outlineLevel="0" collapsed="false">
      <c r="A1683" s="27"/>
      <c r="E1683" s="28"/>
      <c r="F1683" s="28"/>
      <c r="I1683" s="28" t="str">
        <f aca="false">IF(A1683="","",D1683*E1683)</f>
        <v/>
      </c>
      <c r="J1683" s="28" t="str">
        <f aca="false">IF(A1683="","",D1683*F1683)</f>
        <v/>
      </c>
      <c r="K1683" s="0" t="str">
        <f aca="false">IF(A1683="","",YEAR(A1683))</f>
        <v/>
      </c>
      <c r="L1683" s="0" t="str">
        <f aca="false">IF(A1683="","",MONTH(A1683))</f>
        <v/>
      </c>
    </row>
    <row r="1684" customFormat="false" ht="15" hidden="false" customHeight="false" outlineLevel="0" collapsed="false">
      <c r="A1684" s="27"/>
      <c r="E1684" s="28"/>
      <c r="F1684" s="28"/>
      <c r="I1684" s="28" t="str">
        <f aca="false">IF(A1684="","",D1684*E1684)</f>
        <v/>
      </c>
      <c r="J1684" s="28" t="str">
        <f aca="false">IF(A1684="","",D1684*F1684)</f>
        <v/>
      </c>
      <c r="K1684" s="0" t="str">
        <f aca="false">IF(A1684="","",YEAR(A1684))</f>
        <v/>
      </c>
      <c r="L1684" s="0" t="str">
        <f aca="false">IF(A1684="","",MONTH(A1684))</f>
        <v/>
      </c>
    </row>
    <row r="1685" customFormat="false" ht="15" hidden="false" customHeight="false" outlineLevel="0" collapsed="false">
      <c r="A1685" s="27"/>
      <c r="E1685" s="28"/>
      <c r="F1685" s="28"/>
      <c r="I1685" s="28" t="str">
        <f aca="false">IF(A1685="","",D1685*E1685)</f>
        <v/>
      </c>
      <c r="J1685" s="28" t="str">
        <f aca="false">IF(A1685="","",D1685*F1685)</f>
        <v/>
      </c>
      <c r="K1685" s="0" t="str">
        <f aca="false">IF(A1685="","",YEAR(A1685))</f>
        <v/>
      </c>
      <c r="L1685" s="0" t="str">
        <f aca="false">IF(A1685="","",MONTH(A1685))</f>
        <v/>
      </c>
    </row>
    <row r="1686" customFormat="false" ht="15" hidden="false" customHeight="false" outlineLevel="0" collapsed="false">
      <c r="A1686" s="27"/>
      <c r="E1686" s="28"/>
      <c r="F1686" s="28"/>
      <c r="I1686" s="28" t="str">
        <f aca="false">IF(A1686="","",D1686*E1686)</f>
        <v/>
      </c>
      <c r="J1686" s="28" t="str">
        <f aca="false">IF(A1686="","",D1686*F1686)</f>
        <v/>
      </c>
      <c r="K1686" s="0" t="str">
        <f aca="false">IF(A1686="","",YEAR(A1686))</f>
        <v/>
      </c>
      <c r="L1686" s="0" t="str">
        <f aca="false">IF(A1686="","",MONTH(A1686))</f>
        <v/>
      </c>
    </row>
    <row r="1687" customFormat="false" ht="15" hidden="false" customHeight="false" outlineLevel="0" collapsed="false">
      <c r="A1687" s="27"/>
      <c r="E1687" s="28"/>
      <c r="F1687" s="28"/>
      <c r="I1687" s="28" t="str">
        <f aca="false">IF(A1687="","",D1687*E1687)</f>
        <v/>
      </c>
      <c r="J1687" s="28" t="str">
        <f aca="false">IF(A1687="","",D1687*F1687)</f>
        <v/>
      </c>
      <c r="K1687" s="0" t="str">
        <f aca="false">IF(A1687="","",YEAR(A1687))</f>
        <v/>
      </c>
      <c r="L1687" s="0" t="str">
        <f aca="false">IF(A1687="","",MONTH(A1687))</f>
        <v/>
      </c>
    </row>
    <row r="1688" customFormat="false" ht="15" hidden="false" customHeight="false" outlineLevel="0" collapsed="false">
      <c r="A1688" s="27"/>
      <c r="E1688" s="28"/>
      <c r="F1688" s="28"/>
      <c r="I1688" s="28" t="str">
        <f aca="false">IF(A1688="","",D1688*E1688)</f>
        <v/>
      </c>
      <c r="J1688" s="28" t="str">
        <f aca="false">IF(A1688="","",D1688*F1688)</f>
        <v/>
      </c>
      <c r="K1688" s="0" t="str">
        <f aca="false">IF(A1688="","",YEAR(A1688))</f>
        <v/>
      </c>
      <c r="L1688" s="0" t="str">
        <f aca="false">IF(A1688="","",MONTH(A1688))</f>
        <v/>
      </c>
    </row>
    <row r="1689" customFormat="false" ht="15" hidden="false" customHeight="false" outlineLevel="0" collapsed="false">
      <c r="A1689" s="27"/>
      <c r="E1689" s="28"/>
      <c r="F1689" s="28"/>
      <c r="I1689" s="28" t="str">
        <f aca="false">IF(A1689="","",D1689*E1689)</f>
        <v/>
      </c>
      <c r="J1689" s="28" t="str">
        <f aca="false">IF(A1689="","",D1689*F1689)</f>
        <v/>
      </c>
      <c r="K1689" s="0" t="str">
        <f aca="false">IF(A1689="","",YEAR(A1689))</f>
        <v/>
      </c>
      <c r="L1689" s="0" t="str">
        <f aca="false">IF(A1689="","",MONTH(A1689))</f>
        <v/>
      </c>
    </row>
    <row r="1690" customFormat="false" ht="15" hidden="false" customHeight="false" outlineLevel="0" collapsed="false">
      <c r="A1690" s="27"/>
      <c r="E1690" s="28"/>
      <c r="F1690" s="28"/>
      <c r="I1690" s="28" t="str">
        <f aca="false">IF(A1690="","",D1690*E1690)</f>
        <v/>
      </c>
      <c r="J1690" s="28" t="str">
        <f aca="false">IF(A1690="","",D1690*F1690)</f>
        <v/>
      </c>
      <c r="K1690" s="0" t="str">
        <f aca="false">IF(A1690="","",YEAR(A1690))</f>
        <v/>
      </c>
      <c r="L1690" s="0" t="str">
        <f aca="false">IF(A1690="","",MONTH(A1690))</f>
        <v/>
      </c>
    </row>
    <row r="1691" customFormat="false" ht="15" hidden="false" customHeight="false" outlineLevel="0" collapsed="false">
      <c r="A1691" s="27"/>
      <c r="E1691" s="28"/>
      <c r="F1691" s="28"/>
      <c r="I1691" s="28" t="str">
        <f aca="false">IF(A1691="","",D1691*E1691)</f>
        <v/>
      </c>
      <c r="J1691" s="28" t="str">
        <f aca="false">IF(A1691="","",D1691*F1691)</f>
        <v/>
      </c>
      <c r="K1691" s="0" t="str">
        <f aca="false">IF(A1691="","",YEAR(A1691))</f>
        <v/>
      </c>
      <c r="L1691" s="0" t="str">
        <f aca="false">IF(A1691="","",MONTH(A1691))</f>
        <v/>
      </c>
    </row>
    <row r="1692" customFormat="false" ht="15" hidden="false" customHeight="false" outlineLevel="0" collapsed="false">
      <c r="A1692" s="27"/>
      <c r="E1692" s="28"/>
      <c r="F1692" s="28"/>
      <c r="I1692" s="28" t="str">
        <f aca="false">IF(A1692="","",D1692*E1692)</f>
        <v/>
      </c>
      <c r="J1692" s="28" t="str">
        <f aca="false">IF(A1692="","",D1692*F1692)</f>
        <v/>
      </c>
      <c r="K1692" s="0" t="str">
        <f aca="false">IF(A1692="","",YEAR(A1692))</f>
        <v/>
      </c>
      <c r="L1692" s="0" t="str">
        <f aca="false">IF(A1692="","",MONTH(A1692))</f>
        <v/>
      </c>
    </row>
    <row r="1693" customFormat="false" ht="15" hidden="false" customHeight="false" outlineLevel="0" collapsed="false">
      <c r="A1693" s="27"/>
      <c r="E1693" s="28"/>
      <c r="F1693" s="28"/>
      <c r="I1693" s="28" t="str">
        <f aca="false">IF(A1693="","",D1693*E1693)</f>
        <v/>
      </c>
      <c r="J1693" s="28" t="str">
        <f aca="false">IF(A1693="","",D1693*F1693)</f>
        <v/>
      </c>
      <c r="K1693" s="0" t="str">
        <f aca="false">IF(A1693="","",YEAR(A1693))</f>
        <v/>
      </c>
      <c r="L1693" s="0" t="str">
        <f aca="false">IF(A1693="","",MONTH(A1693))</f>
        <v/>
      </c>
    </row>
    <row r="1694" customFormat="false" ht="15" hidden="false" customHeight="false" outlineLevel="0" collapsed="false">
      <c r="A1694" s="27"/>
      <c r="E1694" s="28"/>
      <c r="F1694" s="28"/>
      <c r="I1694" s="28" t="str">
        <f aca="false">IF(A1694="","",D1694*E1694)</f>
        <v/>
      </c>
      <c r="J1694" s="28" t="str">
        <f aca="false">IF(A1694="","",D1694*F1694)</f>
        <v/>
      </c>
      <c r="K1694" s="0" t="str">
        <f aca="false">IF(A1694="","",YEAR(A1694))</f>
        <v/>
      </c>
      <c r="L1694" s="0" t="str">
        <f aca="false">IF(A1694="","",MONTH(A1694))</f>
        <v/>
      </c>
    </row>
    <row r="1695" customFormat="false" ht="15" hidden="false" customHeight="false" outlineLevel="0" collapsed="false">
      <c r="A1695" s="27"/>
      <c r="E1695" s="28"/>
      <c r="F1695" s="28"/>
      <c r="I1695" s="28" t="str">
        <f aca="false">IF(A1695="","",D1695*E1695)</f>
        <v/>
      </c>
      <c r="J1695" s="28" t="str">
        <f aca="false">IF(A1695="","",D1695*F1695)</f>
        <v/>
      </c>
      <c r="K1695" s="0" t="str">
        <f aca="false">IF(A1695="","",YEAR(A1695))</f>
        <v/>
      </c>
      <c r="L1695" s="0" t="str">
        <f aca="false">IF(A1695="","",MONTH(A1695))</f>
        <v/>
      </c>
    </row>
    <row r="1696" customFormat="false" ht="15" hidden="false" customHeight="false" outlineLevel="0" collapsed="false">
      <c r="A1696" s="27"/>
      <c r="E1696" s="28"/>
      <c r="F1696" s="28"/>
      <c r="I1696" s="28" t="str">
        <f aca="false">IF(A1696="","",D1696*E1696)</f>
        <v/>
      </c>
      <c r="J1696" s="28" t="str">
        <f aca="false">IF(A1696="","",D1696*F1696)</f>
        <v/>
      </c>
      <c r="K1696" s="0" t="str">
        <f aca="false">IF(A1696="","",YEAR(A1696))</f>
        <v/>
      </c>
      <c r="L1696" s="0" t="str">
        <f aca="false">IF(A1696="","",MONTH(A1696))</f>
        <v/>
      </c>
    </row>
    <row r="1697" customFormat="false" ht="15" hidden="false" customHeight="false" outlineLevel="0" collapsed="false">
      <c r="A1697" s="27"/>
      <c r="E1697" s="28"/>
      <c r="F1697" s="28"/>
      <c r="I1697" s="28" t="str">
        <f aca="false">IF(A1697="","",D1697*E1697)</f>
        <v/>
      </c>
      <c r="J1697" s="28" t="str">
        <f aca="false">IF(A1697="","",D1697*F1697)</f>
        <v/>
      </c>
      <c r="K1697" s="0" t="str">
        <f aca="false">IF(A1697="","",YEAR(A1697))</f>
        <v/>
      </c>
      <c r="L1697" s="0" t="str">
        <f aca="false">IF(A1697="","",MONTH(A1697))</f>
        <v/>
      </c>
    </row>
    <row r="1698" customFormat="false" ht="15" hidden="false" customHeight="false" outlineLevel="0" collapsed="false">
      <c r="A1698" s="27"/>
      <c r="E1698" s="28"/>
      <c r="F1698" s="28"/>
      <c r="I1698" s="28" t="str">
        <f aca="false">IF(A1698="","",D1698*E1698)</f>
        <v/>
      </c>
      <c r="J1698" s="28" t="str">
        <f aca="false">IF(A1698="","",D1698*F1698)</f>
        <v/>
      </c>
      <c r="K1698" s="0" t="str">
        <f aca="false">IF(A1698="","",YEAR(A1698))</f>
        <v/>
      </c>
      <c r="L1698" s="0" t="str">
        <f aca="false">IF(A1698="","",MONTH(A1698))</f>
        <v/>
      </c>
    </row>
    <row r="1699" customFormat="false" ht="15" hidden="false" customHeight="false" outlineLevel="0" collapsed="false">
      <c r="A1699" s="27"/>
      <c r="E1699" s="28"/>
      <c r="F1699" s="28"/>
      <c r="I1699" s="28" t="str">
        <f aca="false">IF(A1699="","",D1699*E1699)</f>
        <v/>
      </c>
      <c r="J1699" s="28" t="str">
        <f aca="false">IF(A1699="","",D1699*F1699)</f>
        <v/>
      </c>
      <c r="K1699" s="0" t="str">
        <f aca="false">IF(A1699="","",YEAR(A1699))</f>
        <v/>
      </c>
      <c r="L1699" s="0" t="str">
        <f aca="false">IF(A1699="","",MONTH(A1699))</f>
        <v/>
      </c>
    </row>
    <row r="1700" customFormat="false" ht="15" hidden="false" customHeight="false" outlineLevel="0" collapsed="false">
      <c r="A1700" s="27"/>
      <c r="E1700" s="28"/>
      <c r="F1700" s="28"/>
      <c r="I1700" s="28" t="str">
        <f aca="false">IF(A1700="","",D1700*E1700)</f>
        <v/>
      </c>
      <c r="J1700" s="28" t="str">
        <f aca="false">IF(A1700="","",D1700*F1700)</f>
        <v/>
      </c>
      <c r="K1700" s="0" t="str">
        <f aca="false">IF(A1700="","",YEAR(A1700))</f>
        <v/>
      </c>
      <c r="L1700" s="0" t="str">
        <f aca="false">IF(A1700="","",MONTH(A1700))</f>
        <v/>
      </c>
    </row>
    <row r="1701" customFormat="false" ht="15" hidden="false" customHeight="false" outlineLevel="0" collapsed="false">
      <c r="A1701" s="27"/>
      <c r="E1701" s="28"/>
      <c r="F1701" s="28"/>
      <c r="I1701" s="28" t="str">
        <f aca="false">IF(A1701="","",D1701*E1701)</f>
        <v/>
      </c>
      <c r="J1701" s="28" t="str">
        <f aca="false">IF(A1701="","",D1701*F1701)</f>
        <v/>
      </c>
      <c r="K1701" s="0" t="str">
        <f aca="false">IF(A1701="","",YEAR(A1701))</f>
        <v/>
      </c>
      <c r="L1701" s="0" t="str">
        <f aca="false">IF(A1701="","",MONTH(A1701))</f>
        <v/>
      </c>
    </row>
    <row r="1702" customFormat="false" ht="15" hidden="false" customHeight="false" outlineLevel="0" collapsed="false">
      <c r="A1702" s="27"/>
      <c r="E1702" s="28"/>
      <c r="F1702" s="28"/>
      <c r="I1702" s="28" t="str">
        <f aca="false">IF(A1702="","",D1702*E1702)</f>
        <v/>
      </c>
      <c r="J1702" s="28" t="str">
        <f aca="false">IF(A1702="","",D1702*F1702)</f>
        <v/>
      </c>
      <c r="K1702" s="0" t="str">
        <f aca="false">IF(A1702="","",YEAR(A1702))</f>
        <v/>
      </c>
      <c r="L1702" s="0" t="str">
        <f aca="false">IF(A1702="","",MONTH(A1702))</f>
        <v/>
      </c>
    </row>
    <row r="1703" customFormat="false" ht="15" hidden="false" customHeight="false" outlineLevel="0" collapsed="false">
      <c r="A1703" s="27"/>
      <c r="E1703" s="28"/>
      <c r="F1703" s="28"/>
      <c r="I1703" s="28" t="str">
        <f aca="false">IF(A1703="","",D1703*E1703)</f>
        <v/>
      </c>
      <c r="J1703" s="28" t="str">
        <f aca="false">IF(A1703="","",D1703*F1703)</f>
        <v/>
      </c>
      <c r="K1703" s="0" t="str">
        <f aca="false">IF(A1703="","",YEAR(A1703))</f>
        <v/>
      </c>
      <c r="L1703" s="0" t="str">
        <f aca="false">IF(A1703="","",MONTH(A1703))</f>
        <v/>
      </c>
    </row>
    <row r="1704" customFormat="false" ht="15" hidden="false" customHeight="false" outlineLevel="0" collapsed="false">
      <c r="A1704" s="27"/>
      <c r="E1704" s="28"/>
      <c r="F1704" s="28"/>
      <c r="I1704" s="28" t="str">
        <f aca="false">IF(A1704="","",D1704*E1704)</f>
        <v/>
      </c>
      <c r="J1704" s="28" t="str">
        <f aca="false">IF(A1704="","",D1704*F1704)</f>
        <v/>
      </c>
      <c r="K1704" s="0" t="str">
        <f aca="false">IF(A1704="","",YEAR(A1704))</f>
        <v/>
      </c>
      <c r="L1704" s="0" t="str">
        <f aca="false">IF(A1704="","",MONTH(A1704))</f>
        <v/>
      </c>
    </row>
    <row r="1705" customFormat="false" ht="15" hidden="false" customHeight="false" outlineLevel="0" collapsed="false">
      <c r="A1705" s="27"/>
      <c r="E1705" s="28"/>
      <c r="F1705" s="28"/>
      <c r="I1705" s="28" t="str">
        <f aca="false">IF(A1705="","",D1705*E1705)</f>
        <v/>
      </c>
      <c r="J1705" s="28" t="str">
        <f aca="false">IF(A1705="","",D1705*F1705)</f>
        <v/>
      </c>
      <c r="K1705" s="0" t="str">
        <f aca="false">IF(A1705="","",YEAR(A1705))</f>
        <v/>
      </c>
      <c r="L1705" s="0" t="str">
        <f aca="false">IF(A1705="","",MONTH(A1705))</f>
        <v/>
      </c>
    </row>
    <row r="1706" customFormat="false" ht="15" hidden="false" customHeight="false" outlineLevel="0" collapsed="false">
      <c r="A1706" s="27"/>
      <c r="E1706" s="28"/>
      <c r="F1706" s="28"/>
      <c r="I1706" s="28" t="str">
        <f aca="false">IF(A1706="","",D1706*E1706)</f>
        <v/>
      </c>
      <c r="J1706" s="28" t="str">
        <f aca="false">IF(A1706="","",D1706*F1706)</f>
        <v/>
      </c>
      <c r="K1706" s="0" t="str">
        <f aca="false">IF(A1706="","",YEAR(A1706))</f>
        <v/>
      </c>
      <c r="L1706" s="0" t="str">
        <f aca="false">IF(A1706="","",MONTH(A1706))</f>
        <v/>
      </c>
    </row>
    <row r="1707" customFormat="false" ht="15" hidden="false" customHeight="false" outlineLevel="0" collapsed="false">
      <c r="A1707" s="27"/>
      <c r="E1707" s="28"/>
      <c r="F1707" s="28"/>
      <c r="I1707" s="28" t="str">
        <f aca="false">IF(A1707="","",D1707*E1707)</f>
        <v/>
      </c>
      <c r="J1707" s="28" t="str">
        <f aca="false">IF(A1707="","",D1707*F1707)</f>
        <v/>
      </c>
      <c r="K1707" s="0" t="str">
        <f aca="false">IF(A1707="","",YEAR(A1707))</f>
        <v/>
      </c>
      <c r="L1707" s="0" t="str">
        <f aca="false">IF(A1707="","",MONTH(A1707))</f>
        <v/>
      </c>
    </row>
    <row r="1708" customFormat="false" ht="15" hidden="false" customHeight="false" outlineLevel="0" collapsed="false">
      <c r="A1708" s="27"/>
      <c r="E1708" s="28"/>
      <c r="F1708" s="28"/>
      <c r="I1708" s="28" t="str">
        <f aca="false">IF(A1708="","",D1708*E1708)</f>
        <v/>
      </c>
      <c r="J1708" s="28" t="str">
        <f aca="false">IF(A1708="","",D1708*F1708)</f>
        <v/>
      </c>
      <c r="K1708" s="0" t="str">
        <f aca="false">IF(A1708="","",YEAR(A1708))</f>
        <v/>
      </c>
      <c r="L1708" s="0" t="str">
        <f aca="false">IF(A1708="","",MONTH(A1708))</f>
        <v/>
      </c>
    </row>
    <row r="1709" customFormat="false" ht="15" hidden="false" customHeight="false" outlineLevel="0" collapsed="false">
      <c r="A1709" s="27"/>
      <c r="E1709" s="28"/>
      <c r="F1709" s="28"/>
      <c r="I1709" s="28" t="str">
        <f aca="false">IF(A1709="","",D1709*E1709)</f>
        <v/>
      </c>
      <c r="J1709" s="28" t="str">
        <f aca="false">IF(A1709="","",D1709*F1709)</f>
        <v/>
      </c>
      <c r="K1709" s="0" t="str">
        <f aca="false">IF(A1709="","",YEAR(A1709))</f>
        <v/>
      </c>
      <c r="L1709" s="0" t="str">
        <f aca="false">IF(A1709="","",MONTH(A1709))</f>
        <v/>
      </c>
    </row>
    <row r="1710" customFormat="false" ht="15" hidden="false" customHeight="false" outlineLevel="0" collapsed="false">
      <c r="A1710" s="27"/>
      <c r="E1710" s="28"/>
      <c r="F1710" s="28"/>
      <c r="I1710" s="28" t="str">
        <f aca="false">IF(A1710="","",D1710*E1710)</f>
        <v/>
      </c>
      <c r="J1710" s="28" t="str">
        <f aca="false">IF(A1710="","",D1710*F1710)</f>
        <v/>
      </c>
      <c r="K1710" s="0" t="str">
        <f aca="false">IF(A1710="","",YEAR(A1710))</f>
        <v/>
      </c>
      <c r="L1710" s="0" t="str">
        <f aca="false">IF(A1710="","",MONTH(A1710))</f>
        <v/>
      </c>
    </row>
    <row r="1711" customFormat="false" ht="15" hidden="false" customHeight="false" outlineLevel="0" collapsed="false">
      <c r="A1711" s="27"/>
      <c r="E1711" s="28"/>
      <c r="F1711" s="28"/>
      <c r="I1711" s="28" t="str">
        <f aca="false">IF(A1711="","",D1711*E1711)</f>
        <v/>
      </c>
      <c r="J1711" s="28" t="str">
        <f aca="false">IF(A1711="","",D1711*F1711)</f>
        <v/>
      </c>
      <c r="K1711" s="0" t="str">
        <f aca="false">IF(A1711="","",YEAR(A1711))</f>
        <v/>
      </c>
      <c r="L1711" s="0" t="str">
        <f aca="false">IF(A1711="","",MONTH(A1711))</f>
        <v/>
      </c>
    </row>
    <row r="1712" customFormat="false" ht="15" hidden="false" customHeight="false" outlineLevel="0" collapsed="false">
      <c r="A1712" s="27"/>
      <c r="E1712" s="28"/>
      <c r="F1712" s="28"/>
      <c r="I1712" s="28" t="str">
        <f aca="false">IF(A1712="","",D1712*E1712)</f>
        <v/>
      </c>
      <c r="J1712" s="28" t="str">
        <f aca="false">IF(A1712="","",D1712*F1712)</f>
        <v/>
      </c>
      <c r="K1712" s="0" t="str">
        <f aca="false">IF(A1712="","",YEAR(A1712))</f>
        <v/>
      </c>
      <c r="L1712" s="0" t="str">
        <f aca="false">IF(A1712="","",MONTH(A1712))</f>
        <v/>
      </c>
    </row>
    <row r="1713" customFormat="false" ht="15" hidden="false" customHeight="false" outlineLevel="0" collapsed="false">
      <c r="A1713" s="27"/>
      <c r="E1713" s="28"/>
      <c r="F1713" s="28"/>
      <c r="I1713" s="28" t="str">
        <f aca="false">IF(A1713="","",D1713*E1713)</f>
        <v/>
      </c>
      <c r="J1713" s="28" t="str">
        <f aca="false">IF(A1713="","",D1713*F1713)</f>
        <v/>
      </c>
      <c r="K1713" s="0" t="str">
        <f aca="false">IF(A1713="","",YEAR(A1713))</f>
        <v/>
      </c>
      <c r="L1713" s="0" t="str">
        <f aca="false">IF(A1713="","",MONTH(A1713))</f>
        <v/>
      </c>
    </row>
    <row r="1714" customFormat="false" ht="15" hidden="false" customHeight="false" outlineLevel="0" collapsed="false">
      <c r="A1714" s="27"/>
      <c r="E1714" s="28"/>
      <c r="F1714" s="28"/>
      <c r="I1714" s="28" t="str">
        <f aca="false">IF(A1714="","",D1714*E1714)</f>
        <v/>
      </c>
      <c r="J1714" s="28" t="str">
        <f aca="false">IF(A1714="","",D1714*F1714)</f>
        <v/>
      </c>
      <c r="K1714" s="0" t="str">
        <f aca="false">IF(A1714="","",YEAR(A1714))</f>
        <v/>
      </c>
      <c r="L1714" s="0" t="str">
        <f aca="false">IF(A1714="","",MONTH(A1714))</f>
        <v/>
      </c>
    </row>
    <row r="1715" customFormat="false" ht="15" hidden="false" customHeight="false" outlineLevel="0" collapsed="false">
      <c r="A1715" s="27"/>
      <c r="E1715" s="28"/>
      <c r="F1715" s="28"/>
      <c r="I1715" s="28" t="str">
        <f aca="false">IF(A1715="","",D1715*E1715)</f>
        <v/>
      </c>
      <c r="J1715" s="28" t="str">
        <f aca="false">IF(A1715="","",D1715*F1715)</f>
        <v/>
      </c>
      <c r="K1715" s="0" t="str">
        <f aca="false">IF(A1715="","",YEAR(A1715))</f>
        <v/>
      </c>
      <c r="L1715" s="0" t="str">
        <f aca="false">IF(A1715="","",MONTH(A1715))</f>
        <v/>
      </c>
    </row>
    <row r="1716" customFormat="false" ht="15" hidden="false" customHeight="false" outlineLevel="0" collapsed="false">
      <c r="A1716" s="27"/>
      <c r="E1716" s="28"/>
      <c r="F1716" s="28"/>
      <c r="I1716" s="28" t="str">
        <f aca="false">IF(A1716="","",D1716*E1716)</f>
        <v/>
      </c>
      <c r="J1716" s="28" t="str">
        <f aca="false">IF(A1716="","",D1716*F1716)</f>
        <v/>
      </c>
      <c r="K1716" s="0" t="str">
        <f aca="false">IF(A1716="","",YEAR(A1716))</f>
        <v/>
      </c>
      <c r="L1716" s="0" t="str">
        <f aca="false">IF(A1716="","",MONTH(A1716))</f>
        <v/>
      </c>
    </row>
    <row r="1717" customFormat="false" ht="15" hidden="false" customHeight="false" outlineLevel="0" collapsed="false">
      <c r="A1717" s="27"/>
      <c r="E1717" s="28"/>
      <c r="F1717" s="28"/>
      <c r="I1717" s="28" t="str">
        <f aca="false">IF(A1717="","",D1717*E1717)</f>
        <v/>
      </c>
      <c r="J1717" s="28" t="str">
        <f aca="false">IF(A1717="","",D1717*F1717)</f>
        <v/>
      </c>
      <c r="K1717" s="0" t="str">
        <f aca="false">IF(A1717="","",YEAR(A1717))</f>
        <v/>
      </c>
      <c r="L1717" s="0" t="str">
        <f aca="false">IF(A1717="","",MONTH(A1717))</f>
        <v/>
      </c>
    </row>
    <row r="1718" customFormat="false" ht="15" hidden="false" customHeight="false" outlineLevel="0" collapsed="false">
      <c r="A1718" s="27"/>
      <c r="E1718" s="28"/>
      <c r="F1718" s="28"/>
      <c r="I1718" s="28" t="str">
        <f aca="false">IF(A1718="","",D1718*E1718)</f>
        <v/>
      </c>
      <c r="J1718" s="28" t="str">
        <f aca="false">IF(A1718="","",D1718*F1718)</f>
        <v/>
      </c>
      <c r="K1718" s="0" t="str">
        <f aca="false">IF(A1718="","",YEAR(A1718))</f>
        <v/>
      </c>
      <c r="L1718" s="0" t="str">
        <f aca="false">IF(A1718="","",MONTH(A1718))</f>
        <v/>
      </c>
    </row>
    <row r="1719" customFormat="false" ht="15" hidden="false" customHeight="false" outlineLevel="0" collapsed="false">
      <c r="A1719" s="27"/>
      <c r="E1719" s="28"/>
      <c r="F1719" s="28"/>
      <c r="I1719" s="28" t="str">
        <f aca="false">IF(A1719="","",D1719*E1719)</f>
        <v/>
      </c>
      <c r="J1719" s="28" t="str">
        <f aca="false">IF(A1719="","",D1719*F1719)</f>
        <v/>
      </c>
      <c r="K1719" s="0" t="str">
        <f aca="false">IF(A1719="","",YEAR(A1719))</f>
        <v/>
      </c>
      <c r="L1719" s="0" t="str">
        <f aca="false">IF(A1719="","",MONTH(A1719))</f>
        <v/>
      </c>
    </row>
    <row r="1720" customFormat="false" ht="15" hidden="false" customHeight="false" outlineLevel="0" collapsed="false">
      <c r="A1720" s="27"/>
      <c r="E1720" s="28"/>
      <c r="F1720" s="28"/>
      <c r="I1720" s="28" t="str">
        <f aca="false">IF(A1720="","",D1720*E1720)</f>
        <v/>
      </c>
      <c r="J1720" s="28" t="str">
        <f aca="false">IF(A1720="","",D1720*F1720)</f>
        <v/>
      </c>
      <c r="K1720" s="0" t="str">
        <f aca="false">IF(A1720="","",YEAR(A1720))</f>
        <v/>
      </c>
      <c r="L1720" s="0" t="str">
        <f aca="false">IF(A1720="","",MONTH(A1720))</f>
        <v/>
      </c>
    </row>
    <row r="1721" customFormat="false" ht="15" hidden="false" customHeight="false" outlineLevel="0" collapsed="false">
      <c r="A1721" s="27"/>
      <c r="E1721" s="28"/>
      <c r="F1721" s="28"/>
      <c r="I1721" s="28" t="str">
        <f aca="false">IF(A1721="","",D1721*E1721)</f>
        <v/>
      </c>
      <c r="J1721" s="28" t="str">
        <f aca="false">IF(A1721="","",D1721*F1721)</f>
        <v/>
      </c>
      <c r="K1721" s="0" t="str">
        <f aca="false">IF(A1721="","",YEAR(A1721))</f>
        <v/>
      </c>
      <c r="L1721" s="0" t="str">
        <f aca="false">IF(A1721="","",MONTH(A1721))</f>
        <v/>
      </c>
    </row>
    <row r="1722" customFormat="false" ht="15" hidden="false" customHeight="false" outlineLevel="0" collapsed="false">
      <c r="A1722" s="27"/>
      <c r="E1722" s="28"/>
      <c r="F1722" s="28"/>
      <c r="I1722" s="28" t="str">
        <f aca="false">IF(A1722="","",D1722*E1722)</f>
        <v/>
      </c>
      <c r="J1722" s="28" t="str">
        <f aca="false">IF(A1722="","",D1722*F1722)</f>
        <v/>
      </c>
      <c r="K1722" s="0" t="str">
        <f aca="false">IF(A1722="","",YEAR(A1722))</f>
        <v/>
      </c>
      <c r="L1722" s="0" t="str">
        <f aca="false">IF(A1722="","",MONTH(A1722))</f>
        <v/>
      </c>
    </row>
    <row r="1723" customFormat="false" ht="15" hidden="false" customHeight="false" outlineLevel="0" collapsed="false">
      <c r="A1723" s="27"/>
      <c r="E1723" s="28"/>
      <c r="F1723" s="28"/>
      <c r="I1723" s="28" t="str">
        <f aca="false">IF(A1723="","",D1723*E1723)</f>
        <v/>
      </c>
      <c r="J1723" s="28" t="str">
        <f aca="false">IF(A1723="","",D1723*F1723)</f>
        <v/>
      </c>
      <c r="K1723" s="0" t="str">
        <f aca="false">IF(A1723="","",YEAR(A1723))</f>
        <v/>
      </c>
      <c r="L1723" s="0" t="str">
        <f aca="false">IF(A1723="","",MONTH(A1723))</f>
        <v/>
      </c>
    </row>
    <row r="1724" customFormat="false" ht="15" hidden="false" customHeight="false" outlineLevel="0" collapsed="false">
      <c r="A1724" s="27"/>
      <c r="E1724" s="28"/>
      <c r="F1724" s="28"/>
      <c r="I1724" s="28" t="str">
        <f aca="false">IF(A1724="","",D1724*E1724)</f>
        <v/>
      </c>
      <c r="J1724" s="28" t="str">
        <f aca="false">IF(A1724="","",D1724*F1724)</f>
        <v/>
      </c>
      <c r="K1724" s="0" t="str">
        <f aca="false">IF(A1724="","",YEAR(A1724))</f>
        <v/>
      </c>
      <c r="L1724" s="0" t="str">
        <f aca="false">IF(A1724="","",MONTH(A1724))</f>
        <v/>
      </c>
    </row>
    <row r="1725" customFormat="false" ht="15" hidden="false" customHeight="false" outlineLevel="0" collapsed="false">
      <c r="A1725" s="27"/>
      <c r="E1725" s="28"/>
      <c r="F1725" s="28"/>
      <c r="I1725" s="28" t="str">
        <f aca="false">IF(A1725="","",D1725*E1725)</f>
        <v/>
      </c>
      <c r="J1725" s="28" t="str">
        <f aca="false">IF(A1725="","",D1725*F1725)</f>
        <v/>
      </c>
      <c r="K1725" s="0" t="str">
        <f aca="false">IF(A1725="","",YEAR(A1725))</f>
        <v/>
      </c>
      <c r="L1725" s="0" t="str">
        <f aca="false">IF(A1725="","",MONTH(A1725))</f>
        <v/>
      </c>
    </row>
    <row r="1726" customFormat="false" ht="15" hidden="false" customHeight="false" outlineLevel="0" collapsed="false">
      <c r="A1726" s="27"/>
      <c r="E1726" s="28"/>
      <c r="F1726" s="28"/>
      <c r="I1726" s="28" t="str">
        <f aca="false">IF(A1726="","",D1726*E1726)</f>
        <v/>
      </c>
      <c r="J1726" s="28" t="str">
        <f aca="false">IF(A1726="","",D1726*F1726)</f>
        <v/>
      </c>
      <c r="K1726" s="0" t="str">
        <f aca="false">IF(A1726="","",YEAR(A1726))</f>
        <v/>
      </c>
      <c r="L1726" s="0" t="str">
        <f aca="false">IF(A1726="","",MONTH(A1726))</f>
        <v/>
      </c>
    </row>
    <row r="1727" customFormat="false" ht="15" hidden="false" customHeight="false" outlineLevel="0" collapsed="false">
      <c r="A1727" s="27"/>
      <c r="E1727" s="28"/>
      <c r="F1727" s="28"/>
      <c r="I1727" s="28" t="str">
        <f aca="false">IF(A1727="","",D1727*E1727)</f>
        <v/>
      </c>
      <c r="J1727" s="28" t="str">
        <f aca="false">IF(A1727="","",D1727*F1727)</f>
        <v/>
      </c>
      <c r="K1727" s="0" t="str">
        <f aca="false">IF(A1727="","",YEAR(A1727))</f>
        <v/>
      </c>
      <c r="L1727" s="0" t="str">
        <f aca="false">IF(A1727="","",MONTH(A1727))</f>
        <v/>
      </c>
    </row>
    <row r="1728" customFormat="false" ht="15" hidden="false" customHeight="false" outlineLevel="0" collapsed="false">
      <c r="A1728" s="27"/>
      <c r="E1728" s="28"/>
      <c r="F1728" s="28"/>
      <c r="I1728" s="28" t="str">
        <f aca="false">IF(A1728="","",D1728*E1728)</f>
        <v/>
      </c>
      <c r="J1728" s="28" t="str">
        <f aca="false">IF(A1728="","",D1728*F1728)</f>
        <v/>
      </c>
      <c r="K1728" s="0" t="str">
        <f aca="false">IF(A1728="","",YEAR(A1728))</f>
        <v/>
      </c>
      <c r="L1728" s="0" t="str">
        <f aca="false">IF(A1728="","",MONTH(A1728))</f>
        <v/>
      </c>
    </row>
    <row r="1729" customFormat="false" ht="15" hidden="false" customHeight="false" outlineLevel="0" collapsed="false">
      <c r="A1729" s="27"/>
      <c r="E1729" s="28"/>
      <c r="F1729" s="28"/>
      <c r="I1729" s="28" t="str">
        <f aca="false">IF(A1729="","",D1729*E1729)</f>
        <v/>
      </c>
      <c r="J1729" s="28" t="str">
        <f aca="false">IF(A1729="","",D1729*F1729)</f>
        <v/>
      </c>
      <c r="K1729" s="0" t="str">
        <f aca="false">IF(A1729="","",YEAR(A1729))</f>
        <v/>
      </c>
      <c r="L1729" s="0" t="str">
        <f aca="false">IF(A1729="","",MONTH(A1729))</f>
        <v/>
      </c>
    </row>
    <row r="1730" customFormat="false" ht="15" hidden="false" customHeight="false" outlineLevel="0" collapsed="false">
      <c r="A1730" s="27"/>
      <c r="E1730" s="28"/>
      <c r="F1730" s="28"/>
      <c r="I1730" s="28" t="str">
        <f aca="false">IF(A1730="","",D1730*E1730)</f>
        <v/>
      </c>
      <c r="J1730" s="28" t="str">
        <f aca="false">IF(A1730="","",D1730*F1730)</f>
        <v/>
      </c>
      <c r="K1730" s="0" t="str">
        <f aca="false">IF(A1730="","",YEAR(A1730))</f>
        <v/>
      </c>
      <c r="L1730" s="0" t="str">
        <f aca="false">IF(A1730="","",MONTH(A1730))</f>
        <v/>
      </c>
    </row>
    <row r="1731" customFormat="false" ht="15" hidden="false" customHeight="false" outlineLevel="0" collapsed="false">
      <c r="A1731" s="27"/>
      <c r="E1731" s="28"/>
      <c r="F1731" s="28"/>
      <c r="I1731" s="28" t="str">
        <f aca="false">IF(A1731="","",D1731*E1731)</f>
        <v/>
      </c>
      <c r="J1731" s="28" t="str">
        <f aca="false">IF(A1731="","",D1731*F1731)</f>
        <v/>
      </c>
      <c r="K1731" s="0" t="str">
        <f aca="false">IF(A1731="","",YEAR(A1731))</f>
        <v/>
      </c>
      <c r="L1731" s="0" t="str">
        <f aca="false">IF(A1731="","",MONTH(A1731))</f>
        <v/>
      </c>
    </row>
    <row r="1732" customFormat="false" ht="15" hidden="false" customHeight="false" outlineLevel="0" collapsed="false">
      <c r="A1732" s="27"/>
      <c r="E1732" s="28"/>
      <c r="F1732" s="28"/>
      <c r="I1732" s="28" t="str">
        <f aca="false">IF(A1732="","",D1732*E1732)</f>
        <v/>
      </c>
      <c r="J1732" s="28" t="str">
        <f aca="false">IF(A1732="","",D1732*F1732)</f>
        <v/>
      </c>
      <c r="K1732" s="0" t="str">
        <f aca="false">IF(A1732="","",YEAR(A1732))</f>
        <v/>
      </c>
      <c r="L1732" s="0" t="str">
        <f aca="false">IF(A1732="","",MONTH(A1732))</f>
        <v/>
      </c>
    </row>
    <row r="1733" customFormat="false" ht="15" hidden="false" customHeight="false" outlineLevel="0" collapsed="false">
      <c r="A1733" s="27"/>
      <c r="E1733" s="28"/>
      <c r="F1733" s="28"/>
      <c r="I1733" s="28" t="str">
        <f aca="false">IF(A1733="","",D1733*E1733)</f>
        <v/>
      </c>
      <c r="J1733" s="28" t="str">
        <f aca="false">IF(A1733="","",D1733*F1733)</f>
        <v/>
      </c>
      <c r="K1733" s="0" t="str">
        <f aca="false">IF(A1733="","",YEAR(A1733))</f>
        <v/>
      </c>
      <c r="L1733" s="0" t="str">
        <f aca="false">IF(A1733="","",MONTH(A1733))</f>
        <v/>
      </c>
    </row>
    <row r="1734" customFormat="false" ht="15" hidden="false" customHeight="false" outlineLevel="0" collapsed="false">
      <c r="A1734" s="27"/>
      <c r="E1734" s="28"/>
      <c r="F1734" s="28"/>
      <c r="I1734" s="28" t="str">
        <f aca="false">IF(A1734="","",D1734*E1734)</f>
        <v/>
      </c>
      <c r="J1734" s="28" t="str">
        <f aca="false">IF(A1734="","",D1734*F1734)</f>
        <v/>
      </c>
      <c r="K1734" s="0" t="str">
        <f aca="false">IF(A1734="","",YEAR(A1734))</f>
        <v/>
      </c>
      <c r="L1734" s="0" t="str">
        <f aca="false">IF(A1734="","",MONTH(A1734))</f>
        <v/>
      </c>
    </row>
    <row r="1735" customFormat="false" ht="15" hidden="false" customHeight="false" outlineLevel="0" collapsed="false">
      <c r="A1735" s="27"/>
      <c r="E1735" s="28"/>
      <c r="F1735" s="28"/>
      <c r="I1735" s="28" t="str">
        <f aca="false">IF(A1735="","",D1735*E1735)</f>
        <v/>
      </c>
      <c r="J1735" s="28" t="str">
        <f aca="false">IF(A1735="","",D1735*F1735)</f>
        <v/>
      </c>
      <c r="K1735" s="0" t="str">
        <f aca="false">IF(A1735="","",YEAR(A1735))</f>
        <v/>
      </c>
      <c r="L1735" s="0" t="str">
        <f aca="false">IF(A1735="","",MONTH(A1735))</f>
        <v/>
      </c>
    </row>
    <row r="1736" customFormat="false" ht="15" hidden="false" customHeight="false" outlineLevel="0" collapsed="false">
      <c r="A1736" s="27"/>
      <c r="E1736" s="28"/>
      <c r="F1736" s="28"/>
      <c r="I1736" s="28" t="str">
        <f aca="false">IF(A1736="","",D1736*E1736)</f>
        <v/>
      </c>
      <c r="J1736" s="28" t="str">
        <f aca="false">IF(A1736="","",D1736*F1736)</f>
        <v/>
      </c>
      <c r="K1736" s="0" t="str">
        <f aca="false">IF(A1736="","",YEAR(A1736))</f>
        <v/>
      </c>
      <c r="L1736" s="0" t="str">
        <f aca="false">IF(A1736="","",MONTH(A1736))</f>
        <v/>
      </c>
    </row>
    <row r="1737" customFormat="false" ht="15" hidden="false" customHeight="false" outlineLevel="0" collapsed="false">
      <c r="A1737" s="27"/>
      <c r="E1737" s="28"/>
      <c r="F1737" s="28"/>
      <c r="I1737" s="28" t="str">
        <f aca="false">IF(A1737="","",D1737*E1737)</f>
        <v/>
      </c>
      <c r="J1737" s="28" t="str">
        <f aca="false">IF(A1737="","",D1737*F1737)</f>
        <v/>
      </c>
      <c r="K1737" s="0" t="str">
        <f aca="false">IF(A1737="","",YEAR(A1737))</f>
        <v/>
      </c>
      <c r="L1737" s="0" t="str">
        <f aca="false">IF(A1737="","",MONTH(A1737))</f>
        <v/>
      </c>
    </row>
    <row r="1738" customFormat="false" ht="15" hidden="false" customHeight="false" outlineLevel="0" collapsed="false">
      <c r="A1738" s="27"/>
      <c r="E1738" s="28"/>
      <c r="F1738" s="28"/>
      <c r="I1738" s="28" t="str">
        <f aca="false">IF(A1738="","",D1738*E1738)</f>
        <v/>
      </c>
      <c r="J1738" s="28" t="str">
        <f aca="false">IF(A1738="","",D1738*F1738)</f>
        <v/>
      </c>
      <c r="K1738" s="0" t="str">
        <f aca="false">IF(A1738="","",YEAR(A1738))</f>
        <v/>
      </c>
      <c r="L1738" s="0" t="str">
        <f aca="false">IF(A1738="","",MONTH(A1738))</f>
        <v/>
      </c>
    </row>
    <row r="1739" customFormat="false" ht="15" hidden="false" customHeight="false" outlineLevel="0" collapsed="false">
      <c r="A1739" s="27"/>
      <c r="E1739" s="28"/>
      <c r="F1739" s="28"/>
      <c r="I1739" s="28" t="str">
        <f aca="false">IF(A1739="","",D1739*E1739)</f>
        <v/>
      </c>
      <c r="J1739" s="28" t="str">
        <f aca="false">IF(A1739="","",D1739*F1739)</f>
        <v/>
      </c>
      <c r="K1739" s="0" t="str">
        <f aca="false">IF(A1739="","",YEAR(A1739))</f>
        <v/>
      </c>
      <c r="L1739" s="0" t="str">
        <f aca="false">IF(A1739="","",MONTH(A1739))</f>
        <v/>
      </c>
    </row>
    <row r="1740" customFormat="false" ht="15" hidden="false" customHeight="false" outlineLevel="0" collapsed="false">
      <c r="A1740" s="27"/>
      <c r="E1740" s="28"/>
      <c r="F1740" s="28"/>
      <c r="I1740" s="28" t="str">
        <f aca="false">IF(A1740="","",D1740*E1740)</f>
        <v/>
      </c>
      <c r="J1740" s="28" t="str">
        <f aca="false">IF(A1740="","",D1740*F1740)</f>
        <v/>
      </c>
      <c r="K1740" s="0" t="str">
        <f aca="false">IF(A1740="","",YEAR(A1740))</f>
        <v/>
      </c>
      <c r="L1740" s="0" t="str">
        <f aca="false">IF(A1740="","",MONTH(A1740))</f>
        <v/>
      </c>
    </row>
    <row r="1741" customFormat="false" ht="15" hidden="false" customHeight="false" outlineLevel="0" collapsed="false">
      <c r="A1741" s="27"/>
      <c r="E1741" s="28"/>
      <c r="F1741" s="28"/>
      <c r="I1741" s="28" t="str">
        <f aca="false">IF(A1741="","",D1741*E1741)</f>
        <v/>
      </c>
      <c r="J1741" s="28" t="str">
        <f aca="false">IF(A1741="","",D1741*F1741)</f>
        <v/>
      </c>
      <c r="K1741" s="0" t="str">
        <f aca="false">IF(A1741="","",YEAR(A1741))</f>
        <v/>
      </c>
      <c r="L1741" s="0" t="str">
        <f aca="false">IF(A1741="","",MONTH(A1741))</f>
        <v/>
      </c>
    </row>
    <row r="1742" customFormat="false" ht="15" hidden="false" customHeight="false" outlineLevel="0" collapsed="false">
      <c r="A1742" s="27"/>
      <c r="E1742" s="28"/>
      <c r="F1742" s="28"/>
      <c r="I1742" s="28" t="str">
        <f aca="false">IF(A1742="","",D1742*E1742)</f>
        <v/>
      </c>
      <c r="J1742" s="28" t="str">
        <f aca="false">IF(A1742="","",D1742*F1742)</f>
        <v/>
      </c>
      <c r="K1742" s="0" t="str">
        <f aca="false">IF(A1742="","",YEAR(A1742))</f>
        <v/>
      </c>
      <c r="L1742" s="0" t="str">
        <f aca="false">IF(A1742="","",MONTH(A1742))</f>
        <v/>
      </c>
    </row>
    <row r="1743" customFormat="false" ht="15" hidden="false" customHeight="false" outlineLevel="0" collapsed="false">
      <c r="A1743" s="27"/>
      <c r="E1743" s="28"/>
      <c r="F1743" s="28"/>
      <c r="I1743" s="28" t="str">
        <f aca="false">IF(A1743="","",D1743*E1743)</f>
        <v/>
      </c>
      <c r="J1743" s="28" t="str">
        <f aca="false">IF(A1743="","",D1743*F1743)</f>
        <v/>
      </c>
      <c r="K1743" s="0" t="str">
        <f aca="false">IF(A1743="","",YEAR(A1743))</f>
        <v/>
      </c>
      <c r="L1743" s="0" t="str">
        <f aca="false">IF(A1743="","",MONTH(A1743))</f>
        <v/>
      </c>
    </row>
    <row r="1744" customFormat="false" ht="15" hidden="false" customHeight="false" outlineLevel="0" collapsed="false">
      <c r="A1744" s="27"/>
      <c r="E1744" s="28"/>
      <c r="F1744" s="28"/>
      <c r="I1744" s="28" t="str">
        <f aca="false">IF(A1744="","",D1744*E1744)</f>
        <v/>
      </c>
      <c r="J1744" s="28" t="str">
        <f aca="false">IF(A1744="","",D1744*F1744)</f>
        <v/>
      </c>
      <c r="K1744" s="0" t="str">
        <f aca="false">IF(A1744="","",YEAR(A1744))</f>
        <v/>
      </c>
      <c r="L1744" s="0" t="str">
        <f aca="false">IF(A1744="","",MONTH(A1744))</f>
        <v/>
      </c>
    </row>
    <row r="1745" customFormat="false" ht="15" hidden="false" customHeight="false" outlineLevel="0" collapsed="false">
      <c r="A1745" s="27"/>
      <c r="E1745" s="28"/>
      <c r="F1745" s="28"/>
      <c r="I1745" s="28" t="str">
        <f aca="false">IF(A1745="","",D1745*E1745)</f>
        <v/>
      </c>
      <c r="J1745" s="28" t="str">
        <f aca="false">IF(A1745="","",D1745*F1745)</f>
        <v/>
      </c>
      <c r="K1745" s="0" t="str">
        <f aca="false">IF(A1745="","",YEAR(A1745))</f>
        <v/>
      </c>
      <c r="L1745" s="0" t="str">
        <f aca="false">IF(A1745="","",MONTH(A1745))</f>
        <v/>
      </c>
    </row>
    <row r="1746" customFormat="false" ht="15" hidden="false" customHeight="false" outlineLevel="0" collapsed="false">
      <c r="A1746" s="27"/>
      <c r="E1746" s="28"/>
      <c r="F1746" s="28"/>
      <c r="I1746" s="28" t="str">
        <f aca="false">IF(A1746="","",D1746*E1746)</f>
        <v/>
      </c>
      <c r="J1746" s="28" t="str">
        <f aca="false">IF(A1746="","",D1746*F1746)</f>
        <v/>
      </c>
      <c r="K1746" s="0" t="str">
        <f aca="false">IF(A1746="","",YEAR(A1746))</f>
        <v/>
      </c>
      <c r="L1746" s="0" t="str">
        <f aca="false">IF(A1746="","",MONTH(A1746))</f>
        <v/>
      </c>
    </row>
    <row r="1747" customFormat="false" ht="15" hidden="false" customHeight="false" outlineLevel="0" collapsed="false">
      <c r="A1747" s="27"/>
      <c r="E1747" s="28"/>
      <c r="F1747" s="28"/>
      <c r="I1747" s="28" t="str">
        <f aca="false">IF(A1747="","",D1747*E1747)</f>
        <v/>
      </c>
      <c r="J1747" s="28" t="str">
        <f aca="false">IF(A1747="","",D1747*F1747)</f>
        <v/>
      </c>
      <c r="K1747" s="0" t="str">
        <f aca="false">IF(A1747="","",YEAR(A1747))</f>
        <v/>
      </c>
      <c r="L1747" s="0" t="str">
        <f aca="false">IF(A1747="","",MONTH(A1747))</f>
        <v/>
      </c>
    </row>
    <row r="1748" customFormat="false" ht="15" hidden="false" customHeight="false" outlineLevel="0" collapsed="false">
      <c r="A1748" s="27"/>
      <c r="E1748" s="28"/>
      <c r="F1748" s="28"/>
      <c r="I1748" s="28" t="str">
        <f aca="false">IF(A1748="","",D1748*E1748)</f>
        <v/>
      </c>
      <c r="J1748" s="28" t="str">
        <f aca="false">IF(A1748="","",D1748*F1748)</f>
        <v/>
      </c>
      <c r="K1748" s="0" t="str">
        <f aca="false">IF(A1748="","",YEAR(A1748))</f>
        <v/>
      </c>
      <c r="L1748" s="0" t="str">
        <f aca="false">IF(A1748="","",MONTH(A1748))</f>
        <v/>
      </c>
    </row>
    <row r="1749" customFormat="false" ht="15" hidden="false" customHeight="false" outlineLevel="0" collapsed="false">
      <c r="A1749" s="27"/>
      <c r="E1749" s="28"/>
      <c r="F1749" s="28"/>
      <c r="I1749" s="28" t="str">
        <f aca="false">IF(A1749="","",D1749*E1749)</f>
        <v/>
      </c>
      <c r="J1749" s="28" t="str">
        <f aca="false">IF(A1749="","",D1749*F1749)</f>
        <v/>
      </c>
      <c r="K1749" s="0" t="str">
        <f aca="false">IF(A1749="","",YEAR(A1749))</f>
        <v/>
      </c>
      <c r="L1749" s="0" t="str">
        <f aca="false">IF(A1749="","",MONTH(A1749))</f>
        <v/>
      </c>
    </row>
    <row r="1750" customFormat="false" ht="15" hidden="false" customHeight="false" outlineLevel="0" collapsed="false">
      <c r="A1750" s="27"/>
      <c r="E1750" s="28"/>
      <c r="F1750" s="28"/>
      <c r="I1750" s="28" t="str">
        <f aca="false">IF(A1750="","",D1750*E1750)</f>
        <v/>
      </c>
      <c r="J1750" s="28" t="str">
        <f aca="false">IF(A1750="","",D1750*F1750)</f>
        <v/>
      </c>
      <c r="K1750" s="0" t="str">
        <f aca="false">IF(A1750="","",YEAR(A1750))</f>
        <v/>
      </c>
      <c r="L1750" s="0" t="str">
        <f aca="false">IF(A1750="","",MONTH(A1750))</f>
        <v/>
      </c>
    </row>
    <row r="1751" customFormat="false" ht="15" hidden="false" customHeight="false" outlineLevel="0" collapsed="false">
      <c r="A1751" s="27"/>
      <c r="E1751" s="28"/>
      <c r="F1751" s="28"/>
      <c r="I1751" s="28" t="str">
        <f aca="false">IF(A1751="","",D1751*E1751)</f>
        <v/>
      </c>
      <c r="J1751" s="28" t="str">
        <f aca="false">IF(A1751="","",D1751*F1751)</f>
        <v/>
      </c>
      <c r="K1751" s="0" t="str">
        <f aca="false">IF(A1751="","",YEAR(A1751))</f>
        <v/>
      </c>
      <c r="L1751" s="0" t="str">
        <f aca="false">IF(A1751="","",MONTH(A1751))</f>
        <v/>
      </c>
    </row>
    <row r="1752" customFormat="false" ht="15" hidden="false" customHeight="false" outlineLevel="0" collapsed="false">
      <c r="A1752" s="27"/>
      <c r="E1752" s="28"/>
      <c r="F1752" s="28"/>
      <c r="I1752" s="28" t="str">
        <f aca="false">IF(A1752="","",D1752*E1752)</f>
        <v/>
      </c>
      <c r="J1752" s="28" t="str">
        <f aca="false">IF(A1752="","",D1752*F1752)</f>
        <v/>
      </c>
      <c r="K1752" s="0" t="str">
        <f aca="false">IF(A1752="","",YEAR(A1752))</f>
        <v/>
      </c>
      <c r="L1752" s="0" t="str">
        <f aca="false">IF(A1752="","",MONTH(A1752))</f>
        <v/>
      </c>
    </row>
    <row r="1753" customFormat="false" ht="15" hidden="false" customHeight="false" outlineLevel="0" collapsed="false">
      <c r="A1753" s="27"/>
      <c r="E1753" s="28"/>
      <c r="F1753" s="28"/>
      <c r="I1753" s="28" t="str">
        <f aca="false">IF(A1753="","",D1753*E1753)</f>
        <v/>
      </c>
      <c r="J1753" s="28" t="str">
        <f aca="false">IF(A1753="","",D1753*F1753)</f>
        <v/>
      </c>
      <c r="K1753" s="0" t="str">
        <f aca="false">IF(A1753="","",YEAR(A1753))</f>
        <v/>
      </c>
      <c r="L1753" s="0" t="str">
        <f aca="false">IF(A1753="","",MONTH(A1753))</f>
        <v/>
      </c>
    </row>
    <row r="1754" customFormat="false" ht="15" hidden="false" customHeight="false" outlineLevel="0" collapsed="false">
      <c r="A1754" s="27"/>
      <c r="E1754" s="28"/>
      <c r="F1754" s="28"/>
      <c r="I1754" s="28" t="str">
        <f aca="false">IF(A1754="","",D1754*E1754)</f>
        <v/>
      </c>
      <c r="J1754" s="28" t="str">
        <f aca="false">IF(A1754="","",D1754*F1754)</f>
        <v/>
      </c>
      <c r="K1754" s="0" t="str">
        <f aca="false">IF(A1754="","",YEAR(A1754))</f>
        <v/>
      </c>
      <c r="L1754" s="0" t="str">
        <f aca="false">IF(A1754="","",MONTH(A1754))</f>
        <v/>
      </c>
    </row>
    <row r="1755" customFormat="false" ht="15" hidden="false" customHeight="false" outlineLevel="0" collapsed="false">
      <c r="A1755" s="27"/>
      <c r="E1755" s="28"/>
      <c r="F1755" s="28"/>
      <c r="I1755" s="28" t="str">
        <f aca="false">IF(A1755="","",D1755*E1755)</f>
        <v/>
      </c>
      <c r="J1755" s="28" t="str">
        <f aca="false">IF(A1755="","",D1755*F1755)</f>
        <v/>
      </c>
      <c r="K1755" s="0" t="str">
        <f aca="false">IF(A1755="","",YEAR(A1755))</f>
        <v/>
      </c>
      <c r="L1755" s="0" t="str">
        <f aca="false">IF(A1755="","",MONTH(A1755))</f>
        <v/>
      </c>
    </row>
    <row r="1756" customFormat="false" ht="15" hidden="false" customHeight="false" outlineLevel="0" collapsed="false">
      <c r="A1756" s="27"/>
      <c r="E1756" s="28"/>
      <c r="F1756" s="28"/>
      <c r="I1756" s="28" t="str">
        <f aca="false">IF(A1756="","",D1756*E1756)</f>
        <v/>
      </c>
      <c r="J1756" s="28" t="str">
        <f aca="false">IF(A1756="","",D1756*F1756)</f>
        <v/>
      </c>
      <c r="K1756" s="0" t="str">
        <f aca="false">IF(A1756="","",YEAR(A1756))</f>
        <v/>
      </c>
      <c r="L1756" s="0" t="str">
        <f aca="false">IF(A1756="","",MONTH(A1756))</f>
        <v/>
      </c>
    </row>
    <row r="1757" customFormat="false" ht="15" hidden="false" customHeight="false" outlineLevel="0" collapsed="false">
      <c r="A1757" s="27"/>
      <c r="E1757" s="28"/>
      <c r="F1757" s="28"/>
      <c r="I1757" s="28" t="str">
        <f aca="false">IF(A1757="","",D1757*E1757)</f>
        <v/>
      </c>
      <c r="J1757" s="28" t="str">
        <f aca="false">IF(A1757="","",D1757*F1757)</f>
        <v/>
      </c>
      <c r="K1757" s="0" t="str">
        <f aca="false">IF(A1757="","",YEAR(A1757))</f>
        <v/>
      </c>
      <c r="L1757" s="0" t="str">
        <f aca="false">IF(A1757="","",MONTH(A1757))</f>
        <v/>
      </c>
    </row>
    <row r="1758" customFormat="false" ht="15" hidden="false" customHeight="false" outlineLevel="0" collapsed="false">
      <c r="A1758" s="27"/>
      <c r="E1758" s="28"/>
      <c r="F1758" s="28"/>
      <c r="I1758" s="28" t="str">
        <f aca="false">IF(A1758="","",D1758*E1758)</f>
        <v/>
      </c>
      <c r="J1758" s="28" t="str">
        <f aca="false">IF(A1758="","",D1758*F1758)</f>
        <v/>
      </c>
      <c r="K1758" s="0" t="str">
        <f aca="false">IF(A1758="","",YEAR(A1758))</f>
        <v/>
      </c>
      <c r="L1758" s="0" t="str">
        <f aca="false">IF(A1758="","",MONTH(A1758))</f>
        <v/>
      </c>
    </row>
    <row r="1759" customFormat="false" ht="15" hidden="false" customHeight="false" outlineLevel="0" collapsed="false">
      <c r="A1759" s="27"/>
      <c r="E1759" s="28"/>
      <c r="F1759" s="28"/>
      <c r="I1759" s="28" t="str">
        <f aca="false">IF(A1759="","",D1759*E1759)</f>
        <v/>
      </c>
      <c r="J1759" s="28" t="str">
        <f aca="false">IF(A1759="","",D1759*F1759)</f>
        <v/>
      </c>
      <c r="K1759" s="0" t="str">
        <f aca="false">IF(A1759="","",YEAR(A1759))</f>
        <v/>
      </c>
      <c r="L1759" s="0" t="str">
        <f aca="false">IF(A1759="","",MONTH(A1759))</f>
        <v/>
      </c>
    </row>
    <row r="1760" customFormat="false" ht="15" hidden="false" customHeight="false" outlineLevel="0" collapsed="false">
      <c r="A1760" s="27"/>
      <c r="E1760" s="28"/>
      <c r="F1760" s="28"/>
      <c r="I1760" s="28" t="str">
        <f aca="false">IF(A1760="","",D1760*E1760)</f>
        <v/>
      </c>
      <c r="J1760" s="28" t="str">
        <f aca="false">IF(A1760="","",D1760*F1760)</f>
        <v/>
      </c>
      <c r="K1760" s="0" t="str">
        <f aca="false">IF(A1760="","",YEAR(A1760))</f>
        <v/>
      </c>
      <c r="L1760" s="0" t="str">
        <f aca="false">IF(A1760="","",MONTH(A1760))</f>
        <v/>
      </c>
    </row>
    <row r="1761" customFormat="false" ht="15" hidden="false" customHeight="false" outlineLevel="0" collapsed="false">
      <c r="A1761" s="27"/>
      <c r="E1761" s="28"/>
      <c r="F1761" s="28"/>
      <c r="I1761" s="28" t="str">
        <f aca="false">IF(A1761="","",D1761*E1761)</f>
        <v/>
      </c>
      <c r="J1761" s="28" t="str">
        <f aca="false">IF(A1761="","",D1761*F1761)</f>
        <v/>
      </c>
      <c r="K1761" s="0" t="str">
        <f aca="false">IF(A1761="","",YEAR(A1761))</f>
        <v/>
      </c>
      <c r="L1761" s="0" t="str">
        <f aca="false">IF(A1761="","",MONTH(A1761))</f>
        <v/>
      </c>
    </row>
    <row r="1762" customFormat="false" ht="15" hidden="false" customHeight="false" outlineLevel="0" collapsed="false">
      <c r="A1762" s="27"/>
      <c r="E1762" s="28"/>
      <c r="F1762" s="28"/>
      <c r="I1762" s="28" t="str">
        <f aca="false">IF(A1762="","",D1762*E1762)</f>
        <v/>
      </c>
      <c r="J1762" s="28" t="str">
        <f aca="false">IF(A1762="","",D1762*F1762)</f>
        <v/>
      </c>
      <c r="K1762" s="0" t="str">
        <f aca="false">IF(A1762="","",YEAR(A1762))</f>
        <v/>
      </c>
      <c r="L1762" s="0" t="str">
        <f aca="false">IF(A1762="","",MONTH(A1762))</f>
        <v/>
      </c>
    </row>
    <row r="1763" customFormat="false" ht="15" hidden="false" customHeight="false" outlineLevel="0" collapsed="false">
      <c r="A1763" s="27"/>
      <c r="E1763" s="28"/>
      <c r="F1763" s="28"/>
      <c r="I1763" s="28" t="str">
        <f aca="false">IF(A1763="","",D1763*E1763)</f>
        <v/>
      </c>
      <c r="J1763" s="28" t="str">
        <f aca="false">IF(A1763="","",D1763*F1763)</f>
        <v/>
      </c>
      <c r="K1763" s="0" t="str">
        <f aca="false">IF(A1763="","",YEAR(A1763))</f>
        <v/>
      </c>
      <c r="L1763" s="0" t="str">
        <f aca="false">IF(A1763="","",MONTH(A1763))</f>
        <v/>
      </c>
    </row>
    <row r="1764" customFormat="false" ht="15" hidden="false" customHeight="false" outlineLevel="0" collapsed="false">
      <c r="A1764" s="27"/>
      <c r="E1764" s="28"/>
      <c r="F1764" s="28"/>
      <c r="I1764" s="28" t="str">
        <f aca="false">IF(A1764="","",D1764*E1764)</f>
        <v/>
      </c>
      <c r="J1764" s="28" t="str">
        <f aca="false">IF(A1764="","",D1764*F1764)</f>
        <v/>
      </c>
      <c r="K1764" s="0" t="str">
        <f aca="false">IF(A1764="","",YEAR(A1764))</f>
        <v/>
      </c>
      <c r="L1764" s="0" t="str">
        <f aca="false">IF(A1764="","",MONTH(A1764))</f>
        <v/>
      </c>
    </row>
    <row r="1765" customFormat="false" ht="15" hidden="false" customHeight="false" outlineLevel="0" collapsed="false">
      <c r="A1765" s="27"/>
      <c r="E1765" s="28"/>
      <c r="F1765" s="28"/>
      <c r="I1765" s="28" t="str">
        <f aca="false">IF(A1765="","",D1765*E1765)</f>
        <v/>
      </c>
      <c r="J1765" s="28" t="str">
        <f aca="false">IF(A1765="","",D1765*F1765)</f>
        <v/>
      </c>
      <c r="K1765" s="0" t="str">
        <f aca="false">IF(A1765="","",YEAR(A1765))</f>
        <v/>
      </c>
      <c r="L1765" s="0" t="str">
        <f aca="false">IF(A1765="","",MONTH(A1765))</f>
        <v/>
      </c>
    </row>
    <row r="1766" customFormat="false" ht="15" hidden="false" customHeight="false" outlineLevel="0" collapsed="false">
      <c r="A1766" s="27"/>
      <c r="E1766" s="28"/>
      <c r="F1766" s="28"/>
      <c r="I1766" s="28" t="str">
        <f aca="false">IF(A1766="","",D1766*E1766)</f>
        <v/>
      </c>
      <c r="J1766" s="28" t="str">
        <f aca="false">IF(A1766="","",D1766*F1766)</f>
        <v/>
      </c>
      <c r="K1766" s="0" t="str">
        <f aca="false">IF(A1766="","",YEAR(A1766))</f>
        <v/>
      </c>
      <c r="L1766" s="0" t="str">
        <f aca="false">IF(A1766="","",MONTH(A1766))</f>
        <v/>
      </c>
    </row>
    <row r="1767" customFormat="false" ht="15" hidden="false" customHeight="false" outlineLevel="0" collapsed="false">
      <c r="A1767" s="27"/>
      <c r="E1767" s="28"/>
      <c r="F1767" s="28"/>
      <c r="I1767" s="28" t="str">
        <f aca="false">IF(A1767="","",D1767*E1767)</f>
        <v/>
      </c>
      <c r="J1767" s="28" t="str">
        <f aca="false">IF(A1767="","",D1767*F1767)</f>
        <v/>
      </c>
      <c r="K1767" s="0" t="str">
        <f aca="false">IF(A1767="","",YEAR(A1767))</f>
        <v/>
      </c>
      <c r="L1767" s="0" t="str">
        <f aca="false">IF(A1767="","",MONTH(A1767))</f>
        <v/>
      </c>
    </row>
    <row r="1768" customFormat="false" ht="15" hidden="false" customHeight="false" outlineLevel="0" collapsed="false">
      <c r="A1768" s="27"/>
      <c r="E1768" s="28"/>
      <c r="F1768" s="28"/>
      <c r="I1768" s="28" t="str">
        <f aca="false">IF(A1768="","",D1768*E1768)</f>
        <v/>
      </c>
      <c r="J1768" s="28" t="str">
        <f aca="false">IF(A1768="","",D1768*F1768)</f>
        <v/>
      </c>
      <c r="K1768" s="0" t="str">
        <f aca="false">IF(A1768="","",YEAR(A1768))</f>
        <v/>
      </c>
      <c r="L1768" s="0" t="str">
        <f aca="false">IF(A1768="","",MONTH(A1768))</f>
        <v/>
      </c>
    </row>
    <row r="1769" customFormat="false" ht="15" hidden="false" customHeight="false" outlineLevel="0" collapsed="false">
      <c r="A1769" s="27"/>
      <c r="E1769" s="28"/>
      <c r="F1769" s="28"/>
      <c r="I1769" s="28" t="str">
        <f aca="false">IF(A1769="","",D1769*E1769)</f>
        <v/>
      </c>
      <c r="J1769" s="28" t="str">
        <f aca="false">IF(A1769="","",D1769*F1769)</f>
        <v/>
      </c>
      <c r="K1769" s="0" t="str">
        <f aca="false">IF(A1769="","",YEAR(A1769))</f>
        <v/>
      </c>
      <c r="L1769" s="0" t="str">
        <f aca="false">IF(A1769="","",MONTH(A1769))</f>
        <v/>
      </c>
    </row>
    <row r="1770" customFormat="false" ht="15" hidden="false" customHeight="false" outlineLevel="0" collapsed="false">
      <c r="A1770" s="27"/>
      <c r="E1770" s="28"/>
      <c r="F1770" s="28"/>
      <c r="I1770" s="28" t="str">
        <f aca="false">IF(A1770="","",D1770*E1770)</f>
        <v/>
      </c>
      <c r="J1770" s="28" t="str">
        <f aca="false">IF(A1770="","",D1770*F1770)</f>
        <v/>
      </c>
      <c r="K1770" s="0" t="str">
        <f aca="false">IF(A1770="","",YEAR(A1770))</f>
        <v/>
      </c>
      <c r="L1770" s="0" t="str">
        <f aca="false">IF(A1770="","",MONTH(A1770))</f>
        <v/>
      </c>
    </row>
    <row r="1771" customFormat="false" ht="15" hidden="false" customHeight="false" outlineLevel="0" collapsed="false">
      <c r="A1771" s="27"/>
      <c r="E1771" s="28"/>
      <c r="F1771" s="28"/>
      <c r="I1771" s="28" t="str">
        <f aca="false">IF(A1771="","",D1771*E1771)</f>
        <v/>
      </c>
      <c r="J1771" s="28" t="str">
        <f aca="false">IF(A1771="","",D1771*F1771)</f>
        <v/>
      </c>
      <c r="K1771" s="0" t="str">
        <f aca="false">IF(A1771="","",YEAR(A1771))</f>
        <v/>
      </c>
      <c r="L1771" s="0" t="str">
        <f aca="false">IF(A1771="","",MONTH(A1771))</f>
        <v/>
      </c>
    </row>
    <row r="1772" customFormat="false" ht="15" hidden="false" customHeight="false" outlineLevel="0" collapsed="false">
      <c r="A1772" s="27"/>
      <c r="E1772" s="28"/>
      <c r="F1772" s="28"/>
      <c r="I1772" s="28" t="str">
        <f aca="false">IF(A1772="","",D1772*E1772)</f>
        <v/>
      </c>
      <c r="J1772" s="28" t="str">
        <f aca="false">IF(A1772="","",D1772*F1772)</f>
        <v/>
      </c>
      <c r="K1772" s="0" t="str">
        <f aca="false">IF(A1772="","",YEAR(A1772))</f>
        <v/>
      </c>
      <c r="L1772" s="0" t="str">
        <f aca="false">IF(A1772="","",MONTH(A1772))</f>
        <v/>
      </c>
    </row>
    <row r="1773" customFormat="false" ht="15" hidden="false" customHeight="false" outlineLevel="0" collapsed="false">
      <c r="A1773" s="27"/>
      <c r="E1773" s="28"/>
      <c r="F1773" s="28"/>
      <c r="I1773" s="28" t="str">
        <f aca="false">IF(A1773="","",D1773*E1773)</f>
        <v/>
      </c>
      <c r="J1773" s="28" t="str">
        <f aca="false">IF(A1773="","",D1773*F1773)</f>
        <v/>
      </c>
      <c r="K1773" s="0" t="str">
        <f aca="false">IF(A1773="","",YEAR(A1773))</f>
        <v/>
      </c>
      <c r="L1773" s="0" t="str">
        <f aca="false">IF(A1773="","",MONTH(A1773))</f>
        <v/>
      </c>
    </row>
    <row r="1774" customFormat="false" ht="15" hidden="false" customHeight="false" outlineLevel="0" collapsed="false">
      <c r="A1774" s="27"/>
      <c r="E1774" s="28"/>
      <c r="F1774" s="28"/>
      <c r="I1774" s="28" t="str">
        <f aca="false">IF(A1774="","",D1774*E1774)</f>
        <v/>
      </c>
      <c r="J1774" s="28" t="str">
        <f aca="false">IF(A1774="","",D1774*F1774)</f>
        <v/>
      </c>
      <c r="K1774" s="0" t="str">
        <f aca="false">IF(A1774="","",YEAR(A1774))</f>
        <v/>
      </c>
      <c r="L1774" s="0" t="str">
        <f aca="false">IF(A1774="","",MONTH(A1774))</f>
        <v/>
      </c>
    </row>
    <row r="1775" customFormat="false" ht="15" hidden="false" customHeight="false" outlineLevel="0" collapsed="false">
      <c r="A1775" s="27"/>
      <c r="E1775" s="28"/>
      <c r="F1775" s="28"/>
      <c r="I1775" s="28" t="str">
        <f aca="false">IF(A1775="","",D1775*E1775)</f>
        <v/>
      </c>
      <c r="J1775" s="28" t="str">
        <f aca="false">IF(A1775="","",D1775*F1775)</f>
        <v/>
      </c>
      <c r="K1775" s="0" t="str">
        <f aca="false">IF(A1775="","",YEAR(A1775))</f>
        <v/>
      </c>
      <c r="L1775" s="0" t="str">
        <f aca="false">IF(A1775="","",MONTH(A1775))</f>
        <v/>
      </c>
    </row>
    <row r="1776" customFormat="false" ht="15" hidden="false" customHeight="false" outlineLevel="0" collapsed="false">
      <c r="A1776" s="27"/>
      <c r="E1776" s="28"/>
      <c r="F1776" s="28"/>
      <c r="I1776" s="28" t="str">
        <f aca="false">IF(A1776="","",D1776*E1776)</f>
        <v/>
      </c>
      <c r="J1776" s="28" t="str">
        <f aca="false">IF(A1776="","",D1776*F1776)</f>
        <v/>
      </c>
      <c r="K1776" s="0" t="str">
        <f aca="false">IF(A1776="","",YEAR(A1776))</f>
        <v/>
      </c>
      <c r="L1776" s="0" t="str">
        <f aca="false">IF(A1776="","",MONTH(A1776))</f>
        <v/>
      </c>
    </row>
    <row r="1777" customFormat="false" ht="15" hidden="false" customHeight="false" outlineLevel="0" collapsed="false">
      <c r="A1777" s="27"/>
      <c r="E1777" s="28"/>
      <c r="F1777" s="28"/>
      <c r="I1777" s="28" t="str">
        <f aca="false">IF(A1777="","",D1777*E1777)</f>
        <v/>
      </c>
      <c r="J1777" s="28" t="str">
        <f aca="false">IF(A1777="","",D1777*F1777)</f>
        <v/>
      </c>
      <c r="K1777" s="0" t="str">
        <f aca="false">IF(A1777="","",YEAR(A1777))</f>
        <v/>
      </c>
      <c r="L1777" s="0" t="str">
        <f aca="false">IF(A1777="","",MONTH(A1777))</f>
        <v/>
      </c>
    </row>
    <row r="1778" customFormat="false" ht="15" hidden="false" customHeight="false" outlineLevel="0" collapsed="false">
      <c r="A1778" s="27"/>
      <c r="E1778" s="28"/>
      <c r="F1778" s="28"/>
      <c r="I1778" s="28" t="str">
        <f aca="false">IF(A1778="","",D1778*E1778)</f>
        <v/>
      </c>
      <c r="J1778" s="28" t="str">
        <f aca="false">IF(A1778="","",D1778*F1778)</f>
        <v/>
      </c>
      <c r="K1778" s="0" t="str">
        <f aca="false">IF(A1778="","",YEAR(A1778))</f>
        <v/>
      </c>
      <c r="L1778" s="0" t="str">
        <f aca="false">IF(A1778="","",MONTH(A1778))</f>
        <v/>
      </c>
    </row>
    <row r="1779" customFormat="false" ht="15" hidden="false" customHeight="false" outlineLevel="0" collapsed="false">
      <c r="A1779" s="27"/>
      <c r="E1779" s="28"/>
      <c r="F1779" s="28"/>
      <c r="I1779" s="28" t="str">
        <f aca="false">IF(A1779="","",D1779*E1779)</f>
        <v/>
      </c>
      <c r="J1779" s="28" t="str">
        <f aca="false">IF(A1779="","",D1779*F1779)</f>
        <v/>
      </c>
      <c r="K1779" s="0" t="str">
        <f aca="false">IF(A1779="","",YEAR(A1779))</f>
        <v/>
      </c>
      <c r="L1779" s="0" t="str">
        <f aca="false">IF(A1779="","",MONTH(A1779))</f>
        <v/>
      </c>
    </row>
    <row r="1780" customFormat="false" ht="15" hidden="false" customHeight="false" outlineLevel="0" collapsed="false">
      <c r="A1780" s="27"/>
      <c r="E1780" s="28"/>
      <c r="F1780" s="28"/>
      <c r="I1780" s="28" t="str">
        <f aca="false">IF(A1780="","",D1780*E1780)</f>
        <v/>
      </c>
      <c r="J1780" s="28" t="str">
        <f aca="false">IF(A1780="","",D1780*F1780)</f>
        <v/>
      </c>
      <c r="K1780" s="0" t="str">
        <f aca="false">IF(A1780="","",YEAR(A1780))</f>
        <v/>
      </c>
      <c r="L1780" s="0" t="str">
        <f aca="false">IF(A1780="","",MONTH(A1780))</f>
        <v/>
      </c>
    </row>
    <row r="1781" customFormat="false" ht="15" hidden="false" customHeight="false" outlineLevel="0" collapsed="false">
      <c r="A1781" s="27"/>
      <c r="E1781" s="28"/>
      <c r="F1781" s="28"/>
      <c r="I1781" s="28" t="str">
        <f aca="false">IF(A1781="","",D1781*E1781)</f>
        <v/>
      </c>
      <c r="J1781" s="28" t="str">
        <f aca="false">IF(A1781="","",D1781*F1781)</f>
        <v/>
      </c>
      <c r="K1781" s="0" t="str">
        <f aca="false">IF(A1781="","",YEAR(A1781))</f>
        <v/>
      </c>
      <c r="L1781" s="0" t="str">
        <f aca="false">IF(A1781="","",MONTH(A1781))</f>
        <v/>
      </c>
    </row>
    <row r="1782" customFormat="false" ht="15" hidden="false" customHeight="false" outlineLevel="0" collapsed="false">
      <c r="A1782" s="27"/>
      <c r="E1782" s="28"/>
      <c r="F1782" s="28"/>
      <c r="I1782" s="28" t="str">
        <f aca="false">IF(A1782="","",D1782*E1782)</f>
        <v/>
      </c>
      <c r="J1782" s="28" t="str">
        <f aca="false">IF(A1782="","",D1782*F1782)</f>
        <v/>
      </c>
      <c r="K1782" s="0" t="str">
        <f aca="false">IF(A1782="","",YEAR(A1782))</f>
        <v/>
      </c>
      <c r="L1782" s="0" t="str">
        <f aca="false">IF(A1782="","",MONTH(A1782))</f>
        <v/>
      </c>
    </row>
    <row r="1783" customFormat="false" ht="15" hidden="false" customHeight="false" outlineLevel="0" collapsed="false">
      <c r="A1783" s="27"/>
      <c r="E1783" s="28"/>
      <c r="F1783" s="28"/>
      <c r="I1783" s="28" t="str">
        <f aca="false">IF(A1783="","",D1783*E1783)</f>
        <v/>
      </c>
      <c r="J1783" s="28" t="str">
        <f aca="false">IF(A1783="","",D1783*F1783)</f>
        <v/>
      </c>
      <c r="K1783" s="0" t="str">
        <f aca="false">IF(A1783="","",YEAR(A1783))</f>
        <v/>
      </c>
      <c r="L1783" s="0" t="str">
        <f aca="false">IF(A1783="","",MONTH(A1783))</f>
        <v/>
      </c>
    </row>
    <row r="1784" customFormat="false" ht="15" hidden="false" customHeight="false" outlineLevel="0" collapsed="false">
      <c r="A1784" s="27"/>
      <c r="E1784" s="28"/>
      <c r="F1784" s="28"/>
      <c r="I1784" s="28" t="str">
        <f aca="false">IF(A1784="","",D1784*E1784)</f>
        <v/>
      </c>
      <c r="J1784" s="28" t="str">
        <f aca="false">IF(A1784="","",D1784*F1784)</f>
        <v/>
      </c>
      <c r="K1784" s="0" t="str">
        <f aca="false">IF(A1784="","",YEAR(A1784))</f>
        <v/>
      </c>
      <c r="L1784" s="0" t="str">
        <f aca="false">IF(A1784="","",MONTH(A1784))</f>
        <v/>
      </c>
    </row>
    <row r="1785" customFormat="false" ht="15" hidden="false" customHeight="false" outlineLevel="0" collapsed="false">
      <c r="A1785" s="27"/>
      <c r="E1785" s="28"/>
      <c r="F1785" s="28"/>
      <c r="I1785" s="28" t="str">
        <f aca="false">IF(A1785="","",D1785*E1785)</f>
        <v/>
      </c>
      <c r="J1785" s="28" t="str">
        <f aca="false">IF(A1785="","",D1785*F1785)</f>
        <v/>
      </c>
      <c r="K1785" s="0" t="str">
        <f aca="false">IF(A1785="","",YEAR(A1785))</f>
        <v/>
      </c>
      <c r="L1785" s="0" t="str">
        <f aca="false">IF(A1785="","",MONTH(A1785))</f>
        <v/>
      </c>
    </row>
    <row r="1786" customFormat="false" ht="15" hidden="false" customHeight="false" outlineLevel="0" collapsed="false">
      <c r="A1786" s="27"/>
      <c r="E1786" s="28"/>
      <c r="F1786" s="28"/>
      <c r="I1786" s="28" t="str">
        <f aca="false">IF(A1786="","",D1786*E1786)</f>
        <v/>
      </c>
      <c r="J1786" s="28" t="str">
        <f aca="false">IF(A1786="","",D1786*F1786)</f>
        <v/>
      </c>
      <c r="K1786" s="0" t="str">
        <f aca="false">IF(A1786="","",YEAR(A1786))</f>
        <v/>
      </c>
      <c r="L1786" s="0" t="str">
        <f aca="false">IF(A1786="","",MONTH(A1786))</f>
        <v/>
      </c>
    </row>
    <row r="1787" customFormat="false" ht="15" hidden="false" customHeight="false" outlineLevel="0" collapsed="false">
      <c r="A1787" s="27"/>
      <c r="E1787" s="28"/>
      <c r="F1787" s="28"/>
      <c r="I1787" s="28" t="str">
        <f aca="false">IF(A1787="","",D1787*E1787)</f>
        <v/>
      </c>
      <c r="J1787" s="28" t="str">
        <f aca="false">IF(A1787="","",D1787*F1787)</f>
        <v/>
      </c>
      <c r="K1787" s="0" t="str">
        <f aca="false">IF(A1787="","",YEAR(A1787))</f>
        <v/>
      </c>
      <c r="L1787" s="0" t="str">
        <f aca="false">IF(A1787="","",MONTH(A1787))</f>
        <v/>
      </c>
    </row>
    <row r="1788" customFormat="false" ht="15" hidden="false" customHeight="false" outlineLevel="0" collapsed="false">
      <c r="A1788" s="27"/>
      <c r="E1788" s="28"/>
      <c r="F1788" s="28"/>
      <c r="I1788" s="28" t="str">
        <f aca="false">IF(A1788="","",D1788*E1788)</f>
        <v/>
      </c>
      <c r="J1788" s="28" t="str">
        <f aca="false">IF(A1788="","",D1788*F1788)</f>
        <v/>
      </c>
      <c r="K1788" s="0" t="str">
        <f aca="false">IF(A1788="","",YEAR(A1788))</f>
        <v/>
      </c>
      <c r="L1788" s="0" t="str">
        <f aca="false">IF(A1788="","",MONTH(A1788))</f>
        <v/>
      </c>
    </row>
    <row r="1789" customFormat="false" ht="15" hidden="false" customHeight="false" outlineLevel="0" collapsed="false">
      <c r="A1789" s="27"/>
      <c r="E1789" s="28"/>
      <c r="F1789" s="28"/>
      <c r="I1789" s="28" t="str">
        <f aca="false">IF(A1789="","",D1789*E1789)</f>
        <v/>
      </c>
      <c r="J1789" s="28" t="str">
        <f aca="false">IF(A1789="","",D1789*F1789)</f>
        <v/>
      </c>
      <c r="K1789" s="0" t="str">
        <f aca="false">IF(A1789="","",YEAR(A1789))</f>
        <v/>
      </c>
      <c r="L1789" s="0" t="str">
        <f aca="false">IF(A1789="","",MONTH(A1789))</f>
        <v/>
      </c>
    </row>
    <row r="1790" customFormat="false" ht="15" hidden="false" customHeight="false" outlineLevel="0" collapsed="false">
      <c r="A1790" s="27"/>
      <c r="E1790" s="28"/>
      <c r="F1790" s="28"/>
      <c r="I1790" s="28" t="str">
        <f aca="false">IF(A1790="","",D1790*E1790)</f>
        <v/>
      </c>
      <c r="J1790" s="28" t="str">
        <f aca="false">IF(A1790="","",D1790*F1790)</f>
        <v/>
      </c>
      <c r="K1790" s="0" t="str">
        <f aca="false">IF(A1790="","",YEAR(A1790))</f>
        <v/>
      </c>
      <c r="L1790" s="0" t="str">
        <f aca="false">IF(A1790="","",MONTH(A1790))</f>
        <v/>
      </c>
    </row>
    <row r="1791" customFormat="false" ht="15" hidden="false" customHeight="false" outlineLevel="0" collapsed="false">
      <c r="A1791" s="27"/>
      <c r="E1791" s="28"/>
      <c r="F1791" s="28"/>
      <c r="I1791" s="28" t="str">
        <f aca="false">IF(A1791="","",D1791*E1791)</f>
        <v/>
      </c>
      <c r="J1791" s="28" t="str">
        <f aca="false">IF(A1791="","",D1791*F1791)</f>
        <v/>
      </c>
      <c r="K1791" s="0" t="str">
        <f aca="false">IF(A1791="","",YEAR(A1791))</f>
        <v/>
      </c>
      <c r="L1791" s="0" t="str">
        <f aca="false">IF(A1791="","",MONTH(A1791))</f>
        <v/>
      </c>
    </row>
    <row r="1792" customFormat="false" ht="15" hidden="false" customHeight="false" outlineLevel="0" collapsed="false">
      <c r="A1792" s="27"/>
      <c r="E1792" s="28"/>
      <c r="F1792" s="28"/>
      <c r="I1792" s="28" t="str">
        <f aca="false">IF(A1792="","",D1792*E1792)</f>
        <v/>
      </c>
      <c r="J1792" s="28" t="str">
        <f aca="false">IF(A1792="","",D1792*F1792)</f>
        <v/>
      </c>
      <c r="K1792" s="0" t="str">
        <f aca="false">IF(A1792="","",YEAR(A1792))</f>
        <v/>
      </c>
      <c r="L1792" s="0" t="str">
        <f aca="false">IF(A1792="","",MONTH(A1792))</f>
        <v/>
      </c>
    </row>
    <row r="1793" customFormat="false" ht="15" hidden="false" customHeight="false" outlineLevel="0" collapsed="false">
      <c r="A1793" s="27"/>
      <c r="E1793" s="28"/>
      <c r="F1793" s="28"/>
      <c r="I1793" s="28" t="str">
        <f aca="false">IF(A1793="","",D1793*E1793)</f>
        <v/>
      </c>
      <c r="J1793" s="28" t="str">
        <f aca="false">IF(A1793="","",D1793*F1793)</f>
        <v/>
      </c>
      <c r="K1793" s="0" t="str">
        <f aca="false">IF(A1793="","",YEAR(A1793))</f>
        <v/>
      </c>
      <c r="L1793" s="0" t="str">
        <f aca="false">IF(A1793="","",MONTH(A1793))</f>
        <v/>
      </c>
    </row>
    <row r="1794" customFormat="false" ht="15" hidden="false" customHeight="false" outlineLevel="0" collapsed="false">
      <c r="A1794" s="27"/>
      <c r="E1794" s="28"/>
      <c r="F1794" s="28"/>
      <c r="I1794" s="28" t="str">
        <f aca="false">IF(A1794="","",D1794*E1794)</f>
        <v/>
      </c>
      <c r="J1794" s="28" t="str">
        <f aca="false">IF(A1794="","",D1794*F1794)</f>
        <v/>
      </c>
      <c r="K1794" s="0" t="str">
        <f aca="false">IF(A1794="","",YEAR(A1794))</f>
        <v/>
      </c>
      <c r="L1794" s="0" t="str">
        <f aca="false">IF(A1794="","",MONTH(A1794))</f>
        <v/>
      </c>
    </row>
    <row r="1795" customFormat="false" ht="15" hidden="false" customHeight="false" outlineLevel="0" collapsed="false">
      <c r="A1795" s="27"/>
      <c r="E1795" s="28"/>
      <c r="F1795" s="28"/>
      <c r="I1795" s="28" t="str">
        <f aca="false">IF(A1795="","",D1795*E1795)</f>
        <v/>
      </c>
      <c r="J1795" s="28" t="str">
        <f aca="false">IF(A1795="","",D1795*F1795)</f>
        <v/>
      </c>
      <c r="K1795" s="0" t="str">
        <f aca="false">IF(A1795="","",YEAR(A1795))</f>
        <v/>
      </c>
      <c r="L1795" s="0" t="str">
        <f aca="false">IF(A1795="","",MONTH(A1795))</f>
        <v/>
      </c>
    </row>
    <row r="1796" customFormat="false" ht="15" hidden="false" customHeight="false" outlineLevel="0" collapsed="false">
      <c r="A1796" s="27"/>
      <c r="E1796" s="28"/>
      <c r="F1796" s="28"/>
      <c r="I1796" s="28" t="str">
        <f aca="false">IF(A1796="","",D1796*E1796)</f>
        <v/>
      </c>
      <c r="J1796" s="28" t="str">
        <f aca="false">IF(A1796="","",D1796*F1796)</f>
        <v/>
      </c>
      <c r="K1796" s="0" t="str">
        <f aca="false">IF(A1796="","",YEAR(A1796))</f>
        <v/>
      </c>
      <c r="L1796" s="0" t="str">
        <f aca="false">IF(A1796="","",MONTH(A1796))</f>
        <v/>
      </c>
    </row>
    <row r="1797" customFormat="false" ht="15" hidden="false" customHeight="false" outlineLevel="0" collapsed="false">
      <c r="A1797" s="27"/>
      <c r="E1797" s="28"/>
      <c r="F1797" s="28"/>
      <c r="I1797" s="28" t="str">
        <f aca="false">IF(A1797="","",D1797*E1797)</f>
        <v/>
      </c>
      <c r="J1797" s="28" t="str">
        <f aca="false">IF(A1797="","",D1797*F1797)</f>
        <v/>
      </c>
      <c r="K1797" s="0" t="str">
        <f aca="false">IF(A1797="","",YEAR(A1797))</f>
        <v/>
      </c>
      <c r="L1797" s="0" t="str">
        <f aca="false">IF(A1797="","",MONTH(A1797))</f>
        <v/>
      </c>
    </row>
    <row r="1798" customFormat="false" ht="15" hidden="false" customHeight="false" outlineLevel="0" collapsed="false">
      <c r="A1798" s="27"/>
      <c r="E1798" s="28"/>
      <c r="F1798" s="28"/>
      <c r="I1798" s="28" t="str">
        <f aca="false">IF(A1798="","",D1798*E1798)</f>
        <v/>
      </c>
      <c r="J1798" s="28" t="str">
        <f aca="false">IF(A1798="","",D1798*F1798)</f>
        <v/>
      </c>
      <c r="K1798" s="0" t="str">
        <f aca="false">IF(A1798="","",YEAR(A1798))</f>
        <v/>
      </c>
      <c r="L1798" s="0" t="str">
        <f aca="false">IF(A1798="","",MONTH(A1798))</f>
        <v/>
      </c>
    </row>
    <row r="1799" customFormat="false" ht="15" hidden="false" customHeight="false" outlineLevel="0" collapsed="false">
      <c r="A1799" s="27"/>
      <c r="E1799" s="28"/>
      <c r="F1799" s="28"/>
      <c r="I1799" s="28" t="str">
        <f aca="false">IF(A1799="","",D1799*E1799)</f>
        <v/>
      </c>
      <c r="J1799" s="28" t="str">
        <f aca="false">IF(A1799="","",D1799*F1799)</f>
        <v/>
      </c>
      <c r="K1799" s="0" t="str">
        <f aca="false">IF(A1799="","",YEAR(A1799))</f>
        <v/>
      </c>
      <c r="L1799" s="0" t="str">
        <f aca="false">IF(A1799="","",MONTH(A1799))</f>
        <v/>
      </c>
    </row>
    <row r="1800" customFormat="false" ht="15" hidden="false" customHeight="false" outlineLevel="0" collapsed="false">
      <c r="A1800" s="27"/>
      <c r="E1800" s="28"/>
      <c r="F1800" s="28"/>
      <c r="I1800" s="28" t="str">
        <f aca="false">IF(A1800="","",D1800*E1800)</f>
        <v/>
      </c>
      <c r="J1800" s="28" t="str">
        <f aca="false">IF(A1800="","",D1800*F1800)</f>
        <v/>
      </c>
      <c r="K1800" s="0" t="str">
        <f aca="false">IF(A1800="","",YEAR(A1800))</f>
        <v/>
      </c>
      <c r="L1800" s="0" t="str">
        <f aca="false">IF(A1800="","",MONTH(A1800))</f>
        <v/>
      </c>
    </row>
    <row r="1801" customFormat="false" ht="15" hidden="false" customHeight="false" outlineLevel="0" collapsed="false">
      <c r="A1801" s="27"/>
      <c r="E1801" s="28"/>
      <c r="F1801" s="28"/>
      <c r="I1801" s="28" t="str">
        <f aca="false">IF(A1801="","",D1801*E1801)</f>
        <v/>
      </c>
      <c r="J1801" s="28" t="str">
        <f aca="false">IF(A1801="","",D1801*F1801)</f>
        <v/>
      </c>
      <c r="K1801" s="0" t="str">
        <f aca="false">IF(A1801="","",YEAR(A1801))</f>
        <v/>
      </c>
      <c r="L1801" s="0" t="str">
        <f aca="false">IF(A1801="","",MONTH(A1801))</f>
        <v/>
      </c>
    </row>
    <row r="1802" customFormat="false" ht="15" hidden="false" customHeight="false" outlineLevel="0" collapsed="false">
      <c r="A1802" s="27"/>
      <c r="E1802" s="28"/>
      <c r="F1802" s="28"/>
      <c r="I1802" s="28" t="str">
        <f aca="false">IF(A1802="","",D1802*E1802)</f>
        <v/>
      </c>
      <c r="J1802" s="28" t="str">
        <f aca="false">IF(A1802="","",D1802*F1802)</f>
        <v/>
      </c>
      <c r="K1802" s="0" t="str">
        <f aca="false">IF(A1802="","",YEAR(A1802))</f>
        <v/>
      </c>
      <c r="L1802" s="0" t="str">
        <f aca="false">IF(A1802="","",MONTH(A1802))</f>
        <v/>
      </c>
    </row>
    <row r="1803" customFormat="false" ht="15" hidden="false" customHeight="false" outlineLevel="0" collapsed="false">
      <c r="A1803" s="27"/>
      <c r="E1803" s="28"/>
      <c r="F1803" s="28"/>
      <c r="I1803" s="28" t="str">
        <f aca="false">IF(A1803="","",D1803*E1803)</f>
        <v/>
      </c>
      <c r="J1803" s="28" t="str">
        <f aca="false">IF(A1803="","",D1803*F1803)</f>
        <v/>
      </c>
      <c r="K1803" s="0" t="str">
        <f aca="false">IF(A1803="","",YEAR(A1803))</f>
        <v/>
      </c>
      <c r="L1803" s="0" t="str">
        <f aca="false">IF(A1803="","",MONTH(A1803))</f>
        <v/>
      </c>
    </row>
    <row r="1804" customFormat="false" ht="15" hidden="false" customHeight="false" outlineLevel="0" collapsed="false">
      <c r="A1804" s="27"/>
      <c r="E1804" s="28"/>
      <c r="F1804" s="28"/>
      <c r="I1804" s="28" t="str">
        <f aca="false">IF(A1804="","",D1804*E1804)</f>
        <v/>
      </c>
      <c r="J1804" s="28" t="str">
        <f aca="false">IF(A1804="","",D1804*F1804)</f>
        <v/>
      </c>
      <c r="K1804" s="0" t="str">
        <f aca="false">IF(A1804="","",YEAR(A1804))</f>
        <v/>
      </c>
      <c r="L1804" s="0" t="str">
        <f aca="false">IF(A1804="","",MONTH(A1804))</f>
        <v/>
      </c>
    </row>
    <row r="1805" customFormat="false" ht="15" hidden="false" customHeight="false" outlineLevel="0" collapsed="false">
      <c r="A1805" s="27"/>
      <c r="E1805" s="28"/>
      <c r="F1805" s="28"/>
      <c r="I1805" s="28" t="str">
        <f aca="false">IF(A1805="","",D1805*E1805)</f>
        <v/>
      </c>
      <c r="J1805" s="28" t="str">
        <f aca="false">IF(A1805="","",D1805*F1805)</f>
        <v/>
      </c>
      <c r="K1805" s="0" t="str">
        <f aca="false">IF(A1805="","",YEAR(A1805))</f>
        <v/>
      </c>
      <c r="L1805" s="0" t="str">
        <f aca="false">IF(A1805="","",MONTH(A1805))</f>
        <v/>
      </c>
    </row>
    <row r="1806" customFormat="false" ht="15" hidden="false" customHeight="false" outlineLevel="0" collapsed="false">
      <c r="A1806" s="27"/>
      <c r="E1806" s="28"/>
      <c r="F1806" s="28"/>
      <c r="I1806" s="28" t="str">
        <f aca="false">IF(A1806="","",D1806*E1806)</f>
        <v/>
      </c>
      <c r="J1806" s="28" t="str">
        <f aca="false">IF(A1806="","",D1806*F1806)</f>
        <v/>
      </c>
      <c r="K1806" s="0" t="str">
        <f aca="false">IF(A1806="","",YEAR(A1806))</f>
        <v/>
      </c>
      <c r="L1806" s="0" t="str">
        <f aca="false">IF(A1806="","",MONTH(A1806))</f>
        <v/>
      </c>
    </row>
    <row r="1807" customFormat="false" ht="15" hidden="false" customHeight="false" outlineLevel="0" collapsed="false">
      <c r="A1807" s="27"/>
      <c r="E1807" s="28"/>
      <c r="F1807" s="28"/>
      <c r="I1807" s="28" t="str">
        <f aca="false">IF(A1807="","",D1807*E1807)</f>
        <v/>
      </c>
      <c r="J1807" s="28" t="str">
        <f aca="false">IF(A1807="","",D1807*F1807)</f>
        <v/>
      </c>
      <c r="K1807" s="0" t="str">
        <f aca="false">IF(A1807="","",YEAR(A1807))</f>
        <v/>
      </c>
      <c r="L1807" s="0" t="str">
        <f aca="false">IF(A1807="","",MONTH(A1807))</f>
        <v/>
      </c>
    </row>
    <row r="1808" customFormat="false" ht="15" hidden="false" customHeight="false" outlineLevel="0" collapsed="false">
      <c r="A1808" s="27"/>
      <c r="E1808" s="28"/>
      <c r="F1808" s="28"/>
      <c r="I1808" s="28" t="str">
        <f aca="false">IF(A1808="","",D1808*E1808)</f>
        <v/>
      </c>
      <c r="J1808" s="28" t="str">
        <f aca="false">IF(A1808="","",D1808*F1808)</f>
        <v/>
      </c>
      <c r="K1808" s="0" t="str">
        <f aca="false">IF(A1808="","",YEAR(A1808))</f>
        <v/>
      </c>
      <c r="L1808" s="0" t="str">
        <f aca="false">IF(A1808="","",MONTH(A1808))</f>
        <v/>
      </c>
    </row>
    <row r="1809" customFormat="false" ht="15" hidden="false" customHeight="false" outlineLevel="0" collapsed="false">
      <c r="A1809" s="27"/>
      <c r="E1809" s="28"/>
      <c r="F1809" s="28"/>
      <c r="I1809" s="28" t="str">
        <f aca="false">IF(A1809="","",D1809*E1809)</f>
        <v/>
      </c>
      <c r="J1809" s="28" t="str">
        <f aca="false">IF(A1809="","",D1809*F1809)</f>
        <v/>
      </c>
      <c r="K1809" s="0" t="str">
        <f aca="false">IF(A1809="","",YEAR(A1809))</f>
        <v/>
      </c>
      <c r="L1809" s="0" t="str">
        <f aca="false">IF(A1809="","",MONTH(A1809))</f>
        <v/>
      </c>
    </row>
    <row r="1810" customFormat="false" ht="15" hidden="false" customHeight="false" outlineLevel="0" collapsed="false">
      <c r="A1810" s="27"/>
      <c r="E1810" s="28"/>
      <c r="F1810" s="28"/>
      <c r="I1810" s="28" t="str">
        <f aca="false">IF(A1810="","",D1810*E1810)</f>
        <v/>
      </c>
      <c r="J1810" s="28" t="str">
        <f aca="false">IF(A1810="","",D1810*F1810)</f>
        <v/>
      </c>
      <c r="K1810" s="0" t="str">
        <f aca="false">IF(A1810="","",YEAR(A1810))</f>
        <v/>
      </c>
      <c r="L1810" s="0" t="str">
        <f aca="false">IF(A1810="","",MONTH(A1810))</f>
        <v/>
      </c>
    </row>
    <row r="1811" customFormat="false" ht="15" hidden="false" customHeight="false" outlineLevel="0" collapsed="false">
      <c r="A1811" s="27"/>
      <c r="E1811" s="28"/>
      <c r="F1811" s="28"/>
      <c r="I1811" s="28" t="str">
        <f aca="false">IF(A1811="","",D1811*E1811)</f>
        <v/>
      </c>
      <c r="J1811" s="28" t="str">
        <f aca="false">IF(A1811="","",D1811*F1811)</f>
        <v/>
      </c>
      <c r="K1811" s="0" t="str">
        <f aca="false">IF(A1811="","",YEAR(A1811))</f>
        <v/>
      </c>
      <c r="L1811" s="0" t="str">
        <f aca="false">IF(A1811="","",MONTH(A1811))</f>
        <v/>
      </c>
    </row>
    <row r="1812" customFormat="false" ht="15" hidden="false" customHeight="false" outlineLevel="0" collapsed="false">
      <c r="A1812" s="27"/>
      <c r="E1812" s="28"/>
      <c r="F1812" s="28"/>
      <c r="I1812" s="28" t="str">
        <f aca="false">IF(A1812="","",D1812*E1812)</f>
        <v/>
      </c>
      <c r="J1812" s="28" t="str">
        <f aca="false">IF(A1812="","",D1812*F1812)</f>
        <v/>
      </c>
      <c r="K1812" s="0" t="str">
        <f aca="false">IF(A1812="","",YEAR(A1812))</f>
        <v/>
      </c>
      <c r="L1812" s="0" t="str">
        <f aca="false">IF(A1812="","",MONTH(A1812))</f>
        <v/>
      </c>
    </row>
    <row r="1813" customFormat="false" ht="15" hidden="false" customHeight="false" outlineLevel="0" collapsed="false">
      <c r="A1813" s="27"/>
      <c r="E1813" s="28"/>
      <c r="F1813" s="28"/>
      <c r="I1813" s="28" t="str">
        <f aca="false">IF(A1813="","",D1813*E1813)</f>
        <v/>
      </c>
      <c r="J1813" s="28" t="str">
        <f aca="false">IF(A1813="","",D1813*F1813)</f>
        <v/>
      </c>
      <c r="K1813" s="0" t="str">
        <f aca="false">IF(A1813="","",YEAR(A1813))</f>
        <v/>
      </c>
      <c r="L1813" s="0" t="str">
        <f aca="false">IF(A1813="","",MONTH(A1813))</f>
        <v/>
      </c>
    </row>
    <row r="1814" customFormat="false" ht="15" hidden="false" customHeight="false" outlineLevel="0" collapsed="false">
      <c r="A1814" s="27"/>
      <c r="E1814" s="28"/>
      <c r="F1814" s="28"/>
      <c r="I1814" s="28" t="str">
        <f aca="false">IF(A1814="","",D1814*E1814)</f>
        <v/>
      </c>
      <c r="J1814" s="28" t="str">
        <f aca="false">IF(A1814="","",D1814*F1814)</f>
        <v/>
      </c>
      <c r="K1814" s="0" t="str">
        <f aca="false">IF(A1814="","",YEAR(A1814))</f>
        <v/>
      </c>
      <c r="L1814" s="0" t="str">
        <f aca="false">IF(A1814="","",MONTH(A1814))</f>
        <v/>
      </c>
    </row>
    <row r="1815" customFormat="false" ht="15" hidden="false" customHeight="false" outlineLevel="0" collapsed="false">
      <c r="A1815" s="27"/>
      <c r="E1815" s="28"/>
      <c r="F1815" s="28"/>
      <c r="I1815" s="28" t="str">
        <f aca="false">IF(A1815="","",D1815*E1815)</f>
        <v/>
      </c>
      <c r="J1815" s="28" t="str">
        <f aca="false">IF(A1815="","",D1815*F1815)</f>
        <v/>
      </c>
      <c r="K1815" s="0" t="str">
        <f aca="false">IF(A1815="","",YEAR(A1815))</f>
        <v/>
      </c>
      <c r="L1815" s="0" t="str">
        <f aca="false">IF(A1815="","",MONTH(A1815))</f>
        <v/>
      </c>
    </row>
    <row r="1816" customFormat="false" ht="15" hidden="false" customHeight="false" outlineLevel="0" collapsed="false">
      <c r="A1816" s="27"/>
      <c r="E1816" s="28"/>
      <c r="F1816" s="28"/>
      <c r="I1816" s="28" t="str">
        <f aca="false">IF(A1816="","",D1816*E1816)</f>
        <v/>
      </c>
      <c r="J1816" s="28" t="str">
        <f aca="false">IF(A1816="","",D1816*F1816)</f>
        <v/>
      </c>
      <c r="K1816" s="0" t="str">
        <f aca="false">IF(A1816="","",YEAR(A1816))</f>
        <v/>
      </c>
      <c r="L1816" s="0" t="str">
        <f aca="false">IF(A1816="","",MONTH(A1816))</f>
        <v/>
      </c>
    </row>
    <row r="1817" customFormat="false" ht="15" hidden="false" customHeight="false" outlineLevel="0" collapsed="false">
      <c r="A1817" s="27"/>
      <c r="E1817" s="28"/>
      <c r="F1817" s="28"/>
      <c r="I1817" s="28" t="str">
        <f aca="false">IF(A1817="","",D1817*E1817)</f>
        <v/>
      </c>
      <c r="J1817" s="28" t="str">
        <f aca="false">IF(A1817="","",D1817*F1817)</f>
        <v/>
      </c>
      <c r="K1817" s="0" t="str">
        <f aca="false">IF(A1817="","",YEAR(A1817))</f>
        <v/>
      </c>
      <c r="L1817" s="0" t="str">
        <f aca="false">IF(A1817="","",MONTH(A1817))</f>
        <v/>
      </c>
    </row>
    <row r="1818" customFormat="false" ht="15" hidden="false" customHeight="false" outlineLevel="0" collapsed="false">
      <c r="A1818" s="27"/>
      <c r="E1818" s="28"/>
      <c r="F1818" s="28"/>
      <c r="I1818" s="28" t="str">
        <f aca="false">IF(A1818="","",D1818*E1818)</f>
        <v/>
      </c>
      <c r="J1818" s="28" t="str">
        <f aca="false">IF(A1818="","",D1818*F1818)</f>
        <v/>
      </c>
      <c r="K1818" s="0" t="str">
        <f aca="false">IF(A1818="","",YEAR(A1818))</f>
        <v/>
      </c>
      <c r="L1818" s="0" t="str">
        <f aca="false">IF(A1818="","",MONTH(A1818))</f>
        <v/>
      </c>
    </row>
    <row r="1819" customFormat="false" ht="15" hidden="false" customHeight="false" outlineLevel="0" collapsed="false">
      <c r="A1819" s="27"/>
      <c r="E1819" s="28"/>
      <c r="F1819" s="28"/>
      <c r="I1819" s="28" t="str">
        <f aca="false">IF(A1819="","",D1819*E1819)</f>
        <v/>
      </c>
      <c r="J1819" s="28" t="str">
        <f aca="false">IF(A1819="","",D1819*F1819)</f>
        <v/>
      </c>
      <c r="K1819" s="0" t="str">
        <f aca="false">IF(A1819="","",YEAR(A1819))</f>
        <v/>
      </c>
      <c r="L1819" s="0" t="str">
        <f aca="false">IF(A1819="","",MONTH(A1819))</f>
        <v/>
      </c>
    </row>
    <row r="1820" customFormat="false" ht="15" hidden="false" customHeight="false" outlineLevel="0" collapsed="false">
      <c r="A1820" s="27"/>
      <c r="E1820" s="28"/>
      <c r="F1820" s="28"/>
      <c r="I1820" s="28" t="str">
        <f aca="false">IF(A1820="","",D1820*E1820)</f>
        <v/>
      </c>
      <c r="J1820" s="28" t="str">
        <f aca="false">IF(A1820="","",D1820*F1820)</f>
        <v/>
      </c>
      <c r="K1820" s="0" t="str">
        <f aca="false">IF(A1820="","",YEAR(A1820))</f>
        <v/>
      </c>
      <c r="L1820" s="0" t="str">
        <f aca="false">IF(A1820="","",MONTH(A1820))</f>
        <v/>
      </c>
    </row>
    <row r="1821" customFormat="false" ht="15" hidden="false" customHeight="false" outlineLevel="0" collapsed="false">
      <c r="A1821" s="27"/>
      <c r="E1821" s="28"/>
      <c r="F1821" s="28"/>
      <c r="I1821" s="28" t="str">
        <f aca="false">IF(A1821="","",D1821*E1821)</f>
        <v/>
      </c>
      <c r="J1821" s="28" t="str">
        <f aca="false">IF(A1821="","",D1821*F1821)</f>
        <v/>
      </c>
      <c r="K1821" s="0" t="str">
        <f aca="false">IF(A1821="","",YEAR(A1821))</f>
        <v/>
      </c>
      <c r="L1821" s="0" t="str">
        <f aca="false">IF(A1821="","",MONTH(A1821))</f>
        <v/>
      </c>
    </row>
    <row r="1822" customFormat="false" ht="15" hidden="false" customHeight="false" outlineLevel="0" collapsed="false">
      <c r="A1822" s="27"/>
      <c r="E1822" s="28"/>
      <c r="F1822" s="28"/>
      <c r="I1822" s="28" t="str">
        <f aca="false">IF(A1822="","",D1822*E1822)</f>
        <v/>
      </c>
      <c r="J1822" s="28" t="str">
        <f aca="false">IF(A1822="","",D1822*F1822)</f>
        <v/>
      </c>
      <c r="K1822" s="0" t="str">
        <f aca="false">IF(A1822="","",YEAR(A1822))</f>
        <v/>
      </c>
      <c r="L1822" s="0" t="str">
        <f aca="false">IF(A1822="","",MONTH(A1822))</f>
        <v/>
      </c>
    </row>
    <row r="1823" customFormat="false" ht="15" hidden="false" customHeight="false" outlineLevel="0" collapsed="false">
      <c r="A1823" s="27"/>
      <c r="E1823" s="28"/>
      <c r="F1823" s="28"/>
      <c r="I1823" s="28" t="str">
        <f aca="false">IF(A1823="","",D1823*E1823)</f>
        <v/>
      </c>
      <c r="J1823" s="28" t="str">
        <f aca="false">IF(A1823="","",D1823*F1823)</f>
        <v/>
      </c>
      <c r="K1823" s="0" t="str">
        <f aca="false">IF(A1823="","",YEAR(A1823))</f>
        <v/>
      </c>
      <c r="L1823" s="0" t="str">
        <f aca="false">IF(A1823="","",MONTH(A1823))</f>
        <v/>
      </c>
    </row>
    <row r="1824" customFormat="false" ht="15" hidden="false" customHeight="false" outlineLevel="0" collapsed="false">
      <c r="A1824" s="27"/>
      <c r="E1824" s="28"/>
      <c r="F1824" s="28"/>
      <c r="I1824" s="28" t="str">
        <f aca="false">IF(A1824="","",D1824*E1824)</f>
        <v/>
      </c>
      <c r="J1824" s="28" t="str">
        <f aca="false">IF(A1824="","",D1824*F1824)</f>
        <v/>
      </c>
      <c r="K1824" s="0" t="str">
        <f aca="false">IF(A1824="","",YEAR(A1824))</f>
        <v/>
      </c>
      <c r="L1824" s="0" t="str">
        <f aca="false">IF(A1824="","",MONTH(A1824))</f>
        <v/>
      </c>
    </row>
    <row r="1825" customFormat="false" ht="15" hidden="false" customHeight="false" outlineLevel="0" collapsed="false">
      <c r="A1825" s="27"/>
      <c r="E1825" s="28"/>
      <c r="F1825" s="28"/>
      <c r="I1825" s="28" t="str">
        <f aca="false">IF(A1825="","",D1825*E1825)</f>
        <v/>
      </c>
      <c r="J1825" s="28" t="str">
        <f aca="false">IF(A1825="","",D1825*F1825)</f>
        <v/>
      </c>
      <c r="K1825" s="0" t="str">
        <f aca="false">IF(A1825="","",YEAR(A1825))</f>
        <v/>
      </c>
      <c r="L1825" s="0" t="str">
        <f aca="false">IF(A1825="","",MONTH(A1825))</f>
        <v/>
      </c>
    </row>
    <row r="1826" customFormat="false" ht="15" hidden="false" customHeight="false" outlineLevel="0" collapsed="false">
      <c r="A1826" s="27"/>
      <c r="E1826" s="28"/>
      <c r="F1826" s="28"/>
      <c r="I1826" s="28" t="str">
        <f aca="false">IF(A1826="","",D1826*E1826)</f>
        <v/>
      </c>
      <c r="J1826" s="28" t="str">
        <f aca="false">IF(A1826="","",D1826*F1826)</f>
        <v/>
      </c>
      <c r="K1826" s="0" t="str">
        <f aca="false">IF(A1826="","",YEAR(A1826))</f>
        <v/>
      </c>
      <c r="L1826" s="0" t="str">
        <f aca="false">IF(A1826="","",MONTH(A1826))</f>
        <v/>
      </c>
    </row>
    <row r="1827" customFormat="false" ht="15" hidden="false" customHeight="false" outlineLevel="0" collapsed="false">
      <c r="A1827" s="27"/>
      <c r="E1827" s="28"/>
      <c r="F1827" s="28"/>
      <c r="I1827" s="28" t="str">
        <f aca="false">IF(A1827="","",D1827*E1827)</f>
        <v/>
      </c>
      <c r="J1827" s="28" t="str">
        <f aca="false">IF(A1827="","",D1827*F1827)</f>
        <v/>
      </c>
      <c r="K1827" s="0" t="str">
        <f aca="false">IF(A1827="","",YEAR(A1827))</f>
        <v/>
      </c>
      <c r="L1827" s="0" t="str">
        <f aca="false">IF(A1827="","",MONTH(A1827))</f>
        <v/>
      </c>
    </row>
    <row r="1828" customFormat="false" ht="15" hidden="false" customHeight="false" outlineLevel="0" collapsed="false">
      <c r="A1828" s="27"/>
      <c r="E1828" s="28"/>
      <c r="F1828" s="28"/>
      <c r="I1828" s="28" t="str">
        <f aca="false">IF(A1828="","",D1828*E1828)</f>
        <v/>
      </c>
      <c r="J1828" s="28" t="str">
        <f aca="false">IF(A1828="","",D1828*F1828)</f>
        <v/>
      </c>
      <c r="K1828" s="0" t="str">
        <f aca="false">IF(A1828="","",YEAR(A1828))</f>
        <v/>
      </c>
      <c r="L1828" s="0" t="str">
        <f aca="false">IF(A1828="","",MONTH(A1828))</f>
        <v/>
      </c>
    </row>
    <row r="1829" customFormat="false" ht="15" hidden="false" customHeight="false" outlineLevel="0" collapsed="false">
      <c r="A1829" s="27"/>
      <c r="E1829" s="28"/>
      <c r="F1829" s="28"/>
      <c r="I1829" s="28" t="str">
        <f aca="false">IF(A1829="","",D1829*E1829)</f>
        <v/>
      </c>
      <c r="J1829" s="28" t="str">
        <f aca="false">IF(A1829="","",D1829*F1829)</f>
        <v/>
      </c>
      <c r="K1829" s="0" t="str">
        <f aca="false">IF(A1829="","",YEAR(A1829))</f>
        <v/>
      </c>
      <c r="L1829" s="0" t="str">
        <f aca="false">IF(A1829="","",MONTH(A1829))</f>
        <v/>
      </c>
    </row>
    <row r="1830" customFormat="false" ht="15" hidden="false" customHeight="false" outlineLevel="0" collapsed="false">
      <c r="A1830" s="27"/>
      <c r="E1830" s="28"/>
      <c r="F1830" s="28"/>
      <c r="I1830" s="28" t="str">
        <f aca="false">IF(A1830="","",D1830*E1830)</f>
        <v/>
      </c>
      <c r="J1830" s="28" t="str">
        <f aca="false">IF(A1830="","",D1830*F1830)</f>
        <v/>
      </c>
      <c r="K1830" s="0" t="str">
        <f aca="false">IF(A1830="","",YEAR(A1830))</f>
        <v/>
      </c>
      <c r="L1830" s="0" t="str">
        <f aca="false">IF(A1830="","",MONTH(A1830))</f>
        <v/>
      </c>
    </row>
    <row r="1831" customFormat="false" ht="15" hidden="false" customHeight="false" outlineLevel="0" collapsed="false">
      <c r="A1831" s="27"/>
      <c r="E1831" s="28"/>
      <c r="F1831" s="28"/>
      <c r="I1831" s="28" t="str">
        <f aca="false">IF(A1831="","",D1831*E1831)</f>
        <v/>
      </c>
      <c r="J1831" s="28" t="str">
        <f aca="false">IF(A1831="","",D1831*F1831)</f>
        <v/>
      </c>
      <c r="K1831" s="0" t="str">
        <f aca="false">IF(A1831="","",YEAR(A1831))</f>
        <v/>
      </c>
      <c r="L1831" s="0" t="str">
        <f aca="false">IF(A1831="","",MONTH(A1831))</f>
        <v/>
      </c>
    </row>
    <row r="1832" customFormat="false" ht="15" hidden="false" customHeight="false" outlineLevel="0" collapsed="false">
      <c r="A1832" s="27"/>
      <c r="E1832" s="28"/>
      <c r="F1832" s="28"/>
      <c r="I1832" s="28" t="str">
        <f aca="false">IF(A1832="","",D1832*E1832)</f>
        <v/>
      </c>
      <c r="J1832" s="28" t="str">
        <f aca="false">IF(A1832="","",D1832*F1832)</f>
        <v/>
      </c>
      <c r="K1832" s="0" t="str">
        <f aca="false">IF(A1832="","",YEAR(A1832))</f>
        <v/>
      </c>
      <c r="L1832" s="0" t="str">
        <f aca="false">IF(A1832="","",MONTH(A1832))</f>
        <v/>
      </c>
    </row>
    <row r="1833" customFormat="false" ht="15" hidden="false" customHeight="false" outlineLevel="0" collapsed="false">
      <c r="A1833" s="27"/>
      <c r="E1833" s="28"/>
      <c r="F1833" s="28"/>
      <c r="I1833" s="28" t="str">
        <f aca="false">IF(A1833="","",D1833*E1833)</f>
        <v/>
      </c>
      <c r="J1833" s="28" t="str">
        <f aca="false">IF(A1833="","",D1833*F1833)</f>
        <v/>
      </c>
      <c r="K1833" s="0" t="str">
        <f aca="false">IF(A1833="","",YEAR(A1833))</f>
        <v/>
      </c>
      <c r="L1833" s="0" t="str">
        <f aca="false">IF(A1833="","",MONTH(A1833))</f>
        <v/>
      </c>
    </row>
    <row r="1834" customFormat="false" ht="15" hidden="false" customHeight="false" outlineLevel="0" collapsed="false">
      <c r="A1834" s="27"/>
      <c r="E1834" s="28"/>
      <c r="F1834" s="28"/>
      <c r="I1834" s="28" t="str">
        <f aca="false">IF(A1834="","",D1834*E1834)</f>
        <v/>
      </c>
      <c r="J1834" s="28" t="str">
        <f aca="false">IF(A1834="","",D1834*F1834)</f>
        <v/>
      </c>
      <c r="K1834" s="0" t="str">
        <f aca="false">IF(A1834="","",YEAR(A1834))</f>
        <v/>
      </c>
      <c r="L1834" s="0" t="str">
        <f aca="false">IF(A1834="","",MONTH(A1834))</f>
        <v/>
      </c>
    </row>
    <row r="1835" customFormat="false" ht="15" hidden="false" customHeight="false" outlineLevel="0" collapsed="false">
      <c r="A1835" s="27"/>
      <c r="E1835" s="28"/>
      <c r="F1835" s="28"/>
      <c r="I1835" s="28" t="str">
        <f aca="false">IF(A1835="","",D1835*E1835)</f>
        <v/>
      </c>
      <c r="J1835" s="28" t="str">
        <f aca="false">IF(A1835="","",D1835*F1835)</f>
        <v/>
      </c>
      <c r="K1835" s="0" t="str">
        <f aca="false">IF(A1835="","",YEAR(A1835))</f>
        <v/>
      </c>
      <c r="L1835" s="0" t="str">
        <f aca="false">IF(A1835="","",MONTH(A1835))</f>
        <v/>
      </c>
    </row>
    <row r="1836" customFormat="false" ht="15" hidden="false" customHeight="false" outlineLevel="0" collapsed="false">
      <c r="A1836" s="27"/>
      <c r="E1836" s="28"/>
      <c r="F1836" s="28"/>
      <c r="I1836" s="28" t="str">
        <f aca="false">IF(A1836="","",D1836*E1836)</f>
        <v/>
      </c>
      <c r="J1836" s="28" t="str">
        <f aca="false">IF(A1836="","",D1836*F1836)</f>
        <v/>
      </c>
      <c r="K1836" s="0" t="str">
        <f aca="false">IF(A1836="","",YEAR(A1836))</f>
        <v/>
      </c>
      <c r="L1836" s="0" t="str">
        <f aca="false">IF(A1836="","",MONTH(A1836))</f>
        <v/>
      </c>
    </row>
    <row r="1837" customFormat="false" ht="15" hidden="false" customHeight="false" outlineLevel="0" collapsed="false">
      <c r="A1837" s="27"/>
      <c r="E1837" s="28"/>
      <c r="F1837" s="28"/>
      <c r="I1837" s="28" t="str">
        <f aca="false">IF(A1837="","",D1837*E1837)</f>
        <v/>
      </c>
      <c r="J1837" s="28" t="str">
        <f aca="false">IF(A1837="","",D1837*F1837)</f>
        <v/>
      </c>
      <c r="K1837" s="0" t="str">
        <f aca="false">IF(A1837="","",YEAR(A1837))</f>
        <v/>
      </c>
      <c r="L1837" s="0" t="str">
        <f aca="false">IF(A1837="","",MONTH(A1837))</f>
        <v/>
      </c>
    </row>
    <row r="1838" customFormat="false" ht="15" hidden="false" customHeight="false" outlineLevel="0" collapsed="false">
      <c r="A1838" s="27"/>
      <c r="E1838" s="28"/>
      <c r="F1838" s="28"/>
      <c r="I1838" s="28" t="str">
        <f aca="false">IF(A1838="","",D1838*E1838)</f>
        <v/>
      </c>
      <c r="J1838" s="28" t="str">
        <f aca="false">IF(A1838="","",D1838*F1838)</f>
        <v/>
      </c>
      <c r="K1838" s="0" t="str">
        <f aca="false">IF(A1838="","",YEAR(A1838))</f>
        <v/>
      </c>
      <c r="L1838" s="0" t="str">
        <f aca="false">IF(A1838="","",MONTH(A1838))</f>
        <v/>
      </c>
    </row>
    <row r="1839" customFormat="false" ht="15" hidden="false" customHeight="false" outlineLevel="0" collapsed="false">
      <c r="A1839" s="27"/>
      <c r="E1839" s="28"/>
      <c r="F1839" s="28"/>
      <c r="I1839" s="28" t="str">
        <f aca="false">IF(A1839="","",D1839*E1839)</f>
        <v/>
      </c>
      <c r="J1839" s="28" t="str">
        <f aca="false">IF(A1839="","",D1839*F1839)</f>
        <v/>
      </c>
      <c r="K1839" s="0" t="str">
        <f aca="false">IF(A1839="","",YEAR(A1839))</f>
        <v/>
      </c>
      <c r="L1839" s="0" t="str">
        <f aca="false">IF(A1839="","",MONTH(A1839))</f>
        <v/>
      </c>
    </row>
    <row r="1840" customFormat="false" ht="15" hidden="false" customHeight="false" outlineLevel="0" collapsed="false">
      <c r="A1840" s="27"/>
      <c r="E1840" s="28"/>
      <c r="F1840" s="28"/>
      <c r="I1840" s="28" t="str">
        <f aca="false">IF(A1840="","",D1840*E1840)</f>
        <v/>
      </c>
      <c r="J1840" s="28" t="str">
        <f aca="false">IF(A1840="","",D1840*F1840)</f>
        <v/>
      </c>
      <c r="K1840" s="0" t="str">
        <f aca="false">IF(A1840="","",YEAR(A1840))</f>
        <v/>
      </c>
      <c r="L1840" s="0" t="str">
        <f aca="false">IF(A1840="","",MONTH(A1840))</f>
        <v/>
      </c>
    </row>
    <row r="1841" customFormat="false" ht="15" hidden="false" customHeight="false" outlineLevel="0" collapsed="false">
      <c r="A1841" s="27"/>
      <c r="E1841" s="28"/>
      <c r="F1841" s="28"/>
      <c r="I1841" s="28" t="str">
        <f aca="false">IF(A1841="","",D1841*E1841)</f>
        <v/>
      </c>
      <c r="J1841" s="28" t="str">
        <f aca="false">IF(A1841="","",D1841*F1841)</f>
        <v/>
      </c>
      <c r="K1841" s="0" t="str">
        <f aca="false">IF(A1841="","",YEAR(A1841))</f>
        <v/>
      </c>
      <c r="L1841" s="0" t="str">
        <f aca="false">IF(A1841="","",MONTH(A1841))</f>
        <v/>
      </c>
    </row>
    <row r="1842" customFormat="false" ht="15" hidden="false" customHeight="false" outlineLevel="0" collapsed="false">
      <c r="A1842" s="27"/>
      <c r="E1842" s="28"/>
      <c r="F1842" s="28"/>
      <c r="I1842" s="28" t="str">
        <f aca="false">IF(A1842="","",D1842*E1842)</f>
        <v/>
      </c>
      <c r="J1842" s="28" t="str">
        <f aca="false">IF(A1842="","",D1842*F1842)</f>
        <v/>
      </c>
      <c r="K1842" s="0" t="str">
        <f aca="false">IF(A1842="","",YEAR(A1842))</f>
        <v/>
      </c>
      <c r="L1842" s="0" t="str">
        <f aca="false">IF(A1842="","",MONTH(A1842))</f>
        <v/>
      </c>
    </row>
    <row r="1843" customFormat="false" ht="15" hidden="false" customHeight="false" outlineLevel="0" collapsed="false">
      <c r="A1843" s="27"/>
      <c r="E1843" s="28"/>
      <c r="F1843" s="28"/>
      <c r="I1843" s="28" t="str">
        <f aca="false">IF(A1843="","",D1843*E1843)</f>
        <v/>
      </c>
      <c r="J1843" s="28" t="str">
        <f aca="false">IF(A1843="","",D1843*F1843)</f>
        <v/>
      </c>
      <c r="K1843" s="0" t="str">
        <f aca="false">IF(A1843="","",YEAR(A1843))</f>
        <v/>
      </c>
      <c r="L1843" s="0" t="str">
        <f aca="false">IF(A1843="","",MONTH(A1843))</f>
        <v/>
      </c>
    </row>
    <row r="1844" customFormat="false" ht="15" hidden="false" customHeight="false" outlineLevel="0" collapsed="false">
      <c r="A1844" s="27"/>
      <c r="E1844" s="28"/>
      <c r="F1844" s="28"/>
      <c r="I1844" s="28" t="str">
        <f aca="false">IF(A1844="","",D1844*E1844)</f>
        <v/>
      </c>
      <c r="J1844" s="28" t="str">
        <f aca="false">IF(A1844="","",D1844*F1844)</f>
        <v/>
      </c>
      <c r="K1844" s="0" t="str">
        <f aca="false">IF(A1844="","",YEAR(A1844))</f>
        <v/>
      </c>
      <c r="L1844" s="0" t="str">
        <f aca="false">IF(A1844="","",MONTH(A1844))</f>
        <v/>
      </c>
    </row>
    <row r="1845" customFormat="false" ht="15" hidden="false" customHeight="false" outlineLevel="0" collapsed="false">
      <c r="A1845" s="27"/>
      <c r="E1845" s="28"/>
      <c r="F1845" s="28"/>
      <c r="I1845" s="28" t="str">
        <f aca="false">IF(A1845="","",D1845*E1845)</f>
        <v/>
      </c>
      <c r="J1845" s="28" t="str">
        <f aca="false">IF(A1845="","",D1845*F1845)</f>
        <v/>
      </c>
      <c r="K1845" s="0" t="str">
        <f aca="false">IF(A1845="","",YEAR(A1845))</f>
        <v/>
      </c>
      <c r="L1845" s="0" t="str">
        <f aca="false">IF(A1845="","",MONTH(A1845))</f>
        <v/>
      </c>
    </row>
    <row r="1846" customFormat="false" ht="15" hidden="false" customHeight="false" outlineLevel="0" collapsed="false">
      <c r="A1846" s="27"/>
      <c r="E1846" s="28"/>
      <c r="F1846" s="28"/>
      <c r="I1846" s="28" t="str">
        <f aca="false">IF(A1846="","",D1846*E1846)</f>
        <v/>
      </c>
      <c r="J1846" s="28" t="str">
        <f aca="false">IF(A1846="","",D1846*F1846)</f>
        <v/>
      </c>
      <c r="K1846" s="0" t="str">
        <f aca="false">IF(A1846="","",YEAR(A1846))</f>
        <v/>
      </c>
      <c r="L1846" s="0" t="str">
        <f aca="false">IF(A1846="","",MONTH(A1846))</f>
        <v/>
      </c>
    </row>
    <row r="1847" customFormat="false" ht="15" hidden="false" customHeight="false" outlineLevel="0" collapsed="false">
      <c r="A1847" s="27"/>
      <c r="E1847" s="28"/>
      <c r="F1847" s="28"/>
      <c r="I1847" s="28" t="str">
        <f aca="false">IF(A1847="","",D1847*E1847)</f>
        <v/>
      </c>
      <c r="J1847" s="28" t="str">
        <f aca="false">IF(A1847="","",D1847*F1847)</f>
        <v/>
      </c>
      <c r="K1847" s="0" t="str">
        <f aca="false">IF(A1847="","",YEAR(A1847))</f>
        <v/>
      </c>
      <c r="L1847" s="0" t="str">
        <f aca="false">IF(A1847="","",MONTH(A1847))</f>
        <v/>
      </c>
    </row>
    <row r="1848" customFormat="false" ht="15" hidden="false" customHeight="false" outlineLevel="0" collapsed="false">
      <c r="A1848" s="27"/>
      <c r="E1848" s="28"/>
      <c r="F1848" s="28"/>
      <c r="I1848" s="28" t="str">
        <f aca="false">IF(A1848="","",D1848*E1848)</f>
        <v/>
      </c>
      <c r="J1848" s="28" t="str">
        <f aca="false">IF(A1848="","",D1848*F1848)</f>
        <v/>
      </c>
      <c r="K1848" s="0" t="str">
        <f aca="false">IF(A1848="","",YEAR(A1848))</f>
        <v/>
      </c>
      <c r="L1848" s="0" t="str">
        <f aca="false">IF(A1848="","",MONTH(A1848))</f>
        <v/>
      </c>
    </row>
    <row r="1849" customFormat="false" ht="15" hidden="false" customHeight="false" outlineLevel="0" collapsed="false">
      <c r="A1849" s="27"/>
      <c r="E1849" s="28"/>
      <c r="F1849" s="28"/>
      <c r="I1849" s="28" t="str">
        <f aca="false">IF(A1849="","",D1849*E1849)</f>
        <v/>
      </c>
      <c r="J1849" s="28" t="str">
        <f aca="false">IF(A1849="","",D1849*F1849)</f>
        <v/>
      </c>
      <c r="K1849" s="0" t="str">
        <f aca="false">IF(A1849="","",YEAR(A1849))</f>
        <v/>
      </c>
      <c r="L1849" s="0" t="str">
        <f aca="false">IF(A1849="","",MONTH(A1849))</f>
        <v/>
      </c>
    </row>
    <row r="1850" customFormat="false" ht="15" hidden="false" customHeight="false" outlineLevel="0" collapsed="false">
      <c r="A1850" s="27"/>
      <c r="E1850" s="28"/>
      <c r="F1850" s="28"/>
      <c r="I1850" s="28" t="str">
        <f aca="false">IF(A1850="","",D1850*E1850)</f>
        <v/>
      </c>
      <c r="J1850" s="28" t="str">
        <f aca="false">IF(A1850="","",D1850*F1850)</f>
        <v/>
      </c>
      <c r="K1850" s="0" t="str">
        <f aca="false">IF(A1850="","",YEAR(A1850))</f>
        <v/>
      </c>
      <c r="L1850" s="0" t="str">
        <f aca="false">IF(A1850="","",MONTH(A1850))</f>
        <v/>
      </c>
    </row>
    <row r="1851" customFormat="false" ht="15" hidden="false" customHeight="false" outlineLevel="0" collapsed="false">
      <c r="A1851" s="27"/>
      <c r="E1851" s="28"/>
      <c r="F1851" s="28"/>
      <c r="I1851" s="28" t="str">
        <f aca="false">IF(A1851="","",D1851*E1851)</f>
        <v/>
      </c>
      <c r="J1851" s="28" t="str">
        <f aca="false">IF(A1851="","",D1851*F1851)</f>
        <v/>
      </c>
      <c r="K1851" s="0" t="str">
        <f aca="false">IF(A1851="","",YEAR(A1851))</f>
        <v/>
      </c>
      <c r="L1851" s="0" t="str">
        <f aca="false">IF(A1851="","",MONTH(A1851))</f>
        <v/>
      </c>
    </row>
    <row r="1852" customFormat="false" ht="15" hidden="false" customHeight="false" outlineLevel="0" collapsed="false">
      <c r="A1852" s="27"/>
      <c r="E1852" s="28"/>
      <c r="F1852" s="28"/>
      <c r="I1852" s="28" t="str">
        <f aca="false">IF(A1852="","",D1852*E1852)</f>
        <v/>
      </c>
      <c r="J1852" s="28" t="str">
        <f aca="false">IF(A1852="","",D1852*F1852)</f>
        <v/>
      </c>
      <c r="K1852" s="0" t="str">
        <f aca="false">IF(A1852="","",YEAR(A1852))</f>
        <v/>
      </c>
      <c r="L1852" s="0" t="str">
        <f aca="false">IF(A1852="","",MONTH(A1852))</f>
        <v/>
      </c>
    </row>
    <row r="1853" customFormat="false" ht="15" hidden="false" customHeight="false" outlineLevel="0" collapsed="false">
      <c r="A1853" s="27"/>
      <c r="E1853" s="28"/>
      <c r="F1853" s="28"/>
      <c r="I1853" s="28" t="str">
        <f aca="false">IF(A1853="","",D1853*E1853)</f>
        <v/>
      </c>
      <c r="J1853" s="28" t="str">
        <f aca="false">IF(A1853="","",D1853*F1853)</f>
        <v/>
      </c>
      <c r="K1853" s="0" t="str">
        <f aca="false">IF(A1853="","",YEAR(A1853))</f>
        <v/>
      </c>
      <c r="L1853" s="0" t="str">
        <f aca="false">IF(A1853="","",MONTH(A1853))</f>
        <v/>
      </c>
    </row>
    <row r="1854" customFormat="false" ht="15" hidden="false" customHeight="false" outlineLevel="0" collapsed="false">
      <c r="A1854" s="27"/>
      <c r="E1854" s="28"/>
      <c r="F1854" s="28"/>
      <c r="I1854" s="28" t="str">
        <f aca="false">IF(A1854="","",D1854*E1854)</f>
        <v/>
      </c>
      <c r="J1854" s="28" t="str">
        <f aca="false">IF(A1854="","",D1854*F1854)</f>
        <v/>
      </c>
      <c r="K1854" s="0" t="str">
        <f aca="false">IF(A1854="","",YEAR(A1854))</f>
        <v/>
      </c>
      <c r="L1854" s="0" t="str">
        <f aca="false">IF(A1854="","",MONTH(A1854))</f>
        <v/>
      </c>
    </row>
    <row r="1855" customFormat="false" ht="15" hidden="false" customHeight="false" outlineLevel="0" collapsed="false">
      <c r="A1855" s="27"/>
      <c r="E1855" s="28"/>
      <c r="F1855" s="28"/>
      <c r="I1855" s="28" t="str">
        <f aca="false">IF(A1855="","",D1855*E1855)</f>
        <v/>
      </c>
      <c r="J1855" s="28" t="str">
        <f aca="false">IF(A1855="","",D1855*F1855)</f>
        <v/>
      </c>
      <c r="K1855" s="0" t="str">
        <f aca="false">IF(A1855="","",YEAR(A1855))</f>
        <v/>
      </c>
      <c r="L1855" s="0" t="str">
        <f aca="false">IF(A1855="","",MONTH(A1855))</f>
        <v/>
      </c>
    </row>
    <row r="1856" customFormat="false" ht="15" hidden="false" customHeight="false" outlineLevel="0" collapsed="false">
      <c r="A1856" s="27"/>
      <c r="E1856" s="28"/>
      <c r="F1856" s="28"/>
      <c r="I1856" s="28" t="str">
        <f aca="false">IF(A1856="","",D1856*E1856)</f>
        <v/>
      </c>
      <c r="J1856" s="28" t="str">
        <f aca="false">IF(A1856="","",D1856*F1856)</f>
        <v/>
      </c>
      <c r="K1856" s="0" t="str">
        <f aca="false">IF(A1856="","",YEAR(A1856))</f>
        <v/>
      </c>
      <c r="L1856" s="0" t="str">
        <f aca="false">IF(A1856="","",MONTH(A1856))</f>
        <v/>
      </c>
    </row>
    <row r="1857" customFormat="false" ht="15" hidden="false" customHeight="false" outlineLevel="0" collapsed="false">
      <c r="A1857" s="27"/>
      <c r="E1857" s="28"/>
      <c r="F1857" s="28"/>
      <c r="I1857" s="28" t="str">
        <f aca="false">IF(A1857="","",D1857*E1857)</f>
        <v/>
      </c>
      <c r="J1857" s="28" t="str">
        <f aca="false">IF(A1857="","",D1857*F1857)</f>
        <v/>
      </c>
      <c r="K1857" s="0" t="str">
        <f aca="false">IF(A1857="","",YEAR(A1857))</f>
        <v/>
      </c>
      <c r="L1857" s="0" t="str">
        <f aca="false">IF(A1857="","",MONTH(A1857))</f>
        <v/>
      </c>
    </row>
    <row r="1858" customFormat="false" ht="15" hidden="false" customHeight="false" outlineLevel="0" collapsed="false">
      <c r="A1858" s="27"/>
      <c r="E1858" s="28"/>
      <c r="F1858" s="28"/>
      <c r="I1858" s="28" t="str">
        <f aca="false">IF(A1858="","",D1858*E1858)</f>
        <v/>
      </c>
      <c r="J1858" s="28" t="str">
        <f aca="false">IF(A1858="","",D1858*F1858)</f>
        <v/>
      </c>
      <c r="K1858" s="0" t="str">
        <f aca="false">IF(A1858="","",YEAR(A1858))</f>
        <v/>
      </c>
      <c r="L1858" s="0" t="str">
        <f aca="false">IF(A1858="","",MONTH(A1858))</f>
        <v/>
      </c>
    </row>
    <row r="1859" customFormat="false" ht="15" hidden="false" customHeight="false" outlineLevel="0" collapsed="false">
      <c r="A1859" s="27"/>
      <c r="E1859" s="28"/>
      <c r="F1859" s="28"/>
      <c r="I1859" s="28" t="str">
        <f aca="false">IF(A1859="","",D1859*E1859)</f>
        <v/>
      </c>
      <c r="J1859" s="28" t="str">
        <f aca="false">IF(A1859="","",D1859*F1859)</f>
        <v/>
      </c>
      <c r="K1859" s="0" t="str">
        <f aca="false">IF(A1859="","",YEAR(A1859))</f>
        <v/>
      </c>
      <c r="L1859" s="0" t="str">
        <f aca="false">IF(A1859="","",MONTH(A1859))</f>
        <v/>
      </c>
    </row>
    <row r="1860" customFormat="false" ht="15" hidden="false" customHeight="false" outlineLevel="0" collapsed="false">
      <c r="A1860" s="27"/>
      <c r="E1860" s="28"/>
      <c r="F1860" s="28"/>
      <c r="I1860" s="28" t="str">
        <f aca="false">IF(A1860="","",D1860*E1860)</f>
        <v/>
      </c>
      <c r="J1860" s="28" t="str">
        <f aca="false">IF(A1860="","",D1860*F1860)</f>
        <v/>
      </c>
      <c r="K1860" s="0" t="str">
        <f aca="false">IF(A1860="","",YEAR(A1860))</f>
        <v/>
      </c>
      <c r="L1860" s="0" t="str">
        <f aca="false">IF(A1860="","",MONTH(A1860))</f>
        <v/>
      </c>
    </row>
    <row r="1861" customFormat="false" ht="15" hidden="false" customHeight="false" outlineLevel="0" collapsed="false">
      <c r="A1861" s="27"/>
      <c r="E1861" s="28"/>
      <c r="F1861" s="28"/>
      <c r="I1861" s="28" t="str">
        <f aca="false">IF(A1861="","",D1861*E1861)</f>
        <v/>
      </c>
      <c r="J1861" s="28" t="str">
        <f aca="false">IF(A1861="","",D1861*F1861)</f>
        <v/>
      </c>
      <c r="K1861" s="0" t="str">
        <f aca="false">IF(A1861="","",YEAR(A1861))</f>
        <v/>
      </c>
      <c r="L1861" s="0" t="str">
        <f aca="false">IF(A1861="","",MONTH(A1861))</f>
        <v/>
      </c>
    </row>
    <row r="1862" customFormat="false" ht="15" hidden="false" customHeight="false" outlineLevel="0" collapsed="false">
      <c r="A1862" s="27"/>
      <c r="E1862" s="28"/>
      <c r="F1862" s="28"/>
      <c r="I1862" s="28" t="str">
        <f aca="false">IF(A1862="","",D1862*E1862)</f>
        <v/>
      </c>
      <c r="J1862" s="28" t="str">
        <f aca="false">IF(A1862="","",D1862*F1862)</f>
        <v/>
      </c>
      <c r="K1862" s="0" t="str">
        <f aca="false">IF(A1862="","",YEAR(A1862))</f>
        <v/>
      </c>
      <c r="L1862" s="0" t="str">
        <f aca="false">IF(A1862="","",MONTH(A1862))</f>
        <v/>
      </c>
    </row>
    <row r="1863" customFormat="false" ht="15" hidden="false" customHeight="false" outlineLevel="0" collapsed="false">
      <c r="A1863" s="27"/>
      <c r="E1863" s="28"/>
      <c r="F1863" s="28"/>
      <c r="I1863" s="28" t="str">
        <f aca="false">IF(A1863="","",D1863*E1863)</f>
        <v/>
      </c>
      <c r="J1863" s="28" t="str">
        <f aca="false">IF(A1863="","",D1863*F1863)</f>
        <v/>
      </c>
      <c r="K1863" s="0" t="str">
        <f aca="false">IF(A1863="","",YEAR(A1863))</f>
        <v/>
      </c>
      <c r="L1863" s="0" t="str">
        <f aca="false">IF(A1863="","",MONTH(A1863))</f>
        <v/>
      </c>
    </row>
    <row r="1864" customFormat="false" ht="15" hidden="false" customHeight="false" outlineLevel="0" collapsed="false">
      <c r="A1864" s="27"/>
      <c r="E1864" s="28"/>
      <c r="F1864" s="28"/>
      <c r="I1864" s="28" t="str">
        <f aca="false">IF(A1864="","",D1864*E1864)</f>
        <v/>
      </c>
      <c r="J1864" s="28" t="str">
        <f aca="false">IF(A1864="","",D1864*F1864)</f>
        <v/>
      </c>
      <c r="K1864" s="0" t="str">
        <f aca="false">IF(A1864="","",YEAR(A1864))</f>
        <v/>
      </c>
      <c r="L1864" s="0" t="str">
        <f aca="false">IF(A1864="","",MONTH(A1864))</f>
        <v/>
      </c>
    </row>
    <row r="1865" customFormat="false" ht="15" hidden="false" customHeight="false" outlineLevel="0" collapsed="false">
      <c r="A1865" s="27"/>
      <c r="E1865" s="28"/>
      <c r="F1865" s="28"/>
      <c r="I1865" s="28" t="str">
        <f aca="false">IF(A1865="","",D1865*E1865)</f>
        <v/>
      </c>
      <c r="J1865" s="28" t="str">
        <f aca="false">IF(A1865="","",D1865*F1865)</f>
        <v/>
      </c>
      <c r="K1865" s="0" t="str">
        <f aca="false">IF(A1865="","",YEAR(A1865))</f>
        <v/>
      </c>
      <c r="L1865" s="0" t="str">
        <f aca="false">IF(A1865="","",MONTH(A1865))</f>
        <v/>
      </c>
    </row>
    <row r="1866" customFormat="false" ht="15" hidden="false" customHeight="false" outlineLevel="0" collapsed="false">
      <c r="A1866" s="27"/>
      <c r="E1866" s="28"/>
      <c r="F1866" s="28"/>
      <c r="I1866" s="28" t="str">
        <f aca="false">IF(A1866="","",D1866*E1866)</f>
        <v/>
      </c>
      <c r="J1866" s="28" t="str">
        <f aca="false">IF(A1866="","",D1866*F1866)</f>
        <v/>
      </c>
      <c r="K1866" s="0" t="str">
        <f aca="false">IF(A1866="","",YEAR(A1866))</f>
        <v/>
      </c>
      <c r="L1866" s="0" t="str">
        <f aca="false">IF(A1866="","",MONTH(A1866))</f>
        <v/>
      </c>
    </row>
    <row r="1867" customFormat="false" ht="15" hidden="false" customHeight="false" outlineLevel="0" collapsed="false">
      <c r="A1867" s="27"/>
      <c r="E1867" s="28"/>
      <c r="F1867" s="28"/>
      <c r="I1867" s="28" t="str">
        <f aca="false">IF(A1867="","",D1867*E1867)</f>
        <v/>
      </c>
      <c r="J1867" s="28" t="str">
        <f aca="false">IF(A1867="","",D1867*F1867)</f>
        <v/>
      </c>
      <c r="K1867" s="0" t="str">
        <f aca="false">IF(A1867="","",YEAR(A1867))</f>
        <v/>
      </c>
      <c r="L1867" s="0" t="str">
        <f aca="false">IF(A1867="","",MONTH(A1867))</f>
        <v/>
      </c>
    </row>
    <row r="1868" customFormat="false" ht="15" hidden="false" customHeight="false" outlineLevel="0" collapsed="false">
      <c r="A1868" s="27"/>
      <c r="E1868" s="28"/>
      <c r="F1868" s="28"/>
      <c r="I1868" s="28" t="str">
        <f aca="false">IF(A1868="","",D1868*E1868)</f>
        <v/>
      </c>
      <c r="J1868" s="28" t="str">
        <f aca="false">IF(A1868="","",D1868*F1868)</f>
        <v/>
      </c>
      <c r="K1868" s="0" t="str">
        <f aca="false">IF(A1868="","",YEAR(A1868))</f>
        <v/>
      </c>
      <c r="L1868" s="0" t="str">
        <f aca="false">IF(A1868="","",MONTH(A1868))</f>
        <v/>
      </c>
    </row>
    <row r="1869" customFormat="false" ht="15" hidden="false" customHeight="false" outlineLevel="0" collapsed="false">
      <c r="A1869" s="27"/>
      <c r="E1869" s="28"/>
      <c r="F1869" s="28"/>
      <c r="I1869" s="28" t="str">
        <f aca="false">IF(A1869="","",D1869*E1869)</f>
        <v/>
      </c>
      <c r="J1869" s="28" t="str">
        <f aca="false">IF(A1869="","",D1869*F1869)</f>
        <v/>
      </c>
      <c r="K1869" s="0" t="str">
        <f aca="false">IF(A1869="","",YEAR(A1869))</f>
        <v/>
      </c>
      <c r="L1869" s="0" t="str">
        <f aca="false">IF(A1869="","",MONTH(A1869))</f>
        <v/>
      </c>
    </row>
    <row r="1870" customFormat="false" ht="15" hidden="false" customHeight="false" outlineLevel="0" collapsed="false">
      <c r="A1870" s="27"/>
      <c r="E1870" s="28"/>
      <c r="F1870" s="28"/>
      <c r="I1870" s="28" t="str">
        <f aca="false">IF(A1870="","",D1870*E1870)</f>
        <v/>
      </c>
      <c r="J1870" s="28" t="str">
        <f aca="false">IF(A1870="","",D1870*F1870)</f>
        <v/>
      </c>
      <c r="K1870" s="0" t="str">
        <f aca="false">IF(A1870="","",YEAR(A1870))</f>
        <v/>
      </c>
      <c r="L1870" s="0" t="str">
        <f aca="false">IF(A1870="","",MONTH(A1870))</f>
        <v/>
      </c>
    </row>
    <row r="1871" customFormat="false" ht="15" hidden="false" customHeight="false" outlineLevel="0" collapsed="false">
      <c r="A1871" s="27"/>
      <c r="E1871" s="28"/>
      <c r="F1871" s="28"/>
      <c r="I1871" s="28" t="str">
        <f aca="false">IF(A1871="","",D1871*E1871)</f>
        <v/>
      </c>
      <c r="J1871" s="28" t="str">
        <f aca="false">IF(A1871="","",D1871*F1871)</f>
        <v/>
      </c>
      <c r="K1871" s="0" t="str">
        <f aca="false">IF(A1871="","",YEAR(A1871))</f>
        <v/>
      </c>
      <c r="L1871" s="0" t="str">
        <f aca="false">IF(A1871="","",MONTH(A1871))</f>
        <v/>
      </c>
    </row>
    <row r="1872" customFormat="false" ht="15" hidden="false" customHeight="false" outlineLevel="0" collapsed="false">
      <c r="A1872" s="27"/>
      <c r="E1872" s="28"/>
      <c r="F1872" s="28"/>
      <c r="I1872" s="28" t="str">
        <f aca="false">IF(A1872="","",D1872*E1872)</f>
        <v/>
      </c>
      <c r="J1872" s="28" t="str">
        <f aca="false">IF(A1872="","",D1872*F1872)</f>
        <v/>
      </c>
      <c r="K1872" s="0" t="str">
        <f aca="false">IF(A1872="","",YEAR(A1872))</f>
        <v/>
      </c>
      <c r="L1872" s="0" t="str">
        <f aca="false">IF(A1872="","",MONTH(A1872))</f>
        <v/>
      </c>
    </row>
    <row r="1873" customFormat="false" ht="15" hidden="false" customHeight="false" outlineLevel="0" collapsed="false">
      <c r="A1873" s="27"/>
      <c r="E1873" s="28"/>
      <c r="F1873" s="28"/>
      <c r="I1873" s="28" t="str">
        <f aca="false">IF(A1873="","",D1873*E1873)</f>
        <v/>
      </c>
      <c r="J1873" s="28" t="str">
        <f aca="false">IF(A1873="","",D1873*F1873)</f>
        <v/>
      </c>
      <c r="K1873" s="0" t="str">
        <f aca="false">IF(A1873="","",YEAR(A1873))</f>
        <v/>
      </c>
      <c r="L1873" s="0" t="str">
        <f aca="false">IF(A1873="","",MONTH(A1873))</f>
        <v/>
      </c>
    </row>
    <row r="1874" customFormat="false" ht="15" hidden="false" customHeight="false" outlineLevel="0" collapsed="false">
      <c r="A1874" s="27"/>
      <c r="E1874" s="28"/>
      <c r="F1874" s="28"/>
      <c r="I1874" s="28" t="str">
        <f aca="false">IF(A1874="","",D1874*E1874)</f>
        <v/>
      </c>
      <c r="J1874" s="28" t="str">
        <f aca="false">IF(A1874="","",D1874*F1874)</f>
        <v/>
      </c>
      <c r="K1874" s="0" t="str">
        <f aca="false">IF(A1874="","",YEAR(A1874))</f>
        <v/>
      </c>
      <c r="L1874" s="0" t="str">
        <f aca="false">IF(A1874="","",MONTH(A1874))</f>
        <v/>
      </c>
    </row>
    <row r="1875" customFormat="false" ht="15" hidden="false" customHeight="false" outlineLevel="0" collapsed="false">
      <c r="A1875" s="27"/>
      <c r="E1875" s="28"/>
      <c r="F1875" s="28"/>
      <c r="I1875" s="28" t="str">
        <f aca="false">IF(A1875="","",D1875*E1875)</f>
        <v/>
      </c>
      <c r="J1875" s="28" t="str">
        <f aca="false">IF(A1875="","",D1875*F1875)</f>
        <v/>
      </c>
      <c r="K1875" s="0" t="str">
        <f aca="false">IF(A1875="","",YEAR(A1875))</f>
        <v/>
      </c>
      <c r="L1875" s="0" t="str">
        <f aca="false">IF(A1875="","",MONTH(A1875))</f>
        <v/>
      </c>
    </row>
    <row r="1876" customFormat="false" ht="15" hidden="false" customHeight="false" outlineLevel="0" collapsed="false">
      <c r="A1876" s="27"/>
      <c r="E1876" s="28"/>
      <c r="F1876" s="28"/>
      <c r="I1876" s="28" t="str">
        <f aca="false">IF(A1876="","",D1876*E1876)</f>
        <v/>
      </c>
      <c r="J1876" s="28" t="str">
        <f aca="false">IF(A1876="","",D1876*F1876)</f>
        <v/>
      </c>
      <c r="K1876" s="0" t="str">
        <f aca="false">IF(A1876="","",YEAR(A1876))</f>
        <v/>
      </c>
      <c r="L1876" s="0" t="str">
        <f aca="false">IF(A1876="","",MONTH(A1876))</f>
        <v/>
      </c>
    </row>
    <row r="1877" customFormat="false" ht="15" hidden="false" customHeight="false" outlineLevel="0" collapsed="false">
      <c r="A1877" s="27"/>
      <c r="E1877" s="28"/>
      <c r="F1877" s="28"/>
      <c r="I1877" s="28" t="str">
        <f aca="false">IF(A1877="","",D1877*E1877)</f>
        <v/>
      </c>
      <c r="J1877" s="28" t="str">
        <f aca="false">IF(A1877="","",D1877*F1877)</f>
        <v/>
      </c>
      <c r="K1877" s="0" t="str">
        <f aca="false">IF(A1877="","",YEAR(A1877))</f>
        <v/>
      </c>
      <c r="L1877" s="0" t="str">
        <f aca="false">IF(A1877="","",MONTH(A1877))</f>
        <v/>
      </c>
    </row>
    <row r="1878" customFormat="false" ht="15" hidden="false" customHeight="false" outlineLevel="0" collapsed="false">
      <c r="A1878" s="27"/>
      <c r="E1878" s="28"/>
      <c r="F1878" s="28"/>
      <c r="I1878" s="28" t="str">
        <f aca="false">IF(A1878="","",D1878*E1878)</f>
        <v/>
      </c>
      <c r="J1878" s="28" t="str">
        <f aca="false">IF(A1878="","",D1878*F1878)</f>
        <v/>
      </c>
      <c r="K1878" s="0" t="str">
        <f aca="false">IF(A1878="","",YEAR(A1878))</f>
        <v/>
      </c>
      <c r="L1878" s="0" t="str">
        <f aca="false">IF(A1878="","",MONTH(A1878))</f>
        <v/>
      </c>
    </row>
    <row r="1879" customFormat="false" ht="15" hidden="false" customHeight="false" outlineLevel="0" collapsed="false">
      <c r="A1879" s="27"/>
      <c r="E1879" s="28"/>
      <c r="F1879" s="28"/>
      <c r="I1879" s="28" t="str">
        <f aca="false">IF(A1879="","",D1879*E1879)</f>
        <v/>
      </c>
      <c r="J1879" s="28" t="str">
        <f aca="false">IF(A1879="","",D1879*F1879)</f>
        <v/>
      </c>
      <c r="K1879" s="0" t="str">
        <f aca="false">IF(A1879="","",YEAR(A1879))</f>
        <v/>
      </c>
      <c r="L1879" s="0" t="str">
        <f aca="false">IF(A1879="","",MONTH(A1879))</f>
        <v/>
      </c>
    </row>
    <row r="1880" customFormat="false" ht="15" hidden="false" customHeight="false" outlineLevel="0" collapsed="false">
      <c r="A1880" s="27"/>
      <c r="E1880" s="28"/>
      <c r="F1880" s="28"/>
      <c r="I1880" s="28" t="str">
        <f aca="false">IF(A1880="","",D1880*E1880)</f>
        <v/>
      </c>
      <c r="J1880" s="28" t="str">
        <f aca="false">IF(A1880="","",D1880*F1880)</f>
        <v/>
      </c>
      <c r="K1880" s="0" t="str">
        <f aca="false">IF(A1880="","",YEAR(A1880))</f>
        <v/>
      </c>
      <c r="L1880" s="0" t="str">
        <f aca="false">IF(A1880="","",MONTH(A1880))</f>
        <v/>
      </c>
    </row>
    <row r="1881" customFormat="false" ht="15" hidden="false" customHeight="false" outlineLevel="0" collapsed="false">
      <c r="A1881" s="27"/>
      <c r="E1881" s="28"/>
      <c r="F1881" s="28"/>
      <c r="I1881" s="28" t="str">
        <f aca="false">IF(A1881="","",D1881*E1881)</f>
        <v/>
      </c>
      <c r="J1881" s="28" t="str">
        <f aca="false">IF(A1881="","",D1881*F1881)</f>
        <v/>
      </c>
      <c r="K1881" s="0" t="str">
        <f aca="false">IF(A1881="","",YEAR(A1881))</f>
        <v/>
      </c>
      <c r="L1881" s="0" t="str">
        <f aca="false">IF(A1881="","",MONTH(A1881))</f>
        <v/>
      </c>
    </row>
    <row r="1882" customFormat="false" ht="15" hidden="false" customHeight="false" outlineLevel="0" collapsed="false">
      <c r="A1882" s="27"/>
      <c r="E1882" s="28"/>
      <c r="F1882" s="28"/>
      <c r="I1882" s="28" t="str">
        <f aca="false">IF(A1882="","",D1882*E1882)</f>
        <v/>
      </c>
      <c r="J1882" s="28" t="str">
        <f aca="false">IF(A1882="","",D1882*F1882)</f>
        <v/>
      </c>
      <c r="K1882" s="0" t="str">
        <f aca="false">IF(A1882="","",YEAR(A1882))</f>
        <v/>
      </c>
      <c r="L1882" s="0" t="str">
        <f aca="false">IF(A1882="","",MONTH(A1882))</f>
        <v/>
      </c>
    </row>
    <row r="1883" customFormat="false" ht="15" hidden="false" customHeight="false" outlineLevel="0" collapsed="false">
      <c r="A1883" s="27"/>
      <c r="E1883" s="28"/>
      <c r="F1883" s="28"/>
      <c r="I1883" s="28" t="str">
        <f aca="false">IF(A1883="","",D1883*E1883)</f>
        <v/>
      </c>
      <c r="J1883" s="28" t="str">
        <f aca="false">IF(A1883="","",D1883*F1883)</f>
        <v/>
      </c>
      <c r="K1883" s="0" t="str">
        <f aca="false">IF(A1883="","",YEAR(A1883))</f>
        <v/>
      </c>
      <c r="L1883" s="0" t="str">
        <f aca="false">IF(A1883="","",MONTH(A1883))</f>
        <v/>
      </c>
    </row>
    <row r="1884" customFormat="false" ht="15" hidden="false" customHeight="false" outlineLevel="0" collapsed="false">
      <c r="A1884" s="27"/>
      <c r="E1884" s="28"/>
      <c r="F1884" s="28"/>
      <c r="I1884" s="28" t="str">
        <f aca="false">IF(A1884="","",D1884*E1884)</f>
        <v/>
      </c>
      <c r="J1884" s="28" t="str">
        <f aca="false">IF(A1884="","",D1884*F1884)</f>
        <v/>
      </c>
      <c r="K1884" s="0" t="str">
        <f aca="false">IF(A1884="","",YEAR(A1884))</f>
        <v/>
      </c>
      <c r="L1884" s="0" t="str">
        <f aca="false">IF(A1884="","",MONTH(A1884))</f>
        <v/>
      </c>
    </row>
    <row r="1885" customFormat="false" ht="15" hidden="false" customHeight="false" outlineLevel="0" collapsed="false">
      <c r="A1885" s="27"/>
      <c r="E1885" s="28"/>
      <c r="F1885" s="28"/>
      <c r="I1885" s="28" t="str">
        <f aca="false">IF(A1885="","",D1885*E1885)</f>
        <v/>
      </c>
      <c r="J1885" s="28" t="str">
        <f aca="false">IF(A1885="","",D1885*F1885)</f>
        <v/>
      </c>
      <c r="K1885" s="0" t="str">
        <f aca="false">IF(A1885="","",YEAR(A1885))</f>
        <v/>
      </c>
      <c r="L1885" s="0" t="str">
        <f aca="false">IF(A1885="","",MONTH(A1885))</f>
        <v/>
      </c>
    </row>
    <row r="1886" customFormat="false" ht="15" hidden="false" customHeight="false" outlineLevel="0" collapsed="false">
      <c r="A1886" s="27"/>
      <c r="E1886" s="28"/>
      <c r="F1886" s="28"/>
      <c r="I1886" s="28" t="str">
        <f aca="false">IF(A1886="","",D1886*E1886)</f>
        <v/>
      </c>
      <c r="J1886" s="28" t="str">
        <f aca="false">IF(A1886="","",D1886*F1886)</f>
        <v/>
      </c>
      <c r="K1886" s="0" t="str">
        <f aca="false">IF(A1886="","",YEAR(A1886))</f>
        <v/>
      </c>
      <c r="L1886" s="0" t="str">
        <f aca="false">IF(A1886="","",MONTH(A1886))</f>
        <v/>
      </c>
    </row>
    <row r="1887" customFormat="false" ht="15" hidden="false" customHeight="false" outlineLevel="0" collapsed="false">
      <c r="A1887" s="27"/>
      <c r="E1887" s="28"/>
      <c r="F1887" s="28"/>
      <c r="I1887" s="28" t="str">
        <f aca="false">IF(A1887="","",D1887*E1887)</f>
        <v/>
      </c>
      <c r="J1887" s="28" t="str">
        <f aca="false">IF(A1887="","",D1887*F1887)</f>
        <v/>
      </c>
      <c r="K1887" s="0" t="str">
        <f aca="false">IF(A1887="","",YEAR(A1887))</f>
        <v/>
      </c>
      <c r="L1887" s="0" t="str">
        <f aca="false">IF(A1887="","",MONTH(A1887))</f>
        <v/>
      </c>
    </row>
    <row r="1888" customFormat="false" ht="15" hidden="false" customHeight="false" outlineLevel="0" collapsed="false">
      <c r="A1888" s="27"/>
      <c r="E1888" s="28"/>
      <c r="F1888" s="28"/>
      <c r="I1888" s="28" t="str">
        <f aca="false">IF(A1888="","",D1888*E1888)</f>
        <v/>
      </c>
      <c r="J1888" s="28" t="str">
        <f aca="false">IF(A1888="","",D1888*F1888)</f>
        <v/>
      </c>
      <c r="K1888" s="0" t="str">
        <f aca="false">IF(A1888="","",YEAR(A1888))</f>
        <v/>
      </c>
      <c r="L1888" s="0" t="str">
        <f aca="false">IF(A1888="","",MONTH(A1888))</f>
        <v/>
      </c>
    </row>
    <row r="1889" customFormat="false" ht="15" hidden="false" customHeight="false" outlineLevel="0" collapsed="false">
      <c r="A1889" s="27"/>
      <c r="E1889" s="28"/>
      <c r="F1889" s="28"/>
      <c r="I1889" s="28" t="str">
        <f aca="false">IF(A1889="","",D1889*E1889)</f>
        <v/>
      </c>
      <c r="J1889" s="28" t="str">
        <f aca="false">IF(A1889="","",D1889*F1889)</f>
        <v/>
      </c>
      <c r="K1889" s="0" t="str">
        <f aca="false">IF(A1889="","",YEAR(A1889))</f>
        <v/>
      </c>
      <c r="L1889" s="0" t="str">
        <f aca="false">IF(A1889="","",MONTH(A1889))</f>
        <v/>
      </c>
    </row>
    <row r="1890" customFormat="false" ht="15" hidden="false" customHeight="false" outlineLevel="0" collapsed="false">
      <c r="A1890" s="27"/>
      <c r="E1890" s="28"/>
      <c r="F1890" s="28"/>
      <c r="I1890" s="28" t="str">
        <f aca="false">IF(A1890="","",D1890*E1890)</f>
        <v/>
      </c>
      <c r="J1890" s="28" t="str">
        <f aca="false">IF(A1890="","",D1890*F1890)</f>
        <v/>
      </c>
      <c r="K1890" s="0" t="str">
        <f aca="false">IF(A1890="","",YEAR(A1890))</f>
        <v/>
      </c>
      <c r="L1890" s="0" t="str">
        <f aca="false">IF(A1890="","",MONTH(A1890))</f>
        <v/>
      </c>
    </row>
    <row r="1891" customFormat="false" ht="15" hidden="false" customHeight="false" outlineLevel="0" collapsed="false">
      <c r="A1891" s="27"/>
      <c r="E1891" s="28"/>
      <c r="F1891" s="28"/>
      <c r="I1891" s="28" t="str">
        <f aca="false">IF(A1891="","",D1891*E1891)</f>
        <v/>
      </c>
      <c r="J1891" s="28" t="str">
        <f aca="false">IF(A1891="","",D1891*F1891)</f>
        <v/>
      </c>
      <c r="K1891" s="0" t="str">
        <f aca="false">IF(A1891="","",YEAR(A1891))</f>
        <v/>
      </c>
      <c r="L1891" s="0" t="str">
        <f aca="false">IF(A1891="","",MONTH(A1891))</f>
        <v/>
      </c>
    </row>
    <row r="1892" customFormat="false" ht="15" hidden="false" customHeight="false" outlineLevel="0" collapsed="false">
      <c r="A1892" s="27"/>
      <c r="E1892" s="28"/>
      <c r="F1892" s="28"/>
      <c r="I1892" s="28" t="str">
        <f aca="false">IF(A1892="","",D1892*E1892)</f>
        <v/>
      </c>
      <c r="J1892" s="28" t="str">
        <f aca="false">IF(A1892="","",D1892*F1892)</f>
        <v/>
      </c>
      <c r="K1892" s="0" t="str">
        <f aca="false">IF(A1892="","",YEAR(A1892))</f>
        <v/>
      </c>
      <c r="L1892" s="0" t="str">
        <f aca="false">IF(A1892="","",MONTH(A1892))</f>
        <v/>
      </c>
    </row>
    <row r="1893" customFormat="false" ht="15" hidden="false" customHeight="false" outlineLevel="0" collapsed="false">
      <c r="A1893" s="27"/>
      <c r="E1893" s="28"/>
      <c r="F1893" s="28"/>
      <c r="I1893" s="28" t="str">
        <f aca="false">IF(A1893="","",D1893*E1893)</f>
        <v/>
      </c>
      <c r="J1893" s="28" t="str">
        <f aca="false">IF(A1893="","",D1893*F1893)</f>
        <v/>
      </c>
      <c r="K1893" s="0" t="str">
        <f aca="false">IF(A1893="","",YEAR(A1893))</f>
        <v/>
      </c>
      <c r="L1893" s="0" t="str">
        <f aca="false">IF(A1893="","",MONTH(A1893))</f>
        <v/>
      </c>
    </row>
    <row r="1894" customFormat="false" ht="15" hidden="false" customHeight="false" outlineLevel="0" collapsed="false">
      <c r="A1894" s="27"/>
      <c r="E1894" s="28"/>
      <c r="F1894" s="28"/>
      <c r="I1894" s="28" t="str">
        <f aca="false">IF(A1894="","",D1894*E1894)</f>
        <v/>
      </c>
      <c r="J1894" s="28" t="str">
        <f aca="false">IF(A1894="","",D1894*F1894)</f>
        <v/>
      </c>
      <c r="K1894" s="0" t="str">
        <f aca="false">IF(A1894="","",YEAR(A1894))</f>
        <v/>
      </c>
      <c r="L1894" s="0" t="str">
        <f aca="false">IF(A1894="","",MONTH(A1894))</f>
        <v/>
      </c>
    </row>
    <row r="1895" customFormat="false" ht="15" hidden="false" customHeight="false" outlineLevel="0" collapsed="false">
      <c r="A1895" s="27"/>
      <c r="E1895" s="28"/>
      <c r="F1895" s="28"/>
      <c r="I1895" s="28" t="str">
        <f aca="false">IF(A1895="","",D1895*E1895)</f>
        <v/>
      </c>
      <c r="J1895" s="28" t="str">
        <f aca="false">IF(A1895="","",D1895*F1895)</f>
        <v/>
      </c>
      <c r="K1895" s="0" t="str">
        <f aca="false">IF(A1895="","",YEAR(A1895))</f>
        <v/>
      </c>
      <c r="L1895" s="0" t="str">
        <f aca="false">IF(A1895="","",MONTH(A1895))</f>
        <v/>
      </c>
    </row>
    <row r="1896" customFormat="false" ht="15" hidden="false" customHeight="false" outlineLevel="0" collapsed="false">
      <c r="A1896" s="27"/>
      <c r="E1896" s="28"/>
      <c r="F1896" s="28"/>
      <c r="I1896" s="28" t="str">
        <f aca="false">IF(A1896="","",D1896*E1896)</f>
        <v/>
      </c>
      <c r="J1896" s="28" t="str">
        <f aca="false">IF(A1896="","",D1896*F1896)</f>
        <v/>
      </c>
      <c r="K1896" s="0" t="str">
        <f aca="false">IF(A1896="","",YEAR(A1896))</f>
        <v/>
      </c>
      <c r="L1896" s="0" t="str">
        <f aca="false">IF(A1896="","",MONTH(A1896))</f>
        <v/>
      </c>
    </row>
    <row r="1897" customFormat="false" ht="15" hidden="false" customHeight="false" outlineLevel="0" collapsed="false">
      <c r="A1897" s="27"/>
      <c r="E1897" s="28"/>
      <c r="F1897" s="28"/>
      <c r="I1897" s="28" t="str">
        <f aca="false">IF(A1897="","",D1897*E1897)</f>
        <v/>
      </c>
      <c r="J1897" s="28" t="str">
        <f aca="false">IF(A1897="","",D1897*F1897)</f>
        <v/>
      </c>
      <c r="K1897" s="0" t="str">
        <f aca="false">IF(A1897="","",YEAR(A1897))</f>
        <v/>
      </c>
      <c r="L1897" s="0" t="str">
        <f aca="false">IF(A1897="","",MONTH(A1897))</f>
        <v/>
      </c>
    </row>
    <row r="1898" customFormat="false" ht="15" hidden="false" customHeight="false" outlineLevel="0" collapsed="false">
      <c r="A1898" s="27"/>
      <c r="E1898" s="28"/>
      <c r="F1898" s="28"/>
      <c r="I1898" s="28" t="str">
        <f aca="false">IF(A1898="","",D1898*E1898)</f>
        <v/>
      </c>
      <c r="J1898" s="28" t="str">
        <f aca="false">IF(A1898="","",D1898*F1898)</f>
        <v/>
      </c>
      <c r="K1898" s="0" t="str">
        <f aca="false">IF(A1898="","",YEAR(A1898))</f>
        <v/>
      </c>
      <c r="L1898" s="0" t="str">
        <f aca="false">IF(A1898="","",MONTH(A1898))</f>
        <v/>
      </c>
    </row>
    <row r="1899" customFormat="false" ht="15" hidden="false" customHeight="false" outlineLevel="0" collapsed="false">
      <c r="A1899" s="27"/>
      <c r="E1899" s="28"/>
      <c r="F1899" s="28"/>
      <c r="I1899" s="28" t="str">
        <f aca="false">IF(A1899="","",D1899*E1899)</f>
        <v/>
      </c>
      <c r="J1899" s="28" t="str">
        <f aca="false">IF(A1899="","",D1899*F1899)</f>
        <v/>
      </c>
      <c r="K1899" s="0" t="str">
        <f aca="false">IF(A1899="","",YEAR(A1899))</f>
        <v/>
      </c>
      <c r="L1899" s="0" t="str">
        <f aca="false">IF(A1899="","",MONTH(A1899))</f>
        <v/>
      </c>
    </row>
    <row r="1900" customFormat="false" ht="15" hidden="false" customHeight="false" outlineLevel="0" collapsed="false">
      <c r="A1900" s="27"/>
      <c r="E1900" s="28"/>
      <c r="F1900" s="28"/>
      <c r="I1900" s="28" t="str">
        <f aca="false">IF(A1900="","",D1900*E1900)</f>
        <v/>
      </c>
      <c r="J1900" s="28" t="str">
        <f aca="false">IF(A1900="","",D1900*F1900)</f>
        <v/>
      </c>
      <c r="K1900" s="0" t="str">
        <f aca="false">IF(A1900="","",YEAR(A1900))</f>
        <v/>
      </c>
      <c r="L1900" s="0" t="str">
        <f aca="false">IF(A1900="","",MONTH(A1900))</f>
        <v/>
      </c>
    </row>
    <row r="1901" customFormat="false" ht="15" hidden="false" customHeight="false" outlineLevel="0" collapsed="false">
      <c r="A1901" s="27"/>
      <c r="E1901" s="28"/>
      <c r="F1901" s="28"/>
      <c r="I1901" s="28" t="str">
        <f aca="false">IF(A1901="","",D1901*E1901)</f>
        <v/>
      </c>
      <c r="J1901" s="28" t="str">
        <f aca="false">IF(A1901="","",D1901*F1901)</f>
        <v/>
      </c>
      <c r="K1901" s="0" t="str">
        <f aca="false">IF(A1901="","",YEAR(A1901))</f>
        <v/>
      </c>
      <c r="L1901" s="0" t="str">
        <f aca="false">IF(A1901="","",MONTH(A1901))</f>
        <v/>
      </c>
    </row>
    <row r="1902" customFormat="false" ht="15" hidden="false" customHeight="false" outlineLevel="0" collapsed="false">
      <c r="A1902" s="27"/>
      <c r="E1902" s="28"/>
      <c r="F1902" s="28"/>
      <c r="I1902" s="28" t="str">
        <f aca="false">IF(A1902="","",D1902*E1902)</f>
        <v/>
      </c>
      <c r="J1902" s="28" t="str">
        <f aca="false">IF(A1902="","",D1902*F1902)</f>
        <v/>
      </c>
      <c r="K1902" s="0" t="str">
        <f aca="false">IF(A1902="","",YEAR(A1902))</f>
        <v/>
      </c>
      <c r="L1902" s="0" t="str">
        <f aca="false">IF(A1902="","",MONTH(A1902))</f>
        <v/>
      </c>
    </row>
    <row r="1903" customFormat="false" ht="15" hidden="false" customHeight="false" outlineLevel="0" collapsed="false">
      <c r="A1903" s="27"/>
      <c r="E1903" s="28"/>
      <c r="F1903" s="28"/>
      <c r="I1903" s="28" t="str">
        <f aca="false">IF(A1903="","",D1903*E1903)</f>
        <v/>
      </c>
      <c r="J1903" s="28" t="str">
        <f aca="false">IF(A1903="","",D1903*F1903)</f>
        <v/>
      </c>
      <c r="K1903" s="0" t="str">
        <f aca="false">IF(A1903="","",YEAR(A1903))</f>
        <v/>
      </c>
      <c r="L1903" s="0" t="str">
        <f aca="false">IF(A1903="","",MONTH(A1903))</f>
        <v/>
      </c>
    </row>
    <row r="1904" customFormat="false" ht="15" hidden="false" customHeight="false" outlineLevel="0" collapsed="false">
      <c r="A1904" s="27"/>
      <c r="E1904" s="28"/>
      <c r="F1904" s="28"/>
      <c r="I1904" s="28" t="str">
        <f aca="false">IF(A1904="","",D1904*E1904)</f>
        <v/>
      </c>
      <c r="J1904" s="28" t="str">
        <f aca="false">IF(A1904="","",D1904*F1904)</f>
        <v/>
      </c>
      <c r="K1904" s="0" t="str">
        <f aca="false">IF(A1904="","",YEAR(A1904))</f>
        <v/>
      </c>
      <c r="L1904" s="0" t="str">
        <f aca="false">IF(A1904="","",MONTH(A1904))</f>
        <v/>
      </c>
    </row>
    <row r="1905" customFormat="false" ht="15" hidden="false" customHeight="false" outlineLevel="0" collapsed="false">
      <c r="A1905" s="27"/>
      <c r="E1905" s="28"/>
      <c r="F1905" s="28"/>
      <c r="I1905" s="28" t="str">
        <f aca="false">IF(A1905="","",D1905*E1905)</f>
        <v/>
      </c>
      <c r="J1905" s="28" t="str">
        <f aca="false">IF(A1905="","",D1905*F1905)</f>
        <v/>
      </c>
      <c r="K1905" s="0" t="str">
        <f aca="false">IF(A1905="","",YEAR(A1905))</f>
        <v/>
      </c>
      <c r="L1905" s="0" t="str">
        <f aca="false">IF(A1905="","",MONTH(A1905))</f>
        <v/>
      </c>
    </row>
    <row r="1906" customFormat="false" ht="15" hidden="false" customHeight="false" outlineLevel="0" collapsed="false">
      <c r="A1906" s="27"/>
      <c r="E1906" s="28"/>
      <c r="F1906" s="28"/>
      <c r="I1906" s="28" t="str">
        <f aca="false">IF(A1906="","",D1906*E1906)</f>
        <v/>
      </c>
      <c r="J1906" s="28" t="str">
        <f aca="false">IF(A1906="","",D1906*F1906)</f>
        <v/>
      </c>
      <c r="K1906" s="0" t="str">
        <f aca="false">IF(A1906="","",YEAR(A1906))</f>
        <v/>
      </c>
      <c r="L1906" s="0" t="str">
        <f aca="false">IF(A1906="","",MONTH(A1906))</f>
        <v/>
      </c>
    </row>
    <row r="1907" customFormat="false" ht="15" hidden="false" customHeight="false" outlineLevel="0" collapsed="false">
      <c r="A1907" s="27"/>
      <c r="E1907" s="28"/>
      <c r="F1907" s="28"/>
      <c r="I1907" s="28" t="str">
        <f aca="false">IF(A1907="","",D1907*E1907)</f>
        <v/>
      </c>
      <c r="J1907" s="28" t="str">
        <f aca="false">IF(A1907="","",D1907*F1907)</f>
        <v/>
      </c>
      <c r="K1907" s="0" t="str">
        <f aca="false">IF(A1907="","",YEAR(A1907))</f>
        <v/>
      </c>
      <c r="L1907" s="0" t="str">
        <f aca="false">IF(A1907="","",MONTH(A1907))</f>
        <v/>
      </c>
    </row>
    <row r="1908" customFormat="false" ht="15" hidden="false" customHeight="false" outlineLevel="0" collapsed="false">
      <c r="A1908" s="27"/>
      <c r="E1908" s="28"/>
      <c r="F1908" s="28"/>
      <c r="I1908" s="28" t="str">
        <f aca="false">IF(A1908="","",D1908*E1908)</f>
        <v/>
      </c>
      <c r="J1908" s="28" t="str">
        <f aca="false">IF(A1908="","",D1908*F1908)</f>
        <v/>
      </c>
      <c r="K1908" s="0" t="str">
        <f aca="false">IF(A1908="","",YEAR(A1908))</f>
        <v/>
      </c>
      <c r="L1908" s="0" t="str">
        <f aca="false">IF(A1908="","",MONTH(A1908))</f>
        <v/>
      </c>
    </row>
    <row r="1909" customFormat="false" ht="15" hidden="false" customHeight="false" outlineLevel="0" collapsed="false">
      <c r="A1909" s="27"/>
      <c r="E1909" s="28"/>
      <c r="F1909" s="28"/>
      <c r="I1909" s="28" t="str">
        <f aca="false">IF(A1909="","",D1909*E1909)</f>
        <v/>
      </c>
      <c r="J1909" s="28" t="str">
        <f aca="false">IF(A1909="","",D1909*F1909)</f>
        <v/>
      </c>
      <c r="K1909" s="0" t="str">
        <f aca="false">IF(A1909="","",YEAR(A1909))</f>
        <v/>
      </c>
      <c r="L1909" s="0" t="str">
        <f aca="false">IF(A1909="","",MONTH(A1909))</f>
        <v/>
      </c>
    </row>
    <row r="1910" customFormat="false" ht="15" hidden="false" customHeight="false" outlineLevel="0" collapsed="false">
      <c r="A1910" s="27"/>
      <c r="E1910" s="28"/>
      <c r="F1910" s="28"/>
      <c r="I1910" s="28" t="str">
        <f aca="false">IF(A1910="","",D1910*E1910)</f>
        <v/>
      </c>
      <c r="J1910" s="28" t="str">
        <f aca="false">IF(A1910="","",D1910*F1910)</f>
        <v/>
      </c>
      <c r="K1910" s="0" t="str">
        <f aca="false">IF(A1910="","",YEAR(A1910))</f>
        <v/>
      </c>
      <c r="L1910" s="0" t="str">
        <f aca="false">IF(A1910="","",MONTH(A1910))</f>
        <v/>
      </c>
    </row>
    <row r="1911" customFormat="false" ht="15" hidden="false" customHeight="false" outlineLevel="0" collapsed="false">
      <c r="A1911" s="27"/>
      <c r="E1911" s="28"/>
      <c r="F1911" s="28"/>
      <c r="I1911" s="28" t="str">
        <f aca="false">IF(A1911="","",D1911*E1911)</f>
        <v/>
      </c>
      <c r="J1911" s="28" t="str">
        <f aca="false">IF(A1911="","",D1911*F1911)</f>
        <v/>
      </c>
      <c r="K1911" s="0" t="str">
        <f aca="false">IF(A1911="","",YEAR(A1911))</f>
        <v/>
      </c>
      <c r="L1911" s="0" t="str">
        <f aca="false">IF(A1911="","",MONTH(A1911))</f>
        <v/>
      </c>
    </row>
    <row r="1912" customFormat="false" ht="15" hidden="false" customHeight="false" outlineLevel="0" collapsed="false">
      <c r="A1912" s="27"/>
      <c r="E1912" s="28"/>
      <c r="F1912" s="28"/>
      <c r="I1912" s="28" t="str">
        <f aca="false">IF(A1912="","",D1912*E1912)</f>
        <v/>
      </c>
      <c r="J1912" s="28" t="str">
        <f aca="false">IF(A1912="","",D1912*F1912)</f>
        <v/>
      </c>
      <c r="K1912" s="0" t="str">
        <f aca="false">IF(A1912="","",YEAR(A1912))</f>
        <v/>
      </c>
      <c r="L1912" s="0" t="str">
        <f aca="false">IF(A1912="","",MONTH(A1912))</f>
        <v/>
      </c>
    </row>
    <row r="1913" customFormat="false" ht="15" hidden="false" customHeight="false" outlineLevel="0" collapsed="false">
      <c r="A1913" s="27"/>
      <c r="E1913" s="28"/>
      <c r="F1913" s="28"/>
      <c r="I1913" s="28" t="str">
        <f aca="false">IF(A1913="","",D1913*E1913)</f>
        <v/>
      </c>
      <c r="J1913" s="28" t="str">
        <f aca="false">IF(A1913="","",D1913*F1913)</f>
        <v/>
      </c>
      <c r="K1913" s="0" t="str">
        <f aca="false">IF(A1913="","",YEAR(A1913))</f>
        <v/>
      </c>
      <c r="L1913" s="0" t="str">
        <f aca="false">IF(A1913="","",MONTH(A1913))</f>
        <v/>
      </c>
    </row>
    <row r="1914" customFormat="false" ht="15" hidden="false" customHeight="false" outlineLevel="0" collapsed="false">
      <c r="A1914" s="27"/>
      <c r="E1914" s="28"/>
      <c r="F1914" s="28"/>
      <c r="I1914" s="28" t="str">
        <f aca="false">IF(A1914="","",D1914*E1914)</f>
        <v/>
      </c>
      <c r="J1914" s="28" t="str">
        <f aca="false">IF(A1914="","",D1914*F1914)</f>
        <v/>
      </c>
      <c r="K1914" s="0" t="str">
        <f aca="false">IF(A1914="","",YEAR(A1914))</f>
        <v/>
      </c>
      <c r="L1914" s="0" t="str">
        <f aca="false">IF(A1914="","",MONTH(A1914))</f>
        <v/>
      </c>
    </row>
    <row r="1915" customFormat="false" ht="15" hidden="false" customHeight="false" outlineLevel="0" collapsed="false">
      <c r="A1915" s="27"/>
      <c r="E1915" s="28"/>
      <c r="F1915" s="28"/>
      <c r="I1915" s="28" t="str">
        <f aca="false">IF(A1915="","",D1915*E1915)</f>
        <v/>
      </c>
      <c r="J1915" s="28" t="str">
        <f aca="false">IF(A1915="","",D1915*F1915)</f>
        <v/>
      </c>
      <c r="K1915" s="0" t="str">
        <f aca="false">IF(A1915="","",YEAR(A1915))</f>
        <v/>
      </c>
      <c r="L1915" s="0" t="str">
        <f aca="false">IF(A1915="","",MONTH(A1915))</f>
        <v/>
      </c>
    </row>
    <row r="1916" customFormat="false" ht="15" hidden="false" customHeight="false" outlineLevel="0" collapsed="false">
      <c r="A1916" s="27"/>
      <c r="E1916" s="28"/>
      <c r="F1916" s="28"/>
      <c r="I1916" s="28" t="str">
        <f aca="false">IF(A1916="","",D1916*E1916)</f>
        <v/>
      </c>
      <c r="J1916" s="28" t="str">
        <f aca="false">IF(A1916="","",D1916*F1916)</f>
        <v/>
      </c>
      <c r="K1916" s="0" t="str">
        <f aca="false">IF(A1916="","",YEAR(A1916))</f>
        <v/>
      </c>
      <c r="L1916" s="0" t="str">
        <f aca="false">IF(A1916="","",MONTH(A1916))</f>
        <v/>
      </c>
    </row>
    <row r="1917" customFormat="false" ht="15" hidden="false" customHeight="false" outlineLevel="0" collapsed="false">
      <c r="A1917" s="27"/>
      <c r="E1917" s="28"/>
      <c r="F1917" s="28"/>
      <c r="I1917" s="28" t="str">
        <f aca="false">IF(A1917="","",D1917*E1917)</f>
        <v/>
      </c>
      <c r="J1917" s="28" t="str">
        <f aca="false">IF(A1917="","",D1917*F1917)</f>
        <v/>
      </c>
      <c r="K1917" s="0" t="str">
        <f aca="false">IF(A1917="","",YEAR(A1917))</f>
        <v/>
      </c>
      <c r="L1917" s="0" t="str">
        <f aca="false">IF(A1917="","",MONTH(A1917))</f>
        <v/>
      </c>
    </row>
    <row r="1918" customFormat="false" ht="15" hidden="false" customHeight="false" outlineLevel="0" collapsed="false">
      <c r="A1918" s="27"/>
      <c r="E1918" s="28"/>
      <c r="F1918" s="28"/>
      <c r="I1918" s="28" t="str">
        <f aca="false">IF(A1918="","",D1918*E1918)</f>
        <v/>
      </c>
      <c r="J1918" s="28" t="str">
        <f aca="false">IF(A1918="","",D1918*F1918)</f>
        <v/>
      </c>
      <c r="K1918" s="0" t="str">
        <f aca="false">IF(A1918="","",YEAR(A1918))</f>
        <v/>
      </c>
      <c r="L1918" s="0" t="str">
        <f aca="false">IF(A1918="","",MONTH(A1918))</f>
        <v/>
      </c>
    </row>
    <row r="1919" customFormat="false" ht="15" hidden="false" customHeight="false" outlineLevel="0" collapsed="false">
      <c r="A1919" s="27"/>
      <c r="E1919" s="28"/>
      <c r="F1919" s="28"/>
      <c r="I1919" s="28" t="str">
        <f aca="false">IF(A1919="","",D1919*E1919)</f>
        <v/>
      </c>
      <c r="J1919" s="28" t="str">
        <f aca="false">IF(A1919="","",D1919*F1919)</f>
        <v/>
      </c>
      <c r="K1919" s="0" t="str">
        <f aca="false">IF(A1919="","",YEAR(A1919))</f>
        <v/>
      </c>
      <c r="L1919" s="0" t="str">
        <f aca="false">IF(A1919="","",MONTH(A1919))</f>
        <v/>
      </c>
    </row>
    <row r="1920" customFormat="false" ht="15" hidden="false" customHeight="false" outlineLevel="0" collapsed="false">
      <c r="A1920" s="27"/>
      <c r="E1920" s="28"/>
      <c r="F1920" s="28"/>
      <c r="I1920" s="28" t="str">
        <f aca="false">IF(A1920="","",D1920*E1920)</f>
        <v/>
      </c>
      <c r="J1920" s="28" t="str">
        <f aca="false">IF(A1920="","",D1920*F1920)</f>
        <v/>
      </c>
      <c r="K1920" s="0" t="str">
        <f aca="false">IF(A1920="","",YEAR(A1920))</f>
        <v/>
      </c>
      <c r="L1920" s="0" t="str">
        <f aca="false">IF(A1920="","",MONTH(A1920))</f>
        <v/>
      </c>
    </row>
    <row r="1921" customFormat="false" ht="15" hidden="false" customHeight="false" outlineLevel="0" collapsed="false">
      <c r="A1921" s="27"/>
      <c r="E1921" s="28"/>
      <c r="F1921" s="28"/>
      <c r="I1921" s="28" t="str">
        <f aca="false">IF(A1921="","",D1921*E1921)</f>
        <v/>
      </c>
      <c r="J1921" s="28" t="str">
        <f aca="false">IF(A1921="","",D1921*F1921)</f>
        <v/>
      </c>
      <c r="K1921" s="0" t="str">
        <f aca="false">IF(A1921="","",YEAR(A1921))</f>
        <v/>
      </c>
      <c r="L1921" s="0" t="str">
        <f aca="false">IF(A1921="","",MONTH(A1921))</f>
        <v/>
      </c>
    </row>
    <row r="1922" customFormat="false" ht="15" hidden="false" customHeight="false" outlineLevel="0" collapsed="false">
      <c r="A1922" s="27"/>
      <c r="E1922" s="28"/>
      <c r="F1922" s="28"/>
      <c r="I1922" s="28" t="str">
        <f aca="false">IF(A1922="","",D1922*E1922)</f>
        <v/>
      </c>
      <c r="J1922" s="28" t="str">
        <f aca="false">IF(A1922="","",D1922*F1922)</f>
        <v/>
      </c>
      <c r="K1922" s="0" t="str">
        <f aca="false">IF(A1922="","",YEAR(A1922))</f>
        <v/>
      </c>
      <c r="L1922" s="0" t="str">
        <f aca="false">IF(A1922="","",MONTH(A1922))</f>
        <v/>
      </c>
    </row>
    <row r="1923" customFormat="false" ht="15" hidden="false" customHeight="false" outlineLevel="0" collapsed="false">
      <c r="A1923" s="27"/>
      <c r="E1923" s="28"/>
      <c r="F1923" s="28"/>
      <c r="I1923" s="28" t="str">
        <f aca="false">IF(A1923="","",D1923*E1923)</f>
        <v/>
      </c>
      <c r="J1923" s="28" t="str">
        <f aca="false">IF(A1923="","",D1923*F1923)</f>
        <v/>
      </c>
      <c r="K1923" s="0" t="str">
        <f aca="false">IF(A1923="","",YEAR(A1923))</f>
        <v/>
      </c>
      <c r="L1923" s="0" t="str">
        <f aca="false">IF(A1923="","",MONTH(A1923))</f>
        <v/>
      </c>
    </row>
    <row r="1924" customFormat="false" ht="15" hidden="false" customHeight="false" outlineLevel="0" collapsed="false">
      <c r="A1924" s="27"/>
      <c r="E1924" s="28"/>
      <c r="F1924" s="28"/>
      <c r="I1924" s="28" t="str">
        <f aca="false">IF(A1924="","",D1924*E1924)</f>
        <v/>
      </c>
      <c r="J1924" s="28" t="str">
        <f aca="false">IF(A1924="","",D1924*F1924)</f>
        <v/>
      </c>
      <c r="K1924" s="0" t="str">
        <f aca="false">IF(A1924="","",YEAR(A1924))</f>
        <v/>
      </c>
      <c r="L1924" s="0" t="str">
        <f aca="false">IF(A1924="","",MONTH(A1924))</f>
        <v/>
      </c>
    </row>
    <row r="1925" customFormat="false" ht="15" hidden="false" customHeight="false" outlineLevel="0" collapsed="false">
      <c r="A1925" s="27"/>
      <c r="E1925" s="28"/>
      <c r="F1925" s="28"/>
      <c r="I1925" s="28" t="str">
        <f aca="false">IF(A1925="","",D1925*E1925)</f>
        <v/>
      </c>
      <c r="J1925" s="28" t="str">
        <f aca="false">IF(A1925="","",D1925*F1925)</f>
        <v/>
      </c>
      <c r="K1925" s="0" t="str">
        <f aca="false">IF(A1925="","",YEAR(A1925))</f>
        <v/>
      </c>
      <c r="L1925" s="0" t="str">
        <f aca="false">IF(A1925="","",MONTH(A1925))</f>
        <v/>
      </c>
    </row>
    <row r="1926" customFormat="false" ht="15" hidden="false" customHeight="false" outlineLevel="0" collapsed="false">
      <c r="A1926" s="27"/>
      <c r="E1926" s="28"/>
      <c r="F1926" s="28"/>
      <c r="I1926" s="28" t="str">
        <f aca="false">IF(A1926="","",D1926*E1926)</f>
        <v/>
      </c>
      <c r="J1926" s="28" t="str">
        <f aca="false">IF(A1926="","",D1926*F1926)</f>
        <v/>
      </c>
      <c r="K1926" s="0" t="str">
        <f aca="false">IF(A1926="","",YEAR(A1926))</f>
        <v/>
      </c>
      <c r="L1926" s="0" t="str">
        <f aca="false">IF(A1926="","",MONTH(A1926))</f>
        <v/>
      </c>
    </row>
    <row r="1927" customFormat="false" ht="15" hidden="false" customHeight="false" outlineLevel="0" collapsed="false">
      <c r="A1927" s="27"/>
      <c r="E1927" s="28"/>
      <c r="F1927" s="28"/>
      <c r="I1927" s="28" t="str">
        <f aca="false">IF(A1927="","",D1927*E1927)</f>
        <v/>
      </c>
      <c r="J1927" s="28" t="str">
        <f aca="false">IF(A1927="","",D1927*F1927)</f>
        <v/>
      </c>
      <c r="K1927" s="0" t="str">
        <f aca="false">IF(A1927="","",YEAR(A1927))</f>
        <v/>
      </c>
      <c r="L1927" s="0" t="str">
        <f aca="false">IF(A1927="","",MONTH(A1927))</f>
        <v/>
      </c>
    </row>
    <row r="1928" customFormat="false" ht="15" hidden="false" customHeight="false" outlineLevel="0" collapsed="false">
      <c r="A1928" s="27"/>
      <c r="E1928" s="28"/>
      <c r="F1928" s="28"/>
      <c r="I1928" s="28" t="str">
        <f aca="false">IF(A1928="","",D1928*E1928)</f>
        <v/>
      </c>
      <c r="J1928" s="28" t="str">
        <f aca="false">IF(A1928="","",D1928*F1928)</f>
        <v/>
      </c>
      <c r="K1928" s="0" t="str">
        <f aca="false">IF(A1928="","",YEAR(A1928))</f>
        <v/>
      </c>
      <c r="L1928" s="0" t="str">
        <f aca="false">IF(A1928="","",MONTH(A1928))</f>
        <v/>
      </c>
    </row>
    <row r="1929" customFormat="false" ht="15" hidden="false" customHeight="false" outlineLevel="0" collapsed="false">
      <c r="A1929" s="27"/>
      <c r="E1929" s="28"/>
      <c r="F1929" s="28"/>
      <c r="I1929" s="28" t="str">
        <f aca="false">IF(A1929="","",D1929*E1929)</f>
        <v/>
      </c>
      <c r="J1929" s="28" t="str">
        <f aca="false">IF(A1929="","",D1929*F1929)</f>
        <v/>
      </c>
      <c r="K1929" s="0" t="str">
        <f aca="false">IF(A1929="","",YEAR(A1929))</f>
        <v/>
      </c>
      <c r="L1929" s="0" t="str">
        <f aca="false">IF(A1929="","",MONTH(A1929))</f>
        <v/>
      </c>
    </row>
    <row r="1930" customFormat="false" ht="15" hidden="false" customHeight="false" outlineLevel="0" collapsed="false">
      <c r="A1930" s="27"/>
      <c r="E1930" s="28"/>
      <c r="F1930" s="28"/>
      <c r="I1930" s="28" t="str">
        <f aca="false">IF(A1930="","",D1930*E1930)</f>
        <v/>
      </c>
      <c r="J1930" s="28" t="str">
        <f aca="false">IF(A1930="","",D1930*F1930)</f>
        <v/>
      </c>
      <c r="K1930" s="0" t="str">
        <f aca="false">IF(A1930="","",YEAR(A1930))</f>
        <v/>
      </c>
      <c r="L1930" s="0" t="str">
        <f aca="false">IF(A1930="","",MONTH(A1930))</f>
        <v/>
      </c>
    </row>
    <row r="1931" customFormat="false" ht="15" hidden="false" customHeight="false" outlineLevel="0" collapsed="false">
      <c r="A1931" s="27"/>
      <c r="E1931" s="28"/>
      <c r="F1931" s="28"/>
      <c r="I1931" s="28" t="str">
        <f aca="false">IF(A1931="","",D1931*E1931)</f>
        <v/>
      </c>
      <c r="J1931" s="28" t="str">
        <f aca="false">IF(A1931="","",D1931*F1931)</f>
        <v/>
      </c>
      <c r="K1931" s="0" t="str">
        <f aca="false">IF(A1931="","",YEAR(A1931))</f>
        <v/>
      </c>
      <c r="L1931" s="0" t="str">
        <f aca="false">IF(A1931="","",MONTH(A1931))</f>
        <v/>
      </c>
    </row>
    <row r="1932" customFormat="false" ht="15" hidden="false" customHeight="false" outlineLevel="0" collapsed="false">
      <c r="A1932" s="27"/>
      <c r="E1932" s="28"/>
      <c r="F1932" s="28"/>
      <c r="I1932" s="28" t="str">
        <f aca="false">IF(A1932="","",D1932*E1932)</f>
        <v/>
      </c>
      <c r="J1932" s="28" t="str">
        <f aca="false">IF(A1932="","",D1932*F1932)</f>
        <v/>
      </c>
      <c r="K1932" s="0" t="str">
        <f aca="false">IF(A1932="","",YEAR(A1932))</f>
        <v/>
      </c>
      <c r="L1932" s="0" t="str">
        <f aca="false">IF(A1932="","",MONTH(A1932))</f>
        <v/>
      </c>
    </row>
    <row r="1933" customFormat="false" ht="15" hidden="false" customHeight="false" outlineLevel="0" collapsed="false">
      <c r="A1933" s="27"/>
      <c r="E1933" s="28"/>
      <c r="F1933" s="28"/>
      <c r="I1933" s="28" t="str">
        <f aca="false">IF(A1933="","",D1933*E1933)</f>
        <v/>
      </c>
      <c r="J1933" s="28" t="str">
        <f aca="false">IF(A1933="","",D1933*F1933)</f>
        <v/>
      </c>
      <c r="K1933" s="0" t="str">
        <f aca="false">IF(A1933="","",YEAR(A1933))</f>
        <v/>
      </c>
      <c r="L1933" s="0" t="str">
        <f aca="false">IF(A1933="","",MONTH(A1933))</f>
        <v/>
      </c>
    </row>
    <row r="1934" customFormat="false" ht="15" hidden="false" customHeight="false" outlineLevel="0" collapsed="false">
      <c r="A1934" s="27"/>
      <c r="E1934" s="28"/>
      <c r="F1934" s="28"/>
      <c r="I1934" s="28" t="str">
        <f aca="false">IF(A1934="","",D1934*E1934)</f>
        <v/>
      </c>
      <c r="J1934" s="28" t="str">
        <f aca="false">IF(A1934="","",D1934*F1934)</f>
        <v/>
      </c>
      <c r="K1934" s="0" t="str">
        <f aca="false">IF(A1934="","",YEAR(A1934))</f>
        <v/>
      </c>
      <c r="L1934" s="0" t="str">
        <f aca="false">IF(A1934="","",MONTH(A1934))</f>
        <v/>
      </c>
    </row>
    <row r="1935" customFormat="false" ht="15" hidden="false" customHeight="false" outlineLevel="0" collapsed="false">
      <c r="A1935" s="27"/>
      <c r="E1935" s="28"/>
      <c r="F1935" s="28"/>
      <c r="I1935" s="28" t="str">
        <f aca="false">IF(A1935="","",D1935*E1935)</f>
        <v/>
      </c>
      <c r="J1935" s="28" t="str">
        <f aca="false">IF(A1935="","",D1935*F1935)</f>
        <v/>
      </c>
      <c r="K1935" s="0" t="str">
        <f aca="false">IF(A1935="","",YEAR(A1935))</f>
        <v/>
      </c>
      <c r="L1935" s="0" t="str">
        <f aca="false">IF(A1935="","",MONTH(A1935))</f>
        <v/>
      </c>
    </row>
    <row r="1936" customFormat="false" ht="15" hidden="false" customHeight="false" outlineLevel="0" collapsed="false">
      <c r="A1936" s="27"/>
      <c r="E1936" s="28"/>
      <c r="F1936" s="28"/>
      <c r="I1936" s="28" t="str">
        <f aca="false">IF(A1936="","",D1936*E1936)</f>
        <v/>
      </c>
      <c r="J1936" s="28" t="str">
        <f aca="false">IF(A1936="","",D1936*F1936)</f>
        <v/>
      </c>
      <c r="K1936" s="0" t="str">
        <f aca="false">IF(A1936="","",YEAR(A1936))</f>
        <v/>
      </c>
      <c r="L1936" s="0" t="str">
        <f aca="false">IF(A1936="","",MONTH(A1936))</f>
        <v/>
      </c>
    </row>
    <row r="1937" customFormat="false" ht="15" hidden="false" customHeight="false" outlineLevel="0" collapsed="false">
      <c r="A1937" s="27"/>
      <c r="E1937" s="28"/>
      <c r="F1937" s="28"/>
      <c r="I1937" s="28" t="str">
        <f aca="false">IF(A1937="","",D1937*E1937)</f>
        <v/>
      </c>
      <c r="J1937" s="28" t="str">
        <f aca="false">IF(A1937="","",D1937*F1937)</f>
        <v/>
      </c>
      <c r="K1937" s="0" t="str">
        <f aca="false">IF(A1937="","",YEAR(A1937))</f>
        <v/>
      </c>
      <c r="L1937" s="0" t="str">
        <f aca="false">IF(A1937="","",MONTH(A1937))</f>
        <v/>
      </c>
    </row>
    <row r="1938" customFormat="false" ht="15" hidden="false" customHeight="false" outlineLevel="0" collapsed="false">
      <c r="A1938" s="27"/>
      <c r="E1938" s="28"/>
      <c r="F1938" s="28"/>
      <c r="I1938" s="28" t="str">
        <f aca="false">IF(A1938="","",D1938*E1938)</f>
        <v/>
      </c>
      <c r="J1938" s="28" t="str">
        <f aca="false">IF(A1938="","",D1938*F1938)</f>
        <v/>
      </c>
      <c r="K1938" s="0" t="str">
        <f aca="false">IF(A1938="","",YEAR(A1938))</f>
        <v/>
      </c>
      <c r="L1938" s="0" t="str">
        <f aca="false">IF(A1938="","",MONTH(A1938))</f>
        <v/>
      </c>
    </row>
    <row r="1939" customFormat="false" ht="15" hidden="false" customHeight="false" outlineLevel="0" collapsed="false">
      <c r="A1939" s="27"/>
      <c r="E1939" s="28"/>
      <c r="F1939" s="28"/>
      <c r="I1939" s="28" t="str">
        <f aca="false">IF(A1939="","",D1939*E1939)</f>
        <v/>
      </c>
      <c r="J1939" s="28" t="str">
        <f aca="false">IF(A1939="","",D1939*F1939)</f>
        <v/>
      </c>
      <c r="K1939" s="0" t="str">
        <f aca="false">IF(A1939="","",YEAR(A1939))</f>
        <v/>
      </c>
      <c r="L1939" s="0" t="str">
        <f aca="false">IF(A1939="","",MONTH(A1939))</f>
        <v/>
      </c>
    </row>
    <row r="1940" customFormat="false" ht="15" hidden="false" customHeight="false" outlineLevel="0" collapsed="false">
      <c r="A1940" s="27"/>
      <c r="E1940" s="28"/>
      <c r="F1940" s="28"/>
      <c r="I1940" s="28" t="str">
        <f aca="false">IF(A1940="","",D1940*E1940)</f>
        <v/>
      </c>
      <c r="J1940" s="28" t="str">
        <f aca="false">IF(A1940="","",D1940*F1940)</f>
        <v/>
      </c>
      <c r="K1940" s="0" t="str">
        <f aca="false">IF(A1940="","",YEAR(A1940))</f>
        <v/>
      </c>
      <c r="L1940" s="0" t="str">
        <f aca="false">IF(A1940="","",MONTH(A1940))</f>
        <v/>
      </c>
    </row>
    <row r="1941" customFormat="false" ht="15" hidden="false" customHeight="false" outlineLevel="0" collapsed="false">
      <c r="A1941" s="27"/>
      <c r="E1941" s="28"/>
      <c r="F1941" s="28"/>
      <c r="I1941" s="28" t="str">
        <f aca="false">IF(A1941="","",D1941*E1941)</f>
        <v/>
      </c>
      <c r="J1941" s="28" t="str">
        <f aca="false">IF(A1941="","",D1941*F1941)</f>
        <v/>
      </c>
      <c r="K1941" s="0" t="str">
        <f aca="false">IF(A1941="","",YEAR(A1941))</f>
        <v/>
      </c>
      <c r="L1941" s="0" t="str">
        <f aca="false">IF(A1941="","",MONTH(A1941))</f>
        <v/>
      </c>
    </row>
    <row r="1942" customFormat="false" ht="15" hidden="false" customHeight="false" outlineLevel="0" collapsed="false">
      <c r="A1942" s="27"/>
      <c r="E1942" s="28"/>
      <c r="F1942" s="28"/>
      <c r="I1942" s="28" t="str">
        <f aca="false">IF(A1942="","",D1942*E1942)</f>
        <v/>
      </c>
      <c r="J1942" s="28" t="str">
        <f aca="false">IF(A1942="","",D1942*F1942)</f>
        <v/>
      </c>
      <c r="K1942" s="0" t="str">
        <f aca="false">IF(A1942="","",YEAR(A1942))</f>
        <v/>
      </c>
      <c r="L1942" s="0" t="str">
        <f aca="false">IF(A1942="","",MONTH(A1942))</f>
        <v/>
      </c>
    </row>
    <row r="1943" customFormat="false" ht="15" hidden="false" customHeight="false" outlineLevel="0" collapsed="false">
      <c r="A1943" s="27"/>
      <c r="E1943" s="28"/>
      <c r="F1943" s="28"/>
      <c r="I1943" s="28" t="str">
        <f aca="false">IF(A1943="","",D1943*E1943)</f>
        <v/>
      </c>
      <c r="J1943" s="28" t="str">
        <f aca="false">IF(A1943="","",D1943*F1943)</f>
        <v/>
      </c>
      <c r="K1943" s="0" t="str">
        <f aca="false">IF(A1943="","",YEAR(A1943))</f>
        <v/>
      </c>
      <c r="L1943" s="0" t="str">
        <f aca="false">IF(A1943="","",MONTH(A1943))</f>
        <v/>
      </c>
    </row>
    <row r="1944" customFormat="false" ht="15" hidden="false" customHeight="false" outlineLevel="0" collapsed="false">
      <c r="A1944" s="27"/>
      <c r="E1944" s="28"/>
      <c r="F1944" s="28"/>
      <c r="I1944" s="28" t="str">
        <f aca="false">IF(A1944="","",D1944*E1944)</f>
        <v/>
      </c>
      <c r="J1944" s="28" t="str">
        <f aca="false">IF(A1944="","",D1944*F1944)</f>
        <v/>
      </c>
      <c r="K1944" s="0" t="str">
        <f aca="false">IF(A1944="","",YEAR(A1944))</f>
        <v/>
      </c>
      <c r="L1944" s="0" t="str">
        <f aca="false">IF(A1944="","",MONTH(A1944))</f>
        <v/>
      </c>
    </row>
    <row r="1945" customFormat="false" ht="15" hidden="false" customHeight="false" outlineLevel="0" collapsed="false">
      <c r="A1945" s="27"/>
      <c r="E1945" s="28"/>
      <c r="F1945" s="28"/>
      <c r="I1945" s="28" t="str">
        <f aca="false">IF(A1945="","",D1945*E1945)</f>
        <v/>
      </c>
      <c r="J1945" s="28" t="str">
        <f aca="false">IF(A1945="","",D1945*F1945)</f>
        <v/>
      </c>
      <c r="K1945" s="0" t="str">
        <f aca="false">IF(A1945="","",YEAR(A1945))</f>
        <v/>
      </c>
      <c r="L1945" s="0" t="str">
        <f aca="false">IF(A1945="","",MONTH(A1945))</f>
        <v/>
      </c>
    </row>
    <row r="1946" customFormat="false" ht="15" hidden="false" customHeight="false" outlineLevel="0" collapsed="false">
      <c r="A1946" s="27"/>
      <c r="E1946" s="28"/>
      <c r="F1946" s="28"/>
      <c r="I1946" s="28" t="str">
        <f aca="false">IF(A1946="","",D1946*E1946)</f>
        <v/>
      </c>
      <c r="J1946" s="28" t="str">
        <f aca="false">IF(A1946="","",D1946*F1946)</f>
        <v/>
      </c>
      <c r="K1946" s="0" t="str">
        <f aca="false">IF(A1946="","",YEAR(A1946))</f>
        <v/>
      </c>
      <c r="L1946" s="0" t="str">
        <f aca="false">IF(A1946="","",MONTH(A1946))</f>
        <v/>
      </c>
    </row>
    <row r="1947" customFormat="false" ht="15" hidden="false" customHeight="false" outlineLevel="0" collapsed="false">
      <c r="A1947" s="27"/>
      <c r="E1947" s="28"/>
      <c r="F1947" s="28"/>
      <c r="I1947" s="28" t="str">
        <f aca="false">IF(A1947="","",D1947*E1947)</f>
        <v/>
      </c>
      <c r="J1947" s="28" t="str">
        <f aca="false">IF(A1947="","",D1947*F1947)</f>
        <v/>
      </c>
      <c r="K1947" s="0" t="str">
        <f aca="false">IF(A1947="","",YEAR(A1947))</f>
        <v/>
      </c>
      <c r="L1947" s="0" t="str">
        <f aca="false">IF(A1947="","",MONTH(A1947))</f>
        <v/>
      </c>
    </row>
    <row r="1948" customFormat="false" ht="15" hidden="false" customHeight="false" outlineLevel="0" collapsed="false">
      <c r="A1948" s="27"/>
      <c r="E1948" s="28"/>
      <c r="F1948" s="28"/>
      <c r="I1948" s="28" t="str">
        <f aca="false">IF(A1948="","",D1948*E1948)</f>
        <v/>
      </c>
      <c r="J1948" s="28" t="str">
        <f aca="false">IF(A1948="","",D1948*F1948)</f>
        <v/>
      </c>
      <c r="K1948" s="0" t="str">
        <f aca="false">IF(A1948="","",YEAR(A1948))</f>
        <v/>
      </c>
      <c r="L1948" s="0" t="str">
        <f aca="false">IF(A1948="","",MONTH(A1948))</f>
        <v/>
      </c>
    </row>
    <row r="1949" customFormat="false" ht="15" hidden="false" customHeight="false" outlineLevel="0" collapsed="false">
      <c r="A1949" s="27"/>
      <c r="E1949" s="28"/>
      <c r="F1949" s="28"/>
      <c r="I1949" s="28" t="str">
        <f aca="false">IF(A1949="","",D1949*E1949)</f>
        <v/>
      </c>
      <c r="J1949" s="28" t="str">
        <f aca="false">IF(A1949="","",D1949*F1949)</f>
        <v/>
      </c>
      <c r="K1949" s="0" t="str">
        <f aca="false">IF(A1949="","",YEAR(A1949))</f>
        <v/>
      </c>
      <c r="L1949" s="0" t="str">
        <f aca="false">IF(A1949="","",MONTH(A1949))</f>
        <v/>
      </c>
    </row>
    <row r="1950" customFormat="false" ht="15" hidden="false" customHeight="false" outlineLevel="0" collapsed="false">
      <c r="A1950" s="27"/>
      <c r="E1950" s="28"/>
      <c r="F1950" s="28"/>
      <c r="I1950" s="28" t="str">
        <f aca="false">IF(A1950="","",D1950*E1950)</f>
        <v/>
      </c>
      <c r="J1950" s="28" t="str">
        <f aca="false">IF(A1950="","",D1950*F1950)</f>
        <v/>
      </c>
      <c r="K1950" s="0" t="str">
        <f aca="false">IF(A1950="","",YEAR(A1950))</f>
        <v/>
      </c>
      <c r="L1950" s="0" t="str">
        <f aca="false">IF(A1950="","",MONTH(A1950))</f>
        <v/>
      </c>
    </row>
    <row r="1951" customFormat="false" ht="15" hidden="false" customHeight="false" outlineLevel="0" collapsed="false">
      <c r="A1951" s="27"/>
      <c r="E1951" s="28"/>
      <c r="F1951" s="28"/>
      <c r="I1951" s="28" t="str">
        <f aca="false">IF(A1951="","",D1951*E1951)</f>
        <v/>
      </c>
      <c r="J1951" s="28" t="str">
        <f aca="false">IF(A1951="","",D1951*F1951)</f>
        <v/>
      </c>
      <c r="K1951" s="0" t="str">
        <f aca="false">IF(A1951="","",YEAR(A1951))</f>
        <v/>
      </c>
      <c r="L1951" s="0" t="str">
        <f aca="false">IF(A1951="","",MONTH(A1951))</f>
        <v/>
      </c>
    </row>
    <row r="1952" customFormat="false" ht="15" hidden="false" customHeight="false" outlineLevel="0" collapsed="false">
      <c r="A1952" s="27"/>
      <c r="E1952" s="28"/>
      <c r="F1952" s="28"/>
      <c r="I1952" s="28" t="str">
        <f aca="false">IF(A1952="","",D1952*E1952)</f>
        <v/>
      </c>
      <c r="J1952" s="28" t="str">
        <f aca="false">IF(A1952="","",D1952*F1952)</f>
        <v/>
      </c>
      <c r="K1952" s="0" t="str">
        <f aca="false">IF(A1952="","",YEAR(A1952))</f>
        <v/>
      </c>
      <c r="L1952" s="0" t="str">
        <f aca="false">IF(A1952="","",MONTH(A1952))</f>
        <v/>
      </c>
    </row>
    <row r="1953" customFormat="false" ht="15" hidden="false" customHeight="false" outlineLevel="0" collapsed="false">
      <c r="A1953" s="27"/>
      <c r="E1953" s="28"/>
      <c r="F1953" s="28"/>
      <c r="I1953" s="28" t="str">
        <f aca="false">IF(A1953="","",D1953*E1953)</f>
        <v/>
      </c>
      <c r="J1953" s="28" t="str">
        <f aca="false">IF(A1953="","",D1953*F1953)</f>
        <v/>
      </c>
      <c r="K1953" s="0" t="str">
        <f aca="false">IF(A1953="","",YEAR(A1953))</f>
        <v/>
      </c>
      <c r="L1953" s="0" t="str">
        <f aca="false">IF(A1953="","",MONTH(A1953))</f>
        <v/>
      </c>
    </row>
    <row r="1954" customFormat="false" ht="15" hidden="false" customHeight="false" outlineLevel="0" collapsed="false">
      <c r="A1954" s="27"/>
      <c r="E1954" s="28"/>
      <c r="F1954" s="28"/>
      <c r="I1954" s="28" t="str">
        <f aca="false">IF(A1954="","",D1954*E1954)</f>
        <v/>
      </c>
      <c r="J1954" s="28" t="str">
        <f aca="false">IF(A1954="","",D1954*F1954)</f>
        <v/>
      </c>
      <c r="K1954" s="0" t="str">
        <f aca="false">IF(A1954="","",YEAR(A1954))</f>
        <v/>
      </c>
      <c r="L1954" s="0" t="str">
        <f aca="false">IF(A1954="","",MONTH(A1954))</f>
        <v/>
      </c>
    </row>
    <row r="1955" customFormat="false" ht="15" hidden="false" customHeight="false" outlineLevel="0" collapsed="false">
      <c r="A1955" s="27"/>
      <c r="E1955" s="28"/>
      <c r="F1955" s="28"/>
      <c r="I1955" s="28" t="str">
        <f aca="false">IF(A1955="","",D1955*E1955)</f>
        <v/>
      </c>
      <c r="J1955" s="28" t="str">
        <f aca="false">IF(A1955="","",D1955*F1955)</f>
        <v/>
      </c>
      <c r="K1955" s="0" t="str">
        <f aca="false">IF(A1955="","",YEAR(A1955))</f>
        <v/>
      </c>
      <c r="L1955" s="0" t="str">
        <f aca="false">IF(A1955="","",MONTH(A1955))</f>
        <v/>
      </c>
    </row>
    <row r="1956" customFormat="false" ht="15" hidden="false" customHeight="false" outlineLevel="0" collapsed="false">
      <c r="A1956" s="27"/>
      <c r="E1956" s="28"/>
      <c r="F1956" s="28"/>
      <c r="I1956" s="28" t="str">
        <f aca="false">IF(A1956="","",D1956*E1956)</f>
        <v/>
      </c>
      <c r="J1956" s="28" t="str">
        <f aca="false">IF(A1956="","",D1956*F1956)</f>
        <v/>
      </c>
      <c r="K1956" s="0" t="str">
        <f aca="false">IF(A1956="","",YEAR(A1956))</f>
        <v/>
      </c>
      <c r="L1956" s="0" t="str">
        <f aca="false">IF(A1956="","",MONTH(A1956))</f>
        <v/>
      </c>
    </row>
    <row r="1957" customFormat="false" ht="15" hidden="false" customHeight="false" outlineLevel="0" collapsed="false">
      <c r="A1957" s="27"/>
      <c r="E1957" s="28"/>
      <c r="F1957" s="28"/>
      <c r="I1957" s="28" t="str">
        <f aca="false">IF(A1957="","",D1957*E1957)</f>
        <v/>
      </c>
      <c r="J1957" s="28" t="str">
        <f aca="false">IF(A1957="","",D1957*F1957)</f>
        <v/>
      </c>
      <c r="K1957" s="0" t="str">
        <f aca="false">IF(A1957="","",YEAR(A1957))</f>
        <v/>
      </c>
      <c r="L1957" s="0" t="str">
        <f aca="false">IF(A1957="","",MONTH(A1957))</f>
        <v/>
      </c>
    </row>
    <row r="1958" customFormat="false" ht="15" hidden="false" customHeight="false" outlineLevel="0" collapsed="false">
      <c r="A1958" s="27"/>
      <c r="E1958" s="28"/>
      <c r="F1958" s="28"/>
      <c r="I1958" s="28" t="str">
        <f aca="false">IF(A1958="","",D1958*E1958)</f>
        <v/>
      </c>
      <c r="J1958" s="28" t="str">
        <f aca="false">IF(A1958="","",D1958*F1958)</f>
        <v/>
      </c>
      <c r="K1958" s="0" t="str">
        <f aca="false">IF(A1958="","",YEAR(A1958))</f>
        <v/>
      </c>
      <c r="L1958" s="0" t="str">
        <f aca="false">IF(A1958="","",MONTH(A1958))</f>
        <v/>
      </c>
    </row>
    <row r="1959" customFormat="false" ht="15" hidden="false" customHeight="false" outlineLevel="0" collapsed="false">
      <c r="A1959" s="27"/>
      <c r="E1959" s="28"/>
      <c r="F1959" s="28"/>
      <c r="I1959" s="28" t="str">
        <f aca="false">IF(A1959="","",D1959*E1959)</f>
        <v/>
      </c>
      <c r="J1959" s="28" t="str">
        <f aca="false">IF(A1959="","",D1959*F1959)</f>
        <v/>
      </c>
      <c r="K1959" s="0" t="str">
        <f aca="false">IF(A1959="","",YEAR(A1959))</f>
        <v/>
      </c>
      <c r="L1959" s="0" t="str">
        <f aca="false">IF(A1959="","",MONTH(A1959))</f>
        <v/>
      </c>
    </row>
    <row r="1960" customFormat="false" ht="15" hidden="false" customHeight="false" outlineLevel="0" collapsed="false">
      <c r="A1960" s="27"/>
      <c r="E1960" s="28"/>
      <c r="F1960" s="28"/>
      <c r="I1960" s="28" t="str">
        <f aca="false">IF(A1960="","",D1960*E1960)</f>
        <v/>
      </c>
      <c r="J1960" s="28" t="str">
        <f aca="false">IF(A1960="","",D1960*F1960)</f>
        <v/>
      </c>
      <c r="K1960" s="0" t="str">
        <f aca="false">IF(A1960="","",YEAR(A1960))</f>
        <v/>
      </c>
      <c r="L1960" s="0" t="str">
        <f aca="false">IF(A1960="","",MONTH(A1960))</f>
        <v/>
      </c>
    </row>
    <row r="1961" customFormat="false" ht="15" hidden="false" customHeight="false" outlineLevel="0" collapsed="false">
      <c r="A1961" s="27"/>
      <c r="E1961" s="28"/>
      <c r="F1961" s="28"/>
      <c r="I1961" s="28" t="str">
        <f aca="false">IF(A1961="","",D1961*E1961)</f>
        <v/>
      </c>
      <c r="J1961" s="28" t="str">
        <f aca="false">IF(A1961="","",D1961*F1961)</f>
        <v/>
      </c>
      <c r="K1961" s="0" t="str">
        <f aca="false">IF(A1961="","",YEAR(A1961))</f>
        <v/>
      </c>
      <c r="L1961" s="0" t="str">
        <f aca="false">IF(A1961="","",MONTH(A1961))</f>
        <v/>
      </c>
    </row>
    <row r="1962" customFormat="false" ht="15" hidden="false" customHeight="false" outlineLevel="0" collapsed="false">
      <c r="A1962" s="27"/>
      <c r="E1962" s="28"/>
      <c r="F1962" s="28"/>
      <c r="I1962" s="28" t="str">
        <f aca="false">IF(A1962="","",D1962*E1962)</f>
        <v/>
      </c>
      <c r="J1962" s="28" t="str">
        <f aca="false">IF(A1962="","",D1962*F1962)</f>
        <v/>
      </c>
      <c r="K1962" s="0" t="str">
        <f aca="false">IF(A1962="","",YEAR(A1962))</f>
        <v/>
      </c>
      <c r="L1962" s="0" t="str">
        <f aca="false">IF(A1962="","",MONTH(A1962))</f>
        <v/>
      </c>
    </row>
    <row r="1963" customFormat="false" ht="15" hidden="false" customHeight="false" outlineLevel="0" collapsed="false">
      <c r="A1963" s="27"/>
      <c r="E1963" s="28"/>
      <c r="F1963" s="28"/>
      <c r="I1963" s="28" t="str">
        <f aca="false">IF(A1963="","",D1963*E1963)</f>
        <v/>
      </c>
      <c r="J1963" s="28" t="str">
        <f aca="false">IF(A1963="","",D1963*F1963)</f>
        <v/>
      </c>
      <c r="K1963" s="0" t="str">
        <f aca="false">IF(A1963="","",YEAR(A1963))</f>
        <v/>
      </c>
      <c r="L1963" s="0" t="str">
        <f aca="false">IF(A1963="","",MONTH(A1963))</f>
        <v/>
      </c>
    </row>
    <row r="1964" customFormat="false" ht="15" hidden="false" customHeight="false" outlineLevel="0" collapsed="false">
      <c r="A1964" s="27"/>
      <c r="E1964" s="28"/>
      <c r="F1964" s="28"/>
      <c r="I1964" s="28" t="str">
        <f aca="false">IF(A1964="","",D1964*E1964)</f>
        <v/>
      </c>
      <c r="J1964" s="28" t="str">
        <f aca="false">IF(A1964="","",D1964*F1964)</f>
        <v/>
      </c>
      <c r="K1964" s="0" t="str">
        <f aca="false">IF(A1964="","",YEAR(A1964))</f>
        <v/>
      </c>
      <c r="L1964" s="0" t="str">
        <f aca="false">IF(A1964="","",MONTH(A1964))</f>
        <v/>
      </c>
    </row>
    <row r="1965" customFormat="false" ht="15" hidden="false" customHeight="false" outlineLevel="0" collapsed="false">
      <c r="A1965" s="27"/>
      <c r="E1965" s="28"/>
      <c r="F1965" s="28"/>
      <c r="I1965" s="28" t="str">
        <f aca="false">IF(A1965="","",D1965*E1965)</f>
        <v/>
      </c>
      <c r="J1965" s="28" t="str">
        <f aca="false">IF(A1965="","",D1965*F1965)</f>
        <v/>
      </c>
      <c r="K1965" s="0" t="str">
        <f aca="false">IF(A1965="","",YEAR(A1965))</f>
        <v/>
      </c>
      <c r="L1965" s="0" t="str">
        <f aca="false">IF(A1965="","",MONTH(A1965))</f>
        <v/>
      </c>
    </row>
    <row r="1966" customFormat="false" ht="15" hidden="false" customHeight="false" outlineLevel="0" collapsed="false">
      <c r="A1966" s="27"/>
      <c r="E1966" s="28"/>
      <c r="F1966" s="28"/>
      <c r="I1966" s="28" t="str">
        <f aca="false">IF(A1966="","",D1966*E1966)</f>
        <v/>
      </c>
      <c r="J1966" s="28" t="str">
        <f aca="false">IF(A1966="","",D1966*F1966)</f>
        <v/>
      </c>
      <c r="K1966" s="0" t="str">
        <f aca="false">IF(A1966="","",YEAR(A1966))</f>
        <v/>
      </c>
      <c r="L1966" s="0" t="str">
        <f aca="false">IF(A1966="","",MONTH(A1966))</f>
        <v/>
      </c>
    </row>
    <row r="1967" customFormat="false" ht="15" hidden="false" customHeight="false" outlineLevel="0" collapsed="false">
      <c r="A1967" s="27"/>
      <c r="E1967" s="28"/>
      <c r="F1967" s="28"/>
      <c r="I1967" s="28" t="str">
        <f aca="false">IF(A1967="","",D1967*E1967)</f>
        <v/>
      </c>
      <c r="J1967" s="28" t="str">
        <f aca="false">IF(A1967="","",D1967*F1967)</f>
        <v/>
      </c>
      <c r="K1967" s="0" t="str">
        <f aca="false">IF(A1967="","",YEAR(A1967))</f>
        <v/>
      </c>
      <c r="L1967" s="0" t="str">
        <f aca="false">IF(A1967="","",MONTH(A1967))</f>
        <v/>
      </c>
    </row>
    <row r="1968" customFormat="false" ht="15" hidden="false" customHeight="false" outlineLevel="0" collapsed="false">
      <c r="A1968" s="27"/>
      <c r="E1968" s="28"/>
      <c r="F1968" s="28"/>
      <c r="I1968" s="28" t="str">
        <f aca="false">IF(A1968="","",D1968*E1968)</f>
        <v/>
      </c>
      <c r="J1968" s="28" t="str">
        <f aca="false">IF(A1968="","",D1968*F1968)</f>
        <v/>
      </c>
      <c r="K1968" s="0" t="str">
        <f aca="false">IF(A1968="","",YEAR(A1968))</f>
        <v/>
      </c>
      <c r="L1968" s="0" t="str">
        <f aca="false">IF(A1968="","",MONTH(A1968))</f>
        <v/>
      </c>
    </row>
    <row r="1969" customFormat="false" ht="15" hidden="false" customHeight="false" outlineLevel="0" collapsed="false">
      <c r="A1969" s="27"/>
      <c r="E1969" s="28"/>
      <c r="F1969" s="28"/>
      <c r="I1969" s="28" t="str">
        <f aca="false">IF(A1969="","",D1969*E1969)</f>
        <v/>
      </c>
      <c r="J1969" s="28" t="str">
        <f aca="false">IF(A1969="","",D1969*F1969)</f>
        <v/>
      </c>
      <c r="K1969" s="0" t="str">
        <f aca="false">IF(A1969="","",YEAR(A1969))</f>
        <v/>
      </c>
      <c r="L1969" s="0" t="str">
        <f aca="false">IF(A1969="","",MONTH(A1969))</f>
        <v/>
      </c>
    </row>
    <row r="1970" customFormat="false" ht="15" hidden="false" customHeight="false" outlineLevel="0" collapsed="false">
      <c r="A1970" s="27"/>
      <c r="E1970" s="28"/>
      <c r="F1970" s="28"/>
      <c r="I1970" s="28" t="str">
        <f aca="false">IF(A1970="","",D1970*E1970)</f>
        <v/>
      </c>
      <c r="J1970" s="28" t="str">
        <f aca="false">IF(A1970="","",D1970*F1970)</f>
        <v/>
      </c>
      <c r="K1970" s="0" t="str">
        <f aca="false">IF(A1970="","",YEAR(A1970))</f>
        <v/>
      </c>
      <c r="L1970" s="0" t="str">
        <f aca="false">IF(A1970="","",MONTH(A1970))</f>
        <v/>
      </c>
    </row>
    <row r="1971" customFormat="false" ht="15" hidden="false" customHeight="false" outlineLevel="0" collapsed="false">
      <c r="A1971" s="27"/>
      <c r="E1971" s="28"/>
      <c r="F1971" s="28"/>
      <c r="I1971" s="28" t="str">
        <f aca="false">IF(A1971="","",D1971*E1971)</f>
        <v/>
      </c>
      <c r="J1971" s="28" t="str">
        <f aca="false">IF(A1971="","",D1971*F1971)</f>
        <v/>
      </c>
      <c r="K1971" s="0" t="str">
        <f aca="false">IF(A1971="","",YEAR(A1971))</f>
        <v/>
      </c>
      <c r="L1971" s="0" t="str">
        <f aca="false">IF(A1971="","",MONTH(A1971))</f>
        <v/>
      </c>
    </row>
    <row r="1972" customFormat="false" ht="15" hidden="false" customHeight="false" outlineLevel="0" collapsed="false">
      <c r="A1972" s="27"/>
      <c r="E1972" s="28"/>
      <c r="F1972" s="28"/>
      <c r="I1972" s="28" t="str">
        <f aca="false">IF(A1972="","",D1972*E1972)</f>
        <v/>
      </c>
      <c r="J1972" s="28" t="str">
        <f aca="false">IF(A1972="","",D1972*F1972)</f>
        <v/>
      </c>
      <c r="K1972" s="0" t="str">
        <f aca="false">IF(A1972="","",YEAR(A1972))</f>
        <v/>
      </c>
      <c r="L1972" s="0" t="str">
        <f aca="false">IF(A1972="","",MONTH(A1972))</f>
        <v/>
      </c>
    </row>
    <row r="1973" customFormat="false" ht="15" hidden="false" customHeight="false" outlineLevel="0" collapsed="false">
      <c r="A1973" s="27"/>
      <c r="E1973" s="28"/>
      <c r="F1973" s="28"/>
      <c r="I1973" s="28" t="str">
        <f aca="false">IF(A1973="","",D1973*E1973)</f>
        <v/>
      </c>
      <c r="J1973" s="28" t="str">
        <f aca="false">IF(A1973="","",D1973*F1973)</f>
        <v/>
      </c>
      <c r="K1973" s="0" t="str">
        <f aca="false">IF(A1973="","",YEAR(A1973))</f>
        <v/>
      </c>
      <c r="L1973" s="0" t="str">
        <f aca="false">IF(A1973="","",MONTH(A1973))</f>
        <v/>
      </c>
    </row>
    <row r="1974" customFormat="false" ht="15" hidden="false" customHeight="false" outlineLevel="0" collapsed="false">
      <c r="A1974" s="27"/>
      <c r="E1974" s="28"/>
      <c r="F1974" s="28"/>
      <c r="I1974" s="28" t="str">
        <f aca="false">IF(A1974="","",D1974*E1974)</f>
        <v/>
      </c>
      <c r="J1974" s="28" t="str">
        <f aca="false">IF(A1974="","",D1974*F1974)</f>
        <v/>
      </c>
      <c r="K1974" s="0" t="str">
        <f aca="false">IF(A1974="","",YEAR(A1974))</f>
        <v/>
      </c>
      <c r="L1974" s="0" t="str">
        <f aca="false">IF(A1974="","",MONTH(A1974))</f>
        <v/>
      </c>
    </row>
    <row r="1975" customFormat="false" ht="15" hidden="false" customHeight="false" outlineLevel="0" collapsed="false">
      <c r="A1975" s="27"/>
      <c r="E1975" s="28"/>
      <c r="F1975" s="28"/>
      <c r="I1975" s="28" t="str">
        <f aca="false">IF(A1975="","",D1975*E1975)</f>
        <v/>
      </c>
      <c r="J1975" s="28" t="str">
        <f aca="false">IF(A1975="","",D1975*F1975)</f>
        <v/>
      </c>
      <c r="K1975" s="0" t="str">
        <f aca="false">IF(A1975="","",YEAR(A1975))</f>
        <v/>
      </c>
      <c r="L1975" s="0" t="str">
        <f aca="false">IF(A1975="","",MONTH(A1975))</f>
        <v/>
      </c>
    </row>
    <row r="1976" customFormat="false" ht="15" hidden="false" customHeight="false" outlineLevel="0" collapsed="false">
      <c r="A1976" s="27"/>
      <c r="E1976" s="28"/>
      <c r="F1976" s="28"/>
      <c r="I1976" s="28" t="str">
        <f aca="false">IF(A1976="","",D1976*E1976)</f>
        <v/>
      </c>
      <c r="J1976" s="28" t="str">
        <f aca="false">IF(A1976="","",D1976*F1976)</f>
        <v/>
      </c>
      <c r="K1976" s="0" t="str">
        <f aca="false">IF(A1976="","",YEAR(A1976))</f>
        <v/>
      </c>
      <c r="L1976" s="0" t="str">
        <f aca="false">IF(A1976="","",MONTH(A1976))</f>
        <v/>
      </c>
    </row>
    <row r="1977" customFormat="false" ht="15" hidden="false" customHeight="false" outlineLevel="0" collapsed="false">
      <c r="A1977" s="27"/>
      <c r="E1977" s="28"/>
      <c r="F1977" s="28"/>
      <c r="I1977" s="28" t="str">
        <f aca="false">IF(A1977="","",D1977*E1977)</f>
        <v/>
      </c>
      <c r="J1977" s="28" t="str">
        <f aca="false">IF(A1977="","",D1977*F1977)</f>
        <v/>
      </c>
      <c r="K1977" s="0" t="str">
        <f aca="false">IF(A1977="","",YEAR(A1977))</f>
        <v/>
      </c>
      <c r="L1977" s="0" t="str">
        <f aca="false">IF(A1977="","",MONTH(A1977))</f>
        <v/>
      </c>
    </row>
    <row r="1978" customFormat="false" ht="15" hidden="false" customHeight="false" outlineLevel="0" collapsed="false">
      <c r="A1978" s="27"/>
      <c r="E1978" s="28"/>
      <c r="F1978" s="28"/>
      <c r="I1978" s="28" t="str">
        <f aca="false">IF(A1978="","",D1978*E1978)</f>
        <v/>
      </c>
      <c r="J1978" s="28" t="str">
        <f aca="false">IF(A1978="","",D1978*F1978)</f>
        <v/>
      </c>
      <c r="K1978" s="0" t="str">
        <f aca="false">IF(A1978="","",YEAR(A1978))</f>
        <v/>
      </c>
      <c r="L1978" s="0" t="str">
        <f aca="false">IF(A1978="","",MONTH(A1978))</f>
        <v/>
      </c>
    </row>
    <row r="1979" customFormat="false" ht="15" hidden="false" customHeight="false" outlineLevel="0" collapsed="false">
      <c r="A1979" s="27"/>
      <c r="E1979" s="28"/>
      <c r="F1979" s="28"/>
      <c r="I1979" s="28" t="str">
        <f aca="false">IF(A1979="","",D1979*E1979)</f>
        <v/>
      </c>
      <c r="J1979" s="28" t="str">
        <f aca="false">IF(A1979="","",D1979*F1979)</f>
        <v/>
      </c>
      <c r="K1979" s="0" t="str">
        <f aca="false">IF(A1979="","",YEAR(A1979))</f>
        <v/>
      </c>
      <c r="L1979" s="0" t="str">
        <f aca="false">IF(A1979="","",MONTH(A1979))</f>
        <v/>
      </c>
    </row>
    <row r="1980" customFormat="false" ht="15" hidden="false" customHeight="false" outlineLevel="0" collapsed="false">
      <c r="A1980" s="27"/>
      <c r="E1980" s="28"/>
      <c r="F1980" s="28"/>
      <c r="I1980" s="28" t="str">
        <f aca="false">IF(A1980="","",D1980*E1980)</f>
        <v/>
      </c>
      <c r="J1980" s="28" t="str">
        <f aca="false">IF(A1980="","",D1980*F1980)</f>
        <v/>
      </c>
      <c r="K1980" s="0" t="str">
        <f aca="false">IF(A1980="","",YEAR(A1980))</f>
        <v/>
      </c>
      <c r="L1980" s="0" t="str">
        <f aca="false">IF(A1980="","",MONTH(A1980))</f>
        <v/>
      </c>
    </row>
    <row r="1981" customFormat="false" ht="15" hidden="false" customHeight="false" outlineLevel="0" collapsed="false">
      <c r="A1981" s="27"/>
      <c r="E1981" s="28"/>
      <c r="F1981" s="28"/>
      <c r="I1981" s="28" t="str">
        <f aca="false">IF(A1981="","",D1981*E1981)</f>
        <v/>
      </c>
      <c r="J1981" s="28" t="str">
        <f aca="false">IF(A1981="","",D1981*F1981)</f>
        <v/>
      </c>
      <c r="K1981" s="0" t="str">
        <f aca="false">IF(A1981="","",YEAR(A1981))</f>
        <v/>
      </c>
      <c r="L1981" s="0" t="str">
        <f aca="false">IF(A1981="","",MONTH(A1981))</f>
        <v/>
      </c>
    </row>
    <row r="1982" customFormat="false" ht="15" hidden="false" customHeight="false" outlineLevel="0" collapsed="false">
      <c r="A1982" s="27"/>
      <c r="E1982" s="28"/>
      <c r="F1982" s="28"/>
      <c r="I1982" s="28" t="str">
        <f aca="false">IF(A1982="","",D1982*E1982)</f>
        <v/>
      </c>
      <c r="J1982" s="28" t="str">
        <f aca="false">IF(A1982="","",D1982*F1982)</f>
        <v/>
      </c>
      <c r="K1982" s="0" t="str">
        <f aca="false">IF(A1982="","",YEAR(A1982))</f>
        <v/>
      </c>
      <c r="L1982" s="0" t="str">
        <f aca="false">IF(A1982="","",MONTH(A1982))</f>
        <v/>
      </c>
    </row>
    <row r="1983" customFormat="false" ht="15" hidden="false" customHeight="false" outlineLevel="0" collapsed="false">
      <c r="A1983" s="27"/>
      <c r="E1983" s="28"/>
      <c r="F1983" s="28"/>
      <c r="I1983" s="28" t="str">
        <f aca="false">IF(A1983="","",D1983*E1983)</f>
        <v/>
      </c>
      <c r="J1983" s="28" t="str">
        <f aca="false">IF(A1983="","",D1983*F1983)</f>
        <v/>
      </c>
      <c r="K1983" s="0" t="str">
        <f aca="false">IF(A1983="","",YEAR(A1983))</f>
        <v/>
      </c>
      <c r="L1983" s="0" t="str">
        <f aca="false">IF(A1983="","",MONTH(A1983))</f>
        <v/>
      </c>
    </row>
    <row r="1984" customFormat="false" ht="15" hidden="false" customHeight="false" outlineLevel="0" collapsed="false">
      <c r="A1984" s="27"/>
      <c r="E1984" s="28"/>
      <c r="F1984" s="28"/>
      <c r="I1984" s="28" t="str">
        <f aca="false">IF(A1984="","",D1984*E1984)</f>
        <v/>
      </c>
      <c r="J1984" s="28" t="str">
        <f aca="false">IF(A1984="","",D1984*F1984)</f>
        <v/>
      </c>
      <c r="K1984" s="0" t="str">
        <f aca="false">IF(A1984="","",YEAR(A1984))</f>
        <v/>
      </c>
      <c r="L1984" s="0" t="str">
        <f aca="false">IF(A1984="","",MONTH(A1984))</f>
        <v/>
      </c>
    </row>
    <row r="1985" customFormat="false" ht="15" hidden="false" customHeight="false" outlineLevel="0" collapsed="false">
      <c r="A1985" s="27"/>
      <c r="E1985" s="28"/>
      <c r="F1985" s="28"/>
      <c r="I1985" s="28" t="str">
        <f aca="false">IF(A1985="","",D1985*E1985)</f>
        <v/>
      </c>
      <c r="J1985" s="28" t="str">
        <f aca="false">IF(A1985="","",D1985*F1985)</f>
        <v/>
      </c>
      <c r="K1985" s="0" t="str">
        <f aca="false">IF(A1985="","",YEAR(A1985))</f>
        <v/>
      </c>
      <c r="L1985" s="0" t="str">
        <f aca="false">IF(A1985="","",MONTH(A1985))</f>
        <v/>
      </c>
    </row>
    <row r="1986" customFormat="false" ht="15" hidden="false" customHeight="false" outlineLevel="0" collapsed="false">
      <c r="A1986" s="27"/>
      <c r="E1986" s="28"/>
      <c r="F1986" s="28"/>
      <c r="I1986" s="28" t="str">
        <f aca="false">IF(A1986="","",D1986*E1986)</f>
        <v/>
      </c>
      <c r="J1986" s="28" t="str">
        <f aca="false">IF(A1986="","",D1986*F1986)</f>
        <v/>
      </c>
      <c r="K1986" s="0" t="str">
        <f aca="false">IF(A1986="","",YEAR(A1986))</f>
        <v/>
      </c>
      <c r="L1986" s="0" t="str">
        <f aca="false">IF(A1986="","",MONTH(A1986))</f>
        <v/>
      </c>
    </row>
    <row r="1987" customFormat="false" ht="15" hidden="false" customHeight="false" outlineLevel="0" collapsed="false">
      <c r="A1987" s="27"/>
      <c r="E1987" s="28"/>
      <c r="F1987" s="28"/>
      <c r="I1987" s="28" t="str">
        <f aca="false">IF(A1987="","",D1987*E1987)</f>
        <v/>
      </c>
      <c r="J1987" s="28" t="str">
        <f aca="false">IF(A1987="","",D1987*F1987)</f>
        <v/>
      </c>
      <c r="K1987" s="0" t="str">
        <f aca="false">IF(A1987="","",YEAR(A1987))</f>
        <v/>
      </c>
      <c r="L1987" s="0" t="str">
        <f aca="false">IF(A1987="","",MONTH(A1987))</f>
        <v/>
      </c>
    </row>
    <row r="1988" customFormat="false" ht="15" hidden="false" customHeight="false" outlineLevel="0" collapsed="false">
      <c r="A1988" s="27"/>
      <c r="E1988" s="28"/>
      <c r="F1988" s="28"/>
      <c r="I1988" s="28" t="str">
        <f aca="false">IF(A1988="","",D1988*E1988)</f>
        <v/>
      </c>
      <c r="J1988" s="28" t="str">
        <f aca="false">IF(A1988="","",D1988*F1988)</f>
        <v/>
      </c>
      <c r="K1988" s="0" t="str">
        <f aca="false">IF(A1988="","",YEAR(A1988))</f>
        <v/>
      </c>
      <c r="L1988" s="0" t="str">
        <f aca="false">IF(A1988="","",MONTH(A1988))</f>
        <v/>
      </c>
    </row>
    <row r="1989" customFormat="false" ht="15" hidden="false" customHeight="false" outlineLevel="0" collapsed="false">
      <c r="A1989" s="27"/>
      <c r="E1989" s="28"/>
      <c r="F1989" s="28"/>
      <c r="I1989" s="28" t="str">
        <f aca="false">IF(A1989="","",D1989*E1989)</f>
        <v/>
      </c>
      <c r="J1989" s="28" t="str">
        <f aca="false">IF(A1989="","",D1989*F1989)</f>
        <v/>
      </c>
      <c r="K1989" s="0" t="str">
        <f aca="false">IF(A1989="","",YEAR(A1989))</f>
        <v/>
      </c>
      <c r="L1989" s="0" t="str">
        <f aca="false">IF(A1989="","",MONTH(A1989))</f>
        <v/>
      </c>
    </row>
    <row r="1990" customFormat="false" ht="15" hidden="false" customHeight="false" outlineLevel="0" collapsed="false">
      <c r="A1990" s="27"/>
      <c r="E1990" s="28"/>
      <c r="F1990" s="28"/>
      <c r="I1990" s="28" t="str">
        <f aca="false">IF(A1990="","",D1990*E1990)</f>
        <v/>
      </c>
      <c r="J1990" s="28" t="str">
        <f aca="false">IF(A1990="","",D1990*F1990)</f>
        <v/>
      </c>
      <c r="K1990" s="0" t="str">
        <f aca="false">IF(A1990="","",YEAR(A1990))</f>
        <v/>
      </c>
      <c r="L1990" s="0" t="str">
        <f aca="false">IF(A1990="","",MONTH(A1990))</f>
        <v/>
      </c>
    </row>
    <row r="1991" customFormat="false" ht="15" hidden="false" customHeight="false" outlineLevel="0" collapsed="false">
      <c r="A1991" s="27"/>
      <c r="E1991" s="28"/>
      <c r="F1991" s="28"/>
      <c r="I1991" s="28" t="str">
        <f aca="false">IF(A1991="","",D1991*E1991)</f>
        <v/>
      </c>
      <c r="J1991" s="28" t="str">
        <f aca="false">IF(A1991="","",D1991*F1991)</f>
        <v/>
      </c>
      <c r="K1991" s="0" t="str">
        <f aca="false">IF(A1991="","",YEAR(A1991))</f>
        <v/>
      </c>
      <c r="L1991" s="0" t="str">
        <f aca="false">IF(A1991="","",MONTH(A1991))</f>
        <v/>
      </c>
    </row>
    <row r="1992" customFormat="false" ht="15" hidden="false" customHeight="false" outlineLevel="0" collapsed="false">
      <c r="A1992" s="27"/>
      <c r="E1992" s="28"/>
      <c r="F1992" s="28"/>
      <c r="I1992" s="28" t="str">
        <f aca="false">IF(A1992="","",D1992*E1992)</f>
        <v/>
      </c>
      <c r="J1992" s="28" t="str">
        <f aca="false">IF(A1992="","",D1992*F1992)</f>
        <v/>
      </c>
      <c r="K1992" s="0" t="str">
        <f aca="false">IF(A1992="","",YEAR(A1992))</f>
        <v/>
      </c>
      <c r="L1992" s="0" t="str">
        <f aca="false">IF(A1992="","",MONTH(A1992))</f>
        <v/>
      </c>
    </row>
    <row r="1993" customFormat="false" ht="15" hidden="false" customHeight="false" outlineLevel="0" collapsed="false">
      <c r="A1993" s="27"/>
      <c r="E1993" s="28"/>
      <c r="F1993" s="28"/>
      <c r="I1993" s="28" t="str">
        <f aca="false">IF(A1993="","",D1993*E1993)</f>
        <v/>
      </c>
      <c r="J1993" s="28" t="str">
        <f aca="false">IF(A1993="","",D1993*F1993)</f>
        <v/>
      </c>
      <c r="K1993" s="0" t="str">
        <f aca="false">IF(A1993="","",YEAR(A1993))</f>
        <v/>
      </c>
      <c r="L1993" s="0" t="str">
        <f aca="false">IF(A1993="","",MONTH(A1993))</f>
        <v/>
      </c>
    </row>
    <row r="1994" customFormat="false" ht="15" hidden="false" customHeight="false" outlineLevel="0" collapsed="false">
      <c r="A1994" s="27"/>
      <c r="E1994" s="28"/>
      <c r="F1994" s="28"/>
      <c r="I1994" s="28" t="str">
        <f aca="false">IF(A1994="","",D1994*E1994)</f>
        <v/>
      </c>
      <c r="J1994" s="28" t="str">
        <f aca="false">IF(A1994="","",D1994*F1994)</f>
        <v/>
      </c>
      <c r="K1994" s="0" t="str">
        <f aca="false">IF(A1994="","",YEAR(A1994))</f>
        <v/>
      </c>
      <c r="L1994" s="0" t="str">
        <f aca="false">IF(A1994="","",MONTH(A1994))</f>
        <v/>
      </c>
    </row>
    <row r="1995" customFormat="false" ht="15" hidden="false" customHeight="false" outlineLevel="0" collapsed="false">
      <c r="A1995" s="27"/>
      <c r="E1995" s="28"/>
      <c r="F1995" s="28"/>
      <c r="I1995" s="28" t="str">
        <f aca="false">IF(A1995="","",D1995*E1995)</f>
        <v/>
      </c>
      <c r="J1995" s="28" t="str">
        <f aca="false">IF(A1995="","",D1995*F1995)</f>
        <v/>
      </c>
      <c r="K1995" s="0" t="str">
        <f aca="false">IF(A1995="","",YEAR(A1995))</f>
        <v/>
      </c>
      <c r="L1995" s="0" t="str">
        <f aca="false">IF(A1995="","",MONTH(A1995))</f>
        <v/>
      </c>
    </row>
    <row r="1996" customFormat="false" ht="15" hidden="false" customHeight="false" outlineLevel="0" collapsed="false">
      <c r="A1996" s="27"/>
      <c r="E1996" s="28"/>
      <c r="F1996" s="28"/>
      <c r="I1996" s="28" t="str">
        <f aca="false">IF(A1996="","",D1996*E1996)</f>
        <v/>
      </c>
      <c r="J1996" s="28" t="str">
        <f aca="false">IF(A1996="","",D1996*F1996)</f>
        <v/>
      </c>
      <c r="K1996" s="0" t="str">
        <f aca="false">IF(A1996="","",YEAR(A1996))</f>
        <v/>
      </c>
      <c r="L1996" s="0" t="str">
        <f aca="false">IF(A1996="","",MONTH(A1996))</f>
        <v/>
      </c>
    </row>
    <row r="1997" customFormat="false" ht="15" hidden="false" customHeight="false" outlineLevel="0" collapsed="false">
      <c r="A1997" s="27"/>
      <c r="E1997" s="28"/>
      <c r="F1997" s="28"/>
      <c r="I1997" s="28" t="str">
        <f aca="false">IF(A1997="","",D1997*E1997)</f>
        <v/>
      </c>
      <c r="J1997" s="28" t="str">
        <f aca="false">IF(A1997="","",D1997*F1997)</f>
        <v/>
      </c>
      <c r="K1997" s="0" t="str">
        <f aca="false">IF(A1997="","",YEAR(A1997))</f>
        <v/>
      </c>
      <c r="L1997" s="0" t="str">
        <f aca="false">IF(A1997="","",MONTH(A1997))</f>
        <v/>
      </c>
    </row>
    <row r="1998" customFormat="false" ht="15" hidden="false" customHeight="false" outlineLevel="0" collapsed="false">
      <c r="A1998" s="27"/>
      <c r="E1998" s="28"/>
      <c r="F1998" s="28"/>
      <c r="I1998" s="28" t="str">
        <f aca="false">IF(A1998="","",D1998*E1998)</f>
        <v/>
      </c>
      <c r="J1998" s="28" t="str">
        <f aca="false">IF(A1998="","",D1998*F1998)</f>
        <v/>
      </c>
      <c r="K1998" s="0" t="str">
        <f aca="false">IF(A1998="","",YEAR(A1998))</f>
        <v/>
      </c>
      <c r="L1998" s="0" t="str">
        <f aca="false">IF(A1998="","",MONTH(A1998))</f>
        <v/>
      </c>
    </row>
    <row r="1999" customFormat="false" ht="15" hidden="false" customHeight="false" outlineLevel="0" collapsed="false">
      <c r="A1999" s="27"/>
      <c r="E1999" s="28"/>
      <c r="F1999" s="28"/>
      <c r="I1999" s="28" t="str">
        <f aca="false">IF(A1999="","",D1999*E1999)</f>
        <v/>
      </c>
      <c r="J1999" s="28" t="str">
        <f aca="false">IF(A1999="","",D1999*F1999)</f>
        <v/>
      </c>
      <c r="K1999" s="0" t="str">
        <f aca="false">IF(A1999="","",YEAR(A1999))</f>
        <v/>
      </c>
      <c r="L1999" s="0" t="str">
        <f aca="false">IF(A1999="","",MONTH(A1999))</f>
        <v/>
      </c>
    </row>
    <row r="2000" customFormat="false" ht="15" hidden="false" customHeight="false" outlineLevel="0" collapsed="false">
      <c r="A2000" s="27"/>
      <c r="E2000" s="28"/>
      <c r="F2000" s="28"/>
      <c r="I2000" s="28" t="str">
        <f aca="false">IF(A2000="","",D2000*E2000)</f>
        <v/>
      </c>
      <c r="J2000" s="28" t="str">
        <f aca="false">IF(A2000="","",D2000*F2000)</f>
        <v/>
      </c>
      <c r="K2000" s="0" t="str">
        <f aca="false">IF(A2000="","",YEAR(A2000))</f>
        <v/>
      </c>
      <c r="L2000" s="0" t="str">
        <f aca="false">IF(A2000="","",MONTH(A2000))</f>
        <v/>
      </c>
    </row>
    <row r="2001" customFormat="false" ht="15" hidden="false" customHeight="false" outlineLevel="0" collapsed="false">
      <c r="A2001" s="27"/>
      <c r="E2001" s="28"/>
      <c r="F2001" s="28"/>
      <c r="I2001" s="28" t="str">
        <f aca="false">IF(A2001="","",D2001*E2001)</f>
        <v/>
      </c>
      <c r="J2001" s="28" t="str">
        <f aca="false">IF(A2001="","",D2001*F2001)</f>
        <v/>
      </c>
      <c r="K2001" s="0" t="str">
        <f aca="false">IF(A2001="","",YEAR(A2001))</f>
        <v/>
      </c>
      <c r="L2001" s="0" t="str">
        <f aca="false">IF(A2001="","",MONTH(A2001))</f>
        <v/>
      </c>
    </row>
    <row r="2002" customFormat="false" ht="15" hidden="false" customHeight="false" outlineLevel="0" collapsed="false">
      <c r="A2002" s="27"/>
      <c r="E2002" s="28"/>
      <c r="F2002" s="28"/>
      <c r="I2002" s="28" t="str">
        <f aca="false">IF(A2002="","",D2002*E2002)</f>
        <v/>
      </c>
      <c r="J2002" s="28" t="str">
        <f aca="false">IF(A2002="","",D2002*F2002)</f>
        <v/>
      </c>
      <c r="K2002" s="0" t="str">
        <f aca="false">IF(A2002="","",YEAR(A2002))</f>
        <v/>
      </c>
      <c r="L2002" s="0" t="str">
        <f aca="false">IF(A2002="","",MONTH(A2002))</f>
        <v/>
      </c>
    </row>
    <row r="2003" customFormat="false" ht="15" hidden="false" customHeight="false" outlineLevel="0" collapsed="false">
      <c r="A2003" s="27"/>
      <c r="E2003" s="28"/>
      <c r="F2003" s="28"/>
      <c r="I2003" s="28" t="str">
        <f aca="false">IF(A2003="","",D2003*E2003)</f>
        <v/>
      </c>
      <c r="J2003" s="28" t="str">
        <f aca="false">IF(A2003="","",D2003*F2003)</f>
        <v/>
      </c>
      <c r="K2003" s="0" t="str">
        <f aca="false">IF(A2003="","",YEAR(A2003))</f>
        <v/>
      </c>
      <c r="L2003" s="0" t="str">
        <f aca="false">IF(A2003="","",MONTH(A2003))</f>
        <v/>
      </c>
    </row>
    <row r="2004" customFormat="false" ht="15" hidden="false" customHeight="false" outlineLevel="0" collapsed="false">
      <c r="A2004" s="27"/>
      <c r="E2004" s="28"/>
      <c r="F2004" s="28"/>
      <c r="I2004" s="28" t="str">
        <f aca="false">IF(A2004="","",D2004*E2004)</f>
        <v/>
      </c>
      <c r="J2004" s="28" t="str">
        <f aca="false">IF(A2004="","",D2004*F2004)</f>
        <v/>
      </c>
      <c r="K2004" s="0" t="str">
        <f aca="false">IF(A2004="","",YEAR(A2004))</f>
        <v/>
      </c>
      <c r="L2004" s="0" t="str">
        <f aca="false">IF(A2004="","",MONTH(A2004))</f>
        <v/>
      </c>
    </row>
    <row r="2005" customFormat="false" ht="15" hidden="false" customHeight="false" outlineLevel="0" collapsed="false">
      <c r="A2005" s="27"/>
      <c r="E2005" s="28"/>
      <c r="F2005" s="28"/>
      <c r="I2005" s="28" t="str">
        <f aca="false">IF(A2005="","",D2005*E2005)</f>
        <v/>
      </c>
      <c r="J2005" s="28" t="str">
        <f aca="false">IF(A2005="","",D2005*F2005)</f>
        <v/>
      </c>
      <c r="K2005" s="0" t="str">
        <f aca="false">IF(A2005="","",YEAR(A2005))</f>
        <v/>
      </c>
      <c r="L2005" s="0" t="str">
        <f aca="false">IF(A2005="","",MONTH(A2005))</f>
        <v/>
      </c>
    </row>
    <row r="2006" customFormat="false" ht="15" hidden="false" customHeight="false" outlineLevel="0" collapsed="false">
      <c r="A2006" s="27"/>
      <c r="E2006" s="28"/>
      <c r="F2006" s="28"/>
      <c r="I2006" s="28" t="str">
        <f aca="false">IF(A2006="","",D2006*E2006)</f>
        <v/>
      </c>
      <c r="J2006" s="28" t="str">
        <f aca="false">IF(A2006="","",D2006*F2006)</f>
        <v/>
      </c>
      <c r="K2006" s="0" t="str">
        <f aca="false">IF(A2006="","",YEAR(A2006))</f>
        <v/>
      </c>
      <c r="L2006" s="0" t="str">
        <f aca="false">IF(A2006="","",MONTH(A2006))</f>
        <v/>
      </c>
    </row>
    <row r="2007" customFormat="false" ht="15" hidden="false" customHeight="false" outlineLevel="0" collapsed="false">
      <c r="A2007" s="27"/>
      <c r="E2007" s="28"/>
      <c r="F2007" s="28"/>
      <c r="I2007" s="28" t="str">
        <f aca="false">IF(A2007="","",D2007*E2007)</f>
        <v/>
      </c>
      <c r="J2007" s="28" t="str">
        <f aca="false">IF(A2007="","",D2007*F2007)</f>
        <v/>
      </c>
      <c r="K2007" s="0" t="str">
        <f aca="false">IF(A2007="","",YEAR(A2007))</f>
        <v/>
      </c>
      <c r="L2007" s="0" t="str">
        <f aca="false">IF(A2007="","",MONTH(A2007))</f>
        <v/>
      </c>
    </row>
    <row r="2008" customFormat="false" ht="15" hidden="false" customHeight="false" outlineLevel="0" collapsed="false">
      <c r="A2008" s="27"/>
      <c r="E2008" s="28"/>
      <c r="F2008" s="28"/>
      <c r="I2008" s="28" t="str">
        <f aca="false">IF(A2008="","",D2008*E2008)</f>
        <v/>
      </c>
      <c r="J2008" s="28" t="str">
        <f aca="false">IF(A2008="","",D2008*F2008)</f>
        <v/>
      </c>
      <c r="K2008" s="0" t="str">
        <f aca="false">IF(A2008="","",YEAR(A2008))</f>
        <v/>
      </c>
      <c r="L2008" s="0" t="str">
        <f aca="false">IF(A2008="","",MONTH(A2008))</f>
        <v/>
      </c>
    </row>
    <row r="2009" customFormat="false" ht="15" hidden="false" customHeight="false" outlineLevel="0" collapsed="false">
      <c r="A2009" s="27"/>
      <c r="E2009" s="28"/>
      <c r="F2009" s="28"/>
      <c r="I2009" s="28" t="str">
        <f aca="false">IF(A2009="","",D2009*E2009)</f>
        <v/>
      </c>
      <c r="J2009" s="28" t="str">
        <f aca="false">IF(A2009="","",D2009*F2009)</f>
        <v/>
      </c>
      <c r="K2009" s="0" t="str">
        <f aca="false">IF(A2009="","",YEAR(A2009))</f>
        <v/>
      </c>
      <c r="L2009" s="0" t="str">
        <f aca="false">IF(A2009="","",MONTH(A2009))</f>
        <v/>
      </c>
    </row>
    <row r="2010" customFormat="false" ht="15" hidden="false" customHeight="false" outlineLevel="0" collapsed="false">
      <c r="A2010" s="27"/>
      <c r="E2010" s="28"/>
      <c r="F2010" s="28"/>
      <c r="I2010" s="28" t="str">
        <f aca="false">IF(A2010="","",D2010*E2010)</f>
        <v/>
      </c>
      <c r="J2010" s="28" t="str">
        <f aca="false">IF(A2010="","",D2010*F2010)</f>
        <v/>
      </c>
      <c r="K2010" s="0" t="str">
        <f aca="false">IF(A2010="","",YEAR(A2010))</f>
        <v/>
      </c>
      <c r="L2010" s="0" t="str">
        <f aca="false">IF(A2010="","",MONTH(A2010))</f>
        <v/>
      </c>
    </row>
    <row r="2011" customFormat="false" ht="15" hidden="false" customHeight="false" outlineLevel="0" collapsed="false">
      <c r="A2011" s="27"/>
      <c r="E2011" s="28"/>
      <c r="F2011" s="28"/>
      <c r="I2011" s="28" t="str">
        <f aca="false">IF(A2011="","",D2011*E2011)</f>
        <v/>
      </c>
      <c r="J2011" s="28" t="str">
        <f aca="false">IF(A2011="","",D2011*F2011)</f>
        <v/>
      </c>
      <c r="K2011" s="0" t="str">
        <f aca="false">IF(A2011="","",YEAR(A2011))</f>
        <v/>
      </c>
      <c r="L2011" s="0" t="str">
        <f aca="false">IF(A2011="","",MONTH(A2011))</f>
        <v/>
      </c>
    </row>
    <row r="2012" customFormat="false" ht="15" hidden="false" customHeight="false" outlineLevel="0" collapsed="false">
      <c r="A2012" s="27"/>
      <c r="E2012" s="28"/>
      <c r="F2012" s="28"/>
      <c r="I2012" s="28" t="str">
        <f aca="false">IF(A2012="","",D2012*E2012)</f>
        <v/>
      </c>
      <c r="J2012" s="28" t="str">
        <f aca="false">IF(A2012="","",D2012*F2012)</f>
        <v/>
      </c>
      <c r="K2012" s="0" t="str">
        <f aca="false">IF(A2012="","",YEAR(A2012))</f>
        <v/>
      </c>
      <c r="L2012" s="0" t="str">
        <f aca="false">IF(A2012="","",MONTH(A2012))</f>
        <v/>
      </c>
    </row>
    <row r="2013" customFormat="false" ht="15" hidden="false" customHeight="false" outlineLevel="0" collapsed="false">
      <c r="A2013" s="27"/>
      <c r="E2013" s="28"/>
      <c r="F2013" s="28"/>
      <c r="I2013" s="28" t="str">
        <f aca="false">IF(A2013="","",D2013*E2013)</f>
        <v/>
      </c>
      <c r="J2013" s="28" t="str">
        <f aca="false">IF(A2013="","",D2013*F2013)</f>
        <v/>
      </c>
      <c r="K2013" s="0" t="str">
        <f aca="false">IF(A2013="","",YEAR(A2013))</f>
        <v/>
      </c>
      <c r="L2013" s="0" t="str">
        <f aca="false">IF(A2013="","",MONTH(A2013))</f>
        <v/>
      </c>
    </row>
    <row r="2014" customFormat="false" ht="15" hidden="false" customHeight="false" outlineLevel="0" collapsed="false">
      <c r="A2014" s="27"/>
      <c r="E2014" s="28"/>
      <c r="F2014" s="28"/>
      <c r="I2014" s="28" t="str">
        <f aca="false">IF(A2014="","",D2014*E2014)</f>
        <v/>
      </c>
      <c r="J2014" s="28" t="str">
        <f aca="false">IF(A2014="","",D2014*F2014)</f>
        <v/>
      </c>
      <c r="K2014" s="0" t="str">
        <f aca="false">IF(A2014="","",YEAR(A2014))</f>
        <v/>
      </c>
      <c r="L2014" s="0" t="str">
        <f aca="false">IF(A2014="","",MONTH(A2014))</f>
        <v/>
      </c>
    </row>
    <row r="2015" customFormat="false" ht="15" hidden="false" customHeight="false" outlineLevel="0" collapsed="false">
      <c r="A2015" s="27"/>
      <c r="E2015" s="28"/>
      <c r="F2015" s="28"/>
      <c r="I2015" s="28" t="str">
        <f aca="false">IF(A2015="","",D2015*E2015)</f>
        <v/>
      </c>
      <c r="J2015" s="28" t="str">
        <f aca="false">IF(A2015="","",D2015*F2015)</f>
        <v/>
      </c>
      <c r="K2015" s="0" t="str">
        <f aca="false">IF(A2015="","",YEAR(A2015))</f>
        <v/>
      </c>
      <c r="L2015" s="0" t="str">
        <f aca="false">IF(A2015="","",MONTH(A2015))</f>
        <v/>
      </c>
    </row>
    <row r="2016" customFormat="false" ht="15" hidden="false" customHeight="false" outlineLevel="0" collapsed="false">
      <c r="A2016" s="27"/>
      <c r="E2016" s="28"/>
      <c r="F2016" s="28"/>
      <c r="I2016" s="28" t="str">
        <f aca="false">IF(A2016="","",D2016*E2016)</f>
        <v/>
      </c>
      <c r="J2016" s="28" t="str">
        <f aca="false">IF(A2016="","",D2016*F2016)</f>
        <v/>
      </c>
      <c r="K2016" s="0" t="str">
        <f aca="false">IF(A2016="","",YEAR(A2016))</f>
        <v/>
      </c>
      <c r="L2016" s="0" t="str">
        <f aca="false">IF(A2016="","",MONTH(A2016))</f>
        <v/>
      </c>
    </row>
    <row r="2017" customFormat="false" ht="15" hidden="false" customHeight="false" outlineLevel="0" collapsed="false">
      <c r="A2017" s="27"/>
      <c r="E2017" s="28"/>
      <c r="F2017" s="28"/>
      <c r="I2017" s="28" t="str">
        <f aca="false">IF(A2017="","",D2017*E2017)</f>
        <v/>
      </c>
      <c r="J2017" s="28" t="str">
        <f aca="false">IF(A2017="","",D2017*F2017)</f>
        <v/>
      </c>
      <c r="K2017" s="0" t="str">
        <f aca="false">IF(A2017="","",YEAR(A2017))</f>
        <v/>
      </c>
      <c r="L2017" s="0" t="str">
        <f aca="false">IF(A2017="","",MONTH(A2017))</f>
        <v/>
      </c>
    </row>
    <row r="2018" customFormat="false" ht="15" hidden="false" customHeight="false" outlineLevel="0" collapsed="false">
      <c r="A2018" s="27"/>
      <c r="E2018" s="28"/>
      <c r="F2018" s="28"/>
      <c r="I2018" s="28" t="str">
        <f aca="false">IF(A2018="","",D2018*E2018)</f>
        <v/>
      </c>
      <c r="J2018" s="28" t="str">
        <f aca="false">IF(A2018="","",D2018*F2018)</f>
        <v/>
      </c>
      <c r="K2018" s="0" t="str">
        <f aca="false">IF(A2018="","",YEAR(A2018))</f>
        <v/>
      </c>
      <c r="L2018" s="0" t="str">
        <f aca="false">IF(A2018="","",MONTH(A2018))</f>
        <v/>
      </c>
    </row>
    <row r="2019" customFormat="false" ht="15" hidden="false" customHeight="false" outlineLevel="0" collapsed="false">
      <c r="A2019" s="27"/>
      <c r="E2019" s="28"/>
      <c r="F2019" s="28"/>
      <c r="I2019" s="28" t="str">
        <f aca="false">IF(A2019="","",D2019*E2019)</f>
        <v/>
      </c>
      <c r="J2019" s="28" t="str">
        <f aca="false">IF(A2019="","",D2019*F2019)</f>
        <v/>
      </c>
      <c r="K2019" s="0" t="str">
        <f aca="false">IF(A2019="","",YEAR(A2019))</f>
        <v/>
      </c>
      <c r="L2019" s="0" t="str">
        <f aca="false">IF(A2019="","",MONTH(A2019))</f>
        <v/>
      </c>
    </row>
    <row r="2020" customFormat="false" ht="15" hidden="false" customHeight="false" outlineLevel="0" collapsed="false">
      <c r="A2020" s="27"/>
      <c r="E2020" s="28"/>
      <c r="F2020" s="28"/>
      <c r="I2020" s="28" t="str">
        <f aca="false">IF(A2020="","",D2020*E2020)</f>
        <v/>
      </c>
      <c r="J2020" s="28" t="str">
        <f aca="false">IF(A2020="","",D2020*F2020)</f>
        <v/>
      </c>
      <c r="K2020" s="0" t="str">
        <f aca="false">IF(A2020="","",YEAR(A2020))</f>
        <v/>
      </c>
      <c r="L2020" s="0" t="str">
        <f aca="false">IF(A2020="","",MONTH(A2020))</f>
        <v/>
      </c>
    </row>
    <row r="2021" customFormat="false" ht="15" hidden="false" customHeight="false" outlineLevel="0" collapsed="false">
      <c r="A2021" s="27"/>
      <c r="E2021" s="28"/>
      <c r="F2021" s="28"/>
      <c r="I2021" s="28" t="str">
        <f aca="false">IF(A2021="","",D2021*E2021)</f>
        <v/>
      </c>
      <c r="J2021" s="28" t="str">
        <f aca="false">IF(A2021="","",D2021*F2021)</f>
        <v/>
      </c>
      <c r="K2021" s="0" t="str">
        <f aca="false">IF(A2021="","",YEAR(A2021))</f>
        <v/>
      </c>
      <c r="L2021" s="0" t="str">
        <f aca="false">IF(A2021="","",MONTH(A2021))</f>
        <v/>
      </c>
    </row>
    <row r="2022" customFormat="false" ht="15" hidden="false" customHeight="false" outlineLevel="0" collapsed="false">
      <c r="A2022" s="27"/>
      <c r="E2022" s="28"/>
      <c r="F2022" s="28"/>
      <c r="I2022" s="28" t="str">
        <f aca="false">IF(A2022="","",D2022*E2022)</f>
        <v/>
      </c>
      <c r="J2022" s="28" t="str">
        <f aca="false">IF(A2022="","",D2022*F2022)</f>
        <v/>
      </c>
      <c r="K2022" s="0" t="str">
        <f aca="false">IF(A2022="","",YEAR(A2022))</f>
        <v/>
      </c>
      <c r="L2022" s="0" t="str">
        <f aca="false">IF(A2022="","",MONTH(A2022))</f>
        <v/>
      </c>
    </row>
    <row r="2023" customFormat="false" ht="15" hidden="false" customHeight="false" outlineLevel="0" collapsed="false">
      <c r="A2023" s="27"/>
      <c r="E2023" s="28"/>
      <c r="F2023" s="28"/>
      <c r="I2023" s="28" t="str">
        <f aca="false">IF(A2023="","",D2023*E2023)</f>
        <v/>
      </c>
      <c r="J2023" s="28" t="str">
        <f aca="false">IF(A2023="","",D2023*F2023)</f>
        <v/>
      </c>
      <c r="K2023" s="0" t="str">
        <f aca="false">IF(A2023="","",YEAR(A2023))</f>
        <v/>
      </c>
      <c r="L2023" s="0" t="str">
        <f aca="false">IF(A2023="","",MONTH(A2023))</f>
        <v/>
      </c>
    </row>
    <row r="2024" customFormat="false" ht="15" hidden="false" customHeight="false" outlineLevel="0" collapsed="false">
      <c r="A2024" s="27"/>
      <c r="E2024" s="28"/>
      <c r="F2024" s="28"/>
      <c r="I2024" s="28" t="str">
        <f aca="false">IF(A2024="","",D2024*E2024)</f>
        <v/>
      </c>
      <c r="J2024" s="28" t="str">
        <f aca="false">IF(A2024="","",D2024*F2024)</f>
        <v/>
      </c>
      <c r="K2024" s="0" t="str">
        <f aca="false">IF(A2024="","",YEAR(A2024))</f>
        <v/>
      </c>
      <c r="L2024" s="0" t="str">
        <f aca="false">IF(A2024="","",MONTH(A2024))</f>
        <v/>
      </c>
    </row>
    <row r="2025" customFormat="false" ht="15" hidden="false" customHeight="false" outlineLevel="0" collapsed="false">
      <c r="A2025" s="27"/>
      <c r="E2025" s="28"/>
      <c r="F2025" s="28"/>
      <c r="I2025" s="28" t="str">
        <f aca="false">IF(A2025="","",D2025*E2025)</f>
        <v/>
      </c>
      <c r="J2025" s="28" t="str">
        <f aca="false">IF(A2025="","",D2025*F2025)</f>
        <v/>
      </c>
      <c r="K2025" s="0" t="str">
        <f aca="false">IF(A2025="","",YEAR(A2025))</f>
        <v/>
      </c>
      <c r="L2025" s="0" t="str">
        <f aca="false">IF(A2025="","",MONTH(A2025))</f>
        <v/>
      </c>
    </row>
    <row r="2026" customFormat="false" ht="15" hidden="false" customHeight="false" outlineLevel="0" collapsed="false">
      <c r="A2026" s="27"/>
      <c r="E2026" s="28"/>
      <c r="F2026" s="28"/>
      <c r="I2026" s="28" t="str">
        <f aca="false">IF(A2026="","",D2026*E2026)</f>
        <v/>
      </c>
      <c r="J2026" s="28" t="str">
        <f aca="false">IF(A2026="","",D2026*F2026)</f>
        <v/>
      </c>
      <c r="K2026" s="0" t="str">
        <f aca="false">IF(A2026="","",YEAR(A2026))</f>
        <v/>
      </c>
      <c r="L2026" s="0" t="str">
        <f aca="false">IF(A2026="","",MONTH(A2026))</f>
        <v/>
      </c>
    </row>
    <row r="2027" customFormat="false" ht="15" hidden="false" customHeight="false" outlineLevel="0" collapsed="false">
      <c r="A2027" s="27"/>
      <c r="E2027" s="28"/>
      <c r="F2027" s="28"/>
      <c r="I2027" s="28" t="str">
        <f aca="false">IF(A2027="","",D2027*E2027)</f>
        <v/>
      </c>
      <c r="J2027" s="28" t="str">
        <f aca="false">IF(A2027="","",D2027*F2027)</f>
        <v/>
      </c>
      <c r="K2027" s="0" t="str">
        <f aca="false">IF(A2027="","",YEAR(A2027))</f>
        <v/>
      </c>
      <c r="L2027" s="0" t="str">
        <f aca="false">IF(A2027="","",MONTH(A2027))</f>
        <v/>
      </c>
    </row>
    <row r="2028" customFormat="false" ht="15" hidden="false" customHeight="false" outlineLevel="0" collapsed="false">
      <c r="A2028" s="27"/>
      <c r="E2028" s="28"/>
      <c r="F2028" s="28"/>
      <c r="I2028" s="28" t="str">
        <f aca="false">IF(A2028="","",D2028*E2028)</f>
        <v/>
      </c>
      <c r="J2028" s="28" t="str">
        <f aca="false">IF(A2028="","",D2028*F2028)</f>
        <v/>
      </c>
      <c r="K2028" s="0" t="str">
        <f aca="false">IF(A2028="","",YEAR(A2028))</f>
        <v/>
      </c>
      <c r="L2028" s="0" t="str">
        <f aca="false">IF(A2028="","",MONTH(A2028))</f>
        <v/>
      </c>
    </row>
    <row r="2029" customFormat="false" ht="15" hidden="false" customHeight="false" outlineLevel="0" collapsed="false">
      <c r="A2029" s="27"/>
      <c r="E2029" s="28"/>
      <c r="F2029" s="28"/>
      <c r="I2029" s="28" t="str">
        <f aca="false">IF(A2029="","",D2029*E2029)</f>
        <v/>
      </c>
      <c r="J2029" s="28" t="str">
        <f aca="false">IF(A2029="","",D2029*F2029)</f>
        <v/>
      </c>
      <c r="K2029" s="0" t="str">
        <f aca="false">IF(A2029="","",YEAR(A2029))</f>
        <v/>
      </c>
      <c r="L2029" s="0" t="str">
        <f aca="false">IF(A2029="","",MONTH(A2029))</f>
        <v/>
      </c>
    </row>
    <row r="2030" customFormat="false" ht="15" hidden="false" customHeight="false" outlineLevel="0" collapsed="false">
      <c r="A2030" s="27"/>
      <c r="E2030" s="28"/>
      <c r="F2030" s="28"/>
      <c r="I2030" s="28" t="str">
        <f aca="false">IF(A2030="","",D2030*E2030)</f>
        <v/>
      </c>
      <c r="J2030" s="28" t="str">
        <f aca="false">IF(A2030="","",D2030*F2030)</f>
        <v/>
      </c>
      <c r="K2030" s="0" t="str">
        <f aca="false">IF(A2030="","",YEAR(A2030))</f>
        <v/>
      </c>
      <c r="L2030" s="0" t="str">
        <f aca="false">IF(A2030="","",MONTH(A2030))</f>
        <v/>
      </c>
    </row>
    <row r="2031" customFormat="false" ht="15" hidden="false" customHeight="false" outlineLevel="0" collapsed="false">
      <c r="A2031" s="27"/>
      <c r="E2031" s="28"/>
      <c r="F2031" s="28"/>
      <c r="I2031" s="28" t="str">
        <f aca="false">IF(A2031="","",D2031*E2031)</f>
        <v/>
      </c>
      <c r="J2031" s="28" t="str">
        <f aca="false">IF(A2031="","",D2031*F2031)</f>
        <v/>
      </c>
      <c r="K2031" s="0" t="str">
        <f aca="false">IF(A2031="","",YEAR(A2031))</f>
        <v/>
      </c>
      <c r="L2031" s="0" t="str">
        <f aca="false">IF(A2031="","",MONTH(A2031))</f>
        <v/>
      </c>
    </row>
    <row r="2032" customFormat="false" ht="15" hidden="false" customHeight="false" outlineLevel="0" collapsed="false">
      <c r="A2032" s="27"/>
      <c r="E2032" s="28"/>
      <c r="F2032" s="28"/>
      <c r="I2032" s="28" t="str">
        <f aca="false">IF(A2032="","",D2032*E2032)</f>
        <v/>
      </c>
      <c r="J2032" s="28" t="str">
        <f aca="false">IF(A2032="","",D2032*F2032)</f>
        <v/>
      </c>
      <c r="K2032" s="0" t="str">
        <f aca="false">IF(A2032="","",YEAR(A2032))</f>
        <v/>
      </c>
      <c r="L2032" s="0" t="str">
        <f aca="false">IF(A2032="","",MONTH(A2032))</f>
        <v/>
      </c>
    </row>
    <row r="2033" customFormat="false" ht="15" hidden="false" customHeight="false" outlineLevel="0" collapsed="false">
      <c r="A2033" s="27"/>
      <c r="E2033" s="28"/>
      <c r="F2033" s="28"/>
      <c r="I2033" s="28" t="str">
        <f aca="false">IF(A2033="","",D2033*E2033)</f>
        <v/>
      </c>
      <c r="J2033" s="28" t="str">
        <f aca="false">IF(A2033="","",D2033*F2033)</f>
        <v/>
      </c>
      <c r="K2033" s="0" t="str">
        <f aca="false">IF(A2033="","",YEAR(A2033))</f>
        <v/>
      </c>
      <c r="L2033" s="0" t="str">
        <f aca="false">IF(A2033="","",MONTH(A2033))</f>
        <v/>
      </c>
    </row>
    <row r="2034" customFormat="false" ht="15" hidden="false" customHeight="false" outlineLevel="0" collapsed="false">
      <c r="A2034" s="27"/>
      <c r="E2034" s="28"/>
      <c r="F2034" s="28"/>
      <c r="I2034" s="28" t="str">
        <f aca="false">IF(A2034="","",D2034*E2034)</f>
        <v/>
      </c>
      <c r="J2034" s="28" t="str">
        <f aca="false">IF(A2034="","",D2034*F2034)</f>
        <v/>
      </c>
      <c r="K2034" s="0" t="str">
        <f aca="false">IF(A2034="","",YEAR(A2034))</f>
        <v/>
      </c>
      <c r="L2034" s="0" t="str">
        <f aca="false">IF(A2034="","",MONTH(A2034))</f>
        <v/>
      </c>
    </row>
    <row r="2035" customFormat="false" ht="15" hidden="false" customHeight="false" outlineLevel="0" collapsed="false">
      <c r="A2035" s="27"/>
      <c r="E2035" s="28"/>
      <c r="F2035" s="28"/>
      <c r="I2035" s="28" t="str">
        <f aca="false">IF(A2035="","",D2035*E2035)</f>
        <v/>
      </c>
      <c r="J2035" s="28" t="str">
        <f aca="false">IF(A2035="","",D2035*F2035)</f>
        <v/>
      </c>
      <c r="K2035" s="0" t="str">
        <f aca="false">IF(A2035="","",YEAR(A2035))</f>
        <v/>
      </c>
      <c r="L2035" s="0" t="str">
        <f aca="false">IF(A2035="","",MONTH(A2035))</f>
        <v/>
      </c>
    </row>
    <row r="2036" customFormat="false" ht="15" hidden="false" customHeight="false" outlineLevel="0" collapsed="false">
      <c r="A2036" s="27"/>
      <c r="E2036" s="28"/>
      <c r="F2036" s="28"/>
      <c r="I2036" s="28" t="str">
        <f aca="false">IF(A2036="","",D2036*E2036)</f>
        <v/>
      </c>
      <c r="J2036" s="28" t="str">
        <f aca="false">IF(A2036="","",D2036*F2036)</f>
        <v/>
      </c>
      <c r="K2036" s="0" t="str">
        <f aca="false">IF(A2036="","",YEAR(A2036))</f>
        <v/>
      </c>
      <c r="L2036" s="0" t="str">
        <f aca="false">IF(A2036="","",MONTH(A2036))</f>
        <v/>
      </c>
    </row>
    <row r="2037" customFormat="false" ht="15" hidden="false" customHeight="false" outlineLevel="0" collapsed="false">
      <c r="A2037" s="27"/>
      <c r="E2037" s="28"/>
      <c r="F2037" s="28"/>
      <c r="I2037" s="28" t="str">
        <f aca="false">IF(A2037="","",D2037*E2037)</f>
        <v/>
      </c>
      <c r="J2037" s="28" t="str">
        <f aca="false">IF(A2037="","",D2037*F2037)</f>
        <v/>
      </c>
      <c r="K2037" s="0" t="str">
        <f aca="false">IF(A2037="","",YEAR(A2037))</f>
        <v/>
      </c>
      <c r="L2037" s="0" t="str">
        <f aca="false">IF(A2037="","",MONTH(A2037))</f>
        <v/>
      </c>
    </row>
    <row r="2038" customFormat="false" ht="15" hidden="false" customHeight="false" outlineLevel="0" collapsed="false">
      <c r="A2038" s="27"/>
      <c r="E2038" s="28"/>
      <c r="F2038" s="28"/>
      <c r="I2038" s="28" t="str">
        <f aca="false">IF(A2038="","",D2038*E2038)</f>
        <v/>
      </c>
      <c r="J2038" s="28" t="str">
        <f aca="false">IF(A2038="","",D2038*F2038)</f>
        <v/>
      </c>
      <c r="K2038" s="0" t="str">
        <f aca="false">IF(A2038="","",YEAR(A2038))</f>
        <v/>
      </c>
      <c r="L2038" s="0" t="str">
        <f aca="false">IF(A2038="","",MONTH(A2038))</f>
        <v/>
      </c>
    </row>
    <row r="2039" customFormat="false" ht="15" hidden="false" customHeight="false" outlineLevel="0" collapsed="false">
      <c r="A2039" s="27"/>
      <c r="E2039" s="28"/>
      <c r="F2039" s="28"/>
      <c r="I2039" s="28" t="str">
        <f aca="false">IF(A2039="","",D2039*E2039)</f>
        <v/>
      </c>
      <c r="J2039" s="28" t="str">
        <f aca="false">IF(A2039="","",D2039*F2039)</f>
        <v/>
      </c>
      <c r="K2039" s="0" t="str">
        <f aca="false">IF(A2039="","",YEAR(A2039))</f>
        <v/>
      </c>
      <c r="L2039" s="0" t="str">
        <f aca="false">IF(A2039="","",MONTH(A2039))</f>
        <v/>
      </c>
    </row>
    <row r="2040" customFormat="false" ht="15" hidden="false" customHeight="false" outlineLevel="0" collapsed="false">
      <c r="A2040" s="27"/>
      <c r="E2040" s="28"/>
      <c r="F2040" s="28"/>
      <c r="I2040" s="28" t="str">
        <f aca="false">IF(A2040="","",D2040*E2040)</f>
        <v/>
      </c>
      <c r="J2040" s="28" t="str">
        <f aca="false">IF(A2040="","",D2040*F2040)</f>
        <v/>
      </c>
      <c r="K2040" s="0" t="str">
        <f aca="false">IF(A2040="","",YEAR(A2040))</f>
        <v/>
      </c>
      <c r="L2040" s="0" t="str">
        <f aca="false">IF(A2040="","",MONTH(A2040))</f>
        <v/>
      </c>
    </row>
    <row r="2041" customFormat="false" ht="15" hidden="false" customHeight="false" outlineLevel="0" collapsed="false">
      <c r="A2041" s="27"/>
      <c r="E2041" s="28"/>
      <c r="F2041" s="28"/>
      <c r="I2041" s="28" t="str">
        <f aca="false">IF(A2041="","",D2041*E2041)</f>
        <v/>
      </c>
      <c r="J2041" s="28" t="str">
        <f aca="false">IF(A2041="","",D2041*F2041)</f>
        <v/>
      </c>
      <c r="K2041" s="0" t="str">
        <f aca="false">IF(A2041="","",YEAR(A2041))</f>
        <v/>
      </c>
      <c r="L2041" s="0" t="str">
        <f aca="false">IF(A2041="","",MONTH(A2041))</f>
        <v/>
      </c>
    </row>
    <row r="2042" customFormat="false" ht="15" hidden="false" customHeight="false" outlineLevel="0" collapsed="false">
      <c r="A2042" s="27"/>
      <c r="E2042" s="28"/>
      <c r="F2042" s="28"/>
      <c r="I2042" s="28" t="str">
        <f aca="false">IF(A2042="","",D2042*E2042)</f>
        <v/>
      </c>
      <c r="J2042" s="28" t="str">
        <f aca="false">IF(A2042="","",D2042*F2042)</f>
        <v/>
      </c>
      <c r="K2042" s="0" t="str">
        <f aca="false">IF(A2042="","",YEAR(A2042))</f>
        <v/>
      </c>
      <c r="L2042" s="0" t="str">
        <f aca="false">IF(A2042="","",MONTH(A2042))</f>
        <v/>
      </c>
    </row>
    <row r="2043" customFormat="false" ht="15" hidden="false" customHeight="false" outlineLevel="0" collapsed="false">
      <c r="A2043" s="27"/>
      <c r="E2043" s="28"/>
      <c r="F2043" s="28"/>
      <c r="I2043" s="28" t="str">
        <f aca="false">IF(A2043="","",D2043*E2043)</f>
        <v/>
      </c>
      <c r="J2043" s="28" t="str">
        <f aca="false">IF(A2043="","",D2043*F2043)</f>
        <v/>
      </c>
      <c r="K2043" s="0" t="str">
        <f aca="false">IF(A2043="","",YEAR(A2043))</f>
        <v/>
      </c>
      <c r="L2043" s="0" t="str">
        <f aca="false">IF(A2043="","",MONTH(A2043))</f>
        <v/>
      </c>
    </row>
    <row r="2044" customFormat="false" ht="15" hidden="false" customHeight="false" outlineLevel="0" collapsed="false">
      <c r="A2044" s="27"/>
      <c r="E2044" s="28"/>
      <c r="F2044" s="28"/>
      <c r="I2044" s="28" t="str">
        <f aca="false">IF(A2044="","",D2044*E2044)</f>
        <v/>
      </c>
      <c r="J2044" s="28" t="str">
        <f aca="false">IF(A2044="","",D2044*F2044)</f>
        <v/>
      </c>
      <c r="K2044" s="0" t="str">
        <f aca="false">IF(A2044="","",YEAR(A2044))</f>
        <v/>
      </c>
      <c r="L2044" s="0" t="str">
        <f aca="false">IF(A2044="","",MONTH(A2044))</f>
        <v/>
      </c>
    </row>
    <row r="2045" customFormat="false" ht="15" hidden="false" customHeight="false" outlineLevel="0" collapsed="false">
      <c r="A2045" s="27"/>
      <c r="E2045" s="28"/>
      <c r="F2045" s="28"/>
      <c r="I2045" s="28" t="str">
        <f aca="false">IF(A2045="","",D2045*E2045)</f>
        <v/>
      </c>
      <c r="J2045" s="28" t="str">
        <f aca="false">IF(A2045="","",D2045*F2045)</f>
        <v/>
      </c>
      <c r="K2045" s="0" t="str">
        <f aca="false">IF(A2045="","",YEAR(A2045))</f>
        <v/>
      </c>
      <c r="L2045" s="0" t="str">
        <f aca="false">IF(A2045="","",MONTH(A2045))</f>
        <v/>
      </c>
    </row>
    <row r="2046" customFormat="false" ht="15" hidden="false" customHeight="false" outlineLevel="0" collapsed="false">
      <c r="A2046" s="27"/>
      <c r="E2046" s="28"/>
      <c r="F2046" s="28"/>
      <c r="I2046" s="28" t="str">
        <f aca="false">IF(A2046="","",D2046*E2046)</f>
        <v/>
      </c>
      <c r="J2046" s="28" t="str">
        <f aca="false">IF(A2046="","",D2046*F2046)</f>
        <v/>
      </c>
      <c r="K2046" s="0" t="str">
        <f aca="false">IF(A2046="","",YEAR(A2046))</f>
        <v/>
      </c>
      <c r="L2046" s="0" t="str">
        <f aca="false">IF(A2046="","",MONTH(A2046))</f>
        <v/>
      </c>
    </row>
    <row r="2047" customFormat="false" ht="15" hidden="false" customHeight="false" outlineLevel="0" collapsed="false">
      <c r="A2047" s="27"/>
      <c r="E2047" s="28"/>
      <c r="F2047" s="28"/>
      <c r="I2047" s="28" t="str">
        <f aca="false">IF(A2047="","",D2047*E2047)</f>
        <v/>
      </c>
      <c r="J2047" s="28" t="str">
        <f aca="false">IF(A2047="","",D2047*F2047)</f>
        <v/>
      </c>
      <c r="K2047" s="0" t="str">
        <f aca="false">IF(A2047="","",YEAR(A2047))</f>
        <v/>
      </c>
      <c r="L2047" s="0" t="str">
        <f aca="false">IF(A2047="","",MONTH(A2047))</f>
        <v/>
      </c>
    </row>
    <row r="2048" customFormat="false" ht="15" hidden="false" customHeight="false" outlineLevel="0" collapsed="false">
      <c r="A2048" s="27"/>
      <c r="E2048" s="28"/>
      <c r="F2048" s="28"/>
      <c r="I2048" s="28" t="str">
        <f aca="false">IF(A2048="","",D2048*E2048)</f>
        <v/>
      </c>
      <c r="J2048" s="28" t="str">
        <f aca="false">IF(A2048="","",D2048*F2048)</f>
        <v/>
      </c>
      <c r="K2048" s="0" t="str">
        <f aca="false">IF(A2048="","",YEAR(A2048))</f>
        <v/>
      </c>
      <c r="L2048" s="0" t="str">
        <f aca="false">IF(A2048="","",MONTH(A2048))</f>
        <v/>
      </c>
    </row>
    <row r="2049" customFormat="false" ht="15" hidden="false" customHeight="false" outlineLevel="0" collapsed="false">
      <c r="A2049" s="27"/>
      <c r="E2049" s="28"/>
      <c r="F2049" s="28"/>
      <c r="I2049" s="28" t="str">
        <f aca="false">IF(A2049="","",D2049*E2049)</f>
        <v/>
      </c>
      <c r="J2049" s="28" t="str">
        <f aca="false">IF(A2049="","",D2049*F2049)</f>
        <v/>
      </c>
      <c r="K2049" s="0" t="str">
        <f aca="false">IF(A2049="","",YEAR(A2049))</f>
        <v/>
      </c>
      <c r="L2049" s="0" t="str">
        <f aca="false">IF(A2049="","",MONTH(A2049))</f>
        <v/>
      </c>
    </row>
    <row r="2050" customFormat="false" ht="15" hidden="false" customHeight="false" outlineLevel="0" collapsed="false">
      <c r="A2050" s="27"/>
      <c r="E2050" s="28"/>
      <c r="F2050" s="28"/>
      <c r="I2050" s="28" t="str">
        <f aca="false">IF(A2050="","",D2050*E2050)</f>
        <v/>
      </c>
      <c r="J2050" s="28" t="str">
        <f aca="false">IF(A2050="","",D2050*F2050)</f>
        <v/>
      </c>
      <c r="K2050" s="0" t="str">
        <f aca="false">IF(A2050="","",YEAR(A2050))</f>
        <v/>
      </c>
      <c r="L2050" s="0" t="str">
        <f aca="false">IF(A2050="","",MONTH(A2050))</f>
        <v/>
      </c>
    </row>
    <row r="2051" customFormat="false" ht="15" hidden="false" customHeight="false" outlineLevel="0" collapsed="false">
      <c r="A2051" s="27"/>
      <c r="E2051" s="28"/>
      <c r="F2051" s="28"/>
      <c r="I2051" s="28" t="str">
        <f aca="false">IF(A2051="","",D2051*E2051)</f>
        <v/>
      </c>
      <c r="J2051" s="28" t="str">
        <f aca="false">IF(A2051="","",D2051*F2051)</f>
        <v/>
      </c>
      <c r="K2051" s="0" t="str">
        <f aca="false">IF(A2051="","",YEAR(A2051))</f>
        <v/>
      </c>
      <c r="L2051" s="0" t="str">
        <f aca="false">IF(A2051="","",MONTH(A2051))</f>
        <v/>
      </c>
    </row>
    <row r="2052" customFormat="false" ht="15" hidden="false" customHeight="false" outlineLevel="0" collapsed="false">
      <c r="A2052" s="27"/>
      <c r="E2052" s="28"/>
      <c r="F2052" s="28"/>
      <c r="I2052" s="28" t="str">
        <f aca="false">IF(A2052="","",D2052*E2052)</f>
        <v/>
      </c>
      <c r="J2052" s="28" t="str">
        <f aca="false">IF(A2052="","",D2052*F2052)</f>
        <v/>
      </c>
      <c r="K2052" s="0" t="str">
        <f aca="false">IF(A2052="","",YEAR(A2052))</f>
        <v/>
      </c>
      <c r="L2052" s="0" t="str">
        <f aca="false">IF(A2052="","",MONTH(A2052))</f>
        <v/>
      </c>
    </row>
    <row r="2053" customFormat="false" ht="15" hidden="false" customHeight="false" outlineLevel="0" collapsed="false">
      <c r="A2053" s="27"/>
      <c r="E2053" s="28"/>
      <c r="F2053" s="28"/>
      <c r="I2053" s="28" t="str">
        <f aca="false">IF(A2053="","",D2053*E2053)</f>
        <v/>
      </c>
      <c r="J2053" s="28" t="str">
        <f aca="false">IF(A2053="","",D2053*F2053)</f>
        <v/>
      </c>
      <c r="K2053" s="0" t="str">
        <f aca="false">IF(A2053="","",YEAR(A2053))</f>
        <v/>
      </c>
      <c r="L2053" s="0" t="str">
        <f aca="false">IF(A2053="","",MONTH(A2053))</f>
        <v/>
      </c>
    </row>
    <row r="2054" customFormat="false" ht="15" hidden="false" customHeight="false" outlineLevel="0" collapsed="false">
      <c r="A2054" s="27"/>
      <c r="E2054" s="28"/>
      <c r="F2054" s="28"/>
      <c r="I2054" s="28" t="str">
        <f aca="false">IF(A2054="","",D2054*E2054)</f>
        <v/>
      </c>
      <c r="J2054" s="28" t="str">
        <f aca="false">IF(A2054="","",D2054*F2054)</f>
        <v/>
      </c>
      <c r="K2054" s="0" t="str">
        <f aca="false">IF(A2054="","",YEAR(A2054))</f>
        <v/>
      </c>
      <c r="L2054" s="0" t="str">
        <f aca="false">IF(A2054="","",MONTH(A2054))</f>
        <v/>
      </c>
    </row>
    <row r="2055" customFormat="false" ht="15" hidden="false" customHeight="false" outlineLevel="0" collapsed="false">
      <c r="A2055" s="27"/>
      <c r="E2055" s="28"/>
      <c r="F2055" s="28"/>
      <c r="I2055" s="28" t="str">
        <f aca="false">IF(A2055="","",D2055*E2055)</f>
        <v/>
      </c>
      <c r="J2055" s="28" t="str">
        <f aca="false">IF(A2055="","",D2055*F2055)</f>
        <v/>
      </c>
      <c r="K2055" s="0" t="str">
        <f aca="false">IF(A2055="","",YEAR(A2055))</f>
        <v/>
      </c>
      <c r="L2055" s="0" t="str">
        <f aca="false">IF(A2055="","",MONTH(A2055))</f>
        <v/>
      </c>
    </row>
    <row r="2056" customFormat="false" ht="15" hidden="false" customHeight="false" outlineLevel="0" collapsed="false">
      <c r="A2056" s="27"/>
      <c r="E2056" s="28"/>
      <c r="F2056" s="28"/>
      <c r="I2056" s="28" t="str">
        <f aca="false">IF(A2056="","",D2056*E2056)</f>
        <v/>
      </c>
      <c r="J2056" s="28" t="str">
        <f aca="false">IF(A2056="","",D2056*F2056)</f>
        <v/>
      </c>
      <c r="K2056" s="0" t="str">
        <f aca="false">IF(A2056="","",YEAR(A2056))</f>
        <v/>
      </c>
      <c r="L2056" s="0" t="str">
        <f aca="false">IF(A2056="","",MONTH(A2056))</f>
        <v/>
      </c>
    </row>
    <row r="2057" customFormat="false" ht="15" hidden="false" customHeight="false" outlineLevel="0" collapsed="false">
      <c r="A2057" s="27"/>
      <c r="E2057" s="28"/>
      <c r="F2057" s="28"/>
      <c r="I2057" s="28" t="str">
        <f aca="false">IF(A2057="","",D2057*E2057)</f>
        <v/>
      </c>
      <c r="J2057" s="28" t="str">
        <f aca="false">IF(A2057="","",D2057*F2057)</f>
        <v/>
      </c>
      <c r="K2057" s="0" t="str">
        <f aca="false">IF(A2057="","",YEAR(A2057))</f>
        <v/>
      </c>
      <c r="L2057" s="0" t="str">
        <f aca="false">IF(A2057="","",MONTH(A2057))</f>
        <v/>
      </c>
    </row>
    <row r="2058" customFormat="false" ht="15" hidden="false" customHeight="false" outlineLevel="0" collapsed="false">
      <c r="A2058" s="27"/>
      <c r="E2058" s="28"/>
      <c r="F2058" s="28"/>
      <c r="I2058" s="28" t="str">
        <f aca="false">IF(A2058="","",D2058*E2058)</f>
        <v/>
      </c>
      <c r="J2058" s="28" t="str">
        <f aca="false">IF(A2058="","",D2058*F2058)</f>
        <v/>
      </c>
      <c r="K2058" s="0" t="str">
        <f aca="false">IF(A2058="","",YEAR(A2058))</f>
        <v/>
      </c>
      <c r="L2058" s="0" t="str">
        <f aca="false">IF(A2058="","",MONTH(A2058))</f>
        <v/>
      </c>
    </row>
    <row r="2059" customFormat="false" ht="15" hidden="false" customHeight="false" outlineLevel="0" collapsed="false">
      <c r="A2059" s="27"/>
      <c r="E2059" s="28"/>
      <c r="F2059" s="28"/>
      <c r="I2059" s="28" t="str">
        <f aca="false">IF(A2059="","",D2059*E2059)</f>
        <v/>
      </c>
      <c r="J2059" s="28" t="str">
        <f aca="false">IF(A2059="","",D2059*F2059)</f>
        <v/>
      </c>
      <c r="K2059" s="0" t="str">
        <f aca="false">IF(A2059="","",YEAR(A2059))</f>
        <v/>
      </c>
      <c r="L2059" s="0" t="str">
        <f aca="false">IF(A2059="","",MONTH(A2059))</f>
        <v/>
      </c>
    </row>
    <row r="2060" customFormat="false" ht="15" hidden="false" customHeight="false" outlineLevel="0" collapsed="false">
      <c r="A2060" s="27"/>
      <c r="E2060" s="28"/>
      <c r="F2060" s="28"/>
      <c r="I2060" s="28" t="str">
        <f aca="false">IF(A2060="","",D2060*E2060)</f>
        <v/>
      </c>
      <c r="J2060" s="28" t="str">
        <f aca="false">IF(A2060="","",D2060*F2060)</f>
        <v/>
      </c>
      <c r="K2060" s="0" t="str">
        <f aca="false">IF(A2060="","",YEAR(A2060))</f>
        <v/>
      </c>
      <c r="L2060" s="0" t="str">
        <f aca="false">IF(A2060="","",MONTH(A2060))</f>
        <v/>
      </c>
    </row>
    <row r="2061" customFormat="false" ht="15" hidden="false" customHeight="false" outlineLevel="0" collapsed="false">
      <c r="A2061" s="27"/>
      <c r="E2061" s="28"/>
      <c r="F2061" s="28"/>
      <c r="I2061" s="28" t="str">
        <f aca="false">IF(A2061="","",D2061*E2061)</f>
        <v/>
      </c>
      <c r="J2061" s="28" t="str">
        <f aca="false">IF(A2061="","",D2061*F2061)</f>
        <v/>
      </c>
      <c r="K2061" s="0" t="str">
        <f aca="false">IF(A2061="","",YEAR(A2061))</f>
        <v/>
      </c>
      <c r="L2061" s="0" t="str">
        <f aca="false">IF(A2061="","",MONTH(A2061))</f>
        <v/>
      </c>
    </row>
    <row r="2062" customFormat="false" ht="15" hidden="false" customHeight="false" outlineLevel="0" collapsed="false">
      <c r="A2062" s="27"/>
      <c r="E2062" s="28"/>
      <c r="F2062" s="28"/>
      <c r="I2062" s="28" t="str">
        <f aca="false">IF(A2062="","",D2062*E2062)</f>
        <v/>
      </c>
      <c r="J2062" s="28" t="str">
        <f aca="false">IF(A2062="","",D2062*F2062)</f>
        <v/>
      </c>
      <c r="K2062" s="0" t="str">
        <f aca="false">IF(A2062="","",YEAR(A2062))</f>
        <v/>
      </c>
      <c r="L2062" s="0" t="str">
        <f aca="false">IF(A2062="","",MONTH(A2062))</f>
        <v/>
      </c>
    </row>
    <row r="2063" customFormat="false" ht="15" hidden="false" customHeight="false" outlineLevel="0" collapsed="false">
      <c r="A2063" s="27"/>
      <c r="E2063" s="28"/>
      <c r="F2063" s="28"/>
      <c r="I2063" s="28" t="str">
        <f aca="false">IF(A2063="","",D2063*E2063)</f>
        <v/>
      </c>
      <c r="J2063" s="28" t="str">
        <f aca="false">IF(A2063="","",D2063*F2063)</f>
        <v/>
      </c>
      <c r="K2063" s="0" t="str">
        <f aca="false">IF(A2063="","",YEAR(A2063))</f>
        <v/>
      </c>
      <c r="L2063" s="0" t="str">
        <f aca="false">IF(A2063="","",MONTH(A2063))</f>
        <v/>
      </c>
    </row>
    <row r="2064" customFormat="false" ht="15" hidden="false" customHeight="false" outlineLevel="0" collapsed="false">
      <c r="A2064" s="27"/>
      <c r="E2064" s="28"/>
      <c r="F2064" s="28"/>
      <c r="I2064" s="28" t="str">
        <f aca="false">IF(A2064="","",D2064*E2064)</f>
        <v/>
      </c>
      <c r="J2064" s="28" t="str">
        <f aca="false">IF(A2064="","",D2064*F2064)</f>
        <v/>
      </c>
      <c r="K2064" s="0" t="str">
        <f aca="false">IF(A2064="","",YEAR(A2064))</f>
        <v/>
      </c>
      <c r="L2064" s="0" t="str">
        <f aca="false">IF(A2064="","",MONTH(A2064))</f>
        <v/>
      </c>
    </row>
    <row r="2065" customFormat="false" ht="15" hidden="false" customHeight="false" outlineLevel="0" collapsed="false">
      <c r="A2065" s="27"/>
      <c r="E2065" s="28"/>
      <c r="F2065" s="28"/>
      <c r="I2065" s="28" t="str">
        <f aca="false">IF(A2065="","",D2065*E2065)</f>
        <v/>
      </c>
      <c r="J2065" s="28" t="str">
        <f aca="false">IF(A2065="","",D2065*F2065)</f>
        <v/>
      </c>
      <c r="K2065" s="0" t="str">
        <f aca="false">IF(A2065="","",YEAR(A2065))</f>
        <v/>
      </c>
      <c r="L2065" s="0" t="str">
        <f aca="false">IF(A2065="","",MONTH(A2065))</f>
        <v/>
      </c>
    </row>
    <row r="2066" customFormat="false" ht="15" hidden="false" customHeight="false" outlineLevel="0" collapsed="false">
      <c r="A2066" s="27"/>
      <c r="E2066" s="28"/>
      <c r="F2066" s="28"/>
      <c r="I2066" s="28" t="str">
        <f aca="false">IF(A2066="","",D2066*E2066)</f>
        <v/>
      </c>
      <c r="J2066" s="28" t="str">
        <f aca="false">IF(A2066="","",D2066*F2066)</f>
        <v/>
      </c>
      <c r="K2066" s="0" t="str">
        <f aca="false">IF(A2066="","",YEAR(A2066))</f>
        <v/>
      </c>
      <c r="L2066" s="0" t="str">
        <f aca="false">IF(A2066="","",MONTH(A2066))</f>
        <v/>
      </c>
    </row>
    <row r="2067" customFormat="false" ht="15" hidden="false" customHeight="false" outlineLevel="0" collapsed="false">
      <c r="A2067" s="27"/>
      <c r="E2067" s="28"/>
      <c r="F2067" s="28"/>
      <c r="I2067" s="28" t="str">
        <f aca="false">IF(A2067="","",D2067*E2067)</f>
        <v/>
      </c>
      <c r="J2067" s="28" t="str">
        <f aca="false">IF(A2067="","",D2067*F2067)</f>
        <v/>
      </c>
      <c r="K2067" s="0" t="str">
        <f aca="false">IF(A2067="","",YEAR(A2067))</f>
        <v/>
      </c>
      <c r="L2067" s="0" t="str">
        <f aca="false">IF(A2067="","",MONTH(A2067))</f>
        <v/>
      </c>
    </row>
    <row r="2068" customFormat="false" ht="15" hidden="false" customHeight="false" outlineLevel="0" collapsed="false">
      <c r="A2068" s="27"/>
      <c r="E2068" s="28"/>
      <c r="F2068" s="28"/>
      <c r="I2068" s="28" t="str">
        <f aca="false">IF(A2068="","",D2068*E2068)</f>
        <v/>
      </c>
      <c r="J2068" s="28" t="str">
        <f aca="false">IF(A2068="","",D2068*F2068)</f>
        <v/>
      </c>
      <c r="K2068" s="0" t="str">
        <f aca="false">IF(A2068="","",YEAR(A2068))</f>
        <v/>
      </c>
      <c r="L2068" s="0" t="str">
        <f aca="false">IF(A2068="","",MONTH(A2068))</f>
        <v/>
      </c>
    </row>
    <row r="2069" customFormat="false" ht="15" hidden="false" customHeight="false" outlineLevel="0" collapsed="false">
      <c r="A2069" s="27"/>
      <c r="E2069" s="28"/>
      <c r="F2069" s="28"/>
      <c r="I2069" s="28" t="str">
        <f aca="false">IF(A2069="","",D2069*E2069)</f>
        <v/>
      </c>
      <c r="J2069" s="28" t="str">
        <f aca="false">IF(A2069="","",D2069*F2069)</f>
        <v/>
      </c>
      <c r="K2069" s="0" t="str">
        <f aca="false">IF(A2069="","",YEAR(A2069))</f>
        <v/>
      </c>
      <c r="L2069" s="0" t="str">
        <f aca="false">IF(A2069="","",MONTH(A2069))</f>
        <v/>
      </c>
    </row>
    <row r="2070" customFormat="false" ht="15" hidden="false" customHeight="false" outlineLevel="0" collapsed="false">
      <c r="A2070" s="27"/>
      <c r="E2070" s="28"/>
      <c r="F2070" s="28"/>
      <c r="I2070" s="28" t="str">
        <f aca="false">IF(A2070="","",D2070*E2070)</f>
        <v/>
      </c>
      <c r="J2070" s="28" t="str">
        <f aca="false">IF(A2070="","",D2070*F2070)</f>
        <v/>
      </c>
      <c r="K2070" s="0" t="str">
        <f aca="false">IF(A2070="","",YEAR(A2070))</f>
        <v/>
      </c>
      <c r="L2070" s="0" t="str">
        <f aca="false">IF(A2070="","",MONTH(A2070))</f>
        <v/>
      </c>
    </row>
    <row r="2071" customFormat="false" ht="15" hidden="false" customHeight="false" outlineLevel="0" collapsed="false">
      <c r="A2071" s="27"/>
      <c r="E2071" s="28"/>
      <c r="F2071" s="28"/>
      <c r="I2071" s="28" t="str">
        <f aca="false">IF(A2071="","",D2071*E2071)</f>
        <v/>
      </c>
      <c r="J2071" s="28" t="str">
        <f aca="false">IF(A2071="","",D2071*F2071)</f>
        <v/>
      </c>
      <c r="K2071" s="0" t="str">
        <f aca="false">IF(A2071="","",YEAR(A2071))</f>
        <v/>
      </c>
      <c r="L2071" s="0" t="str">
        <f aca="false">IF(A2071="","",MONTH(A2071))</f>
        <v/>
      </c>
    </row>
    <row r="2072" customFormat="false" ht="15" hidden="false" customHeight="false" outlineLevel="0" collapsed="false">
      <c r="A2072" s="27"/>
      <c r="E2072" s="28"/>
      <c r="F2072" s="28"/>
      <c r="I2072" s="28" t="str">
        <f aca="false">IF(A2072="","",D2072*E2072)</f>
        <v/>
      </c>
      <c r="J2072" s="28" t="str">
        <f aca="false">IF(A2072="","",D2072*F2072)</f>
        <v/>
      </c>
      <c r="K2072" s="0" t="str">
        <f aca="false">IF(A2072="","",YEAR(A2072))</f>
        <v/>
      </c>
      <c r="L2072" s="0" t="str">
        <f aca="false">IF(A2072="","",MONTH(A2072))</f>
        <v/>
      </c>
    </row>
    <row r="2073" customFormat="false" ht="15" hidden="false" customHeight="false" outlineLevel="0" collapsed="false">
      <c r="A2073" s="27"/>
      <c r="E2073" s="28"/>
      <c r="F2073" s="28"/>
      <c r="I2073" s="28" t="str">
        <f aca="false">IF(A2073="","",D2073*E2073)</f>
        <v/>
      </c>
      <c r="J2073" s="28" t="str">
        <f aca="false">IF(A2073="","",D2073*F2073)</f>
        <v/>
      </c>
      <c r="K2073" s="0" t="str">
        <f aca="false">IF(A2073="","",YEAR(A2073))</f>
        <v/>
      </c>
      <c r="L2073" s="0" t="str">
        <f aca="false">IF(A2073="","",MONTH(A2073))</f>
        <v/>
      </c>
    </row>
    <row r="2074" customFormat="false" ht="15" hidden="false" customHeight="false" outlineLevel="0" collapsed="false">
      <c r="A2074" s="27"/>
      <c r="E2074" s="28"/>
      <c r="F2074" s="28"/>
      <c r="I2074" s="28" t="str">
        <f aca="false">IF(A2074="","",D2074*E2074)</f>
        <v/>
      </c>
      <c r="J2074" s="28" t="str">
        <f aca="false">IF(A2074="","",D2074*F2074)</f>
        <v/>
      </c>
      <c r="K2074" s="0" t="str">
        <f aca="false">IF(A2074="","",YEAR(A2074))</f>
        <v/>
      </c>
      <c r="L2074" s="0" t="str">
        <f aca="false">IF(A2074="","",MONTH(A2074))</f>
        <v/>
      </c>
    </row>
    <row r="2075" customFormat="false" ht="15" hidden="false" customHeight="false" outlineLevel="0" collapsed="false">
      <c r="A2075" s="27"/>
      <c r="E2075" s="28"/>
      <c r="F2075" s="28"/>
      <c r="I2075" s="28" t="str">
        <f aca="false">IF(A2075="","",D2075*E2075)</f>
        <v/>
      </c>
      <c r="J2075" s="28" t="str">
        <f aca="false">IF(A2075="","",D2075*F2075)</f>
        <v/>
      </c>
      <c r="K2075" s="0" t="str">
        <f aca="false">IF(A2075="","",YEAR(A2075))</f>
        <v/>
      </c>
      <c r="L2075" s="0" t="str">
        <f aca="false">IF(A2075="","",MONTH(A2075))</f>
        <v/>
      </c>
    </row>
    <row r="2076" customFormat="false" ht="15" hidden="false" customHeight="false" outlineLevel="0" collapsed="false">
      <c r="A2076" s="27"/>
      <c r="E2076" s="28"/>
      <c r="F2076" s="28"/>
      <c r="I2076" s="28" t="str">
        <f aca="false">IF(A2076="","",D2076*E2076)</f>
        <v/>
      </c>
      <c r="J2076" s="28" t="str">
        <f aca="false">IF(A2076="","",D2076*F2076)</f>
        <v/>
      </c>
      <c r="K2076" s="0" t="str">
        <f aca="false">IF(A2076="","",YEAR(A2076))</f>
        <v/>
      </c>
      <c r="L2076" s="0" t="str">
        <f aca="false">IF(A2076="","",MONTH(A2076))</f>
        <v/>
      </c>
    </row>
    <row r="2077" customFormat="false" ht="15" hidden="false" customHeight="false" outlineLevel="0" collapsed="false">
      <c r="A2077" s="27"/>
      <c r="E2077" s="28"/>
      <c r="F2077" s="28"/>
      <c r="I2077" s="28" t="str">
        <f aca="false">IF(A2077="","",D2077*E2077)</f>
        <v/>
      </c>
      <c r="J2077" s="28" t="str">
        <f aca="false">IF(A2077="","",D2077*F2077)</f>
        <v/>
      </c>
      <c r="K2077" s="0" t="str">
        <f aca="false">IF(A2077="","",YEAR(A2077))</f>
        <v/>
      </c>
      <c r="L2077" s="0" t="str">
        <f aca="false">IF(A2077="","",MONTH(A2077))</f>
        <v/>
      </c>
    </row>
    <row r="2078" customFormat="false" ht="15" hidden="false" customHeight="false" outlineLevel="0" collapsed="false">
      <c r="A2078" s="27"/>
      <c r="E2078" s="28"/>
      <c r="F2078" s="28"/>
      <c r="I2078" s="28" t="str">
        <f aca="false">IF(A2078="","",D2078*E2078)</f>
        <v/>
      </c>
      <c r="J2078" s="28" t="str">
        <f aca="false">IF(A2078="","",D2078*F2078)</f>
        <v/>
      </c>
      <c r="K2078" s="0" t="str">
        <f aca="false">IF(A2078="","",YEAR(A2078))</f>
        <v/>
      </c>
      <c r="L2078" s="0" t="str">
        <f aca="false">IF(A2078="","",MONTH(A2078))</f>
        <v/>
      </c>
    </row>
    <row r="2079" customFormat="false" ht="15" hidden="false" customHeight="false" outlineLevel="0" collapsed="false">
      <c r="A2079" s="27"/>
      <c r="E2079" s="28"/>
      <c r="F2079" s="28"/>
      <c r="I2079" s="28" t="str">
        <f aca="false">IF(A2079="","",D2079*E2079)</f>
        <v/>
      </c>
      <c r="J2079" s="28" t="str">
        <f aca="false">IF(A2079="","",D2079*F2079)</f>
        <v/>
      </c>
      <c r="K2079" s="0" t="str">
        <f aca="false">IF(A2079="","",YEAR(A2079))</f>
        <v/>
      </c>
      <c r="L2079" s="0" t="str">
        <f aca="false">IF(A2079="","",MONTH(A2079))</f>
        <v/>
      </c>
    </row>
    <row r="2080" customFormat="false" ht="15" hidden="false" customHeight="false" outlineLevel="0" collapsed="false">
      <c r="A2080" s="27"/>
      <c r="E2080" s="28"/>
      <c r="F2080" s="28"/>
      <c r="I2080" s="28" t="str">
        <f aca="false">IF(A2080="","",D2080*E2080)</f>
        <v/>
      </c>
      <c r="J2080" s="28" t="str">
        <f aca="false">IF(A2080="","",D2080*F2080)</f>
        <v/>
      </c>
      <c r="K2080" s="0" t="str">
        <f aca="false">IF(A2080="","",YEAR(A2080))</f>
        <v/>
      </c>
      <c r="L2080" s="0" t="str">
        <f aca="false">IF(A2080="","",MONTH(A2080))</f>
        <v/>
      </c>
    </row>
    <row r="2081" customFormat="false" ht="15" hidden="false" customHeight="false" outlineLevel="0" collapsed="false">
      <c r="A2081" s="27"/>
      <c r="E2081" s="28"/>
      <c r="F2081" s="28"/>
      <c r="I2081" s="28" t="str">
        <f aca="false">IF(A2081="","",D2081*E2081)</f>
        <v/>
      </c>
      <c r="J2081" s="28" t="str">
        <f aca="false">IF(A2081="","",D2081*F2081)</f>
        <v/>
      </c>
      <c r="K2081" s="0" t="str">
        <f aca="false">IF(A2081="","",YEAR(A2081))</f>
        <v/>
      </c>
      <c r="L2081" s="0" t="str">
        <f aca="false">IF(A2081="","",MONTH(A2081))</f>
        <v/>
      </c>
    </row>
    <row r="2082" customFormat="false" ht="15" hidden="false" customHeight="false" outlineLevel="0" collapsed="false">
      <c r="A2082" s="27"/>
      <c r="E2082" s="28"/>
      <c r="F2082" s="28"/>
      <c r="I2082" s="28" t="str">
        <f aca="false">IF(A2082="","",D2082*E2082)</f>
        <v/>
      </c>
      <c r="J2082" s="28" t="str">
        <f aca="false">IF(A2082="","",D2082*F2082)</f>
        <v/>
      </c>
      <c r="K2082" s="0" t="str">
        <f aca="false">IF(A2082="","",YEAR(A2082))</f>
        <v/>
      </c>
      <c r="L2082" s="0" t="str">
        <f aca="false">IF(A2082="","",MONTH(A2082))</f>
        <v/>
      </c>
    </row>
    <row r="2083" customFormat="false" ht="15" hidden="false" customHeight="false" outlineLevel="0" collapsed="false">
      <c r="A2083" s="27"/>
      <c r="E2083" s="28"/>
      <c r="F2083" s="28"/>
      <c r="I2083" s="28" t="str">
        <f aca="false">IF(A2083="","",D2083*E2083)</f>
        <v/>
      </c>
      <c r="J2083" s="28" t="str">
        <f aca="false">IF(A2083="","",D2083*F2083)</f>
        <v/>
      </c>
      <c r="K2083" s="0" t="str">
        <f aca="false">IF(A2083="","",YEAR(A2083))</f>
        <v/>
      </c>
      <c r="L2083" s="0" t="str">
        <f aca="false">IF(A2083="","",MONTH(A2083))</f>
        <v/>
      </c>
    </row>
    <row r="2084" customFormat="false" ht="15" hidden="false" customHeight="false" outlineLevel="0" collapsed="false">
      <c r="A2084" s="27"/>
      <c r="E2084" s="28"/>
      <c r="F2084" s="28"/>
      <c r="I2084" s="28" t="str">
        <f aca="false">IF(A2084="","",D2084*E2084)</f>
        <v/>
      </c>
      <c r="J2084" s="28" t="str">
        <f aca="false">IF(A2084="","",D2084*F2084)</f>
        <v/>
      </c>
      <c r="K2084" s="0" t="str">
        <f aca="false">IF(A2084="","",YEAR(A2084))</f>
        <v/>
      </c>
      <c r="L2084" s="0" t="str">
        <f aca="false">IF(A2084="","",MONTH(A2084))</f>
        <v/>
      </c>
    </row>
    <row r="2085" customFormat="false" ht="15" hidden="false" customHeight="false" outlineLevel="0" collapsed="false">
      <c r="A2085" s="27"/>
      <c r="E2085" s="28"/>
      <c r="F2085" s="28"/>
      <c r="I2085" s="28" t="str">
        <f aca="false">IF(A2085="","",D2085*E2085)</f>
        <v/>
      </c>
      <c r="J2085" s="28" t="str">
        <f aca="false">IF(A2085="","",D2085*F2085)</f>
        <v/>
      </c>
      <c r="K2085" s="0" t="str">
        <f aca="false">IF(A2085="","",YEAR(A2085))</f>
        <v/>
      </c>
      <c r="L2085" s="0" t="str">
        <f aca="false">IF(A2085="","",MONTH(A2085))</f>
        <v/>
      </c>
    </row>
    <row r="2086" customFormat="false" ht="15" hidden="false" customHeight="false" outlineLevel="0" collapsed="false">
      <c r="A2086" s="27"/>
      <c r="E2086" s="28"/>
      <c r="F2086" s="28"/>
      <c r="I2086" s="28" t="str">
        <f aca="false">IF(A2086="","",D2086*E2086)</f>
        <v/>
      </c>
      <c r="J2086" s="28" t="str">
        <f aca="false">IF(A2086="","",D2086*F2086)</f>
        <v/>
      </c>
      <c r="K2086" s="0" t="str">
        <f aca="false">IF(A2086="","",YEAR(A2086))</f>
        <v/>
      </c>
      <c r="L2086" s="0" t="str">
        <f aca="false">IF(A2086="","",MONTH(A2086))</f>
        <v/>
      </c>
    </row>
    <row r="2087" customFormat="false" ht="15" hidden="false" customHeight="false" outlineLevel="0" collapsed="false">
      <c r="A2087" s="27"/>
      <c r="E2087" s="28"/>
      <c r="F2087" s="28"/>
      <c r="I2087" s="28" t="str">
        <f aca="false">IF(A2087="","",D2087*E2087)</f>
        <v/>
      </c>
      <c r="J2087" s="28" t="str">
        <f aca="false">IF(A2087="","",D2087*F2087)</f>
        <v/>
      </c>
      <c r="K2087" s="0" t="str">
        <f aca="false">IF(A2087="","",YEAR(A2087))</f>
        <v/>
      </c>
      <c r="L2087" s="0" t="str">
        <f aca="false">IF(A2087="","",MONTH(A2087))</f>
        <v/>
      </c>
    </row>
    <row r="2088" customFormat="false" ht="15" hidden="false" customHeight="false" outlineLevel="0" collapsed="false">
      <c r="A2088" s="27"/>
      <c r="E2088" s="28"/>
      <c r="F2088" s="28"/>
      <c r="I2088" s="28" t="str">
        <f aca="false">IF(A2088="","",D2088*E2088)</f>
        <v/>
      </c>
      <c r="J2088" s="28" t="str">
        <f aca="false">IF(A2088="","",D2088*F2088)</f>
        <v/>
      </c>
      <c r="K2088" s="0" t="str">
        <f aca="false">IF(A2088="","",YEAR(A2088))</f>
        <v/>
      </c>
      <c r="L2088" s="0" t="str">
        <f aca="false">IF(A2088="","",MONTH(A2088))</f>
        <v/>
      </c>
    </row>
    <row r="2089" customFormat="false" ht="15" hidden="false" customHeight="false" outlineLevel="0" collapsed="false">
      <c r="A2089" s="27"/>
      <c r="E2089" s="28"/>
      <c r="F2089" s="28"/>
      <c r="I2089" s="28" t="str">
        <f aca="false">IF(A2089="","",D2089*E2089)</f>
        <v/>
      </c>
      <c r="J2089" s="28" t="str">
        <f aca="false">IF(A2089="","",D2089*F2089)</f>
        <v/>
      </c>
      <c r="K2089" s="0" t="str">
        <f aca="false">IF(A2089="","",YEAR(A2089))</f>
        <v/>
      </c>
      <c r="L2089" s="0" t="str">
        <f aca="false">IF(A2089="","",MONTH(A2089))</f>
        <v/>
      </c>
    </row>
    <row r="2090" customFormat="false" ht="15" hidden="false" customHeight="false" outlineLevel="0" collapsed="false">
      <c r="A2090" s="27"/>
      <c r="E2090" s="28"/>
      <c r="F2090" s="28"/>
      <c r="I2090" s="28" t="str">
        <f aca="false">IF(A2090="","",D2090*E2090)</f>
        <v/>
      </c>
      <c r="J2090" s="28" t="str">
        <f aca="false">IF(A2090="","",D2090*F2090)</f>
        <v/>
      </c>
      <c r="K2090" s="0" t="str">
        <f aca="false">IF(A2090="","",YEAR(A2090))</f>
        <v/>
      </c>
      <c r="L2090" s="0" t="str">
        <f aca="false">IF(A2090="","",MONTH(A2090))</f>
        <v/>
      </c>
    </row>
    <row r="2091" customFormat="false" ht="15" hidden="false" customHeight="false" outlineLevel="0" collapsed="false">
      <c r="A2091" s="27"/>
      <c r="E2091" s="28"/>
      <c r="F2091" s="28"/>
      <c r="I2091" s="28" t="str">
        <f aca="false">IF(A2091="","",D2091*E2091)</f>
        <v/>
      </c>
      <c r="J2091" s="28" t="str">
        <f aca="false">IF(A2091="","",D2091*F2091)</f>
        <v/>
      </c>
      <c r="K2091" s="0" t="str">
        <f aca="false">IF(A2091="","",YEAR(A2091))</f>
        <v/>
      </c>
      <c r="L2091" s="0" t="str">
        <f aca="false">IF(A2091="","",MONTH(A2091))</f>
        <v/>
      </c>
    </row>
    <row r="2092" customFormat="false" ht="15" hidden="false" customHeight="false" outlineLevel="0" collapsed="false">
      <c r="A2092" s="27"/>
      <c r="E2092" s="28"/>
      <c r="F2092" s="28"/>
      <c r="I2092" s="28" t="str">
        <f aca="false">IF(A2092="","",D2092*E2092)</f>
        <v/>
      </c>
      <c r="J2092" s="28" t="str">
        <f aca="false">IF(A2092="","",D2092*F2092)</f>
        <v/>
      </c>
      <c r="K2092" s="0" t="str">
        <f aca="false">IF(A2092="","",YEAR(A2092))</f>
        <v/>
      </c>
      <c r="L2092" s="0" t="str">
        <f aca="false">IF(A2092="","",MONTH(A2092))</f>
        <v/>
      </c>
    </row>
    <row r="2093" customFormat="false" ht="15" hidden="false" customHeight="false" outlineLevel="0" collapsed="false">
      <c r="A2093" s="27"/>
      <c r="E2093" s="28"/>
      <c r="F2093" s="28"/>
      <c r="I2093" s="28" t="str">
        <f aca="false">IF(A2093="","",D2093*E2093)</f>
        <v/>
      </c>
      <c r="J2093" s="28" t="str">
        <f aca="false">IF(A2093="","",D2093*F2093)</f>
        <v/>
      </c>
      <c r="K2093" s="0" t="str">
        <f aca="false">IF(A2093="","",YEAR(A2093))</f>
        <v/>
      </c>
      <c r="L2093" s="0" t="str">
        <f aca="false">IF(A2093="","",MONTH(A2093))</f>
        <v/>
      </c>
    </row>
    <row r="2094" customFormat="false" ht="15" hidden="false" customHeight="false" outlineLevel="0" collapsed="false">
      <c r="A2094" s="27"/>
      <c r="E2094" s="28"/>
      <c r="F2094" s="28"/>
      <c r="I2094" s="28" t="str">
        <f aca="false">IF(A2094="","",D2094*E2094)</f>
        <v/>
      </c>
      <c r="J2094" s="28" t="str">
        <f aca="false">IF(A2094="","",D2094*F2094)</f>
        <v/>
      </c>
      <c r="K2094" s="0" t="str">
        <f aca="false">IF(A2094="","",YEAR(A2094))</f>
        <v/>
      </c>
      <c r="L2094" s="0" t="str">
        <f aca="false">IF(A2094="","",MONTH(A2094))</f>
        <v/>
      </c>
    </row>
    <row r="2095" customFormat="false" ht="15" hidden="false" customHeight="false" outlineLevel="0" collapsed="false">
      <c r="A2095" s="27"/>
      <c r="E2095" s="28"/>
      <c r="F2095" s="28"/>
      <c r="I2095" s="28" t="str">
        <f aca="false">IF(A2095="","",D2095*E2095)</f>
        <v/>
      </c>
      <c r="J2095" s="28" t="str">
        <f aca="false">IF(A2095="","",D2095*F2095)</f>
        <v/>
      </c>
      <c r="K2095" s="0" t="str">
        <f aca="false">IF(A2095="","",YEAR(A2095))</f>
        <v/>
      </c>
      <c r="L2095" s="0" t="str">
        <f aca="false">IF(A2095="","",MONTH(A2095))</f>
        <v/>
      </c>
    </row>
    <row r="2096" customFormat="false" ht="15" hidden="false" customHeight="false" outlineLevel="0" collapsed="false">
      <c r="A2096" s="27"/>
      <c r="E2096" s="28"/>
      <c r="F2096" s="28"/>
      <c r="I2096" s="28" t="str">
        <f aca="false">IF(A2096="","",D2096*E2096)</f>
        <v/>
      </c>
      <c r="J2096" s="28" t="str">
        <f aca="false">IF(A2096="","",D2096*F2096)</f>
        <v/>
      </c>
      <c r="K2096" s="0" t="str">
        <f aca="false">IF(A2096="","",YEAR(A2096))</f>
        <v/>
      </c>
      <c r="L2096" s="0" t="str">
        <f aca="false">IF(A2096="","",MONTH(A2096))</f>
        <v/>
      </c>
    </row>
    <row r="2097" customFormat="false" ht="15" hidden="false" customHeight="false" outlineLevel="0" collapsed="false">
      <c r="A2097" s="27"/>
      <c r="E2097" s="28"/>
      <c r="F2097" s="28"/>
      <c r="I2097" s="28" t="str">
        <f aca="false">IF(A2097="","",D2097*E2097)</f>
        <v/>
      </c>
      <c r="J2097" s="28" t="str">
        <f aca="false">IF(A2097="","",D2097*F2097)</f>
        <v/>
      </c>
      <c r="K2097" s="0" t="str">
        <f aca="false">IF(A2097="","",YEAR(A2097))</f>
        <v/>
      </c>
      <c r="L2097" s="0" t="str">
        <f aca="false">IF(A2097="","",MONTH(A2097))</f>
        <v/>
      </c>
    </row>
    <row r="2098" customFormat="false" ht="15" hidden="false" customHeight="false" outlineLevel="0" collapsed="false">
      <c r="A2098" s="27"/>
      <c r="E2098" s="28"/>
      <c r="F2098" s="28"/>
      <c r="I2098" s="28" t="str">
        <f aca="false">IF(A2098="","",D2098*E2098)</f>
        <v/>
      </c>
      <c r="J2098" s="28" t="str">
        <f aca="false">IF(A2098="","",D2098*F2098)</f>
        <v/>
      </c>
      <c r="K2098" s="0" t="str">
        <f aca="false">IF(A2098="","",YEAR(A2098))</f>
        <v/>
      </c>
      <c r="L2098" s="0" t="str">
        <f aca="false">IF(A2098="","",MONTH(A2098))</f>
        <v/>
      </c>
    </row>
    <row r="2099" customFormat="false" ht="15" hidden="false" customHeight="false" outlineLevel="0" collapsed="false">
      <c r="A2099" s="27"/>
      <c r="E2099" s="28"/>
      <c r="F2099" s="28"/>
      <c r="I2099" s="28" t="str">
        <f aca="false">IF(A2099="","",D2099*E2099)</f>
        <v/>
      </c>
      <c r="J2099" s="28" t="str">
        <f aca="false">IF(A2099="","",D2099*F2099)</f>
        <v/>
      </c>
      <c r="K2099" s="0" t="str">
        <f aca="false">IF(A2099="","",YEAR(A2099))</f>
        <v/>
      </c>
      <c r="L2099" s="0" t="str">
        <f aca="false">IF(A2099="","",MONTH(A2099))</f>
        <v/>
      </c>
    </row>
    <row r="2100" customFormat="false" ht="15" hidden="false" customHeight="false" outlineLevel="0" collapsed="false">
      <c r="A2100" s="27"/>
      <c r="E2100" s="28"/>
      <c r="F2100" s="28"/>
      <c r="I2100" s="28" t="str">
        <f aca="false">IF(A2100="","",D2100*E2100)</f>
        <v/>
      </c>
      <c r="J2100" s="28" t="str">
        <f aca="false">IF(A2100="","",D2100*F2100)</f>
        <v/>
      </c>
      <c r="K2100" s="0" t="str">
        <f aca="false">IF(A2100="","",YEAR(A2100))</f>
        <v/>
      </c>
      <c r="L2100" s="0" t="str">
        <f aca="false">IF(A2100="","",MONTH(A2100))</f>
        <v/>
      </c>
    </row>
    <row r="2101" customFormat="false" ht="15" hidden="false" customHeight="false" outlineLevel="0" collapsed="false">
      <c r="A2101" s="27"/>
      <c r="E2101" s="28"/>
      <c r="F2101" s="28"/>
      <c r="I2101" s="28" t="str">
        <f aca="false">IF(A2101="","",D2101*E2101)</f>
        <v/>
      </c>
      <c r="J2101" s="28" t="str">
        <f aca="false">IF(A2101="","",D2101*F2101)</f>
        <v/>
      </c>
      <c r="K2101" s="0" t="str">
        <f aca="false">IF(A2101="","",YEAR(A2101))</f>
        <v/>
      </c>
      <c r="L2101" s="0" t="str">
        <f aca="false">IF(A2101="","",MONTH(A2101))</f>
        <v/>
      </c>
    </row>
    <row r="2102" customFormat="false" ht="15" hidden="false" customHeight="false" outlineLevel="0" collapsed="false">
      <c r="A2102" s="27"/>
      <c r="E2102" s="28"/>
      <c r="F2102" s="28"/>
      <c r="I2102" s="28" t="str">
        <f aca="false">IF(A2102="","",D2102*E2102)</f>
        <v/>
      </c>
      <c r="J2102" s="28" t="str">
        <f aca="false">IF(A2102="","",D2102*F2102)</f>
        <v/>
      </c>
      <c r="K2102" s="0" t="str">
        <f aca="false">IF(A2102="","",YEAR(A2102))</f>
        <v/>
      </c>
      <c r="L2102" s="0" t="str">
        <f aca="false">IF(A2102="","",MONTH(A2102))</f>
        <v/>
      </c>
    </row>
    <row r="2103" customFormat="false" ht="15" hidden="false" customHeight="false" outlineLevel="0" collapsed="false">
      <c r="A2103" s="27"/>
      <c r="E2103" s="28"/>
      <c r="F2103" s="28"/>
      <c r="I2103" s="28" t="str">
        <f aca="false">IF(A2103="","",D2103*E2103)</f>
        <v/>
      </c>
      <c r="J2103" s="28" t="str">
        <f aca="false">IF(A2103="","",D2103*F2103)</f>
        <v/>
      </c>
      <c r="K2103" s="0" t="str">
        <f aca="false">IF(A2103="","",YEAR(A2103))</f>
        <v/>
      </c>
      <c r="L2103" s="0" t="str">
        <f aca="false">IF(A2103="","",MONTH(A2103))</f>
        <v/>
      </c>
    </row>
    <row r="2104" customFormat="false" ht="15" hidden="false" customHeight="false" outlineLevel="0" collapsed="false">
      <c r="A2104" s="27"/>
      <c r="E2104" s="28"/>
      <c r="F2104" s="28"/>
      <c r="I2104" s="28" t="str">
        <f aca="false">IF(A2104="","",D2104*E2104)</f>
        <v/>
      </c>
      <c r="J2104" s="28" t="str">
        <f aca="false">IF(A2104="","",D2104*F2104)</f>
        <v/>
      </c>
      <c r="K2104" s="0" t="str">
        <f aca="false">IF(A2104="","",YEAR(A2104))</f>
        <v/>
      </c>
      <c r="L2104" s="0" t="str">
        <f aca="false">IF(A2104="","",MONTH(A2104))</f>
        <v/>
      </c>
    </row>
    <row r="2105" customFormat="false" ht="15" hidden="false" customHeight="false" outlineLevel="0" collapsed="false">
      <c r="A2105" s="27"/>
      <c r="E2105" s="28"/>
      <c r="F2105" s="28"/>
      <c r="I2105" s="28" t="str">
        <f aca="false">IF(A2105="","",D2105*E2105)</f>
        <v/>
      </c>
      <c r="J2105" s="28" t="str">
        <f aca="false">IF(A2105="","",D2105*F2105)</f>
        <v/>
      </c>
      <c r="K2105" s="0" t="str">
        <f aca="false">IF(A2105="","",YEAR(A2105))</f>
        <v/>
      </c>
      <c r="L2105" s="0" t="str">
        <f aca="false">IF(A2105="","",MONTH(A2105))</f>
        <v/>
      </c>
    </row>
    <row r="2106" customFormat="false" ht="15" hidden="false" customHeight="false" outlineLevel="0" collapsed="false">
      <c r="A2106" s="27"/>
      <c r="E2106" s="28"/>
      <c r="F2106" s="28"/>
      <c r="I2106" s="28" t="str">
        <f aca="false">IF(A2106="","",D2106*E2106)</f>
        <v/>
      </c>
      <c r="J2106" s="28" t="str">
        <f aca="false">IF(A2106="","",D2106*F2106)</f>
        <v/>
      </c>
      <c r="K2106" s="0" t="str">
        <f aca="false">IF(A2106="","",YEAR(A2106))</f>
        <v/>
      </c>
      <c r="L2106" s="0" t="str">
        <f aca="false">IF(A2106="","",MONTH(A2106))</f>
        <v/>
      </c>
    </row>
    <row r="2107" customFormat="false" ht="15" hidden="false" customHeight="false" outlineLevel="0" collapsed="false">
      <c r="A2107" s="27"/>
      <c r="E2107" s="28"/>
      <c r="F2107" s="28"/>
      <c r="I2107" s="28" t="str">
        <f aca="false">IF(A2107="","",D2107*E2107)</f>
        <v/>
      </c>
      <c r="J2107" s="28" t="str">
        <f aca="false">IF(A2107="","",D2107*F2107)</f>
        <v/>
      </c>
      <c r="K2107" s="0" t="str">
        <f aca="false">IF(A2107="","",YEAR(A2107))</f>
        <v/>
      </c>
      <c r="L2107" s="0" t="str">
        <f aca="false">IF(A2107="","",MONTH(A2107))</f>
        <v/>
      </c>
    </row>
    <row r="2108" customFormat="false" ht="15" hidden="false" customHeight="false" outlineLevel="0" collapsed="false">
      <c r="A2108" s="27"/>
      <c r="E2108" s="28"/>
      <c r="F2108" s="28"/>
      <c r="I2108" s="28" t="str">
        <f aca="false">IF(A2108="","",D2108*E2108)</f>
        <v/>
      </c>
      <c r="J2108" s="28" t="str">
        <f aca="false">IF(A2108="","",D2108*F2108)</f>
        <v/>
      </c>
      <c r="K2108" s="0" t="str">
        <f aca="false">IF(A2108="","",YEAR(A2108))</f>
        <v/>
      </c>
      <c r="L2108" s="0" t="str">
        <f aca="false">IF(A2108="","",MONTH(A2108))</f>
        <v/>
      </c>
    </row>
    <row r="2109" customFormat="false" ht="15" hidden="false" customHeight="false" outlineLevel="0" collapsed="false">
      <c r="A2109" s="27"/>
      <c r="E2109" s="28"/>
      <c r="F2109" s="28"/>
      <c r="I2109" s="28" t="str">
        <f aca="false">IF(A2109="","",D2109*E2109)</f>
        <v/>
      </c>
      <c r="J2109" s="28" t="str">
        <f aca="false">IF(A2109="","",D2109*F2109)</f>
        <v/>
      </c>
      <c r="K2109" s="0" t="str">
        <f aca="false">IF(A2109="","",YEAR(A2109))</f>
        <v/>
      </c>
      <c r="L2109" s="0" t="str">
        <f aca="false">IF(A2109="","",MONTH(A2109))</f>
        <v/>
      </c>
    </row>
    <row r="2110" customFormat="false" ht="15" hidden="false" customHeight="false" outlineLevel="0" collapsed="false">
      <c r="A2110" s="27"/>
      <c r="E2110" s="28"/>
      <c r="F2110" s="28"/>
      <c r="I2110" s="28" t="str">
        <f aca="false">IF(A2110="","",D2110*E2110)</f>
        <v/>
      </c>
      <c r="J2110" s="28" t="str">
        <f aca="false">IF(A2110="","",D2110*F2110)</f>
        <v/>
      </c>
      <c r="K2110" s="0" t="str">
        <f aca="false">IF(A2110="","",YEAR(A2110))</f>
        <v/>
      </c>
      <c r="L2110" s="0" t="str">
        <f aca="false">IF(A2110="","",MONTH(A2110))</f>
        <v/>
      </c>
    </row>
    <row r="2111" customFormat="false" ht="15" hidden="false" customHeight="false" outlineLevel="0" collapsed="false">
      <c r="A2111" s="27"/>
      <c r="E2111" s="28"/>
      <c r="F2111" s="28"/>
      <c r="I2111" s="28" t="str">
        <f aca="false">IF(A2111="","",D2111*E2111)</f>
        <v/>
      </c>
      <c r="J2111" s="28" t="str">
        <f aca="false">IF(A2111="","",D2111*F2111)</f>
        <v/>
      </c>
      <c r="K2111" s="0" t="str">
        <f aca="false">IF(A2111="","",YEAR(A2111))</f>
        <v/>
      </c>
      <c r="L2111" s="0" t="str">
        <f aca="false">IF(A2111="","",MONTH(A2111))</f>
        <v/>
      </c>
    </row>
    <row r="2112" customFormat="false" ht="15" hidden="false" customHeight="false" outlineLevel="0" collapsed="false">
      <c r="A2112" s="27"/>
      <c r="E2112" s="28"/>
      <c r="F2112" s="28"/>
      <c r="I2112" s="28" t="str">
        <f aca="false">IF(A2112="","",D2112*E2112)</f>
        <v/>
      </c>
      <c r="J2112" s="28" t="str">
        <f aca="false">IF(A2112="","",D2112*F2112)</f>
        <v/>
      </c>
      <c r="K2112" s="0" t="str">
        <f aca="false">IF(A2112="","",YEAR(A2112))</f>
        <v/>
      </c>
      <c r="L2112" s="0" t="str">
        <f aca="false">IF(A2112="","",MONTH(A2112))</f>
        <v/>
      </c>
    </row>
    <row r="2113" customFormat="false" ht="15" hidden="false" customHeight="false" outlineLevel="0" collapsed="false">
      <c r="A2113" s="27"/>
      <c r="E2113" s="28"/>
      <c r="F2113" s="28"/>
      <c r="I2113" s="28" t="str">
        <f aca="false">IF(A2113="","",D2113*E2113)</f>
        <v/>
      </c>
      <c r="J2113" s="28" t="str">
        <f aca="false">IF(A2113="","",D2113*F2113)</f>
        <v/>
      </c>
      <c r="K2113" s="0" t="str">
        <f aca="false">IF(A2113="","",YEAR(A2113))</f>
        <v/>
      </c>
      <c r="L2113" s="0" t="str">
        <f aca="false">IF(A2113="","",MONTH(A2113))</f>
        <v/>
      </c>
    </row>
    <row r="2114" customFormat="false" ht="15" hidden="false" customHeight="false" outlineLevel="0" collapsed="false">
      <c r="A2114" s="27"/>
      <c r="E2114" s="28"/>
      <c r="F2114" s="28"/>
      <c r="I2114" s="28" t="str">
        <f aca="false">IF(A2114="","",D2114*E2114)</f>
        <v/>
      </c>
      <c r="J2114" s="28" t="str">
        <f aca="false">IF(A2114="","",D2114*F2114)</f>
        <v/>
      </c>
      <c r="K2114" s="0" t="str">
        <f aca="false">IF(A2114="","",YEAR(A2114))</f>
        <v/>
      </c>
      <c r="L2114" s="0" t="str">
        <f aca="false">IF(A2114="","",MONTH(A2114))</f>
        <v/>
      </c>
    </row>
    <row r="2115" customFormat="false" ht="15" hidden="false" customHeight="false" outlineLevel="0" collapsed="false">
      <c r="A2115" s="27"/>
      <c r="E2115" s="28"/>
      <c r="F2115" s="28"/>
      <c r="I2115" s="28" t="str">
        <f aca="false">IF(A2115="","",D2115*E2115)</f>
        <v/>
      </c>
      <c r="J2115" s="28" t="str">
        <f aca="false">IF(A2115="","",D2115*F2115)</f>
        <v/>
      </c>
      <c r="K2115" s="0" t="str">
        <f aca="false">IF(A2115="","",YEAR(A2115))</f>
        <v/>
      </c>
      <c r="L2115" s="0" t="str">
        <f aca="false">IF(A2115="","",MONTH(A2115))</f>
        <v/>
      </c>
    </row>
    <row r="2116" customFormat="false" ht="15" hidden="false" customHeight="false" outlineLevel="0" collapsed="false">
      <c r="A2116" s="27"/>
      <c r="E2116" s="28"/>
      <c r="F2116" s="28"/>
      <c r="I2116" s="28" t="str">
        <f aca="false">IF(A2116="","",D2116*E2116)</f>
        <v/>
      </c>
      <c r="J2116" s="28" t="str">
        <f aca="false">IF(A2116="","",D2116*F2116)</f>
        <v/>
      </c>
      <c r="K2116" s="0" t="str">
        <f aca="false">IF(A2116="","",YEAR(A2116))</f>
        <v/>
      </c>
      <c r="L2116" s="0" t="str">
        <f aca="false">IF(A2116="","",MONTH(A2116))</f>
        <v/>
      </c>
    </row>
    <row r="2117" customFormat="false" ht="15" hidden="false" customHeight="false" outlineLevel="0" collapsed="false">
      <c r="A2117" s="27"/>
      <c r="E2117" s="28"/>
      <c r="F2117" s="28"/>
      <c r="I2117" s="28" t="str">
        <f aca="false">IF(A2117="","",D2117*E2117)</f>
        <v/>
      </c>
      <c r="J2117" s="28" t="str">
        <f aca="false">IF(A2117="","",D2117*F2117)</f>
        <v/>
      </c>
      <c r="K2117" s="0" t="str">
        <f aca="false">IF(A2117="","",YEAR(A2117))</f>
        <v/>
      </c>
      <c r="L2117" s="0" t="str">
        <f aca="false">IF(A2117="","",MONTH(A2117))</f>
        <v/>
      </c>
    </row>
    <row r="2118" customFormat="false" ht="15" hidden="false" customHeight="false" outlineLevel="0" collapsed="false">
      <c r="A2118" s="27"/>
      <c r="E2118" s="28"/>
      <c r="F2118" s="28"/>
      <c r="I2118" s="28" t="str">
        <f aca="false">IF(A2118="","",D2118*E2118)</f>
        <v/>
      </c>
      <c r="J2118" s="28" t="str">
        <f aca="false">IF(A2118="","",D2118*F2118)</f>
        <v/>
      </c>
      <c r="K2118" s="0" t="str">
        <f aca="false">IF(A2118="","",YEAR(A2118))</f>
        <v/>
      </c>
      <c r="L2118" s="0" t="str">
        <f aca="false">IF(A2118="","",MONTH(A2118))</f>
        <v/>
      </c>
    </row>
    <row r="2119" customFormat="false" ht="15" hidden="false" customHeight="false" outlineLevel="0" collapsed="false">
      <c r="A2119" s="27"/>
      <c r="E2119" s="28"/>
      <c r="F2119" s="28"/>
      <c r="I2119" s="28" t="str">
        <f aca="false">IF(A2119="","",D2119*E2119)</f>
        <v/>
      </c>
      <c r="J2119" s="28" t="str">
        <f aca="false">IF(A2119="","",D2119*F2119)</f>
        <v/>
      </c>
      <c r="K2119" s="0" t="str">
        <f aca="false">IF(A2119="","",YEAR(A2119))</f>
        <v/>
      </c>
      <c r="L2119" s="0" t="str">
        <f aca="false">IF(A2119="","",MONTH(A2119))</f>
        <v/>
      </c>
    </row>
    <row r="2120" customFormat="false" ht="15" hidden="false" customHeight="false" outlineLevel="0" collapsed="false">
      <c r="A2120" s="27"/>
      <c r="E2120" s="28"/>
      <c r="F2120" s="28"/>
      <c r="I2120" s="28" t="str">
        <f aca="false">IF(A2120="","",D2120*E2120)</f>
        <v/>
      </c>
      <c r="J2120" s="28" t="str">
        <f aca="false">IF(A2120="","",D2120*F2120)</f>
        <v/>
      </c>
      <c r="K2120" s="0" t="str">
        <f aca="false">IF(A2120="","",YEAR(A2120))</f>
        <v/>
      </c>
      <c r="L2120" s="0" t="str">
        <f aca="false">IF(A2120="","",MONTH(A2120))</f>
        <v/>
      </c>
    </row>
    <row r="2121" customFormat="false" ht="15" hidden="false" customHeight="false" outlineLevel="0" collapsed="false">
      <c r="A2121" s="27"/>
      <c r="E2121" s="28"/>
      <c r="F2121" s="28"/>
      <c r="I2121" s="28" t="str">
        <f aca="false">IF(A2121="","",D2121*E2121)</f>
        <v/>
      </c>
      <c r="J2121" s="28" t="str">
        <f aca="false">IF(A2121="","",D2121*F2121)</f>
        <v/>
      </c>
      <c r="K2121" s="0" t="str">
        <f aca="false">IF(A2121="","",YEAR(A2121))</f>
        <v/>
      </c>
      <c r="L2121" s="0" t="str">
        <f aca="false">IF(A2121="","",MONTH(A2121))</f>
        <v/>
      </c>
    </row>
    <row r="2122" customFormat="false" ht="15" hidden="false" customHeight="false" outlineLevel="0" collapsed="false">
      <c r="A2122" s="27"/>
      <c r="E2122" s="28"/>
      <c r="F2122" s="28"/>
      <c r="I2122" s="28" t="str">
        <f aca="false">IF(A2122="","",D2122*E2122)</f>
        <v/>
      </c>
      <c r="J2122" s="28" t="str">
        <f aca="false">IF(A2122="","",D2122*F2122)</f>
        <v/>
      </c>
      <c r="K2122" s="0" t="str">
        <f aca="false">IF(A2122="","",YEAR(A2122))</f>
        <v/>
      </c>
      <c r="L2122" s="0" t="str">
        <f aca="false">IF(A2122="","",MONTH(A2122))</f>
        <v/>
      </c>
    </row>
    <row r="2123" customFormat="false" ht="15" hidden="false" customHeight="false" outlineLevel="0" collapsed="false">
      <c r="A2123" s="27"/>
      <c r="E2123" s="28"/>
      <c r="F2123" s="28"/>
      <c r="I2123" s="28" t="str">
        <f aca="false">IF(A2123="","",D2123*E2123)</f>
        <v/>
      </c>
      <c r="J2123" s="28" t="str">
        <f aca="false">IF(A2123="","",D2123*F2123)</f>
        <v/>
      </c>
      <c r="K2123" s="0" t="str">
        <f aca="false">IF(A2123="","",YEAR(A2123))</f>
        <v/>
      </c>
      <c r="L2123" s="0" t="str">
        <f aca="false">IF(A2123="","",MONTH(A2123))</f>
        <v/>
      </c>
    </row>
    <row r="2124" customFormat="false" ht="15" hidden="false" customHeight="false" outlineLevel="0" collapsed="false">
      <c r="A2124" s="27"/>
      <c r="E2124" s="28"/>
      <c r="F2124" s="28"/>
      <c r="I2124" s="28" t="str">
        <f aca="false">IF(A2124="","",D2124*E2124)</f>
        <v/>
      </c>
      <c r="J2124" s="28" t="str">
        <f aca="false">IF(A2124="","",D2124*F2124)</f>
        <v/>
      </c>
      <c r="K2124" s="0" t="str">
        <f aca="false">IF(A2124="","",YEAR(A2124))</f>
        <v/>
      </c>
      <c r="L2124" s="0" t="str">
        <f aca="false">IF(A2124="","",MONTH(A2124))</f>
        <v/>
      </c>
    </row>
    <row r="2125" customFormat="false" ht="15" hidden="false" customHeight="false" outlineLevel="0" collapsed="false">
      <c r="A2125" s="27"/>
      <c r="E2125" s="28"/>
      <c r="F2125" s="28"/>
      <c r="I2125" s="28" t="str">
        <f aca="false">IF(A2125="","",D2125*E2125)</f>
        <v/>
      </c>
      <c r="J2125" s="28" t="str">
        <f aca="false">IF(A2125="","",D2125*F2125)</f>
        <v/>
      </c>
      <c r="K2125" s="0" t="str">
        <f aca="false">IF(A2125="","",YEAR(A2125))</f>
        <v/>
      </c>
      <c r="L2125" s="0" t="str">
        <f aca="false">IF(A2125="","",MONTH(A2125))</f>
        <v/>
      </c>
    </row>
    <row r="2126" customFormat="false" ht="15" hidden="false" customHeight="false" outlineLevel="0" collapsed="false">
      <c r="A2126" s="27"/>
      <c r="E2126" s="28"/>
      <c r="F2126" s="28"/>
      <c r="I2126" s="28" t="str">
        <f aca="false">IF(A2126="","",D2126*E2126)</f>
        <v/>
      </c>
      <c r="J2126" s="28" t="str">
        <f aca="false">IF(A2126="","",D2126*F2126)</f>
        <v/>
      </c>
      <c r="K2126" s="0" t="str">
        <f aca="false">IF(A2126="","",YEAR(A2126))</f>
        <v/>
      </c>
      <c r="L2126" s="0" t="str">
        <f aca="false">IF(A2126="","",MONTH(A2126))</f>
        <v/>
      </c>
    </row>
    <row r="2127" customFormat="false" ht="15" hidden="false" customHeight="false" outlineLevel="0" collapsed="false">
      <c r="A2127" s="27"/>
      <c r="E2127" s="28"/>
      <c r="F2127" s="28"/>
      <c r="I2127" s="28" t="str">
        <f aca="false">IF(A2127="","",D2127*E2127)</f>
        <v/>
      </c>
      <c r="J2127" s="28" t="str">
        <f aca="false">IF(A2127="","",D2127*F2127)</f>
        <v/>
      </c>
      <c r="K2127" s="0" t="str">
        <f aca="false">IF(A2127="","",YEAR(A2127))</f>
        <v/>
      </c>
      <c r="L2127" s="0" t="str">
        <f aca="false">IF(A2127="","",MONTH(A2127))</f>
        <v/>
      </c>
    </row>
    <row r="2128" customFormat="false" ht="15" hidden="false" customHeight="false" outlineLevel="0" collapsed="false">
      <c r="A2128" s="27"/>
      <c r="E2128" s="28"/>
      <c r="F2128" s="28"/>
      <c r="I2128" s="28" t="str">
        <f aca="false">IF(A2128="","",D2128*E2128)</f>
        <v/>
      </c>
      <c r="J2128" s="28" t="str">
        <f aca="false">IF(A2128="","",D2128*F2128)</f>
        <v/>
      </c>
      <c r="K2128" s="0" t="str">
        <f aca="false">IF(A2128="","",YEAR(A2128))</f>
        <v/>
      </c>
      <c r="L2128" s="0" t="str">
        <f aca="false">IF(A2128="","",MONTH(A2128))</f>
        <v/>
      </c>
    </row>
    <row r="2129" customFormat="false" ht="15" hidden="false" customHeight="false" outlineLevel="0" collapsed="false">
      <c r="A2129" s="27"/>
      <c r="E2129" s="28"/>
      <c r="F2129" s="28"/>
      <c r="I2129" s="28" t="str">
        <f aca="false">IF(A2129="","",D2129*E2129)</f>
        <v/>
      </c>
      <c r="J2129" s="28" t="str">
        <f aca="false">IF(A2129="","",D2129*F2129)</f>
        <v/>
      </c>
      <c r="K2129" s="0" t="str">
        <f aca="false">IF(A2129="","",YEAR(A2129))</f>
        <v/>
      </c>
      <c r="L2129" s="0" t="str">
        <f aca="false">IF(A2129="","",MONTH(A2129))</f>
        <v/>
      </c>
    </row>
    <row r="2130" customFormat="false" ht="15" hidden="false" customHeight="false" outlineLevel="0" collapsed="false">
      <c r="A2130" s="27"/>
      <c r="E2130" s="28"/>
      <c r="F2130" s="28"/>
      <c r="I2130" s="28" t="str">
        <f aca="false">IF(A2130="","",D2130*E2130)</f>
        <v/>
      </c>
      <c r="J2130" s="28" t="str">
        <f aca="false">IF(A2130="","",D2130*F2130)</f>
        <v/>
      </c>
      <c r="K2130" s="0" t="str">
        <f aca="false">IF(A2130="","",YEAR(A2130))</f>
        <v/>
      </c>
      <c r="L2130" s="0" t="str">
        <f aca="false">IF(A2130="","",MONTH(A2130))</f>
        <v/>
      </c>
    </row>
    <row r="2131" customFormat="false" ht="15" hidden="false" customHeight="false" outlineLevel="0" collapsed="false">
      <c r="A2131" s="27"/>
      <c r="E2131" s="28"/>
      <c r="F2131" s="28"/>
      <c r="I2131" s="28" t="str">
        <f aca="false">IF(A2131="","",D2131*E2131)</f>
        <v/>
      </c>
      <c r="J2131" s="28" t="str">
        <f aca="false">IF(A2131="","",D2131*F2131)</f>
        <v/>
      </c>
      <c r="K2131" s="0" t="str">
        <f aca="false">IF(A2131="","",YEAR(A2131))</f>
        <v/>
      </c>
      <c r="L2131" s="0" t="str">
        <f aca="false">IF(A2131="","",MONTH(A2131))</f>
        <v/>
      </c>
    </row>
    <row r="2132" customFormat="false" ht="15" hidden="false" customHeight="false" outlineLevel="0" collapsed="false">
      <c r="A2132" s="27"/>
      <c r="E2132" s="28"/>
      <c r="F2132" s="28"/>
      <c r="I2132" s="28" t="str">
        <f aca="false">IF(A2132="","",D2132*E2132)</f>
        <v/>
      </c>
      <c r="J2132" s="28" t="str">
        <f aca="false">IF(A2132="","",D2132*F2132)</f>
        <v/>
      </c>
      <c r="K2132" s="0" t="str">
        <f aca="false">IF(A2132="","",YEAR(A2132))</f>
        <v/>
      </c>
      <c r="L2132" s="0" t="str">
        <f aca="false">IF(A2132="","",MONTH(A2132))</f>
        <v/>
      </c>
    </row>
    <row r="2133" customFormat="false" ht="15" hidden="false" customHeight="false" outlineLevel="0" collapsed="false">
      <c r="A2133" s="27"/>
      <c r="E2133" s="28"/>
      <c r="F2133" s="28"/>
      <c r="I2133" s="28" t="str">
        <f aca="false">IF(A2133="","",D2133*E2133)</f>
        <v/>
      </c>
      <c r="J2133" s="28" t="str">
        <f aca="false">IF(A2133="","",D2133*F2133)</f>
        <v/>
      </c>
      <c r="K2133" s="0" t="str">
        <f aca="false">IF(A2133="","",YEAR(A2133))</f>
        <v/>
      </c>
      <c r="L2133" s="0" t="str">
        <f aca="false">IF(A2133="","",MONTH(A2133))</f>
        <v/>
      </c>
    </row>
    <row r="2134" customFormat="false" ht="15" hidden="false" customHeight="false" outlineLevel="0" collapsed="false">
      <c r="A2134" s="27"/>
      <c r="E2134" s="28"/>
      <c r="F2134" s="28"/>
      <c r="I2134" s="28" t="str">
        <f aca="false">IF(A2134="","",D2134*E2134)</f>
        <v/>
      </c>
      <c r="J2134" s="28" t="str">
        <f aca="false">IF(A2134="","",D2134*F2134)</f>
        <v/>
      </c>
      <c r="K2134" s="0" t="str">
        <f aca="false">IF(A2134="","",YEAR(A2134))</f>
        <v/>
      </c>
      <c r="L2134" s="0" t="str">
        <f aca="false">IF(A2134="","",MONTH(A2134))</f>
        <v/>
      </c>
    </row>
    <row r="2135" customFormat="false" ht="15" hidden="false" customHeight="false" outlineLevel="0" collapsed="false">
      <c r="A2135" s="27"/>
      <c r="E2135" s="28"/>
      <c r="F2135" s="28"/>
      <c r="I2135" s="28" t="str">
        <f aca="false">IF(A2135="","",D2135*E2135)</f>
        <v/>
      </c>
      <c r="J2135" s="28" t="str">
        <f aca="false">IF(A2135="","",D2135*F2135)</f>
        <v/>
      </c>
      <c r="K2135" s="0" t="str">
        <f aca="false">IF(A2135="","",YEAR(A2135))</f>
        <v/>
      </c>
      <c r="L2135" s="0" t="str">
        <f aca="false">IF(A2135="","",MONTH(A2135))</f>
        <v/>
      </c>
    </row>
    <row r="2136" customFormat="false" ht="15" hidden="false" customHeight="false" outlineLevel="0" collapsed="false">
      <c r="A2136" s="27"/>
      <c r="E2136" s="28"/>
      <c r="F2136" s="28"/>
      <c r="I2136" s="28" t="str">
        <f aca="false">IF(A2136="","",D2136*E2136)</f>
        <v/>
      </c>
      <c r="J2136" s="28" t="str">
        <f aca="false">IF(A2136="","",D2136*F2136)</f>
        <v/>
      </c>
      <c r="K2136" s="0" t="str">
        <f aca="false">IF(A2136="","",YEAR(A2136))</f>
        <v/>
      </c>
      <c r="L2136" s="0" t="str">
        <f aca="false">IF(A2136="","",MONTH(A2136))</f>
        <v/>
      </c>
    </row>
    <row r="2137" customFormat="false" ht="15" hidden="false" customHeight="false" outlineLevel="0" collapsed="false">
      <c r="A2137" s="27"/>
      <c r="E2137" s="28"/>
      <c r="F2137" s="28"/>
      <c r="I2137" s="28" t="str">
        <f aca="false">IF(A2137="","",D2137*E2137)</f>
        <v/>
      </c>
      <c r="J2137" s="28" t="str">
        <f aca="false">IF(A2137="","",D2137*F2137)</f>
        <v/>
      </c>
      <c r="K2137" s="0" t="str">
        <f aca="false">IF(A2137="","",YEAR(A2137))</f>
        <v/>
      </c>
      <c r="L2137" s="0" t="str">
        <f aca="false">IF(A2137="","",MONTH(A2137))</f>
        <v/>
      </c>
    </row>
    <row r="2138" customFormat="false" ht="15" hidden="false" customHeight="false" outlineLevel="0" collapsed="false">
      <c r="A2138" s="27"/>
      <c r="E2138" s="28"/>
      <c r="F2138" s="28"/>
      <c r="I2138" s="28" t="str">
        <f aca="false">IF(A2138="","",D2138*E2138)</f>
        <v/>
      </c>
      <c r="J2138" s="28" t="str">
        <f aca="false">IF(A2138="","",D2138*F2138)</f>
        <v/>
      </c>
      <c r="K2138" s="0" t="str">
        <f aca="false">IF(A2138="","",YEAR(A2138))</f>
        <v/>
      </c>
      <c r="L2138" s="0" t="str">
        <f aca="false">IF(A2138="","",MONTH(A2138))</f>
        <v/>
      </c>
    </row>
    <row r="2139" customFormat="false" ht="15" hidden="false" customHeight="false" outlineLevel="0" collapsed="false">
      <c r="A2139" s="27"/>
      <c r="E2139" s="28"/>
      <c r="F2139" s="28"/>
      <c r="I2139" s="28" t="str">
        <f aca="false">IF(A2139="","",D2139*E2139)</f>
        <v/>
      </c>
      <c r="J2139" s="28" t="str">
        <f aca="false">IF(A2139="","",D2139*F2139)</f>
        <v/>
      </c>
      <c r="K2139" s="0" t="str">
        <f aca="false">IF(A2139="","",YEAR(A2139))</f>
        <v/>
      </c>
      <c r="L2139" s="0" t="str">
        <f aca="false">IF(A2139="","",MONTH(A2139))</f>
        <v/>
      </c>
    </row>
    <row r="2140" customFormat="false" ht="15" hidden="false" customHeight="false" outlineLevel="0" collapsed="false">
      <c r="A2140" s="27"/>
      <c r="E2140" s="28"/>
      <c r="F2140" s="28"/>
      <c r="I2140" s="28" t="str">
        <f aca="false">IF(A2140="","",D2140*E2140)</f>
        <v/>
      </c>
      <c r="J2140" s="28" t="str">
        <f aca="false">IF(A2140="","",D2140*F2140)</f>
        <v/>
      </c>
      <c r="K2140" s="0" t="str">
        <f aca="false">IF(A2140="","",YEAR(A2140))</f>
        <v/>
      </c>
      <c r="L2140" s="0" t="str">
        <f aca="false">IF(A2140="","",MONTH(A2140))</f>
        <v/>
      </c>
    </row>
    <row r="2141" customFormat="false" ht="15" hidden="false" customHeight="false" outlineLevel="0" collapsed="false">
      <c r="A2141" s="27"/>
      <c r="E2141" s="28"/>
      <c r="F2141" s="28"/>
      <c r="I2141" s="28" t="str">
        <f aca="false">IF(A2141="","",D2141*E2141)</f>
        <v/>
      </c>
      <c r="J2141" s="28" t="str">
        <f aca="false">IF(A2141="","",D2141*F2141)</f>
        <v/>
      </c>
      <c r="K2141" s="0" t="str">
        <f aca="false">IF(A2141="","",YEAR(A2141))</f>
        <v/>
      </c>
      <c r="L2141" s="0" t="str">
        <f aca="false">IF(A2141="","",MONTH(A2141))</f>
        <v/>
      </c>
    </row>
    <row r="2142" customFormat="false" ht="15" hidden="false" customHeight="false" outlineLevel="0" collapsed="false">
      <c r="A2142" s="27"/>
      <c r="E2142" s="28"/>
      <c r="F2142" s="28"/>
      <c r="I2142" s="28" t="str">
        <f aca="false">IF(A2142="","",D2142*E2142)</f>
        <v/>
      </c>
      <c r="J2142" s="28" t="str">
        <f aca="false">IF(A2142="","",D2142*F2142)</f>
        <v/>
      </c>
      <c r="K2142" s="0" t="str">
        <f aca="false">IF(A2142="","",YEAR(A2142))</f>
        <v/>
      </c>
      <c r="L2142" s="0" t="str">
        <f aca="false">IF(A2142="","",MONTH(A2142))</f>
        <v/>
      </c>
    </row>
    <row r="2143" customFormat="false" ht="15" hidden="false" customHeight="false" outlineLevel="0" collapsed="false">
      <c r="A2143" s="27"/>
      <c r="E2143" s="28"/>
      <c r="F2143" s="28"/>
      <c r="I2143" s="28" t="str">
        <f aca="false">IF(A2143="","",D2143*E2143)</f>
        <v/>
      </c>
      <c r="J2143" s="28" t="str">
        <f aca="false">IF(A2143="","",D2143*F2143)</f>
        <v/>
      </c>
      <c r="K2143" s="0" t="str">
        <f aca="false">IF(A2143="","",YEAR(A2143))</f>
        <v/>
      </c>
      <c r="L2143" s="0" t="str">
        <f aca="false">IF(A2143="","",MONTH(A2143))</f>
        <v/>
      </c>
    </row>
    <row r="2144" customFormat="false" ht="15" hidden="false" customHeight="false" outlineLevel="0" collapsed="false">
      <c r="A2144" s="27"/>
      <c r="E2144" s="28"/>
      <c r="F2144" s="28"/>
      <c r="I2144" s="28" t="str">
        <f aca="false">IF(A2144="","",D2144*E2144)</f>
        <v/>
      </c>
      <c r="J2144" s="28" t="str">
        <f aca="false">IF(A2144="","",D2144*F2144)</f>
        <v/>
      </c>
      <c r="K2144" s="0" t="str">
        <f aca="false">IF(A2144="","",YEAR(A2144))</f>
        <v/>
      </c>
      <c r="L2144" s="0" t="str">
        <f aca="false">IF(A2144="","",MONTH(A2144))</f>
        <v/>
      </c>
    </row>
    <row r="2145" customFormat="false" ht="15" hidden="false" customHeight="false" outlineLevel="0" collapsed="false">
      <c r="A2145" s="27"/>
      <c r="E2145" s="28"/>
      <c r="F2145" s="28"/>
      <c r="I2145" s="28" t="str">
        <f aca="false">IF(A2145="","",D2145*E2145)</f>
        <v/>
      </c>
      <c r="J2145" s="28" t="str">
        <f aca="false">IF(A2145="","",D2145*F2145)</f>
        <v/>
      </c>
      <c r="K2145" s="0" t="str">
        <f aca="false">IF(A2145="","",YEAR(A2145))</f>
        <v/>
      </c>
      <c r="L2145" s="0" t="str">
        <f aca="false">IF(A2145="","",MONTH(A2145))</f>
        <v/>
      </c>
    </row>
    <row r="2146" customFormat="false" ht="15" hidden="false" customHeight="false" outlineLevel="0" collapsed="false">
      <c r="A2146" s="27"/>
      <c r="E2146" s="28"/>
      <c r="F2146" s="28"/>
      <c r="I2146" s="28" t="str">
        <f aca="false">IF(A2146="","",D2146*E2146)</f>
        <v/>
      </c>
      <c r="J2146" s="28" t="str">
        <f aca="false">IF(A2146="","",D2146*F2146)</f>
        <v/>
      </c>
      <c r="K2146" s="0" t="str">
        <f aca="false">IF(A2146="","",YEAR(A2146))</f>
        <v/>
      </c>
      <c r="L2146" s="0" t="str">
        <f aca="false">IF(A2146="","",MONTH(A2146))</f>
        <v/>
      </c>
    </row>
    <row r="2147" customFormat="false" ht="15" hidden="false" customHeight="false" outlineLevel="0" collapsed="false">
      <c r="A2147" s="27"/>
      <c r="E2147" s="28"/>
      <c r="F2147" s="28"/>
      <c r="I2147" s="28" t="str">
        <f aca="false">IF(A2147="","",D2147*E2147)</f>
        <v/>
      </c>
      <c r="J2147" s="28" t="str">
        <f aca="false">IF(A2147="","",D2147*F2147)</f>
        <v/>
      </c>
      <c r="K2147" s="0" t="str">
        <f aca="false">IF(A2147="","",YEAR(A2147))</f>
        <v/>
      </c>
      <c r="L2147" s="0" t="str">
        <f aca="false">IF(A2147="","",MONTH(A2147))</f>
        <v/>
      </c>
    </row>
    <row r="2148" customFormat="false" ht="15" hidden="false" customHeight="false" outlineLevel="0" collapsed="false">
      <c r="A2148" s="27"/>
      <c r="E2148" s="28"/>
      <c r="F2148" s="28"/>
      <c r="I2148" s="28" t="str">
        <f aca="false">IF(A2148="","",D2148*E2148)</f>
        <v/>
      </c>
      <c r="J2148" s="28" t="str">
        <f aca="false">IF(A2148="","",D2148*F2148)</f>
        <v/>
      </c>
      <c r="K2148" s="0" t="str">
        <f aca="false">IF(A2148="","",YEAR(A2148))</f>
        <v/>
      </c>
      <c r="L2148" s="0" t="str">
        <f aca="false">IF(A2148="","",MONTH(A2148))</f>
        <v/>
      </c>
    </row>
    <row r="2149" customFormat="false" ht="15" hidden="false" customHeight="false" outlineLevel="0" collapsed="false">
      <c r="A2149" s="27"/>
      <c r="E2149" s="28"/>
      <c r="F2149" s="28"/>
      <c r="I2149" s="28" t="str">
        <f aca="false">IF(A2149="","",D2149*E2149)</f>
        <v/>
      </c>
      <c r="J2149" s="28" t="str">
        <f aca="false">IF(A2149="","",D2149*F2149)</f>
        <v/>
      </c>
      <c r="K2149" s="0" t="str">
        <f aca="false">IF(A2149="","",YEAR(A2149))</f>
        <v/>
      </c>
      <c r="L2149" s="0" t="str">
        <f aca="false">IF(A2149="","",MONTH(A2149))</f>
        <v/>
      </c>
    </row>
    <row r="2150" customFormat="false" ht="15" hidden="false" customHeight="false" outlineLevel="0" collapsed="false">
      <c r="A2150" s="27"/>
      <c r="E2150" s="28"/>
      <c r="F2150" s="28"/>
      <c r="I2150" s="28" t="str">
        <f aca="false">IF(A2150="","",D2150*E2150)</f>
        <v/>
      </c>
      <c r="J2150" s="28" t="str">
        <f aca="false">IF(A2150="","",D2150*F2150)</f>
        <v/>
      </c>
      <c r="K2150" s="0" t="str">
        <f aca="false">IF(A2150="","",YEAR(A2150))</f>
        <v/>
      </c>
      <c r="L2150" s="0" t="str">
        <f aca="false">IF(A2150="","",MONTH(A2150))</f>
        <v/>
      </c>
    </row>
    <row r="2151" customFormat="false" ht="15" hidden="false" customHeight="false" outlineLevel="0" collapsed="false">
      <c r="A2151" s="27"/>
      <c r="E2151" s="28"/>
      <c r="F2151" s="28"/>
      <c r="I2151" s="28" t="str">
        <f aca="false">IF(A2151="","",D2151*E2151)</f>
        <v/>
      </c>
      <c r="J2151" s="28" t="str">
        <f aca="false">IF(A2151="","",D2151*F2151)</f>
        <v/>
      </c>
      <c r="K2151" s="0" t="str">
        <f aca="false">IF(A2151="","",YEAR(A2151))</f>
        <v/>
      </c>
      <c r="L2151" s="0" t="str">
        <f aca="false">IF(A2151="","",MONTH(A2151))</f>
        <v/>
      </c>
    </row>
    <row r="2152" customFormat="false" ht="15" hidden="false" customHeight="false" outlineLevel="0" collapsed="false">
      <c r="A2152" s="27"/>
      <c r="E2152" s="28"/>
      <c r="F2152" s="28"/>
      <c r="I2152" s="28" t="str">
        <f aca="false">IF(A2152="","",D2152*E2152)</f>
        <v/>
      </c>
      <c r="J2152" s="28" t="str">
        <f aca="false">IF(A2152="","",D2152*F2152)</f>
        <v/>
      </c>
      <c r="K2152" s="0" t="str">
        <f aca="false">IF(A2152="","",YEAR(A2152))</f>
        <v/>
      </c>
      <c r="L2152" s="0" t="str">
        <f aca="false">IF(A2152="","",MONTH(A2152))</f>
        <v/>
      </c>
    </row>
    <row r="2153" customFormat="false" ht="15" hidden="false" customHeight="false" outlineLevel="0" collapsed="false">
      <c r="A2153" s="27"/>
      <c r="E2153" s="28"/>
      <c r="F2153" s="28"/>
      <c r="I2153" s="28" t="str">
        <f aca="false">IF(A2153="","",D2153*E2153)</f>
        <v/>
      </c>
      <c r="J2153" s="28" t="str">
        <f aca="false">IF(A2153="","",D2153*F2153)</f>
        <v/>
      </c>
      <c r="K2153" s="0" t="str">
        <f aca="false">IF(A2153="","",YEAR(A2153))</f>
        <v/>
      </c>
      <c r="L2153" s="0" t="str">
        <f aca="false">IF(A2153="","",MONTH(A2153))</f>
        <v/>
      </c>
    </row>
    <row r="2154" customFormat="false" ht="15" hidden="false" customHeight="false" outlineLevel="0" collapsed="false">
      <c r="A2154" s="27"/>
      <c r="E2154" s="28"/>
      <c r="F2154" s="28"/>
      <c r="I2154" s="28" t="str">
        <f aca="false">IF(A2154="","",D2154*E2154)</f>
        <v/>
      </c>
      <c r="J2154" s="28" t="str">
        <f aca="false">IF(A2154="","",D2154*F2154)</f>
        <v/>
      </c>
      <c r="K2154" s="0" t="str">
        <f aca="false">IF(A2154="","",YEAR(A2154))</f>
        <v/>
      </c>
      <c r="L2154" s="0" t="str">
        <f aca="false">IF(A2154="","",MONTH(A2154))</f>
        <v/>
      </c>
    </row>
    <row r="2155" customFormat="false" ht="15" hidden="false" customHeight="false" outlineLevel="0" collapsed="false">
      <c r="A2155" s="27"/>
      <c r="E2155" s="28"/>
      <c r="F2155" s="28"/>
      <c r="I2155" s="28" t="str">
        <f aca="false">IF(A2155="","",D2155*E2155)</f>
        <v/>
      </c>
      <c r="J2155" s="28" t="str">
        <f aca="false">IF(A2155="","",D2155*F2155)</f>
        <v/>
      </c>
      <c r="K2155" s="0" t="str">
        <f aca="false">IF(A2155="","",YEAR(A2155))</f>
        <v/>
      </c>
      <c r="L2155" s="0" t="str">
        <f aca="false">IF(A2155="","",MONTH(A2155))</f>
        <v/>
      </c>
    </row>
    <row r="2156" customFormat="false" ht="15" hidden="false" customHeight="false" outlineLevel="0" collapsed="false">
      <c r="A2156" s="27"/>
      <c r="E2156" s="28"/>
      <c r="F2156" s="28"/>
      <c r="I2156" s="28" t="str">
        <f aca="false">IF(A2156="","",D2156*E2156)</f>
        <v/>
      </c>
      <c r="J2156" s="28" t="str">
        <f aca="false">IF(A2156="","",D2156*F2156)</f>
        <v/>
      </c>
      <c r="K2156" s="0" t="str">
        <f aca="false">IF(A2156="","",YEAR(A2156))</f>
        <v/>
      </c>
      <c r="L2156" s="0" t="str">
        <f aca="false">IF(A2156="","",MONTH(A2156))</f>
        <v/>
      </c>
    </row>
    <row r="2157" customFormat="false" ht="15" hidden="false" customHeight="false" outlineLevel="0" collapsed="false">
      <c r="A2157" s="27"/>
      <c r="E2157" s="28"/>
      <c r="F2157" s="28"/>
      <c r="I2157" s="28" t="str">
        <f aca="false">IF(A2157="","",D2157*E2157)</f>
        <v/>
      </c>
      <c r="J2157" s="28" t="str">
        <f aca="false">IF(A2157="","",D2157*F2157)</f>
        <v/>
      </c>
      <c r="K2157" s="0" t="str">
        <f aca="false">IF(A2157="","",YEAR(A2157))</f>
        <v/>
      </c>
      <c r="L2157" s="0" t="str">
        <f aca="false">IF(A2157="","",MONTH(A2157))</f>
        <v/>
      </c>
    </row>
    <row r="2158" customFormat="false" ht="15" hidden="false" customHeight="false" outlineLevel="0" collapsed="false">
      <c r="A2158" s="27"/>
      <c r="E2158" s="28"/>
      <c r="F2158" s="28"/>
      <c r="I2158" s="28" t="str">
        <f aca="false">IF(A2158="","",D2158*E2158)</f>
        <v/>
      </c>
      <c r="J2158" s="28" t="str">
        <f aca="false">IF(A2158="","",D2158*F2158)</f>
        <v/>
      </c>
      <c r="K2158" s="0" t="str">
        <f aca="false">IF(A2158="","",YEAR(A2158))</f>
        <v/>
      </c>
      <c r="L2158" s="0" t="str">
        <f aca="false">IF(A2158="","",MONTH(A2158))</f>
        <v/>
      </c>
    </row>
    <row r="2159" customFormat="false" ht="15" hidden="false" customHeight="false" outlineLevel="0" collapsed="false">
      <c r="A2159" s="27"/>
      <c r="E2159" s="28"/>
      <c r="F2159" s="28"/>
      <c r="I2159" s="28" t="str">
        <f aca="false">IF(A2159="","",D2159*E2159)</f>
        <v/>
      </c>
      <c r="J2159" s="28" t="str">
        <f aca="false">IF(A2159="","",D2159*F2159)</f>
        <v/>
      </c>
      <c r="K2159" s="0" t="str">
        <f aca="false">IF(A2159="","",YEAR(A2159))</f>
        <v/>
      </c>
      <c r="L2159" s="0" t="str">
        <f aca="false">IF(A2159="","",MONTH(A2159))</f>
        <v/>
      </c>
    </row>
    <row r="2160" customFormat="false" ht="15" hidden="false" customHeight="false" outlineLevel="0" collapsed="false">
      <c r="A2160" s="27"/>
      <c r="E2160" s="28"/>
      <c r="F2160" s="28"/>
      <c r="I2160" s="28" t="str">
        <f aca="false">IF(A2160="","",D2160*E2160)</f>
        <v/>
      </c>
      <c r="J2160" s="28" t="str">
        <f aca="false">IF(A2160="","",D2160*F2160)</f>
        <v/>
      </c>
      <c r="K2160" s="0" t="str">
        <f aca="false">IF(A2160="","",YEAR(A2160))</f>
        <v/>
      </c>
      <c r="L2160" s="0" t="str">
        <f aca="false">IF(A2160="","",MONTH(A2160))</f>
        <v/>
      </c>
    </row>
    <row r="2161" customFormat="false" ht="15" hidden="false" customHeight="false" outlineLevel="0" collapsed="false">
      <c r="A2161" s="27"/>
      <c r="E2161" s="28"/>
      <c r="F2161" s="28"/>
      <c r="I2161" s="28" t="str">
        <f aca="false">IF(A2161="","",D2161*E2161)</f>
        <v/>
      </c>
      <c r="J2161" s="28" t="str">
        <f aca="false">IF(A2161="","",D2161*F2161)</f>
        <v/>
      </c>
      <c r="K2161" s="0" t="str">
        <f aca="false">IF(A2161="","",YEAR(A2161))</f>
        <v/>
      </c>
      <c r="L2161" s="0" t="str">
        <f aca="false">IF(A2161="","",MONTH(A2161))</f>
        <v/>
      </c>
    </row>
    <row r="2162" customFormat="false" ht="15" hidden="false" customHeight="false" outlineLevel="0" collapsed="false">
      <c r="A2162" s="27"/>
      <c r="E2162" s="28"/>
      <c r="F2162" s="28"/>
      <c r="I2162" s="28" t="str">
        <f aca="false">IF(A2162="","",D2162*E2162)</f>
        <v/>
      </c>
      <c r="J2162" s="28" t="str">
        <f aca="false">IF(A2162="","",D2162*F2162)</f>
        <v/>
      </c>
      <c r="K2162" s="0" t="str">
        <f aca="false">IF(A2162="","",YEAR(A2162))</f>
        <v/>
      </c>
      <c r="L2162" s="0" t="str">
        <f aca="false">IF(A2162="","",MONTH(A2162))</f>
        <v/>
      </c>
    </row>
    <row r="2163" customFormat="false" ht="15" hidden="false" customHeight="false" outlineLevel="0" collapsed="false">
      <c r="A2163" s="27"/>
      <c r="E2163" s="28"/>
      <c r="F2163" s="28"/>
      <c r="I2163" s="28" t="str">
        <f aca="false">IF(A2163="","",D2163*E2163)</f>
        <v/>
      </c>
      <c r="J2163" s="28" t="str">
        <f aca="false">IF(A2163="","",D2163*F2163)</f>
        <v/>
      </c>
      <c r="K2163" s="0" t="str">
        <f aca="false">IF(A2163="","",YEAR(A2163))</f>
        <v/>
      </c>
      <c r="L2163" s="0" t="str">
        <f aca="false">IF(A2163="","",MONTH(A2163))</f>
        <v/>
      </c>
    </row>
    <row r="2164" customFormat="false" ht="15" hidden="false" customHeight="false" outlineLevel="0" collapsed="false">
      <c r="A2164" s="27"/>
      <c r="E2164" s="28"/>
      <c r="F2164" s="28"/>
      <c r="I2164" s="28" t="str">
        <f aca="false">IF(A2164="","",D2164*E2164)</f>
        <v/>
      </c>
      <c r="J2164" s="28" t="str">
        <f aca="false">IF(A2164="","",D2164*F2164)</f>
        <v/>
      </c>
      <c r="K2164" s="0" t="str">
        <f aca="false">IF(A2164="","",YEAR(A2164))</f>
        <v/>
      </c>
      <c r="L2164" s="0" t="str">
        <f aca="false">IF(A2164="","",MONTH(A2164))</f>
        <v/>
      </c>
    </row>
    <row r="2165" customFormat="false" ht="15" hidden="false" customHeight="false" outlineLevel="0" collapsed="false">
      <c r="A2165" s="27"/>
      <c r="E2165" s="28"/>
      <c r="F2165" s="28"/>
      <c r="I2165" s="28" t="str">
        <f aca="false">IF(A2165="","",D2165*E2165)</f>
        <v/>
      </c>
      <c r="J2165" s="28" t="str">
        <f aca="false">IF(A2165="","",D2165*F2165)</f>
        <v/>
      </c>
      <c r="K2165" s="0" t="str">
        <f aca="false">IF(A2165="","",YEAR(A2165))</f>
        <v/>
      </c>
      <c r="L2165" s="0" t="str">
        <f aca="false">IF(A2165="","",MONTH(A2165))</f>
        <v/>
      </c>
    </row>
    <row r="2166" customFormat="false" ht="15" hidden="false" customHeight="false" outlineLevel="0" collapsed="false">
      <c r="A2166" s="27"/>
      <c r="E2166" s="28"/>
      <c r="F2166" s="28"/>
      <c r="I2166" s="28" t="str">
        <f aca="false">IF(A2166="","",D2166*E2166)</f>
        <v/>
      </c>
      <c r="J2166" s="28" t="str">
        <f aca="false">IF(A2166="","",D2166*F2166)</f>
        <v/>
      </c>
      <c r="K2166" s="0" t="str">
        <f aca="false">IF(A2166="","",YEAR(A2166))</f>
        <v/>
      </c>
      <c r="L2166" s="0" t="str">
        <f aca="false">IF(A2166="","",MONTH(A2166))</f>
        <v/>
      </c>
    </row>
    <row r="2167" customFormat="false" ht="15" hidden="false" customHeight="false" outlineLevel="0" collapsed="false">
      <c r="A2167" s="27"/>
      <c r="E2167" s="28"/>
      <c r="F2167" s="28"/>
      <c r="I2167" s="28" t="str">
        <f aca="false">IF(A2167="","",D2167*E2167)</f>
        <v/>
      </c>
      <c r="J2167" s="28" t="str">
        <f aca="false">IF(A2167="","",D2167*F2167)</f>
        <v/>
      </c>
      <c r="K2167" s="0" t="str">
        <f aca="false">IF(A2167="","",YEAR(A2167))</f>
        <v/>
      </c>
      <c r="L2167" s="0" t="str">
        <f aca="false">IF(A2167="","",MONTH(A2167))</f>
        <v/>
      </c>
    </row>
    <row r="2168" customFormat="false" ht="15" hidden="false" customHeight="false" outlineLevel="0" collapsed="false">
      <c r="A2168" s="27"/>
      <c r="E2168" s="28"/>
      <c r="F2168" s="28"/>
      <c r="I2168" s="28" t="str">
        <f aca="false">IF(A2168="","",D2168*E2168)</f>
        <v/>
      </c>
      <c r="J2168" s="28" t="str">
        <f aca="false">IF(A2168="","",D2168*F2168)</f>
        <v/>
      </c>
      <c r="K2168" s="0" t="str">
        <f aca="false">IF(A2168="","",YEAR(A2168))</f>
        <v/>
      </c>
      <c r="L2168" s="0" t="str">
        <f aca="false">IF(A2168="","",MONTH(A2168))</f>
        <v/>
      </c>
    </row>
    <row r="2169" customFormat="false" ht="15" hidden="false" customHeight="false" outlineLevel="0" collapsed="false">
      <c r="A2169" s="27"/>
      <c r="E2169" s="28"/>
      <c r="F2169" s="28"/>
      <c r="I2169" s="28" t="str">
        <f aca="false">IF(A2169="","",D2169*E2169)</f>
        <v/>
      </c>
      <c r="J2169" s="28" t="str">
        <f aca="false">IF(A2169="","",D2169*F2169)</f>
        <v/>
      </c>
      <c r="K2169" s="0" t="str">
        <f aca="false">IF(A2169="","",YEAR(A2169))</f>
        <v/>
      </c>
      <c r="L2169" s="0" t="str">
        <f aca="false">IF(A2169="","",MONTH(A2169))</f>
        <v/>
      </c>
    </row>
    <row r="2170" customFormat="false" ht="15" hidden="false" customHeight="false" outlineLevel="0" collapsed="false">
      <c r="A2170" s="27"/>
      <c r="E2170" s="28"/>
      <c r="F2170" s="28"/>
      <c r="I2170" s="28" t="str">
        <f aca="false">IF(A2170="","",D2170*E2170)</f>
        <v/>
      </c>
      <c r="J2170" s="28" t="str">
        <f aca="false">IF(A2170="","",D2170*F2170)</f>
        <v/>
      </c>
      <c r="K2170" s="0" t="str">
        <f aca="false">IF(A2170="","",YEAR(A2170))</f>
        <v/>
      </c>
      <c r="L2170" s="0" t="str">
        <f aca="false">IF(A2170="","",MONTH(A2170))</f>
        <v/>
      </c>
    </row>
    <row r="2171" customFormat="false" ht="15" hidden="false" customHeight="false" outlineLevel="0" collapsed="false">
      <c r="A2171" s="27"/>
      <c r="E2171" s="28"/>
      <c r="F2171" s="28"/>
      <c r="I2171" s="28" t="str">
        <f aca="false">IF(A2171="","",D2171*E2171)</f>
        <v/>
      </c>
      <c r="J2171" s="28" t="str">
        <f aca="false">IF(A2171="","",D2171*F2171)</f>
        <v/>
      </c>
      <c r="K2171" s="0" t="str">
        <f aca="false">IF(A2171="","",YEAR(A2171))</f>
        <v/>
      </c>
      <c r="L2171" s="0" t="str">
        <f aca="false">IF(A2171="","",MONTH(A2171))</f>
        <v/>
      </c>
    </row>
    <row r="2172" customFormat="false" ht="15" hidden="false" customHeight="false" outlineLevel="0" collapsed="false">
      <c r="A2172" s="27"/>
      <c r="E2172" s="28"/>
      <c r="F2172" s="28"/>
      <c r="I2172" s="28" t="str">
        <f aca="false">IF(A2172="","",D2172*E2172)</f>
        <v/>
      </c>
      <c r="J2172" s="28" t="str">
        <f aca="false">IF(A2172="","",D2172*F2172)</f>
        <v/>
      </c>
      <c r="K2172" s="0" t="str">
        <f aca="false">IF(A2172="","",YEAR(A2172))</f>
        <v/>
      </c>
      <c r="L2172" s="0" t="str">
        <f aca="false">IF(A2172="","",MONTH(A2172))</f>
        <v/>
      </c>
    </row>
    <row r="2173" customFormat="false" ht="15" hidden="false" customHeight="false" outlineLevel="0" collapsed="false">
      <c r="A2173" s="27"/>
      <c r="E2173" s="28"/>
      <c r="F2173" s="28"/>
      <c r="I2173" s="28" t="str">
        <f aca="false">IF(A2173="","",D2173*E2173)</f>
        <v/>
      </c>
      <c r="J2173" s="28" t="str">
        <f aca="false">IF(A2173="","",D2173*F2173)</f>
        <v/>
      </c>
      <c r="K2173" s="0" t="str">
        <f aca="false">IF(A2173="","",YEAR(A2173))</f>
        <v/>
      </c>
      <c r="L2173" s="0" t="str">
        <f aca="false">IF(A2173="","",MONTH(A2173))</f>
        <v/>
      </c>
    </row>
    <row r="2174" customFormat="false" ht="15" hidden="false" customHeight="false" outlineLevel="0" collapsed="false">
      <c r="A2174" s="27"/>
      <c r="E2174" s="28"/>
      <c r="F2174" s="28"/>
      <c r="I2174" s="28" t="str">
        <f aca="false">IF(A2174="","",D2174*E2174)</f>
        <v/>
      </c>
      <c r="J2174" s="28" t="str">
        <f aca="false">IF(A2174="","",D2174*F2174)</f>
        <v/>
      </c>
      <c r="K2174" s="0" t="str">
        <f aca="false">IF(A2174="","",YEAR(A2174))</f>
        <v/>
      </c>
      <c r="L2174" s="0" t="str">
        <f aca="false">IF(A2174="","",MONTH(A2174))</f>
        <v/>
      </c>
    </row>
    <row r="2175" customFormat="false" ht="15" hidden="false" customHeight="false" outlineLevel="0" collapsed="false">
      <c r="A2175" s="27"/>
      <c r="E2175" s="28"/>
      <c r="F2175" s="28"/>
      <c r="I2175" s="28" t="str">
        <f aca="false">IF(A2175="","",D2175*E2175)</f>
        <v/>
      </c>
      <c r="J2175" s="28" t="str">
        <f aca="false">IF(A2175="","",D2175*F2175)</f>
        <v/>
      </c>
      <c r="K2175" s="0" t="str">
        <f aca="false">IF(A2175="","",YEAR(A2175))</f>
        <v/>
      </c>
      <c r="L2175" s="0" t="str">
        <f aca="false">IF(A2175="","",MONTH(A2175))</f>
        <v/>
      </c>
    </row>
    <row r="2176" customFormat="false" ht="15" hidden="false" customHeight="false" outlineLevel="0" collapsed="false">
      <c r="A2176" s="27"/>
      <c r="E2176" s="28"/>
      <c r="F2176" s="28"/>
      <c r="I2176" s="28" t="str">
        <f aca="false">IF(A2176="","",D2176*E2176)</f>
        <v/>
      </c>
      <c r="J2176" s="28" t="str">
        <f aca="false">IF(A2176="","",D2176*F2176)</f>
        <v/>
      </c>
      <c r="K2176" s="0" t="str">
        <f aca="false">IF(A2176="","",YEAR(A2176))</f>
        <v/>
      </c>
      <c r="L2176" s="0" t="str">
        <f aca="false">IF(A2176="","",MONTH(A2176))</f>
        <v/>
      </c>
    </row>
    <row r="2177" customFormat="false" ht="15" hidden="false" customHeight="false" outlineLevel="0" collapsed="false">
      <c r="A2177" s="27"/>
      <c r="E2177" s="28"/>
      <c r="F2177" s="28"/>
      <c r="I2177" s="28" t="str">
        <f aca="false">IF(A2177="","",D2177*E2177)</f>
        <v/>
      </c>
      <c r="J2177" s="28" t="str">
        <f aca="false">IF(A2177="","",D2177*F2177)</f>
        <v/>
      </c>
      <c r="K2177" s="0" t="str">
        <f aca="false">IF(A2177="","",YEAR(A2177))</f>
        <v/>
      </c>
      <c r="L2177" s="0" t="str">
        <f aca="false">IF(A2177="","",MONTH(A2177))</f>
        <v/>
      </c>
    </row>
    <row r="2178" customFormat="false" ht="15" hidden="false" customHeight="false" outlineLevel="0" collapsed="false">
      <c r="A2178" s="27"/>
      <c r="E2178" s="28"/>
      <c r="F2178" s="28"/>
      <c r="I2178" s="28" t="str">
        <f aca="false">IF(A2178="","",D2178*E2178)</f>
        <v/>
      </c>
      <c r="J2178" s="28" t="str">
        <f aca="false">IF(A2178="","",D2178*F2178)</f>
        <v/>
      </c>
      <c r="K2178" s="0" t="str">
        <f aca="false">IF(A2178="","",YEAR(A2178))</f>
        <v/>
      </c>
      <c r="L2178" s="0" t="str">
        <f aca="false">IF(A2178="","",MONTH(A2178))</f>
        <v/>
      </c>
    </row>
    <row r="2179" customFormat="false" ht="15" hidden="false" customHeight="false" outlineLevel="0" collapsed="false">
      <c r="A2179" s="27"/>
      <c r="E2179" s="28"/>
      <c r="F2179" s="28"/>
      <c r="I2179" s="28" t="str">
        <f aca="false">IF(A2179="","",D2179*E2179)</f>
        <v/>
      </c>
      <c r="J2179" s="28" t="str">
        <f aca="false">IF(A2179="","",D2179*F2179)</f>
        <v/>
      </c>
      <c r="K2179" s="0" t="str">
        <f aca="false">IF(A2179="","",YEAR(A2179))</f>
        <v/>
      </c>
      <c r="L2179" s="0" t="str">
        <f aca="false">IF(A2179="","",MONTH(A2179))</f>
        <v/>
      </c>
    </row>
    <row r="2180" customFormat="false" ht="15" hidden="false" customHeight="false" outlineLevel="0" collapsed="false">
      <c r="A2180" s="27"/>
      <c r="E2180" s="28"/>
      <c r="F2180" s="28"/>
      <c r="I2180" s="28" t="str">
        <f aca="false">IF(A2180="","",D2180*E2180)</f>
        <v/>
      </c>
      <c r="J2180" s="28" t="str">
        <f aca="false">IF(A2180="","",D2180*F2180)</f>
        <v/>
      </c>
      <c r="K2180" s="0" t="str">
        <f aca="false">IF(A2180="","",YEAR(A2180))</f>
        <v/>
      </c>
      <c r="L2180" s="0" t="str">
        <f aca="false">IF(A2180="","",MONTH(A2180))</f>
        <v/>
      </c>
    </row>
    <row r="2181" customFormat="false" ht="15" hidden="false" customHeight="false" outlineLevel="0" collapsed="false">
      <c r="A2181" s="27"/>
      <c r="E2181" s="28"/>
      <c r="F2181" s="28"/>
      <c r="I2181" s="28" t="str">
        <f aca="false">IF(A2181="","",D2181*E2181)</f>
        <v/>
      </c>
      <c r="J2181" s="28" t="str">
        <f aca="false">IF(A2181="","",D2181*F2181)</f>
        <v/>
      </c>
      <c r="K2181" s="0" t="str">
        <f aca="false">IF(A2181="","",YEAR(A2181))</f>
        <v/>
      </c>
      <c r="L2181" s="0" t="str">
        <f aca="false">IF(A2181="","",MONTH(A2181))</f>
        <v/>
      </c>
    </row>
    <row r="2182" customFormat="false" ht="15" hidden="false" customHeight="false" outlineLevel="0" collapsed="false">
      <c r="A2182" s="27"/>
      <c r="E2182" s="28"/>
      <c r="F2182" s="28"/>
      <c r="I2182" s="28" t="str">
        <f aca="false">IF(A2182="","",D2182*E2182)</f>
        <v/>
      </c>
      <c r="J2182" s="28" t="str">
        <f aca="false">IF(A2182="","",D2182*F2182)</f>
        <v/>
      </c>
      <c r="K2182" s="0" t="str">
        <f aca="false">IF(A2182="","",YEAR(A2182))</f>
        <v/>
      </c>
      <c r="L2182" s="0" t="str">
        <f aca="false">IF(A2182="","",MONTH(A2182))</f>
        <v/>
      </c>
    </row>
    <row r="2183" customFormat="false" ht="15" hidden="false" customHeight="false" outlineLevel="0" collapsed="false">
      <c r="A2183" s="27"/>
      <c r="E2183" s="28"/>
      <c r="F2183" s="28"/>
      <c r="I2183" s="28" t="str">
        <f aca="false">IF(A2183="","",D2183*E2183)</f>
        <v/>
      </c>
      <c r="J2183" s="28" t="str">
        <f aca="false">IF(A2183="","",D2183*F2183)</f>
        <v/>
      </c>
      <c r="K2183" s="0" t="str">
        <f aca="false">IF(A2183="","",YEAR(A2183))</f>
        <v/>
      </c>
      <c r="L2183" s="0" t="str">
        <f aca="false">IF(A2183="","",MONTH(A2183))</f>
        <v/>
      </c>
    </row>
    <row r="2184" customFormat="false" ht="15" hidden="false" customHeight="false" outlineLevel="0" collapsed="false">
      <c r="A2184" s="27"/>
      <c r="E2184" s="28"/>
      <c r="F2184" s="28"/>
      <c r="I2184" s="28" t="str">
        <f aca="false">IF(A2184="","",D2184*E2184)</f>
        <v/>
      </c>
      <c r="J2184" s="28" t="str">
        <f aca="false">IF(A2184="","",D2184*F2184)</f>
        <v/>
      </c>
      <c r="K2184" s="0" t="str">
        <f aca="false">IF(A2184="","",YEAR(A2184))</f>
        <v/>
      </c>
      <c r="L2184" s="0" t="str">
        <f aca="false">IF(A2184="","",MONTH(A2184))</f>
        <v/>
      </c>
    </row>
    <row r="2185" customFormat="false" ht="15" hidden="false" customHeight="false" outlineLevel="0" collapsed="false">
      <c r="A2185" s="27"/>
      <c r="E2185" s="28"/>
      <c r="F2185" s="28"/>
      <c r="I2185" s="28" t="str">
        <f aca="false">IF(A2185="","",D2185*E2185)</f>
        <v/>
      </c>
      <c r="J2185" s="28" t="str">
        <f aca="false">IF(A2185="","",D2185*F2185)</f>
        <v/>
      </c>
      <c r="K2185" s="0" t="str">
        <f aca="false">IF(A2185="","",YEAR(A2185))</f>
        <v/>
      </c>
      <c r="L2185" s="0" t="str">
        <f aca="false">IF(A2185="","",MONTH(A2185))</f>
        <v/>
      </c>
    </row>
    <row r="2186" customFormat="false" ht="15" hidden="false" customHeight="false" outlineLevel="0" collapsed="false">
      <c r="A2186" s="27"/>
      <c r="E2186" s="28"/>
      <c r="F2186" s="28"/>
      <c r="I2186" s="28" t="str">
        <f aca="false">IF(A2186="","",D2186*E2186)</f>
        <v/>
      </c>
      <c r="J2186" s="28" t="str">
        <f aca="false">IF(A2186="","",D2186*F2186)</f>
        <v/>
      </c>
      <c r="K2186" s="0" t="str">
        <f aca="false">IF(A2186="","",YEAR(A2186))</f>
        <v/>
      </c>
      <c r="L2186" s="0" t="str">
        <f aca="false">IF(A2186="","",MONTH(A2186))</f>
        <v/>
      </c>
    </row>
    <row r="2187" customFormat="false" ht="15" hidden="false" customHeight="false" outlineLevel="0" collapsed="false">
      <c r="A2187" s="27"/>
      <c r="E2187" s="28"/>
      <c r="F2187" s="28"/>
      <c r="I2187" s="28" t="str">
        <f aca="false">IF(A2187="","",D2187*E2187)</f>
        <v/>
      </c>
      <c r="J2187" s="28" t="str">
        <f aca="false">IF(A2187="","",D2187*F2187)</f>
        <v/>
      </c>
      <c r="K2187" s="0" t="str">
        <f aca="false">IF(A2187="","",YEAR(A2187))</f>
        <v/>
      </c>
      <c r="L2187" s="0" t="str">
        <f aca="false">IF(A2187="","",MONTH(A2187))</f>
        <v/>
      </c>
    </row>
    <row r="2188" customFormat="false" ht="15" hidden="false" customHeight="false" outlineLevel="0" collapsed="false">
      <c r="A2188" s="27"/>
      <c r="E2188" s="28"/>
      <c r="F2188" s="28"/>
      <c r="I2188" s="28" t="str">
        <f aca="false">IF(A2188="","",D2188*E2188)</f>
        <v/>
      </c>
      <c r="J2188" s="28" t="str">
        <f aca="false">IF(A2188="","",D2188*F2188)</f>
        <v/>
      </c>
      <c r="K2188" s="0" t="str">
        <f aca="false">IF(A2188="","",YEAR(A2188))</f>
        <v/>
      </c>
      <c r="L2188" s="0" t="str">
        <f aca="false">IF(A2188="","",MONTH(A2188))</f>
        <v/>
      </c>
    </row>
    <row r="2189" customFormat="false" ht="15" hidden="false" customHeight="false" outlineLevel="0" collapsed="false">
      <c r="A2189" s="27"/>
      <c r="E2189" s="28"/>
      <c r="F2189" s="28"/>
      <c r="I2189" s="28" t="str">
        <f aca="false">IF(A2189="","",D2189*E2189)</f>
        <v/>
      </c>
      <c r="J2189" s="28" t="str">
        <f aca="false">IF(A2189="","",D2189*F2189)</f>
        <v/>
      </c>
      <c r="K2189" s="0" t="str">
        <f aca="false">IF(A2189="","",YEAR(A2189))</f>
        <v/>
      </c>
      <c r="L2189" s="0" t="str">
        <f aca="false">IF(A2189="","",MONTH(A2189))</f>
        <v/>
      </c>
    </row>
    <row r="2190" customFormat="false" ht="15" hidden="false" customHeight="false" outlineLevel="0" collapsed="false">
      <c r="A2190" s="27"/>
      <c r="E2190" s="28"/>
      <c r="F2190" s="28"/>
      <c r="I2190" s="28" t="str">
        <f aca="false">IF(A2190="","",D2190*E2190)</f>
        <v/>
      </c>
      <c r="J2190" s="28" t="str">
        <f aca="false">IF(A2190="","",D2190*F2190)</f>
        <v/>
      </c>
      <c r="K2190" s="0" t="str">
        <f aca="false">IF(A2190="","",YEAR(A2190))</f>
        <v/>
      </c>
      <c r="L2190" s="0" t="str">
        <f aca="false">IF(A2190="","",MONTH(A2190))</f>
        <v/>
      </c>
    </row>
    <row r="2191" customFormat="false" ht="15" hidden="false" customHeight="false" outlineLevel="0" collapsed="false">
      <c r="A2191" s="27"/>
      <c r="E2191" s="28"/>
      <c r="F2191" s="28"/>
      <c r="I2191" s="28" t="str">
        <f aca="false">IF(A2191="","",D2191*E2191)</f>
        <v/>
      </c>
      <c r="J2191" s="28" t="str">
        <f aca="false">IF(A2191="","",D2191*F2191)</f>
        <v/>
      </c>
      <c r="K2191" s="0" t="str">
        <f aca="false">IF(A2191="","",YEAR(A2191))</f>
        <v/>
      </c>
      <c r="L2191" s="0" t="str">
        <f aca="false">IF(A2191="","",MONTH(A2191))</f>
        <v/>
      </c>
    </row>
    <row r="2192" customFormat="false" ht="15" hidden="false" customHeight="false" outlineLevel="0" collapsed="false">
      <c r="A2192" s="27"/>
      <c r="E2192" s="28"/>
      <c r="F2192" s="28"/>
      <c r="I2192" s="28" t="str">
        <f aca="false">IF(A2192="","",D2192*E2192)</f>
        <v/>
      </c>
      <c r="J2192" s="28" t="str">
        <f aca="false">IF(A2192="","",D2192*F2192)</f>
        <v/>
      </c>
      <c r="K2192" s="0" t="str">
        <f aca="false">IF(A2192="","",YEAR(A2192))</f>
        <v/>
      </c>
      <c r="L2192" s="0" t="str">
        <f aca="false">IF(A2192="","",MONTH(A2192))</f>
        <v/>
      </c>
    </row>
    <row r="2193" customFormat="false" ht="15" hidden="false" customHeight="false" outlineLevel="0" collapsed="false">
      <c r="A2193" s="27"/>
      <c r="E2193" s="28"/>
      <c r="F2193" s="28"/>
      <c r="I2193" s="28" t="str">
        <f aca="false">IF(A2193="","",D2193*E2193)</f>
        <v/>
      </c>
      <c r="J2193" s="28" t="str">
        <f aca="false">IF(A2193="","",D2193*F2193)</f>
        <v/>
      </c>
      <c r="K2193" s="0" t="str">
        <f aca="false">IF(A2193="","",YEAR(A2193))</f>
        <v/>
      </c>
      <c r="L2193" s="0" t="str">
        <f aca="false">IF(A2193="","",MONTH(A2193))</f>
        <v/>
      </c>
    </row>
    <row r="2194" customFormat="false" ht="15" hidden="false" customHeight="false" outlineLevel="0" collapsed="false">
      <c r="A2194" s="27"/>
      <c r="E2194" s="28"/>
      <c r="F2194" s="28"/>
      <c r="I2194" s="28" t="str">
        <f aca="false">IF(A2194="","",D2194*E2194)</f>
        <v/>
      </c>
      <c r="J2194" s="28" t="str">
        <f aca="false">IF(A2194="","",D2194*F2194)</f>
        <v/>
      </c>
      <c r="K2194" s="0" t="str">
        <f aca="false">IF(A2194="","",YEAR(A2194))</f>
        <v/>
      </c>
      <c r="L2194" s="0" t="str">
        <f aca="false">IF(A2194="","",MONTH(A2194))</f>
        <v/>
      </c>
    </row>
    <row r="2195" customFormat="false" ht="15" hidden="false" customHeight="false" outlineLevel="0" collapsed="false">
      <c r="A2195" s="27"/>
      <c r="E2195" s="28"/>
      <c r="F2195" s="28"/>
      <c r="I2195" s="28" t="str">
        <f aca="false">IF(A2195="","",D2195*E2195)</f>
        <v/>
      </c>
      <c r="J2195" s="28" t="str">
        <f aca="false">IF(A2195="","",D2195*F2195)</f>
        <v/>
      </c>
      <c r="K2195" s="0" t="str">
        <f aca="false">IF(A2195="","",YEAR(A2195))</f>
        <v/>
      </c>
      <c r="L2195" s="0" t="str">
        <f aca="false">IF(A2195="","",MONTH(A2195))</f>
        <v/>
      </c>
    </row>
    <row r="2196" customFormat="false" ht="15" hidden="false" customHeight="false" outlineLevel="0" collapsed="false">
      <c r="A2196" s="27"/>
      <c r="E2196" s="28"/>
      <c r="F2196" s="28"/>
      <c r="I2196" s="28" t="str">
        <f aca="false">IF(A2196="","",D2196*E2196)</f>
        <v/>
      </c>
      <c r="J2196" s="28" t="str">
        <f aca="false">IF(A2196="","",D2196*F2196)</f>
        <v/>
      </c>
      <c r="K2196" s="0" t="str">
        <f aca="false">IF(A2196="","",YEAR(A2196))</f>
        <v/>
      </c>
      <c r="L2196" s="0" t="str">
        <f aca="false">IF(A2196="","",MONTH(A2196))</f>
        <v/>
      </c>
    </row>
    <row r="2197" customFormat="false" ht="15" hidden="false" customHeight="false" outlineLevel="0" collapsed="false">
      <c r="A2197" s="27"/>
      <c r="E2197" s="28"/>
      <c r="F2197" s="28"/>
      <c r="I2197" s="28" t="str">
        <f aca="false">IF(A2197="","",D2197*E2197)</f>
        <v/>
      </c>
      <c r="J2197" s="28" t="str">
        <f aca="false">IF(A2197="","",D2197*F2197)</f>
        <v/>
      </c>
      <c r="K2197" s="0" t="str">
        <f aca="false">IF(A2197="","",YEAR(A2197))</f>
        <v/>
      </c>
      <c r="L2197" s="0" t="str">
        <f aca="false">IF(A2197="","",MONTH(A2197))</f>
        <v/>
      </c>
    </row>
    <row r="2198" customFormat="false" ht="15" hidden="false" customHeight="false" outlineLevel="0" collapsed="false">
      <c r="A2198" s="27"/>
      <c r="E2198" s="28"/>
      <c r="F2198" s="28"/>
      <c r="I2198" s="28" t="str">
        <f aca="false">IF(A2198="","",D2198*E2198)</f>
        <v/>
      </c>
      <c r="J2198" s="28" t="str">
        <f aca="false">IF(A2198="","",D2198*F2198)</f>
        <v/>
      </c>
      <c r="K2198" s="0" t="str">
        <f aca="false">IF(A2198="","",YEAR(A2198))</f>
        <v/>
      </c>
      <c r="L2198" s="0" t="str">
        <f aca="false">IF(A2198="","",MONTH(A2198))</f>
        <v/>
      </c>
    </row>
    <row r="2199" customFormat="false" ht="15" hidden="false" customHeight="false" outlineLevel="0" collapsed="false">
      <c r="A2199" s="27"/>
      <c r="E2199" s="28"/>
      <c r="F2199" s="28"/>
      <c r="I2199" s="28" t="str">
        <f aca="false">IF(A2199="","",D2199*E2199)</f>
        <v/>
      </c>
      <c r="J2199" s="28" t="str">
        <f aca="false">IF(A2199="","",D2199*F2199)</f>
        <v/>
      </c>
      <c r="K2199" s="0" t="str">
        <f aca="false">IF(A2199="","",YEAR(A2199))</f>
        <v/>
      </c>
      <c r="L2199" s="0" t="str">
        <f aca="false">IF(A2199="","",MONTH(A2199))</f>
        <v/>
      </c>
    </row>
    <row r="2200" customFormat="false" ht="15" hidden="false" customHeight="false" outlineLevel="0" collapsed="false">
      <c r="A2200" s="27"/>
      <c r="E2200" s="28"/>
      <c r="F2200" s="28"/>
      <c r="I2200" s="28" t="str">
        <f aca="false">IF(A2200="","",D2200*E2200)</f>
        <v/>
      </c>
      <c r="J2200" s="28" t="str">
        <f aca="false">IF(A2200="","",D2200*F2200)</f>
        <v/>
      </c>
      <c r="K2200" s="0" t="str">
        <f aca="false">IF(A2200="","",YEAR(A2200))</f>
        <v/>
      </c>
      <c r="L2200" s="0" t="str">
        <f aca="false">IF(A2200="","",MONTH(A2200))</f>
        <v/>
      </c>
    </row>
    <row r="2201" customFormat="false" ht="15" hidden="false" customHeight="false" outlineLevel="0" collapsed="false">
      <c r="A2201" s="27"/>
      <c r="E2201" s="28"/>
      <c r="F2201" s="28"/>
      <c r="I2201" s="28" t="str">
        <f aca="false">IF(A2201="","",D2201*E2201)</f>
        <v/>
      </c>
      <c r="J2201" s="28" t="str">
        <f aca="false">IF(A2201="","",D2201*F2201)</f>
        <v/>
      </c>
      <c r="K2201" s="0" t="str">
        <f aca="false">IF(A2201="","",YEAR(A2201))</f>
        <v/>
      </c>
      <c r="L2201" s="0" t="str">
        <f aca="false">IF(A2201="","",MONTH(A2201))</f>
        <v/>
      </c>
    </row>
    <row r="2202" customFormat="false" ht="15" hidden="false" customHeight="false" outlineLevel="0" collapsed="false">
      <c r="A2202" s="27"/>
      <c r="E2202" s="28"/>
      <c r="F2202" s="28"/>
      <c r="I2202" s="28" t="str">
        <f aca="false">IF(A2202="","",D2202*E2202)</f>
        <v/>
      </c>
      <c r="J2202" s="28" t="str">
        <f aca="false">IF(A2202="","",D2202*F2202)</f>
        <v/>
      </c>
      <c r="K2202" s="0" t="str">
        <f aca="false">IF(A2202="","",YEAR(A2202))</f>
        <v/>
      </c>
      <c r="L2202" s="0" t="str">
        <f aca="false">IF(A2202="","",MONTH(A2202))</f>
        <v/>
      </c>
    </row>
    <row r="2203" customFormat="false" ht="15" hidden="false" customHeight="false" outlineLevel="0" collapsed="false">
      <c r="A2203" s="27"/>
      <c r="E2203" s="28"/>
      <c r="F2203" s="28"/>
      <c r="I2203" s="28" t="str">
        <f aca="false">IF(A2203="","",D2203*E2203)</f>
        <v/>
      </c>
      <c r="J2203" s="28" t="str">
        <f aca="false">IF(A2203="","",D2203*F2203)</f>
        <v/>
      </c>
      <c r="K2203" s="0" t="str">
        <f aca="false">IF(A2203="","",YEAR(A2203))</f>
        <v/>
      </c>
      <c r="L2203" s="0" t="str">
        <f aca="false">IF(A2203="","",MONTH(A2203))</f>
        <v/>
      </c>
    </row>
    <row r="2204" customFormat="false" ht="15" hidden="false" customHeight="false" outlineLevel="0" collapsed="false">
      <c r="A2204" s="27"/>
      <c r="E2204" s="28"/>
      <c r="F2204" s="28"/>
      <c r="I2204" s="28" t="str">
        <f aca="false">IF(A2204="","",D2204*E2204)</f>
        <v/>
      </c>
      <c r="J2204" s="28" t="str">
        <f aca="false">IF(A2204="","",D2204*F2204)</f>
        <v/>
      </c>
      <c r="K2204" s="0" t="str">
        <f aca="false">IF(A2204="","",YEAR(A2204))</f>
        <v/>
      </c>
      <c r="L2204" s="0" t="str">
        <f aca="false">IF(A2204="","",MONTH(A2204))</f>
        <v/>
      </c>
    </row>
    <row r="2205" customFormat="false" ht="15" hidden="false" customHeight="false" outlineLevel="0" collapsed="false">
      <c r="A2205" s="27"/>
      <c r="E2205" s="28"/>
      <c r="F2205" s="28"/>
      <c r="I2205" s="28" t="str">
        <f aca="false">IF(A2205="","",D2205*E2205)</f>
        <v/>
      </c>
      <c r="J2205" s="28" t="str">
        <f aca="false">IF(A2205="","",D2205*F2205)</f>
        <v/>
      </c>
      <c r="K2205" s="0" t="str">
        <f aca="false">IF(A2205="","",YEAR(A2205))</f>
        <v/>
      </c>
      <c r="L2205" s="0" t="str">
        <f aca="false">IF(A2205="","",MONTH(A2205))</f>
        <v/>
      </c>
    </row>
    <row r="2206" customFormat="false" ht="15" hidden="false" customHeight="false" outlineLevel="0" collapsed="false">
      <c r="A2206" s="27"/>
      <c r="E2206" s="28"/>
      <c r="F2206" s="28"/>
      <c r="I2206" s="28" t="str">
        <f aca="false">IF(A2206="","",D2206*E2206)</f>
        <v/>
      </c>
      <c r="J2206" s="28" t="str">
        <f aca="false">IF(A2206="","",D2206*F2206)</f>
        <v/>
      </c>
      <c r="K2206" s="0" t="str">
        <f aca="false">IF(A2206="","",YEAR(A2206))</f>
        <v/>
      </c>
      <c r="L2206" s="0" t="str">
        <f aca="false">IF(A2206="","",MONTH(A2206))</f>
        <v/>
      </c>
    </row>
    <row r="2207" customFormat="false" ht="15" hidden="false" customHeight="false" outlineLevel="0" collapsed="false">
      <c r="A2207" s="27"/>
      <c r="E2207" s="28"/>
      <c r="F2207" s="28"/>
      <c r="I2207" s="28" t="str">
        <f aca="false">IF(A2207="","",D2207*E2207)</f>
        <v/>
      </c>
      <c r="J2207" s="28" t="str">
        <f aca="false">IF(A2207="","",D2207*F2207)</f>
        <v/>
      </c>
      <c r="K2207" s="0" t="str">
        <f aca="false">IF(A2207="","",YEAR(A2207))</f>
        <v/>
      </c>
      <c r="L2207" s="0" t="str">
        <f aca="false">IF(A2207="","",MONTH(A2207))</f>
        <v/>
      </c>
    </row>
    <row r="2208" customFormat="false" ht="15" hidden="false" customHeight="false" outlineLevel="0" collapsed="false">
      <c r="A2208" s="27"/>
      <c r="E2208" s="28"/>
      <c r="F2208" s="28"/>
      <c r="I2208" s="28" t="str">
        <f aca="false">IF(A2208="","",D2208*E2208)</f>
        <v/>
      </c>
      <c r="J2208" s="28" t="str">
        <f aca="false">IF(A2208="","",D2208*F2208)</f>
        <v/>
      </c>
      <c r="K2208" s="0" t="str">
        <f aca="false">IF(A2208="","",YEAR(A2208))</f>
        <v/>
      </c>
      <c r="L2208" s="0" t="str">
        <f aca="false">IF(A2208="","",MONTH(A2208))</f>
        <v/>
      </c>
    </row>
    <row r="2209" customFormat="false" ht="15" hidden="false" customHeight="false" outlineLevel="0" collapsed="false">
      <c r="A2209" s="27"/>
      <c r="E2209" s="28"/>
      <c r="F2209" s="28"/>
      <c r="I2209" s="28" t="str">
        <f aca="false">IF(A2209="","",D2209*E2209)</f>
        <v/>
      </c>
      <c r="J2209" s="28" t="str">
        <f aca="false">IF(A2209="","",D2209*F2209)</f>
        <v/>
      </c>
      <c r="K2209" s="0" t="str">
        <f aca="false">IF(A2209="","",YEAR(A2209))</f>
        <v/>
      </c>
      <c r="L2209" s="0" t="str">
        <f aca="false">IF(A2209="","",MONTH(A2209))</f>
        <v/>
      </c>
    </row>
    <row r="2210" customFormat="false" ht="15" hidden="false" customHeight="false" outlineLevel="0" collapsed="false">
      <c r="A2210" s="27"/>
      <c r="E2210" s="28"/>
      <c r="F2210" s="28"/>
      <c r="I2210" s="28" t="str">
        <f aca="false">IF(A2210="","",D2210*E2210)</f>
        <v/>
      </c>
      <c r="J2210" s="28" t="str">
        <f aca="false">IF(A2210="","",D2210*F2210)</f>
        <v/>
      </c>
      <c r="K2210" s="0" t="str">
        <f aca="false">IF(A2210="","",YEAR(A2210))</f>
        <v/>
      </c>
      <c r="L2210" s="0" t="str">
        <f aca="false">IF(A2210="","",MONTH(A2210))</f>
        <v/>
      </c>
    </row>
    <row r="2211" customFormat="false" ht="15" hidden="false" customHeight="false" outlineLevel="0" collapsed="false">
      <c r="A2211" s="27"/>
      <c r="E2211" s="28"/>
      <c r="F2211" s="28"/>
      <c r="I2211" s="28" t="str">
        <f aca="false">IF(A2211="","",D2211*E2211)</f>
        <v/>
      </c>
      <c r="J2211" s="28" t="str">
        <f aca="false">IF(A2211="","",D2211*F2211)</f>
        <v/>
      </c>
      <c r="K2211" s="0" t="str">
        <f aca="false">IF(A2211="","",YEAR(A2211))</f>
        <v/>
      </c>
      <c r="L2211" s="0" t="str">
        <f aca="false">IF(A2211="","",MONTH(A2211))</f>
        <v/>
      </c>
    </row>
    <row r="2212" customFormat="false" ht="15" hidden="false" customHeight="false" outlineLevel="0" collapsed="false">
      <c r="A2212" s="27"/>
      <c r="E2212" s="28"/>
      <c r="F2212" s="28"/>
      <c r="I2212" s="28" t="str">
        <f aca="false">IF(A2212="","",D2212*E2212)</f>
        <v/>
      </c>
      <c r="J2212" s="28" t="str">
        <f aca="false">IF(A2212="","",D2212*F2212)</f>
        <v/>
      </c>
      <c r="K2212" s="0" t="str">
        <f aca="false">IF(A2212="","",YEAR(A2212))</f>
        <v/>
      </c>
      <c r="L2212" s="0" t="str">
        <f aca="false">IF(A2212="","",MONTH(A2212))</f>
        <v/>
      </c>
    </row>
    <row r="2213" customFormat="false" ht="15" hidden="false" customHeight="false" outlineLevel="0" collapsed="false">
      <c r="A2213" s="27"/>
      <c r="E2213" s="28"/>
      <c r="F2213" s="28"/>
      <c r="I2213" s="28" t="str">
        <f aca="false">IF(A2213="","",D2213*E2213)</f>
        <v/>
      </c>
      <c r="J2213" s="28" t="str">
        <f aca="false">IF(A2213="","",D2213*F2213)</f>
        <v/>
      </c>
      <c r="K2213" s="0" t="str">
        <f aca="false">IF(A2213="","",YEAR(A2213))</f>
        <v/>
      </c>
      <c r="L2213" s="0" t="str">
        <f aca="false">IF(A2213="","",MONTH(A2213))</f>
        <v/>
      </c>
    </row>
    <row r="2214" customFormat="false" ht="15" hidden="false" customHeight="false" outlineLevel="0" collapsed="false">
      <c r="A2214" s="27"/>
      <c r="E2214" s="28"/>
      <c r="F2214" s="28"/>
      <c r="I2214" s="28" t="str">
        <f aca="false">IF(A2214="","",D2214*E2214)</f>
        <v/>
      </c>
      <c r="J2214" s="28" t="str">
        <f aca="false">IF(A2214="","",D2214*F2214)</f>
        <v/>
      </c>
      <c r="K2214" s="0" t="str">
        <f aca="false">IF(A2214="","",YEAR(A2214))</f>
        <v/>
      </c>
      <c r="L2214" s="0" t="str">
        <f aca="false">IF(A2214="","",MONTH(A2214))</f>
        <v/>
      </c>
    </row>
    <row r="2215" customFormat="false" ht="15" hidden="false" customHeight="false" outlineLevel="0" collapsed="false">
      <c r="A2215" s="27"/>
      <c r="E2215" s="28"/>
      <c r="F2215" s="28"/>
      <c r="I2215" s="28" t="str">
        <f aca="false">IF(A2215="","",D2215*E2215)</f>
        <v/>
      </c>
      <c r="J2215" s="28" t="str">
        <f aca="false">IF(A2215="","",D2215*F2215)</f>
        <v/>
      </c>
      <c r="K2215" s="0" t="str">
        <f aca="false">IF(A2215="","",YEAR(A2215))</f>
        <v/>
      </c>
      <c r="L2215" s="0" t="str">
        <f aca="false">IF(A2215="","",MONTH(A2215))</f>
        <v/>
      </c>
    </row>
    <row r="2216" customFormat="false" ht="15" hidden="false" customHeight="false" outlineLevel="0" collapsed="false">
      <c r="A2216" s="27"/>
      <c r="E2216" s="28"/>
      <c r="F2216" s="28"/>
      <c r="I2216" s="28" t="str">
        <f aca="false">IF(A2216="","",D2216*E2216)</f>
        <v/>
      </c>
      <c r="J2216" s="28" t="str">
        <f aca="false">IF(A2216="","",D2216*F2216)</f>
        <v/>
      </c>
      <c r="K2216" s="0" t="str">
        <f aca="false">IF(A2216="","",YEAR(A2216))</f>
        <v/>
      </c>
      <c r="L2216" s="0" t="str">
        <f aca="false">IF(A2216="","",MONTH(A2216))</f>
        <v/>
      </c>
    </row>
    <row r="2217" customFormat="false" ht="15" hidden="false" customHeight="false" outlineLevel="0" collapsed="false">
      <c r="A2217" s="27"/>
      <c r="E2217" s="28"/>
      <c r="F2217" s="28"/>
      <c r="I2217" s="28" t="str">
        <f aca="false">IF(A2217="","",D2217*E2217)</f>
        <v/>
      </c>
      <c r="J2217" s="28" t="str">
        <f aca="false">IF(A2217="","",D2217*F2217)</f>
        <v/>
      </c>
      <c r="K2217" s="0" t="str">
        <f aca="false">IF(A2217="","",YEAR(A2217))</f>
        <v/>
      </c>
      <c r="L2217" s="0" t="str">
        <f aca="false">IF(A2217="","",MONTH(A2217))</f>
        <v/>
      </c>
    </row>
    <row r="2218" customFormat="false" ht="15" hidden="false" customHeight="false" outlineLevel="0" collapsed="false">
      <c r="A2218" s="27"/>
      <c r="E2218" s="28"/>
      <c r="F2218" s="28"/>
      <c r="I2218" s="28" t="str">
        <f aca="false">IF(A2218="","",D2218*E2218)</f>
        <v/>
      </c>
      <c r="J2218" s="28" t="str">
        <f aca="false">IF(A2218="","",D2218*F2218)</f>
        <v/>
      </c>
      <c r="K2218" s="0" t="str">
        <f aca="false">IF(A2218="","",YEAR(A2218))</f>
        <v/>
      </c>
      <c r="L2218" s="0" t="str">
        <f aca="false">IF(A2218="","",MONTH(A2218))</f>
        <v/>
      </c>
    </row>
    <row r="2219" customFormat="false" ht="15" hidden="false" customHeight="false" outlineLevel="0" collapsed="false">
      <c r="A2219" s="27"/>
      <c r="E2219" s="28"/>
      <c r="F2219" s="28"/>
      <c r="I2219" s="28" t="str">
        <f aca="false">IF(A2219="","",D2219*E2219)</f>
        <v/>
      </c>
      <c r="J2219" s="28" t="str">
        <f aca="false">IF(A2219="","",D2219*F2219)</f>
        <v/>
      </c>
      <c r="K2219" s="0" t="str">
        <f aca="false">IF(A2219="","",YEAR(A2219))</f>
        <v/>
      </c>
      <c r="L2219" s="0" t="str">
        <f aca="false">IF(A2219="","",MONTH(A2219))</f>
        <v/>
      </c>
    </row>
    <row r="2220" customFormat="false" ht="15" hidden="false" customHeight="false" outlineLevel="0" collapsed="false">
      <c r="A2220" s="27"/>
      <c r="E2220" s="28"/>
      <c r="F2220" s="28"/>
      <c r="I2220" s="28" t="str">
        <f aca="false">IF(A2220="","",D2220*E2220)</f>
        <v/>
      </c>
      <c r="J2220" s="28" t="str">
        <f aca="false">IF(A2220="","",D2220*F2220)</f>
        <v/>
      </c>
      <c r="K2220" s="0" t="str">
        <f aca="false">IF(A2220="","",YEAR(A2220))</f>
        <v/>
      </c>
      <c r="L2220" s="0" t="str">
        <f aca="false">IF(A2220="","",MONTH(A2220))</f>
        <v/>
      </c>
    </row>
    <row r="2221" customFormat="false" ht="15" hidden="false" customHeight="false" outlineLevel="0" collapsed="false">
      <c r="A2221" s="27"/>
      <c r="E2221" s="28"/>
      <c r="F2221" s="28"/>
      <c r="I2221" s="28" t="str">
        <f aca="false">IF(A2221="","",D2221*E2221)</f>
        <v/>
      </c>
      <c r="J2221" s="28" t="str">
        <f aca="false">IF(A2221="","",D2221*F2221)</f>
        <v/>
      </c>
      <c r="K2221" s="0" t="str">
        <f aca="false">IF(A2221="","",YEAR(A2221))</f>
        <v/>
      </c>
      <c r="L2221" s="0" t="str">
        <f aca="false">IF(A2221="","",MONTH(A2221))</f>
        <v/>
      </c>
    </row>
    <row r="2222" customFormat="false" ht="15" hidden="false" customHeight="false" outlineLevel="0" collapsed="false">
      <c r="A2222" s="27"/>
      <c r="E2222" s="28"/>
      <c r="F2222" s="28"/>
      <c r="I2222" s="28" t="str">
        <f aca="false">IF(A2222="","",D2222*E2222)</f>
        <v/>
      </c>
      <c r="J2222" s="28" t="str">
        <f aca="false">IF(A2222="","",D2222*F2222)</f>
        <v/>
      </c>
      <c r="K2222" s="0" t="str">
        <f aca="false">IF(A2222="","",YEAR(A2222))</f>
        <v/>
      </c>
      <c r="L2222" s="0" t="str">
        <f aca="false">IF(A2222="","",MONTH(A2222))</f>
        <v/>
      </c>
    </row>
    <row r="2223" customFormat="false" ht="15" hidden="false" customHeight="false" outlineLevel="0" collapsed="false">
      <c r="A2223" s="27"/>
      <c r="E2223" s="28"/>
      <c r="F2223" s="28"/>
      <c r="I2223" s="28" t="str">
        <f aca="false">IF(A2223="","",D2223*E2223)</f>
        <v/>
      </c>
      <c r="J2223" s="28" t="str">
        <f aca="false">IF(A2223="","",D2223*F2223)</f>
        <v/>
      </c>
      <c r="K2223" s="0" t="str">
        <f aca="false">IF(A2223="","",YEAR(A2223))</f>
        <v/>
      </c>
      <c r="L2223" s="0" t="str">
        <f aca="false">IF(A2223="","",MONTH(A2223))</f>
        <v/>
      </c>
    </row>
    <row r="2224" customFormat="false" ht="15" hidden="false" customHeight="false" outlineLevel="0" collapsed="false">
      <c r="A2224" s="27"/>
      <c r="E2224" s="28"/>
      <c r="F2224" s="28"/>
      <c r="I2224" s="28" t="str">
        <f aca="false">IF(A2224="","",D2224*E2224)</f>
        <v/>
      </c>
      <c r="J2224" s="28" t="str">
        <f aca="false">IF(A2224="","",D2224*F2224)</f>
        <v/>
      </c>
      <c r="K2224" s="0" t="str">
        <f aca="false">IF(A2224="","",YEAR(A2224))</f>
        <v/>
      </c>
      <c r="L2224" s="0" t="str">
        <f aca="false">IF(A2224="","",MONTH(A2224))</f>
        <v/>
      </c>
    </row>
    <row r="2225" customFormat="false" ht="15" hidden="false" customHeight="false" outlineLevel="0" collapsed="false">
      <c r="A2225" s="27"/>
      <c r="E2225" s="28"/>
      <c r="F2225" s="28"/>
      <c r="I2225" s="28" t="str">
        <f aca="false">IF(A2225="","",D2225*E2225)</f>
        <v/>
      </c>
      <c r="J2225" s="28" t="str">
        <f aca="false">IF(A2225="","",D2225*F2225)</f>
        <v/>
      </c>
      <c r="K2225" s="0" t="str">
        <f aca="false">IF(A2225="","",YEAR(A2225))</f>
        <v/>
      </c>
      <c r="L2225" s="0" t="str">
        <f aca="false">IF(A2225="","",MONTH(A2225))</f>
        <v/>
      </c>
    </row>
    <row r="2226" customFormat="false" ht="15" hidden="false" customHeight="false" outlineLevel="0" collapsed="false">
      <c r="A2226" s="27"/>
      <c r="E2226" s="28"/>
      <c r="F2226" s="28"/>
      <c r="I2226" s="28" t="str">
        <f aca="false">IF(A2226="","",D2226*E2226)</f>
        <v/>
      </c>
      <c r="J2226" s="28" t="str">
        <f aca="false">IF(A2226="","",D2226*F2226)</f>
        <v/>
      </c>
      <c r="K2226" s="0" t="str">
        <f aca="false">IF(A2226="","",YEAR(A2226))</f>
        <v/>
      </c>
      <c r="L2226" s="0" t="str">
        <f aca="false">IF(A2226="","",MONTH(A2226))</f>
        <v/>
      </c>
    </row>
    <row r="2227" customFormat="false" ht="15" hidden="false" customHeight="false" outlineLevel="0" collapsed="false">
      <c r="A2227" s="27"/>
      <c r="E2227" s="28"/>
      <c r="F2227" s="28"/>
      <c r="I2227" s="28" t="str">
        <f aca="false">IF(A2227="","",D2227*E2227)</f>
        <v/>
      </c>
      <c r="J2227" s="28" t="str">
        <f aca="false">IF(A2227="","",D2227*F2227)</f>
        <v/>
      </c>
      <c r="K2227" s="0" t="str">
        <f aca="false">IF(A2227="","",YEAR(A2227))</f>
        <v/>
      </c>
      <c r="L2227" s="0" t="str">
        <f aca="false">IF(A2227="","",MONTH(A2227))</f>
        <v/>
      </c>
    </row>
    <row r="2228" customFormat="false" ht="15" hidden="false" customHeight="false" outlineLevel="0" collapsed="false">
      <c r="A2228" s="27"/>
      <c r="E2228" s="28"/>
      <c r="F2228" s="28"/>
      <c r="I2228" s="28" t="str">
        <f aca="false">IF(A2228="","",D2228*E2228)</f>
        <v/>
      </c>
      <c r="J2228" s="28" t="str">
        <f aca="false">IF(A2228="","",D2228*F2228)</f>
        <v/>
      </c>
      <c r="K2228" s="0" t="str">
        <f aca="false">IF(A2228="","",YEAR(A2228))</f>
        <v/>
      </c>
      <c r="L2228" s="0" t="str">
        <f aca="false">IF(A2228="","",MONTH(A2228))</f>
        <v/>
      </c>
    </row>
    <row r="2229" customFormat="false" ht="15" hidden="false" customHeight="false" outlineLevel="0" collapsed="false">
      <c r="A2229" s="27"/>
      <c r="E2229" s="28"/>
      <c r="F2229" s="28"/>
      <c r="I2229" s="28" t="str">
        <f aca="false">IF(A2229="","",D2229*E2229)</f>
        <v/>
      </c>
      <c r="J2229" s="28" t="str">
        <f aca="false">IF(A2229="","",D2229*F2229)</f>
        <v/>
      </c>
      <c r="K2229" s="0" t="str">
        <f aca="false">IF(A2229="","",YEAR(A2229))</f>
        <v/>
      </c>
      <c r="L2229" s="0" t="str">
        <f aca="false">IF(A2229="","",MONTH(A2229))</f>
        <v/>
      </c>
    </row>
    <row r="2230" customFormat="false" ht="15" hidden="false" customHeight="false" outlineLevel="0" collapsed="false">
      <c r="A2230" s="27"/>
      <c r="E2230" s="28"/>
      <c r="F2230" s="28"/>
      <c r="I2230" s="28" t="str">
        <f aca="false">IF(A2230="","",D2230*E2230)</f>
        <v/>
      </c>
      <c r="J2230" s="28" t="str">
        <f aca="false">IF(A2230="","",D2230*F2230)</f>
        <v/>
      </c>
      <c r="K2230" s="0" t="str">
        <f aca="false">IF(A2230="","",YEAR(A2230))</f>
        <v/>
      </c>
      <c r="L2230" s="0" t="str">
        <f aca="false">IF(A2230="","",MONTH(A2230))</f>
        <v/>
      </c>
    </row>
    <row r="2231" customFormat="false" ht="15" hidden="false" customHeight="false" outlineLevel="0" collapsed="false">
      <c r="A2231" s="27"/>
      <c r="E2231" s="28"/>
      <c r="F2231" s="28"/>
      <c r="I2231" s="28" t="str">
        <f aca="false">IF(A2231="","",D2231*E2231)</f>
        <v/>
      </c>
      <c r="J2231" s="28" t="str">
        <f aca="false">IF(A2231="","",D2231*F2231)</f>
        <v/>
      </c>
      <c r="K2231" s="0" t="str">
        <f aca="false">IF(A2231="","",YEAR(A2231))</f>
        <v/>
      </c>
      <c r="L2231" s="0" t="str">
        <f aca="false">IF(A2231="","",MONTH(A2231))</f>
        <v/>
      </c>
    </row>
    <row r="2232" customFormat="false" ht="15" hidden="false" customHeight="false" outlineLevel="0" collapsed="false">
      <c r="A2232" s="27"/>
      <c r="E2232" s="28"/>
      <c r="F2232" s="28"/>
      <c r="I2232" s="28" t="str">
        <f aca="false">IF(A2232="","",D2232*E2232)</f>
        <v/>
      </c>
      <c r="J2232" s="28" t="str">
        <f aca="false">IF(A2232="","",D2232*F2232)</f>
        <v/>
      </c>
      <c r="K2232" s="0" t="str">
        <f aca="false">IF(A2232="","",YEAR(A2232))</f>
        <v/>
      </c>
      <c r="L2232" s="0" t="str">
        <f aca="false">IF(A2232="","",MONTH(A2232))</f>
        <v/>
      </c>
    </row>
    <row r="2233" customFormat="false" ht="15" hidden="false" customHeight="false" outlineLevel="0" collapsed="false">
      <c r="A2233" s="27"/>
      <c r="E2233" s="28"/>
      <c r="F2233" s="28"/>
      <c r="I2233" s="28" t="str">
        <f aca="false">IF(A2233="","",D2233*E2233)</f>
        <v/>
      </c>
      <c r="J2233" s="28" t="str">
        <f aca="false">IF(A2233="","",D2233*F2233)</f>
        <v/>
      </c>
      <c r="K2233" s="0" t="str">
        <f aca="false">IF(A2233="","",YEAR(A2233))</f>
        <v/>
      </c>
      <c r="L2233" s="0" t="str">
        <f aca="false">IF(A2233="","",MONTH(A2233))</f>
        <v/>
      </c>
    </row>
    <row r="2234" customFormat="false" ht="15" hidden="false" customHeight="false" outlineLevel="0" collapsed="false">
      <c r="A2234" s="27"/>
      <c r="E2234" s="28"/>
      <c r="F2234" s="28"/>
      <c r="I2234" s="28" t="str">
        <f aca="false">IF(A2234="","",D2234*E2234)</f>
        <v/>
      </c>
      <c r="J2234" s="28" t="str">
        <f aca="false">IF(A2234="","",D2234*F2234)</f>
        <v/>
      </c>
      <c r="K2234" s="0" t="str">
        <f aca="false">IF(A2234="","",YEAR(A2234))</f>
        <v/>
      </c>
      <c r="L2234" s="0" t="str">
        <f aca="false">IF(A2234="","",MONTH(A2234))</f>
        <v/>
      </c>
    </row>
    <row r="2235" customFormat="false" ht="15" hidden="false" customHeight="false" outlineLevel="0" collapsed="false">
      <c r="A2235" s="27"/>
      <c r="E2235" s="28"/>
      <c r="F2235" s="28"/>
      <c r="I2235" s="28" t="str">
        <f aca="false">IF(A2235="","",D2235*E2235)</f>
        <v/>
      </c>
      <c r="J2235" s="28" t="str">
        <f aca="false">IF(A2235="","",D2235*F2235)</f>
        <v/>
      </c>
      <c r="K2235" s="0" t="str">
        <f aca="false">IF(A2235="","",YEAR(A2235))</f>
        <v/>
      </c>
      <c r="L2235" s="0" t="str">
        <f aca="false">IF(A2235="","",MONTH(A2235))</f>
        <v/>
      </c>
    </row>
    <row r="2236" customFormat="false" ht="15" hidden="false" customHeight="false" outlineLevel="0" collapsed="false">
      <c r="A2236" s="27"/>
      <c r="E2236" s="28"/>
      <c r="F2236" s="28"/>
      <c r="I2236" s="28" t="str">
        <f aca="false">IF(A2236="","",D2236*E2236)</f>
        <v/>
      </c>
      <c r="J2236" s="28" t="str">
        <f aca="false">IF(A2236="","",D2236*F2236)</f>
        <v/>
      </c>
      <c r="K2236" s="0" t="str">
        <f aca="false">IF(A2236="","",YEAR(A2236))</f>
        <v/>
      </c>
      <c r="L2236" s="0" t="str">
        <f aca="false">IF(A2236="","",MONTH(A2236))</f>
        <v/>
      </c>
    </row>
    <row r="2237" customFormat="false" ht="15" hidden="false" customHeight="false" outlineLevel="0" collapsed="false">
      <c r="A2237" s="27"/>
      <c r="E2237" s="28"/>
      <c r="F2237" s="28"/>
      <c r="I2237" s="28" t="str">
        <f aca="false">IF(A2237="","",D2237*E2237)</f>
        <v/>
      </c>
      <c r="J2237" s="28" t="str">
        <f aca="false">IF(A2237="","",D2237*F2237)</f>
        <v/>
      </c>
      <c r="K2237" s="0" t="str">
        <f aca="false">IF(A2237="","",YEAR(A2237))</f>
        <v/>
      </c>
      <c r="L2237" s="0" t="str">
        <f aca="false">IF(A2237="","",MONTH(A2237))</f>
        <v/>
      </c>
    </row>
    <row r="2238" customFormat="false" ht="15" hidden="false" customHeight="false" outlineLevel="0" collapsed="false">
      <c r="A2238" s="27"/>
      <c r="E2238" s="28"/>
      <c r="F2238" s="28"/>
      <c r="I2238" s="28" t="str">
        <f aca="false">IF(A2238="","",D2238*E2238)</f>
        <v/>
      </c>
      <c r="J2238" s="28" t="str">
        <f aca="false">IF(A2238="","",D2238*F2238)</f>
        <v/>
      </c>
      <c r="K2238" s="0" t="str">
        <f aca="false">IF(A2238="","",YEAR(A2238))</f>
        <v/>
      </c>
      <c r="L2238" s="0" t="str">
        <f aca="false">IF(A2238="","",MONTH(A2238))</f>
        <v/>
      </c>
    </row>
    <row r="2239" customFormat="false" ht="15" hidden="false" customHeight="false" outlineLevel="0" collapsed="false">
      <c r="A2239" s="27"/>
      <c r="E2239" s="28"/>
      <c r="F2239" s="28"/>
      <c r="I2239" s="28" t="str">
        <f aca="false">IF(A2239="","",D2239*E2239)</f>
        <v/>
      </c>
      <c r="J2239" s="28" t="str">
        <f aca="false">IF(A2239="","",D2239*F2239)</f>
        <v/>
      </c>
      <c r="K2239" s="0" t="str">
        <f aca="false">IF(A2239="","",YEAR(A2239))</f>
        <v/>
      </c>
      <c r="L2239" s="0" t="str">
        <f aca="false">IF(A2239="","",MONTH(A2239))</f>
        <v/>
      </c>
    </row>
    <row r="2240" customFormat="false" ht="15" hidden="false" customHeight="false" outlineLevel="0" collapsed="false">
      <c r="A2240" s="27"/>
      <c r="E2240" s="28"/>
      <c r="F2240" s="28"/>
      <c r="I2240" s="28" t="str">
        <f aca="false">IF(A2240="","",D2240*E2240)</f>
        <v/>
      </c>
      <c r="J2240" s="28" t="str">
        <f aca="false">IF(A2240="","",D2240*F2240)</f>
        <v/>
      </c>
      <c r="K2240" s="0" t="str">
        <f aca="false">IF(A2240="","",YEAR(A2240))</f>
        <v/>
      </c>
      <c r="L2240" s="0" t="str">
        <f aca="false">IF(A2240="","",MONTH(A2240))</f>
        <v/>
      </c>
    </row>
    <row r="2241" customFormat="false" ht="15" hidden="false" customHeight="false" outlineLevel="0" collapsed="false">
      <c r="A2241" s="27"/>
      <c r="E2241" s="28"/>
      <c r="F2241" s="28"/>
      <c r="I2241" s="28" t="str">
        <f aca="false">IF(A2241="","",D2241*E2241)</f>
        <v/>
      </c>
      <c r="J2241" s="28" t="str">
        <f aca="false">IF(A2241="","",D2241*F2241)</f>
        <v/>
      </c>
      <c r="K2241" s="0" t="str">
        <f aca="false">IF(A2241="","",YEAR(A2241))</f>
        <v/>
      </c>
      <c r="L2241" s="0" t="str">
        <f aca="false">IF(A2241="","",MONTH(A2241))</f>
        <v/>
      </c>
    </row>
    <row r="2242" customFormat="false" ht="15" hidden="false" customHeight="false" outlineLevel="0" collapsed="false">
      <c r="A2242" s="27"/>
      <c r="E2242" s="28"/>
      <c r="F2242" s="28"/>
      <c r="I2242" s="28" t="str">
        <f aca="false">IF(A2242="","",D2242*E2242)</f>
        <v/>
      </c>
      <c r="J2242" s="28" t="str">
        <f aca="false">IF(A2242="","",D2242*F2242)</f>
        <v/>
      </c>
      <c r="K2242" s="0" t="str">
        <f aca="false">IF(A2242="","",YEAR(A2242))</f>
        <v/>
      </c>
      <c r="L2242" s="0" t="str">
        <f aca="false">IF(A2242="","",MONTH(A2242))</f>
        <v/>
      </c>
    </row>
    <row r="2243" customFormat="false" ht="15" hidden="false" customHeight="false" outlineLevel="0" collapsed="false">
      <c r="A2243" s="27"/>
      <c r="E2243" s="28"/>
      <c r="F2243" s="28"/>
      <c r="I2243" s="28" t="str">
        <f aca="false">IF(A2243="","",D2243*E2243)</f>
        <v/>
      </c>
      <c r="J2243" s="28" t="str">
        <f aca="false">IF(A2243="","",D2243*F2243)</f>
        <v/>
      </c>
      <c r="K2243" s="0" t="str">
        <f aca="false">IF(A2243="","",YEAR(A2243))</f>
        <v/>
      </c>
      <c r="L2243" s="0" t="str">
        <f aca="false">IF(A2243="","",MONTH(A2243))</f>
        <v/>
      </c>
    </row>
    <row r="2244" customFormat="false" ht="15" hidden="false" customHeight="false" outlineLevel="0" collapsed="false">
      <c r="A2244" s="27"/>
      <c r="E2244" s="28"/>
      <c r="F2244" s="28"/>
      <c r="I2244" s="28" t="str">
        <f aca="false">IF(A2244="","",D2244*E2244)</f>
        <v/>
      </c>
      <c r="J2244" s="28" t="str">
        <f aca="false">IF(A2244="","",D2244*F2244)</f>
        <v/>
      </c>
      <c r="K2244" s="0" t="str">
        <f aca="false">IF(A2244="","",YEAR(A2244))</f>
        <v/>
      </c>
      <c r="L2244" s="0" t="str">
        <f aca="false">IF(A2244="","",MONTH(A2244))</f>
        <v/>
      </c>
    </row>
    <row r="2245" customFormat="false" ht="15" hidden="false" customHeight="false" outlineLevel="0" collapsed="false">
      <c r="A2245" s="27"/>
      <c r="E2245" s="28"/>
      <c r="F2245" s="28"/>
      <c r="I2245" s="28" t="str">
        <f aca="false">IF(A2245="","",D2245*E2245)</f>
        <v/>
      </c>
      <c r="J2245" s="28" t="str">
        <f aca="false">IF(A2245="","",D2245*F2245)</f>
        <v/>
      </c>
      <c r="K2245" s="0" t="str">
        <f aca="false">IF(A2245="","",YEAR(A2245))</f>
        <v/>
      </c>
      <c r="L2245" s="0" t="str">
        <f aca="false">IF(A2245="","",MONTH(A2245))</f>
        <v/>
      </c>
    </row>
    <row r="2246" customFormat="false" ht="15" hidden="false" customHeight="false" outlineLevel="0" collapsed="false">
      <c r="A2246" s="27"/>
      <c r="E2246" s="28"/>
      <c r="F2246" s="28"/>
      <c r="I2246" s="28" t="str">
        <f aca="false">IF(A2246="","",D2246*E2246)</f>
        <v/>
      </c>
      <c r="J2246" s="28" t="str">
        <f aca="false">IF(A2246="","",D2246*F2246)</f>
        <v/>
      </c>
      <c r="K2246" s="0" t="str">
        <f aca="false">IF(A2246="","",YEAR(A2246))</f>
        <v/>
      </c>
      <c r="L2246" s="0" t="str">
        <f aca="false">IF(A2246="","",MONTH(A2246))</f>
        <v/>
      </c>
    </row>
    <row r="2247" customFormat="false" ht="15" hidden="false" customHeight="false" outlineLevel="0" collapsed="false">
      <c r="A2247" s="27"/>
      <c r="E2247" s="28"/>
      <c r="F2247" s="28"/>
      <c r="I2247" s="28" t="str">
        <f aca="false">IF(A2247="","",D2247*E2247)</f>
        <v/>
      </c>
      <c r="J2247" s="28" t="str">
        <f aca="false">IF(A2247="","",D2247*F2247)</f>
        <v/>
      </c>
      <c r="K2247" s="0" t="str">
        <f aca="false">IF(A2247="","",YEAR(A2247))</f>
        <v/>
      </c>
      <c r="L2247" s="0" t="str">
        <f aca="false">IF(A2247="","",MONTH(A2247))</f>
        <v/>
      </c>
    </row>
    <row r="2248" customFormat="false" ht="15" hidden="false" customHeight="false" outlineLevel="0" collapsed="false">
      <c r="A2248" s="27"/>
      <c r="E2248" s="28"/>
      <c r="F2248" s="28"/>
      <c r="I2248" s="28" t="str">
        <f aca="false">IF(A2248="","",D2248*E2248)</f>
        <v/>
      </c>
      <c r="J2248" s="28" t="str">
        <f aca="false">IF(A2248="","",D2248*F2248)</f>
        <v/>
      </c>
      <c r="K2248" s="0" t="str">
        <f aca="false">IF(A2248="","",YEAR(A2248))</f>
        <v/>
      </c>
      <c r="L2248" s="0" t="str">
        <f aca="false">IF(A2248="","",MONTH(A2248))</f>
        <v/>
      </c>
    </row>
    <row r="2249" customFormat="false" ht="15" hidden="false" customHeight="false" outlineLevel="0" collapsed="false">
      <c r="A2249" s="27"/>
      <c r="E2249" s="28"/>
      <c r="F2249" s="28"/>
      <c r="I2249" s="28" t="str">
        <f aca="false">IF(A2249="","",D2249*E2249)</f>
        <v/>
      </c>
      <c r="J2249" s="28" t="str">
        <f aca="false">IF(A2249="","",D2249*F2249)</f>
        <v/>
      </c>
      <c r="K2249" s="0" t="str">
        <f aca="false">IF(A2249="","",YEAR(A2249))</f>
        <v/>
      </c>
      <c r="L2249" s="0" t="str">
        <f aca="false">IF(A2249="","",MONTH(A2249))</f>
        <v/>
      </c>
    </row>
    <row r="2250" customFormat="false" ht="15" hidden="false" customHeight="false" outlineLevel="0" collapsed="false">
      <c r="A2250" s="27"/>
      <c r="E2250" s="28"/>
      <c r="F2250" s="28"/>
      <c r="I2250" s="28" t="str">
        <f aca="false">IF(A2250="","",D2250*E2250)</f>
        <v/>
      </c>
      <c r="J2250" s="28" t="str">
        <f aca="false">IF(A2250="","",D2250*F2250)</f>
        <v/>
      </c>
      <c r="K2250" s="0" t="str">
        <f aca="false">IF(A2250="","",YEAR(A2250))</f>
        <v/>
      </c>
      <c r="L2250" s="0" t="str">
        <f aca="false">IF(A2250="","",MONTH(A2250))</f>
        <v/>
      </c>
    </row>
    <row r="2251" customFormat="false" ht="15" hidden="false" customHeight="false" outlineLevel="0" collapsed="false">
      <c r="A2251" s="27"/>
      <c r="E2251" s="28"/>
      <c r="F2251" s="28"/>
      <c r="I2251" s="28" t="str">
        <f aca="false">IF(A2251="","",D2251*E2251)</f>
        <v/>
      </c>
      <c r="J2251" s="28" t="str">
        <f aca="false">IF(A2251="","",D2251*F2251)</f>
        <v/>
      </c>
      <c r="K2251" s="0" t="str">
        <f aca="false">IF(A2251="","",YEAR(A2251))</f>
        <v/>
      </c>
      <c r="L2251" s="0" t="str">
        <f aca="false">IF(A2251="","",MONTH(A2251))</f>
        <v/>
      </c>
    </row>
    <row r="2252" customFormat="false" ht="15" hidden="false" customHeight="false" outlineLevel="0" collapsed="false">
      <c r="A2252" s="27"/>
      <c r="E2252" s="28"/>
      <c r="F2252" s="28"/>
      <c r="I2252" s="28" t="str">
        <f aca="false">IF(A2252="","",D2252*E2252)</f>
        <v/>
      </c>
      <c r="J2252" s="28" t="str">
        <f aca="false">IF(A2252="","",D2252*F2252)</f>
        <v/>
      </c>
      <c r="K2252" s="0" t="str">
        <f aca="false">IF(A2252="","",YEAR(A2252))</f>
        <v/>
      </c>
      <c r="L2252" s="0" t="str">
        <f aca="false">IF(A2252="","",MONTH(A2252))</f>
        <v/>
      </c>
    </row>
    <row r="2253" customFormat="false" ht="15" hidden="false" customHeight="false" outlineLevel="0" collapsed="false">
      <c r="A2253" s="27"/>
      <c r="E2253" s="28"/>
      <c r="F2253" s="28"/>
      <c r="I2253" s="28" t="str">
        <f aca="false">IF(A2253="","",D2253*E2253)</f>
        <v/>
      </c>
      <c r="J2253" s="28" t="str">
        <f aca="false">IF(A2253="","",D2253*F2253)</f>
        <v/>
      </c>
      <c r="K2253" s="0" t="str">
        <f aca="false">IF(A2253="","",YEAR(A2253))</f>
        <v/>
      </c>
      <c r="L2253" s="0" t="str">
        <f aca="false">IF(A2253="","",MONTH(A2253))</f>
        <v/>
      </c>
    </row>
    <row r="2254" customFormat="false" ht="15" hidden="false" customHeight="false" outlineLevel="0" collapsed="false">
      <c r="A2254" s="27"/>
      <c r="E2254" s="28"/>
      <c r="F2254" s="28"/>
      <c r="I2254" s="28" t="str">
        <f aca="false">IF(A2254="","",D2254*E2254)</f>
        <v/>
      </c>
      <c r="J2254" s="28" t="str">
        <f aca="false">IF(A2254="","",D2254*F2254)</f>
        <v/>
      </c>
      <c r="K2254" s="0" t="str">
        <f aca="false">IF(A2254="","",YEAR(A2254))</f>
        <v/>
      </c>
      <c r="L2254" s="0" t="str">
        <f aca="false">IF(A2254="","",MONTH(A2254))</f>
        <v/>
      </c>
    </row>
    <row r="2255" customFormat="false" ht="15" hidden="false" customHeight="false" outlineLevel="0" collapsed="false">
      <c r="A2255" s="27"/>
      <c r="E2255" s="28"/>
      <c r="F2255" s="28"/>
      <c r="I2255" s="28" t="str">
        <f aca="false">IF(A2255="","",D2255*E2255)</f>
        <v/>
      </c>
      <c r="J2255" s="28" t="str">
        <f aca="false">IF(A2255="","",D2255*F2255)</f>
        <v/>
      </c>
      <c r="K2255" s="0" t="str">
        <f aca="false">IF(A2255="","",YEAR(A2255))</f>
        <v/>
      </c>
      <c r="L2255" s="0" t="str">
        <f aca="false">IF(A2255="","",MONTH(A2255))</f>
        <v/>
      </c>
    </row>
    <row r="2256" customFormat="false" ht="15" hidden="false" customHeight="false" outlineLevel="0" collapsed="false">
      <c r="A2256" s="27"/>
      <c r="E2256" s="28"/>
      <c r="F2256" s="28"/>
      <c r="I2256" s="28" t="str">
        <f aca="false">IF(A2256="","",D2256*E2256)</f>
        <v/>
      </c>
      <c r="J2256" s="28" t="str">
        <f aca="false">IF(A2256="","",D2256*F2256)</f>
        <v/>
      </c>
      <c r="K2256" s="0" t="str">
        <f aca="false">IF(A2256="","",YEAR(A2256))</f>
        <v/>
      </c>
      <c r="L2256" s="0" t="str">
        <f aca="false">IF(A2256="","",MONTH(A2256))</f>
        <v/>
      </c>
    </row>
    <row r="2257" customFormat="false" ht="15" hidden="false" customHeight="false" outlineLevel="0" collapsed="false">
      <c r="A2257" s="27"/>
      <c r="E2257" s="28"/>
      <c r="F2257" s="28"/>
      <c r="I2257" s="28" t="str">
        <f aca="false">IF(A2257="","",D2257*E2257)</f>
        <v/>
      </c>
      <c r="J2257" s="28" t="str">
        <f aca="false">IF(A2257="","",D2257*F2257)</f>
        <v/>
      </c>
      <c r="K2257" s="0" t="str">
        <f aca="false">IF(A2257="","",YEAR(A2257))</f>
        <v/>
      </c>
      <c r="L2257" s="0" t="str">
        <f aca="false">IF(A2257="","",MONTH(A2257))</f>
        <v/>
      </c>
    </row>
    <row r="2258" customFormat="false" ht="15" hidden="false" customHeight="false" outlineLevel="0" collapsed="false">
      <c r="A2258" s="27"/>
      <c r="E2258" s="28"/>
      <c r="F2258" s="28"/>
      <c r="I2258" s="28" t="str">
        <f aca="false">IF(A2258="","",D2258*E2258)</f>
        <v/>
      </c>
      <c r="J2258" s="28" t="str">
        <f aca="false">IF(A2258="","",D2258*F2258)</f>
        <v/>
      </c>
      <c r="K2258" s="0" t="str">
        <f aca="false">IF(A2258="","",YEAR(A2258))</f>
        <v/>
      </c>
      <c r="L2258" s="0" t="str">
        <f aca="false">IF(A2258="","",MONTH(A2258))</f>
        <v/>
      </c>
    </row>
    <row r="2259" customFormat="false" ht="15" hidden="false" customHeight="false" outlineLevel="0" collapsed="false">
      <c r="A2259" s="27"/>
      <c r="E2259" s="28"/>
      <c r="F2259" s="28"/>
      <c r="I2259" s="28" t="str">
        <f aca="false">IF(A2259="","",D2259*E2259)</f>
        <v/>
      </c>
      <c r="J2259" s="28" t="str">
        <f aca="false">IF(A2259="","",D2259*F2259)</f>
        <v/>
      </c>
      <c r="K2259" s="0" t="str">
        <f aca="false">IF(A2259="","",YEAR(A2259))</f>
        <v/>
      </c>
      <c r="L2259" s="0" t="str">
        <f aca="false">IF(A2259="","",MONTH(A2259))</f>
        <v/>
      </c>
    </row>
    <row r="2260" customFormat="false" ht="15" hidden="false" customHeight="false" outlineLevel="0" collapsed="false">
      <c r="A2260" s="27"/>
      <c r="E2260" s="28"/>
      <c r="F2260" s="28"/>
      <c r="I2260" s="28" t="str">
        <f aca="false">IF(A2260="","",D2260*E2260)</f>
        <v/>
      </c>
      <c r="J2260" s="28" t="str">
        <f aca="false">IF(A2260="","",D2260*F2260)</f>
        <v/>
      </c>
      <c r="K2260" s="0" t="str">
        <f aca="false">IF(A2260="","",YEAR(A2260))</f>
        <v/>
      </c>
      <c r="L2260" s="0" t="str">
        <f aca="false">IF(A2260="","",MONTH(A2260))</f>
        <v/>
      </c>
    </row>
    <row r="2261" customFormat="false" ht="15" hidden="false" customHeight="false" outlineLevel="0" collapsed="false">
      <c r="A2261" s="27"/>
      <c r="E2261" s="28"/>
      <c r="F2261" s="28"/>
      <c r="I2261" s="28" t="str">
        <f aca="false">IF(A2261="","",D2261*E2261)</f>
        <v/>
      </c>
      <c r="J2261" s="28" t="str">
        <f aca="false">IF(A2261="","",D2261*F2261)</f>
        <v/>
      </c>
      <c r="K2261" s="0" t="str">
        <f aca="false">IF(A2261="","",YEAR(A2261))</f>
        <v/>
      </c>
      <c r="L2261" s="0" t="str">
        <f aca="false">IF(A2261="","",MONTH(A2261))</f>
        <v/>
      </c>
    </row>
    <row r="2262" customFormat="false" ht="15" hidden="false" customHeight="false" outlineLevel="0" collapsed="false">
      <c r="A2262" s="27"/>
      <c r="E2262" s="28"/>
      <c r="F2262" s="28"/>
      <c r="I2262" s="28" t="str">
        <f aca="false">IF(A2262="","",D2262*E2262)</f>
        <v/>
      </c>
      <c r="J2262" s="28" t="str">
        <f aca="false">IF(A2262="","",D2262*F2262)</f>
        <v/>
      </c>
      <c r="K2262" s="0" t="str">
        <f aca="false">IF(A2262="","",YEAR(A2262))</f>
        <v/>
      </c>
      <c r="L2262" s="0" t="str">
        <f aca="false">IF(A2262="","",MONTH(A2262))</f>
        <v/>
      </c>
    </row>
    <row r="2263" customFormat="false" ht="15" hidden="false" customHeight="false" outlineLevel="0" collapsed="false">
      <c r="A2263" s="27"/>
      <c r="E2263" s="28"/>
      <c r="F2263" s="28"/>
      <c r="I2263" s="28" t="str">
        <f aca="false">IF(A2263="","",D2263*E2263)</f>
        <v/>
      </c>
      <c r="J2263" s="28" t="str">
        <f aca="false">IF(A2263="","",D2263*F2263)</f>
        <v/>
      </c>
      <c r="K2263" s="0" t="str">
        <f aca="false">IF(A2263="","",YEAR(A2263))</f>
        <v/>
      </c>
      <c r="L2263" s="0" t="str">
        <f aca="false">IF(A2263="","",MONTH(A2263))</f>
        <v/>
      </c>
    </row>
    <row r="2264" customFormat="false" ht="15" hidden="false" customHeight="false" outlineLevel="0" collapsed="false">
      <c r="A2264" s="27"/>
      <c r="E2264" s="28"/>
      <c r="F2264" s="28"/>
      <c r="I2264" s="28" t="str">
        <f aca="false">IF(A2264="","",D2264*E2264)</f>
        <v/>
      </c>
      <c r="J2264" s="28" t="str">
        <f aca="false">IF(A2264="","",D2264*F2264)</f>
        <v/>
      </c>
      <c r="K2264" s="0" t="str">
        <f aca="false">IF(A2264="","",YEAR(A2264))</f>
        <v/>
      </c>
      <c r="L2264" s="0" t="str">
        <f aca="false">IF(A2264="","",MONTH(A2264))</f>
        <v/>
      </c>
    </row>
    <row r="2265" customFormat="false" ht="15" hidden="false" customHeight="false" outlineLevel="0" collapsed="false">
      <c r="A2265" s="27"/>
      <c r="E2265" s="28"/>
      <c r="F2265" s="28"/>
      <c r="I2265" s="28" t="str">
        <f aca="false">IF(A2265="","",D2265*E2265)</f>
        <v/>
      </c>
      <c r="J2265" s="28" t="str">
        <f aca="false">IF(A2265="","",D2265*F2265)</f>
        <v/>
      </c>
      <c r="K2265" s="0" t="str">
        <f aca="false">IF(A2265="","",YEAR(A2265))</f>
        <v/>
      </c>
      <c r="L2265" s="0" t="str">
        <f aca="false">IF(A2265="","",MONTH(A2265))</f>
        <v/>
      </c>
    </row>
    <row r="2266" customFormat="false" ht="15" hidden="false" customHeight="false" outlineLevel="0" collapsed="false">
      <c r="A2266" s="27"/>
      <c r="E2266" s="28"/>
      <c r="F2266" s="28"/>
      <c r="I2266" s="28" t="str">
        <f aca="false">IF(A2266="","",D2266*E2266)</f>
        <v/>
      </c>
      <c r="J2266" s="28" t="str">
        <f aca="false">IF(A2266="","",D2266*F2266)</f>
        <v/>
      </c>
      <c r="K2266" s="0" t="str">
        <f aca="false">IF(A2266="","",YEAR(A2266))</f>
        <v/>
      </c>
      <c r="L2266" s="0" t="str">
        <f aca="false">IF(A2266="","",MONTH(A2266))</f>
        <v/>
      </c>
    </row>
    <row r="2267" customFormat="false" ht="15" hidden="false" customHeight="false" outlineLevel="0" collapsed="false">
      <c r="A2267" s="27"/>
      <c r="E2267" s="28"/>
      <c r="F2267" s="28"/>
      <c r="I2267" s="28" t="str">
        <f aca="false">IF(A2267="","",D2267*E2267)</f>
        <v/>
      </c>
      <c r="J2267" s="28" t="str">
        <f aca="false">IF(A2267="","",D2267*F2267)</f>
        <v/>
      </c>
      <c r="K2267" s="0" t="str">
        <f aca="false">IF(A2267="","",YEAR(A2267))</f>
        <v/>
      </c>
      <c r="L2267" s="0" t="str">
        <f aca="false">IF(A2267="","",MONTH(A2267))</f>
        <v/>
      </c>
    </row>
    <row r="2268" customFormat="false" ht="15" hidden="false" customHeight="false" outlineLevel="0" collapsed="false">
      <c r="A2268" s="27"/>
      <c r="E2268" s="28"/>
      <c r="F2268" s="28"/>
      <c r="I2268" s="28" t="str">
        <f aca="false">IF(A2268="","",D2268*E2268)</f>
        <v/>
      </c>
      <c r="J2268" s="28" t="str">
        <f aca="false">IF(A2268="","",D2268*F2268)</f>
        <v/>
      </c>
      <c r="K2268" s="0" t="str">
        <f aca="false">IF(A2268="","",YEAR(A2268))</f>
        <v/>
      </c>
      <c r="L2268" s="0" t="str">
        <f aca="false">IF(A2268="","",MONTH(A2268))</f>
        <v/>
      </c>
    </row>
    <row r="2269" customFormat="false" ht="15" hidden="false" customHeight="false" outlineLevel="0" collapsed="false">
      <c r="A2269" s="27"/>
      <c r="E2269" s="28"/>
      <c r="F2269" s="28"/>
      <c r="I2269" s="28" t="str">
        <f aca="false">IF(A2269="","",D2269*E2269)</f>
        <v/>
      </c>
      <c r="J2269" s="28" t="str">
        <f aca="false">IF(A2269="","",D2269*F2269)</f>
        <v/>
      </c>
      <c r="K2269" s="0" t="str">
        <f aca="false">IF(A2269="","",YEAR(A2269))</f>
        <v/>
      </c>
      <c r="L2269" s="0" t="str">
        <f aca="false">IF(A2269="","",MONTH(A2269))</f>
        <v/>
      </c>
    </row>
    <row r="2270" customFormat="false" ht="15" hidden="false" customHeight="false" outlineLevel="0" collapsed="false">
      <c r="A2270" s="27"/>
      <c r="E2270" s="28"/>
      <c r="F2270" s="28"/>
      <c r="I2270" s="28" t="str">
        <f aca="false">IF(A2270="","",D2270*E2270)</f>
        <v/>
      </c>
      <c r="J2270" s="28" t="str">
        <f aca="false">IF(A2270="","",D2270*F2270)</f>
        <v/>
      </c>
      <c r="K2270" s="0" t="str">
        <f aca="false">IF(A2270="","",YEAR(A2270))</f>
        <v/>
      </c>
      <c r="L2270" s="0" t="str">
        <f aca="false">IF(A2270="","",MONTH(A2270))</f>
        <v/>
      </c>
    </row>
    <row r="2271" customFormat="false" ht="15" hidden="false" customHeight="false" outlineLevel="0" collapsed="false">
      <c r="A2271" s="27"/>
      <c r="E2271" s="28"/>
      <c r="F2271" s="28"/>
      <c r="I2271" s="28" t="str">
        <f aca="false">IF(A2271="","",D2271*E2271)</f>
        <v/>
      </c>
      <c r="J2271" s="28" t="str">
        <f aca="false">IF(A2271="","",D2271*F2271)</f>
        <v/>
      </c>
      <c r="K2271" s="0" t="str">
        <f aca="false">IF(A2271="","",YEAR(A2271))</f>
        <v/>
      </c>
      <c r="L2271" s="0" t="str">
        <f aca="false">IF(A2271="","",MONTH(A2271))</f>
        <v/>
      </c>
    </row>
    <row r="2272" customFormat="false" ht="15" hidden="false" customHeight="false" outlineLevel="0" collapsed="false">
      <c r="A2272" s="27"/>
      <c r="E2272" s="28"/>
      <c r="F2272" s="28"/>
      <c r="I2272" s="28" t="str">
        <f aca="false">IF(A2272="","",D2272*E2272)</f>
        <v/>
      </c>
      <c r="J2272" s="28" t="str">
        <f aca="false">IF(A2272="","",D2272*F2272)</f>
        <v/>
      </c>
      <c r="K2272" s="0" t="str">
        <f aca="false">IF(A2272="","",YEAR(A2272))</f>
        <v/>
      </c>
      <c r="L2272" s="0" t="str">
        <f aca="false">IF(A2272="","",MONTH(A2272))</f>
        <v/>
      </c>
    </row>
    <row r="2273" customFormat="false" ht="15" hidden="false" customHeight="false" outlineLevel="0" collapsed="false">
      <c r="A2273" s="27"/>
      <c r="E2273" s="28"/>
      <c r="F2273" s="28"/>
      <c r="I2273" s="28" t="str">
        <f aca="false">IF(A2273="","",D2273*E2273)</f>
        <v/>
      </c>
      <c r="J2273" s="28" t="str">
        <f aca="false">IF(A2273="","",D2273*F2273)</f>
        <v/>
      </c>
      <c r="K2273" s="0" t="str">
        <f aca="false">IF(A2273="","",YEAR(A2273))</f>
        <v/>
      </c>
      <c r="L2273" s="0" t="str">
        <f aca="false">IF(A2273="","",MONTH(A2273))</f>
        <v/>
      </c>
    </row>
    <row r="2274" customFormat="false" ht="15" hidden="false" customHeight="false" outlineLevel="0" collapsed="false">
      <c r="A2274" s="27"/>
      <c r="E2274" s="28"/>
      <c r="F2274" s="28"/>
      <c r="I2274" s="28" t="str">
        <f aca="false">IF(A2274="","",D2274*E2274)</f>
        <v/>
      </c>
      <c r="J2274" s="28" t="str">
        <f aca="false">IF(A2274="","",D2274*F2274)</f>
        <v/>
      </c>
      <c r="K2274" s="0" t="str">
        <f aca="false">IF(A2274="","",YEAR(A2274))</f>
        <v/>
      </c>
      <c r="L2274" s="0" t="str">
        <f aca="false">IF(A2274="","",MONTH(A2274))</f>
        <v/>
      </c>
    </row>
    <row r="2275" customFormat="false" ht="15" hidden="false" customHeight="false" outlineLevel="0" collapsed="false">
      <c r="A2275" s="27"/>
      <c r="E2275" s="28"/>
      <c r="F2275" s="28"/>
      <c r="I2275" s="28" t="str">
        <f aca="false">IF(A2275="","",D2275*E2275)</f>
        <v/>
      </c>
      <c r="J2275" s="28" t="str">
        <f aca="false">IF(A2275="","",D2275*F2275)</f>
        <v/>
      </c>
      <c r="K2275" s="0" t="str">
        <f aca="false">IF(A2275="","",YEAR(A2275))</f>
        <v/>
      </c>
      <c r="L2275" s="0" t="str">
        <f aca="false">IF(A2275="","",MONTH(A2275))</f>
        <v/>
      </c>
    </row>
    <row r="2276" customFormat="false" ht="15" hidden="false" customHeight="false" outlineLevel="0" collapsed="false">
      <c r="A2276" s="27"/>
      <c r="E2276" s="28"/>
      <c r="F2276" s="28"/>
      <c r="I2276" s="28" t="str">
        <f aca="false">IF(A2276="","",D2276*E2276)</f>
        <v/>
      </c>
      <c r="J2276" s="28" t="str">
        <f aca="false">IF(A2276="","",D2276*F2276)</f>
        <v/>
      </c>
      <c r="K2276" s="0" t="str">
        <f aca="false">IF(A2276="","",YEAR(A2276))</f>
        <v/>
      </c>
      <c r="L2276" s="0" t="str">
        <f aca="false">IF(A2276="","",MONTH(A2276))</f>
        <v/>
      </c>
    </row>
    <row r="2277" customFormat="false" ht="15" hidden="false" customHeight="false" outlineLevel="0" collapsed="false">
      <c r="A2277" s="27"/>
      <c r="E2277" s="28"/>
      <c r="F2277" s="28"/>
      <c r="I2277" s="28" t="str">
        <f aca="false">IF(A2277="","",D2277*E2277)</f>
        <v/>
      </c>
      <c r="J2277" s="28" t="str">
        <f aca="false">IF(A2277="","",D2277*F2277)</f>
        <v/>
      </c>
      <c r="K2277" s="0" t="str">
        <f aca="false">IF(A2277="","",YEAR(A2277))</f>
        <v/>
      </c>
      <c r="L2277" s="0" t="str">
        <f aca="false">IF(A2277="","",MONTH(A2277))</f>
        <v/>
      </c>
    </row>
    <row r="2278" customFormat="false" ht="15" hidden="false" customHeight="false" outlineLevel="0" collapsed="false">
      <c r="A2278" s="27"/>
      <c r="E2278" s="28"/>
      <c r="F2278" s="28"/>
      <c r="I2278" s="28" t="str">
        <f aca="false">IF(A2278="","",D2278*E2278)</f>
        <v/>
      </c>
      <c r="J2278" s="28" t="str">
        <f aca="false">IF(A2278="","",D2278*F2278)</f>
        <v/>
      </c>
      <c r="K2278" s="0" t="str">
        <f aca="false">IF(A2278="","",YEAR(A2278))</f>
        <v/>
      </c>
      <c r="L2278" s="0" t="str">
        <f aca="false">IF(A2278="","",MONTH(A2278))</f>
        <v/>
      </c>
    </row>
    <row r="2279" customFormat="false" ht="15" hidden="false" customHeight="false" outlineLevel="0" collapsed="false">
      <c r="A2279" s="27"/>
      <c r="E2279" s="28"/>
      <c r="F2279" s="28"/>
      <c r="I2279" s="28" t="str">
        <f aca="false">IF(A2279="","",D2279*E2279)</f>
        <v/>
      </c>
      <c r="J2279" s="28" t="str">
        <f aca="false">IF(A2279="","",D2279*F2279)</f>
        <v/>
      </c>
      <c r="K2279" s="0" t="str">
        <f aca="false">IF(A2279="","",YEAR(A2279))</f>
        <v/>
      </c>
      <c r="L2279" s="0" t="str">
        <f aca="false">IF(A2279="","",MONTH(A2279))</f>
        <v/>
      </c>
    </row>
    <row r="2280" customFormat="false" ht="15" hidden="false" customHeight="false" outlineLevel="0" collapsed="false">
      <c r="A2280" s="27"/>
      <c r="E2280" s="28"/>
      <c r="F2280" s="28"/>
      <c r="I2280" s="28" t="str">
        <f aca="false">IF(A2280="","",D2280*E2280)</f>
        <v/>
      </c>
      <c r="J2280" s="28" t="str">
        <f aca="false">IF(A2280="","",D2280*F2280)</f>
        <v/>
      </c>
      <c r="K2280" s="0" t="str">
        <f aca="false">IF(A2280="","",YEAR(A2280))</f>
        <v/>
      </c>
      <c r="L2280" s="0" t="str">
        <f aca="false">IF(A2280="","",MONTH(A2280))</f>
        <v/>
      </c>
    </row>
    <row r="2281" customFormat="false" ht="15" hidden="false" customHeight="false" outlineLevel="0" collapsed="false">
      <c r="A2281" s="27"/>
      <c r="E2281" s="28"/>
      <c r="F2281" s="28"/>
      <c r="I2281" s="28" t="str">
        <f aca="false">IF(A2281="","",D2281*E2281)</f>
        <v/>
      </c>
      <c r="J2281" s="28" t="str">
        <f aca="false">IF(A2281="","",D2281*F2281)</f>
        <v/>
      </c>
      <c r="K2281" s="0" t="str">
        <f aca="false">IF(A2281="","",YEAR(A2281))</f>
        <v/>
      </c>
      <c r="L2281" s="0" t="str">
        <f aca="false">IF(A2281="","",MONTH(A2281))</f>
        <v/>
      </c>
    </row>
    <row r="2282" customFormat="false" ht="15" hidden="false" customHeight="false" outlineLevel="0" collapsed="false">
      <c r="A2282" s="27"/>
      <c r="E2282" s="28"/>
      <c r="F2282" s="28"/>
      <c r="I2282" s="28" t="str">
        <f aca="false">IF(A2282="","",D2282*E2282)</f>
        <v/>
      </c>
      <c r="J2282" s="28" t="str">
        <f aca="false">IF(A2282="","",D2282*F2282)</f>
        <v/>
      </c>
      <c r="K2282" s="0" t="str">
        <f aca="false">IF(A2282="","",YEAR(A2282))</f>
        <v/>
      </c>
      <c r="L2282" s="0" t="str">
        <f aca="false">IF(A2282="","",MONTH(A2282))</f>
        <v/>
      </c>
    </row>
    <row r="2283" customFormat="false" ht="15" hidden="false" customHeight="false" outlineLevel="0" collapsed="false">
      <c r="A2283" s="27"/>
      <c r="E2283" s="28"/>
      <c r="F2283" s="28"/>
      <c r="I2283" s="28" t="str">
        <f aca="false">IF(A2283="","",D2283*E2283)</f>
        <v/>
      </c>
      <c r="J2283" s="28" t="str">
        <f aca="false">IF(A2283="","",D2283*F2283)</f>
        <v/>
      </c>
      <c r="K2283" s="0" t="str">
        <f aca="false">IF(A2283="","",YEAR(A2283))</f>
        <v/>
      </c>
      <c r="L2283" s="0" t="str">
        <f aca="false">IF(A2283="","",MONTH(A2283))</f>
        <v/>
      </c>
    </row>
    <row r="2284" customFormat="false" ht="15" hidden="false" customHeight="false" outlineLevel="0" collapsed="false">
      <c r="A2284" s="27"/>
      <c r="E2284" s="28"/>
      <c r="F2284" s="28"/>
      <c r="I2284" s="28" t="str">
        <f aca="false">IF(A2284="","",D2284*E2284)</f>
        <v/>
      </c>
      <c r="J2284" s="28" t="str">
        <f aca="false">IF(A2284="","",D2284*F2284)</f>
        <v/>
      </c>
      <c r="K2284" s="0" t="str">
        <f aca="false">IF(A2284="","",YEAR(A2284))</f>
        <v/>
      </c>
      <c r="L2284" s="0" t="str">
        <f aca="false">IF(A2284="","",MONTH(A2284))</f>
        <v/>
      </c>
    </row>
    <row r="2285" customFormat="false" ht="15" hidden="false" customHeight="false" outlineLevel="0" collapsed="false">
      <c r="A2285" s="27"/>
      <c r="E2285" s="28"/>
      <c r="F2285" s="28"/>
      <c r="I2285" s="28" t="str">
        <f aca="false">IF(A2285="","",D2285*E2285)</f>
        <v/>
      </c>
      <c r="J2285" s="28" t="str">
        <f aca="false">IF(A2285="","",D2285*F2285)</f>
        <v/>
      </c>
      <c r="K2285" s="0" t="str">
        <f aca="false">IF(A2285="","",YEAR(A2285))</f>
        <v/>
      </c>
      <c r="L2285" s="0" t="str">
        <f aca="false">IF(A2285="","",MONTH(A2285))</f>
        <v/>
      </c>
    </row>
    <row r="2286" customFormat="false" ht="15" hidden="false" customHeight="false" outlineLevel="0" collapsed="false">
      <c r="A2286" s="27"/>
      <c r="E2286" s="28"/>
      <c r="F2286" s="28"/>
      <c r="I2286" s="28" t="str">
        <f aca="false">IF(A2286="","",D2286*E2286)</f>
        <v/>
      </c>
      <c r="J2286" s="28" t="str">
        <f aca="false">IF(A2286="","",D2286*F2286)</f>
        <v/>
      </c>
      <c r="K2286" s="0" t="str">
        <f aca="false">IF(A2286="","",YEAR(A2286))</f>
        <v/>
      </c>
      <c r="L2286" s="0" t="str">
        <f aca="false">IF(A2286="","",MONTH(A2286))</f>
        <v/>
      </c>
    </row>
    <row r="2287" customFormat="false" ht="15" hidden="false" customHeight="false" outlineLevel="0" collapsed="false">
      <c r="A2287" s="27"/>
      <c r="E2287" s="28"/>
      <c r="F2287" s="28"/>
      <c r="I2287" s="28" t="str">
        <f aca="false">IF(A2287="","",D2287*E2287)</f>
        <v/>
      </c>
      <c r="J2287" s="28" t="str">
        <f aca="false">IF(A2287="","",D2287*F2287)</f>
        <v/>
      </c>
      <c r="K2287" s="0" t="str">
        <f aca="false">IF(A2287="","",YEAR(A2287))</f>
        <v/>
      </c>
      <c r="L2287" s="0" t="str">
        <f aca="false">IF(A2287="","",MONTH(A2287))</f>
        <v/>
      </c>
    </row>
    <row r="2288" customFormat="false" ht="15" hidden="false" customHeight="false" outlineLevel="0" collapsed="false">
      <c r="A2288" s="27"/>
      <c r="E2288" s="28"/>
      <c r="F2288" s="28"/>
      <c r="I2288" s="28" t="str">
        <f aca="false">IF(A2288="","",D2288*E2288)</f>
        <v/>
      </c>
      <c r="J2288" s="28" t="str">
        <f aca="false">IF(A2288="","",D2288*F2288)</f>
        <v/>
      </c>
      <c r="K2288" s="0" t="str">
        <f aca="false">IF(A2288="","",YEAR(A2288))</f>
        <v/>
      </c>
      <c r="L2288" s="0" t="str">
        <f aca="false">IF(A2288="","",MONTH(A2288))</f>
        <v/>
      </c>
    </row>
    <row r="2289" customFormat="false" ht="15" hidden="false" customHeight="false" outlineLevel="0" collapsed="false">
      <c r="A2289" s="27"/>
      <c r="E2289" s="28"/>
      <c r="F2289" s="28"/>
      <c r="I2289" s="28" t="str">
        <f aca="false">IF(A2289="","",D2289*E2289)</f>
        <v/>
      </c>
      <c r="J2289" s="28" t="str">
        <f aca="false">IF(A2289="","",D2289*F2289)</f>
        <v/>
      </c>
      <c r="K2289" s="0" t="str">
        <f aca="false">IF(A2289="","",YEAR(A2289))</f>
        <v/>
      </c>
      <c r="L2289" s="0" t="str">
        <f aca="false">IF(A2289="","",MONTH(A2289))</f>
        <v/>
      </c>
    </row>
    <row r="2290" customFormat="false" ht="15" hidden="false" customHeight="false" outlineLevel="0" collapsed="false">
      <c r="A2290" s="27"/>
      <c r="E2290" s="28"/>
      <c r="F2290" s="28"/>
      <c r="I2290" s="28" t="str">
        <f aca="false">IF(A2290="","",D2290*E2290)</f>
        <v/>
      </c>
      <c r="J2290" s="28" t="str">
        <f aca="false">IF(A2290="","",D2290*F2290)</f>
        <v/>
      </c>
      <c r="K2290" s="0" t="str">
        <f aca="false">IF(A2290="","",YEAR(A2290))</f>
        <v/>
      </c>
      <c r="L2290" s="0" t="str">
        <f aca="false">IF(A2290="","",MONTH(A2290))</f>
        <v/>
      </c>
    </row>
    <row r="2291" customFormat="false" ht="15" hidden="false" customHeight="false" outlineLevel="0" collapsed="false">
      <c r="A2291" s="27"/>
      <c r="E2291" s="28"/>
      <c r="F2291" s="28"/>
      <c r="I2291" s="28" t="str">
        <f aca="false">IF(A2291="","",D2291*E2291)</f>
        <v/>
      </c>
      <c r="J2291" s="28" t="str">
        <f aca="false">IF(A2291="","",D2291*F2291)</f>
        <v/>
      </c>
      <c r="K2291" s="0" t="str">
        <f aca="false">IF(A2291="","",YEAR(A2291))</f>
        <v/>
      </c>
      <c r="L2291" s="0" t="str">
        <f aca="false">IF(A2291="","",MONTH(A2291))</f>
        <v/>
      </c>
    </row>
    <row r="2292" customFormat="false" ht="15" hidden="false" customHeight="false" outlineLevel="0" collapsed="false">
      <c r="A2292" s="27"/>
      <c r="E2292" s="28"/>
      <c r="F2292" s="28"/>
      <c r="I2292" s="28" t="str">
        <f aca="false">IF(A2292="","",D2292*E2292)</f>
        <v/>
      </c>
      <c r="J2292" s="28" t="str">
        <f aca="false">IF(A2292="","",D2292*F2292)</f>
        <v/>
      </c>
      <c r="K2292" s="0" t="str">
        <f aca="false">IF(A2292="","",YEAR(A2292))</f>
        <v/>
      </c>
      <c r="L2292" s="0" t="str">
        <f aca="false">IF(A2292="","",MONTH(A2292))</f>
        <v/>
      </c>
    </row>
    <row r="2293" customFormat="false" ht="15" hidden="false" customHeight="false" outlineLevel="0" collapsed="false">
      <c r="A2293" s="27"/>
      <c r="E2293" s="28"/>
      <c r="F2293" s="28"/>
      <c r="I2293" s="28" t="str">
        <f aca="false">IF(A2293="","",D2293*E2293)</f>
        <v/>
      </c>
      <c r="J2293" s="28" t="str">
        <f aca="false">IF(A2293="","",D2293*F2293)</f>
        <v/>
      </c>
      <c r="K2293" s="0" t="str">
        <f aca="false">IF(A2293="","",YEAR(A2293))</f>
        <v/>
      </c>
      <c r="L2293" s="0" t="str">
        <f aca="false">IF(A2293="","",MONTH(A2293))</f>
        <v/>
      </c>
    </row>
    <row r="2294" customFormat="false" ht="15" hidden="false" customHeight="false" outlineLevel="0" collapsed="false">
      <c r="A2294" s="27"/>
      <c r="E2294" s="28"/>
      <c r="F2294" s="28"/>
      <c r="I2294" s="28" t="str">
        <f aca="false">IF(A2294="","",D2294*E2294)</f>
        <v/>
      </c>
      <c r="J2294" s="28" t="str">
        <f aca="false">IF(A2294="","",D2294*F2294)</f>
        <v/>
      </c>
      <c r="K2294" s="0" t="str">
        <f aca="false">IF(A2294="","",YEAR(A2294))</f>
        <v/>
      </c>
      <c r="L2294" s="0" t="str">
        <f aca="false">IF(A2294="","",MONTH(A2294))</f>
        <v/>
      </c>
    </row>
    <row r="2295" customFormat="false" ht="15" hidden="false" customHeight="false" outlineLevel="0" collapsed="false">
      <c r="A2295" s="27"/>
      <c r="E2295" s="28"/>
      <c r="F2295" s="28"/>
      <c r="I2295" s="28" t="str">
        <f aca="false">IF(A2295="","",D2295*E2295)</f>
        <v/>
      </c>
      <c r="J2295" s="28" t="str">
        <f aca="false">IF(A2295="","",D2295*F2295)</f>
        <v/>
      </c>
      <c r="K2295" s="0" t="str">
        <f aca="false">IF(A2295="","",YEAR(A2295))</f>
        <v/>
      </c>
      <c r="L2295" s="0" t="str">
        <f aca="false">IF(A2295="","",MONTH(A2295))</f>
        <v/>
      </c>
    </row>
    <row r="2296" customFormat="false" ht="15" hidden="false" customHeight="false" outlineLevel="0" collapsed="false">
      <c r="A2296" s="27"/>
      <c r="E2296" s="28"/>
      <c r="F2296" s="28"/>
      <c r="I2296" s="28" t="str">
        <f aca="false">IF(A2296="","",D2296*E2296)</f>
        <v/>
      </c>
      <c r="J2296" s="28" t="str">
        <f aca="false">IF(A2296="","",D2296*F2296)</f>
        <v/>
      </c>
      <c r="K2296" s="0" t="str">
        <f aca="false">IF(A2296="","",YEAR(A2296))</f>
        <v/>
      </c>
      <c r="L2296" s="0" t="str">
        <f aca="false">IF(A2296="","",MONTH(A2296))</f>
        <v/>
      </c>
    </row>
    <row r="2297" customFormat="false" ht="15" hidden="false" customHeight="false" outlineLevel="0" collapsed="false">
      <c r="A2297" s="27"/>
      <c r="E2297" s="28"/>
      <c r="F2297" s="28"/>
      <c r="I2297" s="28" t="str">
        <f aca="false">IF(A2297="","",D2297*E2297)</f>
        <v/>
      </c>
      <c r="J2297" s="28" t="str">
        <f aca="false">IF(A2297="","",D2297*F2297)</f>
        <v/>
      </c>
      <c r="K2297" s="0" t="str">
        <f aca="false">IF(A2297="","",YEAR(A2297))</f>
        <v/>
      </c>
      <c r="L2297" s="0" t="str">
        <f aca="false">IF(A2297="","",MONTH(A2297))</f>
        <v/>
      </c>
    </row>
    <row r="2298" customFormat="false" ht="15" hidden="false" customHeight="false" outlineLevel="0" collapsed="false">
      <c r="A2298" s="27"/>
      <c r="E2298" s="28"/>
      <c r="F2298" s="28"/>
      <c r="I2298" s="28" t="str">
        <f aca="false">IF(A2298="","",D2298*E2298)</f>
        <v/>
      </c>
      <c r="J2298" s="28" t="str">
        <f aca="false">IF(A2298="","",D2298*F2298)</f>
        <v/>
      </c>
      <c r="K2298" s="0" t="str">
        <f aca="false">IF(A2298="","",YEAR(A2298))</f>
        <v/>
      </c>
      <c r="L2298" s="0" t="str">
        <f aca="false">IF(A2298="","",MONTH(A2298))</f>
        <v/>
      </c>
    </row>
    <row r="2299" customFormat="false" ht="15" hidden="false" customHeight="false" outlineLevel="0" collapsed="false">
      <c r="A2299" s="27"/>
      <c r="E2299" s="28"/>
      <c r="F2299" s="28"/>
      <c r="I2299" s="28" t="str">
        <f aca="false">IF(A2299="","",D2299*E2299)</f>
        <v/>
      </c>
      <c r="J2299" s="28" t="str">
        <f aca="false">IF(A2299="","",D2299*F2299)</f>
        <v/>
      </c>
      <c r="K2299" s="0" t="str">
        <f aca="false">IF(A2299="","",YEAR(A2299))</f>
        <v/>
      </c>
      <c r="L2299" s="0" t="str">
        <f aca="false">IF(A2299="","",MONTH(A2299))</f>
        <v/>
      </c>
    </row>
    <row r="2300" customFormat="false" ht="15" hidden="false" customHeight="false" outlineLevel="0" collapsed="false">
      <c r="A2300" s="27"/>
      <c r="E2300" s="28"/>
      <c r="F2300" s="28"/>
      <c r="I2300" s="28" t="str">
        <f aca="false">IF(A2300="","",D2300*E2300)</f>
        <v/>
      </c>
      <c r="J2300" s="28" t="str">
        <f aca="false">IF(A2300="","",D2300*F2300)</f>
        <v/>
      </c>
      <c r="K2300" s="0" t="str">
        <f aca="false">IF(A2300="","",YEAR(A2300))</f>
        <v/>
      </c>
      <c r="L2300" s="0" t="str">
        <f aca="false">IF(A2300="","",MONTH(A2300))</f>
        <v/>
      </c>
    </row>
    <row r="2301" customFormat="false" ht="15" hidden="false" customHeight="false" outlineLevel="0" collapsed="false">
      <c r="A2301" s="27"/>
      <c r="E2301" s="28"/>
      <c r="F2301" s="28"/>
      <c r="I2301" s="28" t="str">
        <f aca="false">IF(A2301="","",D2301*E2301)</f>
        <v/>
      </c>
      <c r="J2301" s="28" t="str">
        <f aca="false">IF(A2301="","",D2301*F2301)</f>
        <v/>
      </c>
      <c r="K2301" s="0" t="str">
        <f aca="false">IF(A2301="","",YEAR(A2301))</f>
        <v/>
      </c>
      <c r="L2301" s="0" t="str">
        <f aca="false">IF(A2301="","",MONTH(A2301))</f>
        <v/>
      </c>
    </row>
    <row r="2302" customFormat="false" ht="15" hidden="false" customHeight="false" outlineLevel="0" collapsed="false">
      <c r="A2302" s="27"/>
      <c r="E2302" s="28"/>
      <c r="F2302" s="28"/>
      <c r="I2302" s="28" t="str">
        <f aca="false">IF(A2302="","",D2302*E2302)</f>
        <v/>
      </c>
      <c r="J2302" s="28" t="str">
        <f aca="false">IF(A2302="","",D2302*F2302)</f>
        <v/>
      </c>
      <c r="K2302" s="0" t="str">
        <f aca="false">IF(A2302="","",YEAR(A2302))</f>
        <v/>
      </c>
      <c r="L2302" s="0" t="str">
        <f aca="false">IF(A2302="","",MONTH(A2302))</f>
        <v/>
      </c>
    </row>
    <row r="2303" customFormat="false" ht="15" hidden="false" customHeight="false" outlineLevel="0" collapsed="false">
      <c r="A2303" s="27"/>
      <c r="E2303" s="28"/>
      <c r="F2303" s="28"/>
      <c r="I2303" s="28" t="str">
        <f aca="false">IF(A2303="","",D2303*E2303)</f>
        <v/>
      </c>
      <c r="J2303" s="28" t="str">
        <f aca="false">IF(A2303="","",D2303*F2303)</f>
        <v/>
      </c>
      <c r="K2303" s="0" t="str">
        <f aca="false">IF(A2303="","",YEAR(A2303))</f>
        <v/>
      </c>
      <c r="L2303" s="0" t="str">
        <f aca="false">IF(A2303="","",MONTH(A2303))</f>
        <v/>
      </c>
    </row>
    <row r="2304" customFormat="false" ht="15" hidden="false" customHeight="false" outlineLevel="0" collapsed="false">
      <c r="A2304" s="27"/>
      <c r="E2304" s="28"/>
      <c r="F2304" s="28"/>
      <c r="I2304" s="28" t="str">
        <f aca="false">IF(A2304="","",D2304*E2304)</f>
        <v/>
      </c>
      <c r="J2304" s="28" t="str">
        <f aca="false">IF(A2304="","",D2304*F2304)</f>
        <v/>
      </c>
      <c r="K2304" s="0" t="str">
        <f aca="false">IF(A2304="","",YEAR(A2304))</f>
        <v/>
      </c>
      <c r="L2304" s="0" t="str">
        <f aca="false">IF(A2304="","",MONTH(A2304))</f>
        <v/>
      </c>
    </row>
    <row r="2305" customFormat="false" ht="15" hidden="false" customHeight="false" outlineLevel="0" collapsed="false">
      <c r="A2305" s="27"/>
      <c r="E2305" s="28"/>
      <c r="F2305" s="28"/>
      <c r="I2305" s="28" t="str">
        <f aca="false">IF(A2305="","",D2305*E2305)</f>
        <v/>
      </c>
      <c r="J2305" s="28" t="str">
        <f aca="false">IF(A2305="","",D2305*F2305)</f>
        <v/>
      </c>
      <c r="K2305" s="0" t="str">
        <f aca="false">IF(A2305="","",YEAR(A2305))</f>
        <v/>
      </c>
      <c r="L2305" s="0" t="str">
        <f aca="false">IF(A2305="","",MONTH(A2305))</f>
        <v/>
      </c>
    </row>
    <row r="2306" customFormat="false" ht="15" hidden="false" customHeight="false" outlineLevel="0" collapsed="false">
      <c r="A2306" s="27"/>
      <c r="E2306" s="28"/>
      <c r="F2306" s="28"/>
      <c r="I2306" s="28" t="str">
        <f aca="false">IF(A2306="","",D2306*E2306)</f>
        <v/>
      </c>
      <c r="J2306" s="28" t="str">
        <f aca="false">IF(A2306="","",D2306*F2306)</f>
        <v/>
      </c>
      <c r="K2306" s="0" t="str">
        <f aca="false">IF(A2306="","",YEAR(A2306))</f>
        <v/>
      </c>
      <c r="L2306" s="0" t="str">
        <f aca="false">IF(A2306="","",MONTH(A2306))</f>
        <v/>
      </c>
    </row>
    <row r="2307" customFormat="false" ht="15" hidden="false" customHeight="false" outlineLevel="0" collapsed="false">
      <c r="A2307" s="27"/>
      <c r="E2307" s="28"/>
      <c r="F2307" s="28"/>
      <c r="I2307" s="28" t="str">
        <f aca="false">IF(A2307="","",D2307*E2307)</f>
        <v/>
      </c>
      <c r="J2307" s="28" t="str">
        <f aca="false">IF(A2307="","",D2307*F2307)</f>
        <v/>
      </c>
      <c r="K2307" s="0" t="str">
        <f aca="false">IF(A2307="","",YEAR(A2307))</f>
        <v/>
      </c>
      <c r="L2307" s="0" t="str">
        <f aca="false">IF(A2307="","",MONTH(A2307))</f>
        <v/>
      </c>
    </row>
    <row r="2308" customFormat="false" ht="15" hidden="false" customHeight="false" outlineLevel="0" collapsed="false">
      <c r="A2308" s="27"/>
      <c r="E2308" s="28"/>
      <c r="F2308" s="28"/>
      <c r="I2308" s="28" t="str">
        <f aca="false">IF(A2308="","",D2308*E2308)</f>
        <v/>
      </c>
      <c r="J2308" s="28" t="str">
        <f aca="false">IF(A2308="","",D2308*F2308)</f>
        <v/>
      </c>
      <c r="K2308" s="0" t="str">
        <f aca="false">IF(A2308="","",YEAR(A2308))</f>
        <v/>
      </c>
      <c r="L2308" s="0" t="str">
        <f aca="false">IF(A2308="","",MONTH(A2308))</f>
        <v/>
      </c>
    </row>
    <row r="2309" customFormat="false" ht="15" hidden="false" customHeight="false" outlineLevel="0" collapsed="false">
      <c r="A2309" s="27"/>
      <c r="E2309" s="28"/>
      <c r="F2309" s="28"/>
      <c r="I2309" s="28" t="str">
        <f aca="false">IF(A2309="","",D2309*E2309)</f>
        <v/>
      </c>
      <c r="J2309" s="28" t="str">
        <f aca="false">IF(A2309="","",D2309*F2309)</f>
        <v/>
      </c>
      <c r="K2309" s="0" t="str">
        <f aca="false">IF(A2309="","",YEAR(A2309))</f>
        <v/>
      </c>
      <c r="L2309" s="0" t="str">
        <f aca="false">IF(A2309="","",MONTH(A2309))</f>
        <v/>
      </c>
    </row>
    <row r="2310" customFormat="false" ht="15" hidden="false" customHeight="false" outlineLevel="0" collapsed="false">
      <c r="A2310" s="27"/>
      <c r="E2310" s="28"/>
      <c r="F2310" s="28"/>
      <c r="I2310" s="28" t="str">
        <f aca="false">IF(A2310="","",D2310*E2310)</f>
        <v/>
      </c>
      <c r="J2310" s="28" t="str">
        <f aca="false">IF(A2310="","",D2310*F2310)</f>
        <v/>
      </c>
      <c r="K2310" s="0" t="str">
        <f aca="false">IF(A2310="","",YEAR(A2310))</f>
        <v/>
      </c>
      <c r="L2310" s="0" t="str">
        <f aca="false">IF(A2310="","",MONTH(A2310))</f>
        <v/>
      </c>
    </row>
    <row r="2311" customFormat="false" ht="15" hidden="false" customHeight="false" outlineLevel="0" collapsed="false">
      <c r="A2311" s="27"/>
      <c r="E2311" s="28"/>
      <c r="F2311" s="28"/>
      <c r="I2311" s="28" t="str">
        <f aca="false">IF(A2311="","",D2311*E2311)</f>
        <v/>
      </c>
      <c r="J2311" s="28" t="str">
        <f aca="false">IF(A2311="","",D2311*F2311)</f>
        <v/>
      </c>
      <c r="K2311" s="0" t="str">
        <f aca="false">IF(A2311="","",YEAR(A2311))</f>
        <v/>
      </c>
      <c r="L2311" s="0" t="str">
        <f aca="false">IF(A2311="","",MONTH(A2311))</f>
        <v/>
      </c>
    </row>
    <row r="2312" customFormat="false" ht="15" hidden="false" customHeight="false" outlineLevel="0" collapsed="false">
      <c r="A2312" s="27"/>
      <c r="E2312" s="28"/>
      <c r="F2312" s="28"/>
      <c r="I2312" s="28" t="str">
        <f aca="false">IF(A2312="","",D2312*E2312)</f>
        <v/>
      </c>
      <c r="J2312" s="28" t="str">
        <f aca="false">IF(A2312="","",D2312*F2312)</f>
        <v/>
      </c>
      <c r="K2312" s="0" t="str">
        <f aca="false">IF(A2312="","",YEAR(A2312))</f>
        <v/>
      </c>
      <c r="L2312" s="0" t="str">
        <f aca="false">IF(A2312="","",MONTH(A2312))</f>
        <v/>
      </c>
    </row>
    <row r="2313" customFormat="false" ht="15" hidden="false" customHeight="false" outlineLevel="0" collapsed="false">
      <c r="A2313" s="27"/>
      <c r="E2313" s="28"/>
      <c r="F2313" s="28"/>
      <c r="I2313" s="28" t="str">
        <f aca="false">IF(A2313="","",D2313*E2313)</f>
        <v/>
      </c>
      <c r="J2313" s="28" t="str">
        <f aca="false">IF(A2313="","",D2313*F2313)</f>
        <v/>
      </c>
      <c r="K2313" s="0" t="str">
        <f aca="false">IF(A2313="","",YEAR(A2313))</f>
        <v/>
      </c>
      <c r="L2313" s="0" t="str">
        <f aca="false">IF(A2313="","",MONTH(A2313))</f>
        <v/>
      </c>
    </row>
    <row r="2314" customFormat="false" ht="15" hidden="false" customHeight="false" outlineLevel="0" collapsed="false">
      <c r="A2314" s="27"/>
      <c r="E2314" s="28"/>
      <c r="F2314" s="28"/>
      <c r="I2314" s="28" t="str">
        <f aca="false">IF(A2314="","",D2314*E2314)</f>
        <v/>
      </c>
      <c r="J2314" s="28" t="str">
        <f aca="false">IF(A2314="","",D2314*F2314)</f>
        <v/>
      </c>
      <c r="K2314" s="0" t="str">
        <f aca="false">IF(A2314="","",YEAR(A2314))</f>
        <v/>
      </c>
      <c r="L2314" s="0" t="str">
        <f aca="false">IF(A2314="","",MONTH(A2314))</f>
        <v/>
      </c>
    </row>
    <row r="2315" customFormat="false" ht="15" hidden="false" customHeight="false" outlineLevel="0" collapsed="false">
      <c r="A2315" s="27"/>
      <c r="E2315" s="28"/>
      <c r="F2315" s="28"/>
      <c r="I2315" s="28" t="str">
        <f aca="false">IF(A2315="","",D2315*E2315)</f>
        <v/>
      </c>
      <c r="J2315" s="28" t="str">
        <f aca="false">IF(A2315="","",D2315*F2315)</f>
        <v/>
      </c>
      <c r="K2315" s="0" t="str">
        <f aca="false">IF(A2315="","",YEAR(A2315))</f>
        <v/>
      </c>
      <c r="L2315" s="0" t="str">
        <f aca="false">IF(A2315="","",MONTH(A2315))</f>
        <v/>
      </c>
    </row>
    <row r="2316" customFormat="false" ht="15" hidden="false" customHeight="false" outlineLevel="0" collapsed="false">
      <c r="A2316" s="27"/>
      <c r="E2316" s="28"/>
      <c r="F2316" s="28"/>
      <c r="I2316" s="28" t="str">
        <f aca="false">IF(A2316="","",D2316*E2316)</f>
        <v/>
      </c>
      <c r="J2316" s="28" t="str">
        <f aca="false">IF(A2316="","",D2316*F2316)</f>
        <v/>
      </c>
      <c r="K2316" s="0" t="str">
        <f aca="false">IF(A2316="","",YEAR(A2316))</f>
        <v/>
      </c>
      <c r="L2316" s="0" t="str">
        <f aca="false">IF(A2316="","",MONTH(A2316))</f>
        <v/>
      </c>
    </row>
    <row r="2317" customFormat="false" ht="15" hidden="false" customHeight="false" outlineLevel="0" collapsed="false">
      <c r="A2317" s="27"/>
      <c r="E2317" s="28"/>
      <c r="F2317" s="28"/>
      <c r="I2317" s="28" t="str">
        <f aca="false">IF(A2317="","",D2317*E2317)</f>
        <v/>
      </c>
      <c r="J2317" s="28" t="str">
        <f aca="false">IF(A2317="","",D2317*F2317)</f>
        <v/>
      </c>
      <c r="K2317" s="0" t="str">
        <f aca="false">IF(A2317="","",YEAR(A2317))</f>
        <v/>
      </c>
      <c r="L2317" s="0" t="str">
        <f aca="false">IF(A2317="","",MONTH(A2317))</f>
        <v/>
      </c>
    </row>
    <row r="2318" customFormat="false" ht="15" hidden="false" customHeight="false" outlineLevel="0" collapsed="false">
      <c r="A2318" s="27"/>
      <c r="E2318" s="28"/>
      <c r="F2318" s="28"/>
      <c r="I2318" s="28" t="str">
        <f aca="false">IF(A2318="","",D2318*E2318)</f>
        <v/>
      </c>
      <c r="J2318" s="28" t="str">
        <f aca="false">IF(A2318="","",D2318*F2318)</f>
        <v/>
      </c>
      <c r="K2318" s="0" t="str">
        <f aca="false">IF(A2318="","",YEAR(A2318))</f>
        <v/>
      </c>
      <c r="L2318" s="0" t="str">
        <f aca="false">IF(A2318="","",MONTH(A2318))</f>
        <v/>
      </c>
    </row>
    <row r="2319" customFormat="false" ht="15" hidden="false" customHeight="false" outlineLevel="0" collapsed="false">
      <c r="A2319" s="27"/>
      <c r="E2319" s="28"/>
      <c r="F2319" s="28"/>
      <c r="I2319" s="28" t="str">
        <f aca="false">IF(A2319="","",D2319*E2319)</f>
        <v/>
      </c>
      <c r="J2319" s="28" t="str">
        <f aca="false">IF(A2319="","",D2319*F2319)</f>
        <v/>
      </c>
      <c r="K2319" s="0" t="str">
        <f aca="false">IF(A2319="","",YEAR(A2319))</f>
        <v/>
      </c>
      <c r="L2319" s="0" t="str">
        <f aca="false">IF(A2319="","",MONTH(A2319))</f>
        <v/>
      </c>
    </row>
    <row r="2320" customFormat="false" ht="15" hidden="false" customHeight="false" outlineLevel="0" collapsed="false">
      <c r="A2320" s="27"/>
      <c r="E2320" s="28"/>
      <c r="F2320" s="28"/>
      <c r="I2320" s="28" t="str">
        <f aca="false">IF(A2320="","",D2320*E2320)</f>
        <v/>
      </c>
      <c r="J2320" s="28" t="str">
        <f aca="false">IF(A2320="","",D2320*F2320)</f>
        <v/>
      </c>
      <c r="K2320" s="0" t="str">
        <f aca="false">IF(A2320="","",YEAR(A2320))</f>
        <v/>
      </c>
      <c r="L2320" s="0" t="str">
        <f aca="false">IF(A2320="","",MONTH(A2320))</f>
        <v/>
      </c>
    </row>
    <row r="2321" customFormat="false" ht="15" hidden="false" customHeight="false" outlineLevel="0" collapsed="false">
      <c r="A2321" s="27"/>
      <c r="E2321" s="28"/>
      <c r="F2321" s="28"/>
      <c r="I2321" s="28" t="str">
        <f aca="false">IF(A2321="","",D2321*E2321)</f>
        <v/>
      </c>
      <c r="J2321" s="28" t="str">
        <f aca="false">IF(A2321="","",D2321*F2321)</f>
        <v/>
      </c>
      <c r="K2321" s="0" t="str">
        <f aca="false">IF(A2321="","",YEAR(A2321))</f>
        <v/>
      </c>
      <c r="L2321" s="0" t="str">
        <f aca="false">IF(A2321="","",MONTH(A2321))</f>
        <v/>
      </c>
    </row>
    <row r="2322" customFormat="false" ht="15" hidden="false" customHeight="false" outlineLevel="0" collapsed="false">
      <c r="A2322" s="27"/>
      <c r="E2322" s="28"/>
      <c r="F2322" s="28"/>
      <c r="I2322" s="28" t="str">
        <f aca="false">IF(A2322="","",D2322*E2322)</f>
        <v/>
      </c>
      <c r="J2322" s="28" t="str">
        <f aca="false">IF(A2322="","",D2322*F2322)</f>
        <v/>
      </c>
      <c r="K2322" s="0" t="str">
        <f aca="false">IF(A2322="","",YEAR(A2322))</f>
        <v/>
      </c>
      <c r="L2322" s="0" t="str">
        <f aca="false">IF(A2322="","",MONTH(A2322))</f>
        <v/>
      </c>
    </row>
    <row r="2323" customFormat="false" ht="15" hidden="false" customHeight="false" outlineLevel="0" collapsed="false">
      <c r="A2323" s="27"/>
      <c r="E2323" s="28"/>
      <c r="F2323" s="28"/>
      <c r="I2323" s="28" t="str">
        <f aca="false">IF(A2323="","",D2323*E2323)</f>
        <v/>
      </c>
      <c r="J2323" s="28" t="str">
        <f aca="false">IF(A2323="","",D2323*F2323)</f>
        <v/>
      </c>
      <c r="K2323" s="0" t="str">
        <f aca="false">IF(A2323="","",YEAR(A2323))</f>
        <v/>
      </c>
      <c r="L2323" s="0" t="str">
        <f aca="false">IF(A2323="","",MONTH(A2323))</f>
        <v/>
      </c>
    </row>
    <row r="2324" customFormat="false" ht="15" hidden="false" customHeight="false" outlineLevel="0" collapsed="false">
      <c r="A2324" s="27"/>
      <c r="E2324" s="28"/>
      <c r="F2324" s="28"/>
      <c r="I2324" s="28" t="str">
        <f aca="false">IF(A2324="","",D2324*E2324)</f>
        <v/>
      </c>
      <c r="J2324" s="28" t="str">
        <f aca="false">IF(A2324="","",D2324*F2324)</f>
        <v/>
      </c>
      <c r="K2324" s="0" t="str">
        <f aca="false">IF(A2324="","",YEAR(A2324))</f>
        <v/>
      </c>
      <c r="L2324" s="0" t="str">
        <f aca="false">IF(A2324="","",MONTH(A2324))</f>
        <v/>
      </c>
    </row>
    <row r="2325" customFormat="false" ht="15" hidden="false" customHeight="false" outlineLevel="0" collapsed="false">
      <c r="A2325" s="27"/>
      <c r="E2325" s="28"/>
      <c r="F2325" s="28"/>
      <c r="I2325" s="28" t="str">
        <f aca="false">IF(A2325="","",D2325*E2325)</f>
        <v/>
      </c>
      <c r="J2325" s="28" t="str">
        <f aca="false">IF(A2325="","",D2325*F2325)</f>
        <v/>
      </c>
      <c r="K2325" s="0" t="str">
        <f aca="false">IF(A2325="","",YEAR(A2325))</f>
        <v/>
      </c>
      <c r="L2325" s="0" t="str">
        <f aca="false">IF(A2325="","",MONTH(A2325))</f>
        <v/>
      </c>
    </row>
    <row r="2326" customFormat="false" ht="15" hidden="false" customHeight="false" outlineLevel="0" collapsed="false">
      <c r="A2326" s="27"/>
      <c r="E2326" s="28"/>
      <c r="F2326" s="28"/>
      <c r="I2326" s="28" t="str">
        <f aca="false">IF(A2326="","",D2326*E2326)</f>
        <v/>
      </c>
      <c r="J2326" s="28" t="str">
        <f aca="false">IF(A2326="","",D2326*F2326)</f>
        <v/>
      </c>
      <c r="K2326" s="0" t="str">
        <f aca="false">IF(A2326="","",YEAR(A2326))</f>
        <v/>
      </c>
      <c r="L2326" s="0" t="str">
        <f aca="false">IF(A2326="","",MONTH(A2326))</f>
        <v/>
      </c>
    </row>
    <row r="2327" customFormat="false" ht="15" hidden="false" customHeight="false" outlineLevel="0" collapsed="false">
      <c r="A2327" s="27"/>
      <c r="E2327" s="28"/>
      <c r="F2327" s="28"/>
      <c r="I2327" s="28" t="str">
        <f aca="false">IF(A2327="","",D2327*E2327)</f>
        <v/>
      </c>
      <c r="J2327" s="28" t="str">
        <f aca="false">IF(A2327="","",D2327*F2327)</f>
        <v/>
      </c>
      <c r="K2327" s="0" t="str">
        <f aca="false">IF(A2327="","",YEAR(A2327))</f>
        <v/>
      </c>
      <c r="L2327" s="0" t="str">
        <f aca="false">IF(A2327="","",MONTH(A2327))</f>
        <v/>
      </c>
    </row>
    <row r="2328" customFormat="false" ht="15" hidden="false" customHeight="false" outlineLevel="0" collapsed="false">
      <c r="A2328" s="27"/>
      <c r="E2328" s="28"/>
      <c r="F2328" s="28"/>
      <c r="I2328" s="28" t="str">
        <f aca="false">IF(A2328="","",D2328*E2328)</f>
        <v/>
      </c>
      <c r="J2328" s="28" t="str">
        <f aca="false">IF(A2328="","",D2328*F2328)</f>
        <v/>
      </c>
      <c r="K2328" s="0" t="str">
        <f aca="false">IF(A2328="","",YEAR(A2328))</f>
        <v/>
      </c>
      <c r="L2328" s="0" t="str">
        <f aca="false">IF(A2328="","",MONTH(A2328))</f>
        <v/>
      </c>
    </row>
    <row r="2329" customFormat="false" ht="15" hidden="false" customHeight="false" outlineLevel="0" collapsed="false">
      <c r="A2329" s="27"/>
      <c r="E2329" s="28"/>
      <c r="F2329" s="28"/>
      <c r="I2329" s="28" t="str">
        <f aca="false">IF(A2329="","",D2329*E2329)</f>
        <v/>
      </c>
      <c r="J2329" s="28" t="str">
        <f aca="false">IF(A2329="","",D2329*F2329)</f>
        <v/>
      </c>
      <c r="K2329" s="0" t="str">
        <f aca="false">IF(A2329="","",YEAR(A2329))</f>
        <v/>
      </c>
      <c r="L2329" s="0" t="str">
        <f aca="false">IF(A2329="","",MONTH(A2329))</f>
        <v/>
      </c>
    </row>
    <row r="2330" customFormat="false" ht="15" hidden="false" customHeight="false" outlineLevel="0" collapsed="false">
      <c r="A2330" s="27"/>
      <c r="E2330" s="28"/>
      <c r="F2330" s="28"/>
      <c r="I2330" s="28" t="str">
        <f aca="false">IF(A2330="","",D2330*E2330)</f>
        <v/>
      </c>
      <c r="J2330" s="28" t="str">
        <f aca="false">IF(A2330="","",D2330*F2330)</f>
        <v/>
      </c>
      <c r="K2330" s="0" t="str">
        <f aca="false">IF(A2330="","",YEAR(A2330))</f>
        <v/>
      </c>
      <c r="L2330" s="0" t="str">
        <f aca="false">IF(A2330="","",MONTH(A2330))</f>
        <v/>
      </c>
    </row>
    <row r="2331" customFormat="false" ht="15" hidden="false" customHeight="false" outlineLevel="0" collapsed="false">
      <c r="A2331" s="27"/>
      <c r="E2331" s="28"/>
      <c r="F2331" s="28"/>
      <c r="I2331" s="28" t="str">
        <f aca="false">IF(A2331="","",D2331*E2331)</f>
        <v/>
      </c>
      <c r="J2331" s="28" t="str">
        <f aca="false">IF(A2331="","",D2331*F2331)</f>
        <v/>
      </c>
      <c r="K2331" s="0" t="str">
        <f aca="false">IF(A2331="","",YEAR(A2331))</f>
        <v/>
      </c>
      <c r="L2331" s="0" t="str">
        <f aca="false">IF(A2331="","",MONTH(A2331))</f>
        <v/>
      </c>
    </row>
    <row r="2332" customFormat="false" ht="15" hidden="false" customHeight="false" outlineLevel="0" collapsed="false">
      <c r="A2332" s="27"/>
      <c r="E2332" s="28"/>
      <c r="F2332" s="28"/>
      <c r="I2332" s="28" t="str">
        <f aca="false">IF(A2332="","",D2332*E2332)</f>
        <v/>
      </c>
      <c r="J2332" s="28" t="str">
        <f aca="false">IF(A2332="","",D2332*F2332)</f>
        <v/>
      </c>
      <c r="K2332" s="0" t="str">
        <f aca="false">IF(A2332="","",YEAR(A2332))</f>
        <v/>
      </c>
      <c r="L2332" s="0" t="str">
        <f aca="false">IF(A2332="","",MONTH(A2332))</f>
        <v/>
      </c>
    </row>
    <row r="2333" customFormat="false" ht="15" hidden="false" customHeight="false" outlineLevel="0" collapsed="false">
      <c r="A2333" s="27"/>
      <c r="E2333" s="28"/>
      <c r="F2333" s="28"/>
      <c r="I2333" s="28" t="str">
        <f aca="false">IF(A2333="","",D2333*E2333)</f>
        <v/>
      </c>
      <c r="J2333" s="28" t="str">
        <f aca="false">IF(A2333="","",D2333*F2333)</f>
        <v/>
      </c>
      <c r="K2333" s="0" t="str">
        <f aca="false">IF(A2333="","",YEAR(A2333))</f>
        <v/>
      </c>
      <c r="L2333" s="0" t="str">
        <f aca="false">IF(A2333="","",MONTH(A2333))</f>
        <v/>
      </c>
    </row>
    <row r="2334" customFormat="false" ht="15" hidden="false" customHeight="false" outlineLevel="0" collapsed="false">
      <c r="A2334" s="27"/>
      <c r="E2334" s="28"/>
      <c r="F2334" s="28"/>
      <c r="I2334" s="28" t="str">
        <f aca="false">IF(A2334="","",D2334*E2334)</f>
        <v/>
      </c>
      <c r="J2334" s="28" t="str">
        <f aca="false">IF(A2334="","",D2334*F2334)</f>
        <v/>
      </c>
      <c r="K2334" s="0" t="str">
        <f aca="false">IF(A2334="","",YEAR(A2334))</f>
        <v/>
      </c>
      <c r="L2334" s="0" t="str">
        <f aca="false">IF(A2334="","",MONTH(A2334))</f>
        <v/>
      </c>
    </row>
    <row r="2335" customFormat="false" ht="15" hidden="false" customHeight="false" outlineLevel="0" collapsed="false">
      <c r="A2335" s="27"/>
      <c r="E2335" s="28"/>
      <c r="F2335" s="28"/>
      <c r="I2335" s="28" t="str">
        <f aca="false">IF(A2335="","",D2335*E2335)</f>
        <v/>
      </c>
      <c r="J2335" s="28" t="str">
        <f aca="false">IF(A2335="","",D2335*F2335)</f>
        <v/>
      </c>
      <c r="K2335" s="0" t="str">
        <f aca="false">IF(A2335="","",YEAR(A2335))</f>
        <v/>
      </c>
      <c r="L2335" s="0" t="str">
        <f aca="false">IF(A2335="","",MONTH(A2335))</f>
        <v/>
      </c>
    </row>
    <row r="2336" customFormat="false" ht="15" hidden="false" customHeight="false" outlineLevel="0" collapsed="false">
      <c r="A2336" s="27"/>
      <c r="E2336" s="28"/>
      <c r="F2336" s="28"/>
      <c r="I2336" s="28" t="str">
        <f aca="false">IF(A2336="","",D2336*E2336)</f>
        <v/>
      </c>
      <c r="J2336" s="28" t="str">
        <f aca="false">IF(A2336="","",D2336*F2336)</f>
        <v/>
      </c>
      <c r="K2336" s="0" t="str">
        <f aca="false">IF(A2336="","",YEAR(A2336))</f>
        <v/>
      </c>
      <c r="L2336" s="0" t="str">
        <f aca="false">IF(A2336="","",MONTH(A2336))</f>
        <v/>
      </c>
    </row>
    <row r="2337" customFormat="false" ht="15" hidden="false" customHeight="false" outlineLevel="0" collapsed="false">
      <c r="A2337" s="27"/>
      <c r="E2337" s="28"/>
      <c r="F2337" s="28"/>
      <c r="I2337" s="28" t="str">
        <f aca="false">IF(A2337="","",D2337*E2337)</f>
        <v/>
      </c>
      <c r="J2337" s="28" t="str">
        <f aca="false">IF(A2337="","",D2337*F2337)</f>
        <v/>
      </c>
      <c r="K2337" s="0" t="str">
        <f aca="false">IF(A2337="","",YEAR(A2337))</f>
        <v/>
      </c>
      <c r="L2337" s="0" t="str">
        <f aca="false">IF(A2337="","",MONTH(A2337))</f>
        <v/>
      </c>
    </row>
    <row r="2338" customFormat="false" ht="15" hidden="false" customHeight="false" outlineLevel="0" collapsed="false">
      <c r="A2338" s="27"/>
      <c r="E2338" s="28"/>
      <c r="F2338" s="28"/>
      <c r="I2338" s="28" t="str">
        <f aca="false">IF(A2338="","",D2338*E2338)</f>
        <v/>
      </c>
      <c r="J2338" s="28" t="str">
        <f aca="false">IF(A2338="","",D2338*F2338)</f>
        <v/>
      </c>
      <c r="K2338" s="0" t="str">
        <f aca="false">IF(A2338="","",YEAR(A2338))</f>
        <v/>
      </c>
      <c r="L2338" s="0" t="str">
        <f aca="false">IF(A2338="","",MONTH(A2338))</f>
        <v/>
      </c>
    </row>
    <row r="2339" customFormat="false" ht="15" hidden="false" customHeight="false" outlineLevel="0" collapsed="false">
      <c r="A2339" s="27"/>
      <c r="E2339" s="28"/>
      <c r="F2339" s="28"/>
      <c r="I2339" s="28" t="str">
        <f aca="false">IF(A2339="","",D2339*E2339)</f>
        <v/>
      </c>
      <c r="J2339" s="28" t="str">
        <f aca="false">IF(A2339="","",D2339*F2339)</f>
        <v/>
      </c>
      <c r="K2339" s="0" t="str">
        <f aca="false">IF(A2339="","",YEAR(A2339))</f>
        <v/>
      </c>
      <c r="L2339" s="0" t="str">
        <f aca="false">IF(A2339="","",MONTH(A2339))</f>
        <v/>
      </c>
    </row>
    <row r="2340" customFormat="false" ht="15" hidden="false" customHeight="false" outlineLevel="0" collapsed="false">
      <c r="A2340" s="27"/>
      <c r="E2340" s="28"/>
      <c r="F2340" s="28"/>
      <c r="I2340" s="28" t="str">
        <f aca="false">IF(A2340="","",D2340*E2340)</f>
        <v/>
      </c>
      <c r="J2340" s="28" t="str">
        <f aca="false">IF(A2340="","",D2340*F2340)</f>
        <v/>
      </c>
      <c r="K2340" s="0" t="str">
        <f aca="false">IF(A2340="","",YEAR(A2340))</f>
        <v/>
      </c>
      <c r="L2340" s="0" t="str">
        <f aca="false">IF(A2340="","",MONTH(A2340))</f>
        <v/>
      </c>
    </row>
    <row r="2341" customFormat="false" ht="15" hidden="false" customHeight="false" outlineLevel="0" collapsed="false">
      <c r="A2341" s="27"/>
      <c r="E2341" s="28"/>
      <c r="F2341" s="28"/>
      <c r="I2341" s="28" t="str">
        <f aca="false">IF(A2341="","",D2341*E2341)</f>
        <v/>
      </c>
      <c r="J2341" s="28" t="str">
        <f aca="false">IF(A2341="","",D2341*F2341)</f>
        <v/>
      </c>
      <c r="K2341" s="0" t="str">
        <f aca="false">IF(A2341="","",YEAR(A2341))</f>
        <v/>
      </c>
      <c r="L2341" s="0" t="str">
        <f aca="false">IF(A2341="","",MONTH(A2341))</f>
        <v/>
      </c>
    </row>
    <row r="2342" customFormat="false" ht="15" hidden="false" customHeight="false" outlineLevel="0" collapsed="false">
      <c r="A2342" s="27"/>
      <c r="E2342" s="28"/>
      <c r="F2342" s="28"/>
      <c r="I2342" s="28" t="str">
        <f aca="false">IF(A2342="","",D2342*E2342)</f>
        <v/>
      </c>
      <c r="J2342" s="28" t="str">
        <f aca="false">IF(A2342="","",D2342*F2342)</f>
        <v/>
      </c>
      <c r="K2342" s="0" t="str">
        <f aca="false">IF(A2342="","",YEAR(A2342))</f>
        <v/>
      </c>
      <c r="L2342" s="0" t="str">
        <f aca="false">IF(A2342="","",MONTH(A2342))</f>
        <v/>
      </c>
    </row>
    <row r="2343" customFormat="false" ht="15" hidden="false" customHeight="false" outlineLevel="0" collapsed="false">
      <c r="A2343" s="27"/>
      <c r="E2343" s="28"/>
      <c r="F2343" s="28"/>
      <c r="I2343" s="28" t="str">
        <f aca="false">IF(A2343="","",D2343*E2343)</f>
        <v/>
      </c>
      <c r="J2343" s="28" t="str">
        <f aca="false">IF(A2343="","",D2343*F2343)</f>
        <v/>
      </c>
      <c r="K2343" s="0" t="str">
        <f aca="false">IF(A2343="","",YEAR(A2343))</f>
        <v/>
      </c>
      <c r="L2343" s="0" t="str">
        <f aca="false">IF(A2343="","",MONTH(A2343))</f>
        <v/>
      </c>
    </row>
    <row r="2344" customFormat="false" ht="15" hidden="false" customHeight="false" outlineLevel="0" collapsed="false">
      <c r="A2344" s="27"/>
      <c r="E2344" s="28"/>
      <c r="F2344" s="28"/>
      <c r="I2344" s="28" t="str">
        <f aca="false">IF(A2344="","",D2344*E2344)</f>
        <v/>
      </c>
      <c r="J2344" s="28" t="str">
        <f aca="false">IF(A2344="","",D2344*F2344)</f>
        <v/>
      </c>
      <c r="K2344" s="0" t="str">
        <f aca="false">IF(A2344="","",YEAR(A2344))</f>
        <v/>
      </c>
      <c r="L2344" s="0" t="str">
        <f aca="false">IF(A2344="","",MONTH(A2344))</f>
        <v/>
      </c>
    </row>
    <row r="2345" customFormat="false" ht="15" hidden="false" customHeight="false" outlineLevel="0" collapsed="false">
      <c r="A2345" s="27"/>
      <c r="E2345" s="28"/>
      <c r="F2345" s="28"/>
      <c r="I2345" s="28" t="str">
        <f aca="false">IF(A2345="","",D2345*E2345)</f>
        <v/>
      </c>
      <c r="J2345" s="28" t="str">
        <f aca="false">IF(A2345="","",D2345*F2345)</f>
        <v/>
      </c>
      <c r="K2345" s="0" t="str">
        <f aca="false">IF(A2345="","",YEAR(A2345))</f>
        <v/>
      </c>
      <c r="L2345" s="0" t="str">
        <f aca="false">IF(A2345="","",MONTH(A2345))</f>
        <v/>
      </c>
    </row>
    <row r="2346" customFormat="false" ht="15" hidden="false" customHeight="false" outlineLevel="0" collapsed="false">
      <c r="A2346" s="27"/>
      <c r="E2346" s="28"/>
      <c r="F2346" s="28"/>
      <c r="I2346" s="28" t="str">
        <f aca="false">IF(A2346="","",D2346*E2346)</f>
        <v/>
      </c>
      <c r="J2346" s="28" t="str">
        <f aca="false">IF(A2346="","",D2346*F2346)</f>
        <v/>
      </c>
      <c r="K2346" s="0" t="str">
        <f aca="false">IF(A2346="","",YEAR(A2346))</f>
        <v/>
      </c>
      <c r="L2346" s="0" t="str">
        <f aca="false">IF(A2346="","",MONTH(A2346))</f>
        <v/>
      </c>
    </row>
    <row r="2347" customFormat="false" ht="15" hidden="false" customHeight="false" outlineLevel="0" collapsed="false">
      <c r="A2347" s="27"/>
      <c r="E2347" s="28"/>
      <c r="F2347" s="28"/>
      <c r="I2347" s="28" t="str">
        <f aca="false">IF(A2347="","",D2347*E2347)</f>
        <v/>
      </c>
      <c r="J2347" s="28" t="str">
        <f aca="false">IF(A2347="","",D2347*F2347)</f>
        <v/>
      </c>
      <c r="K2347" s="0" t="str">
        <f aca="false">IF(A2347="","",YEAR(A2347))</f>
        <v/>
      </c>
      <c r="L2347" s="0" t="str">
        <f aca="false">IF(A2347="","",MONTH(A2347))</f>
        <v/>
      </c>
    </row>
    <row r="2348" customFormat="false" ht="15" hidden="false" customHeight="false" outlineLevel="0" collapsed="false">
      <c r="A2348" s="27"/>
      <c r="E2348" s="28"/>
      <c r="F2348" s="28"/>
      <c r="I2348" s="28" t="str">
        <f aca="false">IF(A2348="","",D2348*E2348)</f>
        <v/>
      </c>
      <c r="J2348" s="28" t="str">
        <f aca="false">IF(A2348="","",D2348*F2348)</f>
        <v/>
      </c>
      <c r="K2348" s="0" t="str">
        <f aca="false">IF(A2348="","",YEAR(A2348))</f>
        <v/>
      </c>
      <c r="L2348" s="0" t="str">
        <f aca="false">IF(A2348="","",MONTH(A2348))</f>
        <v/>
      </c>
    </row>
    <row r="2349" customFormat="false" ht="15" hidden="false" customHeight="false" outlineLevel="0" collapsed="false">
      <c r="A2349" s="27"/>
      <c r="E2349" s="28"/>
      <c r="F2349" s="28"/>
      <c r="I2349" s="28" t="str">
        <f aca="false">IF(A2349="","",D2349*E2349)</f>
        <v/>
      </c>
      <c r="J2349" s="28" t="str">
        <f aca="false">IF(A2349="","",D2349*F2349)</f>
        <v/>
      </c>
      <c r="K2349" s="0" t="str">
        <f aca="false">IF(A2349="","",YEAR(A2349))</f>
        <v/>
      </c>
      <c r="L2349" s="0" t="str">
        <f aca="false">IF(A2349="","",MONTH(A2349))</f>
        <v/>
      </c>
    </row>
    <row r="2350" customFormat="false" ht="15" hidden="false" customHeight="false" outlineLevel="0" collapsed="false">
      <c r="A2350" s="27"/>
      <c r="E2350" s="28"/>
      <c r="F2350" s="28"/>
      <c r="I2350" s="28" t="str">
        <f aca="false">IF(A2350="","",D2350*E2350)</f>
        <v/>
      </c>
      <c r="J2350" s="28" t="str">
        <f aca="false">IF(A2350="","",D2350*F2350)</f>
        <v/>
      </c>
      <c r="K2350" s="0" t="str">
        <f aca="false">IF(A2350="","",YEAR(A2350))</f>
        <v/>
      </c>
      <c r="L2350" s="0" t="str">
        <f aca="false">IF(A2350="","",MONTH(A2350))</f>
        <v/>
      </c>
    </row>
    <row r="2351" customFormat="false" ht="15" hidden="false" customHeight="false" outlineLevel="0" collapsed="false">
      <c r="A2351" s="27"/>
      <c r="E2351" s="28"/>
      <c r="F2351" s="28"/>
      <c r="I2351" s="28" t="str">
        <f aca="false">IF(A2351="","",D2351*E2351)</f>
        <v/>
      </c>
      <c r="J2351" s="28" t="str">
        <f aca="false">IF(A2351="","",D2351*F2351)</f>
        <v/>
      </c>
      <c r="K2351" s="0" t="str">
        <f aca="false">IF(A2351="","",YEAR(A2351))</f>
        <v/>
      </c>
      <c r="L2351" s="0" t="str">
        <f aca="false">IF(A2351="","",MONTH(A2351))</f>
        <v/>
      </c>
    </row>
    <row r="2352" customFormat="false" ht="15" hidden="false" customHeight="false" outlineLevel="0" collapsed="false">
      <c r="A2352" s="27"/>
      <c r="E2352" s="28"/>
      <c r="F2352" s="28"/>
      <c r="I2352" s="28" t="str">
        <f aca="false">IF(A2352="","",D2352*E2352)</f>
        <v/>
      </c>
      <c r="J2352" s="28" t="str">
        <f aca="false">IF(A2352="","",D2352*F2352)</f>
        <v/>
      </c>
      <c r="K2352" s="0" t="str">
        <f aca="false">IF(A2352="","",YEAR(A2352))</f>
        <v/>
      </c>
      <c r="L2352" s="0" t="str">
        <f aca="false">IF(A2352="","",MONTH(A2352))</f>
        <v/>
      </c>
    </row>
    <row r="2353" customFormat="false" ht="15" hidden="false" customHeight="false" outlineLevel="0" collapsed="false">
      <c r="A2353" s="27"/>
      <c r="E2353" s="28"/>
      <c r="F2353" s="28"/>
      <c r="I2353" s="28" t="str">
        <f aca="false">IF(A2353="","",D2353*E2353)</f>
        <v/>
      </c>
      <c r="J2353" s="28" t="str">
        <f aca="false">IF(A2353="","",D2353*F2353)</f>
        <v/>
      </c>
      <c r="K2353" s="0" t="str">
        <f aca="false">IF(A2353="","",YEAR(A2353))</f>
        <v/>
      </c>
      <c r="L2353" s="0" t="str">
        <f aca="false">IF(A2353="","",MONTH(A2353))</f>
        <v/>
      </c>
    </row>
    <row r="2354" customFormat="false" ht="15" hidden="false" customHeight="false" outlineLevel="0" collapsed="false">
      <c r="A2354" s="27"/>
      <c r="E2354" s="28"/>
      <c r="F2354" s="28"/>
      <c r="I2354" s="28" t="str">
        <f aca="false">IF(A2354="","",D2354*E2354)</f>
        <v/>
      </c>
      <c r="J2354" s="28" t="str">
        <f aca="false">IF(A2354="","",D2354*F2354)</f>
        <v/>
      </c>
      <c r="K2354" s="0" t="str">
        <f aca="false">IF(A2354="","",YEAR(A2354))</f>
        <v/>
      </c>
      <c r="L2354" s="0" t="str">
        <f aca="false">IF(A2354="","",MONTH(A2354))</f>
        <v/>
      </c>
    </row>
    <row r="2355" customFormat="false" ht="15" hidden="false" customHeight="false" outlineLevel="0" collapsed="false">
      <c r="A2355" s="27"/>
      <c r="E2355" s="28"/>
      <c r="F2355" s="28"/>
      <c r="I2355" s="28" t="str">
        <f aca="false">IF(A2355="","",D2355*E2355)</f>
        <v/>
      </c>
      <c r="J2355" s="28" t="str">
        <f aca="false">IF(A2355="","",D2355*F2355)</f>
        <v/>
      </c>
      <c r="K2355" s="0" t="str">
        <f aca="false">IF(A2355="","",YEAR(A2355))</f>
        <v/>
      </c>
      <c r="L2355" s="0" t="str">
        <f aca="false">IF(A2355="","",MONTH(A2355))</f>
        <v/>
      </c>
    </row>
    <row r="2356" customFormat="false" ht="15" hidden="false" customHeight="false" outlineLevel="0" collapsed="false">
      <c r="A2356" s="27"/>
      <c r="E2356" s="28"/>
      <c r="F2356" s="28"/>
      <c r="I2356" s="28" t="str">
        <f aca="false">IF(A2356="","",D2356*E2356)</f>
        <v/>
      </c>
      <c r="J2356" s="28" t="str">
        <f aca="false">IF(A2356="","",D2356*F2356)</f>
        <v/>
      </c>
      <c r="K2356" s="0" t="str">
        <f aca="false">IF(A2356="","",YEAR(A2356))</f>
        <v/>
      </c>
      <c r="L2356" s="0" t="str">
        <f aca="false">IF(A2356="","",MONTH(A2356))</f>
        <v/>
      </c>
    </row>
    <row r="2357" customFormat="false" ht="15" hidden="false" customHeight="false" outlineLevel="0" collapsed="false">
      <c r="A2357" s="27"/>
      <c r="E2357" s="28"/>
      <c r="F2357" s="28"/>
      <c r="I2357" s="28" t="str">
        <f aca="false">IF(A2357="","",D2357*E2357)</f>
        <v/>
      </c>
      <c r="J2357" s="28" t="str">
        <f aca="false">IF(A2357="","",D2357*F2357)</f>
        <v/>
      </c>
      <c r="K2357" s="0" t="str">
        <f aca="false">IF(A2357="","",YEAR(A2357))</f>
        <v/>
      </c>
      <c r="L2357" s="0" t="str">
        <f aca="false">IF(A2357="","",MONTH(A2357))</f>
        <v/>
      </c>
    </row>
    <row r="2358" customFormat="false" ht="15" hidden="false" customHeight="false" outlineLevel="0" collapsed="false">
      <c r="A2358" s="27"/>
      <c r="E2358" s="28"/>
      <c r="F2358" s="28"/>
      <c r="I2358" s="28" t="str">
        <f aca="false">IF(A2358="","",D2358*E2358)</f>
        <v/>
      </c>
      <c r="J2358" s="28" t="str">
        <f aca="false">IF(A2358="","",D2358*F2358)</f>
        <v/>
      </c>
      <c r="K2358" s="0" t="str">
        <f aca="false">IF(A2358="","",YEAR(A2358))</f>
        <v/>
      </c>
      <c r="L2358" s="0" t="str">
        <f aca="false">IF(A2358="","",MONTH(A2358))</f>
        <v/>
      </c>
    </row>
    <row r="2359" customFormat="false" ht="15" hidden="false" customHeight="false" outlineLevel="0" collapsed="false">
      <c r="A2359" s="27"/>
      <c r="E2359" s="28"/>
      <c r="F2359" s="28"/>
      <c r="I2359" s="28" t="str">
        <f aca="false">IF(A2359="","",D2359*E2359)</f>
        <v/>
      </c>
      <c r="J2359" s="28" t="str">
        <f aca="false">IF(A2359="","",D2359*F2359)</f>
        <v/>
      </c>
      <c r="K2359" s="0" t="str">
        <f aca="false">IF(A2359="","",YEAR(A2359))</f>
        <v/>
      </c>
      <c r="L2359" s="0" t="str">
        <f aca="false">IF(A2359="","",MONTH(A2359))</f>
        <v/>
      </c>
    </row>
    <row r="2360" customFormat="false" ht="15" hidden="false" customHeight="false" outlineLevel="0" collapsed="false">
      <c r="A2360" s="27"/>
      <c r="E2360" s="28"/>
      <c r="F2360" s="28"/>
      <c r="I2360" s="28" t="str">
        <f aca="false">IF(A2360="","",D2360*E2360)</f>
        <v/>
      </c>
      <c r="J2360" s="28" t="str">
        <f aca="false">IF(A2360="","",D2360*F2360)</f>
        <v/>
      </c>
      <c r="K2360" s="0" t="str">
        <f aca="false">IF(A2360="","",YEAR(A2360))</f>
        <v/>
      </c>
      <c r="L2360" s="0" t="str">
        <f aca="false">IF(A2360="","",MONTH(A2360))</f>
        <v/>
      </c>
    </row>
    <row r="2361" customFormat="false" ht="15" hidden="false" customHeight="false" outlineLevel="0" collapsed="false">
      <c r="A2361" s="27"/>
      <c r="E2361" s="28"/>
      <c r="F2361" s="28"/>
      <c r="I2361" s="28" t="str">
        <f aca="false">IF(A2361="","",D2361*E2361)</f>
        <v/>
      </c>
      <c r="J2361" s="28" t="str">
        <f aca="false">IF(A2361="","",D2361*F2361)</f>
        <v/>
      </c>
      <c r="K2361" s="0" t="str">
        <f aca="false">IF(A2361="","",YEAR(A2361))</f>
        <v/>
      </c>
      <c r="L2361" s="0" t="str">
        <f aca="false">IF(A2361="","",MONTH(A2361))</f>
        <v/>
      </c>
    </row>
    <row r="2362" customFormat="false" ht="15" hidden="false" customHeight="false" outlineLevel="0" collapsed="false">
      <c r="A2362" s="27"/>
      <c r="E2362" s="28"/>
      <c r="F2362" s="28"/>
      <c r="I2362" s="28" t="str">
        <f aca="false">IF(A2362="","",D2362*E2362)</f>
        <v/>
      </c>
      <c r="J2362" s="28" t="str">
        <f aca="false">IF(A2362="","",D2362*F2362)</f>
        <v/>
      </c>
      <c r="K2362" s="0" t="str">
        <f aca="false">IF(A2362="","",YEAR(A2362))</f>
        <v/>
      </c>
      <c r="L2362" s="0" t="str">
        <f aca="false">IF(A2362="","",MONTH(A2362))</f>
        <v/>
      </c>
    </row>
    <row r="2363" customFormat="false" ht="15" hidden="false" customHeight="false" outlineLevel="0" collapsed="false">
      <c r="A2363" s="27"/>
      <c r="E2363" s="28"/>
      <c r="F2363" s="28"/>
      <c r="I2363" s="28" t="str">
        <f aca="false">IF(A2363="","",D2363*E2363)</f>
        <v/>
      </c>
      <c r="J2363" s="28" t="str">
        <f aca="false">IF(A2363="","",D2363*F2363)</f>
        <v/>
      </c>
      <c r="K2363" s="0" t="str">
        <f aca="false">IF(A2363="","",YEAR(A2363))</f>
        <v/>
      </c>
      <c r="L2363" s="0" t="str">
        <f aca="false">IF(A2363="","",MONTH(A2363))</f>
        <v/>
      </c>
    </row>
    <row r="2364" customFormat="false" ht="15" hidden="false" customHeight="false" outlineLevel="0" collapsed="false">
      <c r="A2364" s="27"/>
      <c r="E2364" s="28"/>
      <c r="F2364" s="28"/>
      <c r="I2364" s="28" t="str">
        <f aca="false">IF(A2364="","",D2364*E2364)</f>
        <v/>
      </c>
      <c r="J2364" s="28" t="str">
        <f aca="false">IF(A2364="","",D2364*F2364)</f>
        <v/>
      </c>
      <c r="K2364" s="0" t="str">
        <f aca="false">IF(A2364="","",YEAR(A2364))</f>
        <v/>
      </c>
      <c r="L2364" s="0" t="str">
        <f aca="false">IF(A2364="","",MONTH(A2364))</f>
        <v/>
      </c>
    </row>
    <row r="2365" customFormat="false" ht="15" hidden="false" customHeight="false" outlineLevel="0" collapsed="false">
      <c r="A2365" s="27"/>
      <c r="E2365" s="28"/>
      <c r="F2365" s="28"/>
      <c r="I2365" s="28" t="str">
        <f aca="false">IF(A2365="","",D2365*E2365)</f>
        <v/>
      </c>
      <c r="J2365" s="28" t="str">
        <f aca="false">IF(A2365="","",D2365*F2365)</f>
        <v/>
      </c>
      <c r="K2365" s="0" t="str">
        <f aca="false">IF(A2365="","",YEAR(A2365))</f>
        <v/>
      </c>
      <c r="L2365" s="0" t="str">
        <f aca="false">IF(A2365="","",MONTH(A2365))</f>
        <v/>
      </c>
    </row>
    <row r="2366" customFormat="false" ht="15" hidden="false" customHeight="false" outlineLevel="0" collapsed="false">
      <c r="A2366" s="27"/>
      <c r="E2366" s="28"/>
      <c r="F2366" s="28"/>
      <c r="I2366" s="28" t="str">
        <f aca="false">IF(A2366="","",D2366*E2366)</f>
        <v/>
      </c>
      <c r="J2366" s="28" t="str">
        <f aca="false">IF(A2366="","",D2366*F2366)</f>
        <v/>
      </c>
      <c r="K2366" s="0" t="str">
        <f aca="false">IF(A2366="","",YEAR(A2366))</f>
        <v/>
      </c>
      <c r="L2366" s="0" t="str">
        <f aca="false">IF(A2366="","",MONTH(A2366))</f>
        <v/>
      </c>
    </row>
    <row r="2367" customFormat="false" ht="15" hidden="false" customHeight="false" outlineLevel="0" collapsed="false">
      <c r="A2367" s="27"/>
      <c r="E2367" s="28"/>
      <c r="F2367" s="28"/>
      <c r="I2367" s="28" t="str">
        <f aca="false">IF(A2367="","",D2367*E2367)</f>
        <v/>
      </c>
      <c r="J2367" s="28" t="str">
        <f aca="false">IF(A2367="","",D2367*F2367)</f>
        <v/>
      </c>
      <c r="K2367" s="0" t="str">
        <f aca="false">IF(A2367="","",YEAR(A2367))</f>
        <v/>
      </c>
      <c r="L2367" s="0" t="str">
        <f aca="false">IF(A2367="","",MONTH(A2367))</f>
        <v/>
      </c>
    </row>
    <row r="2368" customFormat="false" ht="15" hidden="false" customHeight="false" outlineLevel="0" collapsed="false">
      <c r="A2368" s="27"/>
      <c r="E2368" s="28"/>
      <c r="F2368" s="28"/>
      <c r="I2368" s="28" t="str">
        <f aca="false">IF(A2368="","",D2368*E2368)</f>
        <v/>
      </c>
      <c r="J2368" s="28" t="str">
        <f aca="false">IF(A2368="","",D2368*F2368)</f>
        <v/>
      </c>
      <c r="K2368" s="0" t="str">
        <f aca="false">IF(A2368="","",YEAR(A2368))</f>
        <v/>
      </c>
      <c r="L2368" s="0" t="str">
        <f aca="false">IF(A2368="","",MONTH(A2368))</f>
        <v/>
      </c>
    </row>
    <row r="2369" customFormat="false" ht="15" hidden="false" customHeight="false" outlineLevel="0" collapsed="false">
      <c r="A2369" s="27"/>
      <c r="E2369" s="28"/>
      <c r="F2369" s="28"/>
      <c r="I2369" s="28" t="str">
        <f aca="false">IF(A2369="","",D2369*E2369)</f>
        <v/>
      </c>
      <c r="J2369" s="28" t="str">
        <f aca="false">IF(A2369="","",D2369*F2369)</f>
        <v/>
      </c>
      <c r="K2369" s="0" t="str">
        <f aca="false">IF(A2369="","",YEAR(A2369))</f>
        <v/>
      </c>
      <c r="L2369" s="0" t="str">
        <f aca="false">IF(A2369="","",MONTH(A2369))</f>
        <v/>
      </c>
    </row>
    <row r="2370" customFormat="false" ht="15" hidden="false" customHeight="false" outlineLevel="0" collapsed="false">
      <c r="A2370" s="27"/>
      <c r="E2370" s="28"/>
      <c r="F2370" s="28"/>
      <c r="I2370" s="28" t="str">
        <f aca="false">IF(A2370="","",D2370*E2370)</f>
        <v/>
      </c>
      <c r="J2370" s="28" t="str">
        <f aca="false">IF(A2370="","",D2370*F2370)</f>
        <v/>
      </c>
      <c r="K2370" s="0" t="str">
        <f aca="false">IF(A2370="","",YEAR(A2370))</f>
        <v/>
      </c>
      <c r="L2370" s="0" t="str">
        <f aca="false">IF(A2370="","",MONTH(A2370))</f>
        <v/>
      </c>
    </row>
    <row r="2371" customFormat="false" ht="15" hidden="false" customHeight="false" outlineLevel="0" collapsed="false">
      <c r="A2371" s="27"/>
      <c r="E2371" s="28"/>
      <c r="F2371" s="28"/>
      <c r="I2371" s="28" t="str">
        <f aca="false">IF(A2371="","",D2371*E2371)</f>
        <v/>
      </c>
      <c r="J2371" s="28" t="str">
        <f aca="false">IF(A2371="","",D2371*F2371)</f>
        <v/>
      </c>
      <c r="K2371" s="0" t="str">
        <f aca="false">IF(A2371="","",YEAR(A2371))</f>
        <v/>
      </c>
      <c r="L2371" s="0" t="str">
        <f aca="false">IF(A2371="","",MONTH(A2371))</f>
        <v/>
      </c>
    </row>
    <row r="2372" customFormat="false" ht="15" hidden="false" customHeight="false" outlineLevel="0" collapsed="false">
      <c r="A2372" s="27"/>
      <c r="E2372" s="28"/>
      <c r="F2372" s="28"/>
      <c r="I2372" s="28" t="str">
        <f aca="false">IF(A2372="","",D2372*E2372)</f>
        <v/>
      </c>
      <c r="J2372" s="28" t="str">
        <f aca="false">IF(A2372="","",D2372*F2372)</f>
        <v/>
      </c>
      <c r="K2372" s="0" t="str">
        <f aca="false">IF(A2372="","",YEAR(A2372))</f>
        <v/>
      </c>
      <c r="L2372" s="0" t="str">
        <f aca="false">IF(A2372="","",MONTH(A2372))</f>
        <v/>
      </c>
    </row>
    <row r="2373" customFormat="false" ht="15" hidden="false" customHeight="false" outlineLevel="0" collapsed="false">
      <c r="A2373" s="27"/>
      <c r="E2373" s="28"/>
      <c r="F2373" s="28"/>
      <c r="I2373" s="28" t="str">
        <f aca="false">IF(A2373="","",D2373*E2373)</f>
        <v/>
      </c>
      <c r="J2373" s="28" t="str">
        <f aca="false">IF(A2373="","",D2373*F2373)</f>
        <v/>
      </c>
      <c r="K2373" s="0" t="str">
        <f aca="false">IF(A2373="","",YEAR(A2373))</f>
        <v/>
      </c>
      <c r="L2373" s="0" t="str">
        <f aca="false">IF(A2373="","",MONTH(A2373))</f>
        <v/>
      </c>
    </row>
    <row r="2374" customFormat="false" ht="15" hidden="false" customHeight="false" outlineLevel="0" collapsed="false">
      <c r="A2374" s="27"/>
      <c r="E2374" s="28"/>
      <c r="F2374" s="28"/>
      <c r="I2374" s="28" t="str">
        <f aca="false">IF(A2374="","",D2374*E2374)</f>
        <v/>
      </c>
      <c r="J2374" s="28" t="str">
        <f aca="false">IF(A2374="","",D2374*F2374)</f>
        <v/>
      </c>
      <c r="K2374" s="0" t="str">
        <f aca="false">IF(A2374="","",YEAR(A2374))</f>
        <v/>
      </c>
      <c r="L2374" s="0" t="str">
        <f aca="false">IF(A2374="","",MONTH(A2374))</f>
        <v/>
      </c>
    </row>
    <row r="2375" customFormat="false" ht="15" hidden="false" customHeight="false" outlineLevel="0" collapsed="false">
      <c r="A2375" s="27"/>
      <c r="E2375" s="28"/>
      <c r="F2375" s="28"/>
      <c r="I2375" s="28" t="str">
        <f aca="false">IF(A2375="","",D2375*E2375)</f>
        <v/>
      </c>
      <c r="J2375" s="28" t="str">
        <f aca="false">IF(A2375="","",D2375*F2375)</f>
        <v/>
      </c>
      <c r="K2375" s="0" t="str">
        <f aca="false">IF(A2375="","",YEAR(A2375))</f>
        <v/>
      </c>
      <c r="L2375" s="0" t="str">
        <f aca="false">IF(A2375="","",MONTH(A2375))</f>
        <v/>
      </c>
    </row>
    <row r="2376" customFormat="false" ht="15" hidden="false" customHeight="false" outlineLevel="0" collapsed="false">
      <c r="A2376" s="27"/>
      <c r="E2376" s="28"/>
      <c r="F2376" s="28"/>
      <c r="I2376" s="28" t="str">
        <f aca="false">IF(A2376="","",D2376*E2376)</f>
        <v/>
      </c>
      <c r="J2376" s="28" t="str">
        <f aca="false">IF(A2376="","",D2376*F2376)</f>
        <v/>
      </c>
      <c r="K2376" s="0" t="str">
        <f aca="false">IF(A2376="","",YEAR(A2376))</f>
        <v/>
      </c>
      <c r="L2376" s="0" t="str">
        <f aca="false">IF(A2376="","",MONTH(A2376))</f>
        <v/>
      </c>
    </row>
    <row r="2377" customFormat="false" ht="15" hidden="false" customHeight="false" outlineLevel="0" collapsed="false">
      <c r="A2377" s="27"/>
      <c r="E2377" s="28"/>
      <c r="F2377" s="28"/>
      <c r="I2377" s="28" t="str">
        <f aca="false">IF(A2377="","",D2377*E2377)</f>
        <v/>
      </c>
      <c r="J2377" s="28" t="str">
        <f aca="false">IF(A2377="","",D2377*F2377)</f>
        <v/>
      </c>
      <c r="K2377" s="0" t="str">
        <f aca="false">IF(A2377="","",YEAR(A2377))</f>
        <v/>
      </c>
      <c r="L2377" s="0" t="str">
        <f aca="false">IF(A2377="","",MONTH(A2377))</f>
        <v/>
      </c>
    </row>
    <row r="2378" customFormat="false" ht="15" hidden="false" customHeight="false" outlineLevel="0" collapsed="false">
      <c r="A2378" s="27"/>
      <c r="E2378" s="28"/>
      <c r="F2378" s="28"/>
      <c r="I2378" s="28" t="str">
        <f aca="false">IF(A2378="","",D2378*E2378)</f>
        <v/>
      </c>
      <c r="J2378" s="28" t="str">
        <f aca="false">IF(A2378="","",D2378*F2378)</f>
        <v/>
      </c>
      <c r="K2378" s="0" t="str">
        <f aca="false">IF(A2378="","",YEAR(A2378))</f>
        <v/>
      </c>
      <c r="L2378" s="0" t="str">
        <f aca="false">IF(A2378="","",MONTH(A2378))</f>
        <v/>
      </c>
    </row>
    <row r="2379" customFormat="false" ht="15" hidden="false" customHeight="false" outlineLevel="0" collapsed="false">
      <c r="A2379" s="27"/>
      <c r="E2379" s="28"/>
      <c r="F2379" s="28"/>
      <c r="I2379" s="28" t="str">
        <f aca="false">IF(A2379="","",D2379*E2379)</f>
        <v/>
      </c>
      <c r="J2379" s="28" t="str">
        <f aca="false">IF(A2379="","",D2379*F2379)</f>
        <v/>
      </c>
      <c r="K2379" s="0" t="str">
        <f aca="false">IF(A2379="","",YEAR(A2379))</f>
        <v/>
      </c>
      <c r="L2379" s="0" t="str">
        <f aca="false">IF(A2379="","",MONTH(A2379))</f>
        <v/>
      </c>
    </row>
    <row r="2380" customFormat="false" ht="15" hidden="false" customHeight="false" outlineLevel="0" collapsed="false">
      <c r="A2380" s="27"/>
      <c r="E2380" s="28"/>
      <c r="F2380" s="28"/>
      <c r="I2380" s="28" t="str">
        <f aca="false">IF(A2380="","",D2380*E2380)</f>
        <v/>
      </c>
      <c r="J2380" s="28" t="str">
        <f aca="false">IF(A2380="","",D2380*F2380)</f>
        <v/>
      </c>
      <c r="K2380" s="0" t="str">
        <f aca="false">IF(A2380="","",YEAR(A2380))</f>
        <v/>
      </c>
      <c r="L2380" s="0" t="str">
        <f aca="false">IF(A2380="","",MONTH(A2380))</f>
        <v/>
      </c>
    </row>
    <row r="2381" customFormat="false" ht="15" hidden="false" customHeight="false" outlineLevel="0" collapsed="false">
      <c r="A2381" s="27"/>
      <c r="E2381" s="28"/>
      <c r="F2381" s="28"/>
      <c r="I2381" s="28" t="str">
        <f aca="false">IF(A2381="","",D2381*E2381)</f>
        <v/>
      </c>
      <c r="J2381" s="28" t="str">
        <f aca="false">IF(A2381="","",D2381*F2381)</f>
        <v/>
      </c>
      <c r="K2381" s="0" t="str">
        <f aca="false">IF(A2381="","",YEAR(A2381))</f>
        <v/>
      </c>
      <c r="L2381" s="0" t="str">
        <f aca="false">IF(A2381="","",MONTH(A2381))</f>
        <v/>
      </c>
    </row>
    <row r="2382" customFormat="false" ht="15" hidden="false" customHeight="false" outlineLevel="0" collapsed="false">
      <c r="A2382" s="27"/>
      <c r="E2382" s="28"/>
      <c r="F2382" s="28"/>
      <c r="I2382" s="28" t="str">
        <f aca="false">IF(A2382="","",D2382*E2382)</f>
        <v/>
      </c>
      <c r="J2382" s="28" t="str">
        <f aca="false">IF(A2382="","",D2382*F2382)</f>
        <v/>
      </c>
      <c r="K2382" s="0" t="str">
        <f aca="false">IF(A2382="","",YEAR(A2382))</f>
        <v/>
      </c>
      <c r="L2382" s="0" t="str">
        <f aca="false">IF(A2382="","",MONTH(A2382))</f>
        <v/>
      </c>
    </row>
    <row r="2383" customFormat="false" ht="15" hidden="false" customHeight="false" outlineLevel="0" collapsed="false">
      <c r="A2383" s="27"/>
      <c r="E2383" s="28"/>
      <c r="F2383" s="28"/>
      <c r="I2383" s="28" t="str">
        <f aca="false">IF(A2383="","",D2383*E2383)</f>
        <v/>
      </c>
      <c r="J2383" s="28" t="str">
        <f aca="false">IF(A2383="","",D2383*F2383)</f>
        <v/>
      </c>
      <c r="K2383" s="0" t="str">
        <f aca="false">IF(A2383="","",YEAR(A2383))</f>
        <v/>
      </c>
      <c r="L2383" s="0" t="str">
        <f aca="false">IF(A2383="","",MONTH(A2383))</f>
        <v/>
      </c>
    </row>
    <row r="2384" customFormat="false" ht="15" hidden="false" customHeight="false" outlineLevel="0" collapsed="false">
      <c r="A2384" s="27"/>
      <c r="E2384" s="28"/>
      <c r="F2384" s="28"/>
      <c r="I2384" s="28" t="str">
        <f aca="false">IF(A2384="","",D2384*E2384)</f>
        <v/>
      </c>
      <c r="J2384" s="28" t="str">
        <f aca="false">IF(A2384="","",D2384*F2384)</f>
        <v/>
      </c>
      <c r="K2384" s="0" t="str">
        <f aca="false">IF(A2384="","",YEAR(A2384))</f>
        <v/>
      </c>
      <c r="L2384" s="0" t="str">
        <f aca="false">IF(A2384="","",MONTH(A2384))</f>
        <v/>
      </c>
    </row>
    <row r="2385" customFormat="false" ht="15" hidden="false" customHeight="false" outlineLevel="0" collapsed="false">
      <c r="A2385" s="27"/>
      <c r="E2385" s="28"/>
      <c r="F2385" s="28"/>
      <c r="I2385" s="28" t="str">
        <f aca="false">IF(A2385="","",D2385*E2385)</f>
        <v/>
      </c>
      <c r="J2385" s="28" t="str">
        <f aca="false">IF(A2385="","",D2385*F2385)</f>
        <v/>
      </c>
      <c r="K2385" s="0" t="str">
        <f aca="false">IF(A2385="","",YEAR(A2385))</f>
        <v/>
      </c>
      <c r="L2385" s="0" t="str">
        <f aca="false">IF(A2385="","",MONTH(A2385))</f>
        <v/>
      </c>
    </row>
    <row r="2386" customFormat="false" ht="15" hidden="false" customHeight="false" outlineLevel="0" collapsed="false">
      <c r="A2386" s="27"/>
      <c r="E2386" s="28"/>
      <c r="F2386" s="28"/>
      <c r="I2386" s="28" t="str">
        <f aca="false">IF(A2386="","",D2386*E2386)</f>
        <v/>
      </c>
      <c r="J2386" s="28" t="str">
        <f aca="false">IF(A2386="","",D2386*F2386)</f>
        <v/>
      </c>
      <c r="K2386" s="0" t="str">
        <f aca="false">IF(A2386="","",YEAR(A2386))</f>
        <v/>
      </c>
      <c r="L2386" s="0" t="str">
        <f aca="false">IF(A2386="","",MONTH(A2386))</f>
        <v/>
      </c>
    </row>
    <row r="2387" customFormat="false" ht="15" hidden="false" customHeight="false" outlineLevel="0" collapsed="false">
      <c r="A2387" s="27"/>
      <c r="E2387" s="28"/>
      <c r="F2387" s="28"/>
      <c r="I2387" s="28" t="str">
        <f aca="false">IF(A2387="","",D2387*E2387)</f>
        <v/>
      </c>
      <c r="J2387" s="28" t="str">
        <f aca="false">IF(A2387="","",D2387*F2387)</f>
        <v/>
      </c>
      <c r="K2387" s="0" t="str">
        <f aca="false">IF(A2387="","",YEAR(A2387))</f>
        <v/>
      </c>
      <c r="L2387" s="0" t="str">
        <f aca="false">IF(A2387="","",MONTH(A2387))</f>
        <v/>
      </c>
    </row>
    <row r="2388" customFormat="false" ht="15" hidden="false" customHeight="false" outlineLevel="0" collapsed="false">
      <c r="A2388" s="27"/>
      <c r="E2388" s="28"/>
      <c r="F2388" s="28"/>
      <c r="I2388" s="28" t="str">
        <f aca="false">IF(A2388="","",D2388*E2388)</f>
        <v/>
      </c>
      <c r="J2388" s="28" t="str">
        <f aca="false">IF(A2388="","",D2388*F2388)</f>
        <v/>
      </c>
      <c r="K2388" s="0" t="str">
        <f aca="false">IF(A2388="","",YEAR(A2388))</f>
        <v/>
      </c>
      <c r="L2388" s="0" t="str">
        <f aca="false">IF(A2388="","",MONTH(A2388))</f>
        <v/>
      </c>
    </row>
    <row r="2389" customFormat="false" ht="15" hidden="false" customHeight="false" outlineLevel="0" collapsed="false">
      <c r="A2389" s="27"/>
      <c r="E2389" s="28"/>
      <c r="F2389" s="28"/>
      <c r="I2389" s="28" t="str">
        <f aca="false">IF(A2389="","",D2389*E2389)</f>
        <v/>
      </c>
      <c r="J2389" s="28" t="str">
        <f aca="false">IF(A2389="","",D2389*F2389)</f>
        <v/>
      </c>
      <c r="K2389" s="0" t="str">
        <f aca="false">IF(A2389="","",YEAR(A2389))</f>
        <v/>
      </c>
      <c r="L2389" s="0" t="str">
        <f aca="false">IF(A2389="","",MONTH(A2389))</f>
        <v/>
      </c>
    </row>
    <row r="2390" customFormat="false" ht="15" hidden="false" customHeight="false" outlineLevel="0" collapsed="false">
      <c r="A2390" s="27"/>
      <c r="E2390" s="28"/>
      <c r="F2390" s="28"/>
      <c r="I2390" s="28" t="str">
        <f aca="false">IF(A2390="","",D2390*E2390)</f>
        <v/>
      </c>
      <c r="J2390" s="28" t="str">
        <f aca="false">IF(A2390="","",D2390*F2390)</f>
        <v/>
      </c>
      <c r="K2390" s="0" t="str">
        <f aca="false">IF(A2390="","",YEAR(A2390))</f>
        <v/>
      </c>
      <c r="L2390" s="0" t="str">
        <f aca="false">IF(A2390="","",MONTH(A2390))</f>
        <v/>
      </c>
    </row>
    <row r="2391" customFormat="false" ht="15" hidden="false" customHeight="false" outlineLevel="0" collapsed="false">
      <c r="A2391" s="27"/>
      <c r="E2391" s="28"/>
      <c r="F2391" s="28"/>
      <c r="I2391" s="28" t="str">
        <f aca="false">IF(A2391="","",D2391*E2391)</f>
        <v/>
      </c>
      <c r="J2391" s="28" t="str">
        <f aca="false">IF(A2391="","",D2391*F2391)</f>
        <v/>
      </c>
      <c r="K2391" s="0" t="str">
        <f aca="false">IF(A2391="","",YEAR(A2391))</f>
        <v/>
      </c>
      <c r="L2391" s="0" t="str">
        <f aca="false">IF(A2391="","",MONTH(A2391))</f>
        <v/>
      </c>
    </row>
    <row r="2392" customFormat="false" ht="15" hidden="false" customHeight="false" outlineLevel="0" collapsed="false">
      <c r="A2392" s="27"/>
      <c r="E2392" s="28"/>
      <c r="F2392" s="28"/>
      <c r="I2392" s="28" t="str">
        <f aca="false">IF(A2392="","",D2392*E2392)</f>
        <v/>
      </c>
      <c r="J2392" s="28" t="str">
        <f aca="false">IF(A2392="","",D2392*F2392)</f>
        <v/>
      </c>
      <c r="K2392" s="0" t="str">
        <f aca="false">IF(A2392="","",YEAR(A2392))</f>
        <v/>
      </c>
      <c r="L2392" s="0" t="str">
        <f aca="false">IF(A2392="","",MONTH(A2392))</f>
        <v/>
      </c>
    </row>
    <row r="2393" customFormat="false" ht="15" hidden="false" customHeight="false" outlineLevel="0" collapsed="false">
      <c r="A2393" s="27"/>
      <c r="E2393" s="28"/>
      <c r="F2393" s="28"/>
      <c r="I2393" s="28" t="str">
        <f aca="false">IF(A2393="","",D2393*E2393)</f>
        <v/>
      </c>
      <c r="J2393" s="28" t="str">
        <f aca="false">IF(A2393="","",D2393*F2393)</f>
        <v/>
      </c>
      <c r="K2393" s="0" t="str">
        <f aca="false">IF(A2393="","",YEAR(A2393))</f>
        <v/>
      </c>
      <c r="L2393" s="0" t="str">
        <f aca="false">IF(A2393="","",MONTH(A2393))</f>
        <v/>
      </c>
    </row>
    <row r="2394" customFormat="false" ht="15" hidden="false" customHeight="false" outlineLevel="0" collapsed="false">
      <c r="A2394" s="27"/>
      <c r="E2394" s="28"/>
      <c r="F2394" s="28"/>
      <c r="I2394" s="28" t="str">
        <f aca="false">IF(A2394="","",D2394*E2394)</f>
        <v/>
      </c>
      <c r="J2394" s="28" t="str">
        <f aca="false">IF(A2394="","",D2394*F2394)</f>
        <v/>
      </c>
      <c r="K2394" s="0" t="str">
        <f aca="false">IF(A2394="","",YEAR(A2394))</f>
        <v/>
      </c>
      <c r="L2394" s="0" t="str">
        <f aca="false">IF(A2394="","",MONTH(A2394))</f>
        <v/>
      </c>
    </row>
    <row r="2395" customFormat="false" ht="15" hidden="false" customHeight="false" outlineLevel="0" collapsed="false">
      <c r="A2395" s="27"/>
      <c r="E2395" s="28"/>
      <c r="F2395" s="28"/>
      <c r="I2395" s="28" t="str">
        <f aca="false">IF(A2395="","",D2395*E2395)</f>
        <v/>
      </c>
      <c r="J2395" s="28" t="str">
        <f aca="false">IF(A2395="","",D2395*F2395)</f>
        <v/>
      </c>
      <c r="K2395" s="0" t="str">
        <f aca="false">IF(A2395="","",YEAR(A2395))</f>
        <v/>
      </c>
      <c r="L2395" s="0" t="str">
        <f aca="false">IF(A2395="","",MONTH(A2395))</f>
        <v/>
      </c>
    </row>
    <row r="2396" customFormat="false" ht="15" hidden="false" customHeight="false" outlineLevel="0" collapsed="false">
      <c r="A2396" s="27"/>
      <c r="E2396" s="28"/>
      <c r="F2396" s="28"/>
      <c r="I2396" s="28" t="str">
        <f aca="false">IF(A2396="","",D2396*E2396)</f>
        <v/>
      </c>
      <c r="J2396" s="28" t="str">
        <f aca="false">IF(A2396="","",D2396*F2396)</f>
        <v/>
      </c>
      <c r="K2396" s="0" t="str">
        <f aca="false">IF(A2396="","",YEAR(A2396))</f>
        <v/>
      </c>
      <c r="L2396" s="0" t="str">
        <f aca="false">IF(A2396="","",MONTH(A2396))</f>
        <v/>
      </c>
    </row>
    <row r="2397" customFormat="false" ht="15" hidden="false" customHeight="false" outlineLevel="0" collapsed="false">
      <c r="A2397" s="27"/>
      <c r="E2397" s="28"/>
      <c r="F2397" s="28"/>
      <c r="I2397" s="28" t="str">
        <f aca="false">IF(A2397="","",D2397*E2397)</f>
        <v/>
      </c>
      <c r="J2397" s="28" t="str">
        <f aca="false">IF(A2397="","",D2397*F2397)</f>
        <v/>
      </c>
      <c r="K2397" s="0" t="str">
        <f aca="false">IF(A2397="","",YEAR(A2397))</f>
        <v/>
      </c>
      <c r="L2397" s="0" t="str">
        <f aca="false">IF(A2397="","",MONTH(A2397))</f>
        <v/>
      </c>
    </row>
    <row r="2398" customFormat="false" ht="15" hidden="false" customHeight="false" outlineLevel="0" collapsed="false">
      <c r="A2398" s="27"/>
      <c r="E2398" s="28"/>
      <c r="F2398" s="28"/>
      <c r="I2398" s="28" t="str">
        <f aca="false">IF(A2398="","",D2398*E2398)</f>
        <v/>
      </c>
      <c r="J2398" s="28" t="str">
        <f aca="false">IF(A2398="","",D2398*F2398)</f>
        <v/>
      </c>
      <c r="K2398" s="0" t="str">
        <f aca="false">IF(A2398="","",YEAR(A2398))</f>
        <v/>
      </c>
      <c r="L2398" s="0" t="str">
        <f aca="false">IF(A2398="","",MONTH(A2398))</f>
        <v/>
      </c>
    </row>
    <row r="2399" customFormat="false" ht="15" hidden="false" customHeight="false" outlineLevel="0" collapsed="false">
      <c r="A2399" s="27"/>
      <c r="E2399" s="28"/>
      <c r="F2399" s="28"/>
      <c r="I2399" s="28" t="str">
        <f aca="false">IF(A2399="","",D2399*E2399)</f>
        <v/>
      </c>
      <c r="J2399" s="28" t="str">
        <f aca="false">IF(A2399="","",D2399*F2399)</f>
        <v/>
      </c>
      <c r="K2399" s="0" t="str">
        <f aca="false">IF(A2399="","",YEAR(A2399))</f>
        <v/>
      </c>
      <c r="L2399" s="0" t="str">
        <f aca="false">IF(A2399="","",MONTH(A2399))</f>
        <v/>
      </c>
    </row>
    <row r="2400" customFormat="false" ht="15" hidden="false" customHeight="false" outlineLevel="0" collapsed="false">
      <c r="A2400" s="27"/>
      <c r="E2400" s="28"/>
      <c r="F2400" s="28"/>
      <c r="I2400" s="28" t="str">
        <f aca="false">IF(A2400="","",D2400*E2400)</f>
        <v/>
      </c>
      <c r="J2400" s="28" t="str">
        <f aca="false">IF(A2400="","",D2400*F2400)</f>
        <v/>
      </c>
      <c r="K2400" s="0" t="str">
        <f aca="false">IF(A2400="","",YEAR(A2400))</f>
        <v/>
      </c>
      <c r="L2400" s="0" t="str">
        <f aca="false">IF(A2400="","",MONTH(A2400))</f>
        <v/>
      </c>
    </row>
    <row r="2401" customFormat="false" ht="15" hidden="false" customHeight="false" outlineLevel="0" collapsed="false">
      <c r="A2401" s="27"/>
      <c r="E2401" s="28"/>
      <c r="F2401" s="28"/>
      <c r="I2401" s="28" t="str">
        <f aca="false">IF(A2401="","",D2401*E2401)</f>
        <v/>
      </c>
      <c r="J2401" s="28" t="str">
        <f aca="false">IF(A2401="","",D2401*F2401)</f>
        <v/>
      </c>
      <c r="K2401" s="0" t="str">
        <f aca="false">IF(A2401="","",YEAR(A2401))</f>
        <v/>
      </c>
      <c r="L2401" s="0" t="str">
        <f aca="false">IF(A2401="","",MONTH(A2401))</f>
        <v/>
      </c>
    </row>
    <row r="2402" customFormat="false" ht="15" hidden="false" customHeight="false" outlineLevel="0" collapsed="false">
      <c r="A2402" s="27"/>
      <c r="E2402" s="28"/>
      <c r="F2402" s="28"/>
      <c r="I2402" s="28" t="str">
        <f aca="false">IF(A2402="","",D2402*E2402)</f>
        <v/>
      </c>
      <c r="J2402" s="28" t="str">
        <f aca="false">IF(A2402="","",D2402*F2402)</f>
        <v/>
      </c>
      <c r="K2402" s="0" t="str">
        <f aca="false">IF(A2402="","",YEAR(A2402))</f>
        <v/>
      </c>
      <c r="L2402" s="0" t="str">
        <f aca="false">IF(A2402="","",MONTH(A2402))</f>
        <v/>
      </c>
    </row>
    <row r="2403" customFormat="false" ht="15" hidden="false" customHeight="false" outlineLevel="0" collapsed="false">
      <c r="A2403" s="27"/>
      <c r="E2403" s="28"/>
      <c r="F2403" s="28"/>
      <c r="I2403" s="28" t="str">
        <f aca="false">IF(A2403="","",D2403*E2403)</f>
        <v/>
      </c>
      <c r="J2403" s="28" t="str">
        <f aca="false">IF(A2403="","",D2403*F2403)</f>
        <v/>
      </c>
      <c r="K2403" s="0" t="str">
        <f aca="false">IF(A2403="","",YEAR(A2403))</f>
        <v/>
      </c>
      <c r="L2403" s="0" t="str">
        <f aca="false">IF(A2403="","",MONTH(A2403))</f>
        <v/>
      </c>
    </row>
    <row r="2404" customFormat="false" ht="15" hidden="false" customHeight="false" outlineLevel="0" collapsed="false">
      <c r="A2404" s="27"/>
      <c r="E2404" s="28"/>
      <c r="F2404" s="28"/>
      <c r="I2404" s="28" t="str">
        <f aca="false">IF(A2404="","",D2404*E2404)</f>
        <v/>
      </c>
      <c r="J2404" s="28" t="str">
        <f aca="false">IF(A2404="","",D2404*F2404)</f>
        <v/>
      </c>
      <c r="K2404" s="0" t="str">
        <f aca="false">IF(A2404="","",YEAR(A2404))</f>
        <v/>
      </c>
      <c r="L2404" s="0" t="str">
        <f aca="false">IF(A2404="","",MONTH(A2404))</f>
        <v/>
      </c>
    </row>
    <row r="2405" customFormat="false" ht="15" hidden="false" customHeight="false" outlineLevel="0" collapsed="false">
      <c r="A2405" s="27"/>
      <c r="E2405" s="28"/>
      <c r="F2405" s="28"/>
      <c r="I2405" s="28" t="str">
        <f aca="false">IF(A2405="","",D2405*E2405)</f>
        <v/>
      </c>
      <c r="J2405" s="28" t="str">
        <f aca="false">IF(A2405="","",D2405*F2405)</f>
        <v/>
      </c>
      <c r="K2405" s="0" t="str">
        <f aca="false">IF(A2405="","",YEAR(A2405))</f>
        <v/>
      </c>
      <c r="L2405" s="0" t="str">
        <f aca="false">IF(A2405="","",MONTH(A2405))</f>
        <v/>
      </c>
    </row>
    <row r="2406" customFormat="false" ht="15" hidden="false" customHeight="false" outlineLevel="0" collapsed="false">
      <c r="A2406" s="27"/>
      <c r="E2406" s="28"/>
      <c r="F2406" s="28"/>
      <c r="I2406" s="28" t="str">
        <f aca="false">IF(A2406="","",D2406*E2406)</f>
        <v/>
      </c>
      <c r="J2406" s="28" t="str">
        <f aca="false">IF(A2406="","",D2406*F2406)</f>
        <v/>
      </c>
      <c r="K2406" s="0" t="str">
        <f aca="false">IF(A2406="","",YEAR(A2406))</f>
        <v/>
      </c>
      <c r="L2406" s="0" t="str">
        <f aca="false">IF(A2406="","",MONTH(A2406))</f>
        <v/>
      </c>
    </row>
    <row r="2407" customFormat="false" ht="15" hidden="false" customHeight="false" outlineLevel="0" collapsed="false">
      <c r="A2407" s="27"/>
      <c r="E2407" s="28"/>
      <c r="F2407" s="28"/>
      <c r="I2407" s="28" t="str">
        <f aca="false">IF(A2407="","",D2407*E2407)</f>
        <v/>
      </c>
      <c r="J2407" s="28" t="str">
        <f aca="false">IF(A2407="","",D2407*F2407)</f>
        <v/>
      </c>
      <c r="K2407" s="0" t="str">
        <f aca="false">IF(A2407="","",YEAR(A2407))</f>
        <v/>
      </c>
      <c r="L2407" s="0" t="str">
        <f aca="false">IF(A2407="","",MONTH(A2407))</f>
        <v/>
      </c>
    </row>
    <row r="2408" customFormat="false" ht="15" hidden="false" customHeight="false" outlineLevel="0" collapsed="false">
      <c r="A2408" s="27"/>
      <c r="E2408" s="28"/>
      <c r="F2408" s="28"/>
      <c r="I2408" s="28" t="str">
        <f aca="false">IF(A2408="","",D2408*E2408)</f>
        <v/>
      </c>
      <c r="J2408" s="28" t="str">
        <f aca="false">IF(A2408="","",D2408*F2408)</f>
        <v/>
      </c>
      <c r="K2408" s="0" t="str">
        <f aca="false">IF(A2408="","",YEAR(A2408))</f>
        <v/>
      </c>
      <c r="L2408" s="0" t="str">
        <f aca="false">IF(A2408="","",MONTH(A2408))</f>
        <v/>
      </c>
    </row>
    <row r="2409" customFormat="false" ht="15" hidden="false" customHeight="false" outlineLevel="0" collapsed="false">
      <c r="A2409" s="27"/>
      <c r="E2409" s="28"/>
      <c r="F2409" s="28"/>
      <c r="I2409" s="28" t="str">
        <f aca="false">IF(A2409="","",D2409*E2409)</f>
        <v/>
      </c>
      <c r="J2409" s="28" t="str">
        <f aca="false">IF(A2409="","",D2409*F2409)</f>
        <v/>
      </c>
      <c r="K2409" s="0" t="str">
        <f aca="false">IF(A2409="","",YEAR(A2409))</f>
        <v/>
      </c>
      <c r="L2409" s="0" t="str">
        <f aca="false">IF(A2409="","",MONTH(A2409))</f>
        <v/>
      </c>
    </row>
    <row r="2410" customFormat="false" ht="15" hidden="false" customHeight="false" outlineLevel="0" collapsed="false">
      <c r="A2410" s="27"/>
      <c r="E2410" s="28"/>
      <c r="F2410" s="28"/>
      <c r="I2410" s="28" t="str">
        <f aca="false">IF(A2410="","",D2410*E2410)</f>
        <v/>
      </c>
      <c r="J2410" s="28" t="str">
        <f aca="false">IF(A2410="","",D2410*F2410)</f>
        <v/>
      </c>
      <c r="K2410" s="0" t="str">
        <f aca="false">IF(A2410="","",YEAR(A2410))</f>
        <v/>
      </c>
      <c r="L2410" s="0" t="str">
        <f aca="false">IF(A2410="","",MONTH(A2410))</f>
        <v/>
      </c>
    </row>
    <row r="2411" customFormat="false" ht="15" hidden="false" customHeight="false" outlineLevel="0" collapsed="false">
      <c r="A2411" s="27"/>
      <c r="E2411" s="28"/>
      <c r="F2411" s="28"/>
      <c r="I2411" s="28" t="str">
        <f aca="false">IF(A2411="","",D2411*E2411)</f>
        <v/>
      </c>
      <c r="J2411" s="28" t="str">
        <f aca="false">IF(A2411="","",D2411*F2411)</f>
        <v/>
      </c>
      <c r="K2411" s="0" t="str">
        <f aca="false">IF(A2411="","",YEAR(A2411))</f>
        <v/>
      </c>
      <c r="L2411" s="0" t="str">
        <f aca="false">IF(A2411="","",MONTH(A2411))</f>
        <v/>
      </c>
    </row>
    <row r="2412" customFormat="false" ht="15" hidden="false" customHeight="false" outlineLevel="0" collapsed="false">
      <c r="A2412" s="27"/>
      <c r="E2412" s="28"/>
      <c r="F2412" s="28"/>
      <c r="I2412" s="28" t="str">
        <f aca="false">IF(A2412="","",D2412*E2412)</f>
        <v/>
      </c>
      <c r="J2412" s="28" t="str">
        <f aca="false">IF(A2412="","",D2412*F2412)</f>
        <v/>
      </c>
      <c r="K2412" s="0" t="str">
        <f aca="false">IF(A2412="","",YEAR(A2412))</f>
        <v/>
      </c>
      <c r="L2412" s="0" t="str">
        <f aca="false">IF(A2412="","",MONTH(A2412))</f>
        <v/>
      </c>
    </row>
    <row r="2413" customFormat="false" ht="15" hidden="false" customHeight="false" outlineLevel="0" collapsed="false">
      <c r="A2413" s="27"/>
      <c r="E2413" s="28"/>
      <c r="F2413" s="28"/>
      <c r="I2413" s="28" t="str">
        <f aca="false">IF(A2413="","",D2413*E2413)</f>
        <v/>
      </c>
      <c r="J2413" s="28" t="str">
        <f aca="false">IF(A2413="","",D2413*F2413)</f>
        <v/>
      </c>
      <c r="K2413" s="0" t="str">
        <f aca="false">IF(A2413="","",YEAR(A2413))</f>
        <v/>
      </c>
      <c r="L2413" s="0" t="str">
        <f aca="false">IF(A2413="","",MONTH(A2413))</f>
        <v/>
      </c>
    </row>
    <row r="2414" customFormat="false" ht="15" hidden="false" customHeight="false" outlineLevel="0" collapsed="false">
      <c r="A2414" s="27"/>
      <c r="E2414" s="28"/>
      <c r="F2414" s="28"/>
      <c r="I2414" s="28" t="str">
        <f aca="false">IF(A2414="","",D2414*E2414)</f>
        <v/>
      </c>
      <c r="J2414" s="28" t="str">
        <f aca="false">IF(A2414="","",D2414*F2414)</f>
        <v/>
      </c>
      <c r="K2414" s="0" t="str">
        <f aca="false">IF(A2414="","",YEAR(A2414))</f>
        <v/>
      </c>
      <c r="L2414" s="0" t="str">
        <f aca="false">IF(A2414="","",MONTH(A2414))</f>
        <v/>
      </c>
    </row>
    <row r="2415" customFormat="false" ht="15" hidden="false" customHeight="false" outlineLevel="0" collapsed="false">
      <c r="A2415" s="27"/>
      <c r="E2415" s="28"/>
      <c r="F2415" s="28"/>
      <c r="I2415" s="28" t="str">
        <f aca="false">IF(A2415="","",D2415*E2415)</f>
        <v/>
      </c>
      <c r="J2415" s="28" t="str">
        <f aca="false">IF(A2415="","",D2415*F2415)</f>
        <v/>
      </c>
      <c r="K2415" s="0" t="str">
        <f aca="false">IF(A2415="","",YEAR(A2415))</f>
        <v/>
      </c>
      <c r="L2415" s="0" t="str">
        <f aca="false">IF(A2415="","",MONTH(A2415))</f>
        <v/>
      </c>
    </row>
    <row r="2416" customFormat="false" ht="15" hidden="false" customHeight="false" outlineLevel="0" collapsed="false">
      <c r="A2416" s="27"/>
      <c r="E2416" s="28"/>
      <c r="F2416" s="28"/>
      <c r="I2416" s="28" t="str">
        <f aca="false">IF(A2416="","",D2416*E2416)</f>
        <v/>
      </c>
      <c r="J2416" s="28" t="str">
        <f aca="false">IF(A2416="","",D2416*F2416)</f>
        <v/>
      </c>
      <c r="K2416" s="0" t="str">
        <f aca="false">IF(A2416="","",YEAR(A2416))</f>
        <v/>
      </c>
      <c r="L2416" s="0" t="str">
        <f aca="false">IF(A2416="","",MONTH(A2416))</f>
        <v/>
      </c>
    </row>
    <row r="2417" customFormat="false" ht="15" hidden="false" customHeight="false" outlineLevel="0" collapsed="false">
      <c r="A2417" s="27"/>
      <c r="E2417" s="28"/>
      <c r="F2417" s="28"/>
      <c r="I2417" s="28" t="str">
        <f aca="false">IF(A2417="","",D2417*E2417)</f>
        <v/>
      </c>
      <c r="J2417" s="28" t="str">
        <f aca="false">IF(A2417="","",D2417*F2417)</f>
        <v/>
      </c>
      <c r="K2417" s="0" t="str">
        <f aca="false">IF(A2417="","",YEAR(A2417))</f>
        <v/>
      </c>
      <c r="L2417" s="0" t="str">
        <f aca="false">IF(A2417="","",MONTH(A2417))</f>
        <v/>
      </c>
    </row>
    <row r="2418" customFormat="false" ht="15" hidden="false" customHeight="false" outlineLevel="0" collapsed="false">
      <c r="A2418" s="27"/>
      <c r="E2418" s="28"/>
      <c r="F2418" s="28"/>
      <c r="I2418" s="28" t="str">
        <f aca="false">IF(A2418="","",D2418*E2418)</f>
        <v/>
      </c>
      <c r="J2418" s="28" t="str">
        <f aca="false">IF(A2418="","",D2418*F2418)</f>
        <v/>
      </c>
      <c r="K2418" s="0" t="str">
        <f aca="false">IF(A2418="","",YEAR(A2418))</f>
        <v/>
      </c>
      <c r="L2418" s="0" t="str">
        <f aca="false">IF(A2418="","",MONTH(A2418))</f>
        <v/>
      </c>
    </row>
    <row r="2419" customFormat="false" ht="15" hidden="false" customHeight="false" outlineLevel="0" collapsed="false">
      <c r="A2419" s="27"/>
      <c r="E2419" s="28"/>
      <c r="F2419" s="28"/>
      <c r="I2419" s="28" t="str">
        <f aca="false">IF(A2419="","",D2419*E2419)</f>
        <v/>
      </c>
      <c r="J2419" s="28" t="str">
        <f aca="false">IF(A2419="","",D2419*F2419)</f>
        <v/>
      </c>
      <c r="K2419" s="0" t="str">
        <f aca="false">IF(A2419="","",YEAR(A2419))</f>
        <v/>
      </c>
      <c r="L2419" s="0" t="str">
        <f aca="false">IF(A2419="","",MONTH(A2419))</f>
        <v/>
      </c>
    </row>
    <row r="2420" customFormat="false" ht="15" hidden="false" customHeight="false" outlineLevel="0" collapsed="false">
      <c r="A2420" s="27"/>
      <c r="E2420" s="28"/>
      <c r="F2420" s="28"/>
      <c r="I2420" s="28" t="str">
        <f aca="false">IF(A2420="","",D2420*E2420)</f>
        <v/>
      </c>
      <c r="J2420" s="28" t="str">
        <f aca="false">IF(A2420="","",D2420*F2420)</f>
        <v/>
      </c>
      <c r="K2420" s="0" t="str">
        <f aca="false">IF(A2420="","",YEAR(A2420))</f>
        <v/>
      </c>
      <c r="L2420" s="0" t="str">
        <f aca="false">IF(A2420="","",MONTH(A2420))</f>
        <v/>
      </c>
    </row>
    <row r="2421" customFormat="false" ht="15" hidden="false" customHeight="false" outlineLevel="0" collapsed="false">
      <c r="A2421" s="27"/>
      <c r="E2421" s="28"/>
      <c r="F2421" s="28"/>
      <c r="I2421" s="28" t="str">
        <f aca="false">IF(A2421="","",D2421*E2421)</f>
        <v/>
      </c>
      <c r="J2421" s="28" t="str">
        <f aca="false">IF(A2421="","",D2421*F2421)</f>
        <v/>
      </c>
      <c r="K2421" s="0" t="str">
        <f aca="false">IF(A2421="","",YEAR(A2421))</f>
        <v/>
      </c>
      <c r="L2421" s="0" t="str">
        <f aca="false">IF(A2421="","",MONTH(A2421))</f>
        <v/>
      </c>
    </row>
    <row r="2422" customFormat="false" ht="15" hidden="false" customHeight="false" outlineLevel="0" collapsed="false">
      <c r="A2422" s="27"/>
      <c r="E2422" s="28"/>
      <c r="F2422" s="28"/>
      <c r="I2422" s="28" t="str">
        <f aca="false">IF(A2422="","",D2422*E2422)</f>
        <v/>
      </c>
      <c r="J2422" s="28" t="str">
        <f aca="false">IF(A2422="","",D2422*F2422)</f>
        <v/>
      </c>
      <c r="K2422" s="0" t="str">
        <f aca="false">IF(A2422="","",YEAR(A2422))</f>
        <v/>
      </c>
      <c r="L2422" s="0" t="str">
        <f aca="false">IF(A2422="","",MONTH(A2422))</f>
        <v/>
      </c>
    </row>
    <row r="2423" customFormat="false" ht="15" hidden="false" customHeight="false" outlineLevel="0" collapsed="false">
      <c r="A2423" s="27"/>
      <c r="E2423" s="28"/>
      <c r="F2423" s="28"/>
      <c r="I2423" s="28" t="str">
        <f aca="false">IF(A2423="","",D2423*E2423)</f>
        <v/>
      </c>
      <c r="J2423" s="28" t="str">
        <f aca="false">IF(A2423="","",D2423*F2423)</f>
        <v/>
      </c>
      <c r="K2423" s="0" t="str">
        <f aca="false">IF(A2423="","",YEAR(A2423))</f>
        <v/>
      </c>
      <c r="L2423" s="0" t="str">
        <f aca="false">IF(A2423="","",MONTH(A2423))</f>
        <v/>
      </c>
    </row>
    <row r="2424" customFormat="false" ht="15" hidden="false" customHeight="false" outlineLevel="0" collapsed="false">
      <c r="A2424" s="27"/>
      <c r="E2424" s="28"/>
      <c r="F2424" s="28"/>
      <c r="I2424" s="28" t="str">
        <f aca="false">IF(A2424="","",D2424*E2424)</f>
        <v/>
      </c>
      <c r="J2424" s="28" t="str">
        <f aca="false">IF(A2424="","",D2424*F2424)</f>
        <v/>
      </c>
      <c r="K2424" s="0" t="str">
        <f aca="false">IF(A2424="","",YEAR(A2424))</f>
        <v/>
      </c>
      <c r="L2424" s="0" t="str">
        <f aca="false">IF(A2424="","",MONTH(A2424))</f>
        <v/>
      </c>
    </row>
    <row r="2425" customFormat="false" ht="15" hidden="false" customHeight="false" outlineLevel="0" collapsed="false">
      <c r="A2425" s="27"/>
      <c r="E2425" s="28"/>
      <c r="F2425" s="28"/>
      <c r="I2425" s="28" t="str">
        <f aca="false">IF(A2425="","",D2425*E2425)</f>
        <v/>
      </c>
      <c r="J2425" s="28" t="str">
        <f aca="false">IF(A2425="","",D2425*F2425)</f>
        <v/>
      </c>
      <c r="K2425" s="0" t="str">
        <f aca="false">IF(A2425="","",YEAR(A2425))</f>
        <v/>
      </c>
      <c r="L2425" s="0" t="str">
        <f aca="false">IF(A2425="","",MONTH(A2425))</f>
        <v/>
      </c>
    </row>
    <row r="2426" customFormat="false" ht="15" hidden="false" customHeight="false" outlineLevel="0" collapsed="false">
      <c r="A2426" s="27"/>
      <c r="E2426" s="28"/>
      <c r="F2426" s="28"/>
      <c r="I2426" s="28" t="str">
        <f aca="false">IF(A2426="","",D2426*E2426)</f>
        <v/>
      </c>
      <c r="J2426" s="28" t="str">
        <f aca="false">IF(A2426="","",D2426*F2426)</f>
        <v/>
      </c>
      <c r="K2426" s="0" t="str">
        <f aca="false">IF(A2426="","",YEAR(A2426))</f>
        <v/>
      </c>
      <c r="L2426" s="0" t="str">
        <f aca="false">IF(A2426="","",MONTH(A2426))</f>
        <v/>
      </c>
    </row>
    <row r="2427" customFormat="false" ht="15" hidden="false" customHeight="false" outlineLevel="0" collapsed="false">
      <c r="A2427" s="27"/>
      <c r="E2427" s="28"/>
      <c r="F2427" s="28"/>
      <c r="I2427" s="28" t="str">
        <f aca="false">IF(A2427="","",D2427*E2427)</f>
        <v/>
      </c>
      <c r="J2427" s="28" t="str">
        <f aca="false">IF(A2427="","",D2427*F2427)</f>
        <v/>
      </c>
      <c r="K2427" s="0" t="str">
        <f aca="false">IF(A2427="","",YEAR(A2427))</f>
        <v/>
      </c>
      <c r="L2427" s="0" t="str">
        <f aca="false">IF(A2427="","",MONTH(A2427))</f>
        <v/>
      </c>
    </row>
    <row r="2428" customFormat="false" ht="15" hidden="false" customHeight="false" outlineLevel="0" collapsed="false">
      <c r="A2428" s="27"/>
      <c r="E2428" s="28"/>
      <c r="F2428" s="28"/>
      <c r="I2428" s="28" t="str">
        <f aca="false">IF(A2428="","",D2428*E2428)</f>
        <v/>
      </c>
      <c r="J2428" s="28" t="str">
        <f aca="false">IF(A2428="","",D2428*F2428)</f>
        <v/>
      </c>
      <c r="K2428" s="0" t="str">
        <f aca="false">IF(A2428="","",YEAR(A2428))</f>
        <v/>
      </c>
      <c r="L2428" s="0" t="str">
        <f aca="false">IF(A2428="","",MONTH(A2428))</f>
        <v/>
      </c>
    </row>
    <row r="2429" customFormat="false" ht="15" hidden="false" customHeight="false" outlineLevel="0" collapsed="false">
      <c r="A2429" s="27"/>
      <c r="E2429" s="28"/>
      <c r="F2429" s="28"/>
      <c r="I2429" s="28" t="str">
        <f aca="false">IF(A2429="","",D2429*E2429)</f>
        <v/>
      </c>
      <c r="J2429" s="28" t="str">
        <f aca="false">IF(A2429="","",D2429*F2429)</f>
        <v/>
      </c>
      <c r="K2429" s="0" t="str">
        <f aca="false">IF(A2429="","",YEAR(A2429))</f>
        <v/>
      </c>
      <c r="L2429" s="0" t="str">
        <f aca="false">IF(A2429="","",MONTH(A2429))</f>
        <v/>
      </c>
    </row>
    <row r="2430" customFormat="false" ht="15" hidden="false" customHeight="false" outlineLevel="0" collapsed="false">
      <c r="A2430" s="27"/>
      <c r="E2430" s="28"/>
      <c r="F2430" s="28"/>
      <c r="I2430" s="28" t="str">
        <f aca="false">IF(A2430="","",D2430*E2430)</f>
        <v/>
      </c>
      <c r="J2430" s="28" t="str">
        <f aca="false">IF(A2430="","",D2430*F2430)</f>
        <v/>
      </c>
      <c r="K2430" s="0" t="str">
        <f aca="false">IF(A2430="","",YEAR(A2430))</f>
        <v/>
      </c>
      <c r="L2430" s="0" t="str">
        <f aca="false">IF(A2430="","",MONTH(A2430))</f>
        <v/>
      </c>
    </row>
    <row r="2431" customFormat="false" ht="15" hidden="false" customHeight="false" outlineLevel="0" collapsed="false">
      <c r="A2431" s="27"/>
      <c r="E2431" s="28"/>
      <c r="F2431" s="28"/>
      <c r="I2431" s="28" t="str">
        <f aca="false">IF(A2431="","",D2431*E2431)</f>
        <v/>
      </c>
      <c r="J2431" s="28" t="str">
        <f aca="false">IF(A2431="","",D2431*F2431)</f>
        <v/>
      </c>
      <c r="K2431" s="0" t="str">
        <f aca="false">IF(A2431="","",YEAR(A2431))</f>
        <v/>
      </c>
      <c r="L2431" s="0" t="str">
        <f aca="false">IF(A2431="","",MONTH(A2431))</f>
        <v/>
      </c>
    </row>
    <row r="2432" customFormat="false" ht="15" hidden="false" customHeight="false" outlineLevel="0" collapsed="false">
      <c r="A2432" s="27"/>
      <c r="E2432" s="28"/>
      <c r="F2432" s="28"/>
      <c r="I2432" s="28" t="str">
        <f aca="false">IF(A2432="","",D2432*E2432)</f>
        <v/>
      </c>
      <c r="J2432" s="28" t="str">
        <f aca="false">IF(A2432="","",D2432*F2432)</f>
        <v/>
      </c>
      <c r="K2432" s="0" t="str">
        <f aca="false">IF(A2432="","",YEAR(A2432))</f>
        <v/>
      </c>
      <c r="L2432" s="0" t="str">
        <f aca="false">IF(A2432="","",MONTH(A2432))</f>
        <v/>
      </c>
    </row>
    <row r="2433" customFormat="false" ht="15" hidden="false" customHeight="false" outlineLevel="0" collapsed="false">
      <c r="A2433" s="27"/>
      <c r="E2433" s="28"/>
      <c r="F2433" s="28"/>
      <c r="I2433" s="28" t="str">
        <f aca="false">IF(A2433="","",D2433*E2433)</f>
        <v/>
      </c>
      <c r="J2433" s="28" t="str">
        <f aca="false">IF(A2433="","",D2433*F2433)</f>
        <v/>
      </c>
      <c r="K2433" s="0" t="str">
        <f aca="false">IF(A2433="","",YEAR(A2433))</f>
        <v/>
      </c>
      <c r="L2433" s="0" t="str">
        <f aca="false">IF(A2433="","",MONTH(A2433))</f>
        <v/>
      </c>
    </row>
    <row r="2434" customFormat="false" ht="15" hidden="false" customHeight="false" outlineLevel="0" collapsed="false">
      <c r="A2434" s="27"/>
      <c r="E2434" s="28"/>
      <c r="F2434" s="28"/>
      <c r="I2434" s="28" t="str">
        <f aca="false">IF(A2434="","",D2434*E2434)</f>
        <v/>
      </c>
      <c r="J2434" s="28" t="str">
        <f aca="false">IF(A2434="","",D2434*F2434)</f>
        <v/>
      </c>
      <c r="K2434" s="0" t="str">
        <f aca="false">IF(A2434="","",YEAR(A2434))</f>
        <v/>
      </c>
      <c r="L2434" s="0" t="str">
        <f aca="false">IF(A2434="","",MONTH(A2434))</f>
        <v/>
      </c>
    </row>
    <row r="2435" customFormat="false" ht="15" hidden="false" customHeight="false" outlineLevel="0" collapsed="false">
      <c r="A2435" s="27"/>
      <c r="E2435" s="28"/>
      <c r="F2435" s="28"/>
      <c r="I2435" s="28" t="str">
        <f aca="false">IF(A2435="","",D2435*E2435)</f>
        <v/>
      </c>
      <c r="J2435" s="28" t="str">
        <f aca="false">IF(A2435="","",D2435*F2435)</f>
        <v/>
      </c>
      <c r="K2435" s="0" t="str">
        <f aca="false">IF(A2435="","",YEAR(A2435))</f>
        <v/>
      </c>
      <c r="L2435" s="0" t="str">
        <f aca="false">IF(A2435="","",MONTH(A2435))</f>
        <v/>
      </c>
    </row>
    <row r="2436" customFormat="false" ht="15" hidden="false" customHeight="false" outlineLevel="0" collapsed="false">
      <c r="A2436" s="27"/>
      <c r="E2436" s="28"/>
      <c r="F2436" s="28"/>
      <c r="I2436" s="28" t="str">
        <f aca="false">IF(A2436="","",D2436*E2436)</f>
        <v/>
      </c>
      <c r="J2436" s="28" t="str">
        <f aca="false">IF(A2436="","",D2436*F2436)</f>
        <v/>
      </c>
      <c r="K2436" s="0" t="str">
        <f aca="false">IF(A2436="","",YEAR(A2436))</f>
        <v/>
      </c>
      <c r="L2436" s="0" t="str">
        <f aca="false">IF(A2436="","",MONTH(A2436))</f>
        <v/>
      </c>
    </row>
    <row r="2437" customFormat="false" ht="15" hidden="false" customHeight="false" outlineLevel="0" collapsed="false">
      <c r="A2437" s="27"/>
      <c r="E2437" s="28"/>
      <c r="F2437" s="28"/>
      <c r="I2437" s="28" t="str">
        <f aca="false">IF(A2437="","",D2437*E2437)</f>
        <v/>
      </c>
      <c r="J2437" s="28" t="str">
        <f aca="false">IF(A2437="","",D2437*F2437)</f>
        <v/>
      </c>
      <c r="K2437" s="0" t="str">
        <f aca="false">IF(A2437="","",YEAR(A2437))</f>
        <v/>
      </c>
      <c r="L2437" s="0" t="str">
        <f aca="false">IF(A2437="","",MONTH(A2437))</f>
        <v/>
      </c>
    </row>
    <row r="2438" customFormat="false" ht="15" hidden="false" customHeight="false" outlineLevel="0" collapsed="false">
      <c r="A2438" s="27"/>
      <c r="E2438" s="28"/>
      <c r="F2438" s="28"/>
      <c r="I2438" s="28" t="str">
        <f aca="false">IF(A2438="","",D2438*E2438)</f>
        <v/>
      </c>
      <c r="J2438" s="28" t="str">
        <f aca="false">IF(A2438="","",D2438*F2438)</f>
        <v/>
      </c>
      <c r="K2438" s="0" t="str">
        <f aca="false">IF(A2438="","",YEAR(A2438))</f>
        <v/>
      </c>
      <c r="L2438" s="0" t="str">
        <f aca="false">IF(A2438="","",MONTH(A2438))</f>
        <v/>
      </c>
    </row>
    <row r="2439" customFormat="false" ht="15" hidden="false" customHeight="false" outlineLevel="0" collapsed="false">
      <c r="A2439" s="27"/>
      <c r="E2439" s="28"/>
      <c r="F2439" s="28"/>
      <c r="I2439" s="28" t="str">
        <f aca="false">IF(A2439="","",D2439*E2439)</f>
        <v/>
      </c>
      <c r="J2439" s="28" t="str">
        <f aca="false">IF(A2439="","",D2439*F2439)</f>
        <v/>
      </c>
      <c r="K2439" s="0" t="str">
        <f aca="false">IF(A2439="","",YEAR(A2439))</f>
        <v/>
      </c>
      <c r="L2439" s="0" t="str">
        <f aca="false">IF(A2439="","",MONTH(A2439))</f>
        <v/>
      </c>
    </row>
    <row r="2440" customFormat="false" ht="15" hidden="false" customHeight="false" outlineLevel="0" collapsed="false">
      <c r="A2440" s="27"/>
      <c r="E2440" s="28"/>
      <c r="F2440" s="28"/>
      <c r="I2440" s="28" t="str">
        <f aca="false">IF(A2440="","",D2440*E2440)</f>
        <v/>
      </c>
      <c r="J2440" s="28" t="str">
        <f aca="false">IF(A2440="","",D2440*F2440)</f>
        <v/>
      </c>
      <c r="K2440" s="0" t="str">
        <f aca="false">IF(A2440="","",YEAR(A2440))</f>
        <v/>
      </c>
      <c r="L2440" s="0" t="str">
        <f aca="false">IF(A2440="","",MONTH(A2440))</f>
        <v/>
      </c>
    </row>
    <row r="2441" customFormat="false" ht="15" hidden="false" customHeight="false" outlineLevel="0" collapsed="false">
      <c r="A2441" s="27"/>
      <c r="E2441" s="28"/>
      <c r="F2441" s="28"/>
      <c r="I2441" s="28" t="str">
        <f aca="false">IF(A2441="","",D2441*E2441)</f>
        <v/>
      </c>
      <c r="J2441" s="28" t="str">
        <f aca="false">IF(A2441="","",D2441*F2441)</f>
        <v/>
      </c>
      <c r="K2441" s="0" t="str">
        <f aca="false">IF(A2441="","",YEAR(A2441))</f>
        <v/>
      </c>
      <c r="L2441" s="0" t="str">
        <f aca="false">IF(A2441="","",MONTH(A2441))</f>
        <v/>
      </c>
    </row>
    <row r="2442" customFormat="false" ht="15" hidden="false" customHeight="false" outlineLevel="0" collapsed="false">
      <c r="A2442" s="27"/>
      <c r="E2442" s="28"/>
      <c r="F2442" s="28"/>
      <c r="I2442" s="28" t="str">
        <f aca="false">IF(A2442="","",D2442*E2442)</f>
        <v/>
      </c>
      <c r="J2442" s="28" t="str">
        <f aca="false">IF(A2442="","",D2442*F2442)</f>
        <v/>
      </c>
      <c r="K2442" s="0" t="str">
        <f aca="false">IF(A2442="","",YEAR(A2442))</f>
        <v/>
      </c>
      <c r="L2442" s="0" t="str">
        <f aca="false">IF(A2442="","",MONTH(A2442))</f>
        <v/>
      </c>
    </row>
    <row r="2443" customFormat="false" ht="15" hidden="false" customHeight="false" outlineLevel="0" collapsed="false">
      <c r="A2443" s="27"/>
      <c r="E2443" s="28"/>
      <c r="F2443" s="28"/>
      <c r="I2443" s="28" t="str">
        <f aca="false">IF(A2443="","",D2443*E2443)</f>
        <v/>
      </c>
      <c r="J2443" s="28" t="str">
        <f aca="false">IF(A2443="","",D2443*F2443)</f>
        <v/>
      </c>
      <c r="K2443" s="0" t="str">
        <f aca="false">IF(A2443="","",YEAR(A2443))</f>
        <v/>
      </c>
      <c r="L2443" s="0" t="str">
        <f aca="false">IF(A2443="","",MONTH(A2443))</f>
        <v/>
      </c>
    </row>
    <row r="2444" customFormat="false" ht="15" hidden="false" customHeight="false" outlineLevel="0" collapsed="false">
      <c r="A2444" s="27"/>
      <c r="E2444" s="28"/>
      <c r="F2444" s="28"/>
      <c r="I2444" s="28" t="str">
        <f aca="false">IF(A2444="","",D2444*E2444)</f>
        <v/>
      </c>
      <c r="J2444" s="28" t="str">
        <f aca="false">IF(A2444="","",D2444*F2444)</f>
        <v/>
      </c>
      <c r="K2444" s="0" t="str">
        <f aca="false">IF(A2444="","",YEAR(A2444))</f>
        <v/>
      </c>
      <c r="L2444" s="0" t="str">
        <f aca="false">IF(A2444="","",MONTH(A2444))</f>
        <v/>
      </c>
    </row>
    <row r="2445" customFormat="false" ht="15" hidden="false" customHeight="false" outlineLevel="0" collapsed="false">
      <c r="A2445" s="27"/>
      <c r="E2445" s="28"/>
      <c r="F2445" s="28"/>
      <c r="I2445" s="28" t="str">
        <f aca="false">IF(A2445="","",D2445*E2445)</f>
        <v/>
      </c>
      <c r="J2445" s="28" t="str">
        <f aca="false">IF(A2445="","",D2445*F2445)</f>
        <v/>
      </c>
      <c r="K2445" s="0" t="str">
        <f aca="false">IF(A2445="","",YEAR(A2445))</f>
        <v/>
      </c>
      <c r="L2445" s="0" t="str">
        <f aca="false">IF(A2445="","",MONTH(A2445))</f>
        <v/>
      </c>
    </row>
    <row r="2446" customFormat="false" ht="15" hidden="false" customHeight="false" outlineLevel="0" collapsed="false">
      <c r="A2446" s="27"/>
      <c r="E2446" s="28"/>
      <c r="F2446" s="28"/>
      <c r="I2446" s="28" t="str">
        <f aca="false">IF(A2446="","",D2446*E2446)</f>
        <v/>
      </c>
      <c r="J2446" s="28" t="str">
        <f aca="false">IF(A2446="","",D2446*F2446)</f>
        <v/>
      </c>
      <c r="K2446" s="0" t="str">
        <f aca="false">IF(A2446="","",YEAR(A2446))</f>
        <v/>
      </c>
      <c r="L2446" s="0" t="str">
        <f aca="false">IF(A2446="","",MONTH(A2446))</f>
        <v/>
      </c>
    </row>
    <row r="2447" customFormat="false" ht="15" hidden="false" customHeight="false" outlineLevel="0" collapsed="false">
      <c r="A2447" s="27"/>
      <c r="E2447" s="28"/>
      <c r="F2447" s="28"/>
      <c r="I2447" s="28" t="str">
        <f aca="false">IF(A2447="","",D2447*E2447)</f>
        <v/>
      </c>
      <c r="J2447" s="28" t="str">
        <f aca="false">IF(A2447="","",D2447*F2447)</f>
        <v/>
      </c>
      <c r="K2447" s="0" t="str">
        <f aca="false">IF(A2447="","",YEAR(A2447))</f>
        <v/>
      </c>
      <c r="L2447" s="0" t="str">
        <f aca="false">IF(A2447="","",MONTH(A2447))</f>
        <v/>
      </c>
    </row>
    <row r="2448" customFormat="false" ht="15" hidden="false" customHeight="false" outlineLevel="0" collapsed="false">
      <c r="A2448" s="27"/>
      <c r="E2448" s="28"/>
      <c r="F2448" s="28"/>
      <c r="I2448" s="28" t="str">
        <f aca="false">IF(A2448="","",D2448*E2448)</f>
        <v/>
      </c>
      <c r="J2448" s="28" t="str">
        <f aca="false">IF(A2448="","",D2448*F2448)</f>
        <v/>
      </c>
      <c r="K2448" s="0" t="str">
        <f aca="false">IF(A2448="","",YEAR(A2448))</f>
        <v/>
      </c>
      <c r="L2448" s="0" t="str">
        <f aca="false">IF(A2448="","",MONTH(A2448))</f>
        <v/>
      </c>
    </row>
    <row r="2449" customFormat="false" ht="15" hidden="false" customHeight="false" outlineLevel="0" collapsed="false">
      <c r="A2449" s="27"/>
      <c r="E2449" s="28"/>
      <c r="F2449" s="28"/>
      <c r="I2449" s="28" t="str">
        <f aca="false">IF(A2449="","",D2449*E2449)</f>
        <v/>
      </c>
      <c r="J2449" s="28" t="str">
        <f aca="false">IF(A2449="","",D2449*F2449)</f>
        <v/>
      </c>
      <c r="K2449" s="0" t="str">
        <f aca="false">IF(A2449="","",YEAR(A2449))</f>
        <v/>
      </c>
      <c r="L2449" s="0" t="str">
        <f aca="false">IF(A2449="","",MONTH(A2449))</f>
        <v/>
      </c>
    </row>
    <row r="2450" customFormat="false" ht="15" hidden="false" customHeight="false" outlineLevel="0" collapsed="false">
      <c r="A2450" s="27"/>
      <c r="E2450" s="28"/>
      <c r="F2450" s="28"/>
      <c r="I2450" s="28" t="str">
        <f aca="false">IF(A2450="","",D2450*E2450)</f>
        <v/>
      </c>
      <c r="J2450" s="28" t="str">
        <f aca="false">IF(A2450="","",D2450*F2450)</f>
        <v/>
      </c>
      <c r="K2450" s="0" t="str">
        <f aca="false">IF(A2450="","",YEAR(A2450))</f>
        <v/>
      </c>
      <c r="L2450" s="0" t="str">
        <f aca="false">IF(A2450="","",MONTH(A2450))</f>
        <v/>
      </c>
    </row>
    <row r="2451" customFormat="false" ht="15" hidden="false" customHeight="false" outlineLevel="0" collapsed="false">
      <c r="A2451" s="27"/>
      <c r="E2451" s="28"/>
      <c r="F2451" s="28"/>
      <c r="I2451" s="28" t="str">
        <f aca="false">IF(A2451="","",D2451*E2451)</f>
        <v/>
      </c>
      <c r="J2451" s="28" t="str">
        <f aca="false">IF(A2451="","",D2451*F2451)</f>
        <v/>
      </c>
      <c r="K2451" s="0" t="str">
        <f aca="false">IF(A2451="","",YEAR(A2451))</f>
        <v/>
      </c>
      <c r="L2451" s="0" t="str">
        <f aca="false">IF(A2451="","",MONTH(A2451))</f>
        <v/>
      </c>
    </row>
    <row r="2452" customFormat="false" ht="15" hidden="false" customHeight="false" outlineLevel="0" collapsed="false">
      <c r="A2452" s="27"/>
      <c r="E2452" s="28"/>
      <c r="F2452" s="28"/>
      <c r="I2452" s="28" t="str">
        <f aca="false">IF(A2452="","",D2452*E2452)</f>
        <v/>
      </c>
      <c r="J2452" s="28" t="str">
        <f aca="false">IF(A2452="","",D2452*F2452)</f>
        <v/>
      </c>
      <c r="K2452" s="0" t="str">
        <f aca="false">IF(A2452="","",YEAR(A2452))</f>
        <v/>
      </c>
      <c r="L2452" s="0" t="str">
        <f aca="false">IF(A2452="","",MONTH(A2452))</f>
        <v/>
      </c>
    </row>
    <row r="2453" customFormat="false" ht="15" hidden="false" customHeight="false" outlineLevel="0" collapsed="false">
      <c r="A2453" s="27"/>
      <c r="E2453" s="28"/>
      <c r="F2453" s="28"/>
      <c r="I2453" s="28" t="str">
        <f aca="false">IF(A2453="","",D2453*E2453)</f>
        <v/>
      </c>
      <c r="J2453" s="28" t="str">
        <f aca="false">IF(A2453="","",D2453*F2453)</f>
        <v/>
      </c>
      <c r="K2453" s="0" t="str">
        <f aca="false">IF(A2453="","",YEAR(A2453))</f>
        <v/>
      </c>
      <c r="L2453" s="0" t="str">
        <f aca="false">IF(A2453="","",MONTH(A2453))</f>
        <v/>
      </c>
    </row>
    <row r="2454" customFormat="false" ht="15" hidden="false" customHeight="false" outlineLevel="0" collapsed="false">
      <c r="A2454" s="27"/>
      <c r="E2454" s="28"/>
      <c r="F2454" s="28"/>
      <c r="I2454" s="28" t="str">
        <f aca="false">IF(A2454="","",D2454*E2454)</f>
        <v/>
      </c>
      <c r="J2454" s="28" t="str">
        <f aca="false">IF(A2454="","",D2454*F2454)</f>
        <v/>
      </c>
      <c r="K2454" s="0" t="str">
        <f aca="false">IF(A2454="","",YEAR(A2454))</f>
        <v/>
      </c>
      <c r="L2454" s="0" t="str">
        <f aca="false">IF(A2454="","",MONTH(A2454))</f>
        <v/>
      </c>
    </row>
    <row r="2455" customFormat="false" ht="15" hidden="false" customHeight="false" outlineLevel="0" collapsed="false">
      <c r="A2455" s="27"/>
      <c r="E2455" s="28"/>
      <c r="F2455" s="28"/>
      <c r="I2455" s="28" t="str">
        <f aca="false">IF(A2455="","",D2455*E2455)</f>
        <v/>
      </c>
      <c r="J2455" s="28" t="str">
        <f aca="false">IF(A2455="","",D2455*F2455)</f>
        <v/>
      </c>
      <c r="K2455" s="0" t="str">
        <f aca="false">IF(A2455="","",YEAR(A2455))</f>
        <v/>
      </c>
      <c r="L2455" s="0" t="str">
        <f aca="false">IF(A2455="","",MONTH(A2455))</f>
        <v/>
      </c>
    </row>
    <row r="2456" customFormat="false" ht="15" hidden="false" customHeight="false" outlineLevel="0" collapsed="false">
      <c r="A2456" s="27"/>
      <c r="E2456" s="28"/>
      <c r="F2456" s="28"/>
      <c r="I2456" s="28" t="str">
        <f aca="false">IF(A2456="","",D2456*E2456)</f>
        <v/>
      </c>
      <c r="J2456" s="28" t="str">
        <f aca="false">IF(A2456="","",D2456*F2456)</f>
        <v/>
      </c>
      <c r="K2456" s="0" t="str">
        <f aca="false">IF(A2456="","",YEAR(A2456))</f>
        <v/>
      </c>
      <c r="L2456" s="0" t="str">
        <f aca="false">IF(A2456="","",MONTH(A2456))</f>
        <v/>
      </c>
    </row>
    <row r="2457" customFormat="false" ht="15" hidden="false" customHeight="false" outlineLevel="0" collapsed="false">
      <c r="A2457" s="27"/>
      <c r="E2457" s="28"/>
      <c r="F2457" s="28"/>
      <c r="I2457" s="28" t="str">
        <f aca="false">IF(A2457="","",D2457*E2457)</f>
        <v/>
      </c>
      <c r="J2457" s="28" t="str">
        <f aca="false">IF(A2457="","",D2457*F2457)</f>
        <v/>
      </c>
      <c r="K2457" s="0" t="str">
        <f aca="false">IF(A2457="","",YEAR(A2457))</f>
        <v/>
      </c>
      <c r="L2457" s="0" t="str">
        <f aca="false">IF(A2457="","",MONTH(A2457))</f>
        <v/>
      </c>
    </row>
    <row r="2458" customFormat="false" ht="15" hidden="false" customHeight="false" outlineLevel="0" collapsed="false">
      <c r="A2458" s="27"/>
      <c r="E2458" s="28"/>
      <c r="F2458" s="28"/>
      <c r="I2458" s="28" t="str">
        <f aca="false">IF(A2458="","",D2458*E2458)</f>
        <v/>
      </c>
      <c r="J2458" s="28" t="str">
        <f aca="false">IF(A2458="","",D2458*F2458)</f>
        <v/>
      </c>
      <c r="K2458" s="0" t="str">
        <f aca="false">IF(A2458="","",YEAR(A2458))</f>
        <v/>
      </c>
      <c r="L2458" s="0" t="str">
        <f aca="false">IF(A2458="","",MONTH(A2458))</f>
        <v/>
      </c>
    </row>
    <row r="2459" customFormat="false" ht="15" hidden="false" customHeight="false" outlineLevel="0" collapsed="false">
      <c r="A2459" s="27"/>
      <c r="E2459" s="28"/>
      <c r="F2459" s="28"/>
      <c r="I2459" s="28" t="str">
        <f aca="false">IF(A2459="","",D2459*E2459)</f>
        <v/>
      </c>
      <c r="J2459" s="28" t="str">
        <f aca="false">IF(A2459="","",D2459*F2459)</f>
        <v/>
      </c>
      <c r="K2459" s="0" t="str">
        <f aca="false">IF(A2459="","",YEAR(A2459))</f>
        <v/>
      </c>
      <c r="L2459" s="0" t="str">
        <f aca="false">IF(A2459="","",MONTH(A2459))</f>
        <v/>
      </c>
    </row>
    <row r="2460" customFormat="false" ht="15" hidden="false" customHeight="false" outlineLevel="0" collapsed="false">
      <c r="A2460" s="27"/>
      <c r="E2460" s="28"/>
      <c r="F2460" s="28"/>
      <c r="I2460" s="28" t="str">
        <f aca="false">IF(A2460="","",D2460*E2460)</f>
        <v/>
      </c>
      <c r="J2460" s="28" t="str">
        <f aca="false">IF(A2460="","",D2460*F2460)</f>
        <v/>
      </c>
      <c r="K2460" s="0" t="str">
        <f aca="false">IF(A2460="","",YEAR(A2460))</f>
        <v/>
      </c>
      <c r="L2460" s="0" t="str">
        <f aca="false">IF(A2460="","",MONTH(A2460))</f>
        <v/>
      </c>
    </row>
    <row r="2461" customFormat="false" ht="15" hidden="false" customHeight="false" outlineLevel="0" collapsed="false">
      <c r="A2461" s="27"/>
      <c r="E2461" s="28"/>
      <c r="F2461" s="28"/>
      <c r="I2461" s="28" t="str">
        <f aca="false">IF(A2461="","",D2461*E2461)</f>
        <v/>
      </c>
      <c r="J2461" s="28" t="str">
        <f aca="false">IF(A2461="","",D2461*F2461)</f>
        <v/>
      </c>
      <c r="K2461" s="0" t="str">
        <f aca="false">IF(A2461="","",YEAR(A2461))</f>
        <v/>
      </c>
      <c r="L2461" s="0" t="str">
        <f aca="false">IF(A2461="","",MONTH(A2461))</f>
        <v/>
      </c>
    </row>
    <row r="2462" customFormat="false" ht="15" hidden="false" customHeight="false" outlineLevel="0" collapsed="false">
      <c r="A2462" s="27"/>
      <c r="E2462" s="28"/>
      <c r="F2462" s="28"/>
      <c r="I2462" s="28" t="str">
        <f aca="false">IF(A2462="","",D2462*E2462)</f>
        <v/>
      </c>
      <c r="J2462" s="28" t="str">
        <f aca="false">IF(A2462="","",D2462*F2462)</f>
        <v/>
      </c>
      <c r="K2462" s="0" t="str">
        <f aca="false">IF(A2462="","",YEAR(A2462))</f>
        <v/>
      </c>
      <c r="L2462" s="0" t="str">
        <f aca="false">IF(A2462="","",MONTH(A2462))</f>
        <v/>
      </c>
    </row>
    <row r="2463" customFormat="false" ht="15" hidden="false" customHeight="false" outlineLevel="0" collapsed="false">
      <c r="A2463" s="27"/>
      <c r="E2463" s="28"/>
      <c r="F2463" s="28"/>
      <c r="I2463" s="28" t="str">
        <f aca="false">IF(A2463="","",D2463*E2463)</f>
        <v/>
      </c>
      <c r="J2463" s="28" t="str">
        <f aca="false">IF(A2463="","",D2463*F2463)</f>
        <v/>
      </c>
      <c r="K2463" s="0" t="str">
        <f aca="false">IF(A2463="","",YEAR(A2463))</f>
        <v/>
      </c>
      <c r="L2463" s="0" t="str">
        <f aca="false">IF(A2463="","",MONTH(A2463))</f>
        <v/>
      </c>
    </row>
    <row r="2464" customFormat="false" ht="15" hidden="false" customHeight="false" outlineLevel="0" collapsed="false">
      <c r="A2464" s="27"/>
      <c r="E2464" s="28"/>
      <c r="F2464" s="28"/>
      <c r="I2464" s="28" t="str">
        <f aca="false">IF(A2464="","",D2464*E2464)</f>
        <v/>
      </c>
      <c r="J2464" s="28" t="str">
        <f aca="false">IF(A2464="","",D2464*F2464)</f>
        <v/>
      </c>
      <c r="K2464" s="0" t="str">
        <f aca="false">IF(A2464="","",YEAR(A2464))</f>
        <v/>
      </c>
      <c r="L2464" s="0" t="str">
        <f aca="false">IF(A2464="","",MONTH(A2464))</f>
        <v/>
      </c>
    </row>
    <row r="2465" customFormat="false" ht="15" hidden="false" customHeight="false" outlineLevel="0" collapsed="false">
      <c r="A2465" s="27"/>
      <c r="E2465" s="28"/>
      <c r="F2465" s="28"/>
      <c r="I2465" s="28" t="str">
        <f aca="false">IF(A2465="","",D2465*E2465)</f>
        <v/>
      </c>
      <c r="J2465" s="28" t="str">
        <f aca="false">IF(A2465="","",D2465*F2465)</f>
        <v/>
      </c>
      <c r="K2465" s="0" t="str">
        <f aca="false">IF(A2465="","",YEAR(A2465))</f>
        <v/>
      </c>
      <c r="L2465" s="0" t="str">
        <f aca="false">IF(A2465="","",MONTH(A2465))</f>
        <v/>
      </c>
    </row>
    <row r="2466" customFormat="false" ht="15" hidden="false" customHeight="false" outlineLevel="0" collapsed="false">
      <c r="A2466" s="27"/>
      <c r="E2466" s="28"/>
      <c r="F2466" s="28"/>
      <c r="I2466" s="28" t="str">
        <f aca="false">IF(A2466="","",D2466*E2466)</f>
        <v/>
      </c>
      <c r="J2466" s="28" t="str">
        <f aca="false">IF(A2466="","",D2466*F2466)</f>
        <v/>
      </c>
      <c r="K2466" s="0" t="str">
        <f aca="false">IF(A2466="","",YEAR(A2466))</f>
        <v/>
      </c>
      <c r="L2466" s="0" t="str">
        <f aca="false">IF(A2466="","",MONTH(A2466))</f>
        <v/>
      </c>
    </row>
    <row r="2467" customFormat="false" ht="15" hidden="false" customHeight="false" outlineLevel="0" collapsed="false">
      <c r="A2467" s="27"/>
      <c r="E2467" s="28"/>
      <c r="F2467" s="28"/>
      <c r="I2467" s="28" t="str">
        <f aca="false">IF(A2467="","",D2467*E2467)</f>
        <v/>
      </c>
      <c r="J2467" s="28" t="str">
        <f aca="false">IF(A2467="","",D2467*F2467)</f>
        <v/>
      </c>
      <c r="K2467" s="0" t="str">
        <f aca="false">IF(A2467="","",YEAR(A2467))</f>
        <v/>
      </c>
      <c r="L2467" s="0" t="str">
        <f aca="false">IF(A2467="","",MONTH(A2467))</f>
        <v/>
      </c>
    </row>
    <row r="2468" customFormat="false" ht="15" hidden="false" customHeight="false" outlineLevel="0" collapsed="false">
      <c r="A2468" s="27"/>
      <c r="E2468" s="28"/>
      <c r="F2468" s="28"/>
      <c r="I2468" s="28" t="str">
        <f aca="false">IF(A2468="","",D2468*E2468)</f>
        <v/>
      </c>
      <c r="J2468" s="28" t="str">
        <f aca="false">IF(A2468="","",D2468*F2468)</f>
        <v/>
      </c>
      <c r="K2468" s="0" t="str">
        <f aca="false">IF(A2468="","",YEAR(A2468))</f>
        <v/>
      </c>
      <c r="L2468" s="0" t="str">
        <f aca="false">IF(A2468="","",MONTH(A2468))</f>
        <v/>
      </c>
    </row>
    <row r="2469" customFormat="false" ht="15" hidden="false" customHeight="false" outlineLevel="0" collapsed="false">
      <c r="A2469" s="27"/>
      <c r="E2469" s="28"/>
      <c r="F2469" s="28"/>
      <c r="I2469" s="28" t="str">
        <f aca="false">IF(A2469="","",D2469*E2469)</f>
        <v/>
      </c>
      <c r="J2469" s="28" t="str">
        <f aca="false">IF(A2469="","",D2469*F2469)</f>
        <v/>
      </c>
      <c r="K2469" s="0" t="str">
        <f aca="false">IF(A2469="","",YEAR(A2469))</f>
        <v/>
      </c>
      <c r="L2469" s="0" t="str">
        <f aca="false">IF(A2469="","",MONTH(A2469))</f>
        <v/>
      </c>
    </row>
    <row r="2470" customFormat="false" ht="15" hidden="false" customHeight="false" outlineLevel="0" collapsed="false">
      <c r="A2470" s="27"/>
      <c r="E2470" s="28"/>
      <c r="F2470" s="28"/>
      <c r="I2470" s="28" t="str">
        <f aca="false">IF(A2470="","",D2470*E2470)</f>
        <v/>
      </c>
      <c r="J2470" s="28" t="str">
        <f aca="false">IF(A2470="","",D2470*F2470)</f>
        <v/>
      </c>
      <c r="K2470" s="0" t="str">
        <f aca="false">IF(A2470="","",YEAR(A2470))</f>
        <v/>
      </c>
      <c r="L2470" s="0" t="str">
        <f aca="false">IF(A2470="","",MONTH(A2470))</f>
        <v/>
      </c>
    </row>
    <row r="2471" customFormat="false" ht="15" hidden="false" customHeight="false" outlineLevel="0" collapsed="false">
      <c r="A2471" s="27"/>
      <c r="E2471" s="28"/>
      <c r="F2471" s="28"/>
      <c r="I2471" s="28" t="str">
        <f aca="false">IF(A2471="","",D2471*E2471)</f>
        <v/>
      </c>
      <c r="J2471" s="28" t="str">
        <f aca="false">IF(A2471="","",D2471*F2471)</f>
        <v/>
      </c>
      <c r="K2471" s="0" t="str">
        <f aca="false">IF(A2471="","",YEAR(A2471))</f>
        <v/>
      </c>
      <c r="L2471" s="0" t="str">
        <f aca="false">IF(A2471="","",MONTH(A2471))</f>
        <v/>
      </c>
    </row>
    <row r="2472" customFormat="false" ht="15" hidden="false" customHeight="false" outlineLevel="0" collapsed="false">
      <c r="A2472" s="27"/>
      <c r="E2472" s="28"/>
      <c r="F2472" s="28"/>
      <c r="I2472" s="28" t="str">
        <f aca="false">IF(A2472="","",D2472*E2472)</f>
        <v/>
      </c>
      <c r="J2472" s="28" t="str">
        <f aca="false">IF(A2472="","",D2472*F2472)</f>
        <v/>
      </c>
      <c r="K2472" s="0" t="str">
        <f aca="false">IF(A2472="","",YEAR(A2472))</f>
        <v/>
      </c>
      <c r="L2472" s="0" t="str">
        <f aca="false">IF(A2472="","",MONTH(A2472))</f>
        <v/>
      </c>
    </row>
    <row r="2473" customFormat="false" ht="15" hidden="false" customHeight="false" outlineLevel="0" collapsed="false">
      <c r="A2473" s="27"/>
      <c r="E2473" s="28"/>
      <c r="F2473" s="28"/>
      <c r="I2473" s="28" t="str">
        <f aca="false">IF(A2473="","",D2473*E2473)</f>
        <v/>
      </c>
      <c r="J2473" s="28" t="str">
        <f aca="false">IF(A2473="","",D2473*F2473)</f>
        <v/>
      </c>
      <c r="K2473" s="0" t="str">
        <f aca="false">IF(A2473="","",YEAR(A2473))</f>
        <v/>
      </c>
      <c r="L2473" s="0" t="str">
        <f aca="false">IF(A2473="","",MONTH(A2473))</f>
        <v/>
      </c>
    </row>
    <row r="2474" customFormat="false" ht="15" hidden="false" customHeight="false" outlineLevel="0" collapsed="false">
      <c r="A2474" s="27"/>
      <c r="E2474" s="28"/>
      <c r="F2474" s="28"/>
      <c r="I2474" s="28" t="str">
        <f aca="false">IF(A2474="","",D2474*E2474)</f>
        <v/>
      </c>
      <c r="J2474" s="28" t="str">
        <f aca="false">IF(A2474="","",D2474*F2474)</f>
        <v/>
      </c>
      <c r="K2474" s="0" t="str">
        <f aca="false">IF(A2474="","",YEAR(A2474))</f>
        <v/>
      </c>
      <c r="L2474" s="0" t="str">
        <f aca="false">IF(A2474="","",MONTH(A2474))</f>
        <v/>
      </c>
    </row>
    <row r="2475" customFormat="false" ht="15" hidden="false" customHeight="false" outlineLevel="0" collapsed="false">
      <c r="A2475" s="27"/>
      <c r="E2475" s="28"/>
      <c r="F2475" s="28"/>
      <c r="I2475" s="28" t="str">
        <f aca="false">IF(A2475="","",D2475*E2475)</f>
        <v/>
      </c>
      <c r="J2475" s="28" t="str">
        <f aca="false">IF(A2475="","",D2475*F2475)</f>
        <v/>
      </c>
      <c r="K2475" s="0" t="str">
        <f aca="false">IF(A2475="","",YEAR(A2475))</f>
        <v/>
      </c>
      <c r="L2475" s="0" t="str">
        <f aca="false">IF(A2475="","",MONTH(A2475))</f>
        <v/>
      </c>
    </row>
    <row r="2476" customFormat="false" ht="15" hidden="false" customHeight="false" outlineLevel="0" collapsed="false">
      <c r="A2476" s="27"/>
      <c r="E2476" s="28"/>
      <c r="F2476" s="28"/>
      <c r="I2476" s="28" t="str">
        <f aca="false">IF(A2476="","",D2476*E2476)</f>
        <v/>
      </c>
      <c r="J2476" s="28" t="str">
        <f aca="false">IF(A2476="","",D2476*F2476)</f>
        <v/>
      </c>
      <c r="K2476" s="0" t="str">
        <f aca="false">IF(A2476="","",YEAR(A2476))</f>
        <v/>
      </c>
      <c r="L2476" s="0" t="str">
        <f aca="false">IF(A2476="","",MONTH(A2476))</f>
        <v/>
      </c>
    </row>
    <row r="2477" customFormat="false" ht="15" hidden="false" customHeight="false" outlineLevel="0" collapsed="false">
      <c r="A2477" s="27"/>
      <c r="E2477" s="28"/>
      <c r="F2477" s="28"/>
      <c r="I2477" s="28" t="str">
        <f aca="false">IF(A2477="","",D2477*E2477)</f>
        <v/>
      </c>
      <c r="J2477" s="28" t="str">
        <f aca="false">IF(A2477="","",D2477*F2477)</f>
        <v/>
      </c>
      <c r="K2477" s="0" t="str">
        <f aca="false">IF(A2477="","",YEAR(A2477))</f>
        <v/>
      </c>
      <c r="L2477" s="0" t="str">
        <f aca="false">IF(A2477="","",MONTH(A2477))</f>
        <v/>
      </c>
    </row>
    <row r="2478" customFormat="false" ht="15" hidden="false" customHeight="false" outlineLevel="0" collapsed="false">
      <c r="A2478" s="27"/>
      <c r="E2478" s="28"/>
      <c r="F2478" s="28"/>
      <c r="I2478" s="28" t="str">
        <f aca="false">IF(A2478="","",D2478*E2478)</f>
        <v/>
      </c>
      <c r="J2478" s="28" t="str">
        <f aca="false">IF(A2478="","",D2478*F2478)</f>
        <v/>
      </c>
      <c r="K2478" s="0" t="str">
        <f aca="false">IF(A2478="","",YEAR(A2478))</f>
        <v/>
      </c>
      <c r="L2478" s="0" t="str">
        <f aca="false">IF(A2478="","",MONTH(A2478))</f>
        <v/>
      </c>
    </row>
    <row r="2479" customFormat="false" ht="15" hidden="false" customHeight="false" outlineLevel="0" collapsed="false">
      <c r="A2479" s="27"/>
      <c r="E2479" s="28"/>
      <c r="F2479" s="28"/>
      <c r="I2479" s="28" t="str">
        <f aca="false">IF(A2479="","",D2479*E2479)</f>
        <v/>
      </c>
      <c r="J2479" s="28" t="str">
        <f aca="false">IF(A2479="","",D2479*F2479)</f>
        <v/>
      </c>
      <c r="K2479" s="0" t="str">
        <f aca="false">IF(A2479="","",YEAR(A2479))</f>
        <v/>
      </c>
      <c r="L2479" s="0" t="str">
        <f aca="false">IF(A2479="","",MONTH(A2479))</f>
        <v/>
      </c>
    </row>
    <row r="2480" customFormat="false" ht="15" hidden="false" customHeight="false" outlineLevel="0" collapsed="false">
      <c r="A2480" s="27"/>
      <c r="E2480" s="28"/>
      <c r="F2480" s="28"/>
      <c r="I2480" s="28" t="str">
        <f aca="false">IF(A2480="","",D2480*E2480)</f>
        <v/>
      </c>
      <c r="J2480" s="28" t="str">
        <f aca="false">IF(A2480="","",D2480*F2480)</f>
        <v/>
      </c>
      <c r="K2480" s="0" t="str">
        <f aca="false">IF(A2480="","",YEAR(A2480))</f>
        <v/>
      </c>
      <c r="L2480" s="0" t="str">
        <f aca="false">IF(A2480="","",MONTH(A2480))</f>
        <v/>
      </c>
    </row>
    <row r="2481" customFormat="false" ht="15" hidden="false" customHeight="false" outlineLevel="0" collapsed="false">
      <c r="A2481" s="27"/>
      <c r="E2481" s="28"/>
      <c r="F2481" s="28"/>
      <c r="I2481" s="28" t="str">
        <f aca="false">IF(A2481="","",D2481*E2481)</f>
        <v/>
      </c>
      <c r="J2481" s="28" t="str">
        <f aca="false">IF(A2481="","",D2481*F2481)</f>
        <v/>
      </c>
      <c r="K2481" s="0" t="str">
        <f aca="false">IF(A2481="","",YEAR(A2481))</f>
        <v/>
      </c>
      <c r="L2481" s="0" t="str">
        <f aca="false">IF(A2481="","",MONTH(A2481))</f>
        <v/>
      </c>
    </row>
    <row r="2482" customFormat="false" ht="15" hidden="false" customHeight="false" outlineLevel="0" collapsed="false">
      <c r="A2482" s="27"/>
      <c r="E2482" s="28"/>
      <c r="F2482" s="28"/>
      <c r="I2482" s="28" t="str">
        <f aca="false">IF(A2482="","",D2482*E2482)</f>
        <v/>
      </c>
      <c r="J2482" s="28" t="str">
        <f aca="false">IF(A2482="","",D2482*F2482)</f>
        <v/>
      </c>
      <c r="K2482" s="0" t="str">
        <f aca="false">IF(A2482="","",YEAR(A2482))</f>
        <v/>
      </c>
      <c r="L2482" s="0" t="str">
        <f aca="false">IF(A2482="","",MONTH(A2482))</f>
        <v/>
      </c>
    </row>
    <row r="2483" customFormat="false" ht="15" hidden="false" customHeight="false" outlineLevel="0" collapsed="false">
      <c r="A2483" s="27"/>
      <c r="E2483" s="28"/>
      <c r="F2483" s="28"/>
      <c r="I2483" s="28" t="str">
        <f aca="false">IF(A2483="","",D2483*E2483)</f>
        <v/>
      </c>
      <c r="J2483" s="28" t="str">
        <f aca="false">IF(A2483="","",D2483*F2483)</f>
        <v/>
      </c>
      <c r="K2483" s="0" t="str">
        <f aca="false">IF(A2483="","",YEAR(A2483))</f>
        <v/>
      </c>
      <c r="L2483" s="0" t="str">
        <f aca="false">IF(A2483="","",MONTH(A2483))</f>
        <v/>
      </c>
    </row>
    <row r="2484" customFormat="false" ht="15" hidden="false" customHeight="false" outlineLevel="0" collapsed="false">
      <c r="A2484" s="27"/>
      <c r="E2484" s="28"/>
      <c r="F2484" s="28"/>
      <c r="I2484" s="28" t="str">
        <f aca="false">IF(A2484="","",D2484*E2484)</f>
        <v/>
      </c>
      <c r="J2484" s="28" t="str">
        <f aca="false">IF(A2484="","",D2484*F2484)</f>
        <v/>
      </c>
      <c r="K2484" s="0" t="str">
        <f aca="false">IF(A2484="","",YEAR(A2484))</f>
        <v/>
      </c>
      <c r="L2484" s="0" t="str">
        <f aca="false">IF(A2484="","",MONTH(A2484))</f>
        <v/>
      </c>
    </row>
    <row r="2485" customFormat="false" ht="15" hidden="false" customHeight="false" outlineLevel="0" collapsed="false">
      <c r="A2485" s="27"/>
      <c r="E2485" s="28"/>
      <c r="F2485" s="28"/>
      <c r="I2485" s="28" t="str">
        <f aca="false">IF(A2485="","",D2485*E2485)</f>
        <v/>
      </c>
      <c r="J2485" s="28" t="str">
        <f aca="false">IF(A2485="","",D2485*F2485)</f>
        <v/>
      </c>
      <c r="K2485" s="0" t="str">
        <f aca="false">IF(A2485="","",YEAR(A2485))</f>
        <v/>
      </c>
      <c r="L2485" s="0" t="str">
        <f aca="false">IF(A2485="","",MONTH(A2485))</f>
        <v/>
      </c>
    </row>
    <row r="2486" customFormat="false" ht="15" hidden="false" customHeight="false" outlineLevel="0" collapsed="false">
      <c r="A2486" s="27"/>
      <c r="E2486" s="28"/>
      <c r="F2486" s="28"/>
      <c r="I2486" s="28" t="str">
        <f aca="false">IF(A2486="","",D2486*E2486)</f>
        <v/>
      </c>
      <c r="J2486" s="28" t="str">
        <f aca="false">IF(A2486="","",D2486*F2486)</f>
        <v/>
      </c>
      <c r="K2486" s="0" t="str">
        <f aca="false">IF(A2486="","",YEAR(A2486))</f>
        <v/>
      </c>
      <c r="L2486" s="0" t="str">
        <f aca="false">IF(A2486="","",MONTH(A2486))</f>
        <v/>
      </c>
    </row>
    <row r="2487" customFormat="false" ht="15" hidden="false" customHeight="false" outlineLevel="0" collapsed="false">
      <c r="A2487" s="27"/>
      <c r="E2487" s="28"/>
      <c r="F2487" s="28"/>
      <c r="I2487" s="28" t="str">
        <f aca="false">IF(A2487="","",D2487*E2487)</f>
        <v/>
      </c>
      <c r="J2487" s="28" t="str">
        <f aca="false">IF(A2487="","",D2487*F2487)</f>
        <v/>
      </c>
      <c r="K2487" s="0" t="str">
        <f aca="false">IF(A2487="","",YEAR(A2487))</f>
        <v/>
      </c>
      <c r="L2487" s="0" t="str">
        <f aca="false">IF(A2487="","",MONTH(A2487))</f>
        <v/>
      </c>
    </row>
    <row r="2488" customFormat="false" ht="15" hidden="false" customHeight="false" outlineLevel="0" collapsed="false">
      <c r="A2488" s="27"/>
      <c r="E2488" s="28"/>
      <c r="F2488" s="28"/>
      <c r="I2488" s="28" t="str">
        <f aca="false">IF(A2488="","",D2488*E2488)</f>
        <v/>
      </c>
      <c r="J2488" s="28" t="str">
        <f aca="false">IF(A2488="","",D2488*F2488)</f>
        <v/>
      </c>
      <c r="K2488" s="0" t="str">
        <f aca="false">IF(A2488="","",YEAR(A2488))</f>
        <v/>
      </c>
      <c r="L2488" s="0" t="str">
        <f aca="false">IF(A2488="","",MONTH(A2488))</f>
        <v/>
      </c>
    </row>
    <row r="2489" customFormat="false" ht="15" hidden="false" customHeight="false" outlineLevel="0" collapsed="false">
      <c r="A2489" s="27"/>
      <c r="E2489" s="28"/>
      <c r="F2489" s="28"/>
      <c r="I2489" s="28" t="str">
        <f aca="false">IF(A2489="","",D2489*E2489)</f>
        <v/>
      </c>
      <c r="J2489" s="28" t="str">
        <f aca="false">IF(A2489="","",D2489*F2489)</f>
        <v/>
      </c>
      <c r="K2489" s="0" t="str">
        <f aca="false">IF(A2489="","",YEAR(A2489))</f>
        <v/>
      </c>
      <c r="L2489" s="0" t="str">
        <f aca="false">IF(A2489="","",MONTH(A2489))</f>
        <v/>
      </c>
    </row>
    <row r="2490" customFormat="false" ht="15" hidden="false" customHeight="false" outlineLevel="0" collapsed="false">
      <c r="A2490" s="27"/>
      <c r="E2490" s="28"/>
      <c r="F2490" s="28"/>
      <c r="I2490" s="28" t="str">
        <f aca="false">IF(A2490="","",D2490*E2490)</f>
        <v/>
      </c>
      <c r="J2490" s="28" t="str">
        <f aca="false">IF(A2490="","",D2490*F2490)</f>
        <v/>
      </c>
      <c r="K2490" s="0" t="str">
        <f aca="false">IF(A2490="","",YEAR(A2490))</f>
        <v/>
      </c>
      <c r="L2490" s="0" t="str">
        <f aca="false">IF(A2490="","",MONTH(A2490))</f>
        <v/>
      </c>
    </row>
    <row r="2491" customFormat="false" ht="15" hidden="false" customHeight="false" outlineLevel="0" collapsed="false">
      <c r="A2491" s="27"/>
      <c r="E2491" s="28"/>
      <c r="F2491" s="28"/>
      <c r="I2491" s="28" t="str">
        <f aca="false">IF(A2491="","",D2491*E2491)</f>
        <v/>
      </c>
      <c r="J2491" s="28" t="str">
        <f aca="false">IF(A2491="","",D2491*F2491)</f>
        <v/>
      </c>
      <c r="K2491" s="0" t="str">
        <f aca="false">IF(A2491="","",YEAR(A2491))</f>
        <v/>
      </c>
      <c r="L2491" s="0" t="str">
        <f aca="false">IF(A2491="","",MONTH(A2491))</f>
        <v/>
      </c>
    </row>
    <row r="2492" customFormat="false" ht="15" hidden="false" customHeight="false" outlineLevel="0" collapsed="false">
      <c r="A2492" s="27"/>
      <c r="E2492" s="28"/>
      <c r="F2492" s="28"/>
      <c r="I2492" s="28" t="str">
        <f aca="false">IF(A2492="","",D2492*E2492)</f>
        <v/>
      </c>
      <c r="J2492" s="28" t="str">
        <f aca="false">IF(A2492="","",D2492*F2492)</f>
        <v/>
      </c>
      <c r="K2492" s="0" t="str">
        <f aca="false">IF(A2492="","",YEAR(A2492))</f>
        <v/>
      </c>
      <c r="L2492" s="0" t="str">
        <f aca="false">IF(A2492="","",MONTH(A2492))</f>
        <v/>
      </c>
    </row>
    <row r="2493" customFormat="false" ht="15" hidden="false" customHeight="false" outlineLevel="0" collapsed="false">
      <c r="A2493" s="27"/>
      <c r="E2493" s="28"/>
      <c r="F2493" s="28"/>
      <c r="I2493" s="28" t="str">
        <f aca="false">IF(A2493="","",D2493*E2493)</f>
        <v/>
      </c>
      <c r="J2493" s="28" t="str">
        <f aca="false">IF(A2493="","",D2493*F2493)</f>
        <v/>
      </c>
      <c r="K2493" s="0" t="str">
        <f aca="false">IF(A2493="","",YEAR(A2493))</f>
        <v/>
      </c>
      <c r="L2493" s="0" t="str">
        <f aca="false">IF(A2493="","",MONTH(A2493))</f>
        <v/>
      </c>
    </row>
    <row r="2494" customFormat="false" ht="15" hidden="false" customHeight="false" outlineLevel="0" collapsed="false">
      <c r="A2494" s="27"/>
      <c r="E2494" s="28"/>
      <c r="F2494" s="28"/>
      <c r="I2494" s="28" t="str">
        <f aca="false">IF(A2494="","",D2494*E2494)</f>
        <v/>
      </c>
      <c r="J2494" s="28" t="str">
        <f aca="false">IF(A2494="","",D2494*F2494)</f>
        <v/>
      </c>
      <c r="K2494" s="0" t="str">
        <f aca="false">IF(A2494="","",YEAR(A2494))</f>
        <v/>
      </c>
      <c r="L2494" s="0" t="str">
        <f aca="false">IF(A2494="","",MONTH(A2494))</f>
        <v/>
      </c>
    </row>
    <row r="2495" customFormat="false" ht="15" hidden="false" customHeight="false" outlineLevel="0" collapsed="false">
      <c r="A2495" s="27"/>
      <c r="E2495" s="28"/>
      <c r="F2495" s="28"/>
      <c r="I2495" s="28" t="str">
        <f aca="false">IF(A2495="","",D2495*E2495)</f>
        <v/>
      </c>
      <c r="J2495" s="28" t="str">
        <f aca="false">IF(A2495="","",D2495*F2495)</f>
        <v/>
      </c>
      <c r="K2495" s="0" t="str">
        <f aca="false">IF(A2495="","",YEAR(A2495))</f>
        <v/>
      </c>
      <c r="L2495" s="0" t="str">
        <f aca="false">IF(A2495="","",MONTH(A2495))</f>
        <v/>
      </c>
    </row>
    <row r="2496" customFormat="false" ht="15" hidden="false" customHeight="false" outlineLevel="0" collapsed="false">
      <c r="A2496" s="27"/>
      <c r="E2496" s="28"/>
      <c r="F2496" s="28"/>
      <c r="I2496" s="28" t="str">
        <f aca="false">IF(A2496="","",D2496*E2496)</f>
        <v/>
      </c>
      <c r="J2496" s="28" t="str">
        <f aca="false">IF(A2496="","",D2496*F2496)</f>
        <v/>
      </c>
      <c r="K2496" s="0" t="str">
        <f aca="false">IF(A2496="","",YEAR(A2496))</f>
        <v/>
      </c>
      <c r="L2496" s="0" t="str">
        <f aca="false">IF(A2496="","",MONTH(A2496))</f>
        <v/>
      </c>
    </row>
    <row r="2497" customFormat="false" ht="15" hidden="false" customHeight="false" outlineLevel="0" collapsed="false">
      <c r="A2497" s="27"/>
      <c r="E2497" s="28"/>
      <c r="F2497" s="28"/>
      <c r="I2497" s="28" t="str">
        <f aca="false">IF(A2497="","",D2497*E2497)</f>
        <v/>
      </c>
      <c r="J2497" s="28" t="str">
        <f aca="false">IF(A2497="","",D2497*F2497)</f>
        <v/>
      </c>
      <c r="K2497" s="0" t="str">
        <f aca="false">IF(A2497="","",YEAR(A2497))</f>
        <v/>
      </c>
      <c r="L2497" s="0" t="str">
        <f aca="false">IF(A2497="","",MONTH(A2497))</f>
        <v/>
      </c>
    </row>
    <row r="2498" customFormat="false" ht="15" hidden="false" customHeight="false" outlineLevel="0" collapsed="false">
      <c r="A2498" s="27"/>
      <c r="E2498" s="28"/>
      <c r="F2498" s="28"/>
      <c r="I2498" s="28" t="str">
        <f aca="false">IF(A2498="","",D2498*E2498)</f>
        <v/>
      </c>
      <c r="J2498" s="28" t="str">
        <f aca="false">IF(A2498="","",D2498*F2498)</f>
        <v/>
      </c>
      <c r="K2498" s="0" t="str">
        <f aca="false">IF(A2498="","",YEAR(A2498))</f>
        <v/>
      </c>
      <c r="L2498" s="0" t="str">
        <f aca="false">IF(A2498="","",MONTH(A2498))</f>
        <v/>
      </c>
    </row>
    <row r="2499" customFormat="false" ht="15" hidden="false" customHeight="false" outlineLevel="0" collapsed="false">
      <c r="A2499" s="27"/>
      <c r="E2499" s="28"/>
      <c r="F2499" s="28"/>
      <c r="I2499" s="28" t="str">
        <f aca="false">IF(A2499="","",D2499*E2499)</f>
        <v/>
      </c>
      <c r="J2499" s="28" t="str">
        <f aca="false">IF(A2499="","",D2499*F2499)</f>
        <v/>
      </c>
      <c r="K2499" s="0" t="str">
        <f aca="false">IF(A2499="","",YEAR(A2499))</f>
        <v/>
      </c>
      <c r="L2499" s="0" t="str">
        <f aca="false">IF(A2499="","",MONTH(A2499))</f>
        <v/>
      </c>
    </row>
    <row r="2500" customFormat="false" ht="15" hidden="false" customHeight="false" outlineLevel="0" collapsed="false">
      <c r="A2500" s="27"/>
      <c r="E2500" s="28"/>
      <c r="F2500" s="28"/>
      <c r="I2500" s="28" t="str">
        <f aca="false">IF(A2500="","",D2500*E2500)</f>
        <v/>
      </c>
      <c r="J2500" s="28" t="str">
        <f aca="false">IF(A2500="","",D2500*F2500)</f>
        <v/>
      </c>
      <c r="K2500" s="0" t="str">
        <f aca="false">IF(A2500="","",YEAR(A2500))</f>
        <v/>
      </c>
      <c r="L2500" s="0" t="str">
        <f aca="false">IF(A2500="","",MONTH(A2500))</f>
        <v/>
      </c>
    </row>
    <row r="2501" customFormat="false" ht="15" hidden="false" customHeight="false" outlineLevel="0" collapsed="false">
      <c r="A2501" s="27"/>
      <c r="E2501" s="28"/>
      <c r="F2501" s="28"/>
      <c r="I2501" s="28" t="str">
        <f aca="false">IF(A2501="","",D2501*E2501)</f>
        <v/>
      </c>
      <c r="J2501" s="28" t="str">
        <f aca="false">IF(A2501="","",D2501*F2501)</f>
        <v/>
      </c>
      <c r="K2501" s="0" t="str">
        <f aca="false">IF(A2501="","",YEAR(A2501))</f>
        <v/>
      </c>
      <c r="L2501" s="0" t="str">
        <f aca="false">IF(A2501="","",MONTH(A2501))</f>
        <v/>
      </c>
    </row>
    <row r="2502" customFormat="false" ht="15" hidden="false" customHeight="false" outlineLevel="0" collapsed="false">
      <c r="A2502" s="27"/>
      <c r="E2502" s="28"/>
      <c r="F2502" s="28"/>
      <c r="I2502" s="28" t="str">
        <f aca="false">IF(A2502="","",D2502*E2502)</f>
        <v/>
      </c>
      <c r="J2502" s="28" t="str">
        <f aca="false">IF(A2502="","",D2502*F2502)</f>
        <v/>
      </c>
      <c r="K2502" s="0" t="str">
        <f aca="false">IF(A2502="","",YEAR(A2502))</f>
        <v/>
      </c>
      <c r="L2502" s="0" t="str">
        <f aca="false">IF(A2502="","",MONTH(A2502))</f>
        <v/>
      </c>
    </row>
    <row r="2503" customFormat="false" ht="15" hidden="false" customHeight="false" outlineLevel="0" collapsed="false">
      <c r="A2503" s="27"/>
      <c r="E2503" s="28"/>
      <c r="F2503" s="28"/>
      <c r="I2503" s="28" t="str">
        <f aca="false">IF(A2503="","",D2503*E2503)</f>
        <v/>
      </c>
      <c r="J2503" s="28" t="str">
        <f aca="false">IF(A2503="","",D2503*F2503)</f>
        <v/>
      </c>
      <c r="K2503" s="0" t="str">
        <f aca="false">IF(A2503="","",YEAR(A2503))</f>
        <v/>
      </c>
      <c r="L2503" s="0" t="str">
        <f aca="false">IF(A2503="","",MONTH(A2503))</f>
        <v/>
      </c>
    </row>
    <row r="2504" customFormat="false" ht="15" hidden="false" customHeight="false" outlineLevel="0" collapsed="false">
      <c r="A2504" s="27"/>
      <c r="E2504" s="28"/>
      <c r="F2504" s="28"/>
      <c r="I2504" s="28" t="str">
        <f aca="false">IF(A2504="","",D2504*E2504)</f>
        <v/>
      </c>
      <c r="J2504" s="28" t="str">
        <f aca="false">IF(A2504="","",D2504*F2504)</f>
        <v/>
      </c>
      <c r="K2504" s="0" t="str">
        <f aca="false">IF(A2504="","",YEAR(A2504))</f>
        <v/>
      </c>
      <c r="L2504" s="0" t="str">
        <f aca="false">IF(A2504="","",MONTH(A2504))</f>
        <v/>
      </c>
    </row>
    <row r="2505" customFormat="false" ht="15" hidden="false" customHeight="false" outlineLevel="0" collapsed="false">
      <c r="A2505" s="27"/>
      <c r="E2505" s="28"/>
      <c r="F2505" s="28"/>
      <c r="I2505" s="28" t="str">
        <f aca="false">IF(A2505="","",D2505*E2505)</f>
        <v/>
      </c>
      <c r="J2505" s="28" t="str">
        <f aca="false">IF(A2505="","",D2505*F2505)</f>
        <v/>
      </c>
      <c r="K2505" s="0" t="str">
        <f aca="false">IF(A2505="","",YEAR(A2505))</f>
        <v/>
      </c>
      <c r="L2505" s="0" t="str">
        <f aca="false">IF(A2505="","",MONTH(A2505))</f>
        <v/>
      </c>
    </row>
    <row r="2506" customFormat="false" ht="15" hidden="false" customHeight="false" outlineLevel="0" collapsed="false">
      <c r="A2506" s="27"/>
      <c r="E2506" s="28"/>
      <c r="F2506" s="28"/>
      <c r="I2506" s="28" t="str">
        <f aca="false">IF(A2506="","",D2506*E2506)</f>
        <v/>
      </c>
      <c r="J2506" s="28" t="str">
        <f aca="false">IF(A2506="","",D2506*F2506)</f>
        <v/>
      </c>
      <c r="K2506" s="0" t="str">
        <f aca="false">IF(A2506="","",YEAR(A2506))</f>
        <v/>
      </c>
      <c r="L2506" s="0" t="str">
        <f aca="false">IF(A2506="","",MONTH(A2506))</f>
        <v/>
      </c>
    </row>
    <row r="2507" customFormat="false" ht="15" hidden="false" customHeight="false" outlineLevel="0" collapsed="false">
      <c r="A2507" s="27"/>
      <c r="E2507" s="28"/>
      <c r="F2507" s="28"/>
      <c r="I2507" s="28" t="str">
        <f aca="false">IF(A2507="","",D2507*E2507)</f>
        <v/>
      </c>
      <c r="J2507" s="28" t="str">
        <f aca="false">IF(A2507="","",D2507*F2507)</f>
        <v/>
      </c>
      <c r="K2507" s="0" t="str">
        <f aca="false">IF(A2507="","",YEAR(A2507))</f>
        <v/>
      </c>
      <c r="L2507" s="0" t="str">
        <f aca="false">IF(A2507="","",MONTH(A2507))</f>
        <v/>
      </c>
    </row>
    <row r="2508" customFormat="false" ht="15" hidden="false" customHeight="false" outlineLevel="0" collapsed="false">
      <c r="A2508" s="27"/>
      <c r="E2508" s="28"/>
      <c r="F2508" s="28"/>
      <c r="I2508" s="28" t="str">
        <f aca="false">IF(A2508="","",D2508*E2508)</f>
        <v/>
      </c>
      <c r="J2508" s="28" t="str">
        <f aca="false">IF(A2508="","",D2508*F2508)</f>
        <v/>
      </c>
      <c r="K2508" s="0" t="str">
        <f aca="false">IF(A2508="","",YEAR(A2508))</f>
        <v/>
      </c>
      <c r="L2508" s="0" t="str">
        <f aca="false">IF(A2508="","",MONTH(A2508))</f>
        <v/>
      </c>
    </row>
    <row r="2509" customFormat="false" ht="15" hidden="false" customHeight="false" outlineLevel="0" collapsed="false">
      <c r="A2509" s="27"/>
      <c r="E2509" s="28"/>
      <c r="F2509" s="28"/>
      <c r="I2509" s="28" t="str">
        <f aca="false">IF(A2509="","",D2509*E2509)</f>
        <v/>
      </c>
      <c r="J2509" s="28" t="str">
        <f aca="false">IF(A2509="","",D2509*F2509)</f>
        <v/>
      </c>
      <c r="K2509" s="0" t="str">
        <f aca="false">IF(A2509="","",YEAR(A2509))</f>
        <v/>
      </c>
      <c r="L2509" s="0" t="str">
        <f aca="false">IF(A2509="","",MONTH(A2509))</f>
        <v/>
      </c>
    </row>
    <row r="2510" customFormat="false" ht="15" hidden="false" customHeight="false" outlineLevel="0" collapsed="false">
      <c r="A2510" s="27"/>
      <c r="E2510" s="28"/>
      <c r="F2510" s="28"/>
      <c r="I2510" s="28" t="str">
        <f aca="false">IF(A2510="","",D2510*E2510)</f>
        <v/>
      </c>
      <c r="J2510" s="28" t="str">
        <f aca="false">IF(A2510="","",D2510*F2510)</f>
        <v/>
      </c>
      <c r="K2510" s="0" t="str">
        <f aca="false">IF(A2510="","",YEAR(A2510))</f>
        <v/>
      </c>
      <c r="L2510" s="0" t="str">
        <f aca="false">IF(A2510="","",MONTH(A2510))</f>
        <v/>
      </c>
    </row>
    <row r="2511" customFormat="false" ht="15" hidden="false" customHeight="false" outlineLevel="0" collapsed="false">
      <c r="A2511" s="27"/>
      <c r="E2511" s="28"/>
      <c r="F2511" s="28"/>
      <c r="I2511" s="28" t="str">
        <f aca="false">IF(A2511="","",D2511*E2511)</f>
        <v/>
      </c>
      <c r="J2511" s="28" t="str">
        <f aca="false">IF(A2511="","",D2511*F2511)</f>
        <v/>
      </c>
      <c r="K2511" s="0" t="str">
        <f aca="false">IF(A2511="","",YEAR(A2511))</f>
        <v/>
      </c>
      <c r="L2511" s="0" t="str">
        <f aca="false">IF(A2511="","",MONTH(A2511))</f>
        <v/>
      </c>
    </row>
    <row r="2512" customFormat="false" ht="15" hidden="false" customHeight="false" outlineLevel="0" collapsed="false">
      <c r="A2512" s="27"/>
      <c r="E2512" s="28"/>
      <c r="F2512" s="28"/>
      <c r="I2512" s="28" t="str">
        <f aca="false">IF(A2512="","",D2512*E2512)</f>
        <v/>
      </c>
      <c r="J2512" s="28" t="str">
        <f aca="false">IF(A2512="","",D2512*F2512)</f>
        <v/>
      </c>
      <c r="K2512" s="0" t="str">
        <f aca="false">IF(A2512="","",YEAR(A2512))</f>
        <v/>
      </c>
      <c r="L2512" s="0" t="str">
        <f aca="false">IF(A2512="","",MONTH(A2512))</f>
        <v/>
      </c>
    </row>
    <row r="2513" customFormat="false" ht="15" hidden="false" customHeight="false" outlineLevel="0" collapsed="false">
      <c r="A2513" s="27"/>
      <c r="E2513" s="28"/>
      <c r="F2513" s="28"/>
      <c r="I2513" s="28" t="str">
        <f aca="false">IF(A2513="","",D2513*E2513)</f>
        <v/>
      </c>
      <c r="J2513" s="28" t="str">
        <f aca="false">IF(A2513="","",D2513*F2513)</f>
        <v/>
      </c>
      <c r="K2513" s="0" t="str">
        <f aca="false">IF(A2513="","",YEAR(A2513))</f>
        <v/>
      </c>
      <c r="L2513" s="0" t="str">
        <f aca="false">IF(A2513="","",MONTH(A2513))</f>
        <v/>
      </c>
    </row>
    <row r="2514" customFormat="false" ht="15" hidden="false" customHeight="false" outlineLevel="0" collapsed="false">
      <c r="A2514" s="27"/>
      <c r="E2514" s="28"/>
      <c r="F2514" s="28"/>
      <c r="I2514" s="28" t="str">
        <f aca="false">IF(A2514="","",D2514*E2514)</f>
        <v/>
      </c>
      <c r="J2514" s="28" t="str">
        <f aca="false">IF(A2514="","",D2514*F2514)</f>
        <v/>
      </c>
      <c r="K2514" s="0" t="str">
        <f aca="false">IF(A2514="","",YEAR(A2514))</f>
        <v/>
      </c>
      <c r="L2514" s="0" t="str">
        <f aca="false">IF(A2514="","",MONTH(A2514))</f>
        <v/>
      </c>
    </row>
    <row r="2515" customFormat="false" ht="15" hidden="false" customHeight="false" outlineLevel="0" collapsed="false">
      <c r="A2515" s="27"/>
      <c r="E2515" s="28"/>
      <c r="F2515" s="28"/>
      <c r="I2515" s="28" t="str">
        <f aca="false">IF(A2515="","",D2515*E2515)</f>
        <v/>
      </c>
      <c r="J2515" s="28" t="str">
        <f aca="false">IF(A2515="","",D2515*F2515)</f>
        <v/>
      </c>
      <c r="K2515" s="0" t="str">
        <f aca="false">IF(A2515="","",YEAR(A2515))</f>
        <v/>
      </c>
      <c r="L2515" s="0" t="str">
        <f aca="false">IF(A2515="","",MONTH(A2515))</f>
        <v/>
      </c>
    </row>
    <row r="2516" customFormat="false" ht="15" hidden="false" customHeight="false" outlineLevel="0" collapsed="false">
      <c r="A2516" s="27"/>
      <c r="E2516" s="28"/>
      <c r="F2516" s="28"/>
      <c r="I2516" s="28" t="str">
        <f aca="false">IF(A2516="","",D2516*E2516)</f>
        <v/>
      </c>
      <c r="J2516" s="28" t="str">
        <f aca="false">IF(A2516="","",D2516*F2516)</f>
        <v/>
      </c>
      <c r="K2516" s="0" t="str">
        <f aca="false">IF(A2516="","",YEAR(A2516))</f>
        <v/>
      </c>
      <c r="L2516" s="0" t="str">
        <f aca="false">IF(A2516="","",MONTH(A2516))</f>
        <v/>
      </c>
    </row>
    <row r="2517" customFormat="false" ht="15" hidden="false" customHeight="false" outlineLevel="0" collapsed="false">
      <c r="A2517" s="27"/>
      <c r="E2517" s="28"/>
      <c r="F2517" s="28"/>
      <c r="I2517" s="28" t="str">
        <f aca="false">IF(A2517="","",D2517*E2517)</f>
        <v/>
      </c>
      <c r="J2517" s="28" t="str">
        <f aca="false">IF(A2517="","",D2517*F2517)</f>
        <v/>
      </c>
      <c r="K2517" s="0" t="str">
        <f aca="false">IF(A2517="","",YEAR(A2517))</f>
        <v/>
      </c>
      <c r="L2517" s="0" t="str">
        <f aca="false">IF(A2517="","",MONTH(A2517))</f>
        <v/>
      </c>
    </row>
    <row r="2518" customFormat="false" ht="15" hidden="false" customHeight="false" outlineLevel="0" collapsed="false">
      <c r="A2518" s="27"/>
      <c r="E2518" s="28"/>
      <c r="F2518" s="28"/>
      <c r="I2518" s="28" t="str">
        <f aca="false">IF(A2518="","",D2518*E2518)</f>
        <v/>
      </c>
      <c r="J2518" s="28" t="str">
        <f aca="false">IF(A2518="","",D2518*F2518)</f>
        <v/>
      </c>
      <c r="K2518" s="0" t="str">
        <f aca="false">IF(A2518="","",YEAR(A2518))</f>
        <v/>
      </c>
      <c r="L2518" s="0" t="str">
        <f aca="false">IF(A2518="","",MONTH(A2518))</f>
        <v/>
      </c>
    </row>
    <row r="2519" customFormat="false" ht="15" hidden="false" customHeight="false" outlineLevel="0" collapsed="false">
      <c r="A2519" s="27"/>
      <c r="E2519" s="28"/>
      <c r="F2519" s="28"/>
      <c r="I2519" s="28" t="str">
        <f aca="false">IF(A2519="","",D2519*E2519)</f>
        <v/>
      </c>
      <c r="J2519" s="28" t="str">
        <f aca="false">IF(A2519="","",D2519*F2519)</f>
        <v/>
      </c>
      <c r="K2519" s="0" t="str">
        <f aca="false">IF(A2519="","",YEAR(A2519))</f>
        <v/>
      </c>
      <c r="L2519" s="0" t="str">
        <f aca="false">IF(A2519="","",MONTH(A2519))</f>
        <v/>
      </c>
    </row>
    <row r="2520" customFormat="false" ht="15" hidden="false" customHeight="false" outlineLevel="0" collapsed="false">
      <c r="A2520" s="27"/>
      <c r="E2520" s="28"/>
      <c r="F2520" s="28"/>
      <c r="I2520" s="28" t="str">
        <f aca="false">IF(A2520="","",D2520*E2520)</f>
        <v/>
      </c>
      <c r="J2520" s="28" t="str">
        <f aca="false">IF(A2520="","",D2520*F2520)</f>
        <v/>
      </c>
      <c r="K2520" s="0" t="str">
        <f aca="false">IF(A2520="","",YEAR(A2520))</f>
        <v/>
      </c>
      <c r="L2520" s="0" t="str">
        <f aca="false">IF(A2520="","",MONTH(A2520))</f>
        <v/>
      </c>
    </row>
    <row r="2521" customFormat="false" ht="15" hidden="false" customHeight="false" outlineLevel="0" collapsed="false">
      <c r="A2521" s="27"/>
      <c r="E2521" s="28"/>
      <c r="F2521" s="28"/>
      <c r="I2521" s="28" t="str">
        <f aca="false">IF(A2521="","",D2521*E2521)</f>
        <v/>
      </c>
      <c r="J2521" s="28" t="str">
        <f aca="false">IF(A2521="","",D2521*F2521)</f>
        <v/>
      </c>
      <c r="K2521" s="0" t="str">
        <f aca="false">IF(A2521="","",YEAR(A2521))</f>
        <v/>
      </c>
      <c r="L2521" s="0" t="str">
        <f aca="false">IF(A2521="","",MONTH(A2521))</f>
        <v/>
      </c>
    </row>
    <row r="2522" customFormat="false" ht="15" hidden="false" customHeight="false" outlineLevel="0" collapsed="false">
      <c r="A2522" s="27"/>
      <c r="E2522" s="28"/>
      <c r="F2522" s="28"/>
      <c r="I2522" s="28" t="str">
        <f aca="false">IF(A2522="","",D2522*E2522)</f>
        <v/>
      </c>
      <c r="J2522" s="28" t="str">
        <f aca="false">IF(A2522="","",D2522*F2522)</f>
        <v/>
      </c>
      <c r="K2522" s="0" t="str">
        <f aca="false">IF(A2522="","",YEAR(A2522))</f>
        <v/>
      </c>
      <c r="L2522" s="0" t="str">
        <f aca="false">IF(A2522="","",MONTH(A2522))</f>
        <v/>
      </c>
    </row>
    <row r="2523" customFormat="false" ht="15" hidden="false" customHeight="false" outlineLevel="0" collapsed="false">
      <c r="A2523" s="27"/>
      <c r="E2523" s="28"/>
      <c r="F2523" s="28"/>
      <c r="I2523" s="28" t="str">
        <f aca="false">IF(A2523="","",D2523*E2523)</f>
        <v/>
      </c>
      <c r="J2523" s="28" t="str">
        <f aca="false">IF(A2523="","",D2523*F2523)</f>
        <v/>
      </c>
      <c r="K2523" s="0" t="str">
        <f aca="false">IF(A2523="","",YEAR(A2523))</f>
        <v/>
      </c>
      <c r="L2523" s="0" t="str">
        <f aca="false">IF(A2523="","",MONTH(A2523))</f>
        <v/>
      </c>
    </row>
    <row r="2524" customFormat="false" ht="15" hidden="false" customHeight="false" outlineLevel="0" collapsed="false">
      <c r="A2524" s="27"/>
      <c r="E2524" s="28"/>
      <c r="F2524" s="28"/>
      <c r="I2524" s="28" t="str">
        <f aca="false">IF(A2524="","",D2524*E2524)</f>
        <v/>
      </c>
      <c r="J2524" s="28" t="str">
        <f aca="false">IF(A2524="","",D2524*F2524)</f>
        <v/>
      </c>
      <c r="K2524" s="0" t="str">
        <f aca="false">IF(A2524="","",YEAR(A2524))</f>
        <v/>
      </c>
      <c r="L2524" s="0" t="str">
        <f aca="false">IF(A2524="","",MONTH(A2524))</f>
        <v/>
      </c>
    </row>
    <row r="2525" customFormat="false" ht="15" hidden="false" customHeight="false" outlineLevel="0" collapsed="false">
      <c r="A2525" s="27"/>
      <c r="E2525" s="28"/>
      <c r="F2525" s="28"/>
      <c r="I2525" s="28" t="str">
        <f aca="false">IF(A2525="","",D2525*E2525)</f>
        <v/>
      </c>
      <c r="J2525" s="28" t="str">
        <f aca="false">IF(A2525="","",D2525*F2525)</f>
        <v/>
      </c>
      <c r="K2525" s="0" t="str">
        <f aca="false">IF(A2525="","",YEAR(A2525))</f>
        <v/>
      </c>
      <c r="L2525" s="0" t="str">
        <f aca="false">IF(A2525="","",MONTH(A2525))</f>
        <v/>
      </c>
    </row>
    <row r="2526" customFormat="false" ht="15" hidden="false" customHeight="false" outlineLevel="0" collapsed="false">
      <c r="A2526" s="27"/>
      <c r="E2526" s="28"/>
      <c r="F2526" s="28"/>
      <c r="I2526" s="28" t="str">
        <f aca="false">IF(A2526="","",D2526*E2526)</f>
        <v/>
      </c>
      <c r="J2526" s="28" t="str">
        <f aca="false">IF(A2526="","",D2526*F2526)</f>
        <v/>
      </c>
      <c r="K2526" s="0" t="str">
        <f aca="false">IF(A2526="","",YEAR(A2526))</f>
        <v/>
      </c>
      <c r="L2526" s="0" t="str">
        <f aca="false">IF(A2526="","",MONTH(A2526))</f>
        <v/>
      </c>
    </row>
    <row r="2527" customFormat="false" ht="15" hidden="false" customHeight="false" outlineLevel="0" collapsed="false">
      <c r="A2527" s="27"/>
      <c r="E2527" s="28"/>
      <c r="F2527" s="28"/>
      <c r="I2527" s="28" t="str">
        <f aca="false">IF(A2527="","",D2527*E2527)</f>
        <v/>
      </c>
      <c r="J2527" s="28" t="str">
        <f aca="false">IF(A2527="","",D2527*F2527)</f>
        <v/>
      </c>
      <c r="K2527" s="0" t="str">
        <f aca="false">IF(A2527="","",YEAR(A2527))</f>
        <v/>
      </c>
      <c r="L2527" s="0" t="str">
        <f aca="false">IF(A2527="","",MONTH(A2527))</f>
        <v/>
      </c>
    </row>
    <row r="2528" customFormat="false" ht="15" hidden="false" customHeight="false" outlineLevel="0" collapsed="false">
      <c r="A2528" s="27"/>
      <c r="E2528" s="28"/>
      <c r="F2528" s="28"/>
      <c r="I2528" s="28" t="str">
        <f aca="false">IF(A2528="","",D2528*E2528)</f>
        <v/>
      </c>
      <c r="J2528" s="28" t="str">
        <f aca="false">IF(A2528="","",D2528*F2528)</f>
        <v/>
      </c>
      <c r="K2528" s="0" t="str">
        <f aca="false">IF(A2528="","",YEAR(A2528))</f>
        <v/>
      </c>
      <c r="L2528" s="0" t="str">
        <f aca="false">IF(A2528="","",MONTH(A2528))</f>
        <v/>
      </c>
    </row>
    <row r="2529" customFormat="false" ht="15" hidden="false" customHeight="false" outlineLevel="0" collapsed="false">
      <c r="A2529" s="27"/>
      <c r="E2529" s="28"/>
      <c r="F2529" s="28"/>
      <c r="I2529" s="28" t="str">
        <f aca="false">IF(A2529="","",D2529*E2529)</f>
        <v/>
      </c>
      <c r="J2529" s="28" t="str">
        <f aca="false">IF(A2529="","",D2529*F2529)</f>
        <v/>
      </c>
      <c r="K2529" s="0" t="str">
        <f aca="false">IF(A2529="","",YEAR(A2529))</f>
        <v/>
      </c>
      <c r="L2529" s="0" t="str">
        <f aca="false">IF(A2529="","",MONTH(A2529))</f>
        <v/>
      </c>
    </row>
    <row r="2530" customFormat="false" ht="15" hidden="false" customHeight="false" outlineLevel="0" collapsed="false">
      <c r="A2530" s="27"/>
      <c r="E2530" s="28"/>
      <c r="F2530" s="28"/>
      <c r="I2530" s="28" t="str">
        <f aca="false">IF(A2530="","",D2530*E2530)</f>
        <v/>
      </c>
      <c r="J2530" s="28" t="str">
        <f aca="false">IF(A2530="","",D2530*F2530)</f>
        <v/>
      </c>
      <c r="K2530" s="0" t="str">
        <f aca="false">IF(A2530="","",YEAR(A2530))</f>
        <v/>
      </c>
      <c r="L2530" s="0" t="str">
        <f aca="false">IF(A2530="","",MONTH(A2530))</f>
        <v/>
      </c>
    </row>
    <row r="2531" customFormat="false" ht="15" hidden="false" customHeight="false" outlineLevel="0" collapsed="false">
      <c r="A2531" s="27"/>
      <c r="E2531" s="28"/>
      <c r="F2531" s="28"/>
      <c r="I2531" s="28" t="str">
        <f aca="false">IF(A2531="","",D2531*E2531)</f>
        <v/>
      </c>
      <c r="J2531" s="28" t="str">
        <f aca="false">IF(A2531="","",D2531*F2531)</f>
        <v/>
      </c>
      <c r="K2531" s="0" t="str">
        <f aca="false">IF(A2531="","",YEAR(A2531))</f>
        <v/>
      </c>
      <c r="L2531" s="0" t="str">
        <f aca="false">IF(A2531="","",MONTH(A2531))</f>
        <v/>
      </c>
    </row>
    <row r="2532" customFormat="false" ht="15" hidden="false" customHeight="false" outlineLevel="0" collapsed="false">
      <c r="A2532" s="27"/>
      <c r="E2532" s="28"/>
      <c r="F2532" s="28"/>
      <c r="I2532" s="28" t="str">
        <f aca="false">IF(A2532="","",D2532*E2532)</f>
        <v/>
      </c>
      <c r="J2532" s="28" t="str">
        <f aca="false">IF(A2532="","",D2532*F2532)</f>
        <v/>
      </c>
      <c r="K2532" s="0" t="str">
        <f aca="false">IF(A2532="","",YEAR(A2532))</f>
        <v/>
      </c>
      <c r="L2532" s="0" t="str">
        <f aca="false">IF(A2532="","",MONTH(A2532))</f>
        <v/>
      </c>
    </row>
    <row r="2533" customFormat="false" ht="15" hidden="false" customHeight="false" outlineLevel="0" collapsed="false">
      <c r="A2533" s="27"/>
      <c r="E2533" s="28"/>
      <c r="F2533" s="28"/>
      <c r="I2533" s="28" t="str">
        <f aca="false">IF(A2533="","",D2533*E2533)</f>
        <v/>
      </c>
      <c r="J2533" s="28" t="str">
        <f aca="false">IF(A2533="","",D2533*F2533)</f>
        <v/>
      </c>
      <c r="K2533" s="0" t="str">
        <f aca="false">IF(A2533="","",YEAR(A2533))</f>
        <v/>
      </c>
      <c r="L2533" s="0" t="str">
        <f aca="false">IF(A2533="","",MONTH(A2533))</f>
        <v/>
      </c>
    </row>
    <row r="2534" customFormat="false" ht="15" hidden="false" customHeight="false" outlineLevel="0" collapsed="false">
      <c r="A2534" s="27"/>
      <c r="E2534" s="28"/>
      <c r="F2534" s="28"/>
      <c r="I2534" s="28" t="str">
        <f aca="false">IF(A2534="","",D2534*E2534)</f>
        <v/>
      </c>
      <c r="J2534" s="28" t="str">
        <f aca="false">IF(A2534="","",D2534*F2534)</f>
        <v/>
      </c>
      <c r="K2534" s="0" t="str">
        <f aca="false">IF(A2534="","",YEAR(A2534))</f>
        <v/>
      </c>
      <c r="L2534" s="0" t="str">
        <f aca="false">IF(A2534="","",MONTH(A2534))</f>
        <v/>
      </c>
    </row>
    <row r="2535" customFormat="false" ht="15" hidden="false" customHeight="false" outlineLevel="0" collapsed="false">
      <c r="A2535" s="27"/>
      <c r="E2535" s="28"/>
      <c r="F2535" s="28"/>
      <c r="I2535" s="28" t="str">
        <f aca="false">IF(A2535="","",D2535*E2535)</f>
        <v/>
      </c>
      <c r="J2535" s="28" t="str">
        <f aca="false">IF(A2535="","",D2535*F2535)</f>
        <v/>
      </c>
      <c r="K2535" s="0" t="str">
        <f aca="false">IF(A2535="","",YEAR(A2535))</f>
        <v/>
      </c>
      <c r="L2535" s="0" t="str">
        <f aca="false">IF(A2535="","",MONTH(A2535))</f>
        <v/>
      </c>
    </row>
    <row r="2536" customFormat="false" ht="15" hidden="false" customHeight="false" outlineLevel="0" collapsed="false">
      <c r="A2536" s="27"/>
      <c r="E2536" s="28"/>
      <c r="F2536" s="28"/>
      <c r="I2536" s="28" t="str">
        <f aca="false">IF(A2536="","",D2536*E2536)</f>
        <v/>
      </c>
      <c r="J2536" s="28" t="str">
        <f aca="false">IF(A2536="","",D2536*F2536)</f>
        <v/>
      </c>
      <c r="K2536" s="0" t="str">
        <f aca="false">IF(A2536="","",YEAR(A2536))</f>
        <v/>
      </c>
      <c r="L2536" s="0" t="str">
        <f aca="false">IF(A2536="","",MONTH(A2536))</f>
        <v/>
      </c>
    </row>
    <row r="2537" customFormat="false" ht="15" hidden="false" customHeight="false" outlineLevel="0" collapsed="false">
      <c r="A2537" s="27"/>
      <c r="E2537" s="28"/>
      <c r="F2537" s="28"/>
      <c r="I2537" s="28" t="str">
        <f aca="false">IF(A2537="","",D2537*E2537)</f>
        <v/>
      </c>
      <c r="J2537" s="28" t="str">
        <f aca="false">IF(A2537="","",D2537*F2537)</f>
        <v/>
      </c>
      <c r="K2537" s="0" t="str">
        <f aca="false">IF(A2537="","",YEAR(A2537))</f>
        <v/>
      </c>
      <c r="L2537" s="0" t="str">
        <f aca="false">IF(A2537="","",MONTH(A2537))</f>
        <v/>
      </c>
    </row>
    <row r="2538" customFormat="false" ht="15" hidden="false" customHeight="false" outlineLevel="0" collapsed="false">
      <c r="A2538" s="27"/>
      <c r="E2538" s="28"/>
      <c r="F2538" s="28"/>
      <c r="I2538" s="28" t="str">
        <f aca="false">IF(A2538="","",D2538*E2538)</f>
        <v/>
      </c>
      <c r="J2538" s="28" t="str">
        <f aca="false">IF(A2538="","",D2538*F2538)</f>
        <v/>
      </c>
      <c r="K2538" s="0" t="str">
        <f aca="false">IF(A2538="","",YEAR(A2538))</f>
        <v/>
      </c>
      <c r="L2538" s="0" t="str">
        <f aca="false">IF(A2538="","",MONTH(A2538))</f>
        <v/>
      </c>
    </row>
    <row r="2539" customFormat="false" ht="15" hidden="false" customHeight="false" outlineLevel="0" collapsed="false">
      <c r="A2539" s="27"/>
      <c r="E2539" s="28"/>
      <c r="F2539" s="28"/>
      <c r="I2539" s="28" t="str">
        <f aca="false">IF(A2539="","",D2539*E2539)</f>
        <v/>
      </c>
      <c r="J2539" s="28" t="str">
        <f aca="false">IF(A2539="","",D2539*F2539)</f>
        <v/>
      </c>
      <c r="K2539" s="0" t="str">
        <f aca="false">IF(A2539="","",YEAR(A2539))</f>
        <v/>
      </c>
      <c r="L2539" s="0" t="str">
        <f aca="false">IF(A2539="","",MONTH(A2539))</f>
        <v/>
      </c>
    </row>
    <row r="2540" customFormat="false" ht="15" hidden="false" customHeight="false" outlineLevel="0" collapsed="false">
      <c r="A2540" s="27"/>
      <c r="E2540" s="28"/>
      <c r="F2540" s="28"/>
      <c r="I2540" s="28" t="str">
        <f aca="false">IF(A2540="","",D2540*E2540)</f>
        <v/>
      </c>
      <c r="J2540" s="28" t="str">
        <f aca="false">IF(A2540="","",D2540*F2540)</f>
        <v/>
      </c>
      <c r="K2540" s="0" t="str">
        <f aca="false">IF(A2540="","",YEAR(A2540))</f>
        <v/>
      </c>
      <c r="L2540" s="0" t="str">
        <f aca="false">IF(A2540="","",MONTH(A2540))</f>
        <v/>
      </c>
    </row>
    <row r="2541" customFormat="false" ht="15" hidden="false" customHeight="false" outlineLevel="0" collapsed="false">
      <c r="A2541" s="27"/>
      <c r="E2541" s="28"/>
      <c r="F2541" s="28"/>
      <c r="I2541" s="28" t="str">
        <f aca="false">IF(A2541="","",D2541*E2541)</f>
        <v/>
      </c>
      <c r="J2541" s="28" t="str">
        <f aca="false">IF(A2541="","",D2541*F2541)</f>
        <v/>
      </c>
      <c r="K2541" s="0" t="str">
        <f aca="false">IF(A2541="","",YEAR(A2541))</f>
        <v/>
      </c>
      <c r="L2541" s="0" t="str">
        <f aca="false">IF(A2541="","",MONTH(A2541))</f>
        <v/>
      </c>
    </row>
    <row r="2542" customFormat="false" ht="15" hidden="false" customHeight="false" outlineLevel="0" collapsed="false">
      <c r="A2542" s="27"/>
      <c r="E2542" s="28"/>
      <c r="F2542" s="28"/>
      <c r="I2542" s="28" t="str">
        <f aca="false">IF(A2542="","",D2542*E2542)</f>
        <v/>
      </c>
      <c r="J2542" s="28" t="str">
        <f aca="false">IF(A2542="","",D2542*F2542)</f>
        <v/>
      </c>
      <c r="K2542" s="0" t="str">
        <f aca="false">IF(A2542="","",YEAR(A2542))</f>
        <v/>
      </c>
      <c r="L2542" s="0" t="str">
        <f aca="false">IF(A2542="","",MONTH(A2542))</f>
        <v/>
      </c>
    </row>
    <row r="2543" customFormat="false" ht="15" hidden="false" customHeight="false" outlineLevel="0" collapsed="false">
      <c r="A2543" s="27"/>
      <c r="E2543" s="28"/>
      <c r="F2543" s="28"/>
      <c r="I2543" s="28" t="str">
        <f aca="false">IF(A2543="","",D2543*E2543)</f>
        <v/>
      </c>
      <c r="J2543" s="28" t="str">
        <f aca="false">IF(A2543="","",D2543*F2543)</f>
        <v/>
      </c>
      <c r="K2543" s="0" t="str">
        <f aca="false">IF(A2543="","",YEAR(A2543))</f>
        <v/>
      </c>
      <c r="L2543" s="0" t="str">
        <f aca="false">IF(A2543="","",MONTH(A2543))</f>
        <v/>
      </c>
    </row>
    <row r="2544" customFormat="false" ht="15" hidden="false" customHeight="false" outlineLevel="0" collapsed="false">
      <c r="A2544" s="27"/>
      <c r="E2544" s="28"/>
      <c r="F2544" s="28"/>
      <c r="I2544" s="28" t="str">
        <f aca="false">IF(A2544="","",D2544*E2544)</f>
        <v/>
      </c>
      <c r="J2544" s="28" t="str">
        <f aca="false">IF(A2544="","",D2544*F2544)</f>
        <v/>
      </c>
      <c r="K2544" s="0" t="str">
        <f aca="false">IF(A2544="","",YEAR(A2544))</f>
        <v/>
      </c>
      <c r="L2544" s="0" t="str">
        <f aca="false">IF(A2544="","",MONTH(A2544))</f>
        <v/>
      </c>
    </row>
    <row r="2545" customFormat="false" ht="15" hidden="false" customHeight="false" outlineLevel="0" collapsed="false">
      <c r="A2545" s="27"/>
      <c r="E2545" s="28"/>
      <c r="F2545" s="28"/>
      <c r="I2545" s="28" t="str">
        <f aca="false">IF(A2545="","",D2545*E2545)</f>
        <v/>
      </c>
      <c r="J2545" s="28" t="str">
        <f aca="false">IF(A2545="","",D2545*F2545)</f>
        <v/>
      </c>
      <c r="K2545" s="0" t="str">
        <f aca="false">IF(A2545="","",YEAR(A2545))</f>
        <v/>
      </c>
      <c r="L2545" s="0" t="str">
        <f aca="false">IF(A2545="","",MONTH(A2545))</f>
        <v/>
      </c>
    </row>
    <row r="2546" customFormat="false" ht="15" hidden="false" customHeight="false" outlineLevel="0" collapsed="false">
      <c r="A2546" s="27"/>
      <c r="E2546" s="28"/>
      <c r="F2546" s="28"/>
      <c r="I2546" s="28" t="str">
        <f aca="false">IF(A2546="","",D2546*E2546)</f>
        <v/>
      </c>
      <c r="J2546" s="28" t="str">
        <f aca="false">IF(A2546="","",D2546*F2546)</f>
        <v/>
      </c>
      <c r="K2546" s="0" t="str">
        <f aca="false">IF(A2546="","",YEAR(A2546))</f>
        <v/>
      </c>
      <c r="L2546" s="0" t="str">
        <f aca="false">IF(A2546="","",MONTH(A2546))</f>
        <v/>
      </c>
    </row>
    <row r="2547" customFormat="false" ht="15" hidden="false" customHeight="false" outlineLevel="0" collapsed="false">
      <c r="A2547" s="27"/>
      <c r="E2547" s="28"/>
      <c r="F2547" s="28"/>
      <c r="I2547" s="28" t="str">
        <f aca="false">IF(A2547="","",D2547*E2547)</f>
        <v/>
      </c>
      <c r="J2547" s="28" t="str">
        <f aca="false">IF(A2547="","",D2547*F2547)</f>
        <v/>
      </c>
      <c r="K2547" s="0" t="str">
        <f aca="false">IF(A2547="","",YEAR(A2547))</f>
        <v/>
      </c>
      <c r="L2547" s="0" t="str">
        <f aca="false">IF(A2547="","",MONTH(A2547))</f>
        <v/>
      </c>
    </row>
    <row r="2548" customFormat="false" ht="15" hidden="false" customHeight="false" outlineLevel="0" collapsed="false">
      <c r="A2548" s="27"/>
      <c r="E2548" s="28"/>
      <c r="F2548" s="28"/>
      <c r="I2548" s="28" t="str">
        <f aca="false">IF(A2548="","",D2548*E2548)</f>
        <v/>
      </c>
      <c r="J2548" s="28" t="str">
        <f aca="false">IF(A2548="","",D2548*F2548)</f>
        <v/>
      </c>
      <c r="K2548" s="0" t="str">
        <f aca="false">IF(A2548="","",YEAR(A2548))</f>
        <v/>
      </c>
      <c r="L2548" s="0" t="str">
        <f aca="false">IF(A2548="","",MONTH(A2548))</f>
        <v/>
      </c>
    </row>
    <row r="2549" customFormat="false" ht="15" hidden="false" customHeight="false" outlineLevel="0" collapsed="false">
      <c r="A2549" s="27"/>
      <c r="E2549" s="28"/>
      <c r="F2549" s="28"/>
      <c r="I2549" s="28" t="str">
        <f aca="false">IF(A2549="","",D2549*E2549)</f>
        <v/>
      </c>
      <c r="J2549" s="28" t="str">
        <f aca="false">IF(A2549="","",D2549*F2549)</f>
        <v/>
      </c>
      <c r="K2549" s="0" t="str">
        <f aca="false">IF(A2549="","",YEAR(A2549))</f>
        <v/>
      </c>
      <c r="L2549" s="0" t="str">
        <f aca="false">IF(A2549="","",MONTH(A2549))</f>
        <v/>
      </c>
    </row>
    <row r="2550" customFormat="false" ht="15" hidden="false" customHeight="false" outlineLevel="0" collapsed="false">
      <c r="A2550" s="27"/>
      <c r="E2550" s="28"/>
      <c r="F2550" s="28"/>
      <c r="I2550" s="28" t="str">
        <f aca="false">IF(A2550="","",D2550*E2550)</f>
        <v/>
      </c>
      <c r="J2550" s="28" t="str">
        <f aca="false">IF(A2550="","",D2550*F2550)</f>
        <v/>
      </c>
      <c r="K2550" s="0" t="str">
        <f aca="false">IF(A2550="","",YEAR(A2550))</f>
        <v/>
      </c>
      <c r="L2550" s="0" t="str">
        <f aca="false">IF(A2550="","",MONTH(A2550))</f>
        <v/>
      </c>
    </row>
    <row r="2551" customFormat="false" ht="15" hidden="false" customHeight="false" outlineLevel="0" collapsed="false">
      <c r="A2551" s="27"/>
      <c r="E2551" s="28"/>
      <c r="F2551" s="28"/>
      <c r="I2551" s="28" t="str">
        <f aca="false">IF(A2551="","",D2551*E2551)</f>
        <v/>
      </c>
      <c r="J2551" s="28" t="str">
        <f aca="false">IF(A2551="","",D2551*F2551)</f>
        <v/>
      </c>
      <c r="K2551" s="0" t="str">
        <f aca="false">IF(A2551="","",YEAR(A2551))</f>
        <v/>
      </c>
      <c r="L2551" s="0" t="str">
        <f aca="false">IF(A2551="","",MONTH(A2551))</f>
        <v/>
      </c>
    </row>
    <row r="2552" customFormat="false" ht="15" hidden="false" customHeight="false" outlineLevel="0" collapsed="false">
      <c r="A2552" s="27"/>
      <c r="E2552" s="28"/>
      <c r="F2552" s="28"/>
      <c r="I2552" s="28" t="str">
        <f aca="false">IF(A2552="","",D2552*E2552)</f>
        <v/>
      </c>
      <c r="J2552" s="28" t="str">
        <f aca="false">IF(A2552="","",D2552*F2552)</f>
        <v/>
      </c>
      <c r="K2552" s="0" t="str">
        <f aca="false">IF(A2552="","",YEAR(A2552))</f>
        <v/>
      </c>
      <c r="L2552" s="0" t="str">
        <f aca="false">IF(A2552="","",MONTH(A2552))</f>
        <v/>
      </c>
    </row>
    <row r="2553" customFormat="false" ht="15" hidden="false" customHeight="false" outlineLevel="0" collapsed="false">
      <c r="A2553" s="27"/>
      <c r="E2553" s="28"/>
      <c r="F2553" s="28"/>
      <c r="I2553" s="28" t="str">
        <f aca="false">IF(A2553="","",D2553*E2553)</f>
        <v/>
      </c>
      <c r="J2553" s="28" t="str">
        <f aca="false">IF(A2553="","",D2553*F2553)</f>
        <v/>
      </c>
      <c r="K2553" s="0" t="str">
        <f aca="false">IF(A2553="","",YEAR(A2553))</f>
        <v/>
      </c>
      <c r="L2553" s="0" t="str">
        <f aca="false">IF(A2553="","",MONTH(A2553))</f>
        <v/>
      </c>
    </row>
    <row r="2554" customFormat="false" ht="15" hidden="false" customHeight="false" outlineLevel="0" collapsed="false">
      <c r="A2554" s="27"/>
      <c r="E2554" s="28"/>
      <c r="F2554" s="28"/>
      <c r="I2554" s="28" t="str">
        <f aca="false">IF(A2554="","",D2554*E2554)</f>
        <v/>
      </c>
      <c r="J2554" s="28" t="str">
        <f aca="false">IF(A2554="","",D2554*F2554)</f>
        <v/>
      </c>
      <c r="K2554" s="0" t="str">
        <f aca="false">IF(A2554="","",YEAR(A2554))</f>
        <v/>
      </c>
      <c r="L2554" s="0" t="str">
        <f aca="false">IF(A2554="","",MONTH(A2554))</f>
        <v/>
      </c>
    </row>
    <row r="2555" customFormat="false" ht="15" hidden="false" customHeight="false" outlineLevel="0" collapsed="false">
      <c r="A2555" s="27"/>
      <c r="E2555" s="28"/>
      <c r="F2555" s="28"/>
      <c r="I2555" s="28" t="str">
        <f aca="false">IF(A2555="","",D2555*E2555)</f>
        <v/>
      </c>
      <c r="J2555" s="28" t="str">
        <f aca="false">IF(A2555="","",D2555*F2555)</f>
        <v/>
      </c>
      <c r="K2555" s="0" t="str">
        <f aca="false">IF(A2555="","",YEAR(A2555))</f>
        <v/>
      </c>
      <c r="L2555" s="0" t="str">
        <f aca="false">IF(A2555="","",MONTH(A2555))</f>
        <v/>
      </c>
    </row>
    <row r="2556" customFormat="false" ht="15" hidden="false" customHeight="false" outlineLevel="0" collapsed="false">
      <c r="A2556" s="27"/>
      <c r="E2556" s="28"/>
      <c r="F2556" s="28"/>
      <c r="I2556" s="28" t="str">
        <f aca="false">IF(A2556="","",D2556*E2556)</f>
        <v/>
      </c>
      <c r="J2556" s="28" t="str">
        <f aca="false">IF(A2556="","",D2556*F2556)</f>
        <v/>
      </c>
      <c r="K2556" s="0" t="str">
        <f aca="false">IF(A2556="","",YEAR(A2556))</f>
        <v/>
      </c>
      <c r="L2556" s="0" t="str">
        <f aca="false">IF(A2556="","",MONTH(A2556))</f>
        <v/>
      </c>
    </row>
    <row r="2557" customFormat="false" ht="15" hidden="false" customHeight="false" outlineLevel="0" collapsed="false">
      <c r="A2557" s="27"/>
      <c r="E2557" s="28"/>
      <c r="F2557" s="28"/>
      <c r="I2557" s="28" t="str">
        <f aca="false">IF(A2557="","",D2557*E2557)</f>
        <v/>
      </c>
      <c r="J2557" s="28" t="str">
        <f aca="false">IF(A2557="","",D2557*F2557)</f>
        <v/>
      </c>
      <c r="K2557" s="0" t="str">
        <f aca="false">IF(A2557="","",YEAR(A2557))</f>
        <v/>
      </c>
      <c r="L2557" s="0" t="str">
        <f aca="false">IF(A2557="","",MONTH(A2557))</f>
        <v/>
      </c>
    </row>
    <row r="2558" customFormat="false" ht="15" hidden="false" customHeight="false" outlineLevel="0" collapsed="false">
      <c r="A2558" s="27"/>
      <c r="E2558" s="28"/>
      <c r="F2558" s="28"/>
      <c r="I2558" s="28" t="str">
        <f aca="false">IF(A2558="","",D2558*E2558)</f>
        <v/>
      </c>
      <c r="J2558" s="28" t="str">
        <f aca="false">IF(A2558="","",D2558*F2558)</f>
        <v/>
      </c>
      <c r="K2558" s="0" t="str">
        <f aca="false">IF(A2558="","",YEAR(A2558))</f>
        <v/>
      </c>
      <c r="L2558" s="0" t="str">
        <f aca="false">IF(A2558="","",MONTH(A2558))</f>
        <v/>
      </c>
    </row>
    <row r="2559" customFormat="false" ht="15" hidden="false" customHeight="false" outlineLevel="0" collapsed="false">
      <c r="A2559" s="27"/>
      <c r="E2559" s="28"/>
      <c r="F2559" s="28"/>
      <c r="I2559" s="28" t="str">
        <f aca="false">IF(A2559="","",D2559*E2559)</f>
        <v/>
      </c>
      <c r="J2559" s="28" t="str">
        <f aca="false">IF(A2559="","",D2559*F2559)</f>
        <v/>
      </c>
      <c r="K2559" s="0" t="str">
        <f aca="false">IF(A2559="","",YEAR(A2559))</f>
        <v/>
      </c>
      <c r="L2559" s="0" t="str">
        <f aca="false">IF(A2559="","",MONTH(A2559))</f>
        <v/>
      </c>
    </row>
    <row r="2560" customFormat="false" ht="15" hidden="false" customHeight="false" outlineLevel="0" collapsed="false">
      <c r="A2560" s="27"/>
      <c r="E2560" s="28"/>
      <c r="F2560" s="28"/>
      <c r="I2560" s="28" t="str">
        <f aca="false">IF(A2560="","",D2560*E2560)</f>
        <v/>
      </c>
      <c r="J2560" s="28" t="str">
        <f aca="false">IF(A2560="","",D2560*F2560)</f>
        <v/>
      </c>
      <c r="K2560" s="0" t="str">
        <f aca="false">IF(A2560="","",YEAR(A2560))</f>
        <v/>
      </c>
      <c r="L2560" s="0" t="str">
        <f aca="false">IF(A2560="","",MONTH(A2560))</f>
        <v/>
      </c>
    </row>
    <row r="2561" customFormat="false" ht="15" hidden="false" customHeight="false" outlineLevel="0" collapsed="false">
      <c r="A2561" s="27"/>
      <c r="E2561" s="28"/>
      <c r="F2561" s="28"/>
      <c r="I2561" s="28" t="str">
        <f aca="false">IF(A2561="","",D2561*E2561)</f>
        <v/>
      </c>
      <c r="J2561" s="28" t="str">
        <f aca="false">IF(A2561="","",D2561*F2561)</f>
        <v/>
      </c>
      <c r="K2561" s="0" t="str">
        <f aca="false">IF(A2561="","",YEAR(A2561))</f>
        <v/>
      </c>
      <c r="L2561" s="0" t="str">
        <f aca="false">IF(A2561="","",MONTH(A2561))</f>
        <v/>
      </c>
    </row>
    <row r="2562" customFormat="false" ht="15" hidden="false" customHeight="false" outlineLevel="0" collapsed="false">
      <c r="A2562" s="27"/>
      <c r="E2562" s="28"/>
      <c r="F2562" s="28"/>
      <c r="I2562" s="28" t="str">
        <f aca="false">IF(A2562="","",D2562*E2562)</f>
        <v/>
      </c>
      <c r="J2562" s="28" t="str">
        <f aca="false">IF(A2562="","",D2562*F2562)</f>
        <v/>
      </c>
      <c r="K2562" s="0" t="str">
        <f aca="false">IF(A2562="","",YEAR(A2562))</f>
        <v/>
      </c>
      <c r="L2562" s="0" t="str">
        <f aca="false">IF(A2562="","",MONTH(A2562))</f>
        <v/>
      </c>
    </row>
    <row r="2563" customFormat="false" ht="15" hidden="false" customHeight="false" outlineLevel="0" collapsed="false">
      <c r="A2563" s="27"/>
      <c r="E2563" s="28"/>
      <c r="F2563" s="28"/>
      <c r="I2563" s="28" t="str">
        <f aca="false">IF(A2563="","",D2563*E2563)</f>
        <v/>
      </c>
      <c r="J2563" s="28" t="str">
        <f aca="false">IF(A2563="","",D2563*F2563)</f>
        <v/>
      </c>
      <c r="K2563" s="0" t="str">
        <f aca="false">IF(A2563="","",YEAR(A2563))</f>
        <v/>
      </c>
      <c r="L2563" s="0" t="str">
        <f aca="false">IF(A2563="","",MONTH(A2563))</f>
        <v/>
      </c>
    </row>
    <row r="2564" customFormat="false" ht="15" hidden="false" customHeight="false" outlineLevel="0" collapsed="false">
      <c r="A2564" s="27"/>
      <c r="E2564" s="28"/>
      <c r="F2564" s="28"/>
      <c r="I2564" s="28" t="str">
        <f aca="false">IF(A2564="","",D2564*E2564)</f>
        <v/>
      </c>
      <c r="J2564" s="28" t="str">
        <f aca="false">IF(A2564="","",D2564*F2564)</f>
        <v/>
      </c>
      <c r="K2564" s="0" t="str">
        <f aca="false">IF(A2564="","",YEAR(A2564))</f>
        <v/>
      </c>
      <c r="L2564" s="0" t="str">
        <f aca="false">IF(A2564="","",MONTH(A2564))</f>
        <v/>
      </c>
    </row>
    <row r="2565" customFormat="false" ht="15" hidden="false" customHeight="false" outlineLevel="0" collapsed="false">
      <c r="A2565" s="27"/>
      <c r="E2565" s="28"/>
      <c r="F2565" s="28"/>
      <c r="I2565" s="28" t="str">
        <f aca="false">IF(A2565="","",D2565*E2565)</f>
        <v/>
      </c>
      <c r="J2565" s="28" t="str">
        <f aca="false">IF(A2565="","",D2565*F2565)</f>
        <v/>
      </c>
      <c r="K2565" s="0" t="str">
        <f aca="false">IF(A2565="","",YEAR(A2565))</f>
        <v/>
      </c>
      <c r="L2565" s="0" t="str">
        <f aca="false">IF(A2565="","",MONTH(A2565))</f>
        <v/>
      </c>
    </row>
    <row r="2566" customFormat="false" ht="15" hidden="false" customHeight="false" outlineLevel="0" collapsed="false">
      <c r="A2566" s="27"/>
      <c r="E2566" s="28"/>
      <c r="F2566" s="28"/>
      <c r="I2566" s="28" t="str">
        <f aca="false">IF(A2566="","",D2566*E2566)</f>
        <v/>
      </c>
      <c r="J2566" s="28" t="str">
        <f aca="false">IF(A2566="","",D2566*F2566)</f>
        <v/>
      </c>
      <c r="K2566" s="0" t="str">
        <f aca="false">IF(A2566="","",YEAR(A2566))</f>
        <v/>
      </c>
      <c r="L2566" s="0" t="str">
        <f aca="false">IF(A2566="","",MONTH(A2566))</f>
        <v/>
      </c>
    </row>
    <row r="2567" customFormat="false" ht="15" hidden="false" customHeight="false" outlineLevel="0" collapsed="false">
      <c r="A2567" s="27"/>
      <c r="E2567" s="28"/>
      <c r="F2567" s="28"/>
      <c r="I2567" s="28" t="str">
        <f aca="false">IF(A2567="","",D2567*E2567)</f>
        <v/>
      </c>
      <c r="J2567" s="28" t="str">
        <f aca="false">IF(A2567="","",D2567*F2567)</f>
        <v/>
      </c>
      <c r="K2567" s="0" t="str">
        <f aca="false">IF(A2567="","",YEAR(A2567))</f>
        <v/>
      </c>
      <c r="L2567" s="0" t="str">
        <f aca="false">IF(A2567="","",MONTH(A2567))</f>
        <v/>
      </c>
    </row>
    <row r="2568" customFormat="false" ht="15" hidden="false" customHeight="false" outlineLevel="0" collapsed="false">
      <c r="A2568" s="27"/>
      <c r="E2568" s="28"/>
      <c r="F2568" s="28"/>
      <c r="I2568" s="28" t="str">
        <f aca="false">IF(A2568="","",D2568*E2568)</f>
        <v/>
      </c>
      <c r="J2568" s="28" t="str">
        <f aca="false">IF(A2568="","",D2568*F2568)</f>
        <v/>
      </c>
      <c r="K2568" s="0" t="str">
        <f aca="false">IF(A2568="","",YEAR(A2568))</f>
        <v/>
      </c>
      <c r="L2568" s="0" t="str">
        <f aca="false">IF(A2568="","",MONTH(A2568))</f>
        <v/>
      </c>
    </row>
    <row r="2569" customFormat="false" ht="15" hidden="false" customHeight="false" outlineLevel="0" collapsed="false">
      <c r="A2569" s="27"/>
      <c r="E2569" s="28"/>
      <c r="F2569" s="28"/>
      <c r="I2569" s="28" t="str">
        <f aca="false">IF(A2569="","",D2569*E2569)</f>
        <v/>
      </c>
      <c r="J2569" s="28" t="str">
        <f aca="false">IF(A2569="","",D2569*F2569)</f>
        <v/>
      </c>
      <c r="K2569" s="0" t="str">
        <f aca="false">IF(A2569="","",YEAR(A2569))</f>
        <v/>
      </c>
      <c r="L2569" s="0" t="str">
        <f aca="false">IF(A2569="","",MONTH(A2569))</f>
        <v/>
      </c>
    </row>
    <row r="2570" customFormat="false" ht="15" hidden="false" customHeight="false" outlineLevel="0" collapsed="false">
      <c r="A2570" s="27"/>
      <c r="E2570" s="28"/>
      <c r="F2570" s="28"/>
      <c r="I2570" s="28" t="str">
        <f aca="false">IF(A2570="","",D2570*E2570)</f>
        <v/>
      </c>
      <c r="J2570" s="28" t="str">
        <f aca="false">IF(A2570="","",D2570*F2570)</f>
        <v/>
      </c>
      <c r="K2570" s="0" t="str">
        <f aca="false">IF(A2570="","",YEAR(A2570))</f>
        <v/>
      </c>
      <c r="L2570" s="0" t="str">
        <f aca="false">IF(A2570="","",MONTH(A2570))</f>
        <v/>
      </c>
    </row>
    <row r="2571" customFormat="false" ht="15" hidden="false" customHeight="false" outlineLevel="0" collapsed="false">
      <c r="A2571" s="27"/>
      <c r="E2571" s="28"/>
      <c r="F2571" s="28"/>
      <c r="I2571" s="28" t="str">
        <f aca="false">IF(A2571="","",D2571*E2571)</f>
        <v/>
      </c>
      <c r="J2571" s="28" t="str">
        <f aca="false">IF(A2571="","",D2571*F2571)</f>
        <v/>
      </c>
      <c r="K2571" s="0" t="str">
        <f aca="false">IF(A2571="","",YEAR(A2571))</f>
        <v/>
      </c>
      <c r="L2571" s="0" t="str">
        <f aca="false">IF(A2571="","",MONTH(A2571))</f>
        <v/>
      </c>
    </row>
    <row r="2572" customFormat="false" ht="15" hidden="false" customHeight="false" outlineLevel="0" collapsed="false">
      <c r="A2572" s="27"/>
      <c r="E2572" s="28"/>
      <c r="F2572" s="28"/>
      <c r="I2572" s="28" t="str">
        <f aca="false">IF(A2572="","",D2572*E2572)</f>
        <v/>
      </c>
      <c r="J2572" s="28" t="str">
        <f aca="false">IF(A2572="","",D2572*F2572)</f>
        <v/>
      </c>
      <c r="K2572" s="0" t="str">
        <f aca="false">IF(A2572="","",YEAR(A2572))</f>
        <v/>
      </c>
      <c r="L2572" s="0" t="str">
        <f aca="false">IF(A2572="","",MONTH(A2572))</f>
        <v/>
      </c>
    </row>
    <row r="2573" customFormat="false" ht="15" hidden="false" customHeight="false" outlineLevel="0" collapsed="false">
      <c r="A2573" s="27"/>
      <c r="E2573" s="28"/>
      <c r="F2573" s="28"/>
      <c r="I2573" s="28" t="str">
        <f aca="false">IF(A2573="","",D2573*E2573)</f>
        <v/>
      </c>
      <c r="J2573" s="28" t="str">
        <f aca="false">IF(A2573="","",D2573*F2573)</f>
        <v/>
      </c>
      <c r="K2573" s="0" t="str">
        <f aca="false">IF(A2573="","",YEAR(A2573))</f>
        <v/>
      </c>
      <c r="L2573" s="0" t="str">
        <f aca="false">IF(A2573="","",MONTH(A2573))</f>
        <v/>
      </c>
    </row>
    <row r="2574" customFormat="false" ht="15" hidden="false" customHeight="false" outlineLevel="0" collapsed="false">
      <c r="A2574" s="27"/>
      <c r="E2574" s="28"/>
      <c r="F2574" s="28"/>
      <c r="I2574" s="28" t="str">
        <f aca="false">IF(A2574="","",D2574*E2574)</f>
        <v/>
      </c>
      <c r="J2574" s="28" t="str">
        <f aca="false">IF(A2574="","",D2574*F2574)</f>
        <v/>
      </c>
      <c r="K2574" s="0" t="str">
        <f aca="false">IF(A2574="","",YEAR(A2574))</f>
        <v/>
      </c>
      <c r="L2574" s="0" t="str">
        <f aca="false">IF(A2574="","",MONTH(A2574))</f>
        <v/>
      </c>
    </row>
    <row r="2575" customFormat="false" ht="15" hidden="false" customHeight="false" outlineLevel="0" collapsed="false">
      <c r="A2575" s="27"/>
      <c r="E2575" s="28"/>
      <c r="F2575" s="28"/>
      <c r="I2575" s="28" t="str">
        <f aca="false">IF(A2575="","",D2575*E2575)</f>
        <v/>
      </c>
      <c r="J2575" s="28" t="str">
        <f aca="false">IF(A2575="","",D2575*F2575)</f>
        <v/>
      </c>
      <c r="K2575" s="0" t="str">
        <f aca="false">IF(A2575="","",YEAR(A2575))</f>
        <v/>
      </c>
      <c r="L2575" s="0" t="str">
        <f aca="false">IF(A2575="","",MONTH(A2575))</f>
        <v/>
      </c>
    </row>
    <row r="2576" customFormat="false" ht="15" hidden="false" customHeight="false" outlineLevel="0" collapsed="false">
      <c r="A2576" s="27"/>
      <c r="E2576" s="28"/>
      <c r="F2576" s="28"/>
      <c r="I2576" s="28" t="str">
        <f aca="false">IF(A2576="","",D2576*E2576)</f>
        <v/>
      </c>
      <c r="J2576" s="28" t="str">
        <f aca="false">IF(A2576="","",D2576*F2576)</f>
        <v/>
      </c>
      <c r="K2576" s="0" t="str">
        <f aca="false">IF(A2576="","",YEAR(A2576))</f>
        <v/>
      </c>
      <c r="L2576" s="0" t="str">
        <f aca="false">IF(A2576="","",MONTH(A2576))</f>
        <v/>
      </c>
    </row>
    <row r="2577" customFormat="false" ht="15" hidden="false" customHeight="false" outlineLevel="0" collapsed="false">
      <c r="A2577" s="27"/>
      <c r="E2577" s="28"/>
      <c r="F2577" s="28"/>
      <c r="I2577" s="28" t="str">
        <f aca="false">IF(A2577="","",D2577*E2577)</f>
        <v/>
      </c>
      <c r="J2577" s="28" t="str">
        <f aca="false">IF(A2577="","",D2577*F2577)</f>
        <v/>
      </c>
      <c r="K2577" s="0" t="str">
        <f aca="false">IF(A2577="","",YEAR(A2577))</f>
        <v/>
      </c>
      <c r="L2577" s="0" t="str">
        <f aca="false">IF(A2577="","",MONTH(A2577))</f>
        <v/>
      </c>
    </row>
    <row r="2578" customFormat="false" ht="15" hidden="false" customHeight="false" outlineLevel="0" collapsed="false">
      <c r="A2578" s="27"/>
      <c r="E2578" s="28"/>
      <c r="F2578" s="28"/>
      <c r="I2578" s="28" t="str">
        <f aca="false">IF(A2578="","",D2578*E2578)</f>
        <v/>
      </c>
      <c r="J2578" s="28" t="str">
        <f aca="false">IF(A2578="","",D2578*F2578)</f>
        <v/>
      </c>
      <c r="K2578" s="0" t="str">
        <f aca="false">IF(A2578="","",YEAR(A2578))</f>
        <v/>
      </c>
      <c r="L2578" s="0" t="str">
        <f aca="false">IF(A2578="","",MONTH(A2578))</f>
        <v/>
      </c>
    </row>
    <row r="2579" customFormat="false" ht="15" hidden="false" customHeight="false" outlineLevel="0" collapsed="false">
      <c r="A2579" s="27"/>
      <c r="E2579" s="28"/>
      <c r="F2579" s="28"/>
      <c r="I2579" s="28" t="str">
        <f aca="false">IF(A2579="","",D2579*E2579)</f>
        <v/>
      </c>
      <c r="J2579" s="28" t="str">
        <f aca="false">IF(A2579="","",D2579*F2579)</f>
        <v/>
      </c>
      <c r="K2579" s="0" t="str">
        <f aca="false">IF(A2579="","",YEAR(A2579))</f>
        <v/>
      </c>
      <c r="L2579" s="0" t="str">
        <f aca="false">IF(A2579="","",MONTH(A2579))</f>
        <v/>
      </c>
    </row>
    <row r="2580" customFormat="false" ht="15" hidden="false" customHeight="false" outlineLevel="0" collapsed="false">
      <c r="A2580" s="27"/>
      <c r="E2580" s="28"/>
      <c r="F2580" s="28"/>
      <c r="I2580" s="28" t="str">
        <f aca="false">IF(A2580="","",D2580*E2580)</f>
        <v/>
      </c>
      <c r="J2580" s="28" t="str">
        <f aca="false">IF(A2580="","",D2580*F2580)</f>
        <v/>
      </c>
      <c r="K2580" s="0" t="str">
        <f aca="false">IF(A2580="","",YEAR(A2580))</f>
        <v/>
      </c>
      <c r="L2580" s="0" t="str">
        <f aca="false">IF(A2580="","",MONTH(A2580))</f>
        <v/>
      </c>
    </row>
    <row r="2581" customFormat="false" ht="15" hidden="false" customHeight="false" outlineLevel="0" collapsed="false">
      <c r="A2581" s="27"/>
      <c r="E2581" s="28"/>
      <c r="F2581" s="28"/>
      <c r="I2581" s="28" t="str">
        <f aca="false">IF(A2581="","",D2581*E2581)</f>
        <v/>
      </c>
      <c r="J2581" s="28" t="str">
        <f aca="false">IF(A2581="","",D2581*F2581)</f>
        <v/>
      </c>
      <c r="K2581" s="0" t="str">
        <f aca="false">IF(A2581="","",YEAR(A2581))</f>
        <v/>
      </c>
      <c r="L2581" s="0" t="str">
        <f aca="false">IF(A2581="","",MONTH(A2581))</f>
        <v/>
      </c>
    </row>
    <row r="2582" customFormat="false" ht="15" hidden="false" customHeight="false" outlineLevel="0" collapsed="false">
      <c r="A2582" s="27"/>
      <c r="E2582" s="28"/>
      <c r="F2582" s="28"/>
      <c r="I2582" s="28" t="str">
        <f aca="false">IF(A2582="","",D2582*E2582)</f>
        <v/>
      </c>
      <c r="J2582" s="28" t="str">
        <f aca="false">IF(A2582="","",D2582*F2582)</f>
        <v/>
      </c>
      <c r="K2582" s="0" t="str">
        <f aca="false">IF(A2582="","",YEAR(A2582))</f>
        <v/>
      </c>
      <c r="L2582" s="0" t="str">
        <f aca="false">IF(A2582="","",MONTH(A2582))</f>
        <v/>
      </c>
    </row>
    <row r="2583" customFormat="false" ht="15" hidden="false" customHeight="false" outlineLevel="0" collapsed="false">
      <c r="A2583" s="27"/>
      <c r="E2583" s="28"/>
      <c r="F2583" s="28"/>
      <c r="I2583" s="28" t="str">
        <f aca="false">IF(A2583="","",D2583*E2583)</f>
        <v/>
      </c>
      <c r="J2583" s="28" t="str">
        <f aca="false">IF(A2583="","",D2583*F2583)</f>
        <v/>
      </c>
      <c r="K2583" s="0" t="str">
        <f aca="false">IF(A2583="","",YEAR(A2583))</f>
        <v/>
      </c>
      <c r="L2583" s="0" t="str">
        <f aca="false">IF(A2583="","",MONTH(A2583))</f>
        <v/>
      </c>
    </row>
    <row r="2584" customFormat="false" ht="15" hidden="false" customHeight="false" outlineLevel="0" collapsed="false">
      <c r="A2584" s="27"/>
      <c r="E2584" s="28"/>
      <c r="F2584" s="28"/>
      <c r="I2584" s="28" t="str">
        <f aca="false">IF(A2584="","",D2584*E2584)</f>
        <v/>
      </c>
      <c r="J2584" s="28" t="str">
        <f aca="false">IF(A2584="","",D2584*F2584)</f>
        <v/>
      </c>
      <c r="K2584" s="0" t="str">
        <f aca="false">IF(A2584="","",YEAR(A2584))</f>
        <v/>
      </c>
      <c r="L2584" s="0" t="str">
        <f aca="false">IF(A2584="","",MONTH(A2584))</f>
        <v/>
      </c>
    </row>
    <row r="2585" customFormat="false" ht="15" hidden="false" customHeight="false" outlineLevel="0" collapsed="false">
      <c r="A2585" s="27"/>
      <c r="E2585" s="28"/>
      <c r="F2585" s="28"/>
      <c r="I2585" s="28" t="str">
        <f aca="false">IF(A2585="","",D2585*E2585)</f>
        <v/>
      </c>
      <c r="J2585" s="28" t="str">
        <f aca="false">IF(A2585="","",D2585*F2585)</f>
        <v/>
      </c>
      <c r="K2585" s="0" t="str">
        <f aca="false">IF(A2585="","",YEAR(A2585))</f>
        <v/>
      </c>
      <c r="L2585" s="0" t="str">
        <f aca="false">IF(A2585="","",MONTH(A2585))</f>
        <v/>
      </c>
    </row>
    <row r="2586" customFormat="false" ht="15" hidden="false" customHeight="false" outlineLevel="0" collapsed="false">
      <c r="A2586" s="27"/>
      <c r="E2586" s="28"/>
      <c r="F2586" s="28"/>
      <c r="I2586" s="28" t="str">
        <f aca="false">IF(A2586="","",D2586*E2586)</f>
        <v/>
      </c>
      <c r="J2586" s="28" t="str">
        <f aca="false">IF(A2586="","",D2586*F2586)</f>
        <v/>
      </c>
      <c r="K2586" s="0" t="str">
        <f aca="false">IF(A2586="","",YEAR(A2586))</f>
        <v/>
      </c>
      <c r="L2586" s="0" t="str">
        <f aca="false">IF(A2586="","",MONTH(A2586))</f>
        <v/>
      </c>
    </row>
    <row r="2587" customFormat="false" ht="15" hidden="false" customHeight="false" outlineLevel="0" collapsed="false">
      <c r="A2587" s="27"/>
      <c r="E2587" s="28"/>
      <c r="F2587" s="28"/>
      <c r="I2587" s="28" t="str">
        <f aca="false">IF(A2587="","",D2587*E2587)</f>
        <v/>
      </c>
      <c r="J2587" s="28" t="str">
        <f aca="false">IF(A2587="","",D2587*F2587)</f>
        <v/>
      </c>
      <c r="K2587" s="0" t="str">
        <f aca="false">IF(A2587="","",YEAR(A2587))</f>
        <v/>
      </c>
      <c r="L2587" s="0" t="str">
        <f aca="false">IF(A2587="","",MONTH(A2587))</f>
        <v/>
      </c>
    </row>
    <row r="2588" customFormat="false" ht="15" hidden="false" customHeight="false" outlineLevel="0" collapsed="false">
      <c r="A2588" s="27"/>
      <c r="E2588" s="28"/>
      <c r="F2588" s="28"/>
      <c r="I2588" s="28" t="str">
        <f aca="false">IF(A2588="","",D2588*E2588)</f>
        <v/>
      </c>
      <c r="J2588" s="28" t="str">
        <f aca="false">IF(A2588="","",D2588*F2588)</f>
        <v/>
      </c>
      <c r="K2588" s="0" t="str">
        <f aca="false">IF(A2588="","",YEAR(A2588))</f>
        <v/>
      </c>
      <c r="L2588" s="0" t="str">
        <f aca="false">IF(A2588="","",MONTH(A2588))</f>
        <v/>
      </c>
    </row>
    <row r="2589" customFormat="false" ht="15" hidden="false" customHeight="false" outlineLevel="0" collapsed="false">
      <c r="A2589" s="27"/>
      <c r="E2589" s="28"/>
      <c r="F2589" s="28"/>
      <c r="I2589" s="28" t="str">
        <f aca="false">IF(A2589="","",D2589*E2589)</f>
        <v/>
      </c>
      <c r="J2589" s="28" t="str">
        <f aca="false">IF(A2589="","",D2589*F2589)</f>
        <v/>
      </c>
      <c r="K2589" s="0" t="str">
        <f aca="false">IF(A2589="","",YEAR(A2589))</f>
        <v/>
      </c>
      <c r="L2589" s="0" t="str">
        <f aca="false">IF(A2589="","",MONTH(A2589))</f>
        <v/>
      </c>
    </row>
    <row r="2590" customFormat="false" ht="15" hidden="false" customHeight="false" outlineLevel="0" collapsed="false">
      <c r="A2590" s="27"/>
      <c r="E2590" s="28"/>
      <c r="F2590" s="28"/>
      <c r="I2590" s="28" t="str">
        <f aca="false">IF(A2590="","",D2590*E2590)</f>
        <v/>
      </c>
      <c r="J2590" s="28" t="str">
        <f aca="false">IF(A2590="","",D2590*F2590)</f>
        <v/>
      </c>
      <c r="K2590" s="0" t="str">
        <f aca="false">IF(A2590="","",YEAR(A2590))</f>
        <v/>
      </c>
      <c r="L2590" s="0" t="str">
        <f aca="false">IF(A2590="","",MONTH(A2590))</f>
        <v/>
      </c>
    </row>
    <row r="2591" customFormat="false" ht="15" hidden="false" customHeight="false" outlineLevel="0" collapsed="false">
      <c r="A2591" s="27"/>
      <c r="E2591" s="28"/>
      <c r="F2591" s="28"/>
      <c r="I2591" s="28" t="str">
        <f aca="false">IF(A2591="","",D2591*E2591)</f>
        <v/>
      </c>
      <c r="J2591" s="28" t="str">
        <f aca="false">IF(A2591="","",D2591*F2591)</f>
        <v/>
      </c>
      <c r="K2591" s="0" t="str">
        <f aca="false">IF(A2591="","",YEAR(A2591))</f>
        <v/>
      </c>
      <c r="L2591" s="0" t="str">
        <f aca="false">IF(A2591="","",MONTH(A2591))</f>
        <v/>
      </c>
    </row>
    <row r="2592" customFormat="false" ht="15" hidden="false" customHeight="false" outlineLevel="0" collapsed="false">
      <c r="A2592" s="27"/>
      <c r="E2592" s="28"/>
      <c r="F2592" s="28"/>
      <c r="I2592" s="28" t="str">
        <f aca="false">IF(A2592="","",D2592*E2592)</f>
        <v/>
      </c>
      <c r="J2592" s="28" t="str">
        <f aca="false">IF(A2592="","",D2592*F2592)</f>
        <v/>
      </c>
      <c r="K2592" s="0" t="str">
        <f aca="false">IF(A2592="","",YEAR(A2592))</f>
        <v/>
      </c>
      <c r="L2592" s="0" t="str">
        <f aca="false">IF(A2592="","",MONTH(A2592))</f>
        <v/>
      </c>
    </row>
    <row r="2593" customFormat="false" ht="15" hidden="false" customHeight="false" outlineLevel="0" collapsed="false">
      <c r="A2593" s="27"/>
      <c r="E2593" s="28"/>
      <c r="F2593" s="28"/>
      <c r="I2593" s="28" t="str">
        <f aca="false">IF(A2593="","",D2593*E2593)</f>
        <v/>
      </c>
      <c r="J2593" s="28" t="str">
        <f aca="false">IF(A2593="","",D2593*F2593)</f>
        <v/>
      </c>
      <c r="K2593" s="0" t="str">
        <f aca="false">IF(A2593="","",YEAR(A2593))</f>
        <v/>
      </c>
      <c r="L2593" s="0" t="str">
        <f aca="false">IF(A2593="","",MONTH(A2593))</f>
        <v/>
      </c>
    </row>
    <row r="2594" customFormat="false" ht="15" hidden="false" customHeight="false" outlineLevel="0" collapsed="false">
      <c r="A2594" s="27"/>
      <c r="E2594" s="28"/>
      <c r="F2594" s="28"/>
      <c r="I2594" s="28" t="str">
        <f aca="false">IF(A2594="","",D2594*E2594)</f>
        <v/>
      </c>
      <c r="J2594" s="28" t="str">
        <f aca="false">IF(A2594="","",D2594*F2594)</f>
        <v/>
      </c>
      <c r="K2594" s="0" t="str">
        <f aca="false">IF(A2594="","",YEAR(A2594))</f>
        <v/>
      </c>
      <c r="L2594" s="0" t="str">
        <f aca="false">IF(A2594="","",MONTH(A2594))</f>
        <v/>
      </c>
    </row>
    <row r="2595" customFormat="false" ht="15" hidden="false" customHeight="false" outlineLevel="0" collapsed="false">
      <c r="A2595" s="27"/>
      <c r="E2595" s="28"/>
      <c r="F2595" s="28"/>
      <c r="I2595" s="28" t="str">
        <f aca="false">IF(A2595="","",D2595*E2595)</f>
        <v/>
      </c>
      <c r="J2595" s="28" t="str">
        <f aca="false">IF(A2595="","",D2595*F2595)</f>
        <v/>
      </c>
      <c r="K2595" s="0" t="str">
        <f aca="false">IF(A2595="","",YEAR(A2595))</f>
        <v/>
      </c>
      <c r="L2595" s="0" t="str">
        <f aca="false">IF(A2595="","",MONTH(A2595))</f>
        <v/>
      </c>
    </row>
    <row r="2596" customFormat="false" ht="15" hidden="false" customHeight="false" outlineLevel="0" collapsed="false">
      <c r="A2596" s="27"/>
      <c r="E2596" s="28"/>
      <c r="F2596" s="28"/>
      <c r="I2596" s="28" t="str">
        <f aca="false">IF(A2596="","",D2596*E2596)</f>
        <v/>
      </c>
      <c r="J2596" s="28" t="str">
        <f aca="false">IF(A2596="","",D2596*F2596)</f>
        <v/>
      </c>
      <c r="K2596" s="0" t="str">
        <f aca="false">IF(A2596="","",YEAR(A2596))</f>
        <v/>
      </c>
      <c r="L2596" s="0" t="str">
        <f aca="false">IF(A2596="","",MONTH(A2596))</f>
        <v/>
      </c>
    </row>
    <row r="2597" customFormat="false" ht="15" hidden="false" customHeight="false" outlineLevel="0" collapsed="false">
      <c r="A2597" s="27"/>
      <c r="E2597" s="28"/>
      <c r="F2597" s="28"/>
      <c r="I2597" s="28" t="str">
        <f aca="false">IF(A2597="","",D2597*E2597)</f>
        <v/>
      </c>
      <c r="J2597" s="28" t="str">
        <f aca="false">IF(A2597="","",D2597*F2597)</f>
        <v/>
      </c>
      <c r="K2597" s="0" t="str">
        <f aca="false">IF(A2597="","",YEAR(A2597))</f>
        <v/>
      </c>
      <c r="L2597" s="0" t="str">
        <f aca="false">IF(A2597="","",MONTH(A2597))</f>
        <v/>
      </c>
    </row>
    <row r="2598" customFormat="false" ht="15" hidden="false" customHeight="false" outlineLevel="0" collapsed="false">
      <c r="A2598" s="27"/>
      <c r="E2598" s="28"/>
      <c r="F2598" s="28"/>
      <c r="I2598" s="28" t="str">
        <f aca="false">IF(A2598="","",D2598*E2598)</f>
        <v/>
      </c>
      <c r="J2598" s="28" t="str">
        <f aca="false">IF(A2598="","",D2598*F2598)</f>
        <v/>
      </c>
      <c r="K2598" s="0" t="str">
        <f aca="false">IF(A2598="","",YEAR(A2598))</f>
        <v/>
      </c>
      <c r="L2598" s="0" t="str">
        <f aca="false">IF(A2598="","",MONTH(A2598))</f>
        <v/>
      </c>
    </row>
    <row r="2599" customFormat="false" ht="15" hidden="false" customHeight="false" outlineLevel="0" collapsed="false">
      <c r="A2599" s="27"/>
      <c r="E2599" s="28"/>
      <c r="F2599" s="28"/>
      <c r="I2599" s="28" t="str">
        <f aca="false">IF(A2599="","",D2599*E2599)</f>
        <v/>
      </c>
      <c r="J2599" s="28" t="str">
        <f aca="false">IF(A2599="","",D2599*F2599)</f>
        <v/>
      </c>
      <c r="K2599" s="0" t="str">
        <f aca="false">IF(A2599="","",YEAR(A2599))</f>
        <v/>
      </c>
      <c r="L2599" s="0" t="str">
        <f aca="false">IF(A2599="","",MONTH(A2599))</f>
        <v/>
      </c>
    </row>
    <row r="2600" customFormat="false" ht="15" hidden="false" customHeight="false" outlineLevel="0" collapsed="false">
      <c r="A2600" s="27"/>
      <c r="E2600" s="28"/>
      <c r="F2600" s="28"/>
      <c r="I2600" s="28" t="str">
        <f aca="false">IF(A2600="","",D2600*E2600)</f>
        <v/>
      </c>
      <c r="J2600" s="28" t="str">
        <f aca="false">IF(A2600="","",D2600*F2600)</f>
        <v/>
      </c>
      <c r="K2600" s="0" t="str">
        <f aca="false">IF(A2600="","",YEAR(A2600))</f>
        <v/>
      </c>
      <c r="L2600" s="0" t="str">
        <f aca="false">IF(A2600="","",MONTH(A2600))</f>
        <v/>
      </c>
    </row>
    <row r="2601" customFormat="false" ht="15" hidden="false" customHeight="false" outlineLevel="0" collapsed="false">
      <c r="A2601" s="27"/>
      <c r="E2601" s="28"/>
      <c r="F2601" s="28"/>
      <c r="I2601" s="28" t="str">
        <f aca="false">IF(A2601="","",D2601*E2601)</f>
        <v/>
      </c>
      <c r="J2601" s="28" t="str">
        <f aca="false">IF(A2601="","",D2601*F2601)</f>
        <v/>
      </c>
      <c r="K2601" s="0" t="str">
        <f aca="false">IF(A2601="","",YEAR(A2601))</f>
        <v/>
      </c>
      <c r="L2601" s="0" t="str">
        <f aca="false">IF(A2601="","",MONTH(A2601))</f>
        <v/>
      </c>
    </row>
    <row r="2602" customFormat="false" ht="15" hidden="false" customHeight="false" outlineLevel="0" collapsed="false">
      <c r="A2602" s="27"/>
      <c r="E2602" s="28"/>
      <c r="F2602" s="28"/>
      <c r="I2602" s="28" t="str">
        <f aca="false">IF(A2602="","",D2602*E2602)</f>
        <v/>
      </c>
      <c r="J2602" s="28" t="str">
        <f aca="false">IF(A2602="","",D2602*F2602)</f>
        <v/>
      </c>
      <c r="K2602" s="0" t="str">
        <f aca="false">IF(A2602="","",YEAR(A2602))</f>
        <v/>
      </c>
      <c r="L2602" s="0" t="str">
        <f aca="false">IF(A2602="","",MONTH(A2602))</f>
        <v/>
      </c>
    </row>
    <row r="2603" customFormat="false" ht="15" hidden="false" customHeight="false" outlineLevel="0" collapsed="false">
      <c r="A2603" s="27"/>
      <c r="E2603" s="28"/>
      <c r="F2603" s="28"/>
      <c r="I2603" s="28" t="str">
        <f aca="false">IF(A2603="","",D2603*E2603)</f>
        <v/>
      </c>
      <c r="J2603" s="28" t="str">
        <f aca="false">IF(A2603="","",D2603*F2603)</f>
        <v/>
      </c>
      <c r="K2603" s="0" t="str">
        <f aca="false">IF(A2603="","",YEAR(A2603))</f>
        <v/>
      </c>
      <c r="L2603" s="0" t="str">
        <f aca="false">IF(A2603="","",MONTH(A2603))</f>
        <v/>
      </c>
    </row>
    <row r="2604" customFormat="false" ht="15" hidden="false" customHeight="false" outlineLevel="0" collapsed="false">
      <c r="A2604" s="27"/>
      <c r="E2604" s="28"/>
      <c r="F2604" s="28"/>
      <c r="I2604" s="28" t="str">
        <f aca="false">IF(A2604="","",D2604*E2604)</f>
        <v/>
      </c>
      <c r="J2604" s="28" t="str">
        <f aca="false">IF(A2604="","",D2604*F2604)</f>
        <v/>
      </c>
      <c r="K2604" s="0" t="str">
        <f aca="false">IF(A2604="","",YEAR(A2604))</f>
        <v/>
      </c>
      <c r="L2604" s="0" t="str">
        <f aca="false">IF(A2604="","",MONTH(A2604))</f>
        <v/>
      </c>
    </row>
    <row r="2605" customFormat="false" ht="15" hidden="false" customHeight="false" outlineLevel="0" collapsed="false">
      <c r="A2605" s="27"/>
      <c r="E2605" s="28"/>
      <c r="F2605" s="28"/>
      <c r="I2605" s="28" t="str">
        <f aca="false">IF(A2605="","",D2605*E2605)</f>
        <v/>
      </c>
      <c r="J2605" s="28" t="str">
        <f aca="false">IF(A2605="","",D2605*F2605)</f>
        <v/>
      </c>
      <c r="K2605" s="0" t="str">
        <f aca="false">IF(A2605="","",YEAR(A2605))</f>
        <v/>
      </c>
      <c r="L2605" s="0" t="str">
        <f aca="false">IF(A2605="","",MONTH(A2605))</f>
        <v/>
      </c>
    </row>
    <row r="2606" customFormat="false" ht="15" hidden="false" customHeight="false" outlineLevel="0" collapsed="false">
      <c r="A2606" s="27"/>
      <c r="E2606" s="28"/>
      <c r="F2606" s="28"/>
      <c r="I2606" s="28" t="str">
        <f aca="false">IF(A2606="","",D2606*E2606)</f>
        <v/>
      </c>
      <c r="J2606" s="28" t="str">
        <f aca="false">IF(A2606="","",D2606*F2606)</f>
        <v/>
      </c>
      <c r="K2606" s="0" t="str">
        <f aca="false">IF(A2606="","",YEAR(A2606))</f>
        <v/>
      </c>
      <c r="L2606" s="0" t="str">
        <f aca="false">IF(A2606="","",MONTH(A2606))</f>
        <v/>
      </c>
    </row>
    <row r="2607" customFormat="false" ht="15" hidden="false" customHeight="false" outlineLevel="0" collapsed="false">
      <c r="A2607" s="27"/>
      <c r="E2607" s="28"/>
      <c r="F2607" s="28"/>
      <c r="I2607" s="28" t="str">
        <f aca="false">IF(A2607="","",D2607*E2607)</f>
        <v/>
      </c>
      <c r="J2607" s="28" t="str">
        <f aca="false">IF(A2607="","",D2607*F2607)</f>
        <v/>
      </c>
      <c r="K2607" s="0" t="str">
        <f aca="false">IF(A2607="","",YEAR(A2607))</f>
        <v/>
      </c>
      <c r="L2607" s="0" t="str">
        <f aca="false">IF(A2607="","",MONTH(A2607))</f>
        <v/>
      </c>
    </row>
    <row r="2608" customFormat="false" ht="15" hidden="false" customHeight="false" outlineLevel="0" collapsed="false">
      <c r="A2608" s="27"/>
      <c r="E2608" s="28"/>
      <c r="F2608" s="28"/>
      <c r="I2608" s="28" t="str">
        <f aca="false">IF(A2608="","",D2608*E2608)</f>
        <v/>
      </c>
      <c r="J2608" s="28" t="str">
        <f aca="false">IF(A2608="","",D2608*F2608)</f>
        <v/>
      </c>
      <c r="K2608" s="0" t="str">
        <f aca="false">IF(A2608="","",YEAR(A2608))</f>
        <v/>
      </c>
      <c r="L2608" s="0" t="str">
        <f aca="false">IF(A2608="","",MONTH(A2608))</f>
        <v/>
      </c>
    </row>
    <row r="2609" customFormat="false" ht="15" hidden="false" customHeight="false" outlineLevel="0" collapsed="false">
      <c r="A2609" s="27"/>
      <c r="E2609" s="28"/>
      <c r="F2609" s="28"/>
      <c r="I2609" s="28" t="str">
        <f aca="false">IF(A2609="","",D2609*E2609)</f>
        <v/>
      </c>
      <c r="J2609" s="28" t="str">
        <f aca="false">IF(A2609="","",D2609*F2609)</f>
        <v/>
      </c>
      <c r="K2609" s="0" t="str">
        <f aca="false">IF(A2609="","",YEAR(A2609))</f>
        <v/>
      </c>
      <c r="L2609" s="0" t="str">
        <f aca="false">IF(A2609="","",MONTH(A2609))</f>
        <v/>
      </c>
    </row>
    <row r="2610" customFormat="false" ht="15" hidden="false" customHeight="false" outlineLevel="0" collapsed="false">
      <c r="A2610" s="27"/>
      <c r="E2610" s="28"/>
      <c r="F2610" s="28"/>
      <c r="I2610" s="28" t="str">
        <f aca="false">IF(A2610="","",D2610*E2610)</f>
        <v/>
      </c>
      <c r="J2610" s="28" t="str">
        <f aca="false">IF(A2610="","",D2610*F2610)</f>
        <v/>
      </c>
      <c r="K2610" s="0" t="str">
        <f aca="false">IF(A2610="","",YEAR(A2610))</f>
        <v/>
      </c>
      <c r="L2610" s="0" t="str">
        <f aca="false">IF(A2610="","",MONTH(A2610))</f>
        <v/>
      </c>
    </row>
    <row r="2611" customFormat="false" ht="15" hidden="false" customHeight="false" outlineLevel="0" collapsed="false">
      <c r="A2611" s="27"/>
      <c r="E2611" s="28"/>
      <c r="F2611" s="28"/>
      <c r="I2611" s="28" t="str">
        <f aca="false">IF(A2611="","",D2611*E2611)</f>
        <v/>
      </c>
      <c r="J2611" s="28" t="str">
        <f aca="false">IF(A2611="","",D2611*F2611)</f>
        <v/>
      </c>
      <c r="K2611" s="0" t="str">
        <f aca="false">IF(A2611="","",YEAR(A2611))</f>
        <v/>
      </c>
      <c r="L2611" s="0" t="str">
        <f aca="false">IF(A2611="","",MONTH(A2611))</f>
        <v/>
      </c>
    </row>
    <row r="2612" customFormat="false" ht="15" hidden="false" customHeight="false" outlineLevel="0" collapsed="false">
      <c r="A2612" s="27"/>
      <c r="E2612" s="28"/>
      <c r="F2612" s="28"/>
      <c r="I2612" s="28" t="str">
        <f aca="false">IF(A2612="","",D2612*E2612)</f>
        <v/>
      </c>
      <c r="J2612" s="28" t="str">
        <f aca="false">IF(A2612="","",D2612*F2612)</f>
        <v/>
      </c>
      <c r="K2612" s="0" t="str">
        <f aca="false">IF(A2612="","",YEAR(A2612))</f>
        <v/>
      </c>
      <c r="L2612" s="0" t="str">
        <f aca="false">IF(A2612="","",MONTH(A2612))</f>
        <v/>
      </c>
    </row>
    <row r="2613" customFormat="false" ht="15" hidden="false" customHeight="false" outlineLevel="0" collapsed="false">
      <c r="A2613" s="27"/>
      <c r="E2613" s="28"/>
      <c r="F2613" s="28"/>
      <c r="I2613" s="28" t="str">
        <f aca="false">IF(A2613="","",D2613*E2613)</f>
        <v/>
      </c>
      <c r="J2613" s="28" t="str">
        <f aca="false">IF(A2613="","",D2613*F2613)</f>
        <v/>
      </c>
      <c r="K2613" s="0" t="str">
        <f aca="false">IF(A2613="","",YEAR(A2613))</f>
        <v/>
      </c>
      <c r="L2613" s="0" t="str">
        <f aca="false">IF(A2613="","",MONTH(A2613))</f>
        <v/>
      </c>
    </row>
    <row r="2614" customFormat="false" ht="15" hidden="false" customHeight="false" outlineLevel="0" collapsed="false">
      <c r="A2614" s="27"/>
      <c r="E2614" s="28"/>
      <c r="F2614" s="28"/>
      <c r="I2614" s="28" t="str">
        <f aca="false">IF(A2614="","",D2614*E2614)</f>
        <v/>
      </c>
      <c r="J2614" s="28" t="str">
        <f aca="false">IF(A2614="","",D2614*F2614)</f>
        <v/>
      </c>
      <c r="K2614" s="0" t="str">
        <f aca="false">IF(A2614="","",YEAR(A2614))</f>
        <v/>
      </c>
      <c r="L2614" s="0" t="str">
        <f aca="false">IF(A2614="","",MONTH(A2614))</f>
        <v/>
      </c>
    </row>
    <row r="2615" customFormat="false" ht="15" hidden="false" customHeight="false" outlineLevel="0" collapsed="false">
      <c r="A2615" s="27"/>
      <c r="E2615" s="28"/>
      <c r="F2615" s="28"/>
      <c r="I2615" s="28" t="str">
        <f aca="false">IF(A2615="","",D2615*E2615)</f>
        <v/>
      </c>
      <c r="J2615" s="28" t="str">
        <f aca="false">IF(A2615="","",D2615*F2615)</f>
        <v/>
      </c>
      <c r="K2615" s="0" t="str">
        <f aca="false">IF(A2615="","",YEAR(A2615))</f>
        <v/>
      </c>
      <c r="L2615" s="0" t="str">
        <f aca="false">IF(A2615="","",MONTH(A2615))</f>
        <v/>
      </c>
    </row>
    <row r="2616" customFormat="false" ht="15" hidden="false" customHeight="false" outlineLevel="0" collapsed="false">
      <c r="A2616" s="27"/>
      <c r="E2616" s="28"/>
      <c r="F2616" s="28"/>
      <c r="I2616" s="28" t="str">
        <f aca="false">IF(A2616="","",D2616*E2616)</f>
        <v/>
      </c>
      <c r="J2616" s="28" t="str">
        <f aca="false">IF(A2616="","",D2616*F2616)</f>
        <v/>
      </c>
      <c r="K2616" s="0" t="str">
        <f aca="false">IF(A2616="","",YEAR(A2616))</f>
        <v/>
      </c>
      <c r="L2616" s="0" t="str">
        <f aca="false">IF(A2616="","",MONTH(A2616))</f>
        <v/>
      </c>
    </row>
    <row r="2617" customFormat="false" ht="15" hidden="false" customHeight="false" outlineLevel="0" collapsed="false">
      <c r="A2617" s="27"/>
      <c r="E2617" s="28"/>
      <c r="F2617" s="28"/>
      <c r="I2617" s="28" t="str">
        <f aca="false">IF(A2617="","",D2617*E2617)</f>
        <v/>
      </c>
      <c r="J2617" s="28" t="str">
        <f aca="false">IF(A2617="","",D2617*F2617)</f>
        <v/>
      </c>
      <c r="K2617" s="0" t="str">
        <f aca="false">IF(A2617="","",YEAR(A2617))</f>
        <v/>
      </c>
      <c r="L2617" s="0" t="str">
        <f aca="false">IF(A2617="","",MONTH(A2617))</f>
        <v/>
      </c>
    </row>
    <row r="2618" customFormat="false" ht="15" hidden="false" customHeight="false" outlineLevel="0" collapsed="false">
      <c r="A2618" s="27"/>
      <c r="E2618" s="28"/>
      <c r="F2618" s="28"/>
      <c r="I2618" s="28" t="str">
        <f aca="false">IF(A2618="","",D2618*E2618)</f>
        <v/>
      </c>
      <c r="J2618" s="28" t="str">
        <f aca="false">IF(A2618="","",D2618*F2618)</f>
        <v/>
      </c>
      <c r="K2618" s="0" t="str">
        <f aca="false">IF(A2618="","",YEAR(A2618))</f>
        <v/>
      </c>
      <c r="L2618" s="0" t="str">
        <f aca="false">IF(A2618="","",MONTH(A2618))</f>
        <v/>
      </c>
    </row>
    <row r="2619" customFormat="false" ht="15" hidden="false" customHeight="false" outlineLevel="0" collapsed="false">
      <c r="A2619" s="27"/>
      <c r="E2619" s="28"/>
      <c r="F2619" s="28"/>
      <c r="I2619" s="28" t="str">
        <f aca="false">IF(A2619="","",D2619*E2619)</f>
        <v/>
      </c>
      <c r="J2619" s="28" t="str">
        <f aca="false">IF(A2619="","",D2619*F2619)</f>
        <v/>
      </c>
      <c r="K2619" s="0" t="str">
        <f aca="false">IF(A2619="","",YEAR(A2619))</f>
        <v/>
      </c>
      <c r="L2619" s="0" t="str">
        <f aca="false">IF(A2619="","",MONTH(A2619))</f>
        <v/>
      </c>
    </row>
    <row r="2620" customFormat="false" ht="15" hidden="false" customHeight="false" outlineLevel="0" collapsed="false">
      <c r="A2620" s="27"/>
      <c r="E2620" s="28"/>
      <c r="F2620" s="28"/>
      <c r="I2620" s="28" t="str">
        <f aca="false">IF(A2620="","",D2620*E2620)</f>
        <v/>
      </c>
      <c r="J2620" s="28" t="str">
        <f aca="false">IF(A2620="","",D2620*F2620)</f>
        <v/>
      </c>
      <c r="K2620" s="0" t="str">
        <f aca="false">IF(A2620="","",YEAR(A2620))</f>
        <v/>
      </c>
      <c r="L2620" s="0" t="str">
        <f aca="false">IF(A2620="","",MONTH(A2620))</f>
        <v/>
      </c>
    </row>
    <row r="2621" customFormat="false" ht="15" hidden="false" customHeight="false" outlineLevel="0" collapsed="false">
      <c r="A2621" s="27"/>
      <c r="E2621" s="28"/>
      <c r="F2621" s="28"/>
      <c r="I2621" s="28" t="str">
        <f aca="false">IF(A2621="","",D2621*E2621)</f>
        <v/>
      </c>
      <c r="J2621" s="28" t="str">
        <f aca="false">IF(A2621="","",D2621*F2621)</f>
        <v/>
      </c>
      <c r="K2621" s="0" t="str">
        <f aca="false">IF(A2621="","",YEAR(A2621))</f>
        <v/>
      </c>
      <c r="L2621" s="0" t="str">
        <f aca="false">IF(A2621="","",MONTH(A2621))</f>
        <v/>
      </c>
    </row>
    <row r="2622" customFormat="false" ht="15" hidden="false" customHeight="false" outlineLevel="0" collapsed="false">
      <c r="A2622" s="27"/>
      <c r="E2622" s="28"/>
      <c r="F2622" s="28"/>
      <c r="I2622" s="28" t="str">
        <f aca="false">IF(A2622="","",D2622*E2622)</f>
        <v/>
      </c>
      <c r="J2622" s="28" t="str">
        <f aca="false">IF(A2622="","",D2622*F2622)</f>
        <v/>
      </c>
      <c r="K2622" s="0" t="str">
        <f aca="false">IF(A2622="","",YEAR(A2622))</f>
        <v/>
      </c>
      <c r="L2622" s="0" t="str">
        <f aca="false">IF(A2622="","",MONTH(A2622))</f>
        <v/>
      </c>
    </row>
    <row r="2623" customFormat="false" ht="15" hidden="false" customHeight="false" outlineLevel="0" collapsed="false">
      <c r="A2623" s="27"/>
      <c r="E2623" s="28"/>
      <c r="F2623" s="28"/>
      <c r="I2623" s="28" t="str">
        <f aca="false">IF(A2623="","",D2623*E2623)</f>
        <v/>
      </c>
      <c r="J2623" s="28" t="str">
        <f aca="false">IF(A2623="","",D2623*F2623)</f>
        <v/>
      </c>
      <c r="K2623" s="0" t="str">
        <f aca="false">IF(A2623="","",YEAR(A2623))</f>
        <v/>
      </c>
      <c r="L2623" s="0" t="str">
        <f aca="false">IF(A2623="","",MONTH(A2623))</f>
        <v/>
      </c>
    </row>
    <row r="2624" customFormat="false" ht="15" hidden="false" customHeight="false" outlineLevel="0" collapsed="false">
      <c r="A2624" s="27"/>
      <c r="E2624" s="28"/>
      <c r="F2624" s="28"/>
      <c r="I2624" s="28" t="str">
        <f aca="false">IF(A2624="","",D2624*E2624)</f>
        <v/>
      </c>
      <c r="J2624" s="28" t="str">
        <f aca="false">IF(A2624="","",D2624*F2624)</f>
        <v/>
      </c>
      <c r="K2624" s="0" t="str">
        <f aca="false">IF(A2624="","",YEAR(A2624))</f>
        <v/>
      </c>
      <c r="L2624" s="0" t="str">
        <f aca="false">IF(A2624="","",MONTH(A2624))</f>
        <v/>
      </c>
    </row>
    <row r="2625" customFormat="false" ht="15" hidden="false" customHeight="false" outlineLevel="0" collapsed="false">
      <c r="A2625" s="27"/>
      <c r="E2625" s="28"/>
      <c r="F2625" s="28"/>
      <c r="I2625" s="28" t="str">
        <f aca="false">IF(A2625="","",D2625*E2625)</f>
        <v/>
      </c>
      <c r="J2625" s="28" t="str">
        <f aca="false">IF(A2625="","",D2625*F2625)</f>
        <v/>
      </c>
      <c r="K2625" s="0" t="str">
        <f aca="false">IF(A2625="","",YEAR(A2625))</f>
        <v/>
      </c>
      <c r="L2625" s="0" t="str">
        <f aca="false">IF(A2625="","",MONTH(A2625))</f>
        <v/>
      </c>
    </row>
    <row r="2626" customFormat="false" ht="15" hidden="false" customHeight="false" outlineLevel="0" collapsed="false">
      <c r="A2626" s="27"/>
      <c r="E2626" s="28"/>
      <c r="F2626" s="28"/>
      <c r="I2626" s="28" t="str">
        <f aca="false">IF(A2626="","",D2626*E2626)</f>
        <v/>
      </c>
      <c r="J2626" s="28" t="str">
        <f aca="false">IF(A2626="","",D2626*F2626)</f>
        <v/>
      </c>
      <c r="K2626" s="0" t="str">
        <f aca="false">IF(A2626="","",YEAR(A2626))</f>
        <v/>
      </c>
      <c r="L2626" s="0" t="str">
        <f aca="false">IF(A2626="","",MONTH(A2626))</f>
        <v/>
      </c>
    </row>
    <row r="2627" customFormat="false" ht="15" hidden="false" customHeight="false" outlineLevel="0" collapsed="false">
      <c r="A2627" s="27"/>
      <c r="E2627" s="28"/>
      <c r="F2627" s="28"/>
      <c r="I2627" s="28" t="str">
        <f aca="false">IF(A2627="","",D2627*E2627)</f>
        <v/>
      </c>
      <c r="J2627" s="28" t="str">
        <f aca="false">IF(A2627="","",D2627*F2627)</f>
        <v/>
      </c>
      <c r="K2627" s="0" t="str">
        <f aca="false">IF(A2627="","",YEAR(A2627))</f>
        <v/>
      </c>
      <c r="L2627" s="0" t="str">
        <f aca="false">IF(A2627="","",MONTH(A2627))</f>
        <v/>
      </c>
    </row>
    <row r="2628" customFormat="false" ht="15" hidden="false" customHeight="false" outlineLevel="0" collapsed="false">
      <c r="A2628" s="27"/>
      <c r="E2628" s="28"/>
      <c r="F2628" s="28"/>
      <c r="I2628" s="28" t="str">
        <f aca="false">IF(A2628="","",D2628*E2628)</f>
        <v/>
      </c>
      <c r="J2628" s="28" t="str">
        <f aca="false">IF(A2628="","",D2628*F2628)</f>
        <v/>
      </c>
      <c r="K2628" s="0" t="str">
        <f aca="false">IF(A2628="","",YEAR(A2628))</f>
        <v/>
      </c>
      <c r="L2628" s="0" t="str">
        <f aca="false">IF(A2628="","",MONTH(A2628))</f>
        <v/>
      </c>
    </row>
    <row r="2629" customFormat="false" ht="15" hidden="false" customHeight="false" outlineLevel="0" collapsed="false">
      <c r="A2629" s="27"/>
      <c r="E2629" s="28"/>
      <c r="F2629" s="28"/>
      <c r="I2629" s="28" t="str">
        <f aca="false">IF(A2629="","",D2629*E2629)</f>
        <v/>
      </c>
      <c r="J2629" s="28" t="str">
        <f aca="false">IF(A2629="","",D2629*F2629)</f>
        <v/>
      </c>
      <c r="K2629" s="0" t="str">
        <f aca="false">IF(A2629="","",YEAR(A2629))</f>
        <v/>
      </c>
      <c r="L2629" s="0" t="str">
        <f aca="false">IF(A2629="","",MONTH(A2629))</f>
        <v/>
      </c>
    </row>
    <row r="2630" customFormat="false" ht="15" hidden="false" customHeight="false" outlineLevel="0" collapsed="false">
      <c r="A2630" s="27"/>
      <c r="E2630" s="28"/>
      <c r="F2630" s="28"/>
      <c r="I2630" s="28" t="str">
        <f aca="false">IF(A2630="","",D2630*E2630)</f>
        <v/>
      </c>
      <c r="J2630" s="28" t="str">
        <f aca="false">IF(A2630="","",D2630*F2630)</f>
        <v/>
      </c>
      <c r="K2630" s="0" t="str">
        <f aca="false">IF(A2630="","",YEAR(A2630))</f>
        <v/>
      </c>
      <c r="L2630" s="0" t="str">
        <f aca="false">IF(A2630="","",MONTH(A2630))</f>
        <v/>
      </c>
    </row>
    <row r="2631" customFormat="false" ht="15" hidden="false" customHeight="false" outlineLevel="0" collapsed="false">
      <c r="A2631" s="27"/>
      <c r="E2631" s="28"/>
      <c r="F2631" s="28"/>
      <c r="I2631" s="28" t="str">
        <f aca="false">IF(A2631="","",D2631*E2631)</f>
        <v/>
      </c>
      <c r="J2631" s="28" t="str">
        <f aca="false">IF(A2631="","",D2631*F2631)</f>
        <v/>
      </c>
      <c r="K2631" s="0" t="str">
        <f aca="false">IF(A2631="","",YEAR(A2631))</f>
        <v/>
      </c>
      <c r="L2631" s="0" t="str">
        <f aca="false">IF(A2631="","",MONTH(A2631))</f>
        <v/>
      </c>
    </row>
    <row r="2632" customFormat="false" ht="15" hidden="false" customHeight="false" outlineLevel="0" collapsed="false">
      <c r="A2632" s="27"/>
      <c r="E2632" s="28"/>
      <c r="F2632" s="28"/>
      <c r="I2632" s="28" t="str">
        <f aca="false">IF(A2632="","",D2632*E2632)</f>
        <v/>
      </c>
      <c r="J2632" s="28" t="str">
        <f aca="false">IF(A2632="","",D2632*F2632)</f>
        <v/>
      </c>
      <c r="K2632" s="0" t="str">
        <f aca="false">IF(A2632="","",YEAR(A2632))</f>
        <v/>
      </c>
      <c r="L2632" s="0" t="str">
        <f aca="false">IF(A2632="","",MONTH(A2632))</f>
        <v/>
      </c>
    </row>
    <row r="2633" customFormat="false" ht="15" hidden="false" customHeight="false" outlineLevel="0" collapsed="false">
      <c r="A2633" s="27"/>
      <c r="E2633" s="28"/>
      <c r="F2633" s="28"/>
      <c r="I2633" s="28" t="str">
        <f aca="false">IF(A2633="","",D2633*E2633)</f>
        <v/>
      </c>
      <c r="J2633" s="28" t="str">
        <f aca="false">IF(A2633="","",D2633*F2633)</f>
        <v/>
      </c>
      <c r="K2633" s="0" t="str">
        <f aca="false">IF(A2633="","",YEAR(A2633))</f>
        <v/>
      </c>
      <c r="L2633" s="0" t="str">
        <f aca="false">IF(A2633="","",MONTH(A2633))</f>
        <v/>
      </c>
    </row>
    <row r="2634" customFormat="false" ht="15" hidden="false" customHeight="false" outlineLevel="0" collapsed="false">
      <c r="A2634" s="27"/>
      <c r="E2634" s="28"/>
      <c r="F2634" s="28"/>
      <c r="I2634" s="28" t="str">
        <f aca="false">IF(A2634="","",D2634*E2634)</f>
        <v/>
      </c>
      <c r="J2634" s="28" t="str">
        <f aca="false">IF(A2634="","",D2634*F2634)</f>
        <v/>
      </c>
      <c r="K2634" s="0" t="str">
        <f aca="false">IF(A2634="","",YEAR(A2634))</f>
        <v/>
      </c>
      <c r="L2634" s="0" t="str">
        <f aca="false">IF(A2634="","",MONTH(A2634))</f>
        <v/>
      </c>
    </row>
    <row r="2635" customFormat="false" ht="15" hidden="false" customHeight="false" outlineLevel="0" collapsed="false">
      <c r="A2635" s="27"/>
      <c r="E2635" s="28"/>
      <c r="F2635" s="28"/>
      <c r="I2635" s="28" t="str">
        <f aca="false">IF(A2635="","",D2635*E2635)</f>
        <v/>
      </c>
      <c r="J2635" s="28" t="str">
        <f aca="false">IF(A2635="","",D2635*F2635)</f>
        <v/>
      </c>
      <c r="K2635" s="0" t="str">
        <f aca="false">IF(A2635="","",YEAR(A2635))</f>
        <v/>
      </c>
      <c r="L2635" s="0" t="str">
        <f aca="false">IF(A2635="","",MONTH(A2635))</f>
        <v/>
      </c>
    </row>
    <row r="2636" customFormat="false" ht="15" hidden="false" customHeight="false" outlineLevel="0" collapsed="false">
      <c r="A2636" s="27"/>
      <c r="E2636" s="28"/>
      <c r="F2636" s="28"/>
      <c r="I2636" s="28" t="str">
        <f aca="false">IF(A2636="","",D2636*E2636)</f>
        <v/>
      </c>
      <c r="J2636" s="28" t="str">
        <f aca="false">IF(A2636="","",D2636*F2636)</f>
        <v/>
      </c>
      <c r="K2636" s="0" t="str">
        <f aca="false">IF(A2636="","",YEAR(A2636))</f>
        <v/>
      </c>
      <c r="L2636" s="0" t="str">
        <f aca="false">IF(A2636="","",MONTH(A2636))</f>
        <v/>
      </c>
    </row>
    <row r="2637" customFormat="false" ht="15" hidden="false" customHeight="false" outlineLevel="0" collapsed="false">
      <c r="A2637" s="27"/>
      <c r="E2637" s="28"/>
      <c r="F2637" s="28"/>
      <c r="I2637" s="28" t="str">
        <f aca="false">IF(A2637="","",D2637*E2637)</f>
        <v/>
      </c>
      <c r="J2637" s="28" t="str">
        <f aca="false">IF(A2637="","",D2637*F2637)</f>
        <v/>
      </c>
      <c r="K2637" s="0" t="str">
        <f aca="false">IF(A2637="","",YEAR(A2637))</f>
        <v/>
      </c>
      <c r="L2637" s="0" t="str">
        <f aca="false">IF(A2637="","",MONTH(A2637))</f>
        <v/>
      </c>
    </row>
    <row r="2638" customFormat="false" ht="15" hidden="false" customHeight="false" outlineLevel="0" collapsed="false">
      <c r="A2638" s="27"/>
      <c r="E2638" s="28"/>
      <c r="F2638" s="28"/>
      <c r="I2638" s="28" t="str">
        <f aca="false">IF(A2638="","",D2638*E2638)</f>
        <v/>
      </c>
      <c r="J2638" s="28" t="str">
        <f aca="false">IF(A2638="","",D2638*F2638)</f>
        <v/>
      </c>
      <c r="K2638" s="0" t="str">
        <f aca="false">IF(A2638="","",YEAR(A2638))</f>
        <v/>
      </c>
      <c r="L2638" s="0" t="str">
        <f aca="false">IF(A2638="","",MONTH(A2638))</f>
        <v/>
      </c>
    </row>
    <row r="2639" customFormat="false" ht="15" hidden="false" customHeight="false" outlineLevel="0" collapsed="false">
      <c r="A2639" s="27"/>
      <c r="E2639" s="28"/>
      <c r="F2639" s="28"/>
      <c r="I2639" s="28" t="str">
        <f aca="false">IF(A2639="","",D2639*E2639)</f>
        <v/>
      </c>
      <c r="J2639" s="28" t="str">
        <f aca="false">IF(A2639="","",D2639*F2639)</f>
        <v/>
      </c>
      <c r="K2639" s="0" t="str">
        <f aca="false">IF(A2639="","",YEAR(A2639))</f>
        <v/>
      </c>
      <c r="L2639" s="0" t="str">
        <f aca="false">IF(A2639="","",MONTH(A2639))</f>
        <v/>
      </c>
    </row>
    <row r="2640" customFormat="false" ht="15" hidden="false" customHeight="false" outlineLevel="0" collapsed="false">
      <c r="A2640" s="27"/>
      <c r="E2640" s="28"/>
      <c r="F2640" s="28"/>
      <c r="I2640" s="28" t="str">
        <f aca="false">IF(A2640="","",D2640*E2640)</f>
        <v/>
      </c>
      <c r="J2640" s="28" t="str">
        <f aca="false">IF(A2640="","",D2640*F2640)</f>
        <v/>
      </c>
      <c r="K2640" s="0" t="str">
        <f aca="false">IF(A2640="","",YEAR(A2640))</f>
        <v/>
      </c>
      <c r="L2640" s="0" t="str">
        <f aca="false">IF(A2640="","",MONTH(A2640))</f>
        <v/>
      </c>
    </row>
    <row r="2641" customFormat="false" ht="15" hidden="false" customHeight="false" outlineLevel="0" collapsed="false">
      <c r="A2641" s="27"/>
      <c r="E2641" s="28"/>
      <c r="F2641" s="28"/>
      <c r="I2641" s="28" t="str">
        <f aca="false">IF(A2641="","",D2641*E2641)</f>
        <v/>
      </c>
      <c r="J2641" s="28" t="str">
        <f aca="false">IF(A2641="","",D2641*F2641)</f>
        <v/>
      </c>
      <c r="K2641" s="0" t="str">
        <f aca="false">IF(A2641="","",YEAR(A2641))</f>
        <v/>
      </c>
      <c r="L2641" s="0" t="str">
        <f aca="false">IF(A2641="","",MONTH(A2641))</f>
        <v/>
      </c>
    </row>
    <row r="2642" customFormat="false" ht="15" hidden="false" customHeight="false" outlineLevel="0" collapsed="false">
      <c r="A2642" s="27"/>
      <c r="E2642" s="28"/>
      <c r="F2642" s="28"/>
      <c r="I2642" s="28" t="str">
        <f aca="false">IF(A2642="","",D2642*E2642)</f>
        <v/>
      </c>
      <c r="J2642" s="28" t="str">
        <f aca="false">IF(A2642="","",D2642*F2642)</f>
        <v/>
      </c>
      <c r="K2642" s="0" t="str">
        <f aca="false">IF(A2642="","",YEAR(A2642))</f>
        <v/>
      </c>
      <c r="L2642" s="0" t="str">
        <f aca="false">IF(A2642="","",MONTH(A2642))</f>
        <v/>
      </c>
    </row>
    <row r="2643" customFormat="false" ht="15" hidden="false" customHeight="false" outlineLevel="0" collapsed="false">
      <c r="A2643" s="27"/>
      <c r="E2643" s="28"/>
      <c r="F2643" s="28"/>
      <c r="I2643" s="28" t="str">
        <f aca="false">IF(A2643="","",D2643*E2643)</f>
        <v/>
      </c>
      <c r="J2643" s="28" t="str">
        <f aca="false">IF(A2643="","",D2643*F2643)</f>
        <v/>
      </c>
      <c r="K2643" s="0" t="str">
        <f aca="false">IF(A2643="","",YEAR(A2643))</f>
        <v/>
      </c>
      <c r="L2643" s="0" t="str">
        <f aca="false">IF(A2643="","",MONTH(A2643))</f>
        <v/>
      </c>
    </row>
    <row r="2644" customFormat="false" ht="15" hidden="false" customHeight="false" outlineLevel="0" collapsed="false">
      <c r="A2644" s="27"/>
      <c r="E2644" s="28"/>
      <c r="F2644" s="28"/>
      <c r="I2644" s="28" t="str">
        <f aca="false">IF(A2644="","",D2644*E2644)</f>
        <v/>
      </c>
      <c r="J2644" s="28" t="str">
        <f aca="false">IF(A2644="","",D2644*F2644)</f>
        <v/>
      </c>
      <c r="K2644" s="0" t="str">
        <f aca="false">IF(A2644="","",YEAR(A2644))</f>
        <v/>
      </c>
      <c r="L2644" s="0" t="str">
        <f aca="false">IF(A2644="","",MONTH(A2644))</f>
        <v/>
      </c>
    </row>
    <row r="2645" customFormat="false" ht="15" hidden="false" customHeight="false" outlineLevel="0" collapsed="false">
      <c r="A2645" s="27"/>
      <c r="E2645" s="28"/>
      <c r="F2645" s="28"/>
      <c r="I2645" s="28" t="str">
        <f aca="false">IF(A2645="","",D2645*E2645)</f>
        <v/>
      </c>
      <c r="J2645" s="28" t="str">
        <f aca="false">IF(A2645="","",D2645*F2645)</f>
        <v/>
      </c>
      <c r="K2645" s="0" t="str">
        <f aca="false">IF(A2645="","",YEAR(A2645))</f>
        <v/>
      </c>
      <c r="L2645" s="0" t="str">
        <f aca="false">IF(A2645="","",MONTH(A2645))</f>
        <v/>
      </c>
    </row>
    <row r="2646" customFormat="false" ht="15" hidden="false" customHeight="false" outlineLevel="0" collapsed="false">
      <c r="A2646" s="27"/>
      <c r="E2646" s="28"/>
      <c r="F2646" s="28"/>
      <c r="I2646" s="28" t="str">
        <f aca="false">IF(A2646="","",D2646*E2646)</f>
        <v/>
      </c>
      <c r="J2646" s="28" t="str">
        <f aca="false">IF(A2646="","",D2646*F2646)</f>
        <v/>
      </c>
      <c r="K2646" s="0" t="str">
        <f aca="false">IF(A2646="","",YEAR(A2646))</f>
        <v/>
      </c>
      <c r="L2646" s="0" t="str">
        <f aca="false">IF(A2646="","",MONTH(A2646))</f>
        <v/>
      </c>
    </row>
    <row r="2647" customFormat="false" ht="15" hidden="false" customHeight="false" outlineLevel="0" collapsed="false">
      <c r="A2647" s="27"/>
      <c r="E2647" s="28"/>
      <c r="F2647" s="28"/>
      <c r="I2647" s="28" t="str">
        <f aca="false">IF(A2647="","",D2647*E2647)</f>
        <v/>
      </c>
      <c r="J2647" s="28" t="str">
        <f aca="false">IF(A2647="","",D2647*F2647)</f>
        <v/>
      </c>
      <c r="K2647" s="0" t="str">
        <f aca="false">IF(A2647="","",YEAR(A2647))</f>
        <v/>
      </c>
      <c r="L2647" s="0" t="str">
        <f aca="false">IF(A2647="","",MONTH(A2647))</f>
        <v/>
      </c>
    </row>
    <row r="2648" customFormat="false" ht="15" hidden="false" customHeight="false" outlineLevel="0" collapsed="false">
      <c r="A2648" s="27"/>
      <c r="E2648" s="28"/>
      <c r="F2648" s="28"/>
      <c r="I2648" s="28" t="str">
        <f aca="false">IF(A2648="","",D2648*E2648)</f>
        <v/>
      </c>
      <c r="J2648" s="28" t="str">
        <f aca="false">IF(A2648="","",D2648*F2648)</f>
        <v/>
      </c>
      <c r="K2648" s="0" t="str">
        <f aca="false">IF(A2648="","",YEAR(A2648))</f>
        <v/>
      </c>
      <c r="L2648" s="0" t="str">
        <f aca="false">IF(A2648="","",MONTH(A2648))</f>
        <v/>
      </c>
    </row>
    <row r="2649" customFormat="false" ht="15" hidden="false" customHeight="false" outlineLevel="0" collapsed="false">
      <c r="A2649" s="27"/>
      <c r="E2649" s="28"/>
      <c r="F2649" s="28"/>
      <c r="I2649" s="28" t="str">
        <f aca="false">IF(A2649="","",D2649*E2649)</f>
        <v/>
      </c>
      <c r="J2649" s="28" t="str">
        <f aca="false">IF(A2649="","",D2649*F2649)</f>
        <v/>
      </c>
      <c r="K2649" s="0" t="str">
        <f aca="false">IF(A2649="","",YEAR(A2649))</f>
        <v/>
      </c>
      <c r="L2649" s="0" t="str">
        <f aca="false">IF(A2649="","",MONTH(A2649))</f>
        <v/>
      </c>
    </row>
    <row r="2650" customFormat="false" ht="15" hidden="false" customHeight="false" outlineLevel="0" collapsed="false">
      <c r="A2650" s="27"/>
      <c r="E2650" s="28"/>
      <c r="F2650" s="28"/>
      <c r="I2650" s="28" t="str">
        <f aca="false">IF(A2650="","",D2650*E2650)</f>
        <v/>
      </c>
      <c r="J2650" s="28" t="str">
        <f aca="false">IF(A2650="","",D2650*F2650)</f>
        <v/>
      </c>
      <c r="K2650" s="0" t="str">
        <f aca="false">IF(A2650="","",YEAR(A2650))</f>
        <v/>
      </c>
      <c r="L2650" s="0" t="str">
        <f aca="false">IF(A2650="","",MONTH(A2650))</f>
        <v/>
      </c>
    </row>
    <row r="2651" customFormat="false" ht="15" hidden="false" customHeight="false" outlineLevel="0" collapsed="false">
      <c r="A2651" s="27"/>
      <c r="E2651" s="28"/>
      <c r="F2651" s="28"/>
      <c r="I2651" s="28" t="str">
        <f aca="false">IF(A2651="","",D2651*E2651)</f>
        <v/>
      </c>
      <c r="J2651" s="28" t="str">
        <f aca="false">IF(A2651="","",D2651*F2651)</f>
        <v/>
      </c>
      <c r="K2651" s="0" t="str">
        <f aca="false">IF(A2651="","",YEAR(A2651))</f>
        <v/>
      </c>
      <c r="L2651" s="0" t="str">
        <f aca="false">IF(A2651="","",MONTH(A2651))</f>
        <v/>
      </c>
    </row>
    <row r="2652" customFormat="false" ht="15" hidden="false" customHeight="false" outlineLevel="0" collapsed="false">
      <c r="A2652" s="27"/>
      <c r="E2652" s="28"/>
      <c r="F2652" s="28"/>
      <c r="I2652" s="28" t="str">
        <f aca="false">IF(A2652="","",D2652*E2652)</f>
        <v/>
      </c>
      <c r="J2652" s="28" t="str">
        <f aca="false">IF(A2652="","",D2652*F2652)</f>
        <v/>
      </c>
      <c r="K2652" s="0" t="str">
        <f aca="false">IF(A2652="","",YEAR(A2652))</f>
        <v/>
      </c>
      <c r="L2652" s="0" t="str">
        <f aca="false">IF(A2652="","",MONTH(A2652))</f>
        <v/>
      </c>
    </row>
    <row r="2653" customFormat="false" ht="15" hidden="false" customHeight="false" outlineLevel="0" collapsed="false">
      <c r="A2653" s="27"/>
      <c r="E2653" s="28"/>
      <c r="F2653" s="28"/>
      <c r="I2653" s="28" t="str">
        <f aca="false">IF(A2653="","",D2653*E2653)</f>
        <v/>
      </c>
      <c r="J2653" s="28" t="str">
        <f aca="false">IF(A2653="","",D2653*F2653)</f>
        <v/>
      </c>
      <c r="K2653" s="0" t="str">
        <f aca="false">IF(A2653="","",YEAR(A2653))</f>
        <v/>
      </c>
      <c r="L2653" s="0" t="str">
        <f aca="false">IF(A2653="","",MONTH(A2653))</f>
        <v/>
      </c>
    </row>
    <row r="2654" customFormat="false" ht="15" hidden="false" customHeight="false" outlineLevel="0" collapsed="false">
      <c r="A2654" s="27"/>
      <c r="E2654" s="28"/>
      <c r="F2654" s="28"/>
      <c r="I2654" s="28" t="str">
        <f aca="false">IF(A2654="","",D2654*E2654)</f>
        <v/>
      </c>
      <c r="J2654" s="28" t="str">
        <f aca="false">IF(A2654="","",D2654*F2654)</f>
        <v/>
      </c>
      <c r="K2654" s="0" t="str">
        <f aca="false">IF(A2654="","",YEAR(A2654))</f>
        <v/>
      </c>
      <c r="L2654" s="0" t="str">
        <f aca="false">IF(A2654="","",MONTH(A2654))</f>
        <v/>
      </c>
    </row>
    <row r="2655" customFormat="false" ht="15" hidden="false" customHeight="false" outlineLevel="0" collapsed="false">
      <c r="A2655" s="27"/>
      <c r="E2655" s="28"/>
      <c r="F2655" s="28"/>
      <c r="I2655" s="28" t="str">
        <f aca="false">IF(A2655="","",D2655*E2655)</f>
        <v/>
      </c>
      <c r="J2655" s="28" t="str">
        <f aca="false">IF(A2655="","",D2655*F2655)</f>
        <v/>
      </c>
      <c r="K2655" s="0" t="str">
        <f aca="false">IF(A2655="","",YEAR(A2655))</f>
        <v/>
      </c>
      <c r="L2655" s="0" t="str">
        <f aca="false">IF(A2655="","",MONTH(A2655))</f>
        <v/>
      </c>
    </row>
    <row r="2656" customFormat="false" ht="15" hidden="false" customHeight="false" outlineLevel="0" collapsed="false">
      <c r="A2656" s="27"/>
      <c r="E2656" s="28"/>
      <c r="F2656" s="28"/>
      <c r="I2656" s="28" t="str">
        <f aca="false">IF(A2656="","",D2656*E2656)</f>
        <v/>
      </c>
      <c r="J2656" s="28" t="str">
        <f aca="false">IF(A2656="","",D2656*F2656)</f>
        <v/>
      </c>
      <c r="K2656" s="0" t="str">
        <f aca="false">IF(A2656="","",YEAR(A2656))</f>
        <v/>
      </c>
      <c r="L2656" s="0" t="str">
        <f aca="false">IF(A2656="","",MONTH(A2656))</f>
        <v/>
      </c>
    </row>
    <row r="2657" customFormat="false" ht="15" hidden="false" customHeight="false" outlineLevel="0" collapsed="false">
      <c r="A2657" s="27"/>
      <c r="E2657" s="28"/>
      <c r="F2657" s="28"/>
      <c r="I2657" s="28" t="str">
        <f aca="false">IF(A2657="","",D2657*E2657)</f>
        <v/>
      </c>
      <c r="J2657" s="28" t="str">
        <f aca="false">IF(A2657="","",D2657*F2657)</f>
        <v/>
      </c>
      <c r="K2657" s="0" t="str">
        <f aca="false">IF(A2657="","",YEAR(A2657))</f>
        <v/>
      </c>
      <c r="L2657" s="0" t="str">
        <f aca="false">IF(A2657="","",MONTH(A2657))</f>
        <v/>
      </c>
    </row>
    <row r="2658" customFormat="false" ht="15" hidden="false" customHeight="false" outlineLevel="0" collapsed="false">
      <c r="A2658" s="27"/>
      <c r="E2658" s="28"/>
      <c r="F2658" s="28"/>
      <c r="I2658" s="28" t="str">
        <f aca="false">IF(A2658="","",D2658*E2658)</f>
        <v/>
      </c>
      <c r="J2658" s="28" t="str">
        <f aca="false">IF(A2658="","",D2658*F2658)</f>
        <v/>
      </c>
      <c r="K2658" s="0" t="str">
        <f aca="false">IF(A2658="","",YEAR(A2658))</f>
        <v/>
      </c>
      <c r="L2658" s="0" t="str">
        <f aca="false">IF(A2658="","",MONTH(A2658))</f>
        <v/>
      </c>
    </row>
    <row r="2659" customFormat="false" ht="15" hidden="false" customHeight="false" outlineLevel="0" collapsed="false">
      <c r="A2659" s="27"/>
      <c r="E2659" s="28"/>
      <c r="F2659" s="28"/>
      <c r="I2659" s="28" t="str">
        <f aca="false">IF(A2659="","",D2659*E2659)</f>
        <v/>
      </c>
      <c r="J2659" s="28" t="str">
        <f aca="false">IF(A2659="","",D2659*F2659)</f>
        <v/>
      </c>
      <c r="K2659" s="0" t="str">
        <f aca="false">IF(A2659="","",YEAR(A2659))</f>
        <v/>
      </c>
      <c r="L2659" s="0" t="str">
        <f aca="false">IF(A2659="","",MONTH(A2659))</f>
        <v/>
      </c>
    </row>
    <row r="2660" customFormat="false" ht="15" hidden="false" customHeight="false" outlineLevel="0" collapsed="false">
      <c r="A2660" s="27"/>
      <c r="E2660" s="28"/>
      <c r="F2660" s="28"/>
      <c r="I2660" s="28" t="str">
        <f aca="false">IF(A2660="","",D2660*E2660)</f>
        <v/>
      </c>
      <c r="J2660" s="28" t="str">
        <f aca="false">IF(A2660="","",D2660*F2660)</f>
        <v/>
      </c>
      <c r="K2660" s="0" t="str">
        <f aca="false">IF(A2660="","",YEAR(A2660))</f>
        <v/>
      </c>
      <c r="L2660" s="0" t="str">
        <f aca="false">IF(A2660="","",MONTH(A2660))</f>
        <v/>
      </c>
    </row>
    <row r="2661" customFormat="false" ht="15" hidden="false" customHeight="false" outlineLevel="0" collapsed="false">
      <c r="A2661" s="27"/>
      <c r="E2661" s="28"/>
      <c r="F2661" s="28"/>
      <c r="I2661" s="28" t="str">
        <f aca="false">IF(A2661="","",D2661*E2661)</f>
        <v/>
      </c>
      <c r="J2661" s="28" t="str">
        <f aca="false">IF(A2661="","",D2661*F2661)</f>
        <v/>
      </c>
      <c r="K2661" s="0" t="str">
        <f aca="false">IF(A2661="","",YEAR(A2661))</f>
        <v/>
      </c>
      <c r="L2661" s="0" t="str">
        <f aca="false">IF(A2661="","",MONTH(A2661))</f>
        <v/>
      </c>
    </row>
    <row r="2662" customFormat="false" ht="15" hidden="false" customHeight="false" outlineLevel="0" collapsed="false">
      <c r="A2662" s="27"/>
      <c r="E2662" s="28"/>
      <c r="F2662" s="28"/>
      <c r="I2662" s="28" t="str">
        <f aca="false">IF(A2662="","",D2662*E2662)</f>
        <v/>
      </c>
      <c r="J2662" s="28" t="str">
        <f aca="false">IF(A2662="","",D2662*F2662)</f>
        <v/>
      </c>
      <c r="K2662" s="0" t="str">
        <f aca="false">IF(A2662="","",YEAR(A2662))</f>
        <v/>
      </c>
      <c r="L2662" s="0" t="str">
        <f aca="false">IF(A2662="","",MONTH(A2662))</f>
        <v/>
      </c>
    </row>
    <row r="2663" customFormat="false" ht="15" hidden="false" customHeight="false" outlineLevel="0" collapsed="false">
      <c r="A2663" s="27"/>
      <c r="E2663" s="28"/>
      <c r="F2663" s="28"/>
      <c r="I2663" s="28" t="str">
        <f aca="false">IF(A2663="","",D2663*E2663)</f>
        <v/>
      </c>
      <c r="J2663" s="28" t="str">
        <f aca="false">IF(A2663="","",D2663*F2663)</f>
        <v/>
      </c>
      <c r="K2663" s="0" t="str">
        <f aca="false">IF(A2663="","",YEAR(A2663))</f>
        <v/>
      </c>
      <c r="L2663" s="0" t="str">
        <f aca="false">IF(A2663="","",MONTH(A2663))</f>
        <v/>
      </c>
    </row>
    <row r="2664" customFormat="false" ht="15" hidden="false" customHeight="false" outlineLevel="0" collapsed="false">
      <c r="A2664" s="27"/>
      <c r="E2664" s="28"/>
      <c r="F2664" s="28"/>
      <c r="I2664" s="28" t="str">
        <f aca="false">IF(A2664="","",D2664*E2664)</f>
        <v/>
      </c>
      <c r="J2664" s="28" t="str">
        <f aca="false">IF(A2664="","",D2664*F2664)</f>
        <v/>
      </c>
      <c r="K2664" s="0" t="str">
        <f aca="false">IF(A2664="","",YEAR(A2664))</f>
        <v/>
      </c>
      <c r="L2664" s="0" t="str">
        <f aca="false">IF(A2664="","",MONTH(A2664))</f>
        <v/>
      </c>
    </row>
    <row r="2665" customFormat="false" ht="15" hidden="false" customHeight="false" outlineLevel="0" collapsed="false">
      <c r="A2665" s="27"/>
      <c r="E2665" s="28"/>
      <c r="F2665" s="28"/>
      <c r="I2665" s="28" t="str">
        <f aca="false">IF(A2665="","",D2665*E2665)</f>
        <v/>
      </c>
      <c r="J2665" s="28" t="str">
        <f aca="false">IF(A2665="","",D2665*F2665)</f>
        <v/>
      </c>
      <c r="K2665" s="0" t="str">
        <f aca="false">IF(A2665="","",YEAR(A2665))</f>
        <v/>
      </c>
      <c r="L2665" s="0" t="str">
        <f aca="false">IF(A2665="","",MONTH(A2665))</f>
        <v/>
      </c>
    </row>
    <row r="2666" customFormat="false" ht="15" hidden="false" customHeight="false" outlineLevel="0" collapsed="false">
      <c r="A2666" s="27"/>
      <c r="E2666" s="28"/>
      <c r="F2666" s="28"/>
      <c r="I2666" s="28" t="str">
        <f aca="false">IF(A2666="","",D2666*E2666)</f>
        <v/>
      </c>
      <c r="J2666" s="28" t="str">
        <f aca="false">IF(A2666="","",D2666*F2666)</f>
        <v/>
      </c>
      <c r="K2666" s="0" t="str">
        <f aca="false">IF(A2666="","",YEAR(A2666))</f>
        <v/>
      </c>
      <c r="L2666" s="0" t="str">
        <f aca="false">IF(A2666="","",MONTH(A2666))</f>
        <v/>
      </c>
    </row>
    <row r="2667" customFormat="false" ht="15" hidden="false" customHeight="false" outlineLevel="0" collapsed="false">
      <c r="A2667" s="27"/>
      <c r="E2667" s="28"/>
      <c r="F2667" s="28"/>
      <c r="I2667" s="28" t="str">
        <f aca="false">IF(A2667="","",D2667*E2667)</f>
        <v/>
      </c>
      <c r="J2667" s="28" t="str">
        <f aca="false">IF(A2667="","",D2667*F2667)</f>
        <v/>
      </c>
      <c r="K2667" s="0" t="str">
        <f aca="false">IF(A2667="","",YEAR(A2667))</f>
        <v/>
      </c>
      <c r="L2667" s="0" t="str">
        <f aca="false">IF(A2667="","",MONTH(A2667))</f>
        <v/>
      </c>
    </row>
    <row r="2668" customFormat="false" ht="15" hidden="false" customHeight="false" outlineLevel="0" collapsed="false">
      <c r="A2668" s="27"/>
      <c r="E2668" s="28"/>
      <c r="F2668" s="28"/>
      <c r="I2668" s="28" t="str">
        <f aca="false">IF(A2668="","",D2668*E2668)</f>
        <v/>
      </c>
      <c r="J2668" s="28" t="str">
        <f aca="false">IF(A2668="","",D2668*F2668)</f>
        <v/>
      </c>
      <c r="K2668" s="0" t="str">
        <f aca="false">IF(A2668="","",YEAR(A2668))</f>
        <v/>
      </c>
      <c r="L2668" s="0" t="str">
        <f aca="false">IF(A2668="","",MONTH(A2668))</f>
        <v/>
      </c>
    </row>
    <row r="2669" customFormat="false" ht="15" hidden="false" customHeight="false" outlineLevel="0" collapsed="false">
      <c r="A2669" s="27"/>
      <c r="E2669" s="28"/>
      <c r="F2669" s="28"/>
      <c r="I2669" s="28" t="str">
        <f aca="false">IF(A2669="","",D2669*E2669)</f>
        <v/>
      </c>
      <c r="J2669" s="28" t="str">
        <f aca="false">IF(A2669="","",D2669*F2669)</f>
        <v/>
      </c>
      <c r="K2669" s="0" t="str">
        <f aca="false">IF(A2669="","",YEAR(A2669))</f>
        <v/>
      </c>
      <c r="L2669" s="0" t="str">
        <f aca="false">IF(A2669="","",MONTH(A2669))</f>
        <v/>
      </c>
    </row>
    <row r="2670" customFormat="false" ht="15" hidden="false" customHeight="false" outlineLevel="0" collapsed="false">
      <c r="A2670" s="27"/>
      <c r="E2670" s="28"/>
      <c r="F2670" s="28"/>
      <c r="I2670" s="28" t="str">
        <f aca="false">IF(A2670="","",D2670*E2670)</f>
        <v/>
      </c>
      <c r="J2670" s="28" t="str">
        <f aca="false">IF(A2670="","",D2670*F2670)</f>
        <v/>
      </c>
      <c r="K2670" s="0" t="str">
        <f aca="false">IF(A2670="","",YEAR(A2670))</f>
        <v/>
      </c>
      <c r="L2670" s="0" t="str">
        <f aca="false">IF(A2670="","",MONTH(A2670))</f>
        <v/>
      </c>
    </row>
    <row r="2671" customFormat="false" ht="15" hidden="false" customHeight="false" outlineLevel="0" collapsed="false">
      <c r="A2671" s="27"/>
      <c r="E2671" s="28"/>
      <c r="F2671" s="28"/>
      <c r="I2671" s="28" t="str">
        <f aca="false">IF(A2671="","",D2671*E2671)</f>
        <v/>
      </c>
      <c r="J2671" s="28" t="str">
        <f aca="false">IF(A2671="","",D2671*F2671)</f>
        <v/>
      </c>
      <c r="K2671" s="0" t="str">
        <f aca="false">IF(A2671="","",YEAR(A2671))</f>
        <v/>
      </c>
      <c r="L2671" s="0" t="str">
        <f aca="false">IF(A2671="","",MONTH(A2671))</f>
        <v/>
      </c>
    </row>
    <row r="2672" customFormat="false" ht="15" hidden="false" customHeight="false" outlineLevel="0" collapsed="false">
      <c r="A2672" s="27"/>
      <c r="E2672" s="28"/>
      <c r="F2672" s="28"/>
      <c r="I2672" s="28" t="str">
        <f aca="false">IF(A2672="","",D2672*E2672)</f>
        <v/>
      </c>
      <c r="J2672" s="28" t="str">
        <f aca="false">IF(A2672="","",D2672*F2672)</f>
        <v/>
      </c>
      <c r="K2672" s="0" t="str">
        <f aca="false">IF(A2672="","",YEAR(A2672))</f>
        <v/>
      </c>
      <c r="L2672" s="0" t="str">
        <f aca="false">IF(A2672="","",MONTH(A2672))</f>
        <v/>
      </c>
    </row>
    <row r="2673" customFormat="false" ht="15" hidden="false" customHeight="false" outlineLevel="0" collapsed="false">
      <c r="A2673" s="27"/>
      <c r="E2673" s="28"/>
      <c r="F2673" s="28"/>
      <c r="I2673" s="28" t="str">
        <f aca="false">IF(A2673="","",D2673*E2673)</f>
        <v/>
      </c>
      <c r="J2673" s="28" t="str">
        <f aca="false">IF(A2673="","",D2673*F2673)</f>
        <v/>
      </c>
      <c r="K2673" s="0" t="str">
        <f aca="false">IF(A2673="","",YEAR(A2673))</f>
        <v/>
      </c>
      <c r="L2673" s="0" t="str">
        <f aca="false">IF(A2673="","",MONTH(A2673))</f>
        <v/>
      </c>
    </row>
    <row r="2674" customFormat="false" ht="15" hidden="false" customHeight="false" outlineLevel="0" collapsed="false">
      <c r="A2674" s="27"/>
      <c r="E2674" s="28"/>
      <c r="F2674" s="28"/>
      <c r="I2674" s="28" t="str">
        <f aca="false">IF(A2674="","",D2674*E2674)</f>
        <v/>
      </c>
      <c r="J2674" s="28" t="str">
        <f aca="false">IF(A2674="","",D2674*F2674)</f>
        <v/>
      </c>
      <c r="K2674" s="0" t="str">
        <f aca="false">IF(A2674="","",YEAR(A2674))</f>
        <v/>
      </c>
      <c r="L2674" s="0" t="str">
        <f aca="false">IF(A2674="","",MONTH(A2674))</f>
        <v/>
      </c>
    </row>
    <row r="2675" customFormat="false" ht="15" hidden="false" customHeight="false" outlineLevel="0" collapsed="false">
      <c r="A2675" s="27"/>
      <c r="E2675" s="28"/>
      <c r="F2675" s="28"/>
      <c r="I2675" s="28" t="str">
        <f aca="false">IF(A2675="","",D2675*E2675)</f>
        <v/>
      </c>
      <c r="J2675" s="28" t="str">
        <f aca="false">IF(A2675="","",D2675*F2675)</f>
        <v/>
      </c>
      <c r="K2675" s="0" t="str">
        <f aca="false">IF(A2675="","",YEAR(A2675))</f>
        <v/>
      </c>
      <c r="L2675" s="0" t="str">
        <f aca="false">IF(A2675="","",MONTH(A2675))</f>
        <v/>
      </c>
    </row>
    <row r="2676" customFormat="false" ht="15" hidden="false" customHeight="false" outlineLevel="0" collapsed="false">
      <c r="A2676" s="27"/>
      <c r="E2676" s="28"/>
      <c r="F2676" s="28"/>
      <c r="I2676" s="28" t="str">
        <f aca="false">IF(A2676="","",D2676*E2676)</f>
        <v/>
      </c>
      <c r="J2676" s="28" t="str">
        <f aca="false">IF(A2676="","",D2676*F2676)</f>
        <v/>
      </c>
      <c r="K2676" s="0" t="str">
        <f aca="false">IF(A2676="","",YEAR(A2676))</f>
        <v/>
      </c>
      <c r="L2676" s="0" t="str">
        <f aca="false">IF(A2676="","",MONTH(A2676))</f>
        <v/>
      </c>
    </row>
    <row r="2677" customFormat="false" ht="15" hidden="false" customHeight="false" outlineLevel="0" collapsed="false">
      <c r="A2677" s="27"/>
      <c r="E2677" s="28"/>
      <c r="F2677" s="28"/>
      <c r="I2677" s="28" t="str">
        <f aca="false">IF(A2677="","",D2677*E2677)</f>
        <v/>
      </c>
      <c r="J2677" s="28" t="str">
        <f aca="false">IF(A2677="","",D2677*F2677)</f>
        <v/>
      </c>
      <c r="K2677" s="0" t="str">
        <f aca="false">IF(A2677="","",YEAR(A2677))</f>
        <v/>
      </c>
      <c r="L2677" s="0" t="str">
        <f aca="false">IF(A2677="","",MONTH(A2677))</f>
        <v/>
      </c>
    </row>
    <row r="2678" customFormat="false" ht="15" hidden="false" customHeight="false" outlineLevel="0" collapsed="false">
      <c r="A2678" s="27"/>
      <c r="E2678" s="28"/>
      <c r="F2678" s="28"/>
      <c r="I2678" s="28" t="str">
        <f aca="false">IF(A2678="","",D2678*E2678)</f>
        <v/>
      </c>
      <c r="J2678" s="28" t="str">
        <f aca="false">IF(A2678="","",D2678*F2678)</f>
        <v/>
      </c>
      <c r="K2678" s="0" t="str">
        <f aca="false">IF(A2678="","",YEAR(A2678))</f>
        <v/>
      </c>
      <c r="L2678" s="0" t="str">
        <f aca="false">IF(A2678="","",MONTH(A2678))</f>
        <v/>
      </c>
    </row>
    <row r="2679" customFormat="false" ht="15" hidden="false" customHeight="false" outlineLevel="0" collapsed="false">
      <c r="A2679" s="27"/>
      <c r="E2679" s="28"/>
      <c r="F2679" s="28"/>
      <c r="I2679" s="28" t="str">
        <f aca="false">IF(A2679="","",D2679*E2679)</f>
        <v/>
      </c>
      <c r="J2679" s="28" t="str">
        <f aca="false">IF(A2679="","",D2679*F2679)</f>
        <v/>
      </c>
      <c r="K2679" s="0" t="str">
        <f aca="false">IF(A2679="","",YEAR(A2679))</f>
        <v/>
      </c>
      <c r="L2679" s="0" t="str">
        <f aca="false">IF(A2679="","",MONTH(A2679))</f>
        <v/>
      </c>
    </row>
    <row r="2680" customFormat="false" ht="15" hidden="false" customHeight="false" outlineLevel="0" collapsed="false">
      <c r="A2680" s="27"/>
      <c r="E2680" s="28"/>
      <c r="F2680" s="28"/>
      <c r="I2680" s="28" t="str">
        <f aca="false">IF(A2680="","",D2680*E2680)</f>
        <v/>
      </c>
      <c r="J2680" s="28" t="str">
        <f aca="false">IF(A2680="","",D2680*F2680)</f>
        <v/>
      </c>
      <c r="K2680" s="0" t="str">
        <f aca="false">IF(A2680="","",YEAR(A2680))</f>
        <v/>
      </c>
      <c r="L2680" s="0" t="str">
        <f aca="false">IF(A2680="","",MONTH(A2680))</f>
        <v/>
      </c>
    </row>
    <row r="2681" customFormat="false" ht="15" hidden="false" customHeight="false" outlineLevel="0" collapsed="false">
      <c r="A2681" s="27"/>
      <c r="E2681" s="28"/>
      <c r="F2681" s="28"/>
      <c r="I2681" s="28" t="str">
        <f aca="false">IF(A2681="","",D2681*E2681)</f>
        <v/>
      </c>
      <c r="J2681" s="28" t="str">
        <f aca="false">IF(A2681="","",D2681*F2681)</f>
        <v/>
      </c>
      <c r="K2681" s="0" t="str">
        <f aca="false">IF(A2681="","",YEAR(A2681))</f>
        <v/>
      </c>
      <c r="L2681" s="0" t="str">
        <f aca="false">IF(A2681="","",MONTH(A2681))</f>
        <v/>
      </c>
    </row>
    <row r="2682" customFormat="false" ht="15" hidden="false" customHeight="false" outlineLevel="0" collapsed="false">
      <c r="A2682" s="27"/>
      <c r="E2682" s="28"/>
      <c r="F2682" s="28"/>
      <c r="I2682" s="28" t="str">
        <f aca="false">IF(A2682="","",D2682*E2682)</f>
        <v/>
      </c>
      <c r="J2682" s="28" t="str">
        <f aca="false">IF(A2682="","",D2682*F2682)</f>
        <v/>
      </c>
      <c r="K2682" s="0" t="str">
        <f aca="false">IF(A2682="","",YEAR(A2682))</f>
        <v/>
      </c>
      <c r="L2682" s="0" t="str">
        <f aca="false">IF(A2682="","",MONTH(A2682))</f>
        <v/>
      </c>
    </row>
    <row r="2683" customFormat="false" ht="15" hidden="false" customHeight="false" outlineLevel="0" collapsed="false">
      <c r="A2683" s="27"/>
      <c r="E2683" s="28"/>
      <c r="F2683" s="28"/>
      <c r="I2683" s="28" t="str">
        <f aca="false">IF(A2683="","",D2683*E2683)</f>
        <v/>
      </c>
      <c r="J2683" s="28" t="str">
        <f aca="false">IF(A2683="","",D2683*F2683)</f>
        <v/>
      </c>
      <c r="K2683" s="0" t="str">
        <f aca="false">IF(A2683="","",YEAR(A2683))</f>
        <v/>
      </c>
      <c r="L2683" s="0" t="str">
        <f aca="false">IF(A2683="","",MONTH(A2683))</f>
        <v/>
      </c>
    </row>
    <row r="2684" customFormat="false" ht="15" hidden="false" customHeight="false" outlineLevel="0" collapsed="false">
      <c r="A2684" s="27"/>
      <c r="E2684" s="28"/>
      <c r="F2684" s="28"/>
      <c r="I2684" s="28" t="str">
        <f aca="false">IF(A2684="","",D2684*E2684)</f>
        <v/>
      </c>
      <c r="J2684" s="28" t="str">
        <f aca="false">IF(A2684="","",D2684*F2684)</f>
        <v/>
      </c>
      <c r="K2684" s="0" t="str">
        <f aca="false">IF(A2684="","",YEAR(A2684))</f>
        <v/>
      </c>
      <c r="L2684" s="0" t="str">
        <f aca="false">IF(A2684="","",MONTH(A2684))</f>
        <v/>
      </c>
    </row>
    <row r="2685" customFormat="false" ht="15" hidden="false" customHeight="false" outlineLevel="0" collapsed="false">
      <c r="A2685" s="27"/>
      <c r="E2685" s="28"/>
      <c r="F2685" s="28"/>
      <c r="I2685" s="28" t="str">
        <f aca="false">IF(A2685="","",D2685*E2685)</f>
        <v/>
      </c>
      <c r="J2685" s="28" t="str">
        <f aca="false">IF(A2685="","",D2685*F2685)</f>
        <v/>
      </c>
      <c r="K2685" s="0" t="str">
        <f aca="false">IF(A2685="","",YEAR(A2685))</f>
        <v/>
      </c>
      <c r="L2685" s="0" t="str">
        <f aca="false">IF(A2685="","",MONTH(A2685))</f>
        <v/>
      </c>
    </row>
    <row r="2686" customFormat="false" ht="15" hidden="false" customHeight="false" outlineLevel="0" collapsed="false">
      <c r="A2686" s="27"/>
      <c r="E2686" s="28"/>
      <c r="F2686" s="28"/>
      <c r="I2686" s="28" t="str">
        <f aca="false">IF(A2686="","",D2686*E2686)</f>
        <v/>
      </c>
      <c r="J2686" s="28" t="str">
        <f aca="false">IF(A2686="","",D2686*F2686)</f>
        <v/>
      </c>
      <c r="K2686" s="0" t="str">
        <f aca="false">IF(A2686="","",YEAR(A2686))</f>
        <v/>
      </c>
      <c r="L2686" s="0" t="str">
        <f aca="false">IF(A2686="","",MONTH(A2686))</f>
        <v/>
      </c>
    </row>
    <row r="2687" customFormat="false" ht="15" hidden="false" customHeight="false" outlineLevel="0" collapsed="false">
      <c r="A2687" s="27"/>
      <c r="E2687" s="28"/>
      <c r="F2687" s="28"/>
      <c r="I2687" s="28" t="str">
        <f aca="false">IF(A2687="","",D2687*E2687)</f>
        <v/>
      </c>
      <c r="J2687" s="28" t="str">
        <f aca="false">IF(A2687="","",D2687*F2687)</f>
        <v/>
      </c>
      <c r="K2687" s="0" t="str">
        <f aca="false">IF(A2687="","",YEAR(A2687))</f>
        <v/>
      </c>
      <c r="L2687" s="0" t="str">
        <f aca="false">IF(A2687="","",MONTH(A2687))</f>
        <v/>
      </c>
    </row>
    <row r="2688" customFormat="false" ht="15" hidden="false" customHeight="false" outlineLevel="0" collapsed="false">
      <c r="A2688" s="27"/>
      <c r="E2688" s="28"/>
      <c r="F2688" s="28"/>
      <c r="I2688" s="28" t="str">
        <f aca="false">IF(A2688="","",D2688*E2688)</f>
        <v/>
      </c>
      <c r="J2688" s="28" t="str">
        <f aca="false">IF(A2688="","",D2688*F2688)</f>
        <v/>
      </c>
      <c r="K2688" s="0" t="str">
        <f aca="false">IF(A2688="","",YEAR(A2688))</f>
        <v/>
      </c>
      <c r="L2688" s="0" t="str">
        <f aca="false">IF(A2688="","",MONTH(A2688))</f>
        <v/>
      </c>
    </row>
    <row r="2689" customFormat="false" ht="15" hidden="false" customHeight="false" outlineLevel="0" collapsed="false">
      <c r="A2689" s="27"/>
      <c r="E2689" s="28"/>
      <c r="F2689" s="28"/>
      <c r="I2689" s="28" t="str">
        <f aca="false">IF(A2689="","",D2689*E2689)</f>
        <v/>
      </c>
      <c r="J2689" s="28" t="str">
        <f aca="false">IF(A2689="","",D2689*F2689)</f>
        <v/>
      </c>
      <c r="K2689" s="0" t="str">
        <f aca="false">IF(A2689="","",YEAR(A2689))</f>
        <v/>
      </c>
      <c r="L2689" s="0" t="str">
        <f aca="false">IF(A2689="","",MONTH(A2689))</f>
        <v/>
      </c>
    </row>
    <row r="2690" customFormat="false" ht="15" hidden="false" customHeight="false" outlineLevel="0" collapsed="false">
      <c r="A2690" s="27"/>
      <c r="E2690" s="28"/>
      <c r="F2690" s="28"/>
      <c r="I2690" s="28" t="str">
        <f aca="false">IF(A2690="","",D2690*E2690)</f>
        <v/>
      </c>
      <c r="J2690" s="28" t="str">
        <f aca="false">IF(A2690="","",D2690*F2690)</f>
        <v/>
      </c>
      <c r="K2690" s="0" t="str">
        <f aca="false">IF(A2690="","",YEAR(A2690))</f>
        <v/>
      </c>
      <c r="L2690" s="0" t="str">
        <f aca="false">IF(A2690="","",MONTH(A2690))</f>
        <v/>
      </c>
    </row>
    <row r="2691" customFormat="false" ht="15" hidden="false" customHeight="false" outlineLevel="0" collapsed="false">
      <c r="A2691" s="27"/>
      <c r="E2691" s="28"/>
      <c r="F2691" s="28"/>
      <c r="I2691" s="28" t="str">
        <f aca="false">IF(A2691="","",D2691*E2691)</f>
        <v/>
      </c>
      <c r="J2691" s="28" t="str">
        <f aca="false">IF(A2691="","",D2691*F2691)</f>
        <v/>
      </c>
      <c r="K2691" s="0" t="str">
        <f aca="false">IF(A2691="","",YEAR(A2691))</f>
        <v/>
      </c>
      <c r="L2691" s="0" t="str">
        <f aca="false">IF(A2691="","",MONTH(A2691))</f>
        <v/>
      </c>
    </row>
    <row r="2692" customFormat="false" ht="15" hidden="false" customHeight="false" outlineLevel="0" collapsed="false">
      <c r="A2692" s="27"/>
      <c r="E2692" s="28"/>
      <c r="F2692" s="28"/>
      <c r="I2692" s="28" t="str">
        <f aca="false">IF(A2692="","",D2692*E2692)</f>
        <v/>
      </c>
      <c r="J2692" s="28" t="str">
        <f aca="false">IF(A2692="","",D2692*F2692)</f>
        <v/>
      </c>
      <c r="K2692" s="0" t="str">
        <f aca="false">IF(A2692="","",YEAR(A2692))</f>
        <v/>
      </c>
      <c r="L2692" s="0" t="str">
        <f aca="false">IF(A2692="","",MONTH(A2692))</f>
        <v/>
      </c>
    </row>
    <row r="2693" customFormat="false" ht="15" hidden="false" customHeight="false" outlineLevel="0" collapsed="false">
      <c r="A2693" s="27"/>
      <c r="E2693" s="28"/>
      <c r="F2693" s="28"/>
      <c r="I2693" s="28" t="str">
        <f aca="false">IF(A2693="","",D2693*E2693)</f>
        <v/>
      </c>
      <c r="J2693" s="28" t="str">
        <f aca="false">IF(A2693="","",D2693*F2693)</f>
        <v/>
      </c>
      <c r="K2693" s="0" t="str">
        <f aca="false">IF(A2693="","",YEAR(A2693))</f>
        <v/>
      </c>
      <c r="L2693" s="0" t="str">
        <f aca="false">IF(A2693="","",MONTH(A2693))</f>
        <v/>
      </c>
    </row>
    <row r="2694" customFormat="false" ht="15" hidden="false" customHeight="false" outlineLevel="0" collapsed="false">
      <c r="A2694" s="27"/>
      <c r="E2694" s="28"/>
      <c r="F2694" s="28"/>
      <c r="I2694" s="28" t="str">
        <f aca="false">IF(A2694="","",D2694*E2694)</f>
        <v/>
      </c>
      <c r="J2694" s="28" t="str">
        <f aca="false">IF(A2694="","",D2694*F2694)</f>
        <v/>
      </c>
      <c r="K2694" s="0" t="str">
        <f aca="false">IF(A2694="","",YEAR(A2694))</f>
        <v/>
      </c>
      <c r="L2694" s="0" t="str">
        <f aca="false">IF(A2694="","",MONTH(A2694))</f>
        <v/>
      </c>
    </row>
    <row r="2695" customFormat="false" ht="15" hidden="false" customHeight="false" outlineLevel="0" collapsed="false">
      <c r="A2695" s="27"/>
      <c r="E2695" s="28"/>
      <c r="F2695" s="28"/>
      <c r="I2695" s="28" t="str">
        <f aca="false">IF(A2695="","",D2695*E2695)</f>
        <v/>
      </c>
      <c r="J2695" s="28" t="str">
        <f aca="false">IF(A2695="","",D2695*F2695)</f>
        <v/>
      </c>
      <c r="K2695" s="0" t="str">
        <f aca="false">IF(A2695="","",YEAR(A2695))</f>
        <v/>
      </c>
      <c r="L2695" s="0" t="str">
        <f aca="false">IF(A2695="","",MONTH(A2695))</f>
        <v/>
      </c>
    </row>
    <row r="2696" customFormat="false" ht="15" hidden="false" customHeight="false" outlineLevel="0" collapsed="false">
      <c r="A2696" s="27"/>
      <c r="E2696" s="28"/>
      <c r="F2696" s="28"/>
      <c r="I2696" s="28" t="str">
        <f aca="false">IF(A2696="","",D2696*E2696)</f>
        <v/>
      </c>
      <c r="J2696" s="28" t="str">
        <f aca="false">IF(A2696="","",D2696*F2696)</f>
        <v/>
      </c>
      <c r="K2696" s="0" t="str">
        <f aca="false">IF(A2696="","",YEAR(A2696))</f>
        <v/>
      </c>
      <c r="L2696" s="0" t="str">
        <f aca="false">IF(A2696="","",MONTH(A2696))</f>
        <v/>
      </c>
    </row>
    <row r="2697" customFormat="false" ht="15" hidden="false" customHeight="false" outlineLevel="0" collapsed="false">
      <c r="A2697" s="27"/>
      <c r="E2697" s="28"/>
      <c r="F2697" s="28"/>
      <c r="I2697" s="28" t="str">
        <f aca="false">IF(A2697="","",D2697*E2697)</f>
        <v/>
      </c>
      <c r="J2697" s="28" t="str">
        <f aca="false">IF(A2697="","",D2697*F2697)</f>
        <v/>
      </c>
      <c r="K2697" s="0" t="str">
        <f aca="false">IF(A2697="","",YEAR(A2697))</f>
        <v/>
      </c>
      <c r="L2697" s="0" t="str">
        <f aca="false">IF(A2697="","",MONTH(A2697))</f>
        <v/>
      </c>
    </row>
    <row r="2698" customFormat="false" ht="15" hidden="false" customHeight="false" outlineLevel="0" collapsed="false">
      <c r="A2698" s="27"/>
      <c r="E2698" s="28"/>
      <c r="F2698" s="28"/>
      <c r="I2698" s="28" t="str">
        <f aca="false">IF(A2698="","",D2698*E2698)</f>
        <v/>
      </c>
      <c r="J2698" s="28" t="str">
        <f aca="false">IF(A2698="","",D2698*F2698)</f>
        <v/>
      </c>
      <c r="K2698" s="0" t="str">
        <f aca="false">IF(A2698="","",YEAR(A2698))</f>
        <v/>
      </c>
      <c r="L2698" s="0" t="str">
        <f aca="false">IF(A2698="","",MONTH(A2698))</f>
        <v/>
      </c>
    </row>
    <row r="2699" customFormat="false" ht="15" hidden="false" customHeight="false" outlineLevel="0" collapsed="false">
      <c r="A2699" s="27"/>
      <c r="E2699" s="28"/>
      <c r="F2699" s="28"/>
      <c r="I2699" s="28" t="str">
        <f aca="false">IF(A2699="","",D2699*E2699)</f>
        <v/>
      </c>
      <c r="J2699" s="28" t="str">
        <f aca="false">IF(A2699="","",D2699*F2699)</f>
        <v/>
      </c>
      <c r="K2699" s="0" t="str">
        <f aca="false">IF(A2699="","",YEAR(A2699))</f>
        <v/>
      </c>
      <c r="L2699" s="0" t="str">
        <f aca="false">IF(A2699="","",MONTH(A2699))</f>
        <v/>
      </c>
    </row>
    <row r="2700" customFormat="false" ht="15" hidden="false" customHeight="false" outlineLevel="0" collapsed="false">
      <c r="A2700" s="27"/>
      <c r="E2700" s="28"/>
      <c r="F2700" s="28"/>
      <c r="I2700" s="28" t="str">
        <f aca="false">IF(A2700="","",D2700*E2700)</f>
        <v/>
      </c>
      <c r="J2700" s="28" t="str">
        <f aca="false">IF(A2700="","",D2700*F2700)</f>
        <v/>
      </c>
      <c r="K2700" s="0" t="str">
        <f aca="false">IF(A2700="","",YEAR(A2700))</f>
        <v/>
      </c>
      <c r="L2700" s="0" t="str">
        <f aca="false">IF(A2700="","",MONTH(A2700))</f>
        <v/>
      </c>
    </row>
    <row r="2701" customFormat="false" ht="15" hidden="false" customHeight="false" outlineLevel="0" collapsed="false">
      <c r="A2701" s="27"/>
      <c r="E2701" s="28"/>
      <c r="F2701" s="28"/>
      <c r="I2701" s="28" t="str">
        <f aca="false">IF(A2701="","",D2701*E2701)</f>
        <v/>
      </c>
      <c r="J2701" s="28" t="str">
        <f aca="false">IF(A2701="","",D2701*F2701)</f>
        <v/>
      </c>
      <c r="K2701" s="0" t="str">
        <f aca="false">IF(A2701="","",YEAR(A2701))</f>
        <v/>
      </c>
      <c r="L2701" s="0" t="str">
        <f aca="false">IF(A2701="","",MONTH(A2701))</f>
        <v/>
      </c>
    </row>
    <row r="2702" customFormat="false" ht="15" hidden="false" customHeight="false" outlineLevel="0" collapsed="false">
      <c r="A2702" s="27"/>
      <c r="E2702" s="28"/>
      <c r="F2702" s="28"/>
      <c r="I2702" s="28" t="str">
        <f aca="false">IF(A2702="","",D2702*E2702)</f>
        <v/>
      </c>
      <c r="J2702" s="28" t="str">
        <f aca="false">IF(A2702="","",D2702*F2702)</f>
        <v/>
      </c>
      <c r="K2702" s="0" t="str">
        <f aca="false">IF(A2702="","",YEAR(A2702))</f>
        <v/>
      </c>
      <c r="L2702" s="0" t="str">
        <f aca="false">IF(A2702="","",MONTH(A2702))</f>
        <v/>
      </c>
    </row>
    <row r="2703" customFormat="false" ht="15" hidden="false" customHeight="false" outlineLevel="0" collapsed="false">
      <c r="A2703" s="27"/>
      <c r="E2703" s="28"/>
      <c r="F2703" s="28"/>
      <c r="I2703" s="28" t="str">
        <f aca="false">IF(A2703="","",D2703*E2703)</f>
        <v/>
      </c>
      <c r="J2703" s="28" t="str">
        <f aca="false">IF(A2703="","",D2703*F2703)</f>
        <v/>
      </c>
      <c r="K2703" s="0" t="str">
        <f aca="false">IF(A2703="","",YEAR(A2703))</f>
        <v/>
      </c>
      <c r="L2703" s="0" t="str">
        <f aca="false">IF(A2703="","",MONTH(A2703))</f>
        <v/>
      </c>
    </row>
    <row r="2704" customFormat="false" ht="15" hidden="false" customHeight="false" outlineLevel="0" collapsed="false">
      <c r="A2704" s="27"/>
      <c r="E2704" s="28"/>
      <c r="F2704" s="28"/>
      <c r="I2704" s="28" t="str">
        <f aca="false">IF(A2704="","",D2704*E2704)</f>
        <v/>
      </c>
      <c r="J2704" s="28" t="str">
        <f aca="false">IF(A2704="","",D2704*F2704)</f>
        <v/>
      </c>
      <c r="K2704" s="0" t="str">
        <f aca="false">IF(A2704="","",YEAR(A2704))</f>
        <v/>
      </c>
      <c r="L2704" s="0" t="str">
        <f aca="false">IF(A2704="","",MONTH(A2704))</f>
        <v/>
      </c>
    </row>
    <row r="2705" customFormat="false" ht="15" hidden="false" customHeight="false" outlineLevel="0" collapsed="false">
      <c r="A2705" s="27"/>
      <c r="E2705" s="28"/>
      <c r="F2705" s="28"/>
      <c r="I2705" s="28" t="str">
        <f aca="false">IF(A2705="","",D2705*E2705)</f>
        <v/>
      </c>
      <c r="J2705" s="28" t="str">
        <f aca="false">IF(A2705="","",D2705*F2705)</f>
        <v/>
      </c>
      <c r="K2705" s="0" t="str">
        <f aca="false">IF(A2705="","",YEAR(A2705))</f>
        <v/>
      </c>
      <c r="L2705" s="0" t="str">
        <f aca="false">IF(A2705="","",MONTH(A2705))</f>
        <v/>
      </c>
    </row>
    <row r="2706" customFormat="false" ht="15" hidden="false" customHeight="false" outlineLevel="0" collapsed="false">
      <c r="A2706" s="27"/>
      <c r="E2706" s="28"/>
      <c r="F2706" s="28"/>
      <c r="I2706" s="28" t="str">
        <f aca="false">IF(A2706="","",D2706*E2706)</f>
        <v/>
      </c>
      <c r="J2706" s="28" t="str">
        <f aca="false">IF(A2706="","",D2706*F2706)</f>
        <v/>
      </c>
      <c r="K2706" s="0" t="str">
        <f aca="false">IF(A2706="","",YEAR(A2706))</f>
        <v/>
      </c>
      <c r="L2706" s="0" t="str">
        <f aca="false">IF(A2706="","",MONTH(A2706))</f>
        <v/>
      </c>
    </row>
    <row r="2707" customFormat="false" ht="15" hidden="false" customHeight="false" outlineLevel="0" collapsed="false">
      <c r="A2707" s="27"/>
      <c r="E2707" s="28"/>
      <c r="F2707" s="28"/>
      <c r="I2707" s="28" t="str">
        <f aca="false">IF(A2707="","",D2707*E2707)</f>
        <v/>
      </c>
      <c r="J2707" s="28" t="str">
        <f aca="false">IF(A2707="","",D2707*F2707)</f>
        <v/>
      </c>
      <c r="K2707" s="0" t="str">
        <f aca="false">IF(A2707="","",YEAR(A2707))</f>
        <v/>
      </c>
      <c r="L2707" s="0" t="str">
        <f aca="false">IF(A2707="","",MONTH(A2707))</f>
        <v/>
      </c>
    </row>
    <row r="2708" customFormat="false" ht="15" hidden="false" customHeight="false" outlineLevel="0" collapsed="false">
      <c r="A2708" s="27"/>
      <c r="E2708" s="28"/>
      <c r="F2708" s="28"/>
      <c r="I2708" s="28" t="str">
        <f aca="false">IF(A2708="","",D2708*E2708)</f>
        <v/>
      </c>
      <c r="J2708" s="28" t="str">
        <f aca="false">IF(A2708="","",D2708*F2708)</f>
        <v/>
      </c>
      <c r="K2708" s="0" t="str">
        <f aca="false">IF(A2708="","",YEAR(A2708))</f>
        <v/>
      </c>
      <c r="L2708" s="0" t="str">
        <f aca="false">IF(A2708="","",MONTH(A2708))</f>
        <v/>
      </c>
    </row>
    <row r="2709" customFormat="false" ht="15" hidden="false" customHeight="false" outlineLevel="0" collapsed="false">
      <c r="A2709" s="27"/>
      <c r="E2709" s="28"/>
      <c r="F2709" s="28"/>
      <c r="I2709" s="28" t="str">
        <f aca="false">IF(A2709="","",D2709*E2709)</f>
        <v/>
      </c>
      <c r="J2709" s="28" t="str">
        <f aca="false">IF(A2709="","",D2709*F2709)</f>
        <v/>
      </c>
      <c r="K2709" s="0" t="str">
        <f aca="false">IF(A2709="","",YEAR(A2709))</f>
        <v/>
      </c>
      <c r="L2709" s="0" t="str">
        <f aca="false">IF(A2709="","",MONTH(A2709))</f>
        <v/>
      </c>
    </row>
    <row r="2710" customFormat="false" ht="15" hidden="false" customHeight="false" outlineLevel="0" collapsed="false">
      <c r="A2710" s="27"/>
      <c r="E2710" s="28"/>
      <c r="F2710" s="28"/>
      <c r="I2710" s="28" t="str">
        <f aca="false">IF(A2710="","",D2710*E2710)</f>
        <v/>
      </c>
      <c r="J2710" s="28" t="str">
        <f aca="false">IF(A2710="","",D2710*F2710)</f>
        <v/>
      </c>
      <c r="K2710" s="0" t="str">
        <f aca="false">IF(A2710="","",YEAR(A2710))</f>
        <v/>
      </c>
      <c r="L2710" s="0" t="str">
        <f aca="false">IF(A2710="","",MONTH(A2710))</f>
        <v/>
      </c>
    </row>
    <row r="2711" customFormat="false" ht="15" hidden="false" customHeight="false" outlineLevel="0" collapsed="false">
      <c r="A2711" s="27"/>
      <c r="E2711" s="28"/>
      <c r="F2711" s="28"/>
      <c r="I2711" s="28" t="str">
        <f aca="false">IF(A2711="","",D2711*E2711)</f>
        <v/>
      </c>
      <c r="J2711" s="28" t="str">
        <f aca="false">IF(A2711="","",D2711*F2711)</f>
        <v/>
      </c>
      <c r="K2711" s="0" t="str">
        <f aca="false">IF(A2711="","",YEAR(A2711))</f>
        <v/>
      </c>
      <c r="L2711" s="0" t="str">
        <f aca="false">IF(A2711="","",MONTH(A2711))</f>
        <v/>
      </c>
    </row>
    <row r="2712" customFormat="false" ht="15" hidden="false" customHeight="false" outlineLevel="0" collapsed="false">
      <c r="A2712" s="27"/>
      <c r="E2712" s="28"/>
      <c r="F2712" s="28"/>
      <c r="I2712" s="28" t="str">
        <f aca="false">IF(A2712="","",D2712*E2712)</f>
        <v/>
      </c>
      <c r="J2712" s="28" t="str">
        <f aca="false">IF(A2712="","",D2712*F2712)</f>
        <v/>
      </c>
      <c r="K2712" s="0" t="str">
        <f aca="false">IF(A2712="","",YEAR(A2712))</f>
        <v/>
      </c>
      <c r="L2712" s="0" t="str">
        <f aca="false">IF(A2712="","",MONTH(A2712))</f>
        <v/>
      </c>
    </row>
    <row r="2713" customFormat="false" ht="15" hidden="false" customHeight="false" outlineLevel="0" collapsed="false">
      <c r="A2713" s="27"/>
      <c r="E2713" s="28"/>
      <c r="F2713" s="28"/>
      <c r="I2713" s="28" t="str">
        <f aca="false">IF(A2713="","",D2713*E2713)</f>
        <v/>
      </c>
      <c r="J2713" s="28" t="str">
        <f aca="false">IF(A2713="","",D2713*F2713)</f>
        <v/>
      </c>
      <c r="K2713" s="0" t="str">
        <f aca="false">IF(A2713="","",YEAR(A2713))</f>
        <v/>
      </c>
      <c r="L2713" s="0" t="str">
        <f aca="false">IF(A2713="","",MONTH(A2713))</f>
        <v/>
      </c>
    </row>
    <row r="2714" customFormat="false" ht="15" hidden="false" customHeight="false" outlineLevel="0" collapsed="false">
      <c r="A2714" s="27"/>
      <c r="E2714" s="28"/>
      <c r="F2714" s="28"/>
      <c r="I2714" s="28" t="str">
        <f aca="false">IF(A2714="","",D2714*E2714)</f>
        <v/>
      </c>
      <c r="J2714" s="28" t="str">
        <f aca="false">IF(A2714="","",D2714*F2714)</f>
        <v/>
      </c>
      <c r="K2714" s="0" t="str">
        <f aca="false">IF(A2714="","",YEAR(A2714))</f>
        <v/>
      </c>
      <c r="L2714" s="0" t="str">
        <f aca="false">IF(A2714="","",MONTH(A2714))</f>
        <v/>
      </c>
    </row>
    <row r="2715" customFormat="false" ht="15" hidden="false" customHeight="false" outlineLevel="0" collapsed="false">
      <c r="A2715" s="27"/>
      <c r="E2715" s="28"/>
      <c r="F2715" s="28"/>
      <c r="I2715" s="28" t="str">
        <f aca="false">IF(A2715="","",D2715*E2715)</f>
        <v/>
      </c>
      <c r="J2715" s="28" t="str">
        <f aca="false">IF(A2715="","",D2715*F2715)</f>
        <v/>
      </c>
      <c r="K2715" s="0" t="str">
        <f aca="false">IF(A2715="","",YEAR(A2715))</f>
        <v/>
      </c>
      <c r="L2715" s="0" t="str">
        <f aca="false">IF(A2715="","",MONTH(A2715))</f>
        <v/>
      </c>
    </row>
    <row r="2716" customFormat="false" ht="15" hidden="false" customHeight="false" outlineLevel="0" collapsed="false">
      <c r="A2716" s="27"/>
      <c r="E2716" s="28"/>
      <c r="F2716" s="28"/>
      <c r="I2716" s="28" t="str">
        <f aca="false">IF(A2716="","",D2716*E2716)</f>
        <v/>
      </c>
      <c r="J2716" s="28" t="str">
        <f aca="false">IF(A2716="","",D2716*F2716)</f>
        <v/>
      </c>
      <c r="K2716" s="0" t="str">
        <f aca="false">IF(A2716="","",YEAR(A2716))</f>
        <v/>
      </c>
      <c r="L2716" s="0" t="str">
        <f aca="false">IF(A2716="","",MONTH(A2716))</f>
        <v/>
      </c>
    </row>
    <row r="2717" customFormat="false" ht="15" hidden="false" customHeight="false" outlineLevel="0" collapsed="false">
      <c r="A2717" s="27"/>
      <c r="E2717" s="28"/>
      <c r="F2717" s="28"/>
      <c r="I2717" s="28" t="str">
        <f aca="false">IF(A2717="","",D2717*E2717)</f>
        <v/>
      </c>
      <c r="J2717" s="28" t="str">
        <f aca="false">IF(A2717="","",D2717*F2717)</f>
        <v/>
      </c>
      <c r="K2717" s="0" t="str">
        <f aca="false">IF(A2717="","",YEAR(A2717))</f>
        <v/>
      </c>
      <c r="L2717" s="0" t="str">
        <f aca="false">IF(A2717="","",MONTH(A2717))</f>
        <v/>
      </c>
    </row>
    <row r="2718" customFormat="false" ht="15" hidden="false" customHeight="false" outlineLevel="0" collapsed="false">
      <c r="A2718" s="27"/>
      <c r="E2718" s="28"/>
      <c r="F2718" s="28"/>
      <c r="I2718" s="28" t="str">
        <f aca="false">IF(A2718="","",D2718*E2718)</f>
        <v/>
      </c>
      <c r="J2718" s="28" t="str">
        <f aca="false">IF(A2718="","",D2718*F2718)</f>
        <v/>
      </c>
      <c r="K2718" s="0" t="str">
        <f aca="false">IF(A2718="","",YEAR(A2718))</f>
        <v/>
      </c>
      <c r="L2718" s="0" t="str">
        <f aca="false">IF(A2718="","",MONTH(A2718))</f>
        <v/>
      </c>
    </row>
    <row r="2719" customFormat="false" ht="15" hidden="false" customHeight="false" outlineLevel="0" collapsed="false">
      <c r="A2719" s="27"/>
      <c r="E2719" s="28"/>
      <c r="F2719" s="28"/>
      <c r="I2719" s="28" t="str">
        <f aca="false">IF(A2719="","",D2719*E2719)</f>
        <v/>
      </c>
      <c r="J2719" s="28" t="str">
        <f aca="false">IF(A2719="","",D2719*F2719)</f>
        <v/>
      </c>
      <c r="K2719" s="0" t="str">
        <f aca="false">IF(A2719="","",YEAR(A2719))</f>
        <v/>
      </c>
      <c r="L2719" s="0" t="str">
        <f aca="false">IF(A2719="","",MONTH(A2719))</f>
        <v/>
      </c>
    </row>
    <row r="2720" customFormat="false" ht="15" hidden="false" customHeight="false" outlineLevel="0" collapsed="false">
      <c r="A2720" s="27"/>
      <c r="E2720" s="28"/>
      <c r="F2720" s="28"/>
      <c r="I2720" s="28" t="str">
        <f aca="false">IF(A2720="","",D2720*E2720)</f>
        <v/>
      </c>
      <c r="J2720" s="28" t="str">
        <f aca="false">IF(A2720="","",D2720*F2720)</f>
        <v/>
      </c>
      <c r="K2720" s="0" t="str">
        <f aca="false">IF(A2720="","",YEAR(A2720))</f>
        <v/>
      </c>
      <c r="L2720" s="0" t="str">
        <f aca="false">IF(A2720="","",MONTH(A2720))</f>
        <v/>
      </c>
    </row>
    <row r="2721" customFormat="false" ht="15" hidden="false" customHeight="false" outlineLevel="0" collapsed="false">
      <c r="A2721" s="27"/>
      <c r="E2721" s="28"/>
      <c r="F2721" s="28"/>
      <c r="I2721" s="28" t="str">
        <f aca="false">IF(A2721="","",D2721*E2721)</f>
        <v/>
      </c>
      <c r="J2721" s="28" t="str">
        <f aca="false">IF(A2721="","",D2721*F2721)</f>
        <v/>
      </c>
      <c r="K2721" s="0" t="str">
        <f aca="false">IF(A2721="","",YEAR(A2721))</f>
        <v/>
      </c>
      <c r="L2721" s="0" t="str">
        <f aca="false">IF(A2721="","",MONTH(A2721))</f>
        <v/>
      </c>
    </row>
    <row r="2722" customFormat="false" ht="15" hidden="false" customHeight="false" outlineLevel="0" collapsed="false">
      <c r="A2722" s="27"/>
      <c r="E2722" s="28"/>
      <c r="F2722" s="28"/>
      <c r="I2722" s="28" t="str">
        <f aca="false">IF(A2722="","",D2722*E2722)</f>
        <v/>
      </c>
      <c r="J2722" s="28" t="str">
        <f aca="false">IF(A2722="","",D2722*F2722)</f>
        <v/>
      </c>
      <c r="K2722" s="0" t="str">
        <f aca="false">IF(A2722="","",YEAR(A2722))</f>
        <v/>
      </c>
      <c r="L2722" s="0" t="str">
        <f aca="false">IF(A2722="","",MONTH(A2722))</f>
        <v/>
      </c>
    </row>
    <row r="2723" customFormat="false" ht="15" hidden="false" customHeight="false" outlineLevel="0" collapsed="false">
      <c r="A2723" s="27"/>
      <c r="E2723" s="28"/>
      <c r="F2723" s="28"/>
      <c r="I2723" s="28" t="str">
        <f aca="false">IF(A2723="","",D2723*E2723)</f>
        <v/>
      </c>
      <c r="J2723" s="28" t="str">
        <f aca="false">IF(A2723="","",D2723*F2723)</f>
        <v/>
      </c>
      <c r="K2723" s="0" t="str">
        <f aca="false">IF(A2723="","",YEAR(A2723))</f>
        <v/>
      </c>
      <c r="L2723" s="0" t="str">
        <f aca="false">IF(A2723="","",MONTH(A2723))</f>
        <v/>
      </c>
    </row>
    <row r="2724" customFormat="false" ht="15" hidden="false" customHeight="false" outlineLevel="0" collapsed="false">
      <c r="A2724" s="27"/>
      <c r="E2724" s="28"/>
      <c r="F2724" s="28"/>
      <c r="I2724" s="28" t="str">
        <f aca="false">IF(A2724="","",D2724*E2724)</f>
        <v/>
      </c>
      <c r="J2724" s="28" t="str">
        <f aca="false">IF(A2724="","",D2724*F2724)</f>
        <v/>
      </c>
      <c r="K2724" s="0" t="str">
        <f aca="false">IF(A2724="","",YEAR(A2724))</f>
        <v/>
      </c>
      <c r="L2724" s="0" t="str">
        <f aca="false">IF(A2724="","",MONTH(A2724))</f>
        <v/>
      </c>
    </row>
    <row r="2725" customFormat="false" ht="15" hidden="false" customHeight="false" outlineLevel="0" collapsed="false">
      <c r="A2725" s="27"/>
      <c r="E2725" s="28"/>
      <c r="F2725" s="28"/>
      <c r="I2725" s="28" t="str">
        <f aca="false">IF(A2725="","",D2725*E2725)</f>
        <v/>
      </c>
      <c r="J2725" s="28" t="str">
        <f aca="false">IF(A2725="","",D2725*F2725)</f>
        <v/>
      </c>
      <c r="K2725" s="0" t="str">
        <f aca="false">IF(A2725="","",YEAR(A2725))</f>
        <v/>
      </c>
      <c r="L2725" s="0" t="str">
        <f aca="false">IF(A2725="","",MONTH(A2725))</f>
        <v/>
      </c>
    </row>
    <row r="2726" customFormat="false" ht="15" hidden="false" customHeight="false" outlineLevel="0" collapsed="false">
      <c r="A2726" s="27"/>
      <c r="E2726" s="28"/>
      <c r="F2726" s="28"/>
      <c r="I2726" s="28" t="str">
        <f aca="false">IF(A2726="","",D2726*E2726)</f>
        <v/>
      </c>
      <c r="J2726" s="28" t="str">
        <f aca="false">IF(A2726="","",D2726*F2726)</f>
        <v/>
      </c>
      <c r="K2726" s="0" t="str">
        <f aca="false">IF(A2726="","",YEAR(A2726))</f>
        <v/>
      </c>
      <c r="L2726" s="0" t="str">
        <f aca="false">IF(A2726="","",MONTH(A2726))</f>
        <v/>
      </c>
    </row>
    <row r="2727" customFormat="false" ht="15" hidden="false" customHeight="false" outlineLevel="0" collapsed="false">
      <c r="A2727" s="27"/>
      <c r="E2727" s="28"/>
      <c r="F2727" s="28"/>
      <c r="I2727" s="28" t="str">
        <f aca="false">IF(A2727="","",D2727*E2727)</f>
        <v/>
      </c>
      <c r="J2727" s="28" t="str">
        <f aca="false">IF(A2727="","",D2727*F2727)</f>
        <v/>
      </c>
      <c r="K2727" s="0" t="str">
        <f aca="false">IF(A2727="","",YEAR(A2727))</f>
        <v/>
      </c>
      <c r="L2727" s="0" t="str">
        <f aca="false">IF(A2727="","",MONTH(A2727))</f>
        <v/>
      </c>
    </row>
    <row r="2728" customFormat="false" ht="15" hidden="false" customHeight="false" outlineLevel="0" collapsed="false">
      <c r="A2728" s="27"/>
      <c r="E2728" s="28"/>
      <c r="F2728" s="28"/>
      <c r="I2728" s="28" t="str">
        <f aca="false">IF(A2728="","",D2728*E2728)</f>
        <v/>
      </c>
      <c r="J2728" s="28" t="str">
        <f aca="false">IF(A2728="","",D2728*F2728)</f>
        <v/>
      </c>
      <c r="K2728" s="0" t="str">
        <f aca="false">IF(A2728="","",YEAR(A2728))</f>
        <v/>
      </c>
      <c r="L2728" s="0" t="str">
        <f aca="false">IF(A2728="","",MONTH(A2728))</f>
        <v/>
      </c>
    </row>
    <row r="2729" customFormat="false" ht="15" hidden="false" customHeight="false" outlineLevel="0" collapsed="false">
      <c r="A2729" s="27"/>
      <c r="E2729" s="28"/>
      <c r="F2729" s="28"/>
      <c r="I2729" s="28" t="str">
        <f aca="false">IF(A2729="","",D2729*E2729)</f>
        <v/>
      </c>
      <c r="J2729" s="28" t="str">
        <f aca="false">IF(A2729="","",D2729*F2729)</f>
        <v/>
      </c>
      <c r="K2729" s="0" t="str">
        <f aca="false">IF(A2729="","",YEAR(A2729))</f>
        <v/>
      </c>
      <c r="L2729" s="0" t="str">
        <f aca="false">IF(A2729="","",MONTH(A2729))</f>
        <v/>
      </c>
    </row>
    <row r="2730" customFormat="false" ht="15" hidden="false" customHeight="false" outlineLevel="0" collapsed="false">
      <c r="A2730" s="27"/>
      <c r="E2730" s="28"/>
      <c r="F2730" s="28"/>
      <c r="I2730" s="28" t="str">
        <f aca="false">IF(A2730="","",D2730*E2730)</f>
        <v/>
      </c>
      <c r="J2730" s="28" t="str">
        <f aca="false">IF(A2730="","",D2730*F2730)</f>
        <v/>
      </c>
      <c r="K2730" s="0" t="str">
        <f aca="false">IF(A2730="","",YEAR(A2730))</f>
        <v/>
      </c>
      <c r="L2730" s="0" t="str">
        <f aca="false">IF(A2730="","",MONTH(A2730))</f>
        <v/>
      </c>
    </row>
    <row r="2731" customFormat="false" ht="15" hidden="false" customHeight="false" outlineLevel="0" collapsed="false">
      <c r="A2731" s="27"/>
      <c r="E2731" s="28"/>
      <c r="F2731" s="28"/>
      <c r="I2731" s="28" t="str">
        <f aca="false">IF(A2731="","",D2731*E2731)</f>
        <v/>
      </c>
      <c r="J2731" s="28" t="str">
        <f aca="false">IF(A2731="","",D2731*F2731)</f>
        <v/>
      </c>
      <c r="K2731" s="0" t="str">
        <f aca="false">IF(A2731="","",YEAR(A2731))</f>
        <v/>
      </c>
      <c r="L2731" s="0" t="str">
        <f aca="false">IF(A2731="","",MONTH(A2731))</f>
        <v/>
      </c>
    </row>
    <row r="2732" customFormat="false" ht="15" hidden="false" customHeight="false" outlineLevel="0" collapsed="false">
      <c r="A2732" s="27"/>
      <c r="E2732" s="28"/>
      <c r="F2732" s="28"/>
      <c r="I2732" s="28" t="str">
        <f aca="false">IF(A2732="","",D2732*E2732)</f>
        <v/>
      </c>
      <c r="J2732" s="28" t="str">
        <f aca="false">IF(A2732="","",D2732*F2732)</f>
        <v/>
      </c>
      <c r="K2732" s="0" t="str">
        <f aca="false">IF(A2732="","",YEAR(A2732))</f>
        <v/>
      </c>
      <c r="L2732" s="0" t="str">
        <f aca="false">IF(A2732="","",MONTH(A2732))</f>
        <v/>
      </c>
    </row>
    <row r="2733" customFormat="false" ht="15" hidden="false" customHeight="false" outlineLevel="0" collapsed="false">
      <c r="A2733" s="27"/>
      <c r="E2733" s="28"/>
      <c r="F2733" s="28"/>
      <c r="I2733" s="28" t="str">
        <f aca="false">IF(A2733="","",D2733*E2733)</f>
        <v/>
      </c>
      <c r="J2733" s="28" t="str">
        <f aca="false">IF(A2733="","",D2733*F2733)</f>
        <v/>
      </c>
      <c r="K2733" s="0" t="str">
        <f aca="false">IF(A2733="","",YEAR(A2733))</f>
        <v/>
      </c>
      <c r="L2733" s="0" t="str">
        <f aca="false">IF(A2733="","",MONTH(A2733))</f>
        <v/>
      </c>
    </row>
    <row r="2734" customFormat="false" ht="15" hidden="false" customHeight="false" outlineLevel="0" collapsed="false">
      <c r="A2734" s="27"/>
      <c r="E2734" s="28"/>
      <c r="F2734" s="28"/>
      <c r="I2734" s="28" t="str">
        <f aca="false">IF(A2734="","",D2734*E2734)</f>
        <v/>
      </c>
      <c r="J2734" s="28" t="str">
        <f aca="false">IF(A2734="","",D2734*F2734)</f>
        <v/>
      </c>
      <c r="K2734" s="0" t="str">
        <f aca="false">IF(A2734="","",YEAR(A2734))</f>
        <v/>
      </c>
      <c r="L2734" s="0" t="str">
        <f aca="false">IF(A2734="","",MONTH(A2734))</f>
        <v/>
      </c>
    </row>
    <row r="2735" customFormat="false" ht="15" hidden="false" customHeight="false" outlineLevel="0" collapsed="false">
      <c r="A2735" s="27"/>
      <c r="E2735" s="28"/>
      <c r="F2735" s="28"/>
      <c r="I2735" s="28" t="str">
        <f aca="false">IF(A2735="","",D2735*E2735)</f>
        <v/>
      </c>
      <c r="J2735" s="28" t="str">
        <f aca="false">IF(A2735="","",D2735*F2735)</f>
        <v/>
      </c>
      <c r="K2735" s="0" t="str">
        <f aca="false">IF(A2735="","",YEAR(A2735))</f>
        <v/>
      </c>
      <c r="L2735" s="0" t="str">
        <f aca="false">IF(A2735="","",MONTH(A2735))</f>
        <v/>
      </c>
    </row>
    <row r="2736" customFormat="false" ht="15" hidden="false" customHeight="false" outlineLevel="0" collapsed="false">
      <c r="A2736" s="27"/>
      <c r="E2736" s="28"/>
      <c r="F2736" s="28"/>
      <c r="I2736" s="28" t="str">
        <f aca="false">IF(A2736="","",D2736*E2736)</f>
        <v/>
      </c>
      <c r="J2736" s="28" t="str">
        <f aca="false">IF(A2736="","",D2736*F2736)</f>
        <v/>
      </c>
      <c r="K2736" s="0" t="str">
        <f aca="false">IF(A2736="","",YEAR(A2736))</f>
        <v/>
      </c>
      <c r="L2736" s="0" t="str">
        <f aca="false">IF(A2736="","",MONTH(A2736))</f>
        <v/>
      </c>
    </row>
    <row r="2737" customFormat="false" ht="15" hidden="false" customHeight="false" outlineLevel="0" collapsed="false">
      <c r="A2737" s="27"/>
      <c r="E2737" s="28"/>
      <c r="F2737" s="28"/>
      <c r="I2737" s="28" t="str">
        <f aca="false">IF(A2737="","",D2737*E2737)</f>
        <v/>
      </c>
      <c r="J2737" s="28" t="str">
        <f aca="false">IF(A2737="","",D2737*F2737)</f>
        <v/>
      </c>
      <c r="K2737" s="0" t="str">
        <f aca="false">IF(A2737="","",YEAR(A2737))</f>
        <v/>
      </c>
      <c r="L2737" s="0" t="str">
        <f aca="false">IF(A2737="","",MONTH(A2737))</f>
        <v/>
      </c>
    </row>
    <row r="2738" customFormat="false" ht="15" hidden="false" customHeight="false" outlineLevel="0" collapsed="false">
      <c r="A2738" s="27"/>
      <c r="E2738" s="28"/>
      <c r="F2738" s="28"/>
      <c r="I2738" s="28" t="str">
        <f aca="false">IF(A2738="","",D2738*E2738)</f>
        <v/>
      </c>
      <c r="J2738" s="28" t="str">
        <f aca="false">IF(A2738="","",D2738*F2738)</f>
        <v/>
      </c>
      <c r="K2738" s="0" t="str">
        <f aca="false">IF(A2738="","",YEAR(A2738))</f>
        <v/>
      </c>
      <c r="L2738" s="0" t="str">
        <f aca="false">IF(A2738="","",MONTH(A2738))</f>
        <v/>
      </c>
    </row>
    <row r="2739" customFormat="false" ht="15" hidden="false" customHeight="false" outlineLevel="0" collapsed="false">
      <c r="A2739" s="27"/>
      <c r="E2739" s="28"/>
      <c r="F2739" s="28"/>
      <c r="I2739" s="28" t="str">
        <f aca="false">IF(A2739="","",D2739*E2739)</f>
        <v/>
      </c>
      <c r="J2739" s="28" t="str">
        <f aca="false">IF(A2739="","",D2739*F2739)</f>
        <v/>
      </c>
      <c r="K2739" s="0" t="str">
        <f aca="false">IF(A2739="","",YEAR(A2739))</f>
        <v/>
      </c>
      <c r="L2739" s="0" t="str">
        <f aca="false">IF(A2739="","",MONTH(A2739))</f>
        <v/>
      </c>
    </row>
    <row r="2740" customFormat="false" ht="15" hidden="false" customHeight="false" outlineLevel="0" collapsed="false">
      <c r="A2740" s="27"/>
      <c r="E2740" s="28"/>
      <c r="F2740" s="28"/>
      <c r="I2740" s="28" t="str">
        <f aca="false">IF(A2740="","",D2740*E2740)</f>
        <v/>
      </c>
      <c r="J2740" s="28" t="str">
        <f aca="false">IF(A2740="","",D2740*F2740)</f>
        <v/>
      </c>
      <c r="K2740" s="0" t="str">
        <f aca="false">IF(A2740="","",YEAR(A2740))</f>
        <v/>
      </c>
      <c r="L2740" s="0" t="str">
        <f aca="false">IF(A2740="","",MONTH(A2740))</f>
        <v/>
      </c>
    </row>
    <row r="2741" customFormat="false" ht="15" hidden="false" customHeight="false" outlineLevel="0" collapsed="false">
      <c r="A2741" s="27"/>
      <c r="E2741" s="28"/>
      <c r="F2741" s="28"/>
      <c r="I2741" s="28" t="str">
        <f aca="false">IF(A2741="","",D2741*E2741)</f>
        <v/>
      </c>
      <c r="J2741" s="28" t="str">
        <f aca="false">IF(A2741="","",D2741*F2741)</f>
        <v/>
      </c>
      <c r="K2741" s="0" t="str">
        <f aca="false">IF(A2741="","",YEAR(A2741))</f>
        <v/>
      </c>
      <c r="L2741" s="0" t="str">
        <f aca="false">IF(A2741="","",MONTH(A2741))</f>
        <v/>
      </c>
    </row>
    <row r="2742" customFormat="false" ht="15" hidden="false" customHeight="false" outlineLevel="0" collapsed="false">
      <c r="A2742" s="27"/>
      <c r="E2742" s="28"/>
      <c r="F2742" s="28"/>
      <c r="I2742" s="28" t="str">
        <f aca="false">IF(A2742="","",D2742*E2742)</f>
        <v/>
      </c>
      <c r="J2742" s="28" t="str">
        <f aca="false">IF(A2742="","",D2742*F2742)</f>
        <v/>
      </c>
      <c r="K2742" s="0" t="str">
        <f aca="false">IF(A2742="","",YEAR(A2742))</f>
        <v/>
      </c>
      <c r="L2742" s="0" t="str">
        <f aca="false">IF(A2742="","",MONTH(A2742))</f>
        <v/>
      </c>
    </row>
    <row r="2743" customFormat="false" ht="15" hidden="false" customHeight="false" outlineLevel="0" collapsed="false">
      <c r="A2743" s="27"/>
      <c r="E2743" s="28"/>
      <c r="F2743" s="28"/>
      <c r="I2743" s="28" t="str">
        <f aca="false">IF(A2743="","",D2743*E2743)</f>
        <v/>
      </c>
      <c r="J2743" s="28" t="str">
        <f aca="false">IF(A2743="","",D2743*F2743)</f>
        <v/>
      </c>
      <c r="K2743" s="0" t="str">
        <f aca="false">IF(A2743="","",YEAR(A2743))</f>
        <v/>
      </c>
      <c r="L2743" s="0" t="str">
        <f aca="false">IF(A2743="","",MONTH(A2743))</f>
        <v/>
      </c>
    </row>
    <row r="2744" customFormat="false" ht="15" hidden="false" customHeight="false" outlineLevel="0" collapsed="false">
      <c r="A2744" s="27"/>
      <c r="E2744" s="28"/>
      <c r="F2744" s="28"/>
      <c r="I2744" s="28" t="str">
        <f aca="false">IF(A2744="","",D2744*E2744)</f>
        <v/>
      </c>
      <c r="J2744" s="28" t="str">
        <f aca="false">IF(A2744="","",D2744*F2744)</f>
        <v/>
      </c>
      <c r="K2744" s="0" t="str">
        <f aca="false">IF(A2744="","",YEAR(A2744))</f>
        <v/>
      </c>
      <c r="L2744" s="0" t="str">
        <f aca="false">IF(A2744="","",MONTH(A2744))</f>
        <v/>
      </c>
    </row>
    <row r="2745" customFormat="false" ht="15" hidden="false" customHeight="false" outlineLevel="0" collapsed="false">
      <c r="A2745" s="27"/>
      <c r="E2745" s="28"/>
      <c r="F2745" s="28"/>
      <c r="I2745" s="28" t="str">
        <f aca="false">IF(A2745="","",D2745*E2745)</f>
        <v/>
      </c>
      <c r="J2745" s="28" t="str">
        <f aca="false">IF(A2745="","",D2745*F2745)</f>
        <v/>
      </c>
      <c r="K2745" s="0" t="str">
        <f aca="false">IF(A2745="","",YEAR(A2745))</f>
        <v/>
      </c>
      <c r="L2745" s="0" t="str">
        <f aca="false">IF(A2745="","",MONTH(A2745))</f>
        <v/>
      </c>
    </row>
    <row r="2746" customFormat="false" ht="15" hidden="false" customHeight="false" outlineLevel="0" collapsed="false">
      <c r="A2746" s="27"/>
      <c r="E2746" s="28"/>
      <c r="F2746" s="28"/>
      <c r="I2746" s="28" t="str">
        <f aca="false">IF(A2746="","",D2746*E2746)</f>
        <v/>
      </c>
      <c r="J2746" s="28" t="str">
        <f aca="false">IF(A2746="","",D2746*F2746)</f>
        <v/>
      </c>
      <c r="K2746" s="0" t="str">
        <f aca="false">IF(A2746="","",YEAR(A2746))</f>
        <v/>
      </c>
      <c r="L2746" s="0" t="str">
        <f aca="false">IF(A2746="","",MONTH(A2746))</f>
        <v/>
      </c>
    </row>
    <row r="2747" customFormat="false" ht="15" hidden="false" customHeight="false" outlineLevel="0" collapsed="false">
      <c r="A2747" s="27"/>
      <c r="E2747" s="28"/>
      <c r="F2747" s="28"/>
      <c r="I2747" s="28" t="str">
        <f aca="false">IF(A2747="","",D2747*E2747)</f>
        <v/>
      </c>
      <c r="J2747" s="28" t="str">
        <f aca="false">IF(A2747="","",D2747*F2747)</f>
        <v/>
      </c>
      <c r="K2747" s="0" t="str">
        <f aca="false">IF(A2747="","",YEAR(A2747))</f>
        <v/>
      </c>
      <c r="L2747" s="0" t="str">
        <f aca="false">IF(A2747="","",MONTH(A2747))</f>
        <v/>
      </c>
    </row>
    <row r="2748" customFormat="false" ht="15" hidden="false" customHeight="false" outlineLevel="0" collapsed="false">
      <c r="A2748" s="27"/>
      <c r="E2748" s="28"/>
      <c r="F2748" s="28"/>
      <c r="I2748" s="28" t="str">
        <f aca="false">IF(A2748="","",D2748*E2748)</f>
        <v/>
      </c>
      <c r="J2748" s="28" t="str">
        <f aca="false">IF(A2748="","",D2748*F2748)</f>
        <v/>
      </c>
      <c r="K2748" s="0" t="str">
        <f aca="false">IF(A2748="","",YEAR(A2748))</f>
        <v/>
      </c>
      <c r="L2748" s="0" t="str">
        <f aca="false">IF(A2748="","",MONTH(A2748))</f>
        <v/>
      </c>
    </row>
    <row r="2749" customFormat="false" ht="15" hidden="false" customHeight="false" outlineLevel="0" collapsed="false">
      <c r="A2749" s="27"/>
      <c r="E2749" s="28"/>
      <c r="F2749" s="28"/>
      <c r="I2749" s="28" t="str">
        <f aca="false">IF(A2749="","",D2749*E2749)</f>
        <v/>
      </c>
      <c r="J2749" s="28" t="str">
        <f aca="false">IF(A2749="","",D2749*F2749)</f>
        <v/>
      </c>
      <c r="K2749" s="0" t="str">
        <f aca="false">IF(A2749="","",YEAR(A2749))</f>
        <v/>
      </c>
      <c r="L2749" s="0" t="str">
        <f aca="false">IF(A2749="","",MONTH(A2749))</f>
        <v/>
      </c>
    </row>
    <row r="2750" customFormat="false" ht="15" hidden="false" customHeight="false" outlineLevel="0" collapsed="false">
      <c r="A2750" s="27"/>
      <c r="E2750" s="28"/>
      <c r="F2750" s="28"/>
      <c r="I2750" s="28" t="str">
        <f aca="false">IF(A2750="","",D2750*E2750)</f>
        <v/>
      </c>
      <c r="J2750" s="28" t="str">
        <f aca="false">IF(A2750="","",D2750*F2750)</f>
        <v/>
      </c>
      <c r="K2750" s="0" t="str">
        <f aca="false">IF(A2750="","",YEAR(A2750))</f>
        <v/>
      </c>
      <c r="L2750" s="0" t="str">
        <f aca="false">IF(A2750="","",MONTH(A2750))</f>
        <v/>
      </c>
    </row>
    <row r="2751" customFormat="false" ht="15" hidden="false" customHeight="false" outlineLevel="0" collapsed="false">
      <c r="A2751" s="27"/>
      <c r="E2751" s="28"/>
      <c r="F2751" s="28"/>
      <c r="I2751" s="28" t="str">
        <f aca="false">IF(A2751="","",D2751*E2751)</f>
        <v/>
      </c>
      <c r="J2751" s="28" t="str">
        <f aca="false">IF(A2751="","",D2751*F2751)</f>
        <v/>
      </c>
      <c r="K2751" s="0" t="str">
        <f aca="false">IF(A2751="","",YEAR(A2751))</f>
        <v/>
      </c>
      <c r="L2751" s="0" t="str">
        <f aca="false">IF(A2751="","",MONTH(A2751))</f>
        <v/>
      </c>
    </row>
    <row r="2752" customFormat="false" ht="15" hidden="false" customHeight="false" outlineLevel="0" collapsed="false">
      <c r="A2752" s="27"/>
      <c r="E2752" s="28"/>
      <c r="F2752" s="28"/>
      <c r="I2752" s="28" t="str">
        <f aca="false">IF(A2752="","",D2752*E2752)</f>
        <v/>
      </c>
      <c r="J2752" s="28" t="str">
        <f aca="false">IF(A2752="","",D2752*F2752)</f>
        <v/>
      </c>
      <c r="K2752" s="0" t="str">
        <f aca="false">IF(A2752="","",YEAR(A2752))</f>
        <v/>
      </c>
      <c r="L2752" s="0" t="str">
        <f aca="false">IF(A2752="","",MONTH(A2752))</f>
        <v/>
      </c>
    </row>
    <row r="2753" customFormat="false" ht="15" hidden="false" customHeight="false" outlineLevel="0" collapsed="false">
      <c r="A2753" s="27"/>
      <c r="E2753" s="28"/>
      <c r="F2753" s="28"/>
      <c r="I2753" s="28" t="str">
        <f aca="false">IF(A2753="","",D2753*E2753)</f>
        <v/>
      </c>
      <c r="J2753" s="28" t="str">
        <f aca="false">IF(A2753="","",D2753*F2753)</f>
        <v/>
      </c>
      <c r="K2753" s="0" t="str">
        <f aca="false">IF(A2753="","",YEAR(A2753))</f>
        <v/>
      </c>
      <c r="L2753" s="0" t="str">
        <f aca="false">IF(A2753="","",MONTH(A2753))</f>
        <v/>
      </c>
    </row>
    <row r="2754" customFormat="false" ht="15" hidden="false" customHeight="false" outlineLevel="0" collapsed="false">
      <c r="A2754" s="27"/>
      <c r="E2754" s="28"/>
      <c r="F2754" s="28"/>
      <c r="I2754" s="28" t="str">
        <f aca="false">IF(A2754="","",D2754*E2754)</f>
        <v/>
      </c>
      <c r="J2754" s="28" t="str">
        <f aca="false">IF(A2754="","",D2754*F2754)</f>
        <v/>
      </c>
      <c r="K2754" s="0" t="str">
        <f aca="false">IF(A2754="","",YEAR(A2754))</f>
        <v/>
      </c>
      <c r="L2754" s="0" t="str">
        <f aca="false">IF(A2754="","",MONTH(A2754))</f>
        <v/>
      </c>
    </row>
    <row r="2755" customFormat="false" ht="15" hidden="false" customHeight="false" outlineLevel="0" collapsed="false">
      <c r="A2755" s="27"/>
      <c r="E2755" s="28"/>
      <c r="F2755" s="28"/>
      <c r="I2755" s="28" t="str">
        <f aca="false">IF(A2755="","",D2755*E2755)</f>
        <v/>
      </c>
      <c r="J2755" s="28" t="str">
        <f aca="false">IF(A2755="","",D2755*F2755)</f>
        <v/>
      </c>
      <c r="K2755" s="0" t="str">
        <f aca="false">IF(A2755="","",YEAR(A2755))</f>
        <v/>
      </c>
      <c r="L2755" s="0" t="str">
        <f aca="false">IF(A2755="","",MONTH(A2755))</f>
        <v/>
      </c>
    </row>
    <row r="2756" customFormat="false" ht="15" hidden="false" customHeight="false" outlineLevel="0" collapsed="false">
      <c r="A2756" s="27"/>
      <c r="E2756" s="28"/>
      <c r="F2756" s="28"/>
      <c r="I2756" s="28" t="str">
        <f aca="false">IF(A2756="","",D2756*E2756)</f>
        <v/>
      </c>
      <c r="J2756" s="28" t="str">
        <f aca="false">IF(A2756="","",D2756*F2756)</f>
        <v/>
      </c>
      <c r="K2756" s="0" t="str">
        <f aca="false">IF(A2756="","",YEAR(A2756))</f>
        <v/>
      </c>
      <c r="L2756" s="0" t="str">
        <f aca="false">IF(A2756="","",MONTH(A2756))</f>
        <v/>
      </c>
    </row>
    <row r="2757" customFormat="false" ht="15" hidden="false" customHeight="false" outlineLevel="0" collapsed="false">
      <c r="A2757" s="27"/>
      <c r="E2757" s="28"/>
      <c r="F2757" s="28"/>
      <c r="I2757" s="28" t="str">
        <f aca="false">IF(A2757="","",D2757*E2757)</f>
        <v/>
      </c>
      <c r="J2757" s="28" t="str">
        <f aca="false">IF(A2757="","",D2757*F2757)</f>
        <v/>
      </c>
      <c r="K2757" s="0" t="str">
        <f aca="false">IF(A2757="","",YEAR(A2757))</f>
        <v/>
      </c>
      <c r="L2757" s="0" t="str">
        <f aca="false">IF(A2757="","",MONTH(A2757))</f>
        <v/>
      </c>
    </row>
    <row r="2758" customFormat="false" ht="15" hidden="false" customHeight="false" outlineLevel="0" collapsed="false">
      <c r="A2758" s="27"/>
      <c r="E2758" s="28"/>
      <c r="F2758" s="28"/>
      <c r="I2758" s="28" t="str">
        <f aca="false">IF(A2758="","",D2758*E2758)</f>
        <v/>
      </c>
      <c r="J2758" s="28" t="str">
        <f aca="false">IF(A2758="","",D2758*F2758)</f>
        <v/>
      </c>
      <c r="K2758" s="0" t="str">
        <f aca="false">IF(A2758="","",YEAR(A2758))</f>
        <v/>
      </c>
      <c r="L2758" s="0" t="str">
        <f aca="false">IF(A2758="","",MONTH(A2758))</f>
        <v/>
      </c>
    </row>
    <row r="2759" customFormat="false" ht="15" hidden="false" customHeight="false" outlineLevel="0" collapsed="false">
      <c r="A2759" s="27"/>
      <c r="E2759" s="28"/>
      <c r="F2759" s="28"/>
      <c r="I2759" s="28" t="str">
        <f aca="false">IF(A2759="","",D2759*E2759)</f>
        <v/>
      </c>
      <c r="J2759" s="28" t="str">
        <f aca="false">IF(A2759="","",D2759*F2759)</f>
        <v/>
      </c>
      <c r="K2759" s="0" t="str">
        <f aca="false">IF(A2759="","",YEAR(A2759))</f>
        <v/>
      </c>
      <c r="L2759" s="0" t="str">
        <f aca="false">IF(A2759="","",MONTH(A2759))</f>
        <v/>
      </c>
    </row>
    <row r="2760" customFormat="false" ht="15" hidden="false" customHeight="false" outlineLevel="0" collapsed="false">
      <c r="A2760" s="27"/>
      <c r="E2760" s="28"/>
      <c r="F2760" s="28"/>
      <c r="I2760" s="28" t="str">
        <f aca="false">IF(A2760="","",D2760*E2760)</f>
        <v/>
      </c>
      <c r="J2760" s="28" t="str">
        <f aca="false">IF(A2760="","",D2760*F2760)</f>
        <v/>
      </c>
      <c r="K2760" s="0" t="str">
        <f aca="false">IF(A2760="","",YEAR(A2760))</f>
        <v/>
      </c>
      <c r="L2760" s="0" t="str">
        <f aca="false">IF(A2760="","",MONTH(A2760))</f>
        <v/>
      </c>
    </row>
    <row r="2761" customFormat="false" ht="15" hidden="false" customHeight="false" outlineLevel="0" collapsed="false">
      <c r="A2761" s="27"/>
      <c r="E2761" s="28"/>
      <c r="F2761" s="28"/>
      <c r="I2761" s="28" t="str">
        <f aca="false">IF(A2761="","",D2761*E2761)</f>
        <v/>
      </c>
      <c r="J2761" s="28" t="str">
        <f aca="false">IF(A2761="","",D2761*F2761)</f>
        <v/>
      </c>
      <c r="K2761" s="0" t="str">
        <f aca="false">IF(A2761="","",YEAR(A2761))</f>
        <v/>
      </c>
      <c r="L2761" s="0" t="str">
        <f aca="false">IF(A2761="","",MONTH(A2761))</f>
        <v/>
      </c>
    </row>
    <row r="2762" customFormat="false" ht="15" hidden="false" customHeight="false" outlineLevel="0" collapsed="false">
      <c r="A2762" s="27"/>
      <c r="E2762" s="28"/>
      <c r="F2762" s="28"/>
      <c r="I2762" s="28" t="str">
        <f aca="false">IF(A2762="","",D2762*E2762)</f>
        <v/>
      </c>
      <c r="J2762" s="28" t="str">
        <f aca="false">IF(A2762="","",D2762*F2762)</f>
        <v/>
      </c>
      <c r="K2762" s="0" t="str">
        <f aca="false">IF(A2762="","",YEAR(A2762))</f>
        <v/>
      </c>
      <c r="L2762" s="0" t="str">
        <f aca="false">IF(A2762="","",MONTH(A2762))</f>
        <v/>
      </c>
    </row>
    <row r="2763" customFormat="false" ht="15" hidden="false" customHeight="false" outlineLevel="0" collapsed="false">
      <c r="A2763" s="27"/>
      <c r="E2763" s="28"/>
      <c r="F2763" s="28"/>
      <c r="I2763" s="28" t="str">
        <f aca="false">IF(A2763="","",D2763*E2763)</f>
        <v/>
      </c>
      <c r="J2763" s="28" t="str">
        <f aca="false">IF(A2763="","",D2763*F2763)</f>
        <v/>
      </c>
      <c r="K2763" s="0" t="str">
        <f aca="false">IF(A2763="","",YEAR(A2763))</f>
        <v/>
      </c>
      <c r="L2763" s="0" t="str">
        <f aca="false">IF(A2763="","",MONTH(A2763))</f>
        <v/>
      </c>
    </row>
    <row r="2764" customFormat="false" ht="15" hidden="false" customHeight="false" outlineLevel="0" collapsed="false">
      <c r="A2764" s="27"/>
      <c r="E2764" s="28"/>
      <c r="F2764" s="28"/>
      <c r="I2764" s="28" t="str">
        <f aca="false">IF(A2764="","",D2764*E2764)</f>
        <v/>
      </c>
      <c r="J2764" s="28" t="str">
        <f aca="false">IF(A2764="","",D2764*F2764)</f>
        <v/>
      </c>
      <c r="K2764" s="0" t="str">
        <f aca="false">IF(A2764="","",YEAR(A2764))</f>
        <v/>
      </c>
      <c r="L2764" s="0" t="str">
        <f aca="false">IF(A2764="","",MONTH(A2764))</f>
        <v/>
      </c>
    </row>
    <row r="2765" customFormat="false" ht="15" hidden="false" customHeight="false" outlineLevel="0" collapsed="false">
      <c r="A2765" s="27"/>
      <c r="E2765" s="28"/>
      <c r="F2765" s="28"/>
      <c r="I2765" s="28" t="str">
        <f aca="false">IF(A2765="","",D2765*E2765)</f>
        <v/>
      </c>
      <c r="J2765" s="28" t="str">
        <f aca="false">IF(A2765="","",D2765*F2765)</f>
        <v/>
      </c>
      <c r="K2765" s="0" t="str">
        <f aca="false">IF(A2765="","",YEAR(A2765))</f>
        <v/>
      </c>
      <c r="L2765" s="0" t="str">
        <f aca="false">IF(A2765="","",MONTH(A2765))</f>
        <v/>
      </c>
    </row>
    <row r="2766" customFormat="false" ht="15" hidden="false" customHeight="false" outlineLevel="0" collapsed="false">
      <c r="A2766" s="27"/>
      <c r="E2766" s="28"/>
      <c r="F2766" s="28"/>
      <c r="I2766" s="28" t="str">
        <f aca="false">IF(A2766="","",D2766*E2766)</f>
        <v/>
      </c>
      <c r="J2766" s="28" t="str">
        <f aca="false">IF(A2766="","",D2766*F2766)</f>
        <v/>
      </c>
      <c r="K2766" s="0" t="str">
        <f aca="false">IF(A2766="","",YEAR(A2766))</f>
        <v/>
      </c>
      <c r="L2766" s="0" t="str">
        <f aca="false">IF(A2766="","",MONTH(A2766))</f>
        <v/>
      </c>
    </row>
    <row r="2767" customFormat="false" ht="15" hidden="false" customHeight="false" outlineLevel="0" collapsed="false">
      <c r="A2767" s="27"/>
      <c r="E2767" s="28"/>
      <c r="F2767" s="28"/>
      <c r="I2767" s="28" t="str">
        <f aca="false">IF(A2767="","",D2767*E2767)</f>
        <v/>
      </c>
      <c r="J2767" s="28" t="str">
        <f aca="false">IF(A2767="","",D2767*F2767)</f>
        <v/>
      </c>
      <c r="K2767" s="0" t="str">
        <f aca="false">IF(A2767="","",YEAR(A2767))</f>
        <v/>
      </c>
      <c r="L2767" s="0" t="str">
        <f aca="false">IF(A2767="","",MONTH(A2767))</f>
        <v/>
      </c>
    </row>
    <row r="2768" customFormat="false" ht="15" hidden="false" customHeight="false" outlineLevel="0" collapsed="false">
      <c r="A2768" s="27"/>
      <c r="E2768" s="28"/>
      <c r="F2768" s="28"/>
      <c r="I2768" s="28" t="str">
        <f aca="false">IF(A2768="","",D2768*E2768)</f>
        <v/>
      </c>
      <c r="J2768" s="28" t="str">
        <f aca="false">IF(A2768="","",D2768*F2768)</f>
        <v/>
      </c>
      <c r="K2768" s="0" t="str">
        <f aca="false">IF(A2768="","",YEAR(A2768))</f>
        <v/>
      </c>
      <c r="L2768" s="0" t="str">
        <f aca="false">IF(A2768="","",MONTH(A2768))</f>
        <v/>
      </c>
    </row>
    <row r="2769" customFormat="false" ht="15" hidden="false" customHeight="false" outlineLevel="0" collapsed="false">
      <c r="A2769" s="27"/>
      <c r="E2769" s="28"/>
      <c r="F2769" s="28"/>
      <c r="I2769" s="28" t="str">
        <f aca="false">IF(A2769="","",D2769*E2769)</f>
        <v/>
      </c>
      <c r="J2769" s="28" t="str">
        <f aca="false">IF(A2769="","",D2769*F2769)</f>
        <v/>
      </c>
      <c r="K2769" s="0" t="str">
        <f aca="false">IF(A2769="","",YEAR(A2769))</f>
        <v/>
      </c>
      <c r="L2769" s="0" t="str">
        <f aca="false">IF(A2769="","",MONTH(A2769))</f>
        <v/>
      </c>
    </row>
    <row r="2770" customFormat="false" ht="15" hidden="false" customHeight="false" outlineLevel="0" collapsed="false">
      <c r="A2770" s="27"/>
      <c r="E2770" s="28"/>
      <c r="F2770" s="28"/>
      <c r="I2770" s="28" t="str">
        <f aca="false">IF(A2770="","",D2770*E2770)</f>
        <v/>
      </c>
      <c r="J2770" s="28" t="str">
        <f aca="false">IF(A2770="","",D2770*F2770)</f>
        <v/>
      </c>
      <c r="K2770" s="0" t="str">
        <f aca="false">IF(A2770="","",YEAR(A2770))</f>
        <v/>
      </c>
      <c r="L2770" s="0" t="str">
        <f aca="false">IF(A2770="","",MONTH(A2770))</f>
        <v/>
      </c>
    </row>
    <row r="2771" customFormat="false" ht="15" hidden="false" customHeight="false" outlineLevel="0" collapsed="false">
      <c r="A2771" s="27"/>
      <c r="E2771" s="28"/>
      <c r="F2771" s="28"/>
      <c r="I2771" s="28" t="str">
        <f aca="false">IF(A2771="","",D2771*E2771)</f>
        <v/>
      </c>
      <c r="J2771" s="28" t="str">
        <f aca="false">IF(A2771="","",D2771*F2771)</f>
        <v/>
      </c>
      <c r="K2771" s="0" t="str">
        <f aca="false">IF(A2771="","",YEAR(A2771))</f>
        <v/>
      </c>
      <c r="L2771" s="0" t="str">
        <f aca="false">IF(A2771="","",MONTH(A2771))</f>
        <v/>
      </c>
    </row>
    <row r="2772" customFormat="false" ht="15" hidden="false" customHeight="false" outlineLevel="0" collapsed="false">
      <c r="A2772" s="27"/>
      <c r="E2772" s="28"/>
      <c r="F2772" s="28"/>
      <c r="I2772" s="28" t="str">
        <f aca="false">IF(A2772="","",D2772*E2772)</f>
        <v/>
      </c>
      <c r="J2772" s="28" t="str">
        <f aca="false">IF(A2772="","",D2772*F2772)</f>
        <v/>
      </c>
      <c r="K2772" s="0" t="str">
        <f aca="false">IF(A2772="","",YEAR(A2772))</f>
        <v/>
      </c>
      <c r="L2772" s="0" t="str">
        <f aca="false">IF(A2772="","",MONTH(A2772))</f>
        <v/>
      </c>
    </row>
    <row r="2773" customFormat="false" ht="15" hidden="false" customHeight="false" outlineLevel="0" collapsed="false">
      <c r="A2773" s="27"/>
      <c r="E2773" s="28"/>
      <c r="F2773" s="28"/>
      <c r="I2773" s="28" t="str">
        <f aca="false">IF(A2773="","",D2773*E2773)</f>
        <v/>
      </c>
      <c r="J2773" s="28" t="str">
        <f aca="false">IF(A2773="","",D2773*F2773)</f>
        <v/>
      </c>
      <c r="K2773" s="0" t="str">
        <f aca="false">IF(A2773="","",YEAR(A2773))</f>
        <v/>
      </c>
      <c r="L2773" s="0" t="str">
        <f aca="false">IF(A2773="","",MONTH(A2773))</f>
        <v/>
      </c>
    </row>
    <row r="2774" customFormat="false" ht="15" hidden="false" customHeight="false" outlineLevel="0" collapsed="false">
      <c r="A2774" s="27"/>
      <c r="E2774" s="28"/>
      <c r="F2774" s="28"/>
      <c r="I2774" s="28" t="str">
        <f aca="false">IF(A2774="","",D2774*E2774)</f>
        <v/>
      </c>
      <c r="J2774" s="28" t="str">
        <f aca="false">IF(A2774="","",D2774*F2774)</f>
        <v/>
      </c>
      <c r="K2774" s="0" t="str">
        <f aca="false">IF(A2774="","",YEAR(A2774))</f>
        <v/>
      </c>
      <c r="L2774" s="0" t="str">
        <f aca="false">IF(A2774="","",MONTH(A2774))</f>
        <v/>
      </c>
    </row>
    <row r="2775" customFormat="false" ht="15" hidden="false" customHeight="false" outlineLevel="0" collapsed="false">
      <c r="A2775" s="27"/>
      <c r="E2775" s="28"/>
      <c r="F2775" s="28"/>
      <c r="I2775" s="28" t="str">
        <f aca="false">IF(A2775="","",D2775*E2775)</f>
        <v/>
      </c>
      <c r="J2775" s="28" t="str">
        <f aca="false">IF(A2775="","",D2775*F2775)</f>
        <v/>
      </c>
      <c r="K2775" s="0" t="str">
        <f aca="false">IF(A2775="","",YEAR(A2775))</f>
        <v/>
      </c>
      <c r="L2775" s="0" t="str">
        <f aca="false">IF(A2775="","",MONTH(A2775))</f>
        <v/>
      </c>
    </row>
    <row r="2776" customFormat="false" ht="15" hidden="false" customHeight="false" outlineLevel="0" collapsed="false">
      <c r="A2776" s="27"/>
      <c r="E2776" s="28"/>
      <c r="F2776" s="28"/>
      <c r="I2776" s="28" t="str">
        <f aca="false">IF(A2776="","",D2776*E2776)</f>
        <v/>
      </c>
      <c r="J2776" s="28" t="str">
        <f aca="false">IF(A2776="","",D2776*F2776)</f>
        <v/>
      </c>
      <c r="K2776" s="0" t="str">
        <f aca="false">IF(A2776="","",YEAR(A2776))</f>
        <v/>
      </c>
      <c r="L2776" s="0" t="str">
        <f aca="false">IF(A2776="","",MONTH(A2776))</f>
        <v/>
      </c>
    </row>
    <row r="2777" customFormat="false" ht="15" hidden="false" customHeight="false" outlineLevel="0" collapsed="false">
      <c r="A2777" s="27"/>
      <c r="E2777" s="28"/>
      <c r="F2777" s="28"/>
      <c r="I2777" s="28" t="str">
        <f aca="false">IF(A2777="","",D2777*E2777)</f>
        <v/>
      </c>
      <c r="J2777" s="28" t="str">
        <f aca="false">IF(A2777="","",D2777*F2777)</f>
        <v/>
      </c>
      <c r="K2777" s="0" t="str">
        <f aca="false">IF(A2777="","",YEAR(A2777))</f>
        <v/>
      </c>
      <c r="L2777" s="0" t="str">
        <f aca="false">IF(A2777="","",MONTH(A2777))</f>
        <v/>
      </c>
    </row>
    <row r="2778" customFormat="false" ht="15" hidden="false" customHeight="false" outlineLevel="0" collapsed="false">
      <c r="A2778" s="27"/>
      <c r="E2778" s="28"/>
      <c r="F2778" s="28"/>
      <c r="I2778" s="28" t="str">
        <f aca="false">IF(A2778="","",D2778*E2778)</f>
        <v/>
      </c>
      <c r="J2778" s="28" t="str">
        <f aca="false">IF(A2778="","",D2778*F2778)</f>
        <v/>
      </c>
      <c r="K2778" s="0" t="str">
        <f aca="false">IF(A2778="","",YEAR(A2778))</f>
        <v/>
      </c>
      <c r="L2778" s="0" t="str">
        <f aca="false">IF(A2778="","",MONTH(A2778))</f>
        <v/>
      </c>
    </row>
    <row r="2779" customFormat="false" ht="15" hidden="false" customHeight="false" outlineLevel="0" collapsed="false">
      <c r="A2779" s="27"/>
      <c r="E2779" s="28"/>
      <c r="F2779" s="28"/>
      <c r="I2779" s="28" t="str">
        <f aca="false">IF(A2779="","",D2779*E2779)</f>
        <v/>
      </c>
      <c r="J2779" s="28" t="str">
        <f aca="false">IF(A2779="","",D2779*F2779)</f>
        <v/>
      </c>
      <c r="K2779" s="0" t="str">
        <f aca="false">IF(A2779="","",YEAR(A2779))</f>
        <v/>
      </c>
      <c r="L2779" s="0" t="str">
        <f aca="false">IF(A2779="","",MONTH(A2779))</f>
        <v/>
      </c>
    </row>
    <row r="2780" customFormat="false" ht="15" hidden="false" customHeight="false" outlineLevel="0" collapsed="false">
      <c r="A2780" s="27"/>
      <c r="E2780" s="28"/>
      <c r="F2780" s="28"/>
      <c r="I2780" s="28" t="str">
        <f aca="false">IF(A2780="","",D2780*E2780)</f>
        <v/>
      </c>
      <c r="J2780" s="28" t="str">
        <f aca="false">IF(A2780="","",D2780*F2780)</f>
        <v/>
      </c>
      <c r="K2780" s="0" t="str">
        <f aca="false">IF(A2780="","",YEAR(A2780))</f>
        <v/>
      </c>
      <c r="L2780" s="0" t="str">
        <f aca="false">IF(A2780="","",MONTH(A2780))</f>
        <v/>
      </c>
    </row>
    <row r="2781" customFormat="false" ht="15" hidden="false" customHeight="false" outlineLevel="0" collapsed="false">
      <c r="A2781" s="27"/>
      <c r="E2781" s="28"/>
      <c r="F2781" s="28"/>
      <c r="I2781" s="28" t="str">
        <f aca="false">IF(A2781="","",D2781*E2781)</f>
        <v/>
      </c>
      <c r="J2781" s="28" t="str">
        <f aca="false">IF(A2781="","",D2781*F2781)</f>
        <v/>
      </c>
      <c r="K2781" s="0" t="str">
        <f aca="false">IF(A2781="","",YEAR(A2781))</f>
        <v/>
      </c>
      <c r="L2781" s="0" t="str">
        <f aca="false">IF(A2781="","",MONTH(A2781))</f>
        <v/>
      </c>
    </row>
    <row r="2782" customFormat="false" ht="15" hidden="false" customHeight="false" outlineLevel="0" collapsed="false">
      <c r="A2782" s="27"/>
      <c r="E2782" s="28"/>
      <c r="F2782" s="28"/>
      <c r="I2782" s="28" t="str">
        <f aca="false">IF(A2782="","",D2782*E2782)</f>
        <v/>
      </c>
      <c r="J2782" s="28" t="str">
        <f aca="false">IF(A2782="","",D2782*F2782)</f>
        <v/>
      </c>
      <c r="K2782" s="0" t="str">
        <f aca="false">IF(A2782="","",YEAR(A2782))</f>
        <v/>
      </c>
      <c r="L2782" s="0" t="str">
        <f aca="false">IF(A2782="","",MONTH(A2782))</f>
        <v/>
      </c>
    </row>
    <row r="2783" customFormat="false" ht="15" hidden="false" customHeight="false" outlineLevel="0" collapsed="false">
      <c r="A2783" s="27"/>
      <c r="E2783" s="28"/>
      <c r="F2783" s="28"/>
      <c r="I2783" s="28" t="str">
        <f aca="false">IF(A2783="","",D2783*E2783)</f>
        <v/>
      </c>
      <c r="J2783" s="28" t="str">
        <f aca="false">IF(A2783="","",D2783*F2783)</f>
        <v/>
      </c>
      <c r="K2783" s="0" t="str">
        <f aca="false">IF(A2783="","",YEAR(A2783))</f>
        <v/>
      </c>
      <c r="L2783" s="0" t="str">
        <f aca="false">IF(A2783="","",MONTH(A2783))</f>
        <v/>
      </c>
    </row>
    <row r="2784" customFormat="false" ht="15" hidden="false" customHeight="false" outlineLevel="0" collapsed="false">
      <c r="A2784" s="27"/>
      <c r="E2784" s="28"/>
      <c r="F2784" s="28"/>
      <c r="I2784" s="28" t="str">
        <f aca="false">IF(A2784="","",D2784*E2784)</f>
        <v/>
      </c>
      <c r="J2784" s="28" t="str">
        <f aca="false">IF(A2784="","",D2784*F2784)</f>
        <v/>
      </c>
      <c r="K2784" s="0" t="str">
        <f aca="false">IF(A2784="","",YEAR(A2784))</f>
        <v/>
      </c>
      <c r="L2784" s="0" t="str">
        <f aca="false">IF(A2784="","",MONTH(A2784))</f>
        <v/>
      </c>
    </row>
    <row r="2785" customFormat="false" ht="15" hidden="false" customHeight="false" outlineLevel="0" collapsed="false">
      <c r="A2785" s="27"/>
      <c r="E2785" s="28"/>
      <c r="F2785" s="28"/>
      <c r="I2785" s="28" t="str">
        <f aca="false">IF(A2785="","",D2785*E2785)</f>
        <v/>
      </c>
      <c r="J2785" s="28" t="str">
        <f aca="false">IF(A2785="","",D2785*F2785)</f>
        <v/>
      </c>
      <c r="K2785" s="0" t="str">
        <f aca="false">IF(A2785="","",YEAR(A2785))</f>
        <v/>
      </c>
      <c r="L2785" s="0" t="str">
        <f aca="false">IF(A2785="","",MONTH(A2785))</f>
        <v/>
      </c>
    </row>
    <row r="2786" customFormat="false" ht="15" hidden="false" customHeight="false" outlineLevel="0" collapsed="false">
      <c r="A2786" s="27"/>
      <c r="E2786" s="28"/>
      <c r="F2786" s="28"/>
      <c r="I2786" s="28" t="str">
        <f aca="false">IF(A2786="","",D2786*E2786)</f>
        <v/>
      </c>
      <c r="J2786" s="28" t="str">
        <f aca="false">IF(A2786="","",D2786*F2786)</f>
        <v/>
      </c>
      <c r="K2786" s="0" t="str">
        <f aca="false">IF(A2786="","",YEAR(A2786))</f>
        <v/>
      </c>
      <c r="L2786" s="0" t="str">
        <f aca="false">IF(A2786="","",MONTH(A2786))</f>
        <v/>
      </c>
    </row>
    <row r="2787" customFormat="false" ht="15" hidden="false" customHeight="false" outlineLevel="0" collapsed="false">
      <c r="A2787" s="27"/>
      <c r="E2787" s="28"/>
      <c r="F2787" s="28"/>
      <c r="I2787" s="28" t="str">
        <f aca="false">IF(A2787="","",D2787*E2787)</f>
        <v/>
      </c>
      <c r="J2787" s="28" t="str">
        <f aca="false">IF(A2787="","",D2787*F2787)</f>
        <v/>
      </c>
      <c r="K2787" s="0" t="str">
        <f aca="false">IF(A2787="","",YEAR(A2787))</f>
        <v/>
      </c>
      <c r="L2787" s="0" t="str">
        <f aca="false">IF(A2787="","",MONTH(A2787))</f>
        <v/>
      </c>
    </row>
    <row r="2788" customFormat="false" ht="15" hidden="false" customHeight="false" outlineLevel="0" collapsed="false">
      <c r="A2788" s="27"/>
      <c r="E2788" s="28"/>
      <c r="F2788" s="28"/>
      <c r="I2788" s="28" t="str">
        <f aca="false">IF(A2788="","",D2788*E2788)</f>
        <v/>
      </c>
      <c r="J2788" s="28" t="str">
        <f aca="false">IF(A2788="","",D2788*F2788)</f>
        <v/>
      </c>
      <c r="K2788" s="0" t="str">
        <f aca="false">IF(A2788="","",YEAR(A2788))</f>
        <v/>
      </c>
      <c r="L2788" s="0" t="str">
        <f aca="false">IF(A2788="","",MONTH(A2788))</f>
        <v/>
      </c>
    </row>
    <row r="2789" customFormat="false" ht="15" hidden="false" customHeight="false" outlineLevel="0" collapsed="false">
      <c r="A2789" s="27"/>
      <c r="E2789" s="28"/>
      <c r="F2789" s="28"/>
      <c r="I2789" s="28" t="str">
        <f aca="false">IF(A2789="","",D2789*E2789)</f>
        <v/>
      </c>
      <c r="J2789" s="28" t="str">
        <f aca="false">IF(A2789="","",D2789*F2789)</f>
        <v/>
      </c>
      <c r="K2789" s="0" t="str">
        <f aca="false">IF(A2789="","",YEAR(A2789))</f>
        <v/>
      </c>
      <c r="L2789" s="0" t="str">
        <f aca="false">IF(A2789="","",MONTH(A2789))</f>
        <v/>
      </c>
    </row>
    <row r="2790" customFormat="false" ht="15" hidden="false" customHeight="false" outlineLevel="0" collapsed="false">
      <c r="A2790" s="27"/>
      <c r="E2790" s="28"/>
      <c r="F2790" s="28"/>
      <c r="I2790" s="28" t="str">
        <f aca="false">IF(A2790="","",D2790*E2790)</f>
        <v/>
      </c>
      <c r="J2790" s="28" t="str">
        <f aca="false">IF(A2790="","",D2790*F2790)</f>
        <v/>
      </c>
      <c r="K2790" s="0" t="str">
        <f aca="false">IF(A2790="","",YEAR(A2790))</f>
        <v/>
      </c>
      <c r="L2790" s="0" t="str">
        <f aca="false">IF(A2790="","",MONTH(A2790))</f>
        <v/>
      </c>
    </row>
    <row r="2791" customFormat="false" ht="15" hidden="false" customHeight="false" outlineLevel="0" collapsed="false">
      <c r="A2791" s="27"/>
      <c r="E2791" s="28"/>
      <c r="F2791" s="28"/>
      <c r="I2791" s="28" t="str">
        <f aca="false">IF(A2791="","",D2791*E2791)</f>
        <v/>
      </c>
      <c r="J2791" s="28" t="str">
        <f aca="false">IF(A2791="","",D2791*F2791)</f>
        <v/>
      </c>
      <c r="K2791" s="0" t="str">
        <f aca="false">IF(A2791="","",YEAR(A2791))</f>
        <v/>
      </c>
      <c r="L2791" s="0" t="str">
        <f aca="false">IF(A2791="","",MONTH(A2791))</f>
        <v/>
      </c>
    </row>
    <row r="2792" customFormat="false" ht="15" hidden="false" customHeight="false" outlineLevel="0" collapsed="false">
      <c r="A2792" s="27"/>
      <c r="E2792" s="28"/>
      <c r="F2792" s="28"/>
      <c r="I2792" s="28" t="str">
        <f aca="false">IF(A2792="","",D2792*E2792)</f>
        <v/>
      </c>
      <c r="J2792" s="28" t="str">
        <f aca="false">IF(A2792="","",D2792*F2792)</f>
        <v/>
      </c>
      <c r="K2792" s="0" t="str">
        <f aca="false">IF(A2792="","",YEAR(A2792))</f>
        <v/>
      </c>
      <c r="L2792" s="0" t="str">
        <f aca="false">IF(A2792="","",MONTH(A2792))</f>
        <v/>
      </c>
    </row>
    <row r="2793" customFormat="false" ht="15" hidden="false" customHeight="false" outlineLevel="0" collapsed="false">
      <c r="A2793" s="27"/>
      <c r="E2793" s="28"/>
      <c r="F2793" s="28"/>
      <c r="I2793" s="28" t="str">
        <f aca="false">IF(A2793="","",D2793*E2793)</f>
        <v/>
      </c>
      <c r="J2793" s="28" t="str">
        <f aca="false">IF(A2793="","",D2793*F2793)</f>
        <v/>
      </c>
      <c r="K2793" s="0" t="str">
        <f aca="false">IF(A2793="","",YEAR(A2793))</f>
        <v/>
      </c>
      <c r="L2793" s="0" t="str">
        <f aca="false">IF(A2793="","",MONTH(A2793))</f>
        <v/>
      </c>
    </row>
    <row r="2794" customFormat="false" ht="15" hidden="false" customHeight="false" outlineLevel="0" collapsed="false">
      <c r="A2794" s="27"/>
      <c r="E2794" s="28"/>
      <c r="F2794" s="28"/>
      <c r="I2794" s="28" t="str">
        <f aca="false">IF(A2794="","",D2794*E2794)</f>
        <v/>
      </c>
      <c r="J2794" s="28" t="str">
        <f aca="false">IF(A2794="","",D2794*F2794)</f>
        <v/>
      </c>
      <c r="K2794" s="0" t="str">
        <f aca="false">IF(A2794="","",YEAR(A2794))</f>
        <v/>
      </c>
      <c r="L2794" s="0" t="str">
        <f aca="false">IF(A2794="","",MONTH(A2794))</f>
        <v/>
      </c>
    </row>
    <row r="2795" customFormat="false" ht="15" hidden="false" customHeight="false" outlineLevel="0" collapsed="false">
      <c r="A2795" s="27"/>
      <c r="E2795" s="28"/>
      <c r="F2795" s="28"/>
      <c r="I2795" s="28" t="str">
        <f aca="false">IF(A2795="","",D2795*E2795)</f>
        <v/>
      </c>
      <c r="J2795" s="28" t="str">
        <f aca="false">IF(A2795="","",D2795*F2795)</f>
        <v/>
      </c>
      <c r="K2795" s="0" t="str">
        <f aca="false">IF(A2795="","",YEAR(A2795))</f>
        <v/>
      </c>
      <c r="L2795" s="0" t="str">
        <f aca="false">IF(A2795="","",MONTH(A2795))</f>
        <v/>
      </c>
    </row>
    <row r="2796" customFormat="false" ht="15" hidden="false" customHeight="false" outlineLevel="0" collapsed="false">
      <c r="A2796" s="27"/>
      <c r="E2796" s="28"/>
      <c r="F2796" s="28"/>
      <c r="I2796" s="28" t="str">
        <f aca="false">IF(A2796="","",D2796*E2796)</f>
        <v/>
      </c>
      <c r="J2796" s="28" t="str">
        <f aca="false">IF(A2796="","",D2796*F2796)</f>
        <v/>
      </c>
      <c r="K2796" s="0" t="str">
        <f aca="false">IF(A2796="","",YEAR(A2796))</f>
        <v/>
      </c>
      <c r="L2796" s="0" t="str">
        <f aca="false">IF(A2796="","",MONTH(A2796))</f>
        <v/>
      </c>
    </row>
    <row r="2797" customFormat="false" ht="15" hidden="false" customHeight="false" outlineLevel="0" collapsed="false">
      <c r="A2797" s="27"/>
      <c r="E2797" s="28"/>
      <c r="F2797" s="28"/>
      <c r="I2797" s="28" t="str">
        <f aca="false">IF(A2797="","",D2797*E2797)</f>
        <v/>
      </c>
      <c r="J2797" s="28" t="str">
        <f aca="false">IF(A2797="","",D2797*F2797)</f>
        <v/>
      </c>
      <c r="K2797" s="0" t="str">
        <f aca="false">IF(A2797="","",YEAR(A2797))</f>
        <v/>
      </c>
      <c r="L2797" s="0" t="str">
        <f aca="false">IF(A2797="","",MONTH(A2797))</f>
        <v/>
      </c>
    </row>
    <row r="2798" customFormat="false" ht="15" hidden="false" customHeight="false" outlineLevel="0" collapsed="false">
      <c r="A2798" s="27"/>
      <c r="E2798" s="28"/>
      <c r="F2798" s="28"/>
      <c r="I2798" s="28" t="str">
        <f aca="false">IF(A2798="","",D2798*E2798)</f>
        <v/>
      </c>
      <c r="J2798" s="28" t="str">
        <f aca="false">IF(A2798="","",D2798*F2798)</f>
        <v/>
      </c>
      <c r="K2798" s="0" t="str">
        <f aca="false">IF(A2798="","",YEAR(A2798))</f>
        <v/>
      </c>
      <c r="L2798" s="0" t="str">
        <f aca="false">IF(A2798="","",MONTH(A2798))</f>
        <v/>
      </c>
    </row>
    <row r="2799" customFormat="false" ht="15" hidden="false" customHeight="false" outlineLevel="0" collapsed="false">
      <c r="A2799" s="27"/>
      <c r="E2799" s="28"/>
      <c r="F2799" s="28"/>
      <c r="I2799" s="28" t="str">
        <f aca="false">IF(A2799="","",D2799*E2799)</f>
        <v/>
      </c>
      <c r="J2799" s="28" t="str">
        <f aca="false">IF(A2799="","",D2799*F2799)</f>
        <v/>
      </c>
      <c r="K2799" s="0" t="str">
        <f aca="false">IF(A2799="","",YEAR(A2799))</f>
        <v/>
      </c>
      <c r="L2799" s="0" t="str">
        <f aca="false">IF(A2799="","",MONTH(A2799))</f>
        <v/>
      </c>
    </row>
    <row r="2800" customFormat="false" ht="15" hidden="false" customHeight="false" outlineLevel="0" collapsed="false">
      <c r="A2800" s="27"/>
      <c r="E2800" s="28"/>
      <c r="F2800" s="28"/>
      <c r="I2800" s="28" t="str">
        <f aca="false">IF(A2800="","",D2800*E2800)</f>
        <v/>
      </c>
      <c r="J2800" s="28" t="str">
        <f aca="false">IF(A2800="","",D2800*F2800)</f>
        <v/>
      </c>
      <c r="K2800" s="0" t="str">
        <f aca="false">IF(A2800="","",YEAR(A2800))</f>
        <v/>
      </c>
      <c r="L2800" s="0" t="str">
        <f aca="false">IF(A2800="","",MONTH(A2800))</f>
        <v/>
      </c>
    </row>
    <row r="2801" customFormat="false" ht="15" hidden="false" customHeight="false" outlineLevel="0" collapsed="false">
      <c r="A2801" s="27"/>
      <c r="E2801" s="28"/>
      <c r="F2801" s="28"/>
      <c r="I2801" s="28" t="str">
        <f aca="false">IF(A2801="","",D2801*E2801)</f>
        <v/>
      </c>
      <c r="J2801" s="28" t="str">
        <f aca="false">IF(A2801="","",D2801*F2801)</f>
        <v/>
      </c>
      <c r="K2801" s="0" t="str">
        <f aca="false">IF(A2801="","",YEAR(A2801))</f>
        <v/>
      </c>
      <c r="L2801" s="0" t="str">
        <f aca="false">IF(A2801="","",MONTH(A2801))</f>
        <v/>
      </c>
    </row>
    <row r="2802" customFormat="false" ht="15" hidden="false" customHeight="false" outlineLevel="0" collapsed="false">
      <c r="A2802" s="27"/>
      <c r="E2802" s="28"/>
      <c r="F2802" s="28"/>
      <c r="I2802" s="28" t="str">
        <f aca="false">IF(A2802="","",D2802*E2802)</f>
        <v/>
      </c>
      <c r="J2802" s="28" t="str">
        <f aca="false">IF(A2802="","",D2802*F2802)</f>
        <v/>
      </c>
      <c r="K2802" s="0" t="str">
        <f aca="false">IF(A2802="","",YEAR(A2802))</f>
        <v/>
      </c>
      <c r="L2802" s="0" t="str">
        <f aca="false">IF(A2802="","",MONTH(A2802))</f>
        <v/>
      </c>
    </row>
    <row r="2803" customFormat="false" ht="15" hidden="false" customHeight="false" outlineLevel="0" collapsed="false">
      <c r="A2803" s="27"/>
      <c r="E2803" s="28"/>
      <c r="F2803" s="28"/>
      <c r="I2803" s="28" t="str">
        <f aca="false">IF(A2803="","",D2803*E2803)</f>
        <v/>
      </c>
      <c r="J2803" s="28" t="str">
        <f aca="false">IF(A2803="","",D2803*F2803)</f>
        <v/>
      </c>
      <c r="K2803" s="0" t="str">
        <f aca="false">IF(A2803="","",YEAR(A2803))</f>
        <v/>
      </c>
      <c r="L2803" s="0" t="str">
        <f aca="false">IF(A2803="","",MONTH(A2803))</f>
        <v/>
      </c>
    </row>
    <row r="2804" customFormat="false" ht="15" hidden="false" customHeight="false" outlineLevel="0" collapsed="false">
      <c r="A2804" s="27"/>
      <c r="E2804" s="28"/>
      <c r="F2804" s="28"/>
      <c r="I2804" s="28" t="str">
        <f aca="false">IF(A2804="","",D2804*E2804)</f>
        <v/>
      </c>
      <c r="J2804" s="28" t="str">
        <f aca="false">IF(A2804="","",D2804*F2804)</f>
        <v/>
      </c>
      <c r="K2804" s="0" t="str">
        <f aca="false">IF(A2804="","",YEAR(A2804))</f>
        <v/>
      </c>
      <c r="L2804" s="0" t="str">
        <f aca="false">IF(A2804="","",MONTH(A2804))</f>
        <v/>
      </c>
    </row>
    <row r="2805" customFormat="false" ht="15" hidden="false" customHeight="false" outlineLevel="0" collapsed="false">
      <c r="A2805" s="27"/>
      <c r="E2805" s="28"/>
      <c r="F2805" s="28"/>
      <c r="I2805" s="28" t="str">
        <f aca="false">IF(A2805="","",D2805*E2805)</f>
        <v/>
      </c>
      <c r="J2805" s="28" t="str">
        <f aca="false">IF(A2805="","",D2805*F2805)</f>
        <v/>
      </c>
      <c r="K2805" s="0" t="str">
        <f aca="false">IF(A2805="","",YEAR(A2805))</f>
        <v/>
      </c>
      <c r="L2805" s="0" t="str">
        <f aca="false">IF(A2805="","",MONTH(A2805))</f>
        <v/>
      </c>
    </row>
    <row r="2806" customFormat="false" ht="15" hidden="false" customHeight="false" outlineLevel="0" collapsed="false">
      <c r="A2806" s="27"/>
      <c r="E2806" s="28"/>
      <c r="F2806" s="28"/>
      <c r="I2806" s="28" t="str">
        <f aca="false">IF(A2806="","",D2806*E2806)</f>
        <v/>
      </c>
      <c r="J2806" s="28" t="str">
        <f aca="false">IF(A2806="","",D2806*F2806)</f>
        <v/>
      </c>
      <c r="K2806" s="0" t="str">
        <f aca="false">IF(A2806="","",YEAR(A2806))</f>
        <v/>
      </c>
      <c r="L2806" s="0" t="str">
        <f aca="false">IF(A2806="","",MONTH(A2806))</f>
        <v/>
      </c>
    </row>
    <row r="2807" customFormat="false" ht="15" hidden="false" customHeight="false" outlineLevel="0" collapsed="false">
      <c r="A2807" s="27"/>
      <c r="E2807" s="28"/>
      <c r="F2807" s="28"/>
      <c r="I2807" s="28" t="str">
        <f aca="false">IF(A2807="","",D2807*E2807)</f>
        <v/>
      </c>
      <c r="J2807" s="28" t="str">
        <f aca="false">IF(A2807="","",D2807*F2807)</f>
        <v/>
      </c>
      <c r="K2807" s="0" t="str">
        <f aca="false">IF(A2807="","",YEAR(A2807))</f>
        <v/>
      </c>
      <c r="L2807" s="0" t="str">
        <f aca="false">IF(A2807="","",MONTH(A2807))</f>
        <v/>
      </c>
    </row>
    <row r="2808" customFormat="false" ht="15" hidden="false" customHeight="false" outlineLevel="0" collapsed="false">
      <c r="A2808" s="27"/>
      <c r="E2808" s="28"/>
      <c r="F2808" s="28"/>
      <c r="I2808" s="28" t="str">
        <f aca="false">IF(A2808="","",D2808*E2808)</f>
        <v/>
      </c>
      <c r="J2808" s="28" t="str">
        <f aca="false">IF(A2808="","",D2808*F2808)</f>
        <v/>
      </c>
      <c r="K2808" s="0" t="str">
        <f aca="false">IF(A2808="","",YEAR(A2808))</f>
        <v/>
      </c>
      <c r="L2808" s="0" t="str">
        <f aca="false">IF(A2808="","",MONTH(A2808))</f>
        <v/>
      </c>
    </row>
    <row r="2809" customFormat="false" ht="15" hidden="false" customHeight="false" outlineLevel="0" collapsed="false">
      <c r="A2809" s="27"/>
      <c r="E2809" s="28"/>
      <c r="F2809" s="28"/>
      <c r="I2809" s="28" t="str">
        <f aca="false">IF(A2809="","",D2809*E2809)</f>
        <v/>
      </c>
      <c r="J2809" s="28" t="str">
        <f aca="false">IF(A2809="","",D2809*F2809)</f>
        <v/>
      </c>
      <c r="K2809" s="0" t="str">
        <f aca="false">IF(A2809="","",YEAR(A2809))</f>
        <v/>
      </c>
      <c r="L2809" s="0" t="str">
        <f aca="false">IF(A2809="","",MONTH(A2809))</f>
        <v/>
      </c>
    </row>
    <row r="2810" customFormat="false" ht="15" hidden="false" customHeight="false" outlineLevel="0" collapsed="false">
      <c r="A2810" s="27"/>
      <c r="E2810" s="28"/>
      <c r="F2810" s="28"/>
      <c r="I2810" s="28" t="str">
        <f aca="false">IF(A2810="","",D2810*E2810)</f>
        <v/>
      </c>
      <c r="J2810" s="28" t="str">
        <f aca="false">IF(A2810="","",D2810*F2810)</f>
        <v/>
      </c>
      <c r="K2810" s="0" t="str">
        <f aca="false">IF(A2810="","",YEAR(A2810))</f>
        <v/>
      </c>
      <c r="L2810" s="0" t="str">
        <f aca="false">IF(A2810="","",MONTH(A2810))</f>
        <v/>
      </c>
    </row>
    <row r="2811" customFormat="false" ht="15" hidden="false" customHeight="false" outlineLevel="0" collapsed="false">
      <c r="A2811" s="27"/>
      <c r="E2811" s="28"/>
      <c r="F2811" s="28"/>
      <c r="I2811" s="28" t="str">
        <f aca="false">IF(A2811="","",D2811*E2811)</f>
        <v/>
      </c>
      <c r="J2811" s="28" t="str">
        <f aca="false">IF(A2811="","",D2811*F2811)</f>
        <v/>
      </c>
      <c r="K2811" s="0" t="str">
        <f aca="false">IF(A2811="","",YEAR(A2811))</f>
        <v/>
      </c>
      <c r="L2811" s="0" t="str">
        <f aca="false">IF(A2811="","",MONTH(A2811))</f>
        <v/>
      </c>
    </row>
    <row r="2812" customFormat="false" ht="15" hidden="false" customHeight="false" outlineLevel="0" collapsed="false">
      <c r="A2812" s="27"/>
      <c r="E2812" s="28"/>
      <c r="F2812" s="28"/>
      <c r="I2812" s="28" t="str">
        <f aca="false">IF(A2812="","",D2812*E2812)</f>
        <v/>
      </c>
      <c r="J2812" s="28" t="str">
        <f aca="false">IF(A2812="","",D2812*F2812)</f>
        <v/>
      </c>
      <c r="K2812" s="0" t="str">
        <f aca="false">IF(A2812="","",YEAR(A2812))</f>
        <v/>
      </c>
      <c r="L2812" s="0" t="str">
        <f aca="false">IF(A2812="","",MONTH(A2812))</f>
        <v/>
      </c>
    </row>
    <row r="2813" customFormat="false" ht="15" hidden="false" customHeight="false" outlineLevel="0" collapsed="false">
      <c r="A2813" s="27"/>
      <c r="E2813" s="28"/>
      <c r="F2813" s="28"/>
      <c r="I2813" s="28" t="str">
        <f aca="false">IF(A2813="","",D2813*E2813)</f>
        <v/>
      </c>
      <c r="J2813" s="28" t="str">
        <f aca="false">IF(A2813="","",D2813*F2813)</f>
        <v/>
      </c>
      <c r="K2813" s="0" t="str">
        <f aca="false">IF(A2813="","",YEAR(A2813))</f>
        <v/>
      </c>
      <c r="L2813" s="0" t="str">
        <f aca="false">IF(A2813="","",MONTH(A2813))</f>
        <v/>
      </c>
    </row>
    <row r="2814" customFormat="false" ht="15" hidden="false" customHeight="false" outlineLevel="0" collapsed="false">
      <c r="A2814" s="27"/>
      <c r="E2814" s="28"/>
      <c r="F2814" s="28"/>
      <c r="I2814" s="28" t="str">
        <f aca="false">IF(A2814="","",D2814*E2814)</f>
        <v/>
      </c>
      <c r="J2814" s="28" t="str">
        <f aca="false">IF(A2814="","",D2814*F2814)</f>
        <v/>
      </c>
      <c r="K2814" s="0" t="str">
        <f aca="false">IF(A2814="","",YEAR(A2814))</f>
        <v/>
      </c>
      <c r="L2814" s="0" t="str">
        <f aca="false">IF(A2814="","",MONTH(A2814))</f>
        <v/>
      </c>
    </row>
    <row r="2815" customFormat="false" ht="15" hidden="false" customHeight="false" outlineLevel="0" collapsed="false">
      <c r="A2815" s="27"/>
      <c r="E2815" s="28"/>
      <c r="F2815" s="28"/>
      <c r="I2815" s="28" t="str">
        <f aca="false">IF(A2815="","",D2815*E2815)</f>
        <v/>
      </c>
      <c r="J2815" s="28" t="str">
        <f aca="false">IF(A2815="","",D2815*F2815)</f>
        <v/>
      </c>
      <c r="K2815" s="0" t="str">
        <f aca="false">IF(A2815="","",YEAR(A2815))</f>
        <v/>
      </c>
      <c r="L2815" s="0" t="str">
        <f aca="false">IF(A2815="","",MONTH(A2815))</f>
        <v/>
      </c>
    </row>
    <row r="2816" customFormat="false" ht="15" hidden="false" customHeight="false" outlineLevel="0" collapsed="false">
      <c r="A2816" s="27"/>
      <c r="E2816" s="28"/>
      <c r="F2816" s="28"/>
      <c r="I2816" s="28" t="str">
        <f aca="false">IF(A2816="","",D2816*E2816)</f>
        <v/>
      </c>
      <c r="J2816" s="28" t="str">
        <f aca="false">IF(A2816="","",D2816*F2816)</f>
        <v/>
      </c>
      <c r="K2816" s="0" t="str">
        <f aca="false">IF(A2816="","",YEAR(A2816))</f>
        <v/>
      </c>
      <c r="L2816" s="0" t="str">
        <f aca="false">IF(A2816="","",MONTH(A2816))</f>
        <v/>
      </c>
    </row>
    <row r="2817" customFormat="false" ht="15" hidden="false" customHeight="false" outlineLevel="0" collapsed="false">
      <c r="A2817" s="27"/>
      <c r="E2817" s="28"/>
      <c r="F2817" s="28"/>
      <c r="I2817" s="28" t="str">
        <f aca="false">IF(A2817="","",D2817*E2817)</f>
        <v/>
      </c>
      <c r="J2817" s="28" t="str">
        <f aca="false">IF(A2817="","",D2817*F2817)</f>
        <v/>
      </c>
      <c r="K2817" s="0" t="str">
        <f aca="false">IF(A2817="","",YEAR(A2817))</f>
        <v/>
      </c>
      <c r="L2817" s="0" t="str">
        <f aca="false">IF(A2817="","",MONTH(A2817))</f>
        <v/>
      </c>
    </row>
    <row r="2818" customFormat="false" ht="15" hidden="false" customHeight="false" outlineLevel="0" collapsed="false">
      <c r="A2818" s="27"/>
      <c r="E2818" s="28"/>
      <c r="F2818" s="28"/>
      <c r="I2818" s="28" t="str">
        <f aca="false">IF(A2818="","",D2818*E2818)</f>
        <v/>
      </c>
      <c r="J2818" s="28" t="str">
        <f aca="false">IF(A2818="","",D2818*F2818)</f>
        <v/>
      </c>
      <c r="K2818" s="0" t="str">
        <f aca="false">IF(A2818="","",YEAR(A2818))</f>
        <v/>
      </c>
      <c r="L2818" s="0" t="str">
        <f aca="false">IF(A2818="","",MONTH(A2818))</f>
        <v/>
      </c>
    </row>
    <row r="2819" customFormat="false" ht="15" hidden="false" customHeight="false" outlineLevel="0" collapsed="false">
      <c r="A2819" s="27"/>
      <c r="E2819" s="28"/>
      <c r="F2819" s="28"/>
      <c r="I2819" s="28" t="str">
        <f aca="false">IF(A2819="","",D2819*E2819)</f>
        <v/>
      </c>
      <c r="J2819" s="28" t="str">
        <f aca="false">IF(A2819="","",D2819*F2819)</f>
        <v/>
      </c>
      <c r="K2819" s="0" t="str">
        <f aca="false">IF(A2819="","",YEAR(A2819))</f>
        <v/>
      </c>
      <c r="L2819" s="0" t="str">
        <f aca="false">IF(A2819="","",MONTH(A2819))</f>
        <v/>
      </c>
    </row>
    <row r="2820" customFormat="false" ht="15" hidden="false" customHeight="false" outlineLevel="0" collapsed="false">
      <c r="A2820" s="27"/>
      <c r="E2820" s="28"/>
      <c r="F2820" s="28"/>
      <c r="I2820" s="28" t="str">
        <f aca="false">IF(A2820="","",D2820*E2820)</f>
        <v/>
      </c>
      <c r="J2820" s="28" t="str">
        <f aca="false">IF(A2820="","",D2820*F2820)</f>
        <v/>
      </c>
      <c r="K2820" s="0" t="str">
        <f aca="false">IF(A2820="","",YEAR(A2820))</f>
        <v/>
      </c>
      <c r="L2820" s="0" t="str">
        <f aca="false">IF(A2820="","",MONTH(A2820))</f>
        <v/>
      </c>
    </row>
    <row r="2821" customFormat="false" ht="15" hidden="false" customHeight="false" outlineLevel="0" collapsed="false">
      <c r="A2821" s="27"/>
      <c r="E2821" s="28"/>
      <c r="F2821" s="28"/>
      <c r="I2821" s="28" t="str">
        <f aca="false">IF(A2821="","",D2821*E2821)</f>
        <v/>
      </c>
      <c r="J2821" s="28" t="str">
        <f aca="false">IF(A2821="","",D2821*F2821)</f>
        <v/>
      </c>
      <c r="K2821" s="0" t="str">
        <f aca="false">IF(A2821="","",YEAR(A2821))</f>
        <v/>
      </c>
      <c r="L2821" s="0" t="str">
        <f aca="false">IF(A2821="","",MONTH(A2821))</f>
        <v/>
      </c>
    </row>
    <row r="2822" customFormat="false" ht="15" hidden="false" customHeight="false" outlineLevel="0" collapsed="false">
      <c r="A2822" s="27"/>
      <c r="E2822" s="28"/>
      <c r="F2822" s="28"/>
      <c r="I2822" s="28" t="str">
        <f aca="false">IF(A2822="","",D2822*E2822)</f>
        <v/>
      </c>
      <c r="J2822" s="28" t="str">
        <f aca="false">IF(A2822="","",D2822*F2822)</f>
        <v/>
      </c>
      <c r="K2822" s="0" t="str">
        <f aca="false">IF(A2822="","",YEAR(A2822))</f>
        <v/>
      </c>
      <c r="L2822" s="0" t="str">
        <f aca="false">IF(A2822="","",MONTH(A2822))</f>
        <v/>
      </c>
    </row>
    <row r="2823" customFormat="false" ht="15" hidden="false" customHeight="false" outlineLevel="0" collapsed="false">
      <c r="A2823" s="27"/>
      <c r="E2823" s="28"/>
      <c r="F2823" s="28"/>
      <c r="I2823" s="28" t="str">
        <f aca="false">IF(A2823="","",D2823*E2823)</f>
        <v/>
      </c>
      <c r="J2823" s="28" t="str">
        <f aca="false">IF(A2823="","",D2823*F2823)</f>
        <v/>
      </c>
      <c r="K2823" s="0" t="str">
        <f aca="false">IF(A2823="","",YEAR(A2823))</f>
        <v/>
      </c>
      <c r="L2823" s="0" t="str">
        <f aca="false">IF(A2823="","",MONTH(A2823))</f>
        <v/>
      </c>
    </row>
    <row r="2824" customFormat="false" ht="15" hidden="false" customHeight="false" outlineLevel="0" collapsed="false">
      <c r="A2824" s="27"/>
      <c r="E2824" s="28"/>
      <c r="F2824" s="28"/>
      <c r="I2824" s="28" t="str">
        <f aca="false">IF(A2824="","",D2824*E2824)</f>
        <v/>
      </c>
      <c r="J2824" s="28" t="str">
        <f aca="false">IF(A2824="","",D2824*F2824)</f>
        <v/>
      </c>
      <c r="K2824" s="0" t="str">
        <f aca="false">IF(A2824="","",YEAR(A2824))</f>
        <v/>
      </c>
      <c r="L2824" s="0" t="str">
        <f aca="false">IF(A2824="","",MONTH(A2824))</f>
        <v/>
      </c>
    </row>
    <row r="2825" customFormat="false" ht="15" hidden="false" customHeight="false" outlineLevel="0" collapsed="false">
      <c r="A2825" s="27"/>
      <c r="E2825" s="28"/>
      <c r="F2825" s="28"/>
      <c r="I2825" s="28" t="str">
        <f aca="false">IF(A2825="","",D2825*E2825)</f>
        <v/>
      </c>
      <c r="J2825" s="28" t="str">
        <f aca="false">IF(A2825="","",D2825*F2825)</f>
        <v/>
      </c>
      <c r="K2825" s="0" t="str">
        <f aca="false">IF(A2825="","",YEAR(A2825))</f>
        <v/>
      </c>
      <c r="L2825" s="0" t="str">
        <f aca="false">IF(A2825="","",MONTH(A2825))</f>
        <v/>
      </c>
    </row>
    <row r="2826" customFormat="false" ht="15" hidden="false" customHeight="false" outlineLevel="0" collapsed="false">
      <c r="A2826" s="27"/>
      <c r="E2826" s="28"/>
      <c r="F2826" s="28"/>
      <c r="I2826" s="28" t="str">
        <f aca="false">IF(A2826="","",D2826*E2826)</f>
        <v/>
      </c>
      <c r="J2826" s="28" t="str">
        <f aca="false">IF(A2826="","",D2826*F2826)</f>
        <v/>
      </c>
      <c r="K2826" s="0" t="str">
        <f aca="false">IF(A2826="","",YEAR(A2826))</f>
        <v/>
      </c>
      <c r="L2826" s="0" t="str">
        <f aca="false">IF(A2826="","",MONTH(A2826))</f>
        <v/>
      </c>
    </row>
    <row r="2827" customFormat="false" ht="15" hidden="false" customHeight="false" outlineLevel="0" collapsed="false">
      <c r="A2827" s="27"/>
      <c r="E2827" s="28"/>
      <c r="F2827" s="28"/>
      <c r="I2827" s="28" t="str">
        <f aca="false">IF(A2827="","",D2827*E2827)</f>
        <v/>
      </c>
      <c r="J2827" s="28" t="str">
        <f aca="false">IF(A2827="","",D2827*F2827)</f>
        <v/>
      </c>
      <c r="K2827" s="0" t="str">
        <f aca="false">IF(A2827="","",YEAR(A2827))</f>
        <v/>
      </c>
      <c r="L2827" s="0" t="str">
        <f aca="false">IF(A2827="","",MONTH(A2827))</f>
        <v/>
      </c>
    </row>
    <row r="2828" customFormat="false" ht="15" hidden="false" customHeight="false" outlineLevel="0" collapsed="false">
      <c r="A2828" s="27"/>
      <c r="E2828" s="28"/>
      <c r="F2828" s="28"/>
      <c r="I2828" s="28" t="str">
        <f aca="false">IF(A2828="","",D2828*E2828)</f>
        <v/>
      </c>
      <c r="J2828" s="28" t="str">
        <f aca="false">IF(A2828="","",D2828*F2828)</f>
        <v/>
      </c>
      <c r="K2828" s="0" t="str">
        <f aca="false">IF(A2828="","",YEAR(A2828))</f>
        <v/>
      </c>
      <c r="L2828" s="0" t="str">
        <f aca="false">IF(A2828="","",MONTH(A2828))</f>
        <v/>
      </c>
    </row>
    <row r="2829" customFormat="false" ht="15" hidden="false" customHeight="false" outlineLevel="0" collapsed="false">
      <c r="A2829" s="27"/>
      <c r="E2829" s="28"/>
      <c r="F2829" s="28"/>
      <c r="I2829" s="28" t="str">
        <f aca="false">IF(A2829="","",D2829*E2829)</f>
        <v/>
      </c>
      <c r="J2829" s="28" t="str">
        <f aca="false">IF(A2829="","",D2829*F2829)</f>
        <v/>
      </c>
      <c r="K2829" s="0" t="str">
        <f aca="false">IF(A2829="","",YEAR(A2829))</f>
        <v/>
      </c>
      <c r="L2829" s="0" t="str">
        <f aca="false">IF(A2829="","",MONTH(A2829))</f>
        <v/>
      </c>
    </row>
    <row r="2830" customFormat="false" ht="15" hidden="false" customHeight="false" outlineLevel="0" collapsed="false">
      <c r="A2830" s="27"/>
      <c r="E2830" s="28"/>
      <c r="F2830" s="28"/>
      <c r="I2830" s="28" t="str">
        <f aca="false">IF(A2830="","",D2830*E2830)</f>
        <v/>
      </c>
      <c r="J2830" s="28" t="str">
        <f aca="false">IF(A2830="","",D2830*F2830)</f>
        <v/>
      </c>
      <c r="K2830" s="0" t="str">
        <f aca="false">IF(A2830="","",YEAR(A2830))</f>
        <v/>
      </c>
      <c r="L2830" s="0" t="str">
        <f aca="false">IF(A2830="","",MONTH(A2830))</f>
        <v/>
      </c>
    </row>
    <row r="2831" customFormat="false" ht="15" hidden="false" customHeight="false" outlineLevel="0" collapsed="false">
      <c r="A2831" s="27"/>
      <c r="E2831" s="28"/>
      <c r="F2831" s="28"/>
      <c r="I2831" s="28" t="str">
        <f aca="false">IF(A2831="","",D2831*E2831)</f>
        <v/>
      </c>
      <c r="J2831" s="28" t="str">
        <f aca="false">IF(A2831="","",D2831*F2831)</f>
        <v/>
      </c>
      <c r="K2831" s="0" t="str">
        <f aca="false">IF(A2831="","",YEAR(A2831))</f>
        <v/>
      </c>
      <c r="L2831" s="0" t="str">
        <f aca="false">IF(A2831="","",MONTH(A2831))</f>
        <v/>
      </c>
    </row>
    <row r="2832" customFormat="false" ht="15" hidden="false" customHeight="false" outlineLevel="0" collapsed="false">
      <c r="A2832" s="27"/>
      <c r="E2832" s="28"/>
      <c r="F2832" s="28"/>
      <c r="I2832" s="28" t="str">
        <f aca="false">IF(A2832="","",D2832*E2832)</f>
        <v/>
      </c>
      <c r="J2832" s="28" t="str">
        <f aca="false">IF(A2832="","",D2832*F2832)</f>
        <v/>
      </c>
      <c r="K2832" s="0" t="str">
        <f aca="false">IF(A2832="","",YEAR(A2832))</f>
        <v/>
      </c>
      <c r="L2832" s="0" t="str">
        <f aca="false">IF(A2832="","",MONTH(A2832))</f>
        <v/>
      </c>
    </row>
    <row r="2833" customFormat="false" ht="15" hidden="false" customHeight="false" outlineLevel="0" collapsed="false">
      <c r="A2833" s="27"/>
      <c r="E2833" s="28"/>
      <c r="F2833" s="28"/>
      <c r="I2833" s="28" t="str">
        <f aca="false">IF(A2833="","",D2833*E2833)</f>
        <v/>
      </c>
      <c r="J2833" s="28" t="str">
        <f aca="false">IF(A2833="","",D2833*F2833)</f>
        <v/>
      </c>
      <c r="K2833" s="0" t="str">
        <f aca="false">IF(A2833="","",YEAR(A2833))</f>
        <v/>
      </c>
      <c r="L2833" s="0" t="str">
        <f aca="false">IF(A2833="","",MONTH(A2833))</f>
        <v/>
      </c>
    </row>
    <row r="2834" customFormat="false" ht="15" hidden="false" customHeight="false" outlineLevel="0" collapsed="false">
      <c r="A2834" s="27"/>
      <c r="E2834" s="28"/>
      <c r="F2834" s="28"/>
      <c r="I2834" s="28" t="str">
        <f aca="false">IF(A2834="","",D2834*E2834)</f>
        <v/>
      </c>
      <c r="J2834" s="28" t="str">
        <f aca="false">IF(A2834="","",D2834*F2834)</f>
        <v/>
      </c>
      <c r="K2834" s="0" t="str">
        <f aca="false">IF(A2834="","",YEAR(A2834))</f>
        <v/>
      </c>
      <c r="L2834" s="0" t="str">
        <f aca="false">IF(A2834="","",MONTH(A2834))</f>
        <v/>
      </c>
    </row>
    <row r="2835" customFormat="false" ht="15" hidden="false" customHeight="false" outlineLevel="0" collapsed="false">
      <c r="A2835" s="27"/>
      <c r="E2835" s="28"/>
      <c r="F2835" s="28"/>
      <c r="I2835" s="28" t="str">
        <f aca="false">IF(A2835="","",D2835*E2835)</f>
        <v/>
      </c>
      <c r="J2835" s="28" t="str">
        <f aca="false">IF(A2835="","",D2835*F2835)</f>
        <v/>
      </c>
      <c r="K2835" s="0" t="str">
        <f aca="false">IF(A2835="","",YEAR(A2835))</f>
        <v/>
      </c>
      <c r="L2835" s="0" t="str">
        <f aca="false">IF(A2835="","",MONTH(A2835))</f>
        <v/>
      </c>
    </row>
    <row r="2836" customFormat="false" ht="15" hidden="false" customHeight="false" outlineLevel="0" collapsed="false">
      <c r="A2836" s="27"/>
      <c r="E2836" s="28"/>
      <c r="F2836" s="28"/>
      <c r="I2836" s="28" t="str">
        <f aca="false">IF(A2836="","",D2836*E2836)</f>
        <v/>
      </c>
      <c r="J2836" s="28" t="str">
        <f aca="false">IF(A2836="","",D2836*F2836)</f>
        <v/>
      </c>
      <c r="K2836" s="0" t="str">
        <f aca="false">IF(A2836="","",YEAR(A2836))</f>
        <v/>
      </c>
      <c r="L2836" s="0" t="str">
        <f aca="false">IF(A2836="","",MONTH(A2836))</f>
        <v/>
      </c>
    </row>
    <row r="2837" customFormat="false" ht="15" hidden="false" customHeight="false" outlineLevel="0" collapsed="false">
      <c r="A2837" s="27"/>
      <c r="E2837" s="28"/>
      <c r="F2837" s="28"/>
      <c r="I2837" s="28" t="str">
        <f aca="false">IF(A2837="","",D2837*E2837)</f>
        <v/>
      </c>
      <c r="J2837" s="28" t="str">
        <f aca="false">IF(A2837="","",D2837*F2837)</f>
        <v/>
      </c>
      <c r="K2837" s="0" t="str">
        <f aca="false">IF(A2837="","",YEAR(A2837))</f>
        <v/>
      </c>
      <c r="L2837" s="0" t="str">
        <f aca="false">IF(A2837="","",MONTH(A2837))</f>
        <v/>
      </c>
    </row>
    <row r="2838" customFormat="false" ht="15" hidden="false" customHeight="false" outlineLevel="0" collapsed="false">
      <c r="A2838" s="27"/>
      <c r="E2838" s="28"/>
      <c r="F2838" s="28"/>
      <c r="I2838" s="28" t="str">
        <f aca="false">IF(A2838="","",D2838*E2838)</f>
        <v/>
      </c>
      <c r="J2838" s="28" t="str">
        <f aca="false">IF(A2838="","",D2838*F2838)</f>
        <v/>
      </c>
      <c r="K2838" s="0" t="str">
        <f aca="false">IF(A2838="","",YEAR(A2838))</f>
        <v/>
      </c>
      <c r="L2838" s="0" t="str">
        <f aca="false">IF(A2838="","",MONTH(A2838))</f>
        <v/>
      </c>
    </row>
    <row r="2839" customFormat="false" ht="15" hidden="false" customHeight="false" outlineLevel="0" collapsed="false">
      <c r="A2839" s="27"/>
      <c r="E2839" s="28"/>
      <c r="F2839" s="28"/>
      <c r="I2839" s="28" t="str">
        <f aca="false">IF(A2839="","",D2839*E2839)</f>
        <v/>
      </c>
      <c r="J2839" s="28" t="str">
        <f aca="false">IF(A2839="","",D2839*F2839)</f>
        <v/>
      </c>
      <c r="K2839" s="0" t="str">
        <f aca="false">IF(A2839="","",YEAR(A2839))</f>
        <v/>
      </c>
      <c r="L2839" s="0" t="str">
        <f aca="false">IF(A2839="","",MONTH(A2839))</f>
        <v/>
      </c>
    </row>
    <row r="2840" customFormat="false" ht="15" hidden="false" customHeight="false" outlineLevel="0" collapsed="false">
      <c r="A2840" s="27"/>
      <c r="E2840" s="28"/>
      <c r="F2840" s="28"/>
      <c r="I2840" s="28" t="str">
        <f aca="false">IF(A2840="","",D2840*E2840)</f>
        <v/>
      </c>
      <c r="J2840" s="28" t="str">
        <f aca="false">IF(A2840="","",D2840*F2840)</f>
        <v/>
      </c>
      <c r="K2840" s="0" t="str">
        <f aca="false">IF(A2840="","",YEAR(A2840))</f>
        <v/>
      </c>
      <c r="L2840" s="0" t="str">
        <f aca="false">IF(A2840="","",MONTH(A2840))</f>
        <v/>
      </c>
    </row>
    <row r="2841" customFormat="false" ht="15" hidden="false" customHeight="false" outlineLevel="0" collapsed="false">
      <c r="A2841" s="27"/>
      <c r="E2841" s="28"/>
      <c r="F2841" s="28"/>
      <c r="I2841" s="28" t="str">
        <f aca="false">IF(A2841="","",D2841*E2841)</f>
        <v/>
      </c>
      <c r="J2841" s="28" t="str">
        <f aca="false">IF(A2841="","",D2841*F2841)</f>
        <v/>
      </c>
      <c r="K2841" s="0" t="str">
        <f aca="false">IF(A2841="","",YEAR(A2841))</f>
        <v/>
      </c>
      <c r="L2841" s="0" t="str">
        <f aca="false">IF(A2841="","",MONTH(A2841))</f>
        <v/>
      </c>
    </row>
    <row r="2842" customFormat="false" ht="15" hidden="false" customHeight="false" outlineLevel="0" collapsed="false">
      <c r="A2842" s="27"/>
      <c r="E2842" s="28"/>
      <c r="F2842" s="28"/>
      <c r="I2842" s="28" t="str">
        <f aca="false">IF(A2842="","",D2842*E2842)</f>
        <v/>
      </c>
      <c r="J2842" s="28" t="str">
        <f aca="false">IF(A2842="","",D2842*F2842)</f>
        <v/>
      </c>
      <c r="K2842" s="0" t="str">
        <f aca="false">IF(A2842="","",YEAR(A2842))</f>
        <v/>
      </c>
      <c r="L2842" s="0" t="str">
        <f aca="false">IF(A2842="","",MONTH(A2842))</f>
        <v/>
      </c>
    </row>
    <row r="2843" customFormat="false" ht="15" hidden="false" customHeight="false" outlineLevel="0" collapsed="false">
      <c r="A2843" s="27"/>
      <c r="E2843" s="28"/>
      <c r="F2843" s="28"/>
      <c r="I2843" s="28" t="str">
        <f aca="false">IF(A2843="","",D2843*E2843)</f>
        <v/>
      </c>
      <c r="J2843" s="28" t="str">
        <f aca="false">IF(A2843="","",D2843*F2843)</f>
        <v/>
      </c>
      <c r="K2843" s="0" t="str">
        <f aca="false">IF(A2843="","",YEAR(A2843))</f>
        <v/>
      </c>
      <c r="L2843" s="0" t="str">
        <f aca="false">IF(A2843="","",MONTH(A2843))</f>
        <v/>
      </c>
    </row>
    <row r="2844" customFormat="false" ht="15" hidden="false" customHeight="false" outlineLevel="0" collapsed="false">
      <c r="A2844" s="27"/>
      <c r="E2844" s="28"/>
      <c r="F2844" s="28"/>
      <c r="I2844" s="28" t="str">
        <f aca="false">IF(A2844="","",D2844*E2844)</f>
        <v/>
      </c>
      <c r="J2844" s="28" t="str">
        <f aca="false">IF(A2844="","",D2844*F2844)</f>
        <v/>
      </c>
      <c r="K2844" s="0" t="str">
        <f aca="false">IF(A2844="","",YEAR(A2844))</f>
        <v/>
      </c>
      <c r="L2844" s="0" t="str">
        <f aca="false">IF(A2844="","",MONTH(A2844))</f>
        <v/>
      </c>
    </row>
    <row r="2845" customFormat="false" ht="15" hidden="false" customHeight="false" outlineLevel="0" collapsed="false">
      <c r="A2845" s="27"/>
      <c r="E2845" s="28"/>
      <c r="F2845" s="28"/>
      <c r="I2845" s="28" t="str">
        <f aca="false">IF(A2845="","",D2845*E2845)</f>
        <v/>
      </c>
      <c r="J2845" s="28" t="str">
        <f aca="false">IF(A2845="","",D2845*F2845)</f>
        <v/>
      </c>
      <c r="K2845" s="0" t="str">
        <f aca="false">IF(A2845="","",YEAR(A2845))</f>
        <v/>
      </c>
      <c r="L2845" s="0" t="str">
        <f aca="false">IF(A2845="","",MONTH(A2845))</f>
        <v/>
      </c>
    </row>
    <row r="2846" customFormat="false" ht="15" hidden="false" customHeight="false" outlineLevel="0" collapsed="false">
      <c r="A2846" s="27"/>
      <c r="E2846" s="28"/>
      <c r="F2846" s="28"/>
      <c r="I2846" s="28" t="str">
        <f aca="false">IF(A2846="","",D2846*E2846)</f>
        <v/>
      </c>
      <c r="J2846" s="28" t="str">
        <f aca="false">IF(A2846="","",D2846*F2846)</f>
        <v/>
      </c>
      <c r="K2846" s="0" t="str">
        <f aca="false">IF(A2846="","",YEAR(A2846))</f>
        <v/>
      </c>
      <c r="L2846" s="0" t="str">
        <f aca="false">IF(A2846="","",MONTH(A2846))</f>
        <v/>
      </c>
    </row>
    <row r="2847" customFormat="false" ht="15" hidden="false" customHeight="false" outlineLevel="0" collapsed="false">
      <c r="A2847" s="27"/>
      <c r="E2847" s="28"/>
      <c r="F2847" s="28"/>
      <c r="I2847" s="28" t="str">
        <f aca="false">IF(A2847="","",D2847*E2847)</f>
        <v/>
      </c>
      <c r="J2847" s="28" t="str">
        <f aca="false">IF(A2847="","",D2847*F2847)</f>
        <v/>
      </c>
      <c r="K2847" s="0" t="str">
        <f aca="false">IF(A2847="","",YEAR(A2847))</f>
        <v/>
      </c>
      <c r="L2847" s="0" t="str">
        <f aca="false">IF(A2847="","",MONTH(A2847))</f>
        <v/>
      </c>
    </row>
    <row r="2848" customFormat="false" ht="15" hidden="false" customHeight="false" outlineLevel="0" collapsed="false">
      <c r="A2848" s="27"/>
      <c r="E2848" s="28"/>
      <c r="F2848" s="28"/>
      <c r="I2848" s="28" t="str">
        <f aca="false">IF(A2848="","",D2848*E2848)</f>
        <v/>
      </c>
      <c r="J2848" s="28" t="str">
        <f aca="false">IF(A2848="","",D2848*F2848)</f>
        <v/>
      </c>
      <c r="K2848" s="0" t="str">
        <f aca="false">IF(A2848="","",YEAR(A2848))</f>
        <v/>
      </c>
      <c r="L2848" s="0" t="str">
        <f aca="false">IF(A2848="","",MONTH(A2848))</f>
        <v/>
      </c>
    </row>
    <row r="2849" customFormat="false" ht="15" hidden="false" customHeight="false" outlineLevel="0" collapsed="false">
      <c r="A2849" s="27"/>
      <c r="E2849" s="28"/>
      <c r="F2849" s="28"/>
      <c r="I2849" s="28" t="str">
        <f aca="false">IF(A2849="","",D2849*E2849)</f>
        <v/>
      </c>
      <c r="J2849" s="28" t="str">
        <f aca="false">IF(A2849="","",D2849*F2849)</f>
        <v/>
      </c>
      <c r="K2849" s="0" t="str">
        <f aca="false">IF(A2849="","",YEAR(A2849))</f>
        <v/>
      </c>
      <c r="L2849" s="0" t="str">
        <f aca="false">IF(A2849="","",MONTH(A2849))</f>
        <v/>
      </c>
    </row>
    <row r="2850" customFormat="false" ht="15" hidden="false" customHeight="false" outlineLevel="0" collapsed="false">
      <c r="A2850" s="27"/>
      <c r="E2850" s="28"/>
      <c r="F2850" s="28"/>
      <c r="I2850" s="28" t="str">
        <f aca="false">IF(A2850="","",D2850*E2850)</f>
        <v/>
      </c>
      <c r="J2850" s="28" t="str">
        <f aca="false">IF(A2850="","",D2850*F2850)</f>
        <v/>
      </c>
      <c r="K2850" s="0" t="str">
        <f aca="false">IF(A2850="","",YEAR(A2850))</f>
        <v/>
      </c>
      <c r="L2850" s="0" t="str">
        <f aca="false">IF(A2850="","",MONTH(A2850))</f>
        <v/>
      </c>
    </row>
    <row r="2851" customFormat="false" ht="15" hidden="false" customHeight="false" outlineLevel="0" collapsed="false">
      <c r="A2851" s="27"/>
      <c r="E2851" s="28"/>
      <c r="F2851" s="28"/>
      <c r="I2851" s="28" t="str">
        <f aca="false">IF(A2851="","",D2851*E2851)</f>
        <v/>
      </c>
      <c r="J2851" s="28" t="str">
        <f aca="false">IF(A2851="","",D2851*F2851)</f>
        <v/>
      </c>
      <c r="K2851" s="0" t="str">
        <f aca="false">IF(A2851="","",YEAR(A2851))</f>
        <v/>
      </c>
      <c r="L2851" s="0" t="str">
        <f aca="false">IF(A2851="","",MONTH(A2851))</f>
        <v/>
      </c>
    </row>
    <row r="2852" customFormat="false" ht="15" hidden="false" customHeight="false" outlineLevel="0" collapsed="false">
      <c r="A2852" s="27"/>
      <c r="E2852" s="28"/>
      <c r="F2852" s="28"/>
      <c r="I2852" s="28" t="str">
        <f aca="false">IF(A2852="","",D2852*E2852)</f>
        <v/>
      </c>
      <c r="J2852" s="28" t="str">
        <f aca="false">IF(A2852="","",D2852*F2852)</f>
        <v/>
      </c>
      <c r="K2852" s="0" t="str">
        <f aca="false">IF(A2852="","",YEAR(A2852))</f>
        <v/>
      </c>
      <c r="L2852" s="0" t="str">
        <f aca="false">IF(A2852="","",MONTH(A2852))</f>
        <v/>
      </c>
    </row>
    <row r="2853" customFormat="false" ht="15" hidden="false" customHeight="false" outlineLevel="0" collapsed="false">
      <c r="A2853" s="27"/>
      <c r="E2853" s="28"/>
      <c r="F2853" s="28"/>
      <c r="I2853" s="28" t="str">
        <f aca="false">IF(A2853="","",D2853*E2853)</f>
        <v/>
      </c>
      <c r="J2853" s="28" t="str">
        <f aca="false">IF(A2853="","",D2853*F2853)</f>
        <v/>
      </c>
      <c r="K2853" s="0" t="str">
        <f aca="false">IF(A2853="","",YEAR(A2853))</f>
        <v/>
      </c>
      <c r="L2853" s="0" t="str">
        <f aca="false">IF(A2853="","",MONTH(A2853))</f>
        <v/>
      </c>
    </row>
    <row r="2854" customFormat="false" ht="15" hidden="false" customHeight="false" outlineLevel="0" collapsed="false">
      <c r="A2854" s="27"/>
      <c r="E2854" s="28"/>
      <c r="F2854" s="28"/>
      <c r="I2854" s="28" t="str">
        <f aca="false">IF(A2854="","",D2854*E2854)</f>
        <v/>
      </c>
      <c r="J2854" s="28" t="str">
        <f aca="false">IF(A2854="","",D2854*F2854)</f>
        <v/>
      </c>
      <c r="K2854" s="0" t="str">
        <f aca="false">IF(A2854="","",YEAR(A2854))</f>
        <v/>
      </c>
      <c r="L2854" s="0" t="str">
        <f aca="false">IF(A2854="","",MONTH(A2854))</f>
        <v/>
      </c>
    </row>
    <row r="2855" customFormat="false" ht="15" hidden="false" customHeight="false" outlineLevel="0" collapsed="false">
      <c r="A2855" s="27"/>
      <c r="E2855" s="28"/>
      <c r="F2855" s="28"/>
      <c r="I2855" s="28" t="str">
        <f aca="false">IF(A2855="","",D2855*E2855)</f>
        <v/>
      </c>
      <c r="J2855" s="28" t="str">
        <f aca="false">IF(A2855="","",D2855*F2855)</f>
        <v/>
      </c>
      <c r="K2855" s="0" t="str">
        <f aca="false">IF(A2855="","",YEAR(A2855))</f>
        <v/>
      </c>
      <c r="L2855" s="0" t="str">
        <f aca="false">IF(A2855="","",MONTH(A2855))</f>
        <v/>
      </c>
    </row>
    <row r="2856" customFormat="false" ht="15" hidden="false" customHeight="false" outlineLevel="0" collapsed="false">
      <c r="A2856" s="27"/>
      <c r="E2856" s="28"/>
      <c r="F2856" s="28"/>
      <c r="I2856" s="28" t="str">
        <f aca="false">IF(A2856="","",D2856*E2856)</f>
        <v/>
      </c>
      <c r="J2856" s="28" t="str">
        <f aca="false">IF(A2856="","",D2856*F2856)</f>
        <v/>
      </c>
      <c r="K2856" s="0" t="str">
        <f aca="false">IF(A2856="","",YEAR(A2856))</f>
        <v/>
      </c>
      <c r="L2856" s="0" t="str">
        <f aca="false">IF(A2856="","",MONTH(A2856))</f>
        <v/>
      </c>
    </row>
    <row r="2857" customFormat="false" ht="15" hidden="false" customHeight="false" outlineLevel="0" collapsed="false">
      <c r="A2857" s="27"/>
      <c r="E2857" s="28"/>
      <c r="F2857" s="28"/>
      <c r="I2857" s="28" t="str">
        <f aca="false">IF(A2857="","",D2857*E2857)</f>
        <v/>
      </c>
      <c r="J2857" s="28" t="str">
        <f aca="false">IF(A2857="","",D2857*F2857)</f>
        <v/>
      </c>
      <c r="K2857" s="0" t="str">
        <f aca="false">IF(A2857="","",YEAR(A2857))</f>
        <v/>
      </c>
      <c r="L2857" s="0" t="str">
        <f aca="false">IF(A2857="","",MONTH(A2857))</f>
        <v/>
      </c>
    </row>
    <row r="2858" customFormat="false" ht="15" hidden="false" customHeight="false" outlineLevel="0" collapsed="false">
      <c r="A2858" s="27"/>
      <c r="E2858" s="28"/>
      <c r="F2858" s="28"/>
      <c r="I2858" s="28" t="str">
        <f aca="false">IF(A2858="","",D2858*E2858)</f>
        <v/>
      </c>
      <c r="J2858" s="28" t="str">
        <f aca="false">IF(A2858="","",D2858*F2858)</f>
        <v/>
      </c>
      <c r="K2858" s="0" t="str">
        <f aca="false">IF(A2858="","",YEAR(A2858))</f>
        <v/>
      </c>
      <c r="L2858" s="0" t="str">
        <f aca="false">IF(A2858="","",MONTH(A2858))</f>
        <v/>
      </c>
    </row>
    <row r="2859" customFormat="false" ht="15" hidden="false" customHeight="false" outlineLevel="0" collapsed="false">
      <c r="A2859" s="27"/>
      <c r="E2859" s="28"/>
      <c r="F2859" s="28"/>
      <c r="I2859" s="28" t="str">
        <f aca="false">IF(A2859="","",D2859*E2859)</f>
        <v/>
      </c>
      <c r="J2859" s="28" t="str">
        <f aca="false">IF(A2859="","",D2859*F2859)</f>
        <v/>
      </c>
      <c r="K2859" s="0" t="str">
        <f aca="false">IF(A2859="","",YEAR(A2859))</f>
        <v/>
      </c>
      <c r="L2859" s="0" t="str">
        <f aca="false">IF(A2859="","",MONTH(A2859))</f>
        <v/>
      </c>
    </row>
    <row r="2860" customFormat="false" ht="15" hidden="false" customHeight="false" outlineLevel="0" collapsed="false">
      <c r="A2860" s="27"/>
      <c r="E2860" s="28"/>
      <c r="F2860" s="28"/>
      <c r="I2860" s="28" t="str">
        <f aca="false">IF(A2860="","",D2860*E2860)</f>
        <v/>
      </c>
      <c r="J2860" s="28" t="str">
        <f aca="false">IF(A2860="","",D2860*F2860)</f>
        <v/>
      </c>
      <c r="K2860" s="0" t="str">
        <f aca="false">IF(A2860="","",YEAR(A2860))</f>
        <v/>
      </c>
      <c r="L2860" s="0" t="str">
        <f aca="false">IF(A2860="","",MONTH(A2860))</f>
        <v/>
      </c>
    </row>
    <row r="2861" customFormat="false" ht="15" hidden="false" customHeight="false" outlineLevel="0" collapsed="false">
      <c r="A2861" s="27"/>
      <c r="E2861" s="28"/>
      <c r="F2861" s="28"/>
      <c r="I2861" s="28" t="str">
        <f aca="false">IF(A2861="","",D2861*E2861)</f>
        <v/>
      </c>
      <c r="J2861" s="28" t="str">
        <f aca="false">IF(A2861="","",D2861*F2861)</f>
        <v/>
      </c>
      <c r="K2861" s="0" t="str">
        <f aca="false">IF(A2861="","",YEAR(A2861))</f>
        <v/>
      </c>
      <c r="L2861" s="0" t="str">
        <f aca="false">IF(A2861="","",MONTH(A2861))</f>
        <v/>
      </c>
    </row>
    <row r="2862" customFormat="false" ht="15" hidden="false" customHeight="false" outlineLevel="0" collapsed="false">
      <c r="A2862" s="27"/>
      <c r="E2862" s="28"/>
      <c r="F2862" s="28"/>
      <c r="I2862" s="28" t="str">
        <f aca="false">IF(A2862="","",D2862*E2862)</f>
        <v/>
      </c>
      <c r="J2862" s="28" t="str">
        <f aca="false">IF(A2862="","",D2862*F2862)</f>
        <v/>
      </c>
      <c r="K2862" s="0" t="str">
        <f aca="false">IF(A2862="","",YEAR(A2862))</f>
        <v/>
      </c>
      <c r="L2862" s="0" t="str">
        <f aca="false">IF(A2862="","",MONTH(A2862))</f>
        <v/>
      </c>
    </row>
    <row r="2863" customFormat="false" ht="15" hidden="false" customHeight="false" outlineLevel="0" collapsed="false">
      <c r="A2863" s="27"/>
      <c r="E2863" s="28"/>
      <c r="F2863" s="28"/>
      <c r="I2863" s="28" t="str">
        <f aca="false">IF(A2863="","",D2863*E2863)</f>
        <v/>
      </c>
      <c r="J2863" s="28" t="str">
        <f aca="false">IF(A2863="","",D2863*F2863)</f>
        <v/>
      </c>
      <c r="K2863" s="0" t="str">
        <f aca="false">IF(A2863="","",YEAR(A2863))</f>
        <v/>
      </c>
      <c r="L2863" s="0" t="str">
        <f aca="false">IF(A2863="","",MONTH(A2863))</f>
        <v/>
      </c>
    </row>
    <row r="2864" customFormat="false" ht="15" hidden="false" customHeight="false" outlineLevel="0" collapsed="false">
      <c r="A2864" s="27"/>
      <c r="E2864" s="28"/>
      <c r="F2864" s="28"/>
      <c r="I2864" s="28" t="str">
        <f aca="false">IF(A2864="","",D2864*E2864)</f>
        <v/>
      </c>
      <c r="J2864" s="28" t="str">
        <f aca="false">IF(A2864="","",D2864*F2864)</f>
        <v/>
      </c>
      <c r="K2864" s="0" t="str">
        <f aca="false">IF(A2864="","",YEAR(A2864))</f>
        <v/>
      </c>
      <c r="L2864" s="0" t="str">
        <f aca="false">IF(A2864="","",MONTH(A2864))</f>
        <v/>
      </c>
    </row>
    <row r="2865" customFormat="false" ht="15" hidden="false" customHeight="false" outlineLevel="0" collapsed="false">
      <c r="A2865" s="27"/>
      <c r="E2865" s="28"/>
      <c r="F2865" s="28"/>
      <c r="I2865" s="28" t="str">
        <f aca="false">IF(A2865="","",D2865*E2865)</f>
        <v/>
      </c>
      <c r="J2865" s="28" t="str">
        <f aca="false">IF(A2865="","",D2865*F2865)</f>
        <v/>
      </c>
      <c r="K2865" s="0" t="str">
        <f aca="false">IF(A2865="","",YEAR(A2865))</f>
        <v/>
      </c>
      <c r="L2865" s="0" t="str">
        <f aca="false">IF(A2865="","",MONTH(A2865))</f>
        <v/>
      </c>
    </row>
    <row r="2866" customFormat="false" ht="15" hidden="false" customHeight="false" outlineLevel="0" collapsed="false">
      <c r="A2866" s="27"/>
      <c r="E2866" s="28"/>
      <c r="F2866" s="28"/>
      <c r="I2866" s="28" t="str">
        <f aca="false">IF(A2866="","",D2866*E2866)</f>
        <v/>
      </c>
      <c r="J2866" s="28" t="str">
        <f aca="false">IF(A2866="","",D2866*F2866)</f>
        <v/>
      </c>
      <c r="K2866" s="0" t="str">
        <f aca="false">IF(A2866="","",YEAR(A2866))</f>
        <v/>
      </c>
      <c r="L2866" s="0" t="str">
        <f aca="false">IF(A2866="","",MONTH(A2866))</f>
        <v/>
      </c>
    </row>
    <row r="2867" customFormat="false" ht="15" hidden="false" customHeight="false" outlineLevel="0" collapsed="false">
      <c r="A2867" s="27"/>
      <c r="E2867" s="28"/>
      <c r="F2867" s="28"/>
      <c r="I2867" s="28" t="str">
        <f aca="false">IF(A2867="","",D2867*E2867)</f>
        <v/>
      </c>
      <c r="J2867" s="28" t="str">
        <f aca="false">IF(A2867="","",D2867*F2867)</f>
        <v/>
      </c>
      <c r="K2867" s="0" t="str">
        <f aca="false">IF(A2867="","",YEAR(A2867))</f>
        <v/>
      </c>
      <c r="L2867" s="0" t="str">
        <f aca="false">IF(A2867="","",MONTH(A2867))</f>
        <v/>
      </c>
    </row>
    <row r="2868" customFormat="false" ht="15" hidden="false" customHeight="false" outlineLevel="0" collapsed="false">
      <c r="A2868" s="27"/>
      <c r="E2868" s="28"/>
      <c r="F2868" s="28"/>
      <c r="I2868" s="28" t="str">
        <f aca="false">IF(A2868="","",D2868*E2868)</f>
        <v/>
      </c>
      <c r="J2868" s="28" t="str">
        <f aca="false">IF(A2868="","",D2868*F2868)</f>
        <v/>
      </c>
      <c r="K2868" s="0" t="str">
        <f aca="false">IF(A2868="","",YEAR(A2868))</f>
        <v/>
      </c>
      <c r="L2868" s="0" t="str">
        <f aca="false">IF(A2868="","",MONTH(A2868))</f>
        <v/>
      </c>
    </row>
    <row r="2869" customFormat="false" ht="15" hidden="false" customHeight="false" outlineLevel="0" collapsed="false">
      <c r="A2869" s="27"/>
      <c r="E2869" s="28"/>
      <c r="F2869" s="28"/>
      <c r="I2869" s="28" t="str">
        <f aca="false">IF(A2869="","",D2869*E2869)</f>
        <v/>
      </c>
      <c r="J2869" s="28" t="str">
        <f aca="false">IF(A2869="","",D2869*F2869)</f>
        <v/>
      </c>
      <c r="K2869" s="0" t="str">
        <f aca="false">IF(A2869="","",YEAR(A2869))</f>
        <v/>
      </c>
      <c r="L2869" s="0" t="str">
        <f aca="false">IF(A2869="","",MONTH(A2869))</f>
        <v/>
      </c>
    </row>
    <row r="2870" customFormat="false" ht="15" hidden="false" customHeight="false" outlineLevel="0" collapsed="false">
      <c r="A2870" s="27"/>
      <c r="E2870" s="28"/>
      <c r="F2870" s="28"/>
      <c r="I2870" s="28" t="str">
        <f aca="false">IF(A2870="","",D2870*E2870)</f>
        <v/>
      </c>
      <c r="J2870" s="28" t="str">
        <f aca="false">IF(A2870="","",D2870*F2870)</f>
        <v/>
      </c>
      <c r="K2870" s="0" t="str">
        <f aca="false">IF(A2870="","",YEAR(A2870))</f>
        <v/>
      </c>
      <c r="L2870" s="0" t="str">
        <f aca="false">IF(A2870="","",MONTH(A2870))</f>
        <v/>
      </c>
    </row>
    <row r="2871" customFormat="false" ht="15" hidden="false" customHeight="false" outlineLevel="0" collapsed="false">
      <c r="A2871" s="27"/>
      <c r="E2871" s="28"/>
      <c r="F2871" s="28"/>
      <c r="I2871" s="28" t="str">
        <f aca="false">IF(A2871="","",D2871*E2871)</f>
        <v/>
      </c>
      <c r="J2871" s="28" t="str">
        <f aca="false">IF(A2871="","",D2871*F2871)</f>
        <v/>
      </c>
      <c r="K2871" s="0" t="str">
        <f aca="false">IF(A2871="","",YEAR(A2871))</f>
        <v/>
      </c>
      <c r="L2871" s="0" t="str">
        <f aca="false">IF(A2871="","",MONTH(A2871))</f>
        <v/>
      </c>
    </row>
    <row r="2872" customFormat="false" ht="15" hidden="false" customHeight="false" outlineLevel="0" collapsed="false">
      <c r="A2872" s="27"/>
      <c r="E2872" s="28"/>
      <c r="F2872" s="28"/>
      <c r="I2872" s="28" t="str">
        <f aca="false">IF(A2872="","",D2872*E2872)</f>
        <v/>
      </c>
      <c r="J2872" s="28" t="str">
        <f aca="false">IF(A2872="","",D2872*F2872)</f>
        <v/>
      </c>
      <c r="K2872" s="0" t="str">
        <f aca="false">IF(A2872="","",YEAR(A2872))</f>
        <v/>
      </c>
      <c r="L2872" s="0" t="str">
        <f aca="false">IF(A2872="","",MONTH(A2872))</f>
        <v/>
      </c>
    </row>
    <row r="2873" customFormat="false" ht="15" hidden="false" customHeight="false" outlineLevel="0" collapsed="false">
      <c r="A2873" s="27"/>
      <c r="E2873" s="28"/>
      <c r="F2873" s="28"/>
      <c r="I2873" s="28" t="str">
        <f aca="false">IF(A2873="","",D2873*E2873)</f>
        <v/>
      </c>
      <c r="J2873" s="28" t="str">
        <f aca="false">IF(A2873="","",D2873*F2873)</f>
        <v/>
      </c>
      <c r="K2873" s="0" t="str">
        <f aca="false">IF(A2873="","",YEAR(A2873))</f>
        <v/>
      </c>
      <c r="L2873" s="0" t="str">
        <f aca="false">IF(A2873="","",MONTH(A2873))</f>
        <v/>
      </c>
    </row>
    <row r="2874" customFormat="false" ht="15" hidden="false" customHeight="false" outlineLevel="0" collapsed="false">
      <c r="A2874" s="27"/>
      <c r="E2874" s="28"/>
      <c r="F2874" s="28"/>
      <c r="I2874" s="28" t="str">
        <f aca="false">IF(A2874="","",D2874*E2874)</f>
        <v/>
      </c>
      <c r="J2874" s="28" t="str">
        <f aca="false">IF(A2874="","",D2874*F2874)</f>
        <v/>
      </c>
      <c r="K2874" s="0" t="str">
        <f aca="false">IF(A2874="","",YEAR(A2874))</f>
        <v/>
      </c>
      <c r="L2874" s="0" t="str">
        <f aca="false">IF(A2874="","",MONTH(A2874))</f>
        <v/>
      </c>
    </row>
    <row r="2875" customFormat="false" ht="15" hidden="false" customHeight="false" outlineLevel="0" collapsed="false">
      <c r="A2875" s="27"/>
      <c r="E2875" s="28"/>
      <c r="F2875" s="28"/>
      <c r="I2875" s="28" t="str">
        <f aca="false">IF(A2875="","",D2875*E2875)</f>
        <v/>
      </c>
      <c r="J2875" s="28" t="str">
        <f aca="false">IF(A2875="","",D2875*F2875)</f>
        <v/>
      </c>
      <c r="K2875" s="0" t="str">
        <f aca="false">IF(A2875="","",YEAR(A2875))</f>
        <v/>
      </c>
      <c r="L2875" s="0" t="str">
        <f aca="false">IF(A2875="","",MONTH(A2875))</f>
        <v/>
      </c>
    </row>
    <row r="2876" customFormat="false" ht="15" hidden="false" customHeight="false" outlineLevel="0" collapsed="false">
      <c r="A2876" s="27"/>
      <c r="E2876" s="28"/>
      <c r="F2876" s="28"/>
      <c r="I2876" s="28" t="str">
        <f aca="false">IF(A2876="","",D2876*E2876)</f>
        <v/>
      </c>
      <c r="J2876" s="28" t="str">
        <f aca="false">IF(A2876="","",D2876*F2876)</f>
        <v/>
      </c>
      <c r="K2876" s="0" t="str">
        <f aca="false">IF(A2876="","",YEAR(A2876))</f>
        <v/>
      </c>
      <c r="L2876" s="0" t="str">
        <f aca="false">IF(A2876="","",MONTH(A2876))</f>
        <v/>
      </c>
    </row>
    <row r="2877" customFormat="false" ht="15" hidden="false" customHeight="false" outlineLevel="0" collapsed="false">
      <c r="A2877" s="27"/>
      <c r="E2877" s="28"/>
      <c r="F2877" s="28"/>
      <c r="I2877" s="28" t="str">
        <f aca="false">IF(A2877="","",D2877*E2877)</f>
        <v/>
      </c>
      <c r="J2877" s="28" t="str">
        <f aca="false">IF(A2877="","",D2877*F2877)</f>
        <v/>
      </c>
      <c r="K2877" s="0" t="str">
        <f aca="false">IF(A2877="","",YEAR(A2877))</f>
        <v/>
      </c>
      <c r="L2877" s="0" t="str">
        <f aca="false">IF(A2877="","",MONTH(A2877))</f>
        <v/>
      </c>
    </row>
    <row r="2878" customFormat="false" ht="15" hidden="false" customHeight="false" outlineLevel="0" collapsed="false">
      <c r="A2878" s="27"/>
      <c r="E2878" s="28"/>
      <c r="F2878" s="28"/>
      <c r="I2878" s="28" t="str">
        <f aca="false">IF(A2878="","",D2878*E2878)</f>
        <v/>
      </c>
      <c r="J2878" s="28" t="str">
        <f aca="false">IF(A2878="","",D2878*F2878)</f>
        <v/>
      </c>
      <c r="K2878" s="0" t="str">
        <f aca="false">IF(A2878="","",YEAR(A2878))</f>
        <v/>
      </c>
      <c r="L2878" s="0" t="str">
        <f aca="false">IF(A2878="","",MONTH(A2878))</f>
        <v/>
      </c>
    </row>
    <row r="2879" customFormat="false" ht="15" hidden="false" customHeight="false" outlineLevel="0" collapsed="false">
      <c r="A2879" s="27"/>
      <c r="E2879" s="28"/>
      <c r="F2879" s="28"/>
      <c r="I2879" s="28" t="str">
        <f aca="false">IF(A2879="","",D2879*E2879)</f>
        <v/>
      </c>
      <c r="J2879" s="28" t="str">
        <f aca="false">IF(A2879="","",D2879*F2879)</f>
        <v/>
      </c>
      <c r="K2879" s="0" t="str">
        <f aca="false">IF(A2879="","",YEAR(A2879))</f>
        <v/>
      </c>
      <c r="L2879" s="0" t="str">
        <f aca="false">IF(A2879="","",MONTH(A2879))</f>
        <v/>
      </c>
    </row>
    <row r="2880" customFormat="false" ht="15" hidden="false" customHeight="false" outlineLevel="0" collapsed="false">
      <c r="A2880" s="27"/>
      <c r="E2880" s="28"/>
      <c r="F2880" s="28"/>
      <c r="I2880" s="28" t="str">
        <f aca="false">IF(A2880="","",D2880*E2880)</f>
        <v/>
      </c>
      <c r="J2880" s="28" t="str">
        <f aca="false">IF(A2880="","",D2880*F2880)</f>
        <v/>
      </c>
      <c r="K2880" s="0" t="str">
        <f aca="false">IF(A2880="","",YEAR(A2880))</f>
        <v/>
      </c>
      <c r="L2880" s="0" t="str">
        <f aca="false">IF(A2880="","",MONTH(A2880))</f>
        <v/>
      </c>
    </row>
    <row r="2881" customFormat="false" ht="15" hidden="false" customHeight="false" outlineLevel="0" collapsed="false">
      <c r="A2881" s="27"/>
      <c r="E2881" s="28"/>
      <c r="F2881" s="28"/>
      <c r="I2881" s="28" t="str">
        <f aca="false">IF(A2881="","",D2881*E2881)</f>
        <v/>
      </c>
      <c r="J2881" s="28" t="str">
        <f aca="false">IF(A2881="","",D2881*F2881)</f>
        <v/>
      </c>
      <c r="K2881" s="0" t="str">
        <f aca="false">IF(A2881="","",YEAR(A2881))</f>
        <v/>
      </c>
      <c r="L2881" s="0" t="str">
        <f aca="false">IF(A2881="","",MONTH(A2881))</f>
        <v/>
      </c>
    </row>
    <row r="2882" customFormat="false" ht="15" hidden="false" customHeight="false" outlineLevel="0" collapsed="false">
      <c r="A2882" s="27"/>
      <c r="E2882" s="28"/>
      <c r="F2882" s="28"/>
      <c r="I2882" s="28" t="str">
        <f aca="false">IF(A2882="","",D2882*E2882)</f>
        <v/>
      </c>
      <c r="J2882" s="28" t="str">
        <f aca="false">IF(A2882="","",D2882*F2882)</f>
        <v/>
      </c>
      <c r="K2882" s="0" t="str">
        <f aca="false">IF(A2882="","",YEAR(A2882))</f>
        <v/>
      </c>
      <c r="L2882" s="0" t="str">
        <f aca="false">IF(A2882="","",MONTH(A2882))</f>
        <v/>
      </c>
    </row>
    <row r="2883" customFormat="false" ht="15" hidden="false" customHeight="false" outlineLevel="0" collapsed="false">
      <c r="A2883" s="27"/>
      <c r="E2883" s="28"/>
      <c r="F2883" s="28"/>
      <c r="I2883" s="28" t="str">
        <f aca="false">IF(A2883="","",D2883*E2883)</f>
        <v/>
      </c>
      <c r="J2883" s="28" t="str">
        <f aca="false">IF(A2883="","",D2883*F2883)</f>
        <v/>
      </c>
      <c r="K2883" s="0" t="str">
        <f aca="false">IF(A2883="","",YEAR(A2883))</f>
        <v/>
      </c>
      <c r="L2883" s="0" t="str">
        <f aca="false">IF(A2883="","",MONTH(A2883))</f>
        <v/>
      </c>
    </row>
    <row r="2884" customFormat="false" ht="15" hidden="false" customHeight="false" outlineLevel="0" collapsed="false">
      <c r="A2884" s="27"/>
      <c r="E2884" s="28"/>
      <c r="F2884" s="28"/>
      <c r="I2884" s="28" t="str">
        <f aca="false">IF(A2884="","",D2884*E2884)</f>
        <v/>
      </c>
      <c r="J2884" s="28" t="str">
        <f aca="false">IF(A2884="","",D2884*F2884)</f>
        <v/>
      </c>
      <c r="K2884" s="0" t="str">
        <f aca="false">IF(A2884="","",YEAR(A2884))</f>
        <v/>
      </c>
      <c r="L2884" s="0" t="str">
        <f aca="false">IF(A2884="","",MONTH(A2884))</f>
        <v/>
      </c>
    </row>
    <row r="2885" customFormat="false" ht="15" hidden="false" customHeight="false" outlineLevel="0" collapsed="false">
      <c r="A2885" s="27"/>
      <c r="E2885" s="28"/>
      <c r="F2885" s="28"/>
      <c r="I2885" s="28" t="str">
        <f aca="false">IF(A2885="","",D2885*E2885)</f>
        <v/>
      </c>
      <c r="J2885" s="28" t="str">
        <f aca="false">IF(A2885="","",D2885*F2885)</f>
        <v/>
      </c>
      <c r="K2885" s="0" t="str">
        <f aca="false">IF(A2885="","",YEAR(A2885))</f>
        <v/>
      </c>
      <c r="L2885" s="0" t="str">
        <f aca="false">IF(A2885="","",MONTH(A2885))</f>
        <v/>
      </c>
    </row>
    <row r="2886" customFormat="false" ht="15" hidden="false" customHeight="false" outlineLevel="0" collapsed="false">
      <c r="A2886" s="27"/>
      <c r="E2886" s="28"/>
      <c r="F2886" s="28"/>
      <c r="I2886" s="28" t="str">
        <f aca="false">IF(A2886="","",D2886*E2886)</f>
        <v/>
      </c>
      <c r="J2886" s="28" t="str">
        <f aca="false">IF(A2886="","",D2886*F2886)</f>
        <v/>
      </c>
      <c r="K2886" s="0" t="str">
        <f aca="false">IF(A2886="","",YEAR(A2886))</f>
        <v/>
      </c>
      <c r="L2886" s="0" t="str">
        <f aca="false">IF(A2886="","",MONTH(A2886))</f>
        <v/>
      </c>
    </row>
    <row r="2887" customFormat="false" ht="15" hidden="false" customHeight="false" outlineLevel="0" collapsed="false">
      <c r="A2887" s="27"/>
      <c r="E2887" s="28"/>
      <c r="F2887" s="28"/>
      <c r="I2887" s="28" t="str">
        <f aca="false">IF(A2887="","",D2887*E2887)</f>
        <v/>
      </c>
      <c r="J2887" s="28" t="str">
        <f aca="false">IF(A2887="","",D2887*F2887)</f>
        <v/>
      </c>
      <c r="K2887" s="0" t="str">
        <f aca="false">IF(A2887="","",YEAR(A2887))</f>
        <v/>
      </c>
      <c r="L2887" s="0" t="str">
        <f aca="false">IF(A2887="","",MONTH(A2887))</f>
        <v/>
      </c>
    </row>
    <row r="2888" customFormat="false" ht="15" hidden="false" customHeight="false" outlineLevel="0" collapsed="false">
      <c r="A2888" s="27"/>
      <c r="E2888" s="28"/>
      <c r="F2888" s="28"/>
      <c r="I2888" s="28" t="str">
        <f aca="false">IF(A2888="","",D2888*E2888)</f>
        <v/>
      </c>
      <c r="J2888" s="28" t="str">
        <f aca="false">IF(A2888="","",D2888*F2888)</f>
        <v/>
      </c>
      <c r="K2888" s="0" t="str">
        <f aca="false">IF(A2888="","",YEAR(A2888))</f>
        <v/>
      </c>
      <c r="L2888" s="0" t="str">
        <f aca="false">IF(A2888="","",MONTH(A2888))</f>
        <v/>
      </c>
    </row>
    <row r="2889" customFormat="false" ht="15" hidden="false" customHeight="false" outlineLevel="0" collapsed="false">
      <c r="A2889" s="27"/>
      <c r="E2889" s="28"/>
      <c r="F2889" s="28"/>
      <c r="I2889" s="28" t="str">
        <f aca="false">IF(A2889="","",D2889*E2889)</f>
        <v/>
      </c>
      <c r="J2889" s="28" t="str">
        <f aca="false">IF(A2889="","",D2889*F2889)</f>
        <v/>
      </c>
      <c r="K2889" s="0" t="str">
        <f aca="false">IF(A2889="","",YEAR(A2889))</f>
        <v/>
      </c>
      <c r="L2889" s="0" t="str">
        <f aca="false">IF(A2889="","",MONTH(A2889))</f>
        <v/>
      </c>
    </row>
    <row r="2890" customFormat="false" ht="15" hidden="false" customHeight="false" outlineLevel="0" collapsed="false">
      <c r="A2890" s="27"/>
      <c r="E2890" s="28"/>
      <c r="F2890" s="28"/>
      <c r="I2890" s="28" t="str">
        <f aca="false">IF(A2890="","",D2890*E2890)</f>
        <v/>
      </c>
      <c r="J2890" s="28" t="str">
        <f aca="false">IF(A2890="","",D2890*F2890)</f>
        <v/>
      </c>
      <c r="K2890" s="0" t="str">
        <f aca="false">IF(A2890="","",YEAR(A2890))</f>
        <v/>
      </c>
      <c r="L2890" s="0" t="str">
        <f aca="false">IF(A2890="","",MONTH(A2890))</f>
        <v/>
      </c>
    </row>
    <row r="2891" customFormat="false" ht="15" hidden="false" customHeight="false" outlineLevel="0" collapsed="false">
      <c r="A2891" s="27"/>
      <c r="E2891" s="28"/>
      <c r="F2891" s="28"/>
      <c r="I2891" s="28" t="str">
        <f aca="false">IF(A2891="","",D2891*E2891)</f>
        <v/>
      </c>
      <c r="J2891" s="28" t="str">
        <f aca="false">IF(A2891="","",D2891*F2891)</f>
        <v/>
      </c>
      <c r="K2891" s="0" t="str">
        <f aca="false">IF(A2891="","",YEAR(A2891))</f>
        <v/>
      </c>
      <c r="L2891" s="0" t="str">
        <f aca="false">IF(A2891="","",MONTH(A2891))</f>
        <v/>
      </c>
    </row>
    <row r="2892" customFormat="false" ht="15" hidden="false" customHeight="false" outlineLevel="0" collapsed="false">
      <c r="A2892" s="27"/>
      <c r="E2892" s="28"/>
      <c r="F2892" s="28"/>
      <c r="I2892" s="28" t="str">
        <f aca="false">IF(A2892="","",D2892*E2892)</f>
        <v/>
      </c>
      <c r="J2892" s="28" t="str">
        <f aca="false">IF(A2892="","",D2892*F2892)</f>
        <v/>
      </c>
      <c r="K2892" s="0" t="str">
        <f aca="false">IF(A2892="","",YEAR(A2892))</f>
        <v/>
      </c>
      <c r="L2892" s="0" t="str">
        <f aca="false">IF(A2892="","",MONTH(A2892))</f>
        <v/>
      </c>
    </row>
    <row r="2893" customFormat="false" ht="15" hidden="false" customHeight="false" outlineLevel="0" collapsed="false">
      <c r="A2893" s="27"/>
      <c r="E2893" s="28"/>
      <c r="F2893" s="28"/>
      <c r="I2893" s="28" t="str">
        <f aca="false">IF(A2893="","",D2893*E2893)</f>
        <v/>
      </c>
      <c r="J2893" s="28" t="str">
        <f aca="false">IF(A2893="","",D2893*F2893)</f>
        <v/>
      </c>
      <c r="K2893" s="0" t="str">
        <f aca="false">IF(A2893="","",YEAR(A2893))</f>
        <v/>
      </c>
      <c r="L2893" s="0" t="str">
        <f aca="false">IF(A2893="","",MONTH(A2893))</f>
        <v/>
      </c>
    </row>
    <row r="2894" customFormat="false" ht="15" hidden="false" customHeight="false" outlineLevel="0" collapsed="false">
      <c r="A2894" s="27"/>
      <c r="E2894" s="28"/>
      <c r="F2894" s="28"/>
      <c r="I2894" s="28" t="str">
        <f aca="false">IF(A2894="","",D2894*E2894)</f>
        <v/>
      </c>
      <c r="J2894" s="28" t="str">
        <f aca="false">IF(A2894="","",D2894*F2894)</f>
        <v/>
      </c>
      <c r="K2894" s="0" t="str">
        <f aca="false">IF(A2894="","",YEAR(A2894))</f>
        <v/>
      </c>
      <c r="L2894" s="0" t="str">
        <f aca="false">IF(A2894="","",MONTH(A2894))</f>
        <v/>
      </c>
    </row>
    <row r="2895" customFormat="false" ht="15" hidden="false" customHeight="false" outlineLevel="0" collapsed="false">
      <c r="A2895" s="27"/>
      <c r="E2895" s="28"/>
      <c r="F2895" s="28"/>
      <c r="I2895" s="28" t="str">
        <f aca="false">IF(A2895="","",D2895*E2895)</f>
        <v/>
      </c>
      <c r="J2895" s="28" t="str">
        <f aca="false">IF(A2895="","",D2895*F2895)</f>
        <v/>
      </c>
      <c r="K2895" s="0" t="str">
        <f aca="false">IF(A2895="","",YEAR(A2895))</f>
        <v/>
      </c>
      <c r="L2895" s="0" t="str">
        <f aca="false">IF(A2895="","",MONTH(A2895))</f>
        <v/>
      </c>
    </row>
    <row r="2896" customFormat="false" ht="15" hidden="false" customHeight="false" outlineLevel="0" collapsed="false">
      <c r="A2896" s="27"/>
      <c r="E2896" s="28"/>
      <c r="F2896" s="28"/>
      <c r="I2896" s="28" t="str">
        <f aca="false">IF(A2896="","",D2896*E2896)</f>
        <v/>
      </c>
      <c r="J2896" s="28" t="str">
        <f aca="false">IF(A2896="","",D2896*F2896)</f>
        <v/>
      </c>
      <c r="K2896" s="0" t="str">
        <f aca="false">IF(A2896="","",YEAR(A2896))</f>
        <v/>
      </c>
      <c r="L2896" s="0" t="str">
        <f aca="false">IF(A2896="","",MONTH(A2896))</f>
        <v/>
      </c>
    </row>
    <row r="2897" customFormat="false" ht="15" hidden="false" customHeight="false" outlineLevel="0" collapsed="false">
      <c r="A2897" s="27"/>
      <c r="E2897" s="28"/>
      <c r="F2897" s="28"/>
      <c r="I2897" s="28" t="str">
        <f aca="false">IF(A2897="","",D2897*E2897)</f>
        <v/>
      </c>
      <c r="J2897" s="28" t="str">
        <f aca="false">IF(A2897="","",D2897*F2897)</f>
        <v/>
      </c>
      <c r="K2897" s="0" t="str">
        <f aca="false">IF(A2897="","",YEAR(A2897))</f>
        <v/>
      </c>
      <c r="L2897" s="0" t="str">
        <f aca="false">IF(A2897="","",MONTH(A2897))</f>
        <v/>
      </c>
    </row>
    <row r="2898" customFormat="false" ht="15" hidden="false" customHeight="false" outlineLevel="0" collapsed="false">
      <c r="A2898" s="27"/>
      <c r="E2898" s="28"/>
      <c r="F2898" s="28"/>
      <c r="I2898" s="28" t="str">
        <f aca="false">IF(A2898="","",D2898*E2898)</f>
        <v/>
      </c>
      <c r="J2898" s="28" t="str">
        <f aca="false">IF(A2898="","",D2898*F2898)</f>
        <v/>
      </c>
      <c r="K2898" s="0" t="str">
        <f aca="false">IF(A2898="","",YEAR(A2898))</f>
        <v/>
      </c>
      <c r="L2898" s="0" t="str">
        <f aca="false">IF(A2898="","",MONTH(A2898))</f>
        <v/>
      </c>
    </row>
    <row r="2899" customFormat="false" ht="15" hidden="false" customHeight="false" outlineLevel="0" collapsed="false">
      <c r="A2899" s="27"/>
      <c r="E2899" s="28"/>
      <c r="F2899" s="28"/>
      <c r="I2899" s="28" t="str">
        <f aca="false">IF(A2899="","",D2899*E2899)</f>
        <v/>
      </c>
      <c r="J2899" s="28" t="str">
        <f aca="false">IF(A2899="","",D2899*F2899)</f>
        <v/>
      </c>
      <c r="K2899" s="0" t="str">
        <f aca="false">IF(A2899="","",YEAR(A2899))</f>
        <v/>
      </c>
      <c r="L2899" s="0" t="str">
        <f aca="false">IF(A2899="","",MONTH(A2899))</f>
        <v/>
      </c>
    </row>
    <row r="2900" customFormat="false" ht="15" hidden="false" customHeight="false" outlineLevel="0" collapsed="false">
      <c r="A2900" s="27"/>
      <c r="E2900" s="28"/>
      <c r="F2900" s="28"/>
      <c r="I2900" s="28" t="str">
        <f aca="false">IF(A2900="","",D2900*E2900)</f>
        <v/>
      </c>
      <c r="J2900" s="28" t="str">
        <f aca="false">IF(A2900="","",D2900*F2900)</f>
        <v/>
      </c>
      <c r="K2900" s="0" t="str">
        <f aca="false">IF(A2900="","",YEAR(A2900))</f>
        <v/>
      </c>
      <c r="L2900" s="0" t="str">
        <f aca="false">IF(A2900="","",MONTH(A2900))</f>
        <v/>
      </c>
    </row>
    <row r="2901" customFormat="false" ht="15" hidden="false" customHeight="false" outlineLevel="0" collapsed="false">
      <c r="A2901" s="27"/>
      <c r="E2901" s="28"/>
      <c r="F2901" s="28"/>
      <c r="I2901" s="28" t="str">
        <f aca="false">IF(A2901="","",D2901*E2901)</f>
        <v/>
      </c>
      <c r="J2901" s="28" t="str">
        <f aca="false">IF(A2901="","",D2901*F2901)</f>
        <v/>
      </c>
      <c r="K2901" s="0" t="str">
        <f aca="false">IF(A2901="","",YEAR(A2901))</f>
        <v/>
      </c>
      <c r="L2901" s="0" t="str">
        <f aca="false">IF(A2901="","",MONTH(A2901))</f>
        <v/>
      </c>
    </row>
    <row r="2902" customFormat="false" ht="15" hidden="false" customHeight="false" outlineLevel="0" collapsed="false">
      <c r="A2902" s="27"/>
      <c r="E2902" s="28"/>
      <c r="F2902" s="28"/>
      <c r="I2902" s="28" t="str">
        <f aca="false">IF(A2902="","",D2902*E2902)</f>
        <v/>
      </c>
      <c r="J2902" s="28" t="str">
        <f aca="false">IF(A2902="","",D2902*F2902)</f>
        <v/>
      </c>
      <c r="K2902" s="0" t="str">
        <f aca="false">IF(A2902="","",YEAR(A2902))</f>
        <v/>
      </c>
      <c r="L2902" s="0" t="str">
        <f aca="false">IF(A2902="","",MONTH(A2902))</f>
        <v/>
      </c>
    </row>
    <row r="2903" customFormat="false" ht="15" hidden="false" customHeight="false" outlineLevel="0" collapsed="false">
      <c r="A2903" s="27"/>
      <c r="E2903" s="28"/>
      <c r="F2903" s="28"/>
      <c r="I2903" s="28" t="str">
        <f aca="false">IF(A2903="","",D2903*E2903)</f>
        <v/>
      </c>
      <c r="J2903" s="28" t="str">
        <f aca="false">IF(A2903="","",D2903*F2903)</f>
        <v/>
      </c>
      <c r="K2903" s="0" t="str">
        <f aca="false">IF(A2903="","",YEAR(A2903))</f>
        <v/>
      </c>
      <c r="L2903" s="0" t="str">
        <f aca="false">IF(A2903="","",MONTH(A2903))</f>
        <v/>
      </c>
    </row>
    <row r="2904" customFormat="false" ht="15" hidden="false" customHeight="false" outlineLevel="0" collapsed="false">
      <c r="A2904" s="27"/>
      <c r="E2904" s="28"/>
      <c r="F2904" s="28"/>
      <c r="I2904" s="28" t="str">
        <f aca="false">IF(A2904="","",D2904*E2904)</f>
        <v/>
      </c>
      <c r="J2904" s="28" t="str">
        <f aca="false">IF(A2904="","",D2904*F2904)</f>
        <v/>
      </c>
      <c r="K2904" s="0" t="str">
        <f aca="false">IF(A2904="","",YEAR(A2904))</f>
        <v/>
      </c>
      <c r="L2904" s="0" t="str">
        <f aca="false">IF(A2904="","",MONTH(A2904))</f>
        <v/>
      </c>
    </row>
    <row r="2905" customFormat="false" ht="15" hidden="false" customHeight="false" outlineLevel="0" collapsed="false">
      <c r="A2905" s="27"/>
      <c r="E2905" s="28"/>
      <c r="F2905" s="28"/>
      <c r="I2905" s="28" t="str">
        <f aca="false">IF(A2905="","",D2905*E2905)</f>
        <v/>
      </c>
      <c r="J2905" s="28" t="str">
        <f aca="false">IF(A2905="","",D2905*F2905)</f>
        <v/>
      </c>
      <c r="K2905" s="0" t="str">
        <f aca="false">IF(A2905="","",YEAR(A2905))</f>
        <v/>
      </c>
      <c r="L2905" s="0" t="str">
        <f aca="false">IF(A2905="","",MONTH(A2905))</f>
        <v/>
      </c>
    </row>
    <row r="2906" customFormat="false" ht="15" hidden="false" customHeight="false" outlineLevel="0" collapsed="false">
      <c r="A2906" s="27"/>
      <c r="E2906" s="28"/>
      <c r="F2906" s="28"/>
      <c r="I2906" s="28" t="str">
        <f aca="false">IF(A2906="","",D2906*E2906)</f>
        <v/>
      </c>
      <c r="J2906" s="28" t="str">
        <f aca="false">IF(A2906="","",D2906*F2906)</f>
        <v/>
      </c>
      <c r="K2906" s="0" t="str">
        <f aca="false">IF(A2906="","",YEAR(A2906))</f>
        <v/>
      </c>
      <c r="L2906" s="0" t="str">
        <f aca="false">IF(A2906="","",MONTH(A2906))</f>
        <v/>
      </c>
    </row>
    <row r="2907" customFormat="false" ht="15" hidden="false" customHeight="false" outlineLevel="0" collapsed="false">
      <c r="A2907" s="27"/>
      <c r="E2907" s="28"/>
      <c r="F2907" s="28"/>
      <c r="I2907" s="28" t="str">
        <f aca="false">IF(A2907="","",D2907*E2907)</f>
        <v/>
      </c>
      <c r="J2907" s="28" t="str">
        <f aca="false">IF(A2907="","",D2907*F2907)</f>
        <v/>
      </c>
      <c r="K2907" s="0" t="str">
        <f aca="false">IF(A2907="","",YEAR(A2907))</f>
        <v/>
      </c>
      <c r="L2907" s="0" t="str">
        <f aca="false">IF(A2907="","",MONTH(A2907))</f>
        <v/>
      </c>
    </row>
    <row r="2908" customFormat="false" ht="15" hidden="false" customHeight="false" outlineLevel="0" collapsed="false">
      <c r="A2908" s="27"/>
      <c r="E2908" s="28"/>
      <c r="F2908" s="28"/>
      <c r="I2908" s="28" t="str">
        <f aca="false">IF(A2908="","",D2908*E2908)</f>
        <v/>
      </c>
      <c r="J2908" s="28" t="str">
        <f aca="false">IF(A2908="","",D2908*F2908)</f>
        <v/>
      </c>
      <c r="K2908" s="0" t="str">
        <f aca="false">IF(A2908="","",YEAR(A2908))</f>
        <v/>
      </c>
      <c r="L2908" s="0" t="str">
        <f aca="false">IF(A2908="","",MONTH(A2908))</f>
        <v/>
      </c>
    </row>
    <row r="2909" customFormat="false" ht="15" hidden="false" customHeight="false" outlineLevel="0" collapsed="false">
      <c r="A2909" s="27"/>
      <c r="E2909" s="28"/>
      <c r="F2909" s="28"/>
      <c r="I2909" s="28" t="str">
        <f aca="false">IF(A2909="","",D2909*E2909)</f>
        <v/>
      </c>
      <c r="J2909" s="28" t="str">
        <f aca="false">IF(A2909="","",D2909*F2909)</f>
        <v/>
      </c>
      <c r="K2909" s="0" t="str">
        <f aca="false">IF(A2909="","",YEAR(A2909))</f>
        <v/>
      </c>
      <c r="L2909" s="0" t="str">
        <f aca="false">IF(A2909="","",MONTH(A2909))</f>
        <v/>
      </c>
    </row>
    <row r="2910" customFormat="false" ht="15" hidden="false" customHeight="false" outlineLevel="0" collapsed="false">
      <c r="A2910" s="27"/>
      <c r="E2910" s="28"/>
      <c r="F2910" s="28"/>
      <c r="I2910" s="28" t="str">
        <f aca="false">IF(A2910="","",D2910*E2910)</f>
        <v/>
      </c>
      <c r="J2910" s="28" t="str">
        <f aca="false">IF(A2910="","",D2910*F2910)</f>
        <v/>
      </c>
      <c r="K2910" s="0" t="str">
        <f aca="false">IF(A2910="","",YEAR(A2910))</f>
        <v/>
      </c>
      <c r="L2910" s="0" t="str">
        <f aca="false">IF(A2910="","",MONTH(A2910))</f>
        <v/>
      </c>
    </row>
    <row r="2911" customFormat="false" ht="15" hidden="false" customHeight="false" outlineLevel="0" collapsed="false">
      <c r="A2911" s="27"/>
      <c r="E2911" s="28"/>
      <c r="F2911" s="28"/>
      <c r="I2911" s="28" t="str">
        <f aca="false">IF(A2911="","",D2911*E2911)</f>
        <v/>
      </c>
      <c r="J2911" s="28" t="str">
        <f aca="false">IF(A2911="","",D2911*F2911)</f>
        <v/>
      </c>
      <c r="K2911" s="0" t="str">
        <f aca="false">IF(A2911="","",YEAR(A2911))</f>
        <v/>
      </c>
      <c r="L2911" s="0" t="str">
        <f aca="false">IF(A2911="","",MONTH(A2911))</f>
        <v/>
      </c>
    </row>
    <row r="2912" customFormat="false" ht="15" hidden="false" customHeight="false" outlineLevel="0" collapsed="false">
      <c r="A2912" s="27"/>
      <c r="E2912" s="28"/>
      <c r="F2912" s="28"/>
      <c r="I2912" s="28" t="str">
        <f aca="false">IF(A2912="","",D2912*E2912)</f>
        <v/>
      </c>
      <c r="J2912" s="28" t="str">
        <f aca="false">IF(A2912="","",D2912*F2912)</f>
        <v/>
      </c>
      <c r="K2912" s="0" t="str">
        <f aca="false">IF(A2912="","",YEAR(A2912))</f>
        <v/>
      </c>
      <c r="L2912" s="0" t="str">
        <f aca="false">IF(A2912="","",MONTH(A2912))</f>
        <v/>
      </c>
    </row>
    <row r="2913" customFormat="false" ht="15" hidden="false" customHeight="false" outlineLevel="0" collapsed="false">
      <c r="A2913" s="27"/>
      <c r="E2913" s="28"/>
      <c r="F2913" s="28"/>
      <c r="I2913" s="28" t="str">
        <f aca="false">IF(A2913="","",D2913*E2913)</f>
        <v/>
      </c>
      <c r="J2913" s="28" t="str">
        <f aca="false">IF(A2913="","",D2913*F2913)</f>
        <v/>
      </c>
      <c r="K2913" s="0" t="str">
        <f aca="false">IF(A2913="","",YEAR(A2913))</f>
        <v/>
      </c>
      <c r="L2913" s="0" t="str">
        <f aca="false">IF(A2913="","",MONTH(A2913))</f>
        <v/>
      </c>
    </row>
    <row r="2914" customFormat="false" ht="15" hidden="false" customHeight="false" outlineLevel="0" collapsed="false">
      <c r="A2914" s="27"/>
      <c r="E2914" s="28"/>
      <c r="F2914" s="28"/>
      <c r="I2914" s="28" t="str">
        <f aca="false">IF(A2914="","",D2914*E2914)</f>
        <v/>
      </c>
      <c r="J2914" s="28" t="str">
        <f aca="false">IF(A2914="","",D2914*F2914)</f>
        <v/>
      </c>
      <c r="K2914" s="0" t="str">
        <f aca="false">IF(A2914="","",YEAR(A2914))</f>
        <v/>
      </c>
      <c r="L2914" s="0" t="str">
        <f aca="false">IF(A2914="","",MONTH(A2914))</f>
        <v/>
      </c>
    </row>
    <row r="2915" customFormat="false" ht="15" hidden="false" customHeight="false" outlineLevel="0" collapsed="false">
      <c r="A2915" s="27"/>
      <c r="E2915" s="28"/>
      <c r="F2915" s="28"/>
      <c r="I2915" s="28" t="str">
        <f aca="false">IF(A2915="","",D2915*E2915)</f>
        <v/>
      </c>
      <c r="J2915" s="28" t="str">
        <f aca="false">IF(A2915="","",D2915*F2915)</f>
        <v/>
      </c>
      <c r="K2915" s="0" t="str">
        <f aca="false">IF(A2915="","",YEAR(A2915))</f>
        <v/>
      </c>
      <c r="L2915" s="0" t="str">
        <f aca="false">IF(A2915="","",MONTH(A2915))</f>
        <v/>
      </c>
    </row>
    <row r="2916" customFormat="false" ht="15" hidden="false" customHeight="false" outlineLevel="0" collapsed="false">
      <c r="A2916" s="27"/>
      <c r="E2916" s="28"/>
      <c r="F2916" s="28"/>
      <c r="I2916" s="28" t="str">
        <f aca="false">IF(A2916="","",D2916*E2916)</f>
        <v/>
      </c>
      <c r="J2916" s="28" t="str">
        <f aca="false">IF(A2916="","",D2916*F2916)</f>
        <v/>
      </c>
      <c r="K2916" s="0" t="str">
        <f aca="false">IF(A2916="","",YEAR(A2916))</f>
        <v/>
      </c>
      <c r="L2916" s="0" t="str">
        <f aca="false">IF(A2916="","",MONTH(A2916))</f>
        <v/>
      </c>
    </row>
    <row r="2917" customFormat="false" ht="15" hidden="false" customHeight="false" outlineLevel="0" collapsed="false">
      <c r="A2917" s="27"/>
      <c r="E2917" s="28"/>
      <c r="F2917" s="28"/>
      <c r="I2917" s="28" t="str">
        <f aca="false">IF(A2917="","",D2917*E2917)</f>
        <v/>
      </c>
      <c r="J2917" s="28" t="str">
        <f aca="false">IF(A2917="","",D2917*F2917)</f>
        <v/>
      </c>
      <c r="K2917" s="0" t="str">
        <f aca="false">IF(A2917="","",YEAR(A2917))</f>
        <v/>
      </c>
      <c r="L2917" s="0" t="str">
        <f aca="false">IF(A2917="","",MONTH(A2917))</f>
        <v/>
      </c>
    </row>
    <row r="2918" customFormat="false" ht="15" hidden="false" customHeight="false" outlineLevel="0" collapsed="false">
      <c r="A2918" s="27"/>
      <c r="E2918" s="28"/>
      <c r="F2918" s="28"/>
      <c r="I2918" s="28" t="str">
        <f aca="false">IF(A2918="","",D2918*E2918)</f>
        <v/>
      </c>
      <c r="J2918" s="28" t="str">
        <f aca="false">IF(A2918="","",D2918*F2918)</f>
        <v/>
      </c>
      <c r="K2918" s="0" t="str">
        <f aca="false">IF(A2918="","",YEAR(A2918))</f>
        <v/>
      </c>
      <c r="L2918" s="0" t="str">
        <f aca="false">IF(A2918="","",MONTH(A2918))</f>
        <v/>
      </c>
    </row>
    <row r="2919" customFormat="false" ht="15" hidden="false" customHeight="false" outlineLevel="0" collapsed="false">
      <c r="A2919" s="27"/>
      <c r="E2919" s="28"/>
      <c r="F2919" s="28"/>
      <c r="I2919" s="28" t="str">
        <f aca="false">IF(A2919="","",D2919*E2919)</f>
        <v/>
      </c>
      <c r="J2919" s="28" t="str">
        <f aca="false">IF(A2919="","",D2919*F2919)</f>
        <v/>
      </c>
      <c r="K2919" s="0" t="str">
        <f aca="false">IF(A2919="","",YEAR(A2919))</f>
        <v/>
      </c>
      <c r="L2919" s="0" t="str">
        <f aca="false">IF(A2919="","",MONTH(A2919))</f>
        <v/>
      </c>
    </row>
    <row r="2920" customFormat="false" ht="15" hidden="false" customHeight="false" outlineLevel="0" collapsed="false">
      <c r="A2920" s="27"/>
      <c r="E2920" s="28"/>
      <c r="F2920" s="28"/>
      <c r="I2920" s="28" t="str">
        <f aca="false">IF(A2920="","",D2920*E2920)</f>
        <v/>
      </c>
      <c r="J2920" s="28" t="str">
        <f aca="false">IF(A2920="","",D2920*F2920)</f>
        <v/>
      </c>
      <c r="K2920" s="0" t="str">
        <f aca="false">IF(A2920="","",YEAR(A2920))</f>
        <v/>
      </c>
      <c r="L2920" s="0" t="str">
        <f aca="false">IF(A2920="","",MONTH(A2920))</f>
        <v/>
      </c>
    </row>
    <row r="2921" customFormat="false" ht="15" hidden="false" customHeight="false" outlineLevel="0" collapsed="false">
      <c r="A2921" s="27"/>
      <c r="E2921" s="28"/>
      <c r="F2921" s="28"/>
      <c r="I2921" s="28" t="str">
        <f aca="false">IF(A2921="","",D2921*E2921)</f>
        <v/>
      </c>
      <c r="J2921" s="28" t="str">
        <f aca="false">IF(A2921="","",D2921*F2921)</f>
        <v/>
      </c>
      <c r="K2921" s="0" t="str">
        <f aca="false">IF(A2921="","",YEAR(A2921))</f>
        <v/>
      </c>
      <c r="L2921" s="0" t="str">
        <f aca="false">IF(A2921="","",MONTH(A2921))</f>
        <v/>
      </c>
    </row>
    <row r="2922" customFormat="false" ht="15" hidden="false" customHeight="false" outlineLevel="0" collapsed="false">
      <c r="A2922" s="27"/>
      <c r="E2922" s="28"/>
      <c r="F2922" s="28"/>
      <c r="I2922" s="28" t="str">
        <f aca="false">IF(A2922="","",D2922*E2922)</f>
        <v/>
      </c>
      <c r="J2922" s="28" t="str">
        <f aca="false">IF(A2922="","",D2922*F2922)</f>
        <v/>
      </c>
      <c r="K2922" s="0" t="str">
        <f aca="false">IF(A2922="","",YEAR(A2922))</f>
        <v/>
      </c>
      <c r="L2922" s="0" t="str">
        <f aca="false">IF(A2922="","",MONTH(A2922))</f>
        <v/>
      </c>
    </row>
    <row r="2923" customFormat="false" ht="15" hidden="false" customHeight="false" outlineLevel="0" collapsed="false">
      <c r="A2923" s="27"/>
      <c r="E2923" s="28"/>
      <c r="F2923" s="28"/>
      <c r="I2923" s="28" t="str">
        <f aca="false">IF(A2923="","",D2923*E2923)</f>
        <v/>
      </c>
      <c r="J2923" s="28" t="str">
        <f aca="false">IF(A2923="","",D2923*F2923)</f>
        <v/>
      </c>
      <c r="K2923" s="0" t="str">
        <f aca="false">IF(A2923="","",YEAR(A2923))</f>
        <v/>
      </c>
      <c r="L2923" s="0" t="str">
        <f aca="false">IF(A2923="","",MONTH(A2923))</f>
        <v/>
      </c>
    </row>
    <row r="2924" customFormat="false" ht="15" hidden="false" customHeight="false" outlineLevel="0" collapsed="false">
      <c r="A2924" s="27"/>
      <c r="E2924" s="28"/>
      <c r="F2924" s="28"/>
      <c r="I2924" s="28" t="str">
        <f aca="false">IF(A2924="","",D2924*E2924)</f>
        <v/>
      </c>
      <c r="J2924" s="28" t="str">
        <f aca="false">IF(A2924="","",D2924*F2924)</f>
        <v/>
      </c>
      <c r="K2924" s="0" t="str">
        <f aca="false">IF(A2924="","",YEAR(A2924))</f>
        <v/>
      </c>
      <c r="L2924" s="0" t="str">
        <f aca="false">IF(A2924="","",MONTH(A2924))</f>
        <v/>
      </c>
    </row>
    <row r="2925" customFormat="false" ht="15" hidden="false" customHeight="false" outlineLevel="0" collapsed="false">
      <c r="A2925" s="27"/>
      <c r="E2925" s="28"/>
      <c r="F2925" s="28"/>
      <c r="I2925" s="28" t="str">
        <f aca="false">IF(A2925="","",D2925*E2925)</f>
        <v/>
      </c>
      <c r="J2925" s="28" t="str">
        <f aca="false">IF(A2925="","",D2925*F2925)</f>
        <v/>
      </c>
      <c r="K2925" s="0" t="str">
        <f aca="false">IF(A2925="","",YEAR(A2925))</f>
        <v/>
      </c>
      <c r="L2925" s="0" t="str">
        <f aca="false">IF(A2925="","",MONTH(A2925))</f>
        <v/>
      </c>
    </row>
    <row r="2926" customFormat="false" ht="15" hidden="false" customHeight="false" outlineLevel="0" collapsed="false">
      <c r="A2926" s="27"/>
      <c r="E2926" s="28"/>
      <c r="F2926" s="28"/>
      <c r="I2926" s="28" t="str">
        <f aca="false">IF(A2926="","",D2926*E2926)</f>
        <v/>
      </c>
      <c r="J2926" s="28" t="str">
        <f aca="false">IF(A2926="","",D2926*F2926)</f>
        <v/>
      </c>
      <c r="K2926" s="0" t="str">
        <f aca="false">IF(A2926="","",YEAR(A2926))</f>
        <v/>
      </c>
      <c r="L2926" s="0" t="str">
        <f aca="false">IF(A2926="","",MONTH(A2926))</f>
        <v/>
      </c>
    </row>
    <row r="2927" customFormat="false" ht="15" hidden="false" customHeight="false" outlineLevel="0" collapsed="false">
      <c r="A2927" s="27"/>
      <c r="E2927" s="28"/>
      <c r="F2927" s="28"/>
      <c r="I2927" s="28" t="str">
        <f aca="false">IF(A2927="","",D2927*E2927)</f>
        <v/>
      </c>
      <c r="J2927" s="28" t="str">
        <f aca="false">IF(A2927="","",D2927*F2927)</f>
        <v/>
      </c>
      <c r="K2927" s="0" t="str">
        <f aca="false">IF(A2927="","",YEAR(A2927))</f>
        <v/>
      </c>
      <c r="L2927" s="0" t="str">
        <f aca="false">IF(A2927="","",MONTH(A2927))</f>
        <v/>
      </c>
    </row>
    <row r="2928" customFormat="false" ht="15" hidden="false" customHeight="false" outlineLevel="0" collapsed="false">
      <c r="A2928" s="27"/>
      <c r="E2928" s="28"/>
      <c r="F2928" s="28"/>
      <c r="I2928" s="28" t="str">
        <f aca="false">IF(A2928="","",D2928*E2928)</f>
        <v/>
      </c>
      <c r="J2928" s="28" t="str">
        <f aca="false">IF(A2928="","",D2928*F2928)</f>
        <v/>
      </c>
      <c r="K2928" s="0" t="str">
        <f aca="false">IF(A2928="","",YEAR(A2928))</f>
        <v/>
      </c>
      <c r="L2928" s="0" t="str">
        <f aca="false">IF(A2928="","",MONTH(A2928))</f>
        <v/>
      </c>
    </row>
    <row r="2929" customFormat="false" ht="15" hidden="false" customHeight="false" outlineLevel="0" collapsed="false">
      <c r="A2929" s="27"/>
      <c r="E2929" s="28"/>
      <c r="F2929" s="28"/>
      <c r="I2929" s="28" t="str">
        <f aca="false">IF(A2929="","",D2929*E2929)</f>
        <v/>
      </c>
      <c r="J2929" s="28" t="str">
        <f aca="false">IF(A2929="","",D2929*F2929)</f>
        <v/>
      </c>
      <c r="K2929" s="0" t="str">
        <f aca="false">IF(A2929="","",YEAR(A2929))</f>
        <v/>
      </c>
      <c r="L2929" s="0" t="str">
        <f aca="false">IF(A2929="","",MONTH(A2929))</f>
        <v/>
      </c>
    </row>
    <row r="2930" customFormat="false" ht="15" hidden="false" customHeight="false" outlineLevel="0" collapsed="false">
      <c r="A2930" s="27"/>
      <c r="E2930" s="28"/>
      <c r="F2930" s="28"/>
      <c r="I2930" s="28" t="str">
        <f aca="false">IF(A2930="","",D2930*E2930)</f>
        <v/>
      </c>
      <c r="J2930" s="28" t="str">
        <f aca="false">IF(A2930="","",D2930*F2930)</f>
        <v/>
      </c>
      <c r="K2930" s="0" t="str">
        <f aca="false">IF(A2930="","",YEAR(A2930))</f>
        <v/>
      </c>
      <c r="L2930" s="0" t="str">
        <f aca="false">IF(A2930="","",MONTH(A2930))</f>
        <v/>
      </c>
    </row>
    <row r="2931" customFormat="false" ht="15" hidden="false" customHeight="false" outlineLevel="0" collapsed="false">
      <c r="A2931" s="27"/>
      <c r="E2931" s="28"/>
      <c r="F2931" s="28"/>
      <c r="I2931" s="28" t="str">
        <f aca="false">IF(A2931="","",D2931*E2931)</f>
        <v/>
      </c>
      <c r="J2931" s="28" t="str">
        <f aca="false">IF(A2931="","",D2931*F2931)</f>
        <v/>
      </c>
      <c r="K2931" s="0" t="str">
        <f aca="false">IF(A2931="","",YEAR(A2931))</f>
        <v/>
      </c>
      <c r="L2931" s="0" t="str">
        <f aca="false">IF(A2931="","",MONTH(A2931))</f>
        <v/>
      </c>
    </row>
    <row r="2932" customFormat="false" ht="15" hidden="false" customHeight="false" outlineLevel="0" collapsed="false">
      <c r="A2932" s="27"/>
      <c r="E2932" s="28"/>
      <c r="F2932" s="28"/>
      <c r="I2932" s="28" t="str">
        <f aca="false">IF(A2932="","",D2932*E2932)</f>
        <v/>
      </c>
      <c r="J2932" s="28" t="str">
        <f aca="false">IF(A2932="","",D2932*F2932)</f>
        <v/>
      </c>
      <c r="K2932" s="0" t="str">
        <f aca="false">IF(A2932="","",YEAR(A2932))</f>
        <v/>
      </c>
      <c r="L2932" s="0" t="str">
        <f aca="false">IF(A2932="","",MONTH(A2932))</f>
        <v/>
      </c>
    </row>
    <row r="2933" customFormat="false" ht="15" hidden="false" customHeight="false" outlineLevel="0" collapsed="false">
      <c r="A2933" s="27"/>
      <c r="E2933" s="28"/>
      <c r="F2933" s="28"/>
      <c r="I2933" s="28" t="str">
        <f aca="false">IF(A2933="","",D2933*E2933)</f>
        <v/>
      </c>
      <c r="J2933" s="28" t="str">
        <f aca="false">IF(A2933="","",D2933*F2933)</f>
        <v/>
      </c>
      <c r="K2933" s="0" t="str">
        <f aca="false">IF(A2933="","",YEAR(A2933))</f>
        <v/>
      </c>
      <c r="L2933" s="0" t="str">
        <f aca="false">IF(A2933="","",MONTH(A2933))</f>
        <v/>
      </c>
    </row>
    <row r="2934" customFormat="false" ht="15" hidden="false" customHeight="false" outlineLevel="0" collapsed="false">
      <c r="A2934" s="27"/>
      <c r="E2934" s="28"/>
      <c r="F2934" s="28"/>
      <c r="I2934" s="28" t="str">
        <f aca="false">IF(A2934="","",D2934*E2934)</f>
        <v/>
      </c>
      <c r="J2934" s="28" t="str">
        <f aca="false">IF(A2934="","",D2934*F2934)</f>
        <v/>
      </c>
      <c r="K2934" s="0" t="str">
        <f aca="false">IF(A2934="","",YEAR(A2934))</f>
        <v/>
      </c>
      <c r="L2934" s="0" t="str">
        <f aca="false">IF(A2934="","",MONTH(A2934))</f>
        <v/>
      </c>
    </row>
    <row r="2935" customFormat="false" ht="15" hidden="false" customHeight="false" outlineLevel="0" collapsed="false">
      <c r="A2935" s="27"/>
      <c r="E2935" s="28"/>
      <c r="F2935" s="28"/>
      <c r="I2935" s="28" t="str">
        <f aca="false">IF(A2935="","",D2935*E2935)</f>
        <v/>
      </c>
      <c r="J2935" s="28" t="str">
        <f aca="false">IF(A2935="","",D2935*F2935)</f>
        <v/>
      </c>
      <c r="K2935" s="0" t="str">
        <f aca="false">IF(A2935="","",YEAR(A2935))</f>
        <v/>
      </c>
      <c r="L2935" s="0" t="str">
        <f aca="false">IF(A2935="","",MONTH(A2935))</f>
        <v/>
      </c>
    </row>
    <row r="2936" customFormat="false" ht="15" hidden="false" customHeight="false" outlineLevel="0" collapsed="false">
      <c r="A2936" s="27"/>
      <c r="E2936" s="28"/>
      <c r="F2936" s="28"/>
      <c r="I2936" s="28" t="str">
        <f aca="false">IF(A2936="","",D2936*E2936)</f>
        <v/>
      </c>
      <c r="J2936" s="28" t="str">
        <f aca="false">IF(A2936="","",D2936*F2936)</f>
        <v/>
      </c>
      <c r="K2936" s="0" t="str">
        <f aca="false">IF(A2936="","",YEAR(A2936))</f>
        <v/>
      </c>
      <c r="L2936" s="0" t="str">
        <f aca="false">IF(A2936="","",MONTH(A2936))</f>
        <v/>
      </c>
    </row>
    <row r="2937" customFormat="false" ht="15" hidden="false" customHeight="false" outlineLevel="0" collapsed="false">
      <c r="A2937" s="27"/>
      <c r="E2937" s="28"/>
      <c r="F2937" s="28"/>
      <c r="I2937" s="28" t="str">
        <f aca="false">IF(A2937="","",D2937*E2937)</f>
        <v/>
      </c>
      <c r="J2937" s="28" t="str">
        <f aca="false">IF(A2937="","",D2937*F2937)</f>
        <v/>
      </c>
      <c r="K2937" s="0" t="str">
        <f aca="false">IF(A2937="","",YEAR(A2937))</f>
        <v/>
      </c>
      <c r="L2937" s="0" t="str">
        <f aca="false">IF(A2937="","",MONTH(A2937))</f>
        <v/>
      </c>
    </row>
    <row r="2938" customFormat="false" ht="15" hidden="false" customHeight="false" outlineLevel="0" collapsed="false">
      <c r="A2938" s="27"/>
      <c r="E2938" s="28"/>
      <c r="F2938" s="28"/>
      <c r="I2938" s="28" t="str">
        <f aca="false">IF(A2938="","",D2938*E2938)</f>
        <v/>
      </c>
      <c r="J2938" s="28" t="str">
        <f aca="false">IF(A2938="","",D2938*F2938)</f>
        <v/>
      </c>
      <c r="K2938" s="0" t="str">
        <f aca="false">IF(A2938="","",YEAR(A2938))</f>
        <v/>
      </c>
      <c r="L2938" s="0" t="str">
        <f aca="false">IF(A2938="","",MONTH(A2938))</f>
        <v/>
      </c>
    </row>
    <row r="2939" customFormat="false" ht="15" hidden="false" customHeight="false" outlineLevel="0" collapsed="false">
      <c r="A2939" s="27"/>
      <c r="E2939" s="28"/>
      <c r="F2939" s="28"/>
      <c r="I2939" s="28" t="str">
        <f aca="false">IF(A2939="","",D2939*E2939)</f>
        <v/>
      </c>
      <c r="J2939" s="28" t="str">
        <f aca="false">IF(A2939="","",D2939*F2939)</f>
        <v/>
      </c>
      <c r="K2939" s="0" t="str">
        <f aca="false">IF(A2939="","",YEAR(A2939))</f>
        <v/>
      </c>
      <c r="L2939" s="0" t="str">
        <f aca="false">IF(A2939="","",MONTH(A2939))</f>
        <v/>
      </c>
    </row>
    <row r="2940" customFormat="false" ht="15" hidden="false" customHeight="false" outlineLevel="0" collapsed="false">
      <c r="A2940" s="27"/>
      <c r="E2940" s="28"/>
      <c r="F2940" s="28"/>
      <c r="I2940" s="28" t="str">
        <f aca="false">IF(A2940="","",D2940*E2940)</f>
        <v/>
      </c>
      <c r="J2940" s="28" t="str">
        <f aca="false">IF(A2940="","",D2940*F2940)</f>
        <v/>
      </c>
      <c r="K2940" s="0" t="str">
        <f aca="false">IF(A2940="","",YEAR(A2940))</f>
        <v/>
      </c>
      <c r="L2940" s="0" t="str">
        <f aca="false">IF(A2940="","",MONTH(A2940))</f>
        <v/>
      </c>
    </row>
    <row r="2941" customFormat="false" ht="15" hidden="false" customHeight="false" outlineLevel="0" collapsed="false">
      <c r="A2941" s="27"/>
      <c r="E2941" s="28"/>
      <c r="F2941" s="28"/>
      <c r="I2941" s="28" t="str">
        <f aca="false">IF(A2941="","",D2941*E2941)</f>
        <v/>
      </c>
      <c r="J2941" s="28" t="str">
        <f aca="false">IF(A2941="","",D2941*F2941)</f>
        <v/>
      </c>
      <c r="K2941" s="0" t="str">
        <f aca="false">IF(A2941="","",YEAR(A2941))</f>
        <v/>
      </c>
      <c r="L2941" s="0" t="str">
        <f aca="false">IF(A2941="","",MONTH(A2941))</f>
        <v/>
      </c>
    </row>
    <row r="2942" customFormat="false" ht="15" hidden="false" customHeight="false" outlineLevel="0" collapsed="false">
      <c r="A2942" s="27"/>
      <c r="E2942" s="28"/>
      <c r="F2942" s="28"/>
      <c r="I2942" s="28" t="str">
        <f aca="false">IF(A2942="","",D2942*E2942)</f>
        <v/>
      </c>
      <c r="J2942" s="28" t="str">
        <f aca="false">IF(A2942="","",D2942*F2942)</f>
        <v/>
      </c>
      <c r="K2942" s="0" t="str">
        <f aca="false">IF(A2942="","",YEAR(A2942))</f>
        <v/>
      </c>
      <c r="L2942" s="0" t="str">
        <f aca="false">IF(A2942="","",MONTH(A2942))</f>
        <v/>
      </c>
    </row>
    <row r="2943" customFormat="false" ht="15" hidden="false" customHeight="false" outlineLevel="0" collapsed="false">
      <c r="A2943" s="27"/>
      <c r="E2943" s="28"/>
      <c r="F2943" s="28"/>
      <c r="I2943" s="28" t="str">
        <f aca="false">IF(A2943="","",D2943*E2943)</f>
        <v/>
      </c>
      <c r="J2943" s="28" t="str">
        <f aca="false">IF(A2943="","",D2943*F2943)</f>
        <v/>
      </c>
      <c r="K2943" s="0" t="str">
        <f aca="false">IF(A2943="","",YEAR(A2943))</f>
        <v/>
      </c>
      <c r="L2943" s="0" t="str">
        <f aca="false">IF(A2943="","",MONTH(A2943))</f>
        <v/>
      </c>
    </row>
    <row r="2944" customFormat="false" ht="15" hidden="false" customHeight="false" outlineLevel="0" collapsed="false">
      <c r="A2944" s="27"/>
      <c r="E2944" s="28"/>
      <c r="F2944" s="28"/>
      <c r="I2944" s="28" t="str">
        <f aca="false">IF(A2944="","",D2944*E2944)</f>
        <v/>
      </c>
      <c r="J2944" s="28" t="str">
        <f aca="false">IF(A2944="","",D2944*F2944)</f>
        <v/>
      </c>
      <c r="K2944" s="0" t="str">
        <f aca="false">IF(A2944="","",YEAR(A2944))</f>
        <v/>
      </c>
      <c r="L2944" s="0" t="str">
        <f aca="false">IF(A2944="","",MONTH(A2944))</f>
        <v/>
      </c>
    </row>
    <row r="2945" customFormat="false" ht="15" hidden="false" customHeight="false" outlineLevel="0" collapsed="false">
      <c r="A2945" s="27"/>
      <c r="E2945" s="28"/>
      <c r="F2945" s="28"/>
      <c r="I2945" s="28" t="str">
        <f aca="false">IF(A2945="","",D2945*E2945)</f>
        <v/>
      </c>
      <c r="J2945" s="28" t="str">
        <f aca="false">IF(A2945="","",D2945*F2945)</f>
        <v/>
      </c>
      <c r="K2945" s="0" t="str">
        <f aca="false">IF(A2945="","",YEAR(A2945))</f>
        <v/>
      </c>
      <c r="L2945" s="0" t="str">
        <f aca="false">IF(A2945="","",MONTH(A2945))</f>
        <v/>
      </c>
    </row>
    <row r="2946" customFormat="false" ht="15" hidden="false" customHeight="false" outlineLevel="0" collapsed="false">
      <c r="A2946" s="27"/>
      <c r="E2946" s="28"/>
      <c r="F2946" s="28"/>
      <c r="I2946" s="28" t="str">
        <f aca="false">IF(A2946="","",D2946*E2946)</f>
        <v/>
      </c>
      <c r="J2946" s="28" t="str">
        <f aca="false">IF(A2946="","",D2946*F2946)</f>
        <v/>
      </c>
      <c r="K2946" s="0" t="str">
        <f aca="false">IF(A2946="","",YEAR(A2946))</f>
        <v/>
      </c>
      <c r="L2946" s="0" t="str">
        <f aca="false">IF(A2946="","",MONTH(A2946))</f>
        <v/>
      </c>
    </row>
    <row r="2947" customFormat="false" ht="15" hidden="false" customHeight="false" outlineLevel="0" collapsed="false">
      <c r="A2947" s="27"/>
      <c r="E2947" s="28"/>
      <c r="F2947" s="28"/>
      <c r="I2947" s="28" t="str">
        <f aca="false">IF(A2947="","",D2947*E2947)</f>
        <v/>
      </c>
      <c r="J2947" s="28" t="str">
        <f aca="false">IF(A2947="","",D2947*F2947)</f>
        <v/>
      </c>
      <c r="K2947" s="0" t="str">
        <f aca="false">IF(A2947="","",YEAR(A2947))</f>
        <v/>
      </c>
      <c r="L2947" s="0" t="str">
        <f aca="false">IF(A2947="","",MONTH(A2947))</f>
        <v/>
      </c>
    </row>
    <row r="2948" customFormat="false" ht="15" hidden="false" customHeight="false" outlineLevel="0" collapsed="false">
      <c r="A2948" s="27"/>
      <c r="E2948" s="28"/>
      <c r="F2948" s="28"/>
      <c r="I2948" s="28" t="str">
        <f aca="false">IF(A2948="","",D2948*E2948)</f>
        <v/>
      </c>
      <c r="J2948" s="28" t="str">
        <f aca="false">IF(A2948="","",D2948*F2948)</f>
        <v/>
      </c>
      <c r="K2948" s="0" t="str">
        <f aca="false">IF(A2948="","",YEAR(A2948))</f>
        <v/>
      </c>
      <c r="L2948" s="0" t="str">
        <f aca="false">IF(A2948="","",MONTH(A2948))</f>
        <v/>
      </c>
    </row>
    <row r="2949" customFormat="false" ht="15" hidden="false" customHeight="false" outlineLevel="0" collapsed="false">
      <c r="A2949" s="27"/>
      <c r="E2949" s="28"/>
      <c r="F2949" s="28"/>
      <c r="I2949" s="28" t="str">
        <f aca="false">IF(A2949="","",D2949*E2949)</f>
        <v/>
      </c>
      <c r="J2949" s="28" t="str">
        <f aca="false">IF(A2949="","",D2949*F2949)</f>
        <v/>
      </c>
      <c r="K2949" s="0" t="str">
        <f aca="false">IF(A2949="","",YEAR(A2949))</f>
        <v/>
      </c>
      <c r="L2949" s="0" t="str">
        <f aca="false">IF(A2949="","",MONTH(A2949))</f>
        <v/>
      </c>
    </row>
    <row r="2950" customFormat="false" ht="15" hidden="false" customHeight="false" outlineLevel="0" collapsed="false">
      <c r="A2950" s="27"/>
      <c r="E2950" s="28"/>
      <c r="F2950" s="28"/>
      <c r="I2950" s="28" t="str">
        <f aca="false">IF(A2950="","",D2950*E2950)</f>
        <v/>
      </c>
      <c r="J2950" s="28" t="str">
        <f aca="false">IF(A2950="","",D2950*F2950)</f>
        <v/>
      </c>
      <c r="K2950" s="0" t="str">
        <f aca="false">IF(A2950="","",YEAR(A2950))</f>
        <v/>
      </c>
      <c r="L2950" s="0" t="str">
        <f aca="false">IF(A2950="","",MONTH(A2950))</f>
        <v/>
      </c>
    </row>
    <row r="2951" customFormat="false" ht="15" hidden="false" customHeight="false" outlineLevel="0" collapsed="false">
      <c r="A2951" s="27"/>
      <c r="E2951" s="28"/>
      <c r="F2951" s="28"/>
      <c r="I2951" s="28" t="str">
        <f aca="false">IF(A2951="","",D2951*E2951)</f>
        <v/>
      </c>
      <c r="J2951" s="28" t="str">
        <f aca="false">IF(A2951="","",D2951*F2951)</f>
        <v/>
      </c>
      <c r="K2951" s="0" t="str">
        <f aca="false">IF(A2951="","",YEAR(A2951))</f>
        <v/>
      </c>
      <c r="L2951" s="0" t="str">
        <f aca="false">IF(A2951="","",MONTH(A2951))</f>
        <v/>
      </c>
    </row>
    <row r="2952" customFormat="false" ht="15" hidden="false" customHeight="false" outlineLevel="0" collapsed="false">
      <c r="A2952" s="27"/>
      <c r="E2952" s="28"/>
      <c r="F2952" s="28"/>
      <c r="I2952" s="28" t="str">
        <f aca="false">IF(A2952="","",D2952*E2952)</f>
        <v/>
      </c>
      <c r="J2952" s="28" t="str">
        <f aca="false">IF(A2952="","",D2952*F2952)</f>
        <v/>
      </c>
      <c r="K2952" s="0" t="str">
        <f aca="false">IF(A2952="","",YEAR(A2952))</f>
        <v/>
      </c>
      <c r="L2952" s="0" t="str">
        <f aca="false">IF(A2952="","",MONTH(A2952))</f>
        <v/>
      </c>
    </row>
    <row r="2953" customFormat="false" ht="15" hidden="false" customHeight="false" outlineLevel="0" collapsed="false">
      <c r="A2953" s="27"/>
      <c r="E2953" s="28"/>
      <c r="F2953" s="28"/>
      <c r="I2953" s="28" t="str">
        <f aca="false">IF(A2953="","",D2953*E2953)</f>
        <v/>
      </c>
      <c r="J2953" s="28" t="str">
        <f aca="false">IF(A2953="","",D2953*F2953)</f>
        <v/>
      </c>
      <c r="K2953" s="0" t="str">
        <f aca="false">IF(A2953="","",YEAR(A2953))</f>
        <v/>
      </c>
      <c r="L2953" s="0" t="str">
        <f aca="false">IF(A2953="","",MONTH(A2953))</f>
        <v/>
      </c>
    </row>
    <row r="2954" customFormat="false" ht="15" hidden="false" customHeight="false" outlineLevel="0" collapsed="false">
      <c r="A2954" s="27"/>
      <c r="E2954" s="28"/>
      <c r="F2954" s="28"/>
      <c r="I2954" s="28" t="str">
        <f aca="false">IF(A2954="","",D2954*E2954)</f>
        <v/>
      </c>
      <c r="J2954" s="28" t="str">
        <f aca="false">IF(A2954="","",D2954*F2954)</f>
        <v/>
      </c>
      <c r="K2954" s="0" t="str">
        <f aca="false">IF(A2954="","",YEAR(A2954))</f>
        <v/>
      </c>
      <c r="L2954" s="0" t="str">
        <f aca="false">IF(A2954="","",MONTH(A2954))</f>
        <v/>
      </c>
    </row>
    <row r="2955" customFormat="false" ht="15" hidden="false" customHeight="false" outlineLevel="0" collapsed="false">
      <c r="A2955" s="27"/>
      <c r="E2955" s="28"/>
      <c r="F2955" s="28"/>
      <c r="I2955" s="28" t="str">
        <f aca="false">IF(A2955="","",D2955*E2955)</f>
        <v/>
      </c>
      <c r="J2955" s="28" t="str">
        <f aca="false">IF(A2955="","",D2955*F2955)</f>
        <v/>
      </c>
      <c r="K2955" s="0" t="str">
        <f aca="false">IF(A2955="","",YEAR(A2955))</f>
        <v/>
      </c>
      <c r="L2955" s="0" t="str">
        <f aca="false">IF(A2955="","",MONTH(A2955))</f>
        <v/>
      </c>
    </row>
    <row r="2956" customFormat="false" ht="15" hidden="false" customHeight="false" outlineLevel="0" collapsed="false">
      <c r="A2956" s="27"/>
      <c r="E2956" s="28"/>
      <c r="F2956" s="28"/>
      <c r="I2956" s="28" t="str">
        <f aca="false">IF(A2956="","",D2956*E2956)</f>
        <v/>
      </c>
      <c r="J2956" s="28" t="str">
        <f aca="false">IF(A2956="","",D2956*F2956)</f>
        <v/>
      </c>
      <c r="K2956" s="0" t="str">
        <f aca="false">IF(A2956="","",YEAR(A2956))</f>
        <v/>
      </c>
      <c r="L2956" s="0" t="str">
        <f aca="false">IF(A2956="","",MONTH(A2956))</f>
        <v/>
      </c>
    </row>
    <row r="2957" customFormat="false" ht="15" hidden="false" customHeight="false" outlineLevel="0" collapsed="false">
      <c r="A2957" s="27"/>
      <c r="E2957" s="28"/>
      <c r="F2957" s="28"/>
      <c r="I2957" s="28" t="str">
        <f aca="false">IF(A2957="","",D2957*E2957)</f>
        <v/>
      </c>
      <c r="J2957" s="28" t="str">
        <f aca="false">IF(A2957="","",D2957*F2957)</f>
        <v/>
      </c>
      <c r="K2957" s="0" t="str">
        <f aca="false">IF(A2957="","",YEAR(A2957))</f>
        <v/>
      </c>
      <c r="L2957" s="0" t="str">
        <f aca="false">IF(A2957="","",MONTH(A2957))</f>
        <v/>
      </c>
    </row>
    <row r="2958" customFormat="false" ht="15" hidden="false" customHeight="false" outlineLevel="0" collapsed="false">
      <c r="A2958" s="27"/>
      <c r="E2958" s="28"/>
      <c r="F2958" s="28"/>
      <c r="I2958" s="28" t="str">
        <f aca="false">IF(A2958="","",D2958*E2958)</f>
        <v/>
      </c>
      <c r="J2958" s="28" t="str">
        <f aca="false">IF(A2958="","",D2958*F2958)</f>
        <v/>
      </c>
      <c r="K2958" s="0" t="str">
        <f aca="false">IF(A2958="","",YEAR(A2958))</f>
        <v/>
      </c>
      <c r="L2958" s="0" t="str">
        <f aca="false">IF(A2958="","",MONTH(A2958))</f>
        <v/>
      </c>
    </row>
    <row r="2959" customFormat="false" ht="15" hidden="false" customHeight="false" outlineLevel="0" collapsed="false">
      <c r="A2959" s="27"/>
      <c r="E2959" s="28"/>
      <c r="F2959" s="28"/>
      <c r="I2959" s="28" t="str">
        <f aca="false">IF(A2959="","",D2959*E2959)</f>
        <v/>
      </c>
      <c r="J2959" s="28" t="str">
        <f aca="false">IF(A2959="","",D2959*F2959)</f>
        <v/>
      </c>
      <c r="K2959" s="0" t="str">
        <f aca="false">IF(A2959="","",YEAR(A2959))</f>
        <v/>
      </c>
      <c r="L2959" s="0" t="str">
        <f aca="false">IF(A2959="","",MONTH(A2959))</f>
        <v/>
      </c>
    </row>
    <row r="2960" customFormat="false" ht="15" hidden="false" customHeight="false" outlineLevel="0" collapsed="false">
      <c r="A2960" s="27"/>
      <c r="E2960" s="28"/>
      <c r="F2960" s="28"/>
      <c r="I2960" s="28" t="str">
        <f aca="false">IF(A2960="","",D2960*E2960)</f>
        <v/>
      </c>
      <c r="J2960" s="28" t="str">
        <f aca="false">IF(A2960="","",D2960*F2960)</f>
        <v/>
      </c>
      <c r="K2960" s="0" t="str">
        <f aca="false">IF(A2960="","",YEAR(A2960))</f>
        <v/>
      </c>
      <c r="L2960" s="0" t="str">
        <f aca="false">IF(A2960="","",MONTH(A2960))</f>
        <v/>
      </c>
    </row>
    <row r="2961" customFormat="false" ht="15" hidden="false" customHeight="false" outlineLevel="0" collapsed="false">
      <c r="A2961" s="27"/>
      <c r="E2961" s="28"/>
      <c r="F2961" s="28"/>
      <c r="I2961" s="28" t="str">
        <f aca="false">IF(A2961="","",D2961*E2961)</f>
        <v/>
      </c>
      <c r="J2961" s="28" t="str">
        <f aca="false">IF(A2961="","",D2961*F2961)</f>
        <v/>
      </c>
      <c r="K2961" s="0" t="str">
        <f aca="false">IF(A2961="","",YEAR(A2961))</f>
        <v/>
      </c>
      <c r="L2961" s="0" t="str">
        <f aca="false">IF(A2961="","",MONTH(A2961))</f>
        <v/>
      </c>
    </row>
    <row r="2962" customFormat="false" ht="15" hidden="false" customHeight="false" outlineLevel="0" collapsed="false">
      <c r="A2962" s="27"/>
      <c r="E2962" s="28"/>
      <c r="F2962" s="28"/>
      <c r="I2962" s="28" t="str">
        <f aca="false">IF(A2962="","",D2962*E2962)</f>
        <v/>
      </c>
      <c r="J2962" s="28" t="str">
        <f aca="false">IF(A2962="","",D2962*F2962)</f>
        <v/>
      </c>
      <c r="K2962" s="0" t="str">
        <f aca="false">IF(A2962="","",YEAR(A2962))</f>
        <v/>
      </c>
      <c r="L2962" s="0" t="str">
        <f aca="false">IF(A2962="","",MONTH(A2962))</f>
        <v/>
      </c>
    </row>
    <row r="2963" customFormat="false" ht="15" hidden="false" customHeight="false" outlineLevel="0" collapsed="false">
      <c r="A2963" s="27"/>
      <c r="E2963" s="28"/>
      <c r="F2963" s="28"/>
      <c r="I2963" s="28" t="str">
        <f aca="false">IF(A2963="","",D2963*E2963)</f>
        <v/>
      </c>
      <c r="J2963" s="28" t="str">
        <f aca="false">IF(A2963="","",D2963*F2963)</f>
        <v/>
      </c>
      <c r="K2963" s="0" t="str">
        <f aca="false">IF(A2963="","",YEAR(A2963))</f>
        <v/>
      </c>
      <c r="L2963" s="0" t="str">
        <f aca="false">IF(A2963="","",MONTH(A2963))</f>
        <v/>
      </c>
    </row>
    <row r="2964" customFormat="false" ht="15" hidden="false" customHeight="false" outlineLevel="0" collapsed="false">
      <c r="A2964" s="27"/>
      <c r="E2964" s="28"/>
      <c r="F2964" s="28"/>
      <c r="I2964" s="28" t="str">
        <f aca="false">IF(A2964="","",D2964*E2964)</f>
        <v/>
      </c>
      <c r="J2964" s="28" t="str">
        <f aca="false">IF(A2964="","",D2964*F2964)</f>
        <v/>
      </c>
      <c r="K2964" s="0" t="str">
        <f aca="false">IF(A2964="","",YEAR(A2964))</f>
        <v/>
      </c>
      <c r="L2964" s="0" t="str">
        <f aca="false">IF(A2964="","",MONTH(A2964))</f>
        <v/>
      </c>
    </row>
    <row r="2965" customFormat="false" ht="15" hidden="false" customHeight="false" outlineLevel="0" collapsed="false">
      <c r="A2965" s="27"/>
      <c r="E2965" s="28"/>
      <c r="F2965" s="28"/>
      <c r="I2965" s="28" t="str">
        <f aca="false">IF(A2965="","",D2965*E2965)</f>
        <v/>
      </c>
      <c r="J2965" s="28" t="str">
        <f aca="false">IF(A2965="","",D2965*F2965)</f>
        <v/>
      </c>
      <c r="K2965" s="0" t="str">
        <f aca="false">IF(A2965="","",YEAR(A2965))</f>
        <v/>
      </c>
      <c r="L2965" s="0" t="str">
        <f aca="false">IF(A2965="","",MONTH(A2965))</f>
        <v/>
      </c>
    </row>
    <row r="2966" customFormat="false" ht="15" hidden="false" customHeight="false" outlineLevel="0" collapsed="false">
      <c r="A2966" s="27"/>
      <c r="E2966" s="28"/>
      <c r="F2966" s="28"/>
      <c r="I2966" s="28" t="str">
        <f aca="false">IF(A2966="","",D2966*E2966)</f>
        <v/>
      </c>
      <c r="J2966" s="28" t="str">
        <f aca="false">IF(A2966="","",D2966*F2966)</f>
        <v/>
      </c>
      <c r="K2966" s="0" t="str">
        <f aca="false">IF(A2966="","",YEAR(A2966))</f>
        <v/>
      </c>
      <c r="L2966" s="0" t="str">
        <f aca="false">IF(A2966="","",MONTH(A2966))</f>
        <v/>
      </c>
    </row>
    <row r="2967" customFormat="false" ht="15" hidden="false" customHeight="false" outlineLevel="0" collapsed="false">
      <c r="A2967" s="27"/>
      <c r="E2967" s="28"/>
      <c r="F2967" s="28"/>
      <c r="I2967" s="28" t="str">
        <f aca="false">IF(A2967="","",D2967*E2967)</f>
        <v/>
      </c>
      <c r="J2967" s="28" t="str">
        <f aca="false">IF(A2967="","",D2967*F2967)</f>
        <v/>
      </c>
      <c r="K2967" s="0" t="str">
        <f aca="false">IF(A2967="","",YEAR(A2967))</f>
        <v/>
      </c>
      <c r="L2967" s="0" t="str">
        <f aca="false">IF(A2967="","",MONTH(A2967))</f>
        <v/>
      </c>
    </row>
    <row r="2968" customFormat="false" ht="15" hidden="false" customHeight="false" outlineLevel="0" collapsed="false">
      <c r="A2968" s="27"/>
      <c r="E2968" s="28"/>
      <c r="F2968" s="28"/>
      <c r="I2968" s="28" t="str">
        <f aca="false">IF(A2968="","",D2968*E2968)</f>
        <v/>
      </c>
      <c r="J2968" s="28" t="str">
        <f aca="false">IF(A2968="","",D2968*F2968)</f>
        <v/>
      </c>
      <c r="K2968" s="0" t="str">
        <f aca="false">IF(A2968="","",YEAR(A2968))</f>
        <v/>
      </c>
      <c r="L2968" s="0" t="str">
        <f aca="false">IF(A2968="","",MONTH(A2968))</f>
        <v/>
      </c>
    </row>
    <row r="2969" customFormat="false" ht="15" hidden="false" customHeight="false" outlineLevel="0" collapsed="false">
      <c r="A2969" s="27"/>
      <c r="E2969" s="28"/>
      <c r="F2969" s="28"/>
      <c r="I2969" s="28" t="str">
        <f aca="false">IF(A2969="","",D2969*E2969)</f>
        <v/>
      </c>
      <c r="J2969" s="28" t="str">
        <f aca="false">IF(A2969="","",D2969*F2969)</f>
        <v/>
      </c>
      <c r="K2969" s="0" t="str">
        <f aca="false">IF(A2969="","",YEAR(A2969))</f>
        <v/>
      </c>
      <c r="L2969" s="0" t="str">
        <f aca="false">IF(A2969="","",MONTH(A2969))</f>
        <v/>
      </c>
    </row>
    <row r="2970" customFormat="false" ht="15" hidden="false" customHeight="false" outlineLevel="0" collapsed="false">
      <c r="A2970" s="27"/>
      <c r="E2970" s="28"/>
      <c r="F2970" s="28"/>
      <c r="I2970" s="28" t="str">
        <f aca="false">IF(A2970="","",D2970*E2970)</f>
        <v/>
      </c>
      <c r="J2970" s="28" t="str">
        <f aca="false">IF(A2970="","",D2970*F2970)</f>
        <v/>
      </c>
      <c r="K2970" s="0" t="str">
        <f aca="false">IF(A2970="","",YEAR(A2970))</f>
        <v/>
      </c>
      <c r="L2970" s="0" t="str">
        <f aca="false">IF(A2970="","",MONTH(A2970))</f>
        <v/>
      </c>
    </row>
    <row r="2971" customFormat="false" ht="15" hidden="false" customHeight="false" outlineLevel="0" collapsed="false">
      <c r="A2971" s="27"/>
      <c r="E2971" s="28"/>
      <c r="F2971" s="28"/>
      <c r="I2971" s="28" t="str">
        <f aca="false">IF(A2971="","",D2971*E2971)</f>
        <v/>
      </c>
      <c r="J2971" s="28" t="str">
        <f aca="false">IF(A2971="","",D2971*F2971)</f>
        <v/>
      </c>
      <c r="K2971" s="0" t="str">
        <f aca="false">IF(A2971="","",YEAR(A2971))</f>
        <v/>
      </c>
      <c r="L2971" s="0" t="str">
        <f aca="false">IF(A2971="","",MONTH(A2971))</f>
        <v/>
      </c>
    </row>
    <row r="2972" customFormat="false" ht="15" hidden="false" customHeight="false" outlineLevel="0" collapsed="false">
      <c r="A2972" s="27"/>
      <c r="E2972" s="28"/>
      <c r="F2972" s="28"/>
      <c r="I2972" s="28" t="str">
        <f aca="false">IF(A2972="","",D2972*E2972)</f>
        <v/>
      </c>
      <c r="J2972" s="28" t="str">
        <f aca="false">IF(A2972="","",D2972*F2972)</f>
        <v/>
      </c>
      <c r="K2972" s="0" t="str">
        <f aca="false">IF(A2972="","",YEAR(A2972))</f>
        <v/>
      </c>
      <c r="L2972" s="0" t="str">
        <f aca="false">IF(A2972="","",MONTH(A2972))</f>
        <v/>
      </c>
    </row>
    <row r="2973" customFormat="false" ht="15" hidden="false" customHeight="false" outlineLevel="0" collapsed="false">
      <c r="A2973" s="27"/>
      <c r="E2973" s="28"/>
      <c r="F2973" s="28"/>
      <c r="I2973" s="28" t="str">
        <f aca="false">IF(A2973="","",D2973*E2973)</f>
        <v/>
      </c>
      <c r="J2973" s="28" t="str">
        <f aca="false">IF(A2973="","",D2973*F2973)</f>
        <v/>
      </c>
      <c r="K2973" s="0" t="str">
        <f aca="false">IF(A2973="","",YEAR(A2973))</f>
        <v/>
      </c>
      <c r="L2973" s="0" t="str">
        <f aca="false">IF(A2973="","",MONTH(A2973))</f>
        <v/>
      </c>
    </row>
    <row r="2974" customFormat="false" ht="15" hidden="false" customHeight="false" outlineLevel="0" collapsed="false">
      <c r="A2974" s="27"/>
      <c r="E2974" s="28"/>
      <c r="F2974" s="28"/>
      <c r="I2974" s="28" t="str">
        <f aca="false">IF(A2974="","",D2974*E2974)</f>
        <v/>
      </c>
      <c r="J2974" s="28" t="str">
        <f aca="false">IF(A2974="","",D2974*F2974)</f>
        <v/>
      </c>
      <c r="K2974" s="0" t="str">
        <f aca="false">IF(A2974="","",YEAR(A2974))</f>
        <v/>
      </c>
      <c r="L2974" s="0" t="str">
        <f aca="false">IF(A2974="","",MONTH(A2974))</f>
        <v/>
      </c>
    </row>
    <row r="2975" customFormat="false" ht="15" hidden="false" customHeight="false" outlineLevel="0" collapsed="false">
      <c r="A2975" s="27"/>
      <c r="E2975" s="28"/>
      <c r="F2975" s="28"/>
      <c r="I2975" s="28" t="str">
        <f aca="false">IF(A2975="","",D2975*E2975)</f>
        <v/>
      </c>
      <c r="J2975" s="28" t="str">
        <f aca="false">IF(A2975="","",D2975*F2975)</f>
        <v/>
      </c>
      <c r="K2975" s="0" t="str">
        <f aca="false">IF(A2975="","",YEAR(A2975))</f>
        <v/>
      </c>
      <c r="L2975" s="0" t="str">
        <f aca="false">IF(A2975="","",MONTH(A2975))</f>
        <v/>
      </c>
    </row>
    <row r="2976" customFormat="false" ht="15" hidden="false" customHeight="false" outlineLevel="0" collapsed="false">
      <c r="A2976" s="27"/>
      <c r="E2976" s="28"/>
      <c r="F2976" s="28"/>
      <c r="I2976" s="28" t="str">
        <f aca="false">IF(A2976="","",D2976*E2976)</f>
        <v/>
      </c>
      <c r="J2976" s="28" t="str">
        <f aca="false">IF(A2976="","",D2976*F2976)</f>
        <v/>
      </c>
      <c r="K2976" s="0" t="str">
        <f aca="false">IF(A2976="","",YEAR(A2976))</f>
        <v/>
      </c>
      <c r="L2976" s="0" t="str">
        <f aca="false">IF(A2976="","",MONTH(A2976))</f>
        <v/>
      </c>
    </row>
    <row r="2977" customFormat="false" ht="15" hidden="false" customHeight="false" outlineLevel="0" collapsed="false">
      <c r="A2977" s="27"/>
      <c r="E2977" s="28"/>
      <c r="F2977" s="28"/>
      <c r="I2977" s="28" t="str">
        <f aca="false">IF(A2977="","",D2977*E2977)</f>
        <v/>
      </c>
      <c r="J2977" s="28" t="str">
        <f aca="false">IF(A2977="","",D2977*F2977)</f>
        <v/>
      </c>
      <c r="K2977" s="0" t="str">
        <f aca="false">IF(A2977="","",YEAR(A2977))</f>
        <v/>
      </c>
      <c r="L2977" s="0" t="str">
        <f aca="false">IF(A2977="","",MONTH(A2977))</f>
        <v/>
      </c>
    </row>
    <row r="2978" customFormat="false" ht="15" hidden="false" customHeight="false" outlineLevel="0" collapsed="false">
      <c r="A2978" s="27"/>
      <c r="E2978" s="28"/>
      <c r="F2978" s="28"/>
      <c r="I2978" s="28" t="str">
        <f aca="false">IF(A2978="","",D2978*E2978)</f>
        <v/>
      </c>
      <c r="J2978" s="28" t="str">
        <f aca="false">IF(A2978="","",D2978*F2978)</f>
        <v/>
      </c>
      <c r="K2978" s="0" t="str">
        <f aca="false">IF(A2978="","",YEAR(A2978))</f>
        <v/>
      </c>
      <c r="L2978" s="0" t="str">
        <f aca="false">IF(A2978="","",MONTH(A2978))</f>
        <v/>
      </c>
    </row>
    <row r="2979" customFormat="false" ht="15" hidden="false" customHeight="false" outlineLevel="0" collapsed="false">
      <c r="A2979" s="27"/>
      <c r="E2979" s="28"/>
      <c r="F2979" s="28"/>
      <c r="I2979" s="28" t="str">
        <f aca="false">IF(A2979="","",D2979*E2979)</f>
        <v/>
      </c>
      <c r="J2979" s="28" t="str">
        <f aca="false">IF(A2979="","",D2979*F2979)</f>
        <v/>
      </c>
      <c r="K2979" s="0" t="str">
        <f aca="false">IF(A2979="","",YEAR(A2979))</f>
        <v/>
      </c>
      <c r="L2979" s="0" t="str">
        <f aca="false">IF(A2979="","",MONTH(A2979))</f>
        <v/>
      </c>
    </row>
    <row r="2980" customFormat="false" ht="15" hidden="false" customHeight="false" outlineLevel="0" collapsed="false">
      <c r="A2980" s="27"/>
      <c r="E2980" s="28"/>
      <c r="F2980" s="28"/>
      <c r="I2980" s="28" t="str">
        <f aca="false">IF(A2980="","",D2980*E2980)</f>
        <v/>
      </c>
      <c r="J2980" s="28" t="str">
        <f aca="false">IF(A2980="","",D2980*F2980)</f>
        <v/>
      </c>
      <c r="K2980" s="0" t="str">
        <f aca="false">IF(A2980="","",YEAR(A2980))</f>
        <v/>
      </c>
      <c r="L2980" s="0" t="str">
        <f aca="false">IF(A2980="","",MONTH(A2980))</f>
        <v/>
      </c>
    </row>
    <row r="2981" customFormat="false" ht="15" hidden="false" customHeight="false" outlineLevel="0" collapsed="false">
      <c r="A2981" s="27"/>
      <c r="E2981" s="28"/>
      <c r="F2981" s="28"/>
      <c r="I2981" s="28" t="str">
        <f aca="false">IF(A2981="","",D2981*E2981)</f>
        <v/>
      </c>
      <c r="J2981" s="28" t="str">
        <f aca="false">IF(A2981="","",D2981*F2981)</f>
        <v/>
      </c>
      <c r="K2981" s="0" t="str">
        <f aca="false">IF(A2981="","",YEAR(A2981))</f>
        <v/>
      </c>
      <c r="L2981" s="0" t="str">
        <f aca="false">IF(A2981="","",MONTH(A2981))</f>
        <v/>
      </c>
    </row>
    <row r="2982" customFormat="false" ht="15" hidden="false" customHeight="false" outlineLevel="0" collapsed="false">
      <c r="A2982" s="27"/>
      <c r="E2982" s="28"/>
      <c r="F2982" s="28"/>
      <c r="I2982" s="28" t="str">
        <f aca="false">IF(A2982="","",D2982*E2982)</f>
        <v/>
      </c>
      <c r="J2982" s="28" t="str">
        <f aca="false">IF(A2982="","",D2982*F2982)</f>
        <v/>
      </c>
      <c r="K2982" s="0" t="str">
        <f aca="false">IF(A2982="","",YEAR(A2982))</f>
        <v/>
      </c>
      <c r="L2982" s="0" t="str">
        <f aca="false">IF(A2982="","",MONTH(A2982))</f>
        <v/>
      </c>
    </row>
    <row r="2983" customFormat="false" ht="15" hidden="false" customHeight="false" outlineLevel="0" collapsed="false">
      <c r="A2983" s="27"/>
      <c r="E2983" s="28"/>
      <c r="F2983" s="28"/>
      <c r="I2983" s="28" t="str">
        <f aca="false">IF(A2983="","",D2983*E2983)</f>
        <v/>
      </c>
      <c r="J2983" s="28" t="str">
        <f aca="false">IF(A2983="","",D2983*F2983)</f>
        <v/>
      </c>
      <c r="K2983" s="0" t="str">
        <f aca="false">IF(A2983="","",YEAR(A2983))</f>
        <v/>
      </c>
      <c r="L2983" s="0" t="str">
        <f aca="false">IF(A2983="","",MONTH(A2983))</f>
        <v/>
      </c>
    </row>
    <row r="2984" customFormat="false" ht="15" hidden="false" customHeight="false" outlineLevel="0" collapsed="false">
      <c r="A2984" s="27"/>
      <c r="E2984" s="28"/>
      <c r="F2984" s="28"/>
      <c r="I2984" s="28" t="str">
        <f aca="false">IF(A2984="","",D2984*E2984)</f>
        <v/>
      </c>
      <c r="J2984" s="28" t="str">
        <f aca="false">IF(A2984="","",D2984*F2984)</f>
        <v/>
      </c>
      <c r="K2984" s="0" t="str">
        <f aca="false">IF(A2984="","",YEAR(A2984))</f>
        <v/>
      </c>
      <c r="L2984" s="0" t="str">
        <f aca="false">IF(A2984="","",MONTH(A2984))</f>
        <v/>
      </c>
    </row>
    <row r="2985" customFormat="false" ht="15" hidden="false" customHeight="false" outlineLevel="0" collapsed="false">
      <c r="A2985" s="27"/>
      <c r="E2985" s="28"/>
      <c r="F2985" s="28"/>
      <c r="I2985" s="28" t="str">
        <f aca="false">IF(A2985="","",D2985*E2985)</f>
        <v/>
      </c>
      <c r="J2985" s="28" t="str">
        <f aca="false">IF(A2985="","",D2985*F2985)</f>
        <v/>
      </c>
      <c r="K2985" s="0" t="str">
        <f aca="false">IF(A2985="","",YEAR(A2985))</f>
        <v/>
      </c>
      <c r="L2985" s="0" t="str">
        <f aca="false">IF(A2985="","",MONTH(A2985))</f>
        <v/>
      </c>
    </row>
    <row r="2986" customFormat="false" ht="15" hidden="false" customHeight="false" outlineLevel="0" collapsed="false">
      <c r="A2986" s="27"/>
      <c r="E2986" s="28"/>
      <c r="F2986" s="28"/>
      <c r="I2986" s="28" t="str">
        <f aca="false">IF(A2986="","",D2986*E2986)</f>
        <v/>
      </c>
      <c r="J2986" s="28" t="str">
        <f aca="false">IF(A2986="","",D2986*F2986)</f>
        <v/>
      </c>
      <c r="K2986" s="0" t="str">
        <f aca="false">IF(A2986="","",YEAR(A2986))</f>
        <v/>
      </c>
      <c r="L2986" s="0" t="str">
        <f aca="false">IF(A2986="","",MONTH(A2986))</f>
        <v/>
      </c>
    </row>
    <row r="2987" customFormat="false" ht="15" hidden="false" customHeight="false" outlineLevel="0" collapsed="false">
      <c r="A2987" s="27"/>
      <c r="E2987" s="28"/>
      <c r="F2987" s="28"/>
      <c r="I2987" s="28" t="str">
        <f aca="false">IF(A2987="","",D2987*E2987)</f>
        <v/>
      </c>
      <c r="J2987" s="28" t="str">
        <f aca="false">IF(A2987="","",D2987*F2987)</f>
        <v/>
      </c>
      <c r="K2987" s="0" t="str">
        <f aca="false">IF(A2987="","",YEAR(A2987))</f>
        <v/>
      </c>
      <c r="L2987" s="0" t="str">
        <f aca="false">IF(A2987="","",MONTH(A2987))</f>
        <v/>
      </c>
    </row>
    <row r="2988" customFormat="false" ht="15" hidden="false" customHeight="false" outlineLevel="0" collapsed="false">
      <c r="A2988" s="27"/>
      <c r="E2988" s="28"/>
      <c r="F2988" s="28"/>
      <c r="I2988" s="28" t="str">
        <f aca="false">IF(A2988="","",D2988*E2988)</f>
        <v/>
      </c>
      <c r="J2988" s="28" t="str">
        <f aca="false">IF(A2988="","",D2988*F2988)</f>
        <v/>
      </c>
      <c r="K2988" s="0" t="str">
        <f aca="false">IF(A2988="","",YEAR(A2988))</f>
        <v/>
      </c>
      <c r="L2988" s="0" t="str">
        <f aca="false">IF(A2988="","",MONTH(A2988))</f>
        <v/>
      </c>
    </row>
    <row r="2989" customFormat="false" ht="15" hidden="false" customHeight="false" outlineLevel="0" collapsed="false">
      <c r="A2989" s="27"/>
      <c r="E2989" s="28"/>
      <c r="F2989" s="28"/>
      <c r="I2989" s="28" t="str">
        <f aca="false">IF(A2989="","",D2989*E2989)</f>
        <v/>
      </c>
      <c r="J2989" s="28" t="str">
        <f aca="false">IF(A2989="","",D2989*F2989)</f>
        <v/>
      </c>
      <c r="K2989" s="0" t="str">
        <f aca="false">IF(A2989="","",YEAR(A2989))</f>
        <v/>
      </c>
      <c r="L2989" s="0" t="str">
        <f aca="false">IF(A2989="","",MONTH(A2989))</f>
        <v/>
      </c>
    </row>
    <row r="2990" customFormat="false" ht="15" hidden="false" customHeight="false" outlineLevel="0" collapsed="false">
      <c r="A2990" s="27"/>
      <c r="E2990" s="28"/>
      <c r="F2990" s="28"/>
      <c r="I2990" s="28" t="str">
        <f aca="false">IF(A2990="","",D2990*E2990)</f>
        <v/>
      </c>
      <c r="J2990" s="28" t="str">
        <f aca="false">IF(A2990="","",D2990*F2990)</f>
        <v/>
      </c>
      <c r="K2990" s="0" t="str">
        <f aca="false">IF(A2990="","",YEAR(A2990))</f>
        <v/>
      </c>
      <c r="L2990" s="0" t="str">
        <f aca="false">IF(A2990="","",MONTH(A2990))</f>
        <v/>
      </c>
    </row>
    <row r="2991" customFormat="false" ht="15" hidden="false" customHeight="false" outlineLevel="0" collapsed="false">
      <c r="A2991" s="27"/>
      <c r="E2991" s="28"/>
      <c r="F2991" s="28"/>
      <c r="I2991" s="28" t="str">
        <f aca="false">IF(A2991="","",D2991*E2991)</f>
        <v/>
      </c>
      <c r="J2991" s="28" t="str">
        <f aca="false">IF(A2991="","",D2991*F2991)</f>
        <v/>
      </c>
      <c r="K2991" s="0" t="str">
        <f aca="false">IF(A2991="","",YEAR(A2991))</f>
        <v/>
      </c>
      <c r="L2991" s="0" t="str">
        <f aca="false">IF(A2991="","",MONTH(A2991))</f>
        <v/>
      </c>
    </row>
    <row r="2992" customFormat="false" ht="15" hidden="false" customHeight="false" outlineLevel="0" collapsed="false">
      <c r="A2992" s="27"/>
      <c r="E2992" s="28"/>
      <c r="F2992" s="28"/>
      <c r="I2992" s="28" t="str">
        <f aca="false">IF(A2992="","",D2992*E2992)</f>
        <v/>
      </c>
      <c r="J2992" s="28" t="str">
        <f aca="false">IF(A2992="","",D2992*F2992)</f>
        <v/>
      </c>
      <c r="K2992" s="0" t="str">
        <f aca="false">IF(A2992="","",YEAR(A2992))</f>
        <v/>
      </c>
      <c r="L2992" s="0" t="str">
        <f aca="false">IF(A2992="","",MONTH(A2992))</f>
        <v/>
      </c>
    </row>
    <row r="2993" customFormat="false" ht="15" hidden="false" customHeight="false" outlineLevel="0" collapsed="false">
      <c r="A2993" s="27"/>
      <c r="E2993" s="28"/>
      <c r="F2993" s="28"/>
      <c r="I2993" s="28" t="str">
        <f aca="false">IF(A2993="","",D2993*E2993)</f>
        <v/>
      </c>
      <c r="J2993" s="28" t="str">
        <f aca="false">IF(A2993="","",D2993*F2993)</f>
        <v/>
      </c>
      <c r="K2993" s="0" t="str">
        <f aca="false">IF(A2993="","",YEAR(A2993))</f>
        <v/>
      </c>
      <c r="L2993" s="0" t="str">
        <f aca="false">IF(A2993="","",MONTH(A2993))</f>
        <v/>
      </c>
    </row>
    <row r="2994" customFormat="false" ht="15" hidden="false" customHeight="false" outlineLevel="0" collapsed="false">
      <c r="A2994" s="27"/>
      <c r="E2994" s="28"/>
      <c r="F2994" s="28"/>
      <c r="I2994" s="28" t="str">
        <f aca="false">IF(A2994="","",D2994*E2994)</f>
        <v/>
      </c>
      <c r="J2994" s="28" t="str">
        <f aca="false">IF(A2994="","",D2994*F2994)</f>
        <v/>
      </c>
      <c r="K2994" s="0" t="str">
        <f aca="false">IF(A2994="","",YEAR(A2994))</f>
        <v/>
      </c>
      <c r="L2994" s="0" t="str">
        <f aca="false">IF(A2994="","",MONTH(A2994))</f>
        <v/>
      </c>
    </row>
    <row r="2995" customFormat="false" ht="15" hidden="false" customHeight="false" outlineLevel="0" collapsed="false">
      <c r="A2995" s="27"/>
      <c r="E2995" s="28"/>
      <c r="F2995" s="28"/>
      <c r="I2995" s="28" t="str">
        <f aca="false">IF(A2995="","",D2995*E2995)</f>
        <v/>
      </c>
      <c r="J2995" s="28" t="str">
        <f aca="false">IF(A2995="","",D2995*F2995)</f>
        <v/>
      </c>
      <c r="K2995" s="0" t="str">
        <f aca="false">IF(A2995="","",YEAR(A2995))</f>
        <v/>
      </c>
      <c r="L2995" s="0" t="str">
        <f aca="false">IF(A2995="","",MONTH(A2995))</f>
        <v/>
      </c>
    </row>
    <row r="2996" customFormat="false" ht="15" hidden="false" customHeight="false" outlineLevel="0" collapsed="false">
      <c r="A2996" s="27"/>
      <c r="E2996" s="28"/>
      <c r="F2996" s="28"/>
      <c r="I2996" s="28" t="str">
        <f aca="false">IF(A2996="","",D2996*E2996)</f>
        <v/>
      </c>
      <c r="J2996" s="28" t="str">
        <f aca="false">IF(A2996="","",D2996*F2996)</f>
        <v/>
      </c>
      <c r="K2996" s="0" t="str">
        <f aca="false">IF(A2996="","",YEAR(A2996))</f>
        <v/>
      </c>
      <c r="L2996" s="0" t="str">
        <f aca="false">IF(A2996="","",MONTH(A2996))</f>
        <v/>
      </c>
    </row>
    <row r="2997" customFormat="false" ht="15" hidden="false" customHeight="false" outlineLevel="0" collapsed="false">
      <c r="A2997" s="27"/>
      <c r="E2997" s="28"/>
      <c r="F2997" s="28"/>
      <c r="I2997" s="28" t="str">
        <f aca="false">IF(A2997="","",D2997*E2997)</f>
        <v/>
      </c>
      <c r="J2997" s="28" t="str">
        <f aca="false">IF(A2997="","",D2997*F2997)</f>
        <v/>
      </c>
      <c r="K2997" s="0" t="str">
        <f aca="false">IF(A2997="","",YEAR(A2997))</f>
        <v/>
      </c>
      <c r="L2997" s="0" t="str">
        <f aca="false">IF(A2997="","",MONTH(A2997))</f>
        <v/>
      </c>
    </row>
    <row r="2998" customFormat="false" ht="15" hidden="false" customHeight="false" outlineLevel="0" collapsed="false">
      <c r="A2998" s="27"/>
      <c r="E2998" s="28"/>
      <c r="F2998" s="28"/>
      <c r="I2998" s="28" t="str">
        <f aca="false">IF(A2998="","",D2998*E2998)</f>
        <v/>
      </c>
      <c r="J2998" s="28" t="str">
        <f aca="false">IF(A2998="","",D2998*F2998)</f>
        <v/>
      </c>
      <c r="K2998" s="0" t="str">
        <f aca="false">IF(A2998="","",YEAR(A2998))</f>
        <v/>
      </c>
      <c r="L2998" s="0" t="str">
        <f aca="false">IF(A2998="","",MONTH(A2998))</f>
        <v/>
      </c>
    </row>
    <row r="2999" customFormat="false" ht="15" hidden="false" customHeight="false" outlineLevel="0" collapsed="false">
      <c r="A2999" s="27"/>
      <c r="E2999" s="28"/>
      <c r="F2999" s="28"/>
      <c r="I2999" s="28" t="str">
        <f aca="false">IF(A2999="","",D2999*E2999)</f>
        <v/>
      </c>
      <c r="J2999" s="28" t="str">
        <f aca="false">IF(A2999="","",D2999*F2999)</f>
        <v/>
      </c>
      <c r="K2999" s="0" t="str">
        <f aca="false">IF(A2999="","",YEAR(A2999))</f>
        <v/>
      </c>
      <c r="L2999" s="0" t="str">
        <f aca="false">IF(A2999="","",MONTH(A2999))</f>
        <v/>
      </c>
    </row>
    <row r="3000" customFormat="false" ht="15" hidden="false" customHeight="false" outlineLevel="0" collapsed="false">
      <c r="A3000" s="27"/>
      <c r="E3000" s="28"/>
      <c r="F3000" s="28"/>
      <c r="I3000" s="28" t="str">
        <f aca="false">IF(A3000="","",D3000*E3000)</f>
        <v/>
      </c>
      <c r="J3000" s="28" t="str">
        <f aca="false">IF(A3000="","",D3000*F3000)</f>
        <v/>
      </c>
      <c r="K3000" s="0" t="str">
        <f aca="false">IF(A3000="","",YEAR(A3000))</f>
        <v/>
      </c>
      <c r="L3000" s="0" t="str">
        <f aca="false">IF(A3000="","",MONTH(A3000))</f>
        <v/>
      </c>
    </row>
    <row r="3001" customFormat="false" ht="15" hidden="false" customHeight="false" outlineLevel="0" collapsed="false">
      <c r="A3001" s="27"/>
      <c r="E3001" s="28"/>
      <c r="F3001" s="28"/>
      <c r="I3001" s="28" t="str">
        <f aca="false">IF(A3001="","",D3001*E3001)</f>
        <v/>
      </c>
      <c r="J3001" s="28" t="str">
        <f aca="false">IF(A3001="","",D3001*F3001)</f>
        <v/>
      </c>
      <c r="K3001" s="0" t="str">
        <f aca="false">IF(A3001="","",YEAR(A3001))</f>
        <v/>
      </c>
      <c r="L3001" s="0" t="str">
        <f aca="false">IF(A3001="","",MONTH(A3001))</f>
        <v/>
      </c>
    </row>
    <row r="3002" customFormat="false" ht="15" hidden="false" customHeight="false" outlineLevel="0" collapsed="false">
      <c r="A3002" s="27"/>
      <c r="E3002" s="28"/>
      <c r="F3002" s="28"/>
      <c r="I3002" s="28" t="str">
        <f aca="false">IF(A3002="","",D3002*E3002)</f>
        <v/>
      </c>
      <c r="J3002" s="28" t="str">
        <f aca="false">IF(A3002="","",D3002*F3002)</f>
        <v/>
      </c>
      <c r="K3002" s="0" t="str">
        <f aca="false">IF(A3002="","",YEAR(A3002))</f>
        <v/>
      </c>
      <c r="L3002" s="0" t="str">
        <f aca="false">IF(A3002="","",MONTH(A3002))</f>
        <v/>
      </c>
    </row>
    <row r="3003" customFormat="false" ht="15" hidden="false" customHeight="false" outlineLevel="0" collapsed="false">
      <c r="A3003" s="27"/>
      <c r="E3003" s="28"/>
      <c r="F3003" s="28"/>
      <c r="I3003" s="28" t="str">
        <f aca="false">IF(A3003="","",D3003*E3003)</f>
        <v/>
      </c>
      <c r="J3003" s="28" t="str">
        <f aca="false">IF(A3003="","",D3003*F3003)</f>
        <v/>
      </c>
      <c r="K3003" s="0" t="str">
        <f aca="false">IF(A3003="","",YEAR(A3003))</f>
        <v/>
      </c>
      <c r="L3003" s="0" t="str">
        <f aca="false">IF(A3003="","",MONTH(A3003))</f>
        <v/>
      </c>
    </row>
    <row r="3004" customFormat="false" ht="15" hidden="false" customHeight="false" outlineLevel="0" collapsed="false">
      <c r="A3004" s="27"/>
      <c r="E3004" s="28"/>
      <c r="F3004" s="28"/>
      <c r="I3004" s="28" t="str">
        <f aca="false">IF(A3004="","",D3004*E3004)</f>
        <v/>
      </c>
      <c r="J3004" s="28" t="str">
        <f aca="false">IF(A3004="","",D3004*F3004)</f>
        <v/>
      </c>
      <c r="K3004" s="0" t="str">
        <f aca="false">IF(A3004="","",YEAR(A3004))</f>
        <v/>
      </c>
      <c r="L3004" s="0" t="str">
        <f aca="false">IF(A3004="","",MONTH(A3004))</f>
        <v/>
      </c>
    </row>
    <row r="3005" customFormat="false" ht="15" hidden="false" customHeight="false" outlineLevel="0" collapsed="false">
      <c r="A3005" s="27"/>
      <c r="E3005" s="28"/>
      <c r="F3005" s="28"/>
      <c r="I3005" s="28" t="str">
        <f aca="false">IF(A3005="","",D3005*E3005)</f>
        <v/>
      </c>
      <c r="J3005" s="28" t="str">
        <f aca="false">IF(A3005="","",D3005*F3005)</f>
        <v/>
      </c>
      <c r="K3005" s="0" t="str">
        <f aca="false">IF(A3005="","",YEAR(A3005))</f>
        <v/>
      </c>
      <c r="L3005" s="0" t="str">
        <f aca="false">IF(A3005="","",MONTH(A3005))</f>
        <v/>
      </c>
    </row>
    <row r="3006" customFormat="false" ht="15" hidden="false" customHeight="false" outlineLevel="0" collapsed="false">
      <c r="A3006" s="27"/>
      <c r="E3006" s="28"/>
      <c r="F3006" s="28"/>
      <c r="I3006" s="28" t="str">
        <f aca="false">IF(A3006="","",D3006*E3006)</f>
        <v/>
      </c>
      <c r="J3006" s="28" t="str">
        <f aca="false">IF(A3006="","",D3006*F3006)</f>
        <v/>
      </c>
      <c r="K3006" s="0" t="str">
        <f aca="false">IF(A3006="","",YEAR(A3006))</f>
        <v/>
      </c>
      <c r="L3006" s="0" t="str">
        <f aca="false">IF(A3006="","",MONTH(A3006))</f>
        <v/>
      </c>
    </row>
    <row r="3007" customFormat="false" ht="15" hidden="false" customHeight="false" outlineLevel="0" collapsed="false">
      <c r="A3007" s="27"/>
      <c r="E3007" s="28"/>
      <c r="F3007" s="28"/>
      <c r="I3007" s="28" t="str">
        <f aca="false">IF(A3007="","",D3007*E3007)</f>
        <v/>
      </c>
      <c r="J3007" s="28" t="str">
        <f aca="false">IF(A3007="","",D3007*F3007)</f>
        <v/>
      </c>
      <c r="K3007" s="0" t="str">
        <f aca="false">IF(A3007="","",YEAR(A3007))</f>
        <v/>
      </c>
      <c r="L3007" s="0" t="str">
        <f aca="false">IF(A3007="","",MONTH(A3007))</f>
        <v/>
      </c>
    </row>
    <row r="3008" customFormat="false" ht="15" hidden="false" customHeight="false" outlineLevel="0" collapsed="false">
      <c r="A3008" s="27"/>
      <c r="E3008" s="28"/>
      <c r="F3008" s="28"/>
      <c r="I3008" s="28" t="str">
        <f aca="false">IF(A3008="","",D3008*E3008)</f>
        <v/>
      </c>
      <c r="J3008" s="28" t="str">
        <f aca="false">IF(A3008="","",D3008*F3008)</f>
        <v/>
      </c>
      <c r="K3008" s="0" t="str">
        <f aca="false">IF(A3008="","",YEAR(A3008))</f>
        <v/>
      </c>
      <c r="L3008" s="0" t="str">
        <f aca="false">IF(A3008="","",MONTH(A3008))</f>
        <v/>
      </c>
    </row>
    <row r="3009" customFormat="false" ht="15" hidden="false" customHeight="false" outlineLevel="0" collapsed="false">
      <c r="A3009" s="27"/>
      <c r="E3009" s="28"/>
      <c r="F3009" s="28"/>
      <c r="I3009" s="28" t="str">
        <f aca="false">IF(A3009="","",D3009*E3009)</f>
        <v/>
      </c>
      <c r="J3009" s="28" t="str">
        <f aca="false">IF(A3009="","",D3009*F3009)</f>
        <v/>
      </c>
      <c r="K3009" s="0" t="str">
        <f aca="false">IF(A3009="","",YEAR(A3009))</f>
        <v/>
      </c>
      <c r="L3009" s="0" t="str">
        <f aca="false">IF(A3009="","",MONTH(A3009))</f>
        <v/>
      </c>
    </row>
    <row r="3010" customFormat="false" ht="15" hidden="false" customHeight="false" outlineLevel="0" collapsed="false">
      <c r="A3010" s="27"/>
      <c r="E3010" s="28"/>
      <c r="F3010" s="28"/>
      <c r="I3010" s="28" t="str">
        <f aca="false">IF(A3010="","",D3010*E3010)</f>
        <v/>
      </c>
      <c r="J3010" s="28" t="str">
        <f aca="false">IF(A3010="","",D3010*F3010)</f>
        <v/>
      </c>
      <c r="K3010" s="0" t="str">
        <f aca="false">IF(A3010="","",YEAR(A3010))</f>
        <v/>
      </c>
      <c r="L3010" s="0" t="str">
        <f aca="false">IF(A3010="","",MONTH(A3010))</f>
        <v/>
      </c>
    </row>
    <row r="3011" customFormat="false" ht="15" hidden="false" customHeight="false" outlineLevel="0" collapsed="false">
      <c r="A3011" s="27"/>
      <c r="E3011" s="28"/>
      <c r="F3011" s="28"/>
      <c r="I3011" s="28" t="str">
        <f aca="false">IF(A3011="","",D3011*E3011)</f>
        <v/>
      </c>
      <c r="J3011" s="28" t="str">
        <f aca="false">IF(A3011="","",D3011*F3011)</f>
        <v/>
      </c>
      <c r="K3011" s="0" t="str">
        <f aca="false">IF(A3011="","",YEAR(A3011))</f>
        <v/>
      </c>
      <c r="L3011" s="0" t="str">
        <f aca="false">IF(A3011="","",MONTH(A3011))</f>
        <v/>
      </c>
    </row>
    <row r="3012" customFormat="false" ht="15" hidden="false" customHeight="false" outlineLevel="0" collapsed="false">
      <c r="A3012" s="27"/>
      <c r="E3012" s="28"/>
      <c r="F3012" s="28"/>
      <c r="I3012" s="28" t="str">
        <f aca="false">IF(A3012="","",D3012*E3012)</f>
        <v/>
      </c>
      <c r="J3012" s="28" t="str">
        <f aca="false">IF(A3012="","",D3012*F3012)</f>
        <v/>
      </c>
      <c r="K3012" s="0" t="str">
        <f aca="false">IF(A3012="","",YEAR(A3012))</f>
        <v/>
      </c>
      <c r="L3012" s="0" t="str">
        <f aca="false">IF(A3012="","",MONTH(A3012))</f>
        <v/>
      </c>
    </row>
    <row r="3013" customFormat="false" ht="15" hidden="false" customHeight="false" outlineLevel="0" collapsed="false">
      <c r="A3013" s="27"/>
      <c r="E3013" s="28"/>
      <c r="F3013" s="28"/>
      <c r="I3013" s="28" t="str">
        <f aca="false">IF(A3013="","",D3013*E3013)</f>
        <v/>
      </c>
      <c r="J3013" s="28" t="str">
        <f aca="false">IF(A3013="","",D3013*F3013)</f>
        <v/>
      </c>
      <c r="K3013" s="0" t="str">
        <f aca="false">IF(A3013="","",YEAR(A3013))</f>
        <v/>
      </c>
      <c r="L3013" s="0" t="str">
        <f aca="false">IF(A3013="","",MONTH(A3013))</f>
        <v/>
      </c>
    </row>
    <row r="3014" customFormat="false" ht="15" hidden="false" customHeight="false" outlineLevel="0" collapsed="false">
      <c r="A3014" s="27"/>
      <c r="E3014" s="28"/>
      <c r="F3014" s="28"/>
      <c r="I3014" s="28" t="str">
        <f aca="false">IF(A3014="","",D3014*E3014)</f>
        <v/>
      </c>
      <c r="J3014" s="28" t="str">
        <f aca="false">IF(A3014="","",D3014*F3014)</f>
        <v/>
      </c>
      <c r="K3014" s="0" t="str">
        <f aca="false">IF(A3014="","",YEAR(A3014))</f>
        <v/>
      </c>
      <c r="L3014" s="0" t="str">
        <f aca="false">IF(A3014="","",MONTH(A3014))</f>
        <v/>
      </c>
    </row>
    <row r="3015" customFormat="false" ht="15" hidden="false" customHeight="false" outlineLevel="0" collapsed="false">
      <c r="A3015" s="27"/>
      <c r="E3015" s="28"/>
      <c r="F3015" s="28"/>
      <c r="I3015" s="28" t="str">
        <f aca="false">IF(A3015="","",D3015*E3015)</f>
        <v/>
      </c>
      <c r="J3015" s="28" t="str">
        <f aca="false">IF(A3015="","",D3015*F3015)</f>
        <v/>
      </c>
      <c r="K3015" s="0" t="str">
        <f aca="false">IF(A3015="","",YEAR(A3015))</f>
        <v/>
      </c>
      <c r="L3015" s="0" t="str">
        <f aca="false">IF(A3015="","",MONTH(A3015))</f>
        <v/>
      </c>
    </row>
    <row r="3016" customFormat="false" ht="15" hidden="false" customHeight="false" outlineLevel="0" collapsed="false">
      <c r="A3016" s="27"/>
      <c r="E3016" s="28"/>
      <c r="F3016" s="28"/>
      <c r="I3016" s="28" t="str">
        <f aca="false">IF(A3016="","",D3016*E3016)</f>
        <v/>
      </c>
      <c r="J3016" s="28" t="str">
        <f aca="false">IF(A3016="","",D3016*F3016)</f>
        <v/>
      </c>
      <c r="K3016" s="0" t="str">
        <f aca="false">IF(A3016="","",YEAR(A3016))</f>
        <v/>
      </c>
      <c r="L3016" s="0" t="str">
        <f aca="false">IF(A3016="","",MONTH(A3016))</f>
        <v/>
      </c>
    </row>
    <row r="3017" customFormat="false" ht="15" hidden="false" customHeight="false" outlineLevel="0" collapsed="false">
      <c r="A3017" s="27"/>
      <c r="E3017" s="28"/>
      <c r="F3017" s="28"/>
      <c r="I3017" s="28" t="str">
        <f aca="false">IF(A3017="","",D3017*E3017)</f>
        <v/>
      </c>
      <c r="J3017" s="28" t="str">
        <f aca="false">IF(A3017="","",D3017*F3017)</f>
        <v/>
      </c>
      <c r="K3017" s="0" t="str">
        <f aca="false">IF(A3017="","",YEAR(A3017))</f>
        <v/>
      </c>
      <c r="L3017" s="0" t="str">
        <f aca="false">IF(A3017="","",MONTH(A3017))</f>
        <v/>
      </c>
    </row>
    <row r="3018" customFormat="false" ht="15" hidden="false" customHeight="false" outlineLevel="0" collapsed="false">
      <c r="A3018" s="27"/>
      <c r="E3018" s="28"/>
      <c r="F3018" s="28"/>
      <c r="I3018" s="28" t="str">
        <f aca="false">IF(A3018="","",D3018*E3018)</f>
        <v/>
      </c>
      <c r="J3018" s="28" t="str">
        <f aca="false">IF(A3018="","",D3018*F3018)</f>
        <v/>
      </c>
      <c r="K3018" s="0" t="str">
        <f aca="false">IF(A3018="","",YEAR(A3018))</f>
        <v/>
      </c>
      <c r="L3018" s="0" t="str">
        <f aca="false">IF(A3018="","",MONTH(A3018))</f>
        <v/>
      </c>
    </row>
    <row r="3019" customFormat="false" ht="15" hidden="false" customHeight="false" outlineLevel="0" collapsed="false">
      <c r="A3019" s="27"/>
      <c r="E3019" s="28"/>
      <c r="F3019" s="28"/>
      <c r="I3019" s="28" t="str">
        <f aca="false">IF(A3019="","",D3019*E3019)</f>
        <v/>
      </c>
      <c r="J3019" s="28" t="str">
        <f aca="false">IF(A3019="","",D3019*F3019)</f>
        <v/>
      </c>
      <c r="K3019" s="0" t="str">
        <f aca="false">IF(A3019="","",YEAR(A3019))</f>
        <v/>
      </c>
      <c r="L3019" s="0" t="str">
        <f aca="false">IF(A3019="","",MONTH(A3019))</f>
        <v/>
      </c>
    </row>
    <row r="3020" customFormat="false" ht="15" hidden="false" customHeight="false" outlineLevel="0" collapsed="false">
      <c r="A3020" s="27"/>
      <c r="E3020" s="28"/>
      <c r="F3020" s="28"/>
      <c r="I3020" s="28" t="str">
        <f aca="false">IF(A3020="","",D3020*E3020)</f>
        <v/>
      </c>
      <c r="J3020" s="28" t="str">
        <f aca="false">IF(A3020="","",D3020*F3020)</f>
        <v/>
      </c>
      <c r="K3020" s="0" t="str">
        <f aca="false">IF(A3020="","",YEAR(A3020))</f>
        <v/>
      </c>
      <c r="L3020" s="0" t="str">
        <f aca="false">IF(A3020="","",MONTH(A3020))</f>
        <v/>
      </c>
    </row>
    <row r="3021" customFormat="false" ht="15" hidden="false" customHeight="false" outlineLevel="0" collapsed="false">
      <c r="A3021" s="27"/>
      <c r="E3021" s="28"/>
      <c r="F3021" s="28"/>
      <c r="I3021" s="28" t="str">
        <f aca="false">IF(A3021="","",D3021*E3021)</f>
        <v/>
      </c>
      <c r="J3021" s="28" t="str">
        <f aca="false">IF(A3021="","",D3021*F3021)</f>
        <v/>
      </c>
      <c r="K3021" s="0" t="str">
        <f aca="false">IF(A3021="","",YEAR(A3021))</f>
        <v/>
      </c>
      <c r="L3021" s="0" t="str">
        <f aca="false">IF(A3021="","",MONTH(A3021))</f>
        <v/>
      </c>
    </row>
    <row r="3022" customFormat="false" ht="15" hidden="false" customHeight="false" outlineLevel="0" collapsed="false">
      <c r="A3022" s="27"/>
      <c r="E3022" s="28"/>
      <c r="F3022" s="28"/>
      <c r="I3022" s="28" t="str">
        <f aca="false">IF(A3022="","",D3022*E3022)</f>
        <v/>
      </c>
      <c r="J3022" s="28" t="str">
        <f aca="false">IF(A3022="","",D3022*F3022)</f>
        <v/>
      </c>
      <c r="K3022" s="0" t="str">
        <f aca="false">IF(A3022="","",YEAR(A3022))</f>
        <v/>
      </c>
      <c r="L3022" s="0" t="str">
        <f aca="false">IF(A3022="","",MONTH(A3022))</f>
        <v/>
      </c>
    </row>
    <row r="3023" customFormat="false" ht="15" hidden="false" customHeight="false" outlineLevel="0" collapsed="false">
      <c r="A3023" s="27"/>
      <c r="E3023" s="28"/>
      <c r="F3023" s="28"/>
      <c r="I3023" s="28" t="str">
        <f aca="false">IF(A3023="","",D3023*E3023)</f>
        <v/>
      </c>
      <c r="J3023" s="28" t="str">
        <f aca="false">IF(A3023="","",D3023*F3023)</f>
        <v/>
      </c>
      <c r="K3023" s="0" t="str">
        <f aca="false">IF(A3023="","",YEAR(A3023))</f>
        <v/>
      </c>
      <c r="L3023" s="0" t="str">
        <f aca="false">IF(A3023="","",MONTH(A3023))</f>
        <v/>
      </c>
    </row>
    <row r="3024" customFormat="false" ht="15" hidden="false" customHeight="false" outlineLevel="0" collapsed="false">
      <c r="A3024" s="27"/>
      <c r="E3024" s="28"/>
      <c r="F3024" s="28"/>
      <c r="I3024" s="28" t="str">
        <f aca="false">IF(A3024="","",D3024*E3024)</f>
        <v/>
      </c>
      <c r="J3024" s="28" t="str">
        <f aca="false">IF(A3024="","",D3024*F3024)</f>
        <v/>
      </c>
      <c r="K3024" s="0" t="str">
        <f aca="false">IF(A3024="","",YEAR(A3024))</f>
        <v/>
      </c>
      <c r="L3024" s="0" t="str">
        <f aca="false">IF(A3024="","",MONTH(A3024))</f>
        <v/>
      </c>
    </row>
    <row r="3025" customFormat="false" ht="15" hidden="false" customHeight="false" outlineLevel="0" collapsed="false">
      <c r="A3025" s="27"/>
      <c r="E3025" s="28"/>
      <c r="F3025" s="28"/>
      <c r="I3025" s="28" t="str">
        <f aca="false">IF(A3025="","",D3025*E3025)</f>
        <v/>
      </c>
      <c r="J3025" s="28" t="str">
        <f aca="false">IF(A3025="","",D3025*F3025)</f>
        <v/>
      </c>
      <c r="K3025" s="0" t="str">
        <f aca="false">IF(A3025="","",YEAR(A3025))</f>
        <v/>
      </c>
      <c r="L3025" s="0" t="str">
        <f aca="false">IF(A3025="","",MONTH(A3025))</f>
        <v/>
      </c>
    </row>
    <row r="3026" customFormat="false" ht="15" hidden="false" customHeight="false" outlineLevel="0" collapsed="false">
      <c r="A3026" s="27"/>
      <c r="E3026" s="28"/>
      <c r="F3026" s="28"/>
      <c r="I3026" s="28" t="str">
        <f aca="false">IF(A3026="","",D3026*E3026)</f>
        <v/>
      </c>
      <c r="J3026" s="28" t="str">
        <f aca="false">IF(A3026="","",D3026*F3026)</f>
        <v/>
      </c>
      <c r="K3026" s="0" t="str">
        <f aca="false">IF(A3026="","",YEAR(A3026))</f>
        <v/>
      </c>
      <c r="L3026" s="0" t="str">
        <f aca="false">IF(A3026="","",MONTH(A3026))</f>
        <v/>
      </c>
    </row>
    <row r="3027" customFormat="false" ht="15" hidden="false" customHeight="false" outlineLevel="0" collapsed="false">
      <c r="A3027" s="27"/>
      <c r="E3027" s="28"/>
      <c r="F3027" s="28"/>
      <c r="I3027" s="28" t="str">
        <f aca="false">IF(A3027="","",D3027*E3027)</f>
        <v/>
      </c>
      <c r="J3027" s="28" t="str">
        <f aca="false">IF(A3027="","",D3027*F3027)</f>
        <v/>
      </c>
      <c r="K3027" s="0" t="str">
        <f aca="false">IF(A3027="","",YEAR(A3027))</f>
        <v/>
      </c>
      <c r="L3027" s="0" t="str">
        <f aca="false">IF(A3027="","",MONTH(A3027))</f>
        <v/>
      </c>
    </row>
    <row r="3028" customFormat="false" ht="15" hidden="false" customHeight="false" outlineLevel="0" collapsed="false">
      <c r="A3028" s="27"/>
      <c r="E3028" s="28"/>
      <c r="F3028" s="28"/>
      <c r="I3028" s="28" t="str">
        <f aca="false">IF(A3028="","",D3028*E3028)</f>
        <v/>
      </c>
      <c r="J3028" s="28" t="str">
        <f aca="false">IF(A3028="","",D3028*F3028)</f>
        <v/>
      </c>
      <c r="K3028" s="0" t="str">
        <f aca="false">IF(A3028="","",YEAR(A3028))</f>
        <v/>
      </c>
      <c r="L3028" s="0" t="str">
        <f aca="false">IF(A3028="","",MONTH(A3028))</f>
        <v/>
      </c>
    </row>
    <row r="3029" customFormat="false" ht="15" hidden="false" customHeight="false" outlineLevel="0" collapsed="false">
      <c r="A3029" s="27"/>
      <c r="E3029" s="28"/>
      <c r="F3029" s="28"/>
      <c r="I3029" s="28" t="str">
        <f aca="false">IF(A3029="","",D3029*E3029)</f>
        <v/>
      </c>
      <c r="J3029" s="28" t="str">
        <f aca="false">IF(A3029="","",D3029*F3029)</f>
        <v/>
      </c>
      <c r="K3029" s="0" t="str">
        <f aca="false">IF(A3029="","",YEAR(A3029))</f>
        <v/>
      </c>
      <c r="L3029" s="0" t="str">
        <f aca="false">IF(A3029="","",MONTH(A3029))</f>
        <v/>
      </c>
    </row>
    <row r="3030" customFormat="false" ht="15" hidden="false" customHeight="false" outlineLevel="0" collapsed="false">
      <c r="A3030" s="27"/>
      <c r="E3030" s="28"/>
      <c r="F3030" s="28"/>
      <c r="I3030" s="28" t="str">
        <f aca="false">IF(A3030="","",D3030*E3030)</f>
        <v/>
      </c>
      <c r="J3030" s="28" t="str">
        <f aca="false">IF(A3030="","",D3030*F3030)</f>
        <v/>
      </c>
      <c r="K3030" s="0" t="str">
        <f aca="false">IF(A3030="","",YEAR(A3030))</f>
        <v/>
      </c>
      <c r="L3030" s="0" t="str">
        <f aca="false">IF(A3030="","",MONTH(A3030))</f>
        <v/>
      </c>
    </row>
    <row r="3031" customFormat="false" ht="15" hidden="false" customHeight="false" outlineLevel="0" collapsed="false">
      <c r="A3031" s="27"/>
      <c r="E3031" s="28"/>
      <c r="F3031" s="28"/>
      <c r="I3031" s="28" t="str">
        <f aca="false">IF(A3031="","",D3031*E3031)</f>
        <v/>
      </c>
      <c r="J3031" s="28" t="str">
        <f aca="false">IF(A3031="","",D3031*F3031)</f>
        <v/>
      </c>
      <c r="K3031" s="0" t="str">
        <f aca="false">IF(A3031="","",YEAR(A3031))</f>
        <v/>
      </c>
      <c r="L3031" s="0" t="str">
        <f aca="false">IF(A3031="","",MONTH(A3031))</f>
        <v/>
      </c>
    </row>
    <row r="3032" customFormat="false" ht="15" hidden="false" customHeight="false" outlineLevel="0" collapsed="false">
      <c r="A3032" s="27"/>
      <c r="E3032" s="28"/>
      <c r="F3032" s="28"/>
      <c r="I3032" s="28" t="str">
        <f aca="false">IF(A3032="","",D3032*E3032)</f>
        <v/>
      </c>
      <c r="J3032" s="28" t="str">
        <f aca="false">IF(A3032="","",D3032*F3032)</f>
        <v/>
      </c>
      <c r="K3032" s="0" t="str">
        <f aca="false">IF(A3032="","",YEAR(A3032))</f>
        <v/>
      </c>
      <c r="L3032" s="0" t="str">
        <f aca="false">IF(A3032="","",MONTH(A3032))</f>
        <v/>
      </c>
    </row>
    <row r="3033" customFormat="false" ht="15" hidden="false" customHeight="false" outlineLevel="0" collapsed="false">
      <c r="A3033" s="27"/>
      <c r="E3033" s="28"/>
      <c r="F3033" s="28"/>
      <c r="I3033" s="28" t="str">
        <f aca="false">IF(A3033="","",D3033*E3033)</f>
        <v/>
      </c>
      <c r="J3033" s="28" t="str">
        <f aca="false">IF(A3033="","",D3033*F3033)</f>
        <v/>
      </c>
      <c r="K3033" s="0" t="str">
        <f aca="false">IF(A3033="","",YEAR(A3033))</f>
        <v/>
      </c>
      <c r="L3033" s="0" t="str">
        <f aca="false">IF(A3033="","",MONTH(A3033))</f>
        <v/>
      </c>
    </row>
    <row r="3034" customFormat="false" ht="15" hidden="false" customHeight="false" outlineLevel="0" collapsed="false">
      <c r="A3034" s="27"/>
      <c r="E3034" s="28"/>
      <c r="F3034" s="28"/>
      <c r="I3034" s="28" t="str">
        <f aca="false">IF(A3034="","",D3034*E3034)</f>
        <v/>
      </c>
      <c r="J3034" s="28" t="str">
        <f aca="false">IF(A3034="","",D3034*F3034)</f>
        <v/>
      </c>
      <c r="K3034" s="0" t="str">
        <f aca="false">IF(A3034="","",YEAR(A3034))</f>
        <v/>
      </c>
      <c r="L3034" s="0" t="str">
        <f aca="false">IF(A3034="","",MONTH(A3034))</f>
        <v/>
      </c>
    </row>
    <row r="3035" customFormat="false" ht="15" hidden="false" customHeight="false" outlineLevel="0" collapsed="false">
      <c r="A3035" s="27"/>
      <c r="E3035" s="28"/>
      <c r="F3035" s="28"/>
      <c r="I3035" s="28" t="str">
        <f aca="false">IF(A3035="","",D3035*E3035)</f>
        <v/>
      </c>
      <c r="J3035" s="28" t="str">
        <f aca="false">IF(A3035="","",D3035*F3035)</f>
        <v/>
      </c>
      <c r="K3035" s="0" t="str">
        <f aca="false">IF(A3035="","",YEAR(A3035))</f>
        <v/>
      </c>
      <c r="L3035" s="0" t="str">
        <f aca="false">IF(A3035="","",MONTH(A3035))</f>
        <v/>
      </c>
    </row>
    <row r="3036" customFormat="false" ht="15" hidden="false" customHeight="false" outlineLevel="0" collapsed="false">
      <c r="A3036" s="27"/>
      <c r="E3036" s="28"/>
      <c r="F3036" s="28"/>
      <c r="I3036" s="28" t="str">
        <f aca="false">IF(A3036="","",D3036*E3036)</f>
        <v/>
      </c>
      <c r="J3036" s="28" t="str">
        <f aca="false">IF(A3036="","",D3036*F3036)</f>
        <v/>
      </c>
      <c r="K3036" s="0" t="str">
        <f aca="false">IF(A3036="","",YEAR(A3036))</f>
        <v/>
      </c>
      <c r="L3036" s="0" t="str">
        <f aca="false">IF(A3036="","",MONTH(A3036))</f>
        <v/>
      </c>
    </row>
    <row r="3037" customFormat="false" ht="15" hidden="false" customHeight="false" outlineLevel="0" collapsed="false">
      <c r="A3037" s="27"/>
      <c r="E3037" s="28"/>
      <c r="F3037" s="28"/>
      <c r="I3037" s="28" t="str">
        <f aca="false">IF(A3037="","",D3037*E3037)</f>
        <v/>
      </c>
      <c r="J3037" s="28" t="str">
        <f aca="false">IF(A3037="","",D3037*F3037)</f>
        <v/>
      </c>
      <c r="K3037" s="0" t="str">
        <f aca="false">IF(A3037="","",YEAR(A3037))</f>
        <v/>
      </c>
      <c r="L3037" s="0" t="str">
        <f aca="false">IF(A3037="","",MONTH(A3037))</f>
        <v/>
      </c>
    </row>
    <row r="3038" customFormat="false" ht="15" hidden="false" customHeight="false" outlineLevel="0" collapsed="false">
      <c r="A3038" s="27"/>
      <c r="E3038" s="28"/>
      <c r="F3038" s="28"/>
      <c r="I3038" s="28" t="str">
        <f aca="false">IF(A3038="","",D3038*E3038)</f>
        <v/>
      </c>
      <c r="J3038" s="28" t="str">
        <f aca="false">IF(A3038="","",D3038*F3038)</f>
        <v/>
      </c>
      <c r="K3038" s="0" t="str">
        <f aca="false">IF(A3038="","",YEAR(A3038))</f>
        <v/>
      </c>
      <c r="L3038" s="0" t="str">
        <f aca="false">IF(A3038="","",MONTH(A3038))</f>
        <v/>
      </c>
    </row>
    <row r="3039" customFormat="false" ht="15" hidden="false" customHeight="false" outlineLevel="0" collapsed="false">
      <c r="A3039" s="27"/>
      <c r="E3039" s="28"/>
      <c r="F3039" s="28"/>
      <c r="I3039" s="28" t="str">
        <f aca="false">IF(A3039="","",D3039*E3039)</f>
        <v/>
      </c>
      <c r="J3039" s="28" t="str">
        <f aca="false">IF(A3039="","",D3039*F3039)</f>
        <v/>
      </c>
      <c r="K3039" s="0" t="str">
        <f aca="false">IF(A3039="","",YEAR(A3039))</f>
        <v/>
      </c>
      <c r="L3039" s="0" t="str">
        <f aca="false">IF(A3039="","",MONTH(A3039))</f>
        <v/>
      </c>
    </row>
    <row r="3040" customFormat="false" ht="15" hidden="false" customHeight="false" outlineLevel="0" collapsed="false">
      <c r="A3040" s="27"/>
      <c r="E3040" s="28"/>
      <c r="F3040" s="28"/>
      <c r="I3040" s="28" t="str">
        <f aca="false">IF(A3040="","",D3040*E3040)</f>
        <v/>
      </c>
      <c r="J3040" s="28" t="str">
        <f aca="false">IF(A3040="","",D3040*F3040)</f>
        <v/>
      </c>
      <c r="K3040" s="0" t="str">
        <f aca="false">IF(A3040="","",YEAR(A3040))</f>
        <v/>
      </c>
      <c r="L3040" s="0" t="str">
        <f aca="false">IF(A3040="","",MONTH(A3040))</f>
        <v/>
      </c>
    </row>
    <row r="3041" customFormat="false" ht="15" hidden="false" customHeight="false" outlineLevel="0" collapsed="false">
      <c r="A3041" s="27"/>
      <c r="E3041" s="28"/>
      <c r="F3041" s="28"/>
      <c r="I3041" s="28" t="str">
        <f aca="false">IF(A3041="","",D3041*E3041)</f>
        <v/>
      </c>
      <c r="J3041" s="28" t="str">
        <f aca="false">IF(A3041="","",D3041*F3041)</f>
        <v/>
      </c>
      <c r="K3041" s="0" t="str">
        <f aca="false">IF(A3041="","",YEAR(A3041))</f>
        <v/>
      </c>
      <c r="L3041" s="0" t="str">
        <f aca="false">IF(A3041="","",MONTH(A3041))</f>
        <v/>
      </c>
    </row>
    <row r="3042" customFormat="false" ht="15" hidden="false" customHeight="false" outlineLevel="0" collapsed="false">
      <c r="A3042" s="27"/>
      <c r="E3042" s="28"/>
      <c r="F3042" s="28"/>
      <c r="I3042" s="28" t="str">
        <f aca="false">IF(A3042="","",D3042*E3042)</f>
        <v/>
      </c>
      <c r="J3042" s="28" t="str">
        <f aca="false">IF(A3042="","",D3042*F3042)</f>
        <v/>
      </c>
      <c r="K3042" s="0" t="str">
        <f aca="false">IF(A3042="","",YEAR(A3042))</f>
        <v/>
      </c>
      <c r="L3042" s="0" t="str">
        <f aca="false">IF(A3042="","",MONTH(A3042))</f>
        <v/>
      </c>
    </row>
    <row r="3043" customFormat="false" ht="15" hidden="false" customHeight="false" outlineLevel="0" collapsed="false">
      <c r="A3043" s="27"/>
      <c r="E3043" s="28"/>
      <c r="F3043" s="28"/>
      <c r="I3043" s="28" t="str">
        <f aca="false">IF(A3043="","",D3043*E3043)</f>
        <v/>
      </c>
      <c r="J3043" s="28" t="str">
        <f aca="false">IF(A3043="","",D3043*F3043)</f>
        <v/>
      </c>
      <c r="K3043" s="0" t="str">
        <f aca="false">IF(A3043="","",YEAR(A3043))</f>
        <v/>
      </c>
      <c r="L3043" s="0" t="str">
        <f aca="false">IF(A3043="","",MONTH(A3043))</f>
        <v/>
      </c>
    </row>
    <row r="3044" customFormat="false" ht="15" hidden="false" customHeight="false" outlineLevel="0" collapsed="false">
      <c r="A3044" s="27"/>
      <c r="E3044" s="28"/>
      <c r="F3044" s="28"/>
      <c r="I3044" s="28" t="str">
        <f aca="false">IF(A3044="","",D3044*E3044)</f>
        <v/>
      </c>
      <c r="J3044" s="28" t="str">
        <f aca="false">IF(A3044="","",D3044*F3044)</f>
        <v/>
      </c>
      <c r="K3044" s="0" t="str">
        <f aca="false">IF(A3044="","",YEAR(A3044))</f>
        <v/>
      </c>
      <c r="L3044" s="0" t="str">
        <f aca="false">IF(A3044="","",MONTH(A3044))</f>
        <v/>
      </c>
    </row>
    <row r="3045" customFormat="false" ht="15" hidden="false" customHeight="false" outlineLevel="0" collapsed="false">
      <c r="A3045" s="27"/>
      <c r="E3045" s="28"/>
      <c r="F3045" s="28"/>
      <c r="I3045" s="28" t="str">
        <f aca="false">IF(A3045="","",D3045*E3045)</f>
        <v/>
      </c>
      <c r="J3045" s="28" t="str">
        <f aca="false">IF(A3045="","",D3045*F3045)</f>
        <v/>
      </c>
      <c r="K3045" s="0" t="str">
        <f aca="false">IF(A3045="","",YEAR(A3045))</f>
        <v/>
      </c>
      <c r="L3045" s="0" t="str">
        <f aca="false">IF(A3045="","",MONTH(A3045))</f>
        <v/>
      </c>
    </row>
    <row r="3046" customFormat="false" ht="15" hidden="false" customHeight="false" outlineLevel="0" collapsed="false">
      <c r="A3046" s="27"/>
      <c r="E3046" s="28"/>
      <c r="F3046" s="28"/>
      <c r="I3046" s="28" t="str">
        <f aca="false">IF(A3046="","",D3046*E3046)</f>
        <v/>
      </c>
      <c r="J3046" s="28" t="str">
        <f aca="false">IF(A3046="","",D3046*F3046)</f>
        <v/>
      </c>
      <c r="K3046" s="0" t="str">
        <f aca="false">IF(A3046="","",YEAR(A3046))</f>
        <v/>
      </c>
      <c r="L3046" s="0" t="str">
        <f aca="false">IF(A3046="","",MONTH(A3046))</f>
        <v/>
      </c>
    </row>
    <row r="3047" customFormat="false" ht="15" hidden="false" customHeight="false" outlineLevel="0" collapsed="false">
      <c r="A3047" s="27"/>
      <c r="E3047" s="28"/>
      <c r="F3047" s="28"/>
      <c r="I3047" s="28" t="str">
        <f aca="false">IF(A3047="","",D3047*E3047)</f>
        <v/>
      </c>
      <c r="J3047" s="28" t="str">
        <f aca="false">IF(A3047="","",D3047*F3047)</f>
        <v/>
      </c>
      <c r="K3047" s="0" t="str">
        <f aca="false">IF(A3047="","",YEAR(A3047))</f>
        <v/>
      </c>
      <c r="L3047" s="0" t="str">
        <f aca="false">IF(A3047="","",MONTH(A3047))</f>
        <v/>
      </c>
    </row>
    <row r="3048" customFormat="false" ht="15" hidden="false" customHeight="false" outlineLevel="0" collapsed="false">
      <c r="A3048" s="27"/>
      <c r="E3048" s="28"/>
      <c r="F3048" s="28"/>
      <c r="I3048" s="28" t="str">
        <f aca="false">IF(A3048="","",D3048*E3048)</f>
        <v/>
      </c>
      <c r="J3048" s="28" t="str">
        <f aca="false">IF(A3048="","",D3048*F3048)</f>
        <v/>
      </c>
      <c r="K3048" s="0" t="str">
        <f aca="false">IF(A3048="","",YEAR(A3048))</f>
        <v/>
      </c>
      <c r="L3048" s="0" t="str">
        <f aca="false">IF(A3048="","",MONTH(A3048))</f>
        <v/>
      </c>
    </row>
    <row r="3049" customFormat="false" ht="15" hidden="false" customHeight="false" outlineLevel="0" collapsed="false">
      <c r="A3049" s="27"/>
      <c r="E3049" s="28"/>
      <c r="F3049" s="28"/>
      <c r="I3049" s="28" t="str">
        <f aca="false">IF(A3049="","",D3049*E3049)</f>
        <v/>
      </c>
      <c r="J3049" s="28" t="str">
        <f aca="false">IF(A3049="","",D3049*F3049)</f>
        <v/>
      </c>
      <c r="K3049" s="0" t="str">
        <f aca="false">IF(A3049="","",YEAR(A3049))</f>
        <v/>
      </c>
      <c r="L3049" s="0" t="str">
        <f aca="false">IF(A3049="","",MONTH(A3049))</f>
        <v/>
      </c>
    </row>
    <row r="3050" customFormat="false" ht="15" hidden="false" customHeight="false" outlineLevel="0" collapsed="false">
      <c r="A3050" s="27"/>
      <c r="E3050" s="28"/>
      <c r="F3050" s="28"/>
      <c r="I3050" s="28" t="str">
        <f aca="false">IF(A3050="","",D3050*E3050)</f>
        <v/>
      </c>
      <c r="J3050" s="28" t="str">
        <f aca="false">IF(A3050="","",D3050*F3050)</f>
        <v/>
      </c>
      <c r="K3050" s="0" t="str">
        <f aca="false">IF(A3050="","",YEAR(A3050))</f>
        <v/>
      </c>
      <c r="L3050" s="0" t="str">
        <f aca="false">IF(A3050="","",MONTH(A3050))</f>
        <v/>
      </c>
    </row>
    <row r="3051" customFormat="false" ht="15" hidden="false" customHeight="false" outlineLevel="0" collapsed="false">
      <c r="A3051" s="27"/>
      <c r="E3051" s="28"/>
      <c r="F3051" s="28"/>
      <c r="I3051" s="28" t="str">
        <f aca="false">IF(A3051="","",D3051*E3051)</f>
        <v/>
      </c>
      <c r="J3051" s="28" t="str">
        <f aca="false">IF(A3051="","",D3051*F3051)</f>
        <v/>
      </c>
      <c r="K3051" s="0" t="str">
        <f aca="false">IF(A3051="","",YEAR(A3051))</f>
        <v/>
      </c>
      <c r="L3051" s="0" t="str">
        <f aca="false">IF(A3051="","",MONTH(A3051))</f>
        <v/>
      </c>
    </row>
    <row r="3052" customFormat="false" ht="15" hidden="false" customHeight="false" outlineLevel="0" collapsed="false">
      <c r="A3052" s="27"/>
      <c r="E3052" s="28"/>
      <c r="F3052" s="28"/>
      <c r="I3052" s="28" t="str">
        <f aca="false">IF(A3052="","",D3052*E3052)</f>
        <v/>
      </c>
      <c r="J3052" s="28" t="str">
        <f aca="false">IF(A3052="","",D3052*F3052)</f>
        <v/>
      </c>
      <c r="K3052" s="0" t="str">
        <f aca="false">IF(A3052="","",YEAR(A3052))</f>
        <v/>
      </c>
      <c r="L3052" s="0" t="str">
        <f aca="false">IF(A3052="","",MONTH(A3052))</f>
        <v/>
      </c>
    </row>
    <row r="3053" customFormat="false" ht="15" hidden="false" customHeight="false" outlineLevel="0" collapsed="false">
      <c r="A3053" s="27"/>
      <c r="E3053" s="28"/>
      <c r="F3053" s="28"/>
      <c r="I3053" s="28" t="str">
        <f aca="false">IF(A3053="","",D3053*E3053)</f>
        <v/>
      </c>
      <c r="J3053" s="28" t="str">
        <f aca="false">IF(A3053="","",D3053*F3053)</f>
        <v/>
      </c>
      <c r="K3053" s="0" t="str">
        <f aca="false">IF(A3053="","",YEAR(A3053))</f>
        <v/>
      </c>
      <c r="L3053" s="0" t="str">
        <f aca="false">IF(A3053="","",MONTH(A3053))</f>
        <v/>
      </c>
    </row>
    <row r="3054" customFormat="false" ht="15" hidden="false" customHeight="false" outlineLevel="0" collapsed="false">
      <c r="A3054" s="27"/>
      <c r="E3054" s="28"/>
      <c r="F3054" s="28"/>
      <c r="I3054" s="28" t="str">
        <f aca="false">IF(A3054="","",D3054*E3054)</f>
        <v/>
      </c>
      <c r="J3054" s="28" t="str">
        <f aca="false">IF(A3054="","",D3054*F3054)</f>
        <v/>
      </c>
      <c r="K3054" s="0" t="str">
        <f aca="false">IF(A3054="","",YEAR(A3054))</f>
        <v/>
      </c>
      <c r="L3054" s="0" t="str">
        <f aca="false">IF(A3054="","",MONTH(A3054))</f>
        <v/>
      </c>
    </row>
    <row r="3055" customFormat="false" ht="15" hidden="false" customHeight="false" outlineLevel="0" collapsed="false">
      <c r="A3055" s="27"/>
      <c r="E3055" s="28"/>
      <c r="F3055" s="28"/>
      <c r="I3055" s="28" t="str">
        <f aca="false">IF(A3055="","",D3055*E3055)</f>
        <v/>
      </c>
      <c r="J3055" s="28" t="str">
        <f aca="false">IF(A3055="","",D3055*F3055)</f>
        <v/>
      </c>
      <c r="K3055" s="0" t="str">
        <f aca="false">IF(A3055="","",YEAR(A3055))</f>
        <v/>
      </c>
      <c r="L3055" s="0" t="str">
        <f aca="false">IF(A3055="","",MONTH(A3055))</f>
        <v/>
      </c>
    </row>
    <row r="3056" customFormat="false" ht="15" hidden="false" customHeight="false" outlineLevel="0" collapsed="false">
      <c r="A3056" s="27"/>
      <c r="E3056" s="28"/>
      <c r="F3056" s="28"/>
      <c r="I3056" s="28" t="str">
        <f aca="false">IF(A3056="","",D3056*E3056)</f>
        <v/>
      </c>
      <c r="J3056" s="28" t="str">
        <f aca="false">IF(A3056="","",D3056*F3056)</f>
        <v/>
      </c>
      <c r="K3056" s="0" t="str">
        <f aca="false">IF(A3056="","",YEAR(A3056))</f>
        <v/>
      </c>
      <c r="L3056" s="0" t="str">
        <f aca="false">IF(A3056="","",MONTH(A3056))</f>
        <v/>
      </c>
    </row>
    <row r="3057" customFormat="false" ht="15" hidden="false" customHeight="false" outlineLevel="0" collapsed="false">
      <c r="A3057" s="27"/>
      <c r="E3057" s="28"/>
      <c r="F3057" s="28"/>
      <c r="I3057" s="28" t="str">
        <f aca="false">IF(A3057="","",D3057*E3057)</f>
        <v/>
      </c>
      <c r="J3057" s="28" t="str">
        <f aca="false">IF(A3057="","",D3057*F3057)</f>
        <v/>
      </c>
      <c r="K3057" s="0" t="str">
        <f aca="false">IF(A3057="","",YEAR(A3057))</f>
        <v/>
      </c>
      <c r="L3057" s="0" t="str">
        <f aca="false">IF(A3057="","",MONTH(A3057))</f>
        <v/>
      </c>
    </row>
    <row r="3058" customFormat="false" ht="15" hidden="false" customHeight="false" outlineLevel="0" collapsed="false">
      <c r="A3058" s="27"/>
      <c r="E3058" s="28"/>
      <c r="F3058" s="28"/>
      <c r="I3058" s="28" t="str">
        <f aca="false">IF(A3058="","",D3058*E3058)</f>
        <v/>
      </c>
      <c r="J3058" s="28" t="str">
        <f aca="false">IF(A3058="","",D3058*F3058)</f>
        <v/>
      </c>
      <c r="K3058" s="0" t="str">
        <f aca="false">IF(A3058="","",YEAR(A3058))</f>
        <v/>
      </c>
      <c r="L3058" s="0" t="str">
        <f aca="false">IF(A3058="","",MONTH(A3058))</f>
        <v/>
      </c>
    </row>
    <row r="3059" customFormat="false" ht="15" hidden="false" customHeight="false" outlineLevel="0" collapsed="false">
      <c r="A3059" s="27"/>
      <c r="E3059" s="28"/>
      <c r="F3059" s="28"/>
      <c r="I3059" s="28" t="str">
        <f aca="false">IF(A3059="","",D3059*E3059)</f>
        <v/>
      </c>
      <c r="J3059" s="28" t="str">
        <f aca="false">IF(A3059="","",D3059*F3059)</f>
        <v/>
      </c>
      <c r="K3059" s="0" t="str">
        <f aca="false">IF(A3059="","",YEAR(A3059))</f>
        <v/>
      </c>
      <c r="L3059" s="0" t="str">
        <f aca="false">IF(A3059="","",MONTH(A3059))</f>
        <v/>
      </c>
    </row>
    <row r="3060" customFormat="false" ht="15" hidden="false" customHeight="false" outlineLevel="0" collapsed="false">
      <c r="A3060" s="27"/>
      <c r="E3060" s="28"/>
      <c r="F3060" s="28"/>
      <c r="I3060" s="28" t="str">
        <f aca="false">IF(A3060="","",D3060*E3060)</f>
        <v/>
      </c>
      <c r="J3060" s="28" t="str">
        <f aca="false">IF(A3060="","",D3060*F3060)</f>
        <v/>
      </c>
      <c r="K3060" s="0" t="str">
        <f aca="false">IF(A3060="","",YEAR(A3060))</f>
        <v/>
      </c>
      <c r="L3060" s="0" t="str">
        <f aca="false">IF(A3060="","",MONTH(A3060))</f>
        <v/>
      </c>
    </row>
    <row r="3061" customFormat="false" ht="15" hidden="false" customHeight="false" outlineLevel="0" collapsed="false">
      <c r="A3061" s="27"/>
      <c r="E3061" s="28"/>
      <c r="F3061" s="28"/>
      <c r="I3061" s="28" t="str">
        <f aca="false">IF(A3061="","",D3061*E3061)</f>
        <v/>
      </c>
      <c r="J3061" s="28" t="str">
        <f aca="false">IF(A3061="","",D3061*F3061)</f>
        <v/>
      </c>
      <c r="K3061" s="0" t="str">
        <f aca="false">IF(A3061="","",YEAR(A3061))</f>
        <v/>
      </c>
      <c r="L3061" s="0" t="str">
        <f aca="false">IF(A3061="","",MONTH(A3061))</f>
        <v/>
      </c>
    </row>
    <row r="3062" customFormat="false" ht="15" hidden="false" customHeight="false" outlineLevel="0" collapsed="false">
      <c r="A3062" s="27"/>
      <c r="E3062" s="28"/>
      <c r="F3062" s="28"/>
      <c r="I3062" s="28" t="str">
        <f aca="false">IF(A3062="","",D3062*E3062)</f>
        <v/>
      </c>
      <c r="J3062" s="28" t="str">
        <f aca="false">IF(A3062="","",D3062*F3062)</f>
        <v/>
      </c>
      <c r="K3062" s="0" t="str">
        <f aca="false">IF(A3062="","",YEAR(A3062))</f>
        <v/>
      </c>
      <c r="L3062" s="0" t="str">
        <f aca="false">IF(A3062="","",MONTH(A3062))</f>
        <v/>
      </c>
    </row>
    <row r="3063" customFormat="false" ht="15" hidden="false" customHeight="false" outlineLevel="0" collapsed="false">
      <c r="A3063" s="27"/>
      <c r="E3063" s="28"/>
      <c r="F3063" s="28"/>
      <c r="I3063" s="28" t="str">
        <f aca="false">IF(A3063="","",D3063*E3063)</f>
        <v/>
      </c>
      <c r="J3063" s="28" t="str">
        <f aca="false">IF(A3063="","",D3063*F3063)</f>
        <v/>
      </c>
      <c r="K3063" s="0" t="str">
        <f aca="false">IF(A3063="","",YEAR(A3063))</f>
        <v/>
      </c>
      <c r="L3063" s="0" t="str">
        <f aca="false">IF(A3063="","",MONTH(A3063))</f>
        <v/>
      </c>
    </row>
    <row r="3064" customFormat="false" ht="15" hidden="false" customHeight="false" outlineLevel="0" collapsed="false">
      <c r="A3064" s="27"/>
      <c r="E3064" s="28"/>
      <c r="F3064" s="28"/>
      <c r="I3064" s="28" t="str">
        <f aca="false">IF(A3064="","",D3064*E3064)</f>
        <v/>
      </c>
      <c r="J3064" s="28" t="str">
        <f aca="false">IF(A3064="","",D3064*F3064)</f>
        <v/>
      </c>
      <c r="K3064" s="0" t="str">
        <f aca="false">IF(A3064="","",YEAR(A3064))</f>
        <v/>
      </c>
      <c r="L3064" s="0" t="str">
        <f aca="false">IF(A3064="","",MONTH(A3064))</f>
        <v/>
      </c>
    </row>
    <row r="3065" customFormat="false" ht="15" hidden="false" customHeight="false" outlineLevel="0" collapsed="false">
      <c r="A3065" s="27"/>
      <c r="E3065" s="28"/>
      <c r="F3065" s="28"/>
      <c r="I3065" s="28" t="str">
        <f aca="false">IF(A3065="","",D3065*E3065)</f>
        <v/>
      </c>
      <c r="J3065" s="28" t="str">
        <f aca="false">IF(A3065="","",D3065*F3065)</f>
        <v/>
      </c>
      <c r="K3065" s="0" t="str">
        <f aca="false">IF(A3065="","",YEAR(A3065))</f>
        <v/>
      </c>
      <c r="L3065" s="0" t="str">
        <f aca="false">IF(A3065="","",MONTH(A3065))</f>
        <v/>
      </c>
    </row>
    <row r="3066" customFormat="false" ht="15" hidden="false" customHeight="false" outlineLevel="0" collapsed="false">
      <c r="A3066" s="27"/>
      <c r="E3066" s="28"/>
      <c r="F3066" s="28"/>
      <c r="I3066" s="28" t="str">
        <f aca="false">IF(A3066="","",D3066*E3066)</f>
        <v/>
      </c>
      <c r="J3066" s="28" t="str">
        <f aca="false">IF(A3066="","",D3066*F3066)</f>
        <v/>
      </c>
      <c r="K3066" s="0" t="str">
        <f aca="false">IF(A3066="","",YEAR(A3066))</f>
        <v/>
      </c>
      <c r="L3066" s="0" t="str">
        <f aca="false">IF(A3066="","",MONTH(A3066))</f>
        <v/>
      </c>
    </row>
    <row r="3067" customFormat="false" ht="15" hidden="false" customHeight="false" outlineLevel="0" collapsed="false">
      <c r="A3067" s="27"/>
      <c r="E3067" s="28"/>
      <c r="F3067" s="28"/>
      <c r="I3067" s="28" t="str">
        <f aca="false">IF(A3067="","",D3067*E3067)</f>
        <v/>
      </c>
      <c r="J3067" s="28" t="str">
        <f aca="false">IF(A3067="","",D3067*F3067)</f>
        <v/>
      </c>
      <c r="K3067" s="0" t="str">
        <f aca="false">IF(A3067="","",YEAR(A3067))</f>
        <v/>
      </c>
      <c r="L3067" s="0" t="str">
        <f aca="false">IF(A3067="","",MONTH(A3067))</f>
        <v/>
      </c>
    </row>
    <row r="3068" customFormat="false" ht="15" hidden="false" customHeight="false" outlineLevel="0" collapsed="false">
      <c r="A3068" s="27"/>
      <c r="E3068" s="28"/>
      <c r="F3068" s="28"/>
      <c r="I3068" s="28" t="str">
        <f aca="false">IF(A3068="","",D3068*E3068)</f>
        <v/>
      </c>
      <c r="J3068" s="28" t="str">
        <f aca="false">IF(A3068="","",D3068*F3068)</f>
        <v/>
      </c>
      <c r="K3068" s="0" t="str">
        <f aca="false">IF(A3068="","",YEAR(A3068))</f>
        <v/>
      </c>
      <c r="L3068" s="0" t="str">
        <f aca="false">IF(A3068="","",MONTH(A3068))</f>
        <v/>
      </c>
    </row>
    <row r="3069" customFormat="false" ht="15" hidden="false" customHeight="false" outlineLevel="0" collapsed="false">
      <c r="A3069" s="27"/>
      <c r="E3069" s="28"/>
      <c r="F3069" s="28"/>
      <c r="I3069" s="28" t="str">
        <f aca="false">IF(A3069="","",D3069*E3069)</f>
        <v/>
      </c>
      <c r="J3069" s="28" t="str">
        <f aca="false">IF(A3069="","",D3069*F3069)</f>
        <v/>
      </c>
      <c r="K3069" s="0" t="str">
        <f aca="false">IF(A3069="","",YEAR(A3069))</f>
        <v/>
      </c>
      <c r="L3069" s="0" t="str">
        <f aca="false">IF(A3069="","",MONTH(A3069))</f>
        <v/>
      </c>
    </row>
    <row r="3070" customFormat="false" ht="15" hidden="false" customHeight="false" outlineLevel="0" collapsed="false">
      <c r="A3070" s="27"/>
      <c r="E3070" s="28"/>
      <c r="F3070" s="28"/>
      <c r="I3070" s="28" t="str">
        <f aca="false">IF(A3070="","",D3070*E3070)</f>
        <v/>
      </c>
      <c r="J3070" s="28" t="str">
        <f aca="false">IF(A3070="","",D3070*F3070)</f>
        <v/>
      </c>
      <c r="K3070" s="0" t="str">
        <f aca="false">IF(A3070="","",YEAR(A3070))</f>
        <v/>
      </c>
      <c r="L3070" s="0" t="str">
        <f aca="false">IF(A3070="","",MONTH(A3070))</f>
        <v/>
      </c>
    </row>
    <row r="3071" customFormat="false" ht="15" hidden="false" customHeight="false" outlineLevel="0" collapsed="false">
      <c r="A3071" s="27"/>
      <c r="E3071" s="28"/>
      <c r="F3071" s="28"/>
      <c r="I3071" s="28" t="str">
        <f aca="false">IF(A3071="","",D3071*E3071)</f>
        <v/>
      </c>
      <c r="J3071" s="28" t="str">
        <f aca="false">IF(A3071="","",D3071*F3071)</f>
        <v/>
      </c>
      <c r="K3071" s="0" t="str">
        <f aca="false">IF(A3071="","",YEAR(A3071))</f>
        <v/>
      </c>
      <c r="L3071" s="0" t="str">
        <f aca="false">IF(A3071="","",MONTH(A3071))</f>
        <v/>
      </c>
    </row>
    <row r="3072" customFormat="false" ht="15" hidden="false" customHeight="false" outlineLevel="0" collapsed="false">
      <c r="A3072" s="27"/>
      <c r="E3072" s="28"/>
      <c r="F3072" s="28"/>
      <c r="I3072" s="28" t="str">
        <f aca="false">IF(A3072="","",D3072*E3072)</f>
        <v/>
      </c>
      <c r="J3072" s="28" t="str">
        <f aca="false">IF(A3072="","",D3072*F3072)</f>
        <v/>
      </c>
      <c r="K3072" s="0" t="str">
        <f aca="false">IF(A3072="","",YEAR(A3072))</f>
        <v/>
      </c>
      <c r="L3072" s="0" t="str">
        <f aca="false">IF(A3072="","",MONTH(A3072))</f>
        <v/>
      </c>
    </row>
    <row r="3073" customFormat="false" ht="15" hidden="false" customHeight="false" outlineLevel="0" collapsed="false">
      <c r="A3073" s="27"/>
      <c r="E3073" s="28"/>
      <c r="F3073" s="28"/>
      <c r="I3073" s="28" t="str">
        <f aca="false">IF(A3073="","",D3073*E3073)</f>
        <v/>
      </c>
      <c r="J3073" s="28" t="str">
        <f aca="false">IF(A3073="","",D3073*F3073)</f>
        <v/>
      </c>
      <c r="K3073" s="0" t="str">
        <f aca="false">IF(A3073="","",YEAR(A3073))</f>
        <v/>
      </c>
      <c r="L3073" s="0" t="str">
        <f aca="false">IF(A3073="","",MONTH(A3073))</f>
        <v/>
      </c>
    </row>
    <row r="3074" customFormat="false" ht="15" hidden="false" customHeight="false" outlineLevel="0" collapsed="false">
      <c r="A3074" s="27"/>
      <c r="E3074" s="28"/>
      <c r="F3074" s="28"/>
      <c r="I3074" s="28" t="str">
        <f aca="false">IF(A3074="","",D3074*E3074)</f>
        <v/>
      </c>
      <c r="J3074" s="28" t="str">
        <f aca="false">IF(A3074="","",D3074*F3074)</f>
        <v/>
      </c>
      <c r="K3074" s="0" t="str">
        <f aca="false">IF(A3074="","",YEAR(A3074))</f>
        <v/>
      </c>
      <c r="L3074" s="0" t="str">
        <f aca="false">IF(A3074="","",MONTH(A3074))</f>
        <v/>
      </c>
    </row>
    <row r="3075" customFormat="false" ht="15" hidden="false" customHeight="false" outlineLevel="0" collapsed="false">
      <c r="A3075" s="27"/>
      <c r="E3075" s="28"/>
      <c r="F3075" s="28"/>
      <c r="I3075" s="28" t="str">
        <f aca="false">IF(A3075="","",D3075*E3075)</f>
        <v/>
      </c>
      <c r="J3075" s="28" t="str">
        <f aca="false">IF(A3075="","",D3075*F3075)</f>
        <v/>
      </c>
      <c r="K3075" s="0" t="str">
        <f aca="false">IF(A3075="","",YEAR(A3075))</f>
        <v/>
      </c>
      <c r="L3075" s="0" t="str">
        <f aca="false">IF(A3075="","",MONTH(A3075))</f>
        <v/>
      </c>
    </row>
    <row r="3076" customFormat="false" ht="15" hidden="false" customHeight="false" outlineLevel="0" collapsed="false">
      <c r="A3076" s="27"/>
      <c r="E3076" s="28"/>
      <c r="F3076" s="28"/>
      <c r="I3076" s="28" t="str">
        <f aca="false">IF(A3076="","",D3076*E3076)</f>
        <v/>
      </c>
      <c r="J3076" s="28" t="str">
        <f aca="false">IF(A3076="","",D3076*F3076)</f>
        <v/>
      </c>
      <c r="K3076" s="0" t="str">
        <f aca="false">IF(A3076="","",YEAR(A3076))</f>
        <v/>
      </c>
      <c r="L3076" s="0" t="str">
        <f aca="false">IF(A3076="","",MONTH(A3076))</f>
        <v/>
      </c>
    </row>
    <row r="3077" customFormat="false" ht="15" hidden="false" customHeight="false" outlineLevel="0" collapsed="false">
      <c r="A3077" s="27"/>
      <c r="E3077" s="28"/>
      <c r="F3077" s="28"/>
      <c r="I3077" s="28" t="str">
        <f aca="false">IF(A3077="","",D3077*E3077)</f>
        <v/>
      </c>
      <c r="J3077" s="28" t="str">
        <f aca="false">IF(A3077="","",D3077*F3077)</f>
        <v/>
      </c>
      <c r="K3077" s="0" t="str">
        <f aca="false">IF(A3077="","",YEAR(A3077))</f>
        <v/>
      </c>
      <c r="L3077" s="0" t="str">
        <f aca="false">IF(A3077="","",MONTH(A3077))</f>
        <v/>
      </c>
    </row>
    <row r="3078" customFormat="false" ht="15" hidden="false" customHeight="false" outlineLevel="0" collapsed="false">
      <c r="A3078" s="27"/>
      <c r="E3078" s="28"/>
      <c r="F3078" s="28"/>
      <c r="I3078" s="28" t="str">
        <f aca="false">IF(A3078="","",D3078*E3078)</f>
        <v/>
      </c>
      <c r="J3078" s="28" t="str">
        <f aca="false">IF(A3078="","",D3078*F3078)</f>
        <v/>
      </c>
      <c r="K3078" s="0" t="str">
        <f aca="false">IF(A3078="","",YEAR(A3078))</f>
        <v/>
      </c>
      <c r="L3078" s="0" t="str">
        <f aca="false">IF(A3078="","",MONTH(A3078))</f>
        <v/>
      </c>
    </row>
    <row r="3079" customFormat="false" ht="15" hidden="false" customHeight="false" outlineLevel="0" collapsed="false">
      <c r="A3079" s="27"/>
      <c r="E3079" s="28"/>
      <c r="F3079" s="28"/>
      <c r="I3079" s="28" t="str">
        <f aca="false">IF(A3079="","",D3079*E3079)</f>
        <v/>
      </c>
      <c r="J3079" s="28" t="str">
        <f aca="false">IF(A3079="","",D3079*F3079)</f>
        <v/>
      </c>
      <c r="K3079" s="0" t="str">
        <f aca="false">IF(A3079="","",YEAR(A3079))</f>
        <v/>
      </c>
      <c r="L3079" s="0" t="str">
        <f aca="false">IF(A3079="","",MONTH(A3079))</f>
        <v/>
      </c>
    </row>
    <row r="3080" customFormat="false" ht="15" hidden="false" customHeight="false" outlineLevel="0" collapsed="false">
      <c r="A3080" s="27"/>
      <c r="E3080" s="28"/>
      <c r="F3080" s="28"/>
      <c r="I3080" s="28" t="str">
        <f aca="false">IF(A3080="","",D3080*E3080)</f>
        <v/>
      </c>
      <c r="J3080" s="28" t="str">
        <f aca="false">IF(A3080="","",D3080*F3080)</f>
        <v/>
      </c>
      <c r="K3080" s="0" t="str">
        <f aca="false">IF(A3080="","",YEAR(A3080))</f>
        <v/>
      </c>
      <c r="L3080" s="0" t="str">
        <f aca="false">IF(A3080="","",MONTH(A3080))</f>
        <v/>
      </c>
    </row>
    <row r="3081" customFormat="false" ht="15" hidden="false" customHeight="false" outlineLevel="0" collapsed="false">
      <c r="A3081" s="27"/>
      <c r="E3081" s="28"/>
      <c r="F3081" s="28"/>
      <c r="I3081" s="28" t="str">
        <f aca="false">IF(A3081="","",D3081*E3081)</f>
        <v/>
      </c>
      <c r="J3081" s="28" t="str">
        <f aca="false">IF(A3081="","",D3081*F3081)</f>
        <v/>
      </c>
      <c r="K3081" s="0" t="str">
        <f aca="false">IF(A3081="","",YEAR(A3081))</f>
        <v/>
      </c>
      <c r="L3081" s="0" t="str">
        <f aca="false">IF(A3081="","",MONTH(A3081))</f>
        <v/>
      </c>
    </row>
    <row r="3082" customFormat="false" ht="15" hidden="false" customHeight="false" outlineLevel="0" collapsed="false">
      <c r="A3082" s="27"/>
      <c r="E3082" s="28"/>
      <c r="F3082" s="28"/>
      <c r="I3082" s="28" t="str">
        <f aca="false">IF(A3082="","",D3082*E3082)</f>
        <v/>
      </c>
      <c r="J3082" s="28" t="str">
        <f aca="false">IF(A3082="","",D3082*F3082)</f>
        <v/>
      </c>
      <c r="K3082" s="0" t="str">
        <f aca="false">IF(A3082="","",YEAR(A3082))</f>
        <v/>
      </c>
      <c r="L3082" s="0" t="str">
        <f aca="false">IF(A3082="","",MONTH(A3082))</f>
        <v/>
      </c>
    </row>
    <row r="3083" customFormat="false" ht="15" hidden="false" customHeight="false" outlineLevel="0" collapsed="false">
      <c r="A3083" s="27"/>
      <c r="E3083" s="28"/>
      <c r="F3083" s="28"/>
      <c r="I3083" s="28" t="str">
        <f aca="false">IF(A3083="","",D3083*E3083)</f>
        <v/>
      </c>
      <c r="J3083" s="28" t="str">
        <f aca="false">IF(A3083="","",D3083*F3083)</f>
        <v/>
      </c>
      <c r="K3083" s="0" t="str">
        <f aca="false">IF(A3083="","",YEAR(A3083))</f>
        <v/>
      </c>
      <c r="L3083" s="0" t="str">
        <f aca="false">IF(A3083="","",MONTH(A3083))</f>
        <v/>
      </c>
    </row>
    <row r="3084" customFormat="false" ht="15" hidden="false" customHeight="false" outlineLevel="0" collapsed="false">
      <c r="A3084" s="27"/>
      <c r="E3084" s="28"/>
      <c r="F3084" s="28"/>
      <c r="I3084" s="28" t="str">
        <f aca="false">IF(A3084="","",D3084*E3084)</f>
        <v/>
      </c>
      <c r="J3084" s="28" t="str">
        <f aca="false">IF(A3084="","",D3084*F3084)</f>
        <v/>
      </c>
      <c r="K3084" s="0" t="str">
        <f aca="false">IF(A3084="","",YEAR(A3084))</f>
        <v/>
      </c>
      <c r="L3084" s="0" t="str">
        <f aca="false">IF(A3084="","",MONTH(A3084))</f>
        <v/>
      </c>
    </row>
    <row r="3085" customFormat="false" ht="15" hidden="false" customHeight="false" outlineLevel="0" collapsed="false">
      <c r="A3085" s="27"/>
      <c r="E3085" s="28"/>
      <c r="F3085" s="28"/>
      <c r="I3085" s="28" t="str">
        <f aca="false">IF(A3085="","",D3085*E3085)</f>
        <v/>
      </c>
      <c r="J3085" s="28" t="str">
        <f aca="false">IF(A3085="","",D3085*F3085)</f>
        <v/>
      </c>
      <c r="K3085" s="0" t="str">
        <f aca="false">IF(A3085="","",YEAR(A3085))</f>
        <v/>
      </c>
      <c r="L3085" s="0" t="str">
        <f aca="false">IF(A3085="","",MONTH(A3085))</f>
        <v/>
      </c>
    </row>
    <row r="3086" customFormat="false" ht="15" hidden="false" customHeight="false" outlineLevel="0" collapsed="false">
      <c r="A3086" s="27"/>
      <c r="E3086" s="28"/>
      <c r="F3086" s="28"/>
      <c r="I3086" s="28" t="str">
        <f aca="false">IF(A3086="","",D3086*E3086)</f>
        <v/>
      </c>
      <c r="J3086" s="28" t="str">
        <f aca="false">IF(A3086="","",D3086*F3086)</f>
        <v/>
      </c>
      <c r="K3086" s="0" t="str">
        <f aca="false">IF(A3086="","",YEAR(A3086))</f>
        <v/>
      </c>
      <c r="L3086" s="0" t="str">
        <f aca="false">IF(A3086="","",MONTH(A3086))</f>
        <v/>
      </c>
    </row>
    <row r="3087" customFormat="false" ht="15" hidden="false" customHeight="false" outlineLevel="0" collapsed="false">
      <c r="A3087" s="27"/>
      <c r="E3087" s="28"/>
      <c r="F3087" s="28"/>
      <c r="I3087" s="28" t="str">
        <f aca="false">IF(A3087="","",D3087*E3087)</f>
        <v/>
      </c>
      <c r="J3087" s="28" t="str">
        <f aca="false">IF(A3087="","",D3087*F3087)</f>
        <v/>
      </c>
      <c r="K3087" s="0" t="str">
        <f aca="false">IF(A3087="","",YEAR(A3087))</f>
        <v/>
      </c>
      <c r="L3087" s="0" t="str">
        <f aca="false">IF(A3087="","",MONTH(A3087))</f>
        <v/>
      </c>
    </row>
    <row r="3088" customFormat="false" ht="15" hidden="false" customHeight="false" outlineLevel="0" collapsed="false">
      <c r="A3088" s="27"/>
      <c r="E3088" s="28"/>
      <c r="F3088" s="28"/>
      <c r="I3088" s="28" t="str">
        <f aca="false">IF(A3088="","",D3088*E3088)</f>
        <v/>
      </c>
      <c r="J3088" s="28" t="str">
        <f aca="false">IF(A3088="","",D3088*F3088)</f>
        <v/>
      </c>
      <c r="K3088" s="0" t="str">
        <f aca="false">IF(A3088="","",YEAR(A3088))</f>
        <v/>
      </c>
      <c r="L3088" s="0" t="str">
        <f aca="false">IF(A3088="","",MONTH(A3088))</f>
        <v/>
      </c>
    </row>
    <row r="3089" customFormat="false" ht="15" hidden="false" customHeight="false" outlineLevel="0" collapsed="false">
      <c r="A3089" s="27"/>
      <c r="E3089" s="28"/>
      <c r="F3089" s="28"/>
      <c r="I3089" s="28" t="str">
        <f aca="false">IF(A3089="","",D3089*E3089)</f>
        <v/>
      </c>
      <c r="J3089" s="28" t="str">
        <f aca="false">IF(A3089="","",D3089*F3089)</f>
        <v/>
      </c>
      <c r="K3089" s="0" t="str">
        <f aca="false">IF(A3089="","",YEAR(A3089))</f>
        <v/>
      </c>
      <c r="L3089" s="0" t="str">
        <f aca="false">IF(A3089="","",MONTH(A3089))</f>
        <v/>
      </c>
    </row>
    <row r="3090" customFormat="false" ht="15" hidden="false" customHeight="false" outlineLevel="0" collapsed="false">
      <c r="A3090" s="27"/>
      <c r="E3090" s="28"/>
      <c r="F3090" s="28"/>
      <c r="I3090" s="28" t="str">
        <f aca="false">IF(A3090="","",D3090*E3090)</f>
        <v/>
      </c>
      <c r="J3090" s="28" t="str">
        <f aca="false">IF(A3090="","",D3090*F3090)</f>
        <v/>
      </c>
      <c r="K3090" s="0" t="str">
        <f aca="false">IF(A3090="","",YEAR(A3090))</f>
        <v/>
      </c>
      <c r="L3090" s="0" t="str">
        <f aca="false">IF(A3090="","",MONTH(A3090))</f>
        <v/>
      </c>
    </row>
    <row r="3091" customFormat="false" ht="15" hidden="false" customHeight="false" outlineLevel="0" collapsed="false">
      <c r="A3091" s="27"/>
      <c r="E3091" s="28"/>
      <c r="F3091" s="28"/>
      <c r="I3091" s="28" t="str">
        <f aca="false">IF(A3091="","",D3091*E3091)</f>
        <v/>
      </c>
      <c r="J3091" s="28" t="str">
        <f aca="false">IF(A3091="","",D3091*F3091)</f>
        <v/>
      </c>
      <c r="K3091" s="0" t="str">
        <f aca="false">IF(A3091="","",YEAR(A3091))</f>
        <v/>
      </c>
      <c r="L3091" s="0" t="str">
        <f aca="false">IF(A3091="","",MONTH(A3091))</f>
        <v/>
      </c>
    </row>
    <row r="3092" customFormat="false" ht="15" hidden="false" customHeight="false" outlineLevel="0" collapsed="false">
      <c r="A3092" s="27"/>
      <c r="E3092" s="28"/>
      <c r="F3092" s="28"/>
      <c r="I3092" s="28" t="str">
        <f aca="false">IF(A3092="","",D3092*E3092)</f>
        <v/>
      </c>
      <c r="J3092" s="28" t="str">
        <f aca="false">IF(A3092="","",D3092*F3092)</f>
        <v/>
      </c>
      <c r="K3092" s="0" t="str">
        <f aca="false">IF(A3092="","",YEAR(A3092))</f>
        <v/>
      </c>
      <c r="L3092" s="0" t="str">
        <f aca="false">IF(A3092="","",MONTH(A3092))</f>
        <v/>
      </c>
    </row>
    <row r="3093" customFormat="false" ht="15" hidden="false" customHeight="false" outlineLevel="0" collapsed="false">
      <c r="A3093" s="27"/>
      <c r="E3093" s="28"/>
      <c r="F3093" s="28"/>
      <c r="I3093" s="28" t="str">
        <f aca="false">IF(A3093="","",D3093*E3093)</f>
        <v/>
      </c>
      <c r="J3093" s="28" t="str">
        <f aca="false">IF(A3093="","",D3093*F3093)</f>
        <v/>
      </c>
      <c r="K3093" s="0" t="str">
        <f aca="false">IF(A3093="","",YEAR(A3093))</f>
        <v/>
      </c>
      <c r="L3093" s="0" t="str">
        <f aca="false">IF(A3093="","",MONTH(A3093))</f>
        <v/>
      </c>
    </row>
    <row r="3094" customFormat="false" ht="15" hidden="false" customHeight="false" outlineLevel="0" collapsed="false">
      <c r="A3094" s="27"/>
      <c r="E3094" s="28"/>
      <c r="F3094" s="28"/>
      <c r="I3094" s="28" t="str">
        <f aca="false">IF(A3094="","",D3094*E3094)</f>
        <v/>
      </c>
      <c r="J3094" s="28" t="str">
        <f aca="false">IF(A3094="","",D3094*F3094)</f>
        <v/>
      </c>
      <c r="K3094" s="0" t="str">
        <f aca="false">IF(A3094="","",YEAR(A3094))</f>
        <v/>
      </c>
      <c r="L3094" s="0" t="str">
        <f aca="false">IF(A3094="","",MONTH(A3094))</f>
        <v/>
      </c>
    </row>
    <row r="3095" customFormat="false" ht="15" hidden="false" customHeight="false" outlineLevel="0" collapsed="false">
      <c r="A3095" s="27"/>
      <c r="E3095" s="28"/>
      <c r="F3095" s="28"/>
      <c r="I3095" s="28" t="str">
        <f aca="false">IF(A3095="","",D3095*E3095)</f>
        <v/>
      </c>
      <c r="J3095" s="28" t="str">
        <f aca="false">IF(A3095="","",D3095*F3095)</f>
        <v/>
      </c>
      <c r="K3095" s="0" t="str">
        <f aca="false">IF(A3095="","",YEAR(A3095))</f>
        <v/>
      </c>
      <c r="L3095" s="0" t="str">
        <f aca="false">IF(A3095="","",MONTH(A3095))</f>
        <v/>
      </c>
    </row>
    <row r="3096" customFormat="false" ht="15" hidden="false" customHeight="false" outlineLevel="0" collapsed="false">
      <c r="A3096" s="27"/>
      <c r="E3096" s="28"/>
      <c r="F3096" s="28"/>
      <c r="I3096" s="28" t="str">
        <f aca="false">IF(A3096="","",D3096*E3096)</f>
        <v/>
      </c>
      <c r="J3096" s="28" t="str">
        <f aca="false">IF(A3096="","",D3096*F3096)</f>
        <v/>
      </c>
      <c r="K3096" s="0" t="str">
        <f aca="false">IF(A3096="","",YEAR(A3096))</f>
        <v/>
      </c>
      <c r="L3096" s="0" t="str">
        <f aca="false">IF(A3096="","",MONTH(A3096))</f>
        <v/>
      </c>
    </row>
    <row r="3097" customFormat="false" ht="15" hidden="false" customHeight="false" outlineLevel="0" collapsed="false">
      <c r="A3097" s="27"/>
      <c r="E3097" s="28"/>
      <c r="F3097" s="28"/>
      <c r="I3097" s="28" t="str">
        <f aca="false">IF(A3097="","",D3097*E3097)</f>
        <v/>
      </c>
      <c r="J3097" s="28" t="str">
        <f aca="false">IF(A3097="","",D3097*F3097)</f>
        <v/>
      </c>
      <c r="K3097" s="0" t="str">
        <f aca="false">IF(A3097="","",YEAR(A3097))</f>
        <v/>
      </c>
      <c r="L3097" s="0" t="str">
        <f aca="false">IF(A3097="","",MONTH(A3097))</f>
        <v/>
      </c>
    </row>
    <row r="3098" customFormat="false" ht="15" hidden="false" customHeight="false" outlineLevel="0" collapsed="false">
      <c r="A3098" s="27"/>
      <c r="E3098" s="28"/>
      <c r="F3098" s="28"/>
      <c r="I3098" s="28" t="str">
        <f aca="false">IF(A3098="","",D3098*E3098)</f>
        <v/>
      </c>
      <c r="J3098" s="28" t="str">
        <f aca="false">IF(A3098="","",D3098*F3098)</f>
        <v/>
      </c>
      <c r="K3098" s="0" t="str">
        <f aca="false">IF(A3098="","",YEAR(A3098))</f>
        <v/>
      </c>
      <c r="L3098" s="0" t="str">
        <f aca="false">IF(A3098="","",MONTH(A3098))</f>
        <v/>
      </c>
    </row>
    <row r="3099" customFormat="false" ht="15" hidden="false" customHeight="false" outlineLevel="0" collapsed="false">
      <c r="A3099" s="27"/>
      <c r="E3099" s="28"/>
      <c r="F3099" s="28"/>
      <c r="I3099" s="28" t="str">
        <f aca="false">IF(A3099="","",D3099*E3099)</f>
        <v/>
      </c>
      <c r="J3099" s="28" t="str">
        <f aca="false">IF(A3099="","",D3099*F3099)</f>
        <v/>
      </c>
      <c r="K3099" s="0" t="str">
        <f aca="false">IF(A3099="","",YEAR(A3099))</f>
        <v/>
      </c>
      <c r="L3099" s="0" t="str">
        <f aca="false">IF(A3099="","",MONTH(A3099))</f>
        <v/>
      </c>
    </row>
    <row r="3100" customFormat="false" ht="15" hidden="false" customHeight="false" outlineLevel="0" collapsed="false">
      <c r="A3100" s="27"/>
      <c r="E3100" s="28"/>
      <c r="F3100" s="28"/>
      <c r="I3100" s="28" t="str">
        <f aca="false">IF(A3100="","",D3100*E3100)</f>
        <v/>
      </c>
      <c r="J3100" s="28" t="str">
        <f aca="false">IF(A3100="","",D3100*F3100)</f>
        <v/>
      </c>
      <c r="K3100" s="0" t="str">
        <f aca="false">IF(A3100="","",YEAR(A3100))</f>
        <v/>
      </c>
      <c r="L3100" s="0" t="str">
        <f aca="false">IF(A3100="","",MONTH(A3100))</f>
        <v/>
      </c>
    </row>
    <row r="3101" customFormat="false" ht="15" hidden="false" customHeight="false" outlineLevel="0" collapsed="false">
      <c r="A3101" s="27"/>
      <c r="E3101" s="28"/>
      <c r="F3101" s="28"/>
      <c r="I3101" s="28" t="str">
        <f aca="false">IF(A3101="","",D3101*E3101)</f>
        <v/>
      </c>
      <c r="J3101" s="28" t="str">
        <f aca="false">IF(A3101="","",D3101*F3101)</f>
        <v/>
      </c>
      <c r="K3101" s="0" t="str">
        <f aca="false">IF(A3101="","",YEAR(A3101))</f>
        <v/>
      </c>
      <c r="L3101" s="0" t="str">
        <f aca="false">IF(A3101="","",MONTH(A3101))</f>
        <v/>
      </c>
    </row>
    <row r="3102" customFormat="false" ht="15" hidden="false" customHeight="false" outlineLevel="0" collapsed="false">
      <c r="A3102" s="27"/>
      <c r="E3102" s="28"/>
      <c r="F3102" s="28"/>
      <c r="I3102" s="28" t="str">
        <f aca="false">IF(A3102="","",D3102*E3102)</f>
        <v/>
      </c>
      <c r="J3102" s="28" t="str">
        <f aca="false">IF(A3102="","",D3102*F3102)</f>
        <v/>
      </c>
      <c r="K3102" s="0" t="str">
        <f aca="false">IF(A3102="","",YEAR(A3102))</f>
        <v/>
      </c>
      <c r="L3102" s="0" t="str">
        <f aca="false">IF(A3102="","",MONTH(A3102))</f>
        <v/>
      </c>
    </row>
    <row r="3103" customFormat="false" ht="15" hidden="false" customHeight="false" outlineLevel="0" collapsed="false">
      <c r="A3103" s="27"/>
      <c r="E3103" s="28"/>
      <c r="F3103" s="28"/>
      <c r="I3103" s="28" t="str">
        <f aca="false">IF(A3103="","",D3103*E3103)</f>
        <v/>
      </c>
      <c r="J3103" s="28" t="str">
        <f aca="false">IF(A3103="","",D3103*F3103)</f>
        <v/>
      </c>
      <c r="K3103" s="0" t="str">
        <f aca="false">IF(A3103="","",YEAR(A3103))</f>
        <v/>
      </c>
      <c r="L3103" s="0" t="str">
        <f aca="false">IF(A3103="","",MONTH(A3103))</f>
        <v/>
      </c>
    </row>
    <row r="3104" customFormat="false" ht="15" hidden="false" customHeight="false" outlineLevel="0" collapsed="false">
      <c r="A3104" s="27"/>
      <c r="E3104" s="28"/>
      <c r="F3104" s="28"/>
      <c r="I3104" s="28" t="str">
        <f aca="false">IF(A3104="","",D3104*E3104)</f>
        <v/>
      </c>
      <c r="J3104" s="28" t="str">
        <f aca="false">IF(A3104="","",D3104*F3104)</f>
        <v/>
      </c>
      <c r="K3104" s="0" t="str">
        <f aca="false">IF(A3104="","",YEAR(A3104))</f>
        <v/>
      </c>
      <c r="L3104" s="0" t="str">
        <f aca="false">IF(A3104="","",MONTH(A3104))</f>
        <v/>
      </c>
    </row>
    <row r="3105" customFormat="false" ht="15" hidden="false" customHeight="false" outlineLevel="0" collapsed="false">
      <c r="A3105" s="27"/>
      <c r="E3105" s="28"/>
      <c r="F3105" s="28"/>
      <c r="I3105" s="28" t="str">
        <f aca="false">IF(A3105="","",D3105*E3105)</f>
        <v/>
      </c>
      <c r="J3105" s="28" t="str">
        <f aca="false">IF(A3105="","",D3105*F3105)</f>
        <v/>
      </c>
      <c r="K3105" s="0" t="str">
        <f aca="false">IF(A3105="","",YEAR(A3105))</f>
        <v/>
      </c>
      <c r="L3105" s="0" t="str">
        <f aca="false">IF(A3105="","",MONTH(A3105))</f>
        <v/>
      </c>
    </row>
    <row r="3106" customFormat="false" ht="15" hidden="false" customHeight="false" outlineLevel="0" collapsed="false">
      <c r="A3106" s="27"/>
      <c r="E3106" s="28"/>
      <c r="F3106" s="28"/>
      <c r="I3106" s="28" t="str">
        <f aca="false">IF(A3106="","",D3106*E3106)</f>
        <v/>
      </c>
      <c r="J3106" s="28" t="str">
        <f aca="false">IF(A3106="","",D3106*F3106)</f>
        <v/>
      </c>
      <c r="K3106" s="0" t="str">
        <f aca="false">IF(A3106="","",YEAR(A3106))</f>
        <v/>
      </c>
      <c r="L3106" s="0" t="str">
        <f aca="false">IF(A3106="","",MONTH(A3106))</f>
        <v/>
      </c>
    </row>
    <row r="3107" customFormat="false" ht="15" hidden="false" customHeight="false" outlineLevel="0" collapsed="false">
      <c r="A3107" s="27"/>
      <c r="E3107" s="28"/>
      <c r="F3107" s="28"/>
      <c r="I3107" s="28" t="str">
        <f aca="false">IF(A3107="","",D3107*E3107)</f>
        <v/>
      </c>
      <c r="J3107" s="28" t="str">
        <f aca="false">IF(A3107="","",D3107*F3107)</f>
        <v/>
      </c>
      <c r="K3107" s="0" t="str">
        <f aca="false">IF(A3107="","",YEAR(A3107))</f>
        <v/>
      </c>
      <c r="L3107" s="0" t="str">
        <f aca="false">IF(A3107="","",MONTH(A3107))</f>
        <v/>
      </c>
    </row>
    <row r="3108" customFormat="false" ht="15" hidden="false" customHeight="false" outlineLevel="0" collapsed="false">
      <c r="A3108" s="27"/>
      <c r="E3108" s="28"/>
      <c r="F3108" s="28"/>
      <c r="I3108" s="28" t="str">
        <f aca="false">IF(A3108="","",D3108*E3108)</f>
        <v/>
      </c>
      <c r="J3108" s="28" t="str">
        <f aca="false">IF(A3108="","",D3108*F3108)</f>
        <v/>
      </c>
      <c r="K3108" s="0" t="str">
        <f aca="false">IF(A3108="","",YEAR(A3108))</f>
        <v/>
      </c>
      <c r="L3108" s="0" t="str">
        <f aca="false">IF(A3108="","",MONTH(A3108))</f>
        <v/>
      </c>
    </row>
    <row r="3109" customFormat="false" ht="15" hidden="false" customHeight="false" outlineLevel="0" collapsed="false">
      <c r="A3109" s="27"/>
      <c r="E3109" s="28"/>
      <c r="F3109" s="28"/>
      <c r="I3109" s="28" t="str">
        <f aca="false">IF(A3109="","",D3109*E3109)</f>
        <v/>
      </c>
      <c r="J3109" s="28" t="str">
        <f aca="false">IF(A3109="","",D3109*F3109)</f>
        <v/>
      </c>
      <c r="K3109" s="0" t="str">
        <f aca="false">IF(A3109="","",YEAR(A3109))</f>
        <v/>
      </c>
      <c r="L3109" s="0" t="str">
        <f aca="false">IF(A3109="","",MONTH(A3109))</f>
        <v/>
      </c>
    </row>
    <row r="3110" customFormat="false" ht="15" hidden="false" customHeight="false" outlineLevel="0" collapsed="false">
      <c r="A3110" s="27"/>
      <c r="E3110" s="28"/>
      <c r="F3110" s="28"/>
      <c r="I3110" s="28" t="str">
        <f aca="false">IF(A3110="","",D3110*E3110)</f>
        <v/>
      </c>
      <c r="J3110" s="28" t="str">
        <f aca="false">IF(A3110="","",D3110*F3110)</f>
        <v/>
      </c>
      <c r="K3110" s="0" t="str">
        <f aca="false">IF(A3110="","",YEAR(A3110))</f>
        <v/>
      </c>
      <c r="L3110" s="0" t="str">
        <f aca="false">IF(A3110="","",MONTH(A3110))</f>
        <v/>
      </c>
    </row>
    <row r="3111" customFormat="false" ht="15" hidden="false" customHeight="false" outlineLevel="0" collapsed="false">
      <c r="A3111" s="27"/>
      <c r="E3111" s="28"/>
      <c r="F3111" s="28"/>
      <c r="I3111" s="28" t="str">
        <f aca="false">IF(A3111="","",D3111*E3111)</f>
        <v/>
      </c>
      <c r="J3111" s="28" t="str">
        <f aca="false">IF(A3111="","",D3111*F3111)</f>
        <v/>
      </c>
      <c r="K3111" s="0" t="str">
        <f aca="false">IF(A3111="","",YEAR(A3111))</f>
        <v/>
      </c>
      <c r="L3111" s="0" t="str">
        <f aca="false">IF(A3111="","",MONTH(A3111))</f>
        <v/>
      </c>
    </row>
    <row r="3112" customFormat="false" ht="15" hidden="false" customHeight="false" outlineLevel="0" collapsed="false">
      <c r="A3112" s="27"/>
      <c r="E3112" s="28"/>
      <c r="F3112" s="28"/>
      <c r="I3112" s="28" t="str">
        <f aca="false">IF(A3112="","",D3112*E3112)</f>
        <v/>
      </c>
      <c r="J3112" s="28" t="str">
        <f aca="false">IF(A3112="","",D3112*F3112)</f>
        <v/>
      </c>
      <c r="K3112" s="0" t="str">
        <f aca="false">IF(A3112="","",YEAR(A3112))</f>
        <v/>
      </c>
      <c r="L3112" s="0" t="str">
        <f aca="false">IF(A3112="","",MONTH(A3112))</f>
        <v/>
      </c>
    </row>
    <row r="3113" customFormat="false" ht="15" hidden="false" customHeight="false" outlineLevel="0" collapsed="false">
      <c r="A3113" s="27"/>
      <c r="E3113" s="28"/>
      <c r="F3113" s="28"/>
      <c r="I3113" s="28" t="str">
        <f aca="false">IF(A3113="","",D3113*E3113)</f>
        <v/>
      </c>
      <c r="J3113" s="28" t="str">
        <f aca="false">IF(A3113="","",D3113*F3113)</f>
        <v/>
      </c>
      <c r="K3113" s="0" t="str">
        <f aca="false">IF(A3113="","",YEAR(A3113))</f>
        <v/>
      </c>
      <c r="L3113" s="0" t="str">
        <f aca="false">IF(A3113="","",MONTH(A3113))</f>
        <v/>
      </c>
    </row>
    <row r="3114" customFormat="false" ht="15" hidden="false" customHeight="false" outlineLevel="0" collapsed="false">
      <c r="A3114" s="27"/>
      <c r="E3114" s="28"/>
      <c r="F3114" s="28"/>
      <c r="I3114" s="28" t="str">
        <f aca="false">IF(A3114="","",D3114*E3114)</f>
        <v/>
      </c>
      <c r="J3114" s="28" t="str">
        <f aca="false">IF(A3114="","",D3114*F3114)</f>
        <v/>
      </c>
      <c r="K3114" s="0" t="str">
        <f aca="false">IF(A3114="","",YEAR(A3114))</f>
        <v/>
      </c>
      <c r="L3114" s="0" t="str">
        <f aca="false">IF(A3114="","",MONTH(A3114))</f>
        <v/>
      </c>
    </row>
    <row r="3115" customFormat="false" ht="15" hidden="false" customHeight="false" outlineLevel="0" collapsed="false">
      <c r="A3115" s="27"/>
      <c r="E3115" s="28"/>
      <c r="F3115" s="28"/>
      <c r="I3115" s="28" t="str">
        <f aca="false">IF(A3115="","",D3115*E3115)</f>
        <v/>
      </c>
      <c r="J3115" s="28" t="str">
        <f aca="false">IF(A3115="","",D3115*F3115)</f>
        <v/>
      </c>
      <c r="K3115" s="0" t="str">
        <f aca="false">IF(A3115="","",YEAR(A3115))</f>
        <v/>
      </c>
      <c r="L3115" s="0" t="str">
        <f aca="false">IF(A3115="","",MONTH(A3115))</f>
        <v/>
      </c>
    </row>
    <row r="3116" customFormat="false" ht="15" hidden="false" customHeight="false" outlineLevel="0" collapsed="false">
      <c r="A3116" s="27"/>
      <c r="E3116" s="28"/>
      <c r="F3116" s="28"/>
      <c r="I3116" s="28" t="str">
        <f aca="false">IF(A3116="","",D3116*E3116)</f>
        <v/>
      </c>
      <c r="J3116" s="28" t="str">
        <f aca="false">IF(A3116="","",D3116*F3116)</f>
        <v/>
      </c>
      <c r="K3116" s="0" t="str">
        <f aca="false">IF(A3116="","",YEAR(A3116))</f>
        <v/>
      </c>
      <c r="L3116" s="0" t="str">
        <f aca="false">IF(A3116="","",MONTH(A3116))</f>
        <v/>
      </c>
    </row>
    <row r="3117" customFormat="false" ht="15" hidden="false" customHeight="false" outlineLevel="0" collapsed="false">
      <c r="A3117" s="27"/>
      <c r="E3117" s="28"/>
      <c r="F3117" s="28"/>
      <c r="I3117" s="28" t="str">
        <f aca="false">IF(A3117="","",D3117*E3117)</f>
        <v/>
      </c>
      <c r="J3117" s="28" t="str">
        <f aca="false">IF(A3117="","",D3117*F3117)</f>
        <v/>
      </c>
      <c r="K3117" s="0" t="str">
        <f aca="false">IF(A3117="","",YEAR(A3117))</f>
        <v/>
      </c>
      <c r="L3117" s="0" t="str">
        <f aca="false">IF(A3117="","",MONTH(A3117))</f>
        <v/>
      </c>
    </row>
    <row r="3118" customFormat="false" ht="15" hidden="false" customHeight="false" outlineLevel="0" collapsed="false">
      <c r="A3118" s="27"/>
      <c r="E3118" s="28"/>
      <c r="F3118" s="28"/>
      <c r="I3118" s="28" t="str">
        <f aca="false">IF(A3118="","",D3118*E3118)</f>
        <v/>
      </c>
      <c r="J3118" s="28" t="str">
        <f aca="false">IF(A3118="","",D3118*F3118)</f>
        <v/>
      </c>
      <c r="K3118" s="0" t="str">
        <f aca="false">IF(A3118="","",YEAR(A3118))</f>
        <v/>
      </c>
      <c r="L3118" s="0" t="str">
        <f aca="false">IF(A3118="","",MONTH(A3118))</f>
        <v/>
      </c>
    </row>
    <row r="3119" customFormat="false" ht="15" hidden="false" customHeight="false" outlineLevel="0" collapsed="false">
      <c r="A3119" s="27"/>
      <c r="E3119" s="28"/>
      <c r="F3119" s="28"/>
      <c r="I3119" s="28" t="str">
        <f aca="false">IF(A3119="","",D3119*E3119)</f>
        <v/>
      </c>
      <c r="J3119" s="28" t="str">
        <f aca="false">IF(A3119="","",D3119*F3119)</f>
        <v/>
      </c>
      <c r="K3119" s="0" t="str">
        <f aca="false">IF(A3119="","",YEAR(A3119))</f>
        <v/>
      </c>
      <c r="L3119" s="0" t="str">
        <f aca="false">IF(A3119="","",MONTH(A3119))</f>
        <v/>
      </c>
    </row>
    <row r="3120" customFormat="false" ht="15" hidden="false" customHeight="false" outlineLevel="0" collapsed="false">
      <c r="A3120" s="27"/>
      <c r="E3120" s="28"/>
      <c r="F3120" s="28"/>
      <c r="I3120" s="28" t="str">
        <f aca="false">IF(A3120="","",D3120*E3120)</f>
        <v/>
      </c>
      <c r="J3120" s="28" t="str">
        <f aca="false">IF(A3120="","",D3120*F3120)</f>
        <v/>
      </c>
      <c r="K3120" s="0" t="str">
        <f aca="false">IF(A3120="","",YEAR(A3120))</f>
        <v/>
      </c>
      <c r="L3120" s="0" t="str">
        <f aca="false">IF(A3120="","",MONTH(A3120))</f>
        <v/>
      </c>
    </row>
    <row r="3121" customFormat="false" ht="15" hidden="false" customHeight="false" outlineLevel="0" collapsed="false">
      <c r="A3121" s="27"/>
      <c r="E3121" s="28"/>
      <c r="F3121" s="28"/>
      <c r="I3121" s="28" t="str">
        <f aca="false">IF(A3121="","",D3121*E3121)</f>
        <v/>
      </c>
      <c r="J3121" s="28" t="str">
        <f aca="false">IF(A3121="","",D3121*F3121)</f>
        <v/>
      </c>
      <c r="K3121" s="0" t="str">
        <f aca="false">IF(A3121="","",YEAR(A3121))</f>
        <v/>
      </c>
      <c r="L3121" s="0" t="str">
        <f aca="false">IF(A3121="","",MONTH(A3121))</f>
        <v/>
      </c>
    </row>
    <row r="3122" customFormat="false" ht="15" hidden="false" customHeight="false" outlineLevel="0" collapsed="false">
      <c r="A3122" s="27"/>
      <c r="E3122" s="28"/>
      <c r="F3122" s="28"/>
      <c r="I3122" s="28" t="str">
        <f aca="false">IF(A3122="","",D3122*E3122)</f>
        <v/>
      </c>
      <c r="J3122" s="28" t="str">
        <f aca="false">IF(A3122="","",D3122*F3122)</f>
        <v/>
      </c>
      <c r="K3122" s="0" t="str">
        <f aca="false">IF(A3122="","",YEAR(A3122))</f>
        <v/>
      </c>
      <c r="L3122" s="0" t="str">
        <f aca="false">IF(A3122="","",MONTH(A3122))</f>
        <v/>
      </c>
    </row>
    <row r="3123" customFormat="false" ht="15" hidden="false" customHeight="false" outlineLevel="0" collapsed="false">
      <c r="A3123" s="27"/>
      <c r="E3123" s="28"/>
      <c r="F3123" s="28"/>
      <c r="I3123" s="28" t="str">
        <f aca="false">IF(A3123="","",D3123*E3123)</f>
        <v/>
      </c>
      <c r="J3123" s="28" t="str">
        <f aca="false">IF(A3123="","",D3123*F3123)</f>
        <v/>
      </c>
      <c r="K3123" s="0" t="str">
        <f aca="false">IF(A3123="","",YEAR(A3123))</f>
        <v/>
      </c>
      <c r="L3123" s="0" t="str">
        <f aca="false">IF(A3123="","",MONTH(A3123))</f>
        <v/>
      </c>
    </row>
    <row r="3124" customFormat="false" ht="15" hidden="false" customHeight="false" outlineLevel="0" collapsed="false">
      <c r="A3124" s="27"/>
      <c r="E3124" s="28"/>
      <c r="F3124" s="28"/>
      <c r="I3124" s="28" t="str">
        <f aca="false">IF(A3124="","",D3124*E3124)</f>
        <v/>
      </c>
      <c r="J3124" s="28" t="str">
        <f aca="false">IF(A3124="","",D3124*F3124)</f>
        <v/>
      </c>
      <c r="K3124" s="0" t="str">
        <f aca="false">IF(A3124="","",YEAR(A3124))</f>
        <v/>
      </c>
      <c r="L3124" s="0" t="str">
        <f aca="false">IF(A3124="","",MONTH(A3124))</f>
        <v/>
      </c>
    </row>
    <row r="3125" customFormat="false" ht="15" hidden="false" customHeight="false" outlineLevel="0" collapsed="false">
      <c r="A3125" s="27"/>
      <c r="E3125" s="28"/>
      <c r="F3125" s="28"/>
      <c r="I3125" s="28" t="str">
        <f aca="false">IF(A3125="","",D3125*E3125)</f>
        <v/>
      </c>
      <c r="J3125" s="28" t="str">
        <f aca="false">IF(A3125="","",D3125*F3125)</f>
        <v/>
      </c>
      <c r="K3125" s="0" t="str">
        <f aca="false">IF(A3125="","",YEAR(A3125))</f>
        <v/>
      </c>
      <c r="L3125" s="0" t="str">
        <f aca="false">IF(A3125="","",MONTH(A3125))</f>
        <v/>
      </c>
    </row>
    <row r="3126" customFormat="false" ht="15" hidden="false" customHeight="false" outlineLevel="0" collapsed="false">
      <c r="A3126" s="27"/>
      <c r="E3126" s="28"/>
      <c r="F3126" s="28"/>
      <c r="I3126" s="28" t="str">
        <f aca="false">IF(A3126="","",D3126*E3126)</f>
        <v/>
      </c>
      <c r="J3126" s="28" t="str">
        <f aca="false">IF(A3126="","",D3126*F3126)</f>
        <v/>
      </c>
      <c r="K3126" s="0" t="str">
        <f aca="false">IF(A3126="","",YEAR(A3126))</f>
        <v/>
      </c>
      <c r="L3126" s="0" t="str">
        <f aca="false">IF(A3126="","",MONTH(A3126))</f>
        <v/>
      </c>
    </row>
    <row r="3127" customFormat="false" ht="15" hidden="false" customHeight="false" outlineLevel="0" collapsed="false">
      <c r="A3127" s="27"/>
      <c r="E3127" s="28"/>
      <c r="F3127" s="28"/>
      <c r="I3127" s="28" t="str">
        <f aca="false">IF(A3127="","",D3127*E3127)</f>
        <v/>
      </c>
      <c r="J3127" s="28" t="str">
        <f aca="false">IF(A3127="","",D3127*F3127)</f>
        <v/>
      </c>
      <c r="K3127" s="0" t="str">
        <f aca="false">IF(A3127="","",YEAR(A3127))</f>
        <v/>
      </c>
      <c r="L3127" s="0" t="str">
        <f aca="false">IF(A3127="","",MONTH(A3127))</f>
        <v/>
      </c>
    </row>
    <row r="3128" customFormat="false" ht="15" hidden="false" customHeight="false" outlineLevel="0" collapsed="false">
      <c r="A3128" s="27"/>
      <c r="E3128" s="28"/>
      <c r="F3128" s="28"/>
      <c r="I3128" s="28" t="str">
        <f aca="false">IF(A3128="","",D3128*E3128)</f>
        <v/>
      </c>
      <c r="J3128" s="28" t="str">
        <f aca="false">IF(A3128="","",D3128*F3128)</f>
        <v/>
      </c>
      <c r="K3128" s="0" t="str">
        <f aca="false">IF(A3128="","",YEAR(A3128))</f>
        <v/>
      </c>
      <c r="L3128" s="0" t="str">
        <f aca="false">IF(A3128="","",MONTH(A3128))</f>
        <v/>
      </c>
    </row>
    <row r="3129" customFormat="false" ht="15" hidden="false" customHeight="false" outlineLevel="0" collapsed="false">
      <c r="A3129" s="27"/>
      <c r="E3129" s="28"/>
      <c r="F3129" s="28"/>
      <c r="I3129" s="28" t="str">
        <f aca="false">IF(A3129="","",D3129*E3129)</f>
        <v/>
      </c>
      <c r="J3129" s="28" t="str">
        <f aca="false">IF(A3129="","",D3129*F3129)</f>
        <v/>
      </c>
      <c r="K3129" s="0" t="str">
        <f aca="false">IF(A3129="","",YEAR(A3129))</f>
        <v/>
      </c>
      <c r="L3129" s="0" t="str">
        <f aca="false">IF(A3129="","",MONTH(A3129))</f>
        <v/>
      </c>
    </row>
    <row r="3130" customFormat="false" ht="15" hidden="false" customHeight="false" outlineLevel="0" collapsed="false">
      <c r="A3130" s="27"/>
      <c r="E3130" s="28"/>
      <c r="F3130" s="28"/>
      <c r="I3130" s="28" t="str">
        <f aca="false">IF(A3130="","",D3130*E3130)</f>
        <v/>
      </c>
      <c r="J3130" s="28" t="str">
        <f aca="false">IF(A3130="","",D3130*F3130)</f>
        <v/>
      </c>
      <c r="K3130" s="0" t="str">
        <f aca="false">IF(A3130="","",YEAR(A3130))</f>
        <v/>
      </c>
      <c r="L3130" s="0" t="str">
        <f aca="false">IF(A3130="","",MONTH(A3130))</f>
        <v/>
      </c>
    </row>
    <row r="3131" customFormat="false" ht="15" hidden="false" customHeight="false" outlineLevel="0" collapsed="false">
      <c r="A3131" s="27"/>
      <c r="E3131" s="28"/>
      <c r="F3131" s="28"/>
      <c r="I3131" s="28" t="str">
        <f aca="false">IF(A3131="","",D3131*E3131)</f>
        <v/>
      </c>
      <c r="J3131" s="28" t="str">
        <f aca="false">IF(A3131="","",D3131*F3131)</f>
        <v/>
      </c>
      <c r="K3131" s="0" t="str">
        <f aca="false">IF(A3131="","",YEAR(A3131))</f>
        <v/>
      </c>
      <c r="L3131" s="0" t="str">
        <f aca="false">IF(A3131="","",MONTH(A3131))</f>
        <v/>
      </c>
    </row>
    <row r="3132" customFormat="false" ht="15" hidden="false" customHeight="false" outlineLevel="0" collapsed="false">
      <c r="A3132" s="27"/>
      <c r="E3132" s="28"/>
      <c r="F3132" s="28"/>
      <c r="I3132" s="28" t="str">
        <f aca="false">IF(A3132="","",D3132*E3132)</f>
        <v/>
      </c>
      <c r="J3132" s="28" t="str">
        <f aca="false">IF(A3132="","",D3132*F3132)</f>
        <v/>
      </c>
      <c r="K3132" s="0" t="str">
        <f aca="false">IF(A3132="","",YEAR(A3132))</f>
        <v/>
      </c>
      <c r="L3132" s="0" t="str">
        <f aca="false">IF(A3132="","",MONTH(A3132))</f>
        <v/>
      </c>
    </row>
    <row r="3133" customFormat="false" ht="15" hidden="false" customHeight="false" outlineLevel="0" collapsed="false">
      <c r="A3133" s="27"/>
      <c r="E3133" s="28"/>
      <c r="F3133" s="28"/>
      <c r="I3133" s="28" t="str">
        <f aca="false">IF(A3133="","",D3133*E3133)</f>
        <v/>
      </c>
      <c r="J3133" s="28" t="str">
        <f aca="false">IF(A3133="","",D3133*F3133)</f>
        <v/>
      </c>
      <c r="K3133" s="0" t="str">
        <f aca="false">IF(A3133="","",YEAR(A3133))</f>
        <v/>
      </c>
      <c r="L3133" s="0" t="str">
        <f aca="false">IF(A3133="","",MONTH(A3133))</f>
        <v/>
      </c>
    </row>
    <row r="3134" customFormat="false" ht="15" hidden="false" customHeight="false" outlineLevel="0" collapsed="false">
      <c r="A3134" s="27"/>
      <c r="E3134" s="28"/>
      <c r="F3134" s="28"/>
      <c r="I3134" s="28" t="str">
        <f aca="false">IF(A3134="","",D3134*E3134)</f>
        <v/>
      </c>
      <c r="J3134" s="28" t="str">
        <f aca="false">IF(A3134="","",D3134*F3134)</f>
        <v/>
      </c>
      <c r="K3134" s="0" t="str">
        <f aca="false">IF(A3134="","",YEAR(A3134))</f>
        <v/>
      </c>
      <c r="L3134" s="0" t="str">
        <f aca="false">IF(A3134="","",MONTH(A3134))</f>
        <v/>
      </c>
    </row>
    <row r="3135" customFormat="false" ht="15" hidden="false" customHeight="false" outlineLevel="0" collapsed="false">
      <c r="A3135" s="27"/>
      <c r="E3135" s="28"/>
      <c r="F3135" s="28"/>
      <c r="I3135" s="28" t="str">
        <f aca="false">IF(A3135="","",D3135*E3135)</f>
        <v/>
      </c>
      <c r="J3135" s="28" t="str">
        <f aca="false">IF(A3135="","",D3135*F3135)</f>
        <v/>
      </c>
      <c r="K3135" s="0" t="str">
        <f aca="false">IF(A3135="","",YEAR(A3135))</f>
        <v/>
      </c>
      <c r="L3135" s="0" t="str">
        <f aca="false">IF(A3135="","",MONTH(A3135))</f>
        <v/>
      </c>
    </row>
    <row r="3136" customFormat="false" ht="15" hidden="false" customHeight="false" outlineLevel="0" collapsed="false">
      <c r="A3136" s="27"/>
      <c r="E3136" s="28"/>
      <c r="F3136" s="28"/>
      <c r="I3136" s="28" t="str">
        <f aca="false">IF(A3136="","",D3136*E3136)</f>
        <v/>
      </c>
      <c r="J3136" s="28" t="str">
        <f aca="false">IF(A3136="","",D3136*F3136)</f>
        <v/>
      </c>
      <c r="K3136" s="0" t="str">
        <f aca="false">IF(A3136="","",YEAR(A3136))</f>
        <v/>
      </c>
      <c r="L3136" s="0" t="str">
        <f aca="false">IF(A3136="","",MONTH(A3136))</f>
        <v/>
      </c>
    </row>
    <row r="3137" customFormat="false" ht="15" hidden="false" customHeight="false" outlineLevel="0" collapsed="false">
      <c r="A3137" s="27"/>
      <c r="E3137" s="28"/>
      <c r="F3137" s="28"/>
      <c r="I3137" s="28" t="str">
        <f aca="false">IF(A3137="","",D3137*E3137)</f>
        <v/>
      </c>
      <c r="J3137" s="28" t="str">
        <f aca="false">IF(A3137="","",D3137*F3137)</f>
        <v/>
      </c>
      <c r="K3137" s="0" t="str">
        <f aca="false">IF(A3137="","",YEAR(A3137))</f>
        <v/>
      </c>
      <c r="L3137" s="0" t="str">
        <f aca="false">IF(A3137="","",MONTH(A3137))</f>
        <v/>
      </c>
    </row>
    <row r="3138" customFormat="false" ht="15" hidden="false" customHeight="false" outlineLevel="0" collapsed="false">
      <c r="A3138" s="27"/>
      <c r="E3138" s="28"/>
      <c r="F3138" s="28"/>
      <c r="I3138" s="28" t="str">
        <f aca="false">IF(A3138="","",D3138*E3138)</f>
        <v/>
      </c>
      <c r="J3138" s="28" t="str">
        <f aca="false">IF(A3138="","",D3138*F3138)</f>
        <v/>
      </c>
      <c r="K3138" s="0" t="str">
        <f aca="false">IF(A3138="","",YEAR(A3138))</f>
        <v/>
      </c>
      <c r="L3138" s="0" t="str">
        <f aca="false">IF(A3138="","",MONTH(A3138))</f>
        <v/>
      </c>
    </row>
    <row r="3139" customFormat="false" ht="15" hidden="false" customHeight="false" outlineLevel="0" collapsed="false">
      <c r="A3139" s="27"/>
      <c r="E3139" s="28"/>
      <c r="F3139" s="28"/>
      <c r="I3139" s="28" t="str">
        <f aca="false">IF(A3139="","",D3139*E3139)</f>
        <v/>
      </c>
      <c r="J3139" s="28" t="str">
        <f aca="false">IF(A3139="","",D3139*F3139)</f>
        <v/>
      </c>
      <c r="K3139" s="0" t="str">
        <f aca="false">IF(A3139="","",YEAR(A3139))</f>
        <v/>
      </c>
      <c r="L3139" s="0" t="str">
        <f aca="false">IF(A3139="","",MONTH(A3139))</f>
        <v/>
      </c>
    </row>
    <row r="3140" customFormat="false" ht="15" hidden="false" customHeight="false" outlineLevel="0" collapsed="false">
      <c r="A3140" s="27"/>
      <c r="E3140" s="28"/>
      <c r="F3140" s="28"/>
      <c r="I3140" s="28" t="str">
        <f aca="false">IF(A3140="","",D3140*E3140)</f>
        <v/>
      </c>
      <c r="J3140" s="28" t="str">
        <f aca="false">IF(A3140="","",D3140*F3140)</f>
        <v/>
      </c>
      <c r="K3140" s="0" t="str">
        <f aca="false">IF(A3140="","",YEAR(A3140))</f>
        <v/>
      </c>
      <c r="L3140" s="0" t="str">
        <f aca="false">IF(A3140="","",MONTH(A3140))</f>
        <v/>
      </c>
    </row>
    <row r="3141" customFormat="false" ht="15" hidden="false" customHeight="false" outlineLevel="0" collapsed="false">
      <c r="A3141" s="27"/>
      <c r="E3141" s="28"/>
      <c r="F3141" s="28"/>
      <c r="I3141" s="28" t="str">
        <f aca="false">IF(A3141="","",D3141*E3141)</f>
        <v/>
      </c>
      <c r="J3141" s="28" t="str">
        <f aca="false">IF(A3141="","",D3141*F3141)</f>
        <v/>
      </c>
      <c r="K3141" s="0" t="str">
        <f aca="false">IF(A3141="","",YEAR(A3141))</f>
        <v/>
      </c>
      <c r="L3141" s="0" t="str">
        <f aca="false">IF(A3141="","",MONTH(A3141))</f>
        <v/>
      </c>
    </row>
    <row r="3142" customFormat="false" ht="15" hidden="false" customHeight="false" outlineLevel="0" collapsed="false">
      <c r="A3142" s="27"/>
      <c r="E3142" s="28"/>
      <c r="F3142" s="28"/>
      <c r="I3142" s="28" t="str">
        <f aca="false">IF(A3142="","",D3142*E3142)</f>
        <v/>
      </c>
      <c r="J3142" s="28" t="str">
        <f aca="false">IF(A3142="","",D3142*F3142)</f>
        <v/>
      </c>
      <c r="K3142" s="0" t="str">
        <f aca="false">IF(A3142="","",YEAR(A3142))</f>
        <v/>
      </c>
      <c r="L3142" s="0" t="str">
        <f aca="false">IF(A3142="","",MONTH(A3142))</f>
        <v/>
      </c>
    </row>
    <row r="3143" customFormat="false" ht="15" hidden="false" customHeight="false" outlineLevel="0" collapsed="false">
      <c r="A3143" s="27"/>
      <c r="E3143" s="28"/>
      <c r="F3143" s="28"/>
      <c r="I3143" s="28" t="str">
        <f aca="false">IF(A3143="","",D3143*E3143)</f>
        <v/>
      </c>
      <c r="J3143" s="28" t="str">
        <f aca="false">IF(A3143="","",D3143*F3143)</f>
        <v/>
      </c>
      <c r="K3143" s="0" t="str">
        <f aca="false">IF(A3143="","",YEAR(A3143))</f>
        <v/>
      </c>
      <c r="L3143" s="0" t="str">
        <f aca="false">IF(A3143="","",MONTH(A3143))</f>
        <v/>
      </c>
    </row>
    <row r="3144" customFormat="false" ht="15" hidden="false" customHeight="false" outlineLevel="0" collapsed="false">
      <c r="A3144" s="27"/>
      <c r="E3144" s="28"/>
      <c r="F3144" s="28"/>
      <c r="I3144" s="28" t="str">
        <f aca="false">IF(A3144="","",D3144*E3144)</f>
        <v/>
      </c>
      <c r="J3144" s="28" t="str">
        <f aca="false">IF(A3144="","",D3144*F3144)</f>
        <v/>
      </c>
      <c r="K3144" s="0" t="str">
        <f aca="false">IF(A3144="","",YEAR(A3144))</f>
        <v/>
      </c>
      <c r="L3144" s="0" t="str">
        <f aca="false">IF(A3144="","",MONTH(A3144))</f>
        <v/>
      </c>
    </row>
    <row r="3145" customFormat="false" ht="15" hidden="false" customHeight="false" outlineLevel="0" collapsed="false">
      <c r="A3145" s="27"/>
      <c r="E3145" s="28"/>
      <c r="F3145" s="28"/>
      <c r="I3145" s="28" t="str">
        <f aca="false">IF(A3145="","",D3145*E3145)</f>
        <v/>
      </c>
      <c r="J3145" s="28" t="str">
        <f aca="false">IF(A3145="","",D3145*F3145)</f>
        <v/>
      </c>
      <c r="K3145" s="0" t="str">
        <f aca="false">IF(A3145="","",YEAR(A3145))</f>
        <v/>
      </c>
      <c r="L3145" s="0" t="str">
        <f aca="false">IF(A3145="","",MONTH(A3145))</f>
        <v/>
      </c>
    </row>
    <row r="3146" customFormat="false" ht="15" hidden="false" customHeight="false" outlineLevel="0" collapsed="false">
      <c r="A3146" s="27"/>
      <c r="E3146" s="28"/>
      <c r="F3146" s="28"/>
      <c r="I3146" s="28" t="str">
        <f aca="false">IF(A3146="","",D3146*E3146)</f>
        <v/>
      </c>
      <c r="J3146" s="28" t="str">
        <f aca="false">IF(A3146="","",D3146*F3146)</f>
        <v/>
      </c>
      <c r="K3146" s="0" t="str">
        <f aca="false">IF(A3146="","",YEAR(A3146))</f>
        <v/>
      </c>
      <c r="L3146" s="0" t="str">
        <f aca="false">IF(A3146="","",MONTH(A3146))</f>
        <v/>
      </c>
    </row>
    <row r="3147" customFormat="false" ht="15" hidden="false" customHeight="false" outlineLevel="0" collapsed="false">
      <c r="A3147" s="27"/>
      <c r="E3147" s="28"/>
      <c r="F3147" s="28"/>
      <c r="I3147" s="28" t="str">
        <f aca="false">IF(A3147="","",D3147*E3147)</f>
        <v/>
      </c>
      <c r="J3147" s="28" t="str">
        <f aca="false">IF(A3147="","",D3147*F3147)</f>
        <v/>
      </c>
      <c r="K3147" s="0" t="str">
        <f aca="false">IF(A3147="","",YEAR(A3147))</f>
        <v/>
      </c>
      <c r="L3147" s="0" t="str">
        <f aca="false">IF(A3147="","",MONTH(A3147))</f>
        <v/>
      </c>
    </row>
    <row r="3148" customFormat="false" ht="15" hidden="false" customHeight="false" outlineLevel="0" collapsed="false">
      <c r="A3148" s="27"/>
      <c r="E3148" s="28"/>
      <c r="F3148" s="28"/>
      <c r="I3148" s="28" t="str">
        <f aca="false">IF(A3148="","",D3148*E3148)</f>
        <v/>
      </c>
      <c r="J3148" s="28" t="str">
        <f aca="false">IF(A3148="","",D3148*F3148)</f>
        <v/>
      </c>
      <c r="K3148" s="0" t="str">
        <f aca="false">IF(A3148="","",YEAR(A3148))</f>
        <v/>
      </c>
      <c r="L3148" s="0" t="str">
        <f aca="false">IF(A3148="","",MONTH(A3148))</f>
        <v/>
      </c>
    </row>
    <row r="3149" customFormat="false" ht="15" hidden="false" customHeight="false" outlineLevel="0" collapsed="false">
      <c r="A3149" s="27"/>
      <c r="E3149" s="28"/>
      <c r="F3149" s="28"/>
      <c r="I3149" s="28" t="str">
        <f aca="false">IF(A3149="","",D3149*E3149)</f>
        <v/>
      </c>
      <c r="J3149" s="28" t="str">
        <f aca="false">IF(A3149="","",D3149*F3149)</f>
        <v/>
      </c>
      <c r="K3149" s="0" t="str">
        <f aca="false">IF(A3149="","",YEAR(A3149))</f>
        <v/>
      </c>
      <c r="L3149" s="0" t="str">
        <f aca="false">IF(A3149="","",MONTH(A3149))</f>
        <v/>
      </c>
    </row>
    <row r="3150" customFormat="false" ht="15" hidden="false" customHeight="false" outlineLevel="0" collapsed="false">
      <c r="A3150" s="27"/>
      <c r="E3150" s="28"/>
      <c r="F3150" s="28"/>
      <c r="I3150" s="28" t="str">
        <f aca="false">IF(A3150="","",D3150*E3150)</f>
        <v/>
      </c>
      <c r="J3150" s="28" t="str">
        <f aca="false">IF(A3150="","",D3150*F3150)</f>
        <v/>
      </c>
      <c r="K3150" s="0" t="str">
        <f aca="false">IF(A3150="","",YEAR(A3150))</f>
        <v/>
      </c>
      <c r="L3150" s="0" t="str">
        <f aca="false">IF(A3150="","",MONTH(A3150))</f>
        <v/>
      </c>
    </row>
    <row r="3151" customFormat="false" ht="15" hidden="false" customHeight="false" outlineLevel="0" collapsed="false">
      <c r="A3151" s="27"/>
      <c r="E3151" s="28"/>
      <c r="F3151" s="28"/>
      <c r="I3151" s="28" t="str">
        <f aca="false">IF(A3151="","",D3151*E3151)</f>
        <v/>
      </c>
      <c r="J3151" s="28" t="str">
        <f aca="false">IF(A3151="","",D3151*F3151)</f>
        <v/>
      </c>
      <c r="K3151" s="0" t="str">
        <f aca="false">IF(A3151="","",YEAR(A3151))</f>
        <v/>
      </c>
      <c r="L3151" s="0" t="str">
        <f aca="false">IF(A3151="","",MONTH(A3151))</f>
        <v/>
      </c>
    </row>
    <row r="3152" customFormat="false" ht="15" hidden="false" customHeight="false" outlineLevel="0" collapsed="false">
      <c r="A3152" s="27"/>
      <c r="E3152" s="28"/>
      <c r="F3152" s="28"/>
      <c r="I3152" s="28" t="str">
        <f aca="false">IF(A3152="","",D3152*E3152)</f>
        <v/>
      </c>
      <c r="J3152" s="28" t="str">
        <f aca="false">IF(A3152="","",D3152*F3152)</f>
        <v/>
      </c>
      <c r="K3152" s="0" t="str">
        <f aca="false">IF(A3152="","",YEAR(A3152))</f>
        <v/>
      </c>
      <c r="L3152" s="0" t="str">
        <f aca="false">IF(A3152="","",MONTH(A3152))</f>
        <v/>
      </c>
    </row>
    <row r="3153" customFormat="false" ht="15" hidden="false" customHeight="false" outlineLevel="0" collapsed="false">
      <c r="A3153" s="27"/>
      <c r="E3153" s="28"/>
      <c r="F3153" s="28"/>
      <c r="I3153" s="28" t="str">
        <f aca="false">IF(A3153="","",D3153*E3153)</f>
        <v/>
      </c>
      <c r="J3153" s="28" t="str">
        <f aca="false">IF(A3153="","",D3153*F3153)</f>
        <v/>
      </c>
      <c r="K3153" s="0" t="str">
        <f aca="false">IF(A3153="","",YEAR(A3153))</f>
        <v/>
      </c>
      <c r="L3153" s="0" t="str">
        <f aca="false">IF(A3153="","",MONTH(A3153))</f>
        <v/>
      </c>
    </row>
    <row r="3154" customFormat="false" ht="15" hidden="false" customHeight="false" outlineLevel="0" collapsed="false">
      <c r="A3154" s="27"/>
      <c r="E3154" s="28"/>
      <c r="F3154" s="28"/>
      <c r="I3154" s="28" t="str">
        <f aca="false">IF(A3154="","",D3154*E3154)</f>
        <v/>
      </c>
      <c r="J3154" s="28" t="str">
        <f aca="false">IF(A3154="","",D3154*F3154)</f>
        <v/>
      </c>
      <c r="K3154" s="0" t="str">
        <f aca="false">IF(A3154="","",YEAR(A3154))</f>
        <v/>
      </c>
      <c r="L3154" s="0" t="str">
        <f aca="false">IF(A3154="","",MONTH(A3154))</f>
        <v/>
      </c>
    </row>
    <row r="3155" customFormat="false" ht="15" hidden="false" customHeight="false" outlineLevel="0" collapsed="false">
      <c r="A3155" s="27"/>
      <c r="E3155" s="28"/>
      <c r="F3155" s="28"/>
      <c r="I3155" s="28" t="str">
        <f aca="false">IF(A3155="","",D3155*E3155)</f>
        <v/>
      </c>
      <c r="J3155" s="28" t="str">
        <f aca="false">IF(A3155="","",D3155*F3155)</f>
        <v/>
      </c>
      <c r="K3155" s="0" t="str">
        <f aca="false">IF(A3155="","",YEAR(A3155))</f>
        <v/>
      </c>
      <c r="L3155" s="0" t="str">
        <f aca="false">IF(A3155="","",MONTH(A3155))</f>
        <v/>
      </c>
    </row>
    <row r="3156" customFormat="false" ht="15" hidden="false" customHeight="false" outlineLevel="0" collapsed="false">
      <c r="A3156" s="27"/>
      <c r="E3156" s="28"/>
      <c r="F3156" s="28"/>
      <c r="I3156" s="28" t="str">
        <f aca="false">IF(A3156="","",D3156*E3156)</f>
        <v/>
      </c>
      <c r="J3156" s="28" t="str">
        <f aca="false">IF(A3156="","",D3156*F3156)</f>
        <v/>
      </c>
      <c r="K3156" s="0" t="str">
        <f aca="false">IF(A3156="","",YEAR(A3156))</f>
        <v/>
      </c>
      <c r="L3156" s="0" t="str">
        <f aca="false">IF(A3156="","",MONTH(A3156))</f>
        <v/>
      </c>
    </row>
    <row r="3157" customFormat="false" ht="15" hidden="false" customHeight="false" outlineLevel="0" collapsed="false">
      <c r="A3157" s="27"/>
      <c r="E3157" s="28"/>
      <c r="F3157" s="28"/>
      <c r="I3157" s="28" t="str">
        <f aca="false">IF(A3157="","",D3157*E3157)</f>
        <v/>
      </c>
      <c r="J3157" s="28" t="str">
        <f aca="false">IF(A3157="","",D3157*F3157)</f>
        <v/>
      </c>
      <c r="K3157" s="0" t="str">
        <f aca="false">IF(A3157="","",YEAR(A3157))</f>
        <v/>
      </c>
      <c r="L3157" s="0" t="str">
        <f aca="false">IF(A3157="","",MONTH(A3157))</f>
        <v/>
      </c>
    </row>
    <row r="3158" customFormat="false" ht="15" hidden="false" customHeight="false" outlineLevel="0" collapsed="false">
      <c r="A3158" s="27"/>
      <c r="E3158" s="28"/>
      <c r="F3158" s="28"/>
      <c r="I3158" s="28" t="str">
        <f aca="false">IF(A3158="","",D3158*E3158)</f>
        <v/>
      </c>
      <c r="J3158" s="28" t="str">
        <f aca="false">IF(A3158="","",D3158*F3158)</f>
        <v/>
      </c>
      <c r="K3158" s="0" t="str">
        <f aca="false">IF(A3158="","",YEAR(A3158))</f>
        <v/>
      </c>
      <c r="L3158" s="0" t="str">
        <f aca="false">IF(A3158="","",MONTH(A3158))</f>
        <v/>
      </c>
    </row>
    <row r="3159" customFormat="false" ht="15" hidden="false" customHeight="false" outlineLevel="0" collapsed="false">
      <c r="A3159" s="27"/>
      <c r="E3159" s="28"/>
      <c r="F3159" s="28"/>
      <c r="I3159" s="28" t="str">
        <f aca="false">IF(A3159="","",D3159*E3159)</f>
        <v/>
      </c>
      <c r="J3159" s="28" t="str">
        <f aca="false">IF(A3159="","",D3159*F3159)</f>
        <v/>
      </c>
      <c r="K3159" s="0" t="str">
        <f aca="false">IF(A3159="","",YEAR(A3159))</f>
        <v/>
      </c>
      <c r="L3159" s="0" t="str">
        <f aca="false">IF(A3159="","",MONTH(A3159))</f>
        <v/>
      </c>
    </row>
    <row r="3160" customFormat="false" ht="15" hidden="false" customHeight="false" outlineLevel="0" collapsed="false">
      <c r="A3160" s="27"/>
      <c r="E3160" s="28"/>
      <c r="F3160" s="28"/>
      <c r="I3160" s="28" t="str">
        <f aca="false">IF(A3160="","",D3160*E3160)</f>
        <v/>
      </c>
      <c r="J3160" s="28" t="str">
        <f aca="false">IF(A3160="","",D3160*F3160)</f>
        <v/>
      </c>
      <c r="K3160" s="0" t="str">
        <f aca="false">IF(A3160="","",YEAR(A3160))</f>
        <v/>
      </c>
      <c r="L3160" s="0" t="str">
        <f aca="false">IF(A3160="","",MONTH(A3160))</f>
        <v/>
      </c>
    </row>
    <row r="3161" customFormat="false" ht="15" hidden="false" customHeight="false" outlineLevel="0" collapsed="false">
      <c r="A3161" s="27"/>
      <c r="E3161" s="28"/>
      <c r="F3161" s="28"/>
      <c r="I3161" s="28" t="str">
        <f aca="false">IF(A3161="","",D3161*E3161)</f>
        <v/>
      </c>
      <c r="J3161" s="28" t="str">
        <f aca="false">IF(A3161="","",D3161*F3161)</f>
        <v/>
      </c>
      <c r="K3161" s="0" t="str">
        <f aca="false">IF(A3161="","",YEAR(A3161))</f>
        <v/>
      </c>
      <c r="L3161" s="0" t="str">
        <f aca="false">IF(A3161="","",MONTH(A3161))</f>
        <v/>
      </c>
    </row>
    <row r="3162" customFormat="false" ht="15" hidden="false" customHeight="false" outlineLevel="0" collapsed="false">
      <c r="A3162" s="27"/>
      <c r="E3162" s="28"/>
      <c r="F3162" s="28"/>
      <c r="I3162" s="28" t="str">
        <f aca="false">IF(A3162="","",D3162*E3162)</f>
        <v/>
      </c>
      <c r="J3162" s="28" t="str">
        <f aca="false">IF(A3162="","",D3162*F3162)</f>
        <v/>
      </c>
      <c r="K3162" s="0" t="str">
        <f aca="false">IF(A3162="","",YEAR(A3162))</f>
        <v/>
      </c>
      <c r="L3162" s="0" t="str">
        <f aca="false">IF(A3162="","",MONTH(A3162))</f>
        <v/>
      </c>
    </row>
    <row r="3163" customFormat="false" ht="15" hidden="false" customHeight="false" outlineLevel="0" collapsed="false">
      <c r="A3163" s="27"/>
      <c r="E3163" s="28"/>
      <c r="F3163" s="28"/>
      <c r="I3163" s="28" t="str">
        <f aca="false">IF(A3163="","",D3163*E3163)</f>
        <v/>
      </c>
      <c r="J3163" s="28" t="str">
        <f aca="false">IF(A3163="","",D3163*F3163)</f>
        <v/>
      </c>
      <c r="K3163" s="0" t="str">
        <f aca="false">IF(A3163="","",YEAR(A3163))</f>
        <v/>
      </c>
      <c r="L3163" s="0" t="str">
        <f aca="false">IF(A3163="","",MONTH(A3163))</f>
        <v/>
      </c>
    </row>
    <row r="3164" customFormat="false" ht="15" hidden="false" customHeight="false" outlineLevel="0" collapsed="false">
      <c r="A3164" s="27"/>
      <c r="E3164" s="28"/>
      <c r="F3164" s="28"/>
      <c r="I3164" s="28" t="str">
        <f aca="false">IF(A3164="","",D3164*E3164)</f>
        <v/>
      </c>
      <c r="J3164" s="28" t="str">
        <f aca="false">IF(A3164="","",D3164*F3164)</f>
        <v/>
      </c>
      <c r="K3164" s="0" t="str">
        <f aca="false">IF(A3164="","",YEAR(A3164))</f>
        <v/>
      </c>
      <c r="L3164" s="0" t="str">
        <f aca="false">IF(A3164="","",MONTH(A3164))</f>
        <v/>
      </c>
    </row>
    <row r="3165" customFormat="false" ht="15" hidden="false" customHeight="false" outlineLevel="0" collapsed="false">
      <c r="A3165" s="27"/>
      <c r="E3165" s="28"/>
      <c r="F3165" s="28"/>
      <c r="I3165" s="28" t="str">
        <f aca="false">IF(A3165="","",D3165*E3165)</f>
        <v/>
      </c>
      <c r="J3165" s="28" t="str">
        <f aca="false">IF(A3165="","",D3165*F3165)</f>
        <v/>
      </c>
      <c r="K3165" s="0" t="str">
        <f aca="false">IF(A3165="","",YEAR(A3165))</f>
        <v/>
      </c>
      <c r="L3165" s="0" t="str">
        <f aca="false">IF(A3165="","",MONTH(A3165))</f>
        <v/>
      </c>
    </row>
    <row r="3166" customFormat="false" ht="15" hidden="false" customHeight="false" outlineLevel="0" collapsed="false">
      <c r="A3166" s="27"/>
      <c r="E3166" s="28"/>
      <c r="F3166" s="28"/>
      <c r="I3166" s="28" t="str">
        <f aca="false">IF(A3166="","",D3166*E3166)</f>
        <v/>
      </c>
      <c r="J3166" s="28" t="str">
        <f aca="false">IF(A3166="","",D3166*F3166)</f>
        <v/>
      </c>
      <c r="K3166" s="0" t="str">
        <f aca="false">IF(A3166="","",YEAR(A3166))</f>
        <v/>
      </c>
      <c r="L3166" s="0" t="str">
        <f aca="false">IF(A3166="","",MONTH(A3166))</f>
        <v/>
      </c>
    </row>
    <row r="3167" customFormat="false" ht="15" hidden="false" customHeight="false" outlineLevel="0" collapsed="false">
      <c r="A3167" s="27"/>
      <c r="E3167" s="28"/>
      <c r="F3167" s="28"/>
      <c r="I3167" s="28" t="str">
        <f aca="false">IF(A3167="","",D3167*E3167)</f>
        <v/>
      </c>
      <c r="J3167" s="28" t="str">
        <f aca="false">IF(A3167="","",D3167*F3167)</f>
        <v/>
      </c>
      <c r="K3167" s="0" t="str">
        <f aca="false">IF(A3167="","",YEAR(A3167))</f>
        <v/>
      </c>
      <c r="L3167" s="0" t="str">
        <f aca="false">IF(A3167="","",MONTH(A3167))</f>
        <v/>
      </c>
    </row>
    <row r="3168" customFormat="false" ht="15" hidden="false" customHeight="false" outlineLevel="0" collapsed="false">
      <c r="A3168" s="27"/>
      <c r="E3168" s="28"/>
      <c r="F3168" s="28"/>
      <c r="I3168" s="28" t="str">
        <f aca="false">IF(A3168="","",D3168*E3168)</f>
        <v/>
      </c>
      <c r="J3168" s="28" t="str">
        <f aca="false">IF(A3168="","",D3168*F3168)</f>
        <v/>
      </c>
      <c r="K3168" s="0" t="str">
        <f aca="false">IF(A3168="","",YEAR(A3168))</f>
        <v/>
      </c>
      <c r="L3168" s="0" t="str">
        <f aca="false">IF(A3168="","",MONTH(A3168))</f>
        <v/>
      </c>
    </row>
    <row r="3169" customFormat="false" ht="15" hidden="false" customHeight="false" outlineLevel="0" collapsed="false">
      <c r="A3169" s="27"/>
      <c r="E3169" s="28"/>
      <c r="F3169" s="28"/>
      <c r="I3169" s="28" t="str">
        <f aca="false">IF(A3169="","",D3169*E3169)</f>
        <v/>
      </c>
      <c r="J3169" s="28" t="str">
        <f aca="false">IF(A3169="","",D3169*F3169)</f>
        <v/>
      </c>
      <c r="K3169" s="0" t="str">
        <f aca="false">IF(A3169="","",YEAR(A3169))</f>
        <v/>
      </c>
      <c r="L3169" s="0" t="str">
        <f aca="false">IF(A3169="","",MONTH(A3169))</f>
        <v/>
      </c>
    </row>
    <row r="3170" customFormat="false" ht="15" hidden="false" customHeight="false" outlineLevel="0" collapsed="false">
      <c r="A3170" s="27"/>
      <c r="E3170" s="28"/>
      <c r="F3170" s="28"/>
      <c r="I3170" s="28" t="str">
        <f aca="false">IF(A3170="","",D3170*E3170)</f>
        <v/>
      </c>
      <c r="J3170" s="28" t="str">
        <f aca="false">IF(A3170="","",D3170*F3170)</f>
        <v/>
      </c>
      <c r="K3170" s="0" t="str">
        <f aca="false">IF(A3170="","",YEAR(A3170))</f>
        <v/>
      </c>
      <c r="L3170" s="0" t="str">
        <f aca="false">IF(A3170="","",MONTH(A3170))</f>
        <v/>
      </c>
    </row>
    <row r="3171" customFormat="false" ht="15" hidden="false" customHeight="false" outlineLevel="0" collapsed="false">
      <c r="A3171" s="27"/>
      <c r="E3171" s="28"/>
      <c r="F3171" s="28"/>
      <c r="I3171" s="28" t="str">
        <f aca="false">IF(A3171="","",D3171*E3171)</f>
        <v/>
      </c>
      <c r="J3171" s="28" t="str">
        <f aca="false">IF(A3171="","",D3171*F3171)</f>
        <v/>
      </c>
      <c r="K3171" s="0" t="str">
        <f aca="false">IF(A3171="","",YEAR(A3171))</f>
        <v/>
      </c>
      <c r="L3171" s="0" t="str">
        <f aca="false">IF(A3171="","",MONTH(A3171))</f>
        <v/>
      </c>
    </row>
    <row r="3172" customFormat="false" ht="15" hidden="false" customHeight="false" outlineLevel="0" collapsed="false">
      <c r="A3172" s="27"/>
      <c r="E3172" s="28"/>
      <c r="F3172" s="28"/>
      <c r="I3172" s="28" t="str">
        <f aca="false">IF(A3172="","",D3172*E3172)</f>
        <v/>
      </c>
      <c r="J3172" s="28" t="str">
        <f aca="false">IF(A3172="","",D3172*F3172)</f>
        <v/>
      </c>
      <c r="K3172" s="0" t="str">
        <f aca="false">IF(A3172="","",YEAR(A3172))</f>
        <v/>
      </c>
      <c r="L3172" s="0" t="str">
        <f aca="false">IF(A3172="","",MONTH(A3172))</f>
        <v/>
      </c>
    </row>
    <row r="3173" customFormat="false" ht="15" hidden="false" customHeight="false" outlineLevel="0" collapsed="false">
      <c r="A3173" s="27"/>
      <c r="E3173" s="28"/>
      <c r="F3173" s="28"/>
      <c r="I3173" s="28" t="str">
        <f aca="false">IF(A3173="","",D3173*E3173)</f>
        <v/>
      </c>
      <c r="J3173" s="28" t="str">
        <f aca="false">IF(A3173="","",D3173*F3173)</f>
        <v/>
      </c>
      <c r="K3173" s="0" t="str">
        <f aca="false">IF(A3173="","",YEAR(A3173))</f>
        <v/>
      </c>
      <c r="L3173" s="0" t="str">
        <f aca="false">IF(A3173="","",MONTH(A3173))</f>
        <v/>
      </c>
    </row>
    <row r="3174" customFormat="false" ht="15" hidden="false" customHeight="false" outlineLevel="0" collapsed="false">
      <c r="A3174" s="27"/>
      <c r="E3174" s="28"/>
      <c r="F3174" s="28"/>
      <c r="I3174" s="28" t="str">
        <f aca="false">IF(A3174="","",D3174*E3174)</f>
        <v/>
      </c>
      <c r="J3174" s="28" t="str">
        <f aca="false">IF(A3174="","",D3174*F3174)</f>
        <v/>
      </c>
      <c r="K3174" s="0" t="str">
        <f aca="false">IF(A3174="","",YEAR(A3174))</f>
        <v/>
      </c>
      <c r="L3174" s="0" t="str">
        <f aca="false">IF(A3174="","",MONTH(A3174))</f>
        <v/>
      </c>
    </row>
    <row r="3175" customFormat="false" ht="15" hidden="false" customHeight="false" outlineLevel="0" collapsed="false">
      <c r="A3175" s="27"/>
      <c r="E3175" s="28"/>
      <c r="F3175" s="28"/>
      <c r="I3175" s="28" t="str">
        <f aca="false">IF(A3175="","",D3175*E3175)</f>
        <v/>
      </c>
      <c r="J3175" s="28" t="str">
        <f aca="false">IF(A3175="","",D3175*F3175)</f>
        <v/>
      </c>
      <c r="K3175" s="0" t="str">
        <f aca="false">IF(A3175="","",YEAR(A3175))</f>
        <v/>
      </c>
      <c r="L3175" s="0" t="str">
        <f aca="false">IF(A3175="","",MONTH(A3175))</f>
        <v/>
      </c>
    </row>
    <row r="3176" customFormat="false" ht="15" hidden="false" customHeight="false" outlineLevel="0" collapsed="false">
      <c r="A3176" s="27"/>
      <c r="E3176" s="28"/>
      <c r="F3176" s="28"/>
      <c r="I3176" s="28" t="str">
        <f aca="false">IF(A3176="","",D3176*E3176)</f>
        <v/>
      </c>
      <c r="J3176" s="28" t="str">
        <f aca="false">IF(A3176="","",D3176*F3176)</f>
        <v/>
      </c>
      <c r="K3176" s="0" t="str">
        <f aca="false">IF(A3176="","",YEAR(A3176))</f>
        <v/>
      </c>
      <c r="L3176" s="0" t="str">
        <f aca="false">IF(A3176="","",MONTH(A3176))</f>
        <v/>
      </c>
    </row>
    <row r="3177" customFormat="false" ht="15" hidden="false" customHeight="false" outlineLevel="0" collapsed="false">
      <c r="A3177" s="27"/>
      <c r="E3177" s="28"/>
      <c r="F3177" s="28"/>
      <c r="I3177" s="28" t="str">
        <f aca="false">IF(A3177="","",D3177*E3177)</f>
        <v/>
      </c>
      <c r="J3177" s="28" t="str">
        <f aca="false">IF(A3177="","",D3177*F3177)</f>
        <v/>
      </c>
      <c r="K3177" s="0" t="str">
        <f aca="false">IF(A3177="","",YEAR(A3177))</f>
        <v/>
      </c>
      <c r="L3177" s="0" t="str">
        <f aca="false">IF(A3177="","",MONTH(A3177))</f>
        <v/>
      </c>
    </row>
    <row r="3178" customFormat="false" ht="15" hidden="false" customHeight="false" outlineLevel="0" collapsed="false">
      <c r="A3178" s="27"/>
      <c r="E3178" s="28"/>
      <c r="F3178" s="28"/>
      <c r="I3178" s="28" t="str">
        <f aca="false">IF(A3178="","",D3178*E3178)</f>
        <v/>
      </c>
      <c r="J3178" s="28" t="str">
        <f aca="false">IF(A3178="","",D3178*F3178)</f>
        <v/>
      </c>
      <c r="K3178" s="0" t="str">
        <f aca="false">IF(A3178="","",YEAR(A3178))</f>
        <v/>
      </c>
      <c r="L3178" s="0" t="str">
        <f aca="false">IF(A3178="","",MONTH(A3178))</f>
        <v/>
      </c>
    </row>
    <row r="3179" customFormat="false" ht="15" hidden="false" customHeight="false" outlineLevel="0" collapsed="false">
      <c r="A3179" s="27"/>
      <c r="E3179" s="28"/>
      <c r="F3179" s="28"/>
      <c r="I3179" s="28" t="str">
        <f aca="false">IF(A3179="","",D3179*E3179)</f>
        <v/>
      </c>
      <c r="J3179" s="28" t="str">
        <f aca="false">IF(A3179="","",D3179*F3179)</f>
        <v/>
      </c>
      <c r="K3179" s="0" t="str">
        <f aca="false">IF(A3179="","",YEAR(A3179))</f>
        <v/>
      </c>
      <c r="L3179" s="0" t="str">
        <f aca="false">IF(A3179="","",MONTH(A3179))</f>
        <v/>
      </c>
    </row>
    <row r="3180" customFormat="false" ht="15" hidden="false" customHeight="false" outlineLevel="0" collapsed="false">
      <c r="A3180" s="27"/>
      <c r="E3180" s="28"/>
      <c r="F3180" s="28"/>
      <c r="I3180" s="28" t="str">
        <f aca="false">IF(A3180="","",D3180*E3180)</f>
        <v/>
      </c>
      <c r="J3180" s="28" t="str">
        <f aca="false">IF(A3180="","",D3180*F3180)</f>
        <v/>
      </c>
      <c r="K3180" s="0" t="str">
        <f aca="false">IF(A3180="","",YEAR(A3180))</f>
        <v/>
      </c>
      <c r="L3180" s="0" t="str">
        <f aca="false">IF(A3180="","",MONTH(A3180))</f>
        <v/>
      </c>
    </row>
    <row r="3181" customFormat="false" ht="15" hidden="false" customHeight="false" outlineLevel="0" collapsed="false">
      <c r="A3181" s="27"/>
      <c r="E3181" s="28"/>
      <c r="F3181" s="28"/>
      <c r="I3181" s="28" t="str">
        <f aca="false">IF(A3181="","",D3181*E3181)</f>
        <v/>
      </c>
      <c r="J3181" s="28" t="str">
        <f aca="false">IF(A3181="","",D3181*F3181)</f>
        <v/>
      </c>
      <c r="K3181" s="0" t="str">
        <f aca="false">IF(A3181="","",YEAR(A3181))</f>
        <v/>
      </c>
      <c r="L3181" s="0" t="str">
        <f aca="false">IF(A3181="","",MONTH(A3181))</f>
        <v/>
      </c>
    </row>
    <row r="3182" customFormat="false" ht="15" hidden="false" customHeight="false" outlineLevel="0" collapsed="false">
      <c r="A3182" s="27"/>
      <c r="E3182" s="28"/>
      <c r="F3182" s="28"/>
      <c r="I3182" s="28" t="str">
        <f aca="false">IF(A3182="","",D3182*E3182)</f>
        <v/>
      </c>
      <c r="J3182" s="28" t="str">
        <f aca="false">IF(A3182="","",D3182*F3182)</f>
        <v/>
      </c>
      <c r="K3182" s="0" t="str">
        <f aca="false">IF(A3182="","",YEAR(A3182))</f>
        <v/>
      </c>
      <c r="L3182" s="0" t="str">
        <f aca="false">IF(A3182="","",MONTH(A3182))</f>
        <v/>
      </c>
    </row>
    <row r="3183" customFormat="false" ht="15" hidden="false" customHeight="false" outlineLevel="0" collapsed="false">
      <c r="A3183" s="27"/>
      <c r="E3183" s="28"/>
      <c r="F3183" s="28"/>
      <c r="I3183" s="28" t="str">
        <f aca="false">IF(A3183="","",D3183*E3183)</f>
        <v/>
      </c>
      <c r="J3183" s="28" t="str">
        <f aca="false">IF(A3183="","",D3183*F3183)</f>
        <v/>
      </c>
      <c r="K3183" s="0" t="str">
        <f aca="false">IF(A3183="","",YEAR(A3183))</f>
        <v/>
      </c>
      <c r="L3183" s="0" t="str">
        <f aca="false">IF(A3183="","",MONTH(A3183))</f>
        <v/>
      </c>
    </row>
    <row r="3184" customFormat="false" ht="15" hidden="false" customHeight="false" outlineLevel="0" collapsed="false">
      <c r="A3184" s="27"/>
      <c r="E3184" s="28"/>
      <c r="F3184" s="28"/>
      <c r="I3184" s="28" t="str">
        <f aca="false">IF(A3184="","",D3184*E3184)</f>
        <v/>
      </c>
      <c r="J3184" s="28" t="str">
        <f aca="false">IF(A3184="","",D3184*F3184)</f>
        <v/>
      </c>
      <c r="K3184" s="0" t="str">
        <f aca="false">IF(A3184="","",YEAR(A3184))</f>
        <v/>
      </c>
      <c r="L3184" s="0" t="str">
        <f aca="false">IF(A3184="","",MONTH(A3184))</f>
        <v/>
      </c>
    </row>
    <row r="3185" customFormat="false" ht="15" hidden="false" customHeight="false" outlineLevel="0" collapsed="false">
      <c r="A3185" s="27"/>
      <c r="E3185" s="28"/>
      <c r="F3185" s="28"/>
      <c r="I3185" s="28" t="str">
        <f aca="false">IF(A3185="","",D3185*E3185)</f>
        <v/>
      </c>
      <c r="J3185" s="28" t="str">
        <f aca="false">IF(A3185="","",D3185*F3185)</f>
        <v/>
      </c>
      <c r="K3185" s="0" t="str">
        <f aca="false">IF(A3185="","",YEAR(A3185))</f>
        <v/>
      </c>
      <c r="L3185" s="0" t="str">
        <f aca="false">IF(A3185="","",MONTH(A3185))</f>
        <v/>
      </c>
    </row>
    <row r="3186" customFormat="false" ht="15" hidden="false" customHeight="false" outlineLevel="0" collapsed="false">
      <c r="A3186" s="27"/>
      <c r="E3186" s="28"/>
      <c r="F3186" s="28"/>
      <c r="I3186" s="28" t="str">
        <f aca="false">IF(A3186="","",D3186*E3186)</f>
        <v/>
      </c>
      <c r="J3186" s="28" t="str">
        <f aca="false">IF(A3186="","",D3186*F3186)</f>
        <v/>
      </c>
      <c r="K3186" s="0" t="str">
        <f aca="false">IF(A3186="","",YEAR(A3186))</f>
        <v/>
      </c>
      <c r="L3186" s="0" t="str">
        <f aca="false">IF(A3186="","",MONTH(A3186))</f>
        <v/>
      </c>
    </row>
    <row r="3187" customFormat="false" ht="15" hidden="false" customHeight="false" outlineLevel="0" collapsed="false">
      <c r="A3187" s="27"/>
      <c r="E3187" s="28"/>
      <c r="F3187" s="28"/>
      <c r="I3187" s="28" t="str">
        <f aca="false">IF(A3187="","",D3187*E3187)</f>
        <v/>
      </c>
      <c r="J3187" s="28" t="str">
        <f aca="false">IF(A3187="","",D3187*F3187)</f>
        <v/>
      </c>
      <c r="K3187" s="0" t="str">
        <f aca="false">IF(A3187="","",YEAR(A3187))</f>
        <v/>
      </c>
      <c r="L3187" s="0" t="str">
        <f aca="false">IF(A3187="","",MONTH(A3187))</f>
        <v/>
      </c>
    </row>
    <row r="3188" customFormat="false" ht="15" hidden="false" customHeight="false" outlineLevel="0" collapsed="false">
      <c r="A3188" s="27"/>
      <c r="E3188" s="28"/>
      <c r="F3188" s="28"/>
      <c r="I3188" s="28" t="str">
        <f aca="false">IF(A3188="","",D3188*E3188)</f>
        <v/>
      </c>
      <c r="J3188" s="28" t="str">
        <f aca="false">IF(A3188="","",D3188*F3188)</f>
        <v/>
      </c>
      <c r="K3188" s="0" t="str">
        <f aca="false">IF(A3188="","",YEAR(A3188))</f>
        <v/>
      </c>
      <c r="L3188" s="0" t="str">
        <f aca="false">IF(A3188="","",MONTH(A3188))</f>
        <v/>
      </c>
    </row>
    <row r="3189" customFormat="false" ht="15" hidden="false" customHeight="false" outlineLevel="0" collapsed="false">
      <c r="A3189" s="27"/>
      <c r="E3189" s="28"/>
      <c r="F3189" s="28"/>
      <c r="I3189" s="28" t="str">
        <f aca="false">IF(A3189="","",D3189*E3189)</f>
        <v/>
      </c>
      <c r="J3189" s="28" t="str">
        <f aca="false">IF(A3189="","",D3189*F3189)</f>
        <v/>
      </c>
      <c r="K3189" s="0" t="str">
        <f aca="false">IF(A3189="","",YEAR(A3189))</f>
        <v/>
      </c>
      <c r="L3189" s="0" t="str">
        <f aca="false">IF(A3189="","",MONTH(A3189))</f>
        <v/>
      </c>
    </row>
    <row r="3190" customFormat="false" ht="15" hidden="false" customHeight="false" outlineLevel="0" collapsed="false">
      <c r="A3190" s="27"/>
      <c r="E3190" s="28"/>
      <c r="F3190" s="28"/>
      <c r="I3190" s="28" t="str">
        <f aca="false">IF(A3190="","",D3190*E3190)</f>
        <v/>
      </c>
      <c r="J3190" s="28" t="str">
        <f aca="false">IF(A3190="","",D3190*F3190)</f>
        <v/>
      </c>
      <c r="K3190" s="0" t="str">
        <f aca="false">IF(A3190="","",YEAR(A3190))</f>
        <v/>
      </c>
      <c r="L3190" s="0" t="str">
        <f aca="false">IF(A3190="","",MONTH(A3190))</f>
        <v/>
      </c>
    </row>
    <row r="3191" customFormat="false" ht="15" hidden="false" customHeight="false" outlineLevel="0" collapsed="false">
      <c r="A3191" s="27"/>
      <c r="E3191" s="28"/>
      <c r="F3191" s="28"/>
      <c r="I3191" s="28" t="str">
        <f aca="false">IF(A3191="","",D3191*E3191)</f>
        <v/>
      </c>
      <c r="J3191" s="28" t="str">
        <f aca="false">IF(A3191="","",D3191*F3191)</f>
        <v/>
      </c>
      <c r="K3191" s="0" t="str">
        <f aca="false">IF(A3191="","",YEAR(A3191))</f>
        <v/>
      </c>
      <c r="L3191" s="0" t="str">
        <f aca="false">IF(A3191="","",MONTH(A3191))</f>
        <v/>
      </c>
    </row>
    <row r="3192" customFormat="false" ht="15" hidden="false" customHeight="false" outlineLevel="0" collapsed="false">
      <c r="A3192" s="27"/>
      <c r="E3192" s="28"/>
      <c r="F3192" s="28"/>
      <c r="I3192" s="28" t="str">
        <f aca="false">IF(A3192="","",D3192*E3192)</f>
        <v/>
      </c>
      <c r="J3192" s="28" t="str">
        <f aca="false">IF(A3192="","",D3192*F3192)</f>
        <v/>
      </c>
      <c r="K3192" s="0" t="str">
        <f aca="false">IF(A3192="","",YEAR(A3192))</f>
        <v/>
      </c>
      <c r="L3192" s="0" t="str">
        <f aca="false">IF(A3192="","",MONTH(A3192))</f>
        <v/>
      </c>
    </row>
    <row r="3193" customFormat="false" ht="15" hidden="false" customHeight="false" outlineLevel="0" collapsed="false">
      <c r="A3193" s="27"/>
      <c r="E3193" s="28"/>
      <c r="F3193" s="28"/>
      <c r="I3193" s="28" t="str">
        <f aca="false">IF(A3193="","",D3193*E3193)</f>
        <v/>
      </c>
      <c r="J3193" s="28" t="str">
        <f aca="false">IF(A3193="","",D3193*F3193)</f>
        <v/>
      </c>
      <c r="K3193" s="0" t="str">
        <f aca="false">IF(A3193="","",YEAR(A3193))</f>
        <v/>
      </c>
      <c r="L3193" s="0" t="str">
        <f aca="false">IF(A3193="","",MONTH(A3193))</f>
        <v/>
      </c>
    </row>
    <row r="3194" customFormat="false" ht="15" hidden="false" customHeight="false" outlineLevel="0" collapsed="false">
      <c r="A3194" s="27"/>
      <c r="E3194" s="28"/>
      <c r="F3194" s="28"/>
      <c r="I3194" s="28" t="str">
        <f aca="false">IF(A3194="","",D3194*E3194)</f>
        <v/>
      </c>
      <c r="J3194" s="28" t="str">
        <f aca="false">IF(A3194="","",D3194*F3194)</f>
        <v/>
      </c>
      <c r="K3194" s="0" t="str">
        <f aca="false">IF(A3194="","",YEAR(A3194))</f>
        <v/>
      </c>
      <c r="L3194" s="0" t="str">
        <f aca="false">IF(A3194="","",MONTH(A3194))</f>
        <v/>
      </c>
    </row>
    <row r="3195" customFormat="false" ht="15" hidden="false" customHeight="false" outlineLevel="0" collapsed="false">
      <c r="A3195" s="27"/>
      <c r="E3195" s="28"/>
      <c r="F3195" s="28"/>
      <c r="I3195" s="28" t="str">
        <f aca="false">IF(A3195="","",D3195*E3195)</f>
        <v/>
      </c>
      <c r="J3195" s="28" t="str">
        <f aca="false">IF(A3195="","",D3195*F3195)</f>
        <v/>
      </c>
      <c r="K3195" s="0" t="str">
        <f aca="false">IF(A3195="","",YEAR(A3195))</f>
        <v/>
      </c>
      <c r="L3195" s="0" t="str">
        <f aca="false">IF(A3195="","",MONTH(A3195))</f>
        <v/>
      </c>
    </row>
    <row r="3196" customFormat="false" ht="15" hidden="false" customHeight="false" outlineLevel="0" collapsed="false">
      <c r="A3196" s="27"/>
      <c r="E3196" s="28"/>
      <c r="F3196" s="28"/>
      <c r="I3196" s="28" t="str">
        <f aca="false">IF(A3196="","",D3196*E3196)</f>
        <v/>
      </c>
      <c r="J3196" s="28" t="str">
        <f aca="false">IF(A3196="","",D3196*F3196)</f>
        <v/>
      </c>
      <c r="K3196" s="0" t="str">
        <f aca="false">IF(A3196="","",YEAR(A3196))</f>
        <v/>
      </c>
      <c r="L3196" s="0" t="str">
        <f aca="false">IF(A3196="","",MONTH(A3196))</f>
        <v/>
      </c>
    </row>
    <row r="3197" customFormat="false" ht="15" hidden="false" customHeight="false" outlineLevel="0" collapsed="false">
      <c r="A3197" s="27"/>
      <c r="E3197" s="28"/>
      <c r="F3197" s="28"/>
      <c r="I3197" s="28" t="str">
        <f aca="false">IF(A3197="","",D3197*E3197)</f>
        <v/>
      </c>
      <c r="J3197" s="28" t="str">
        <f aca="false">IF(A3197="","",D3197*F3197)</f>
        <v/>
      </c>
      <c r="K3197" s="0" t="str">
        <f aca="false">IF(A3197="","",YEAR(A3197))</f>
        <v/>
      </c>
      <c r="L3197" s="0" t="str">
        <f aca="false">IF(A3197="","",MONTH(A3197))</f>
        <v/>
      </c>
    </row>
    <row r="3198" customFormat="false" ht="15" hidden="false" customHeight="false" outlineLevel="0" collapsed="false">
      <c r="A3198" s="27"/>
      <c r="E3198" s="28"/>
      <c r="F3198" s="28"/>
      <c r="I3198" s="28" t="str">
        <f aca="false">IF(A3198="","",D3198*E3198)</f>
        <v/>
      </c>
      <c r="J3198" s="28" t="str">
        <f aca="false">IF(A3198="","",D3198*F3198)</f>
        <v/>
      </c>
      <c r="K3198" s="0" t="str">
        <f aca="false">IF(A3198="","",YEAR(A3198))</f>
        <v/>
      </c>
      <c r="L3198" s="0" t="str">
        <f aca="false">IF(A3198="","",MONTH(A3198))</f>
        <v/>
      </c>
    </row>
    <row r="3199" customFormat="false" ht="15" hidden="false" customHeight="false" outlineLevel="0" collapsed="false">
      <c r="A3199" s="27"/>
      <c r="E3199" s="28"/>
      <c r="F3199" s="28"/>
      <c r="I3199" s="28" t="str">
        <f aca="false">IF(A3199="","",D3199*E3199)</f>
        <v/>
      </c>
      <c r="J3199" s="28" t="str">
        <f aca="false">IF(A3199="","",D3199*F3199)</f>
        <v/>
      </c>
      <c r="K3199" s="0" t="str">
        <f aca="false">IF(A3199="","",YEAR(A3199))</f>
        <v/>
      </c>
      <c r="L3199" s="0" t="str">
        <f aca="false">IF(A3199="","",MONTH(A3199))</f>
        <v/>
      </c>
    </row>
    <row r="3200" customFormat="false" ht="15" hidden="false" customHeight="false" outlineLevel="0" collapsed="false">
      <c r="A3200" s="27"/>
      <c r="E3200" s="28"/>
      <c r="F3200" s="28"/>
      <c r="I3200" s="28" t="str">
        <f aca="false">IF(A3200="","",D3200*E3200)</f>
        <v/>
      </c>
      <c r="J3200" s="28" t="str">
        <f aca="false">IF(A3200="","",D3200*F3200)</f>
        <v/>
      </c>
      <c r="K3200" s="0" t="str">
        <f aca="false">IF(A3200="","",YEAR(A3200))</f>
        <v/>
      </c>
      <c r="L3200" s="0" t="str">
        <f aca="false">IF(A3200="","",MONTH(A3200))</f>
        <v/>
      </c>
    </row>
    <row r="3201" customFormat="false" ht="15" hidden="false" customHeight="false" outlineLevel="0" collapsed="false">
      <c r="A3201" s="27"/>
      <c r="E3201" s="28"/>
      <c r="F3201" s="28"/>
      <c r="I3201" s="28" t="str">
        <f aca="false">IF(A3201="","",D3201*E3201)</f>
        <v/>
      </c>
      <c r="J3201" s="28" t="str">
        <f aca="false">IF(A3201="","",D3201*F3201)</f>
        <v/>
      </c>
      <c r="K3201" s="0" t="str">
        <f aca="false">IF(A3201="","",YEAR(A3201))</f>
        <v/>
      </c>
      <c r="L3201" s="0" t="str">
        <f aca="false">IF(A3201="","",MONTH(A3201))</f>
        <v/>
      </c>
    </row>
    <row r="3202" customFormat="false" ht="15" hidden="false" customHeight="false" outlineLevel="0" collapsed="false">
      <c r="A3202" s="27"/>
      <c r="E3202" s="28"/>
      <c r="F3202" s="28"/>
      <c r="I3202" s="28" t="str">
        <f aca="false">IF(A3202="","",D3202*E3202)</f>
        <v/>
      </c>
      <c r="J3202" s="28" t="str">
        <f aca="false">IF(A3202="","",D3202*F3202)</f>
        <v/>
      </c>
      <c r="K3202" s="0" t="str">
        <f aca="false">IF(A3202="","",YEAR(A3202))</f>
        <v/>
      </c>
      <c r="L3202" s="0" t="str">
        <f aca="false">IF(A3202="","",MONTH(A3202))</f>
        <v/>
      </c>
    </row>
    <row r="3203" customFormat="false" ht="15" hidden="false" customHeight="false" outlineLevel="0" collapsed="false">
      <c r="A3203" s="27"/>
      <c r="E3203" s="28"/>
      <c r="F3203" s="28"/>
      <c r="I3203" s="28" t="str">
        <f aca="false">IF(A3203="","",D3203*E3203)</f>
        <v/>
      </c>
      <c r="J3203" s="28" t="str">
        <f aca="false">IF(A3203="","",D3203*F3203)</f>
        <v/>
      </c>
      <c r="K3203" s="0" t="str">
        <f aca="false">IF(A3203="","",YEAR(A3203))</f>
        <v/>
      </c>
      <c r="L3203" s="0" t="str">
        <f aca="false">IF(A3203="","",MONTH(A3203))</f>
        <v/>
      </c>
    </row>
    <row r="3204" customFormat="false" ht="15" hidden="false" customHeight="false" outlineLevel="0" collapsed="false">
      <c r="A3204" s="27"/>
      <c r="E3204" s="28"/>
      <c r="F3204" s="28"/>
      <c r="I3204" s="28" t="str">
        <f aca="false">IF(A3204="","",D3204*E3204)</f>
        <v/>
      </c>
      <c r="J3204" s="28" t="str">
        <f aca="false">IF(A3204="","",D3204*F3204)</f>
        <v/>
      </c>
      <c r="K3204" s="0" t="str">
        <f aca="false">IF(A3204="","",YEAR(A3204))</f>
        <v/>
      </c>
      <c r="L3204" s="0" t="str">
        <f aca="false">IF(A3204="","",MONTH(A3204))</f>
        <v/>
      </c>
    </row>
    <row r="3205" customFormat="false" ht="15" hidden="false" customHeight="false" outlineLevel="0" collapsed="false">
      <c r="A3205" s="27"/>
      <c r="E3205" s="28"/>
      <c r="F3205" s="28"/>
      <c r="I3205" s="28" t="str">
        <f aca="false">IF(A3205="","",D3205*E3205)</f>
        <v/>
      </c>
      <c r="J3205" s="28" t="str">
        <f aca="false">IF(A3205="","",D3205*F3205)</f>
        <v/>
      </c>
      <c r="K3205" s="0" t="str">
        <f aca="false">IF(A3205="","",YEAR(A3205))</f>
        <v/>
      </c>
      <c r="L3205" s="0" t="str">
        <f aca="false">IF(A3205="","",MONTH(A3205))</f>
        <v/>
      </c>
    </row>
    <row r="3206" customFormat="false" ht="15" hidden="false" customHeight="false" outlineLevel="0" collapsed="false">
      <c r="A3206" s="27"/>
      <c r="E3206" s="28"/>
      <c r="F3206" s="28"/>
      <c r="I3206" s="28" t="str">
        <f aca="false">IF(A3206="","",D3206*E3206)</f>
        <v/>
      </c>
      <c r="J3206" s="28" t="str">
        <f aca="false">IF(A3206="","",D3206*F3206)</f>
        <v/>
      </c>
      <c r="K3206" s="0" t="str">
        <f aca="false">IF(A3206="","",YEAR(A3206))</f>
        <v/>
      </c>
      <c r="L3206" s="0" t="str">
        <f aca="false">IF(A3206="","",MONTH(A3206))</f>
        <v/>
      </c>
    </row>
    <row r="3207" customFormat="false" ht="15" hidden="false" customHeight="false" outlineLevel="0" collapsed="false">
      <c r="A3207" s="27"/>
      <c r="E3207" s="28"/>
      <c r="F3207" s="28"/>
      <c r="I3207" s="28" t="str">
        <f aca="false">IF(A3207="","",D3207*E3207)</f>
        <v/>
      </c>
      <c r="J3207" s="28" t="str">
        <f aca="false">IF(A3207="","",D3207*F3207)</f>
        <v/>
      </c>
      <c r="K3207" s="0" t="str">
        <f aca="false">IF(A3207="","",YEAR(A3207))</f>
        <v/>
      </c>
      <c r="L3207" s="0" t="str">
        <f aca="false">IF(A3207="","",MONTH(A3207))</f>
        <v/>
      </c>
    </row>
    <row r="3208" customFormat="false" ht="15" hidden="false" customHeight="false" outlineLevel="0" collapsed="false">
      <c r="A3208" s="27"/>
      <c r="E3208" s="28"/>
      <c r="F3208" s="28"/>
      <c r="I3208" s="28" t="str">
        <f aca="false">IF(A3208="","",D3208*E3208)</f>
        <v/>
      </c>
      <c r="J3208" s="28" t="str">
        <f aca="false">IF(A3208="","",D3208*F3208)</f>
        <v/>
      </c>
      <c r="K3208" s="0" t="str">
        <f aca="false">IF(A3208="","",YEAR(A3208))</f>
        <v/>
      </c>
      <c r="L3208" s="0" t="str">
        <f aca="false">IF(A3208="","",MONTH(A3208))</f>
        <v/>
      </c>
    </row>
    <row r="3209" customFormat="false" ht="15" hidden="false" customHeight="false" outlineLevel="0" collapsed="false">
      <c r="A3209" s="27"/>
      <c r="E3209" s="28"/>
      <c r="F3209" s="28"/>
      <c r="I3209" s="28" t="str">
        <f aca="false">IF(A3209="","",D3209*E3209)</f>
        <v/>
      </c>
      <c r="J3209" s="28" t="str">
        <f aca="false">IF(A3209="","",D3209*F3209)</f>
        <v/>
      </c>
      <c r="K3209" s="0" t="str">
        <f aca="false">IF(A3209="","",YEAR(A3209))</f>
        <v/>
      </c>
      <c r="L3209" s="0" t="str">
        <f aca="false">IF(A3209="","",MONTH(A3209))</f>
        <v/>
      </c>
    </row>
    <row r="3210" customFormat="false" ht="15" hidden="false" customHeight="false" outlineLevel="0" collapsed="false">
      <c r="A3210" s="27"/>
      <c r="E3210" s="28"/>
      <c r="F3210" s="28"/>
      <c r="I3210" s="28" t="str">
        <f aca="false">IF(A3210="","",D3210*E3210)</f>
        <v/>
      </c>
      <c r="J3210" s="28" t="str">
        <f aca="false">IF(A3210="","",D3210*F3210)</f>
        <v/>
      </c>
      <c r="K3210" s="0" t="str">
        <f aca="false">IF(A3210="","",YEAR(A3210))</f>
        <v/>
      </c>
      <c r="L3210" s="0" t="str">
        <f aca="false">IF(A3210="","",MONTH(A3210))</f>
        <v/>
      </c>
    </row>
    <row r="3211" customFormat="false" ht="15" hidden="false" customHeight="false" outlineLevel="0" collapsed="false">
      <c r="A3211" s="27"/>
      <c r="E3211" s="28"/>
      <c r="F3211" s="28"/>
      <c r="I3211" s="28" t="str">
        <f aca="false">IF(A3211="","",D3211*E3211)</f>
        <v/>
      </c>
      <c r="J3211" s="28" t="str">
        <f aca="false">IF(A3211="","",D3211*F3211)</f>
        <v/>
      </c>
      <c r="K3211" s="0" t="str">
        <f aca="false">IF(A3211="","",YEAR(A3211))</f>
        <v/>
      </c>
      <c r="L3211" s="0" t="str">
        <f aca="false">IF(A3211="","",MONTH(A3211))</f>
        <v/>
      </c>
    </row>
    <row r="3212" customFormat="false" ht="15" hidden="false" customHeight="false" outlineLevel="0" collapsed="false">
      <c r="A3212" s="27"/>
      <c r="E3212" s="28"/>
      <c r="F3212" s="28"/>
      <c r="I3212" s="28" t="str">
        <f aca="false">IF(A3212="","",D3212*E3212)</f>
        <v/>
      </c>
      <c r="J3212" s="28" t="str">
        <f aca="false">IF(A3212="","",D3212*F3212)</f>
        <v/>
      </c>
      <c r="K3212" s="0" t="str">
        <f aca="false">IF(A3212="","",YEAR(A3212))</f>
        <v/>
      </c>
      <c r="L3212" s="0" t="str">
        <f aca="false">IF(A3212="","",MONTH(A3212))</f>
        <v/>
      </c>
    </row>
    <row r="3213" customFormat="false" ht="15" hidden="false" customHeight="false" outlineLevel="0" collapsed="false">
      <c r="A3213" s="27"/>
      <c r="E3213" s="28"/>
      <c r="F3213" s="28"/>
      <c r="I3213" s="28" t="str">
        <f aca="false">IF(A3213="","",D3213*E3213)</f>
        <v/>
      </c>
      <c r="J3213" s="28" t="str">
        <f aca="false">IF(A3213="","",D3213*F3213)</f>
        <v/>
      </c>
      <c r="K3213" s="0" t="str">
        <f aca="false">IF(A3213="","",YEAR(A3213))</f>
        <v/>
      </c>
      <c r="L3213" s="0" t="str">
        <f aca="false">IF(A3213="","",MONTH(A3213))</f>
        <v/>
      </c>
    </row>
    <row r="3214" customFormat="false" ht="15" hidden="false" customHeight="false" outlineLevel="0" collapsed="false">
      <c r="A3214" s="27"/>
      <c r="E3214" s="28"/>
      <c r="F3214" s="28"/>
      <c r="I3214" s="28" t="str">
        <f aca="false">IF(A3214="","",D3214*E3214)</f>
        <v/>
      </c>
      <c r="J3214" s="28" t="str">
        <f aca="false">IF(A3214="","",D3214*F3214)</f>
        <v/>
      </c>
      <c r="K3214" s="0" t="str">
        <f aca="false">IF(A3214="","",YEAR(A3214))</f>
        <v/>
      </c>
      <c r="L3214" s="0" t="str">
        <f aca="false">IF(A3214="","",MONTH(A3214))</f>
        <v/>
      </c>
    </row>
    <row r="3215" customFormat="false" ht="15" hidden="false" customHeight="false" outlineLevel="0" collapsed="false">
      <c r="A3215" s="27"/>
      <c r="E3215" s="28"/>
      <c r="F3215" s="28"/>
      <c r="I3215" s="28" t="str">
        <f aca="false">IF(A3215="","",D3215*E3215)</f>
        <v/>
      </c>
      <c r="J3215" s="28" t="str">
        <f aca="false">IF(A3215="","",D3215*F3215)</f>
        <v/>
      </c>
      <c r="K3215" s="0" t="str">
        <f aca="false">IF(A3215="","",YEAR(A3215))</f>
        <v/>
      </c>
      <c r="L3215" s="0" t="str">
        <f aca="false">IF(A3215="","",MONTH(A3215))</f>
        <v/>
      </c>
    </row>
    <row r="3216" customFormat="false" ht="15" hidden="false" customHeight="false" outlineLevel="0" collapsed="false">
      <c r="A3216" s="27"/>
      <c r="E3216" s="28"/>
      <c r="F3216" s="28"/>
      <c r="I3216" s="28" t="str">
        <f aca="false">IF(A3216="","",D3216*E3216)</f>
        <v/>
      </c>
      <c r="J3216" s="28" t="str">
        <f aca="false">IF(A3216="","",D3216*F3216)</f>
        <v/>
      </c>
      <c r="K3216" s="0" t="str">
        <f aca="false">IF(A3216="","",YEAR(A3216))</f>
        <v/>
      </c>
      <c r="L3216" s="0" t="str">
        <f aca="false">IF(A3216="","",MONTH(A3216))</f>
        <v/>
      </c>
    </row>
    <row r="3217" customFormat="false" ht="15" hidden="false" customHeight="false" outlineLevel="0" collapsed="false">
      <c r="A3217" s="27"/>
      <c r="E3217" s="28"/>
      <c r="F3217" s="28"/>
      <c r="I3217" s="28" t="str">
        <f aca="false">IF(A3217="","",D3217*E3217)</f>
        <v/>
      </c>
      <c r="J3217" s="28" t="str">
        <f aca="false">IF(A3217="","",D3217*F3217)</f>
        <v/>
      </c>
      <c r="K3217" s="0" t="str">
        <f aca="false">IF(A3217="","",YEAR(A3217))</f>
        <v/>
      </c>
      <c r="L3217" s="0" t="str">
        <f aca="false">IF(A3217="","",MONTH(A3217))</f>
        <v/>
      </c>
    </row>
    <row r="3218" customFormat="false" ht="15" hidden="false" customHeight="false" outlineLevel="0" collapsed="false">
      <c r="A3218" s="27"/>
      <c r="E3218" s="28"/>
      <c r="F3218" s="28"/>
      <c r="I3218" s="28" t="str">
        <f aca="false">IF(A3218="","",D3218*E3218)</f>
        <v/>
      </c>
      <c r="J3218" s="28" t="str">
        <f aca="false">IF(A3218="","",D3218*F3218)</f>
        <v/>
      </c>
      <c r="K3218" s="0" t="str">
        <f aca="false">IF(A3218="","",YEAR(A3218))</f>
        <v/>
      </c>
      <c r="L3218" s="0" t="str">
        <f aca="false">IF(A3218="","",MONTH(A3218))</f>
        <v/>
      </c>
    </row>
    <row r="3219" customFormat="false" ht="15" hidden="false" customHeight="false" outlineLevel="0" collapsed="false">
      <c r="A3219" s="27"/>
      <c r="E3219" s="28"/>
      <c r="F3219" s="28"/>
      <c r="I3219" s="28" t="str">
        <f aca="false">IF(A3219="","",D3219*E3219)</f>
        <v/>
      </c>
      <c r="J3219" s="28" t="str">
        <f aca="false">IF(A3219="","",D3219*F3219)</f>
        <v/>
      </c>
      <c r="K3219" s="0" t="str">
        <f aca="false">IF(A3219="","",YEAR(A3219))</f>
        <v/>
      </c>
      <c r="L3219" s="0" t="str">
        <f aca="false">IF(A3219="","",MONTH(A3219))</f>
        <v/>
      </c>
    </row>
    <row r="3220" customFormat="false" ht="15" hidden="false" customHeight="false" outlineLevel="0" collapsed="false">
      <c r="A3220" s="27"/>
      <c r="E3220" s="28"/>
      <c r="F3220" s="28"/>
      <c r="I3220" s="28" t="str">
        <f aca="false">IF(A3220="","",D3220*E3220)</f>
        <v/>
      </c>
      <c r="J3220" s="28" t="str">
        <f aca="false">IF(A3220="","",D3220*F3220)</f>
        <v/>
      </c>
      <c r="K3220" s="0" t="str">
        <f aca="false">IF(A3220="","",YEAR(A3220))</f>
        <v/>
      </c>
      <c r="L3220" s="0" t="str">
        <f aca="false">IF(A3220="","",MONTH(A3220))</f>
        <v/>
      </c>
    </row>
    <row r="3221" customFormat="false" ht="15" hidden="false" customHeight="false" outlineLevel="0" collapsed="false">
      <c r="A3221" s="27"/>
      <c r="E3221" s="28"/>
      <c r="F3221" s="28"/>
      <c r="I3221" s="28" t="str">
        <f aca="false">IF(A3221="","",D3221*E3221)</f>
        <v/>
      </c>
      <c r="J3221" s="28" t="str">
        <f aca="false">IF(A3221="","",D3221*F3221)</f>
        <v/>
      </c>
      <c r="K3221" s="0" t="str">
        <f aca="false">IF(A3221="","",YEAR(A3221))</f>
        <v/>
      </c>
      <c r="L3221" s="0" t="str">
        <f aca="false">IF(A3221="","",MONTH(A3221))</f>
        <v/>
      </c>
    </row>
    <row r="3222" customFormat="false" ht="15" hidden="false" customHeight="false" outlineLevel="0" collapsed="false">
      <c r="A3222" s="27"/>
      <c r="E3222" s="28"/>
      <c r="F3222" s="28"/>
      <c r="I3222" s="28" t="str">
        <f aca="false">IF(A3222="","",D3222*E3222)</f>
        <v/>
      </c>
      <c r="J3222" s="28" t="str">
        <f aca="false">IF(A3222="","",D3222*F3222)</f>
        <v/>
      </c>
      <c r="K3222" s="0" t="str">
        <f aca="false">IF(A3222="","",YEAR(A3222))</f>
        <v/>
      </c>
      <c r="L3222" s="0" t="str">
        <f aca="false">IF(A3222="","",MONTH(A3222))</f>
        <v/>
      </c>
    </row>
    <row r="3223" customFormat="false" ht="15" hidden="false" customHeight="false" outlineLevel="0" collapsed="false">
      <c r="A3223" s="27"/>
      <c r="E3223" s="28"/>
      <c r="F3223" s="28"/>
      <c r="I3223" s="28" t="str">
        <f aca="false">IF(A3223="","",D3223*E3223)</f>
        <v/>
      </c>
      <c r="J3223" s="28" t="str">
        <f aca="false">IF(A3223="","",D3223*F3223)</f>
        <v/>
      </c>
      <c r="K3223" s="0" t="str">
        <f aca="false">IF(A3223="","",YEAR(A3223))</f>
        <v/>
      </c>
      <c r="L3223" s="0" t="str">
        <f aca="false">IF(A3223="","",MONTH(A3223))</f>
        <v/>
      </c>
    </row>
    <row r="3224" customFormat="false" ht="15" hidden="false" customHeight="false" outlineLevel="0" collapsed="false">
      <c r="A3224" s="27"/>
      <c r="E3224" s="28"/>
      <c r="F3224" s="28"/>
      <c r="I3224" s="28" t="str">
        <f aca="false">IF(A3224="","",D3224*E3224)</f>
        <v/>
      </c>
      <c r="J3224" s="28" t="str">
        <f aca="false">IF(A3224="","",D3224*F3224)</f>
        <v/>
      </c>
      <c r="K3224" s="0" t="str">
        <f aca="false">IF(A3224="","",YEAR(A3224))</f>
        <v/>
      </c>
      <c r="L3224" s="0" t="str">
        <f aca="false">IF(A3224="","",MONTH(A3224))</f>
        <v/>
      </c>
    </row>
    <row r="3225" customFormat="false" ht="15" hidden="false" customHeight="false" outlineLevel="0" collapsed="false">
      <c r="A3225" s="27"/>
      <c r="E3225" s="28"/>
      <c r="F3225" s="28"/>
      <c r="I3225" s="28" t="str">
        <f aca="false">IF(A3225="","",D3225*E3225)</f>
        <v/>
      </c>
      <c r="J3225" s="28" t="str">
        <f aca="false">IF(A3225="","",D3225*F3225)</f>
        <v/>
      </c>
      <c r="K3225" s="0" t="str">
        <f aca="false">IF(A3225="","",YEAR(A3225))</f>
        <v/>
      </c>
      <c r="L3225" s="0" t="str">
        <f aca="false">IF(A3225="","",MONTH(A3225))</f>
        <v/>
      </c>
    </row>
    <row r="3226" customFormat="false" ht="15" hidden="false" customHeight="false" outlineLevel="0" collapsed="false">
      <c r="A3226" s="27"/>
      <c r="E3226" s="28"/>
      <c r="F3226" s="28"/>
      <c r="I3226" s="28" t="str">
        <f aca="false">IF(A3226="","",D3226*E3226)</f>
        <v/>
      </c>
      <c r="J3226" s="28" t="str">
        <f aca="false">IF(A3226="","",D3226*F3226)</f>
        <v/>
      </c>
      <c r="K3226" s="0" t="str">
        <f aca="false">IF(A3226="","",YEAR(A3226))</f>
        <v/>
      </c>
      <c r="L3226" s="0" t="str">
        <f aca="false">IF(A3226="","",MONTH(A3226))</f>
        <v/>
      </c>
    </row>
    <row r="3227" customFormat="false" ht="15" hidden="false" customHeight="false" outlineLevel="0" collapsed="false">
      <c r="A3227" s="27"/>
      <c r="E3227" s="28"/>
      <c r="F3227" s="28"/>
      <c r="I3227" s="28" t="str">
        <f aca="false">IF(A3227="","",D3227*E3227)</f>
        <v/>
      </c>
      <c r="J3227" s="28" t="str">
        <f aca="false">IF(A3227="","",D3227*F3227)</f>
        <v/>
      </c>
      <c r="K3227" s="0" t="str">
        <f aca="false">IF(A3227="","",YEAR(A3227))</f>
        <v/>
      </c>
      <c r="L3227" s="0" t="str">
        <f aca="false">IF(A3227="","",MONTH(A3227))</f>
        <v/>
      </c>
    </row>
    <row r="3228" customFormat="false" ht="15" hidden="false" customHeight="false" outlineLevel="0" collapsed="false">
      <c r="A3228" s="27"/>
      <c r="E3228" s="28"/>
      <c r="F3228" s="28"/>
      <c r="I3228" s="28" t="str">
        <f aca="false">IF(A3228="","",D3228*E3228)</f>
        <v/>
      </c>
      <c r="J3228" s="28" t="str">
        <f aca="false">IF(A3228="","",D3228*F3228)</f>
        <v/>
      </c>
      <c r="K3228" s="0" t="str">
        <f aca="false">IF(A3228="","",YEAR(A3228))</f>
        <v/>
      </c>
      <c r="L3228" s="0" t="str">
        <f aca="false">IF(A3228="","",MONTH(A3228))</f>
        <v/>
      </c>
    </row>
    <row r="3229" customFormat="false" ht="15" hidden="false" customHeight="false" outlineLevel="0" collapsed="false">
      <c r="A3229" s="27"/>
      <c r="E3229" s="28"/>
      <c r="F3229" s="28"/>
      <c r="I3229" s="28" t="str">
        <f aca="false">IF(A3229="","",D3229*E3229)</f>
        <v/>
      </c>
      <c r="J3229" s="28" t="str">
        <f aca="false">IF(A3229="","",D3229*F3229)</f>
        <v/>
      </c>
      <c r="K3229" s="0" t="str">
        <f aca="false">IF(A3229="","",YEAR(A3229))</f>
        <v/>
      </c>
      <c r="L3229" s="0" t="str">
        <f aca="false">IF(A3229="","",MONTH(A3229))</f>
        <v/>
      </c>
    </row>
    <row r="3230" customFormat="false" ht="15" hidden="false" customHeight="false" outlineLevel="0" collapsed="false">
      <c r="A3230" s="27"/>
      <c r="E3230" s="28"/>
      <c r="F3230" s="28"/>
      <c r="I3230" s="28" t="str">
        <f aca="false">IF(A3230="","",D3230*E3230)</f>
        <v/>
      </c>
      <c r="J3230" s="28" t="str">
        <f aca="false">IF(A3230="","",D3230*F3230)</f>
        <v/>
      </c>
      <c r="K3230" s="0" t="str">
        <f aca="false">IF(A3230="","",YEAR(A3230))</f>
        <v/>
      </c>
      <c r="L3230" s="0" t="str">
        <f aca="false">IF(A3230="","",MONTH(A3230))</f>
        <v/>
      </c>
    </row>
    <row r="3231" customFormat="false" ht="15" hidden="false" customHeight="false" outlineLevel="0" collapsed="false">
      <c r="A3231" s="27"/>
      <c r="E3231" s="28"/>
      <c r="F3231" s="28"/>
      <c r="I3231" s="28" t="str">
        <f aca="false">IF(A3231="","",D3231*E3231)</f>
        <v/>
      </c>
      <c r="J3231" s="28" t="str">
        <f aca="false">IF(A3231="","",D3231*F3231)</f>
        <v/>
      </c>
      <c r="K3231" s="0" t="str">
        <f aca="false">IF(A3231="","",YEAR(A3231))</f>
        <v/>
      </c>
      <c r="L3231" s="0" t="str">
        <f aca="false">IF(A3231="","",MONTH(A3231))</f>
        <v/>
      </c>
    </row>
    <row r="3232" customFormat="false" ht="15" hidden="false" customHeight="false" outlineLevel="0" collapsed="false">
      <c r="A3232" s="27"/>
      <c r="E3232" s="28"/>
      <c r="F3232" s="28"/>
      <c r="I3232" s="28" t="str">
        <f aca="false">IF(A3232="","",D3232*E3232)</f>
        <v/>
      </c>
      <c r="J3232" s="28" t="str">
        <f aca="false">IF(A3232="","",D3232*F3232)</f>
        <v/>
      </c>
      <c r="K3232" s="0" t="str">
        <f aca="false">IF(A3232="","",YEAR(A3232))</f>
        <v/>
      </c>
      <c r="L3232" s="0" t="str">
        <f aca="false">IF(A3232="","",MONTH(A3232))</f>
        <v/>
      </c>
    </row>
    <row r="3233" customFormat="false" ht="15" hidden="false" customHeight="false" outlineLevel="0" collapsed="false">
      <c r="A3233" s="27"/>
      <c r="E3233" s="28"/>
      <c r="F3233" s="28"/>
      <c r="I3233" s="28" t="str">
        <f aca="false">IF(A3233="","",D3233*E3233)</f>
        <v/>
      </c>
      <c r="J3233" s="28" t="str">
        <f aca="false">IF(A3233="","",D3233*F3233)</f>
        <v/>
      </c>
      <c r="K3233" s="0" t="str">
        <f aca="false">IF(A3233="","",YEAR(A3233))</f>
        <v/>
      </c>
      <c r="L3233" s="0" t="str">
        <f aca="false">IF(A3233="","",MONTH(A3233))</f>
        <v/>
      </c>
    </row>
    <row r="3234" customFormat="false" ht="15" hidden="false" customHeight="false" outlineLevel="0" collapsed="false">
      <c r="A3234" s="27"/>
      <c r="E3234" s="28"/>
      <c r="F3234" s="28"/>
      <c r="I3234" s="28" t="str">
        <f aca="false">IF(A3234="","",D3234*E3234)</f>
        <v/>
      </c>
      <c r="J3234" s="28" t="str">
        <f aca="false">IF(A3234="","",D3234*F3234)</f>
        <v/>
      </c>
      <c r="K3234" s="0" t="str">
        <f aca="false">IF(A3234="","",YEAR(A3234))</f>
        <v/>
      </c>
      <c r="L3234" s="0" t="str">
        <f aca="false">IF(A3234="","",MONTH(A3234))</f>
        <v/>
      </c>
    </row>
    <row r="3235" customFormat="false" ht="15" hidden="false" customHeight="false" outlineLevel="0" collapsed="false">
      <c r="A3235" s="27"/>
      <c r="E3235" s="28"/>
      <c r="F3235" s="28"/>
      <c r="I3235" s="28" t="str">
        <f aca="false">IF(A3235="","",D3235*E3235)</f>
        <v/>
      </c>
      <c r="J3235" s="28" t="str">
        <f aca="false">IF(A3235="","",D3235*F3235)</f>
        <v/>
      </c>
      <c r="K3235" s="0" t="str">
        <f aca="false">IF(A3235="","",YEAR(A3235))</f>
        <v/>
      </c>
      <c r="L3235" s="0" t="str">
        <f aca="false">IF(A3235="","",MONTH(A3235))</f>
        <v/>
      </c>
    </row>
    <row r="3236" customFormat="false" ht="15" hidden="false" customHeight="false" outlineLevel="0" collapsed="false">
      <c r="A3236" s="27"/>
      <c r="E3236" s="28"/>
      <c r="F3236" s="28"/>
      <c r="I3236" s="28" t="str">
        <f aca="false">IF(A3236="","",D3236*E3236)</f>
        <v/>
      </c>
      <c r="J3236" s="28" t="str">
        <f aca="false">IF(A3236="","",D3236*F3236)</f>
        <v/>
      </c>
      <c r="K3236" s="0" t="str">
        <f aca="false">IF(A3236="","",YEAR(A3236))</f>
        <v/>
      </c>
      <c r="L3236" s="0" t="str">
        <f aca="false">IF(A3236="","",MONTH(A3236))</f>
        <v/>
      </c>
    </row>
    <row r="3237" customFormat="false" ht="15" hidden="false" customHeight="false" outlineLevel="0" collapsed="false">
      <c r="A3237" s="27"/>
      <c r="E3237" s="28"/>
      <c r="F3237" s="28"/>
      <c r="I3237" s="28" t="str">
        <f aca="false">IF(A3237="","",D3237*E3237)</f>
        <v/>
      </c>
      <c r="J3237" s="28" t="str">
        <f aca="false">IF(A3237="","",D3237*F3237)</f>
        <v/>
      </c>
      <c r="K3237" s="0" t="str">
        <f aca="false">IF(A3237="","",YEAR(A3237))</f>
        <v/>
      </c>
      <c r="L3237" s="0" t="str">
        <f aca="false">IF(A3237="","",MONTH(A3237))</f>
        <v/>
      </c>
    </row>
    <row r="3238" customFormat="false" ht="15" hidden="false" customHeight="false" outlineLevel="0" collapsed="false">
      <c r="A3238" s="27"/>
      <c r="E3238" s="28"/>
      <c r="F3238" s="28"/>
      <c r="I3238" s="28" t="str">
        <f aca="false">IF(A3238="","",D3238*E3238)</f>
        <v/>
      </c>
      <c r="J3238" s="28" t="str">
        <f aca="false">IF(A3238="","",D3238*F3238)</f>
        <v/>
      </c>
      <c r="K3238" s="0" t="str">
        <f aca="false">IF(A3238="","",YEAR(A3238))</f>
        <v/>
      </c>
      <c r="L3238" s="0" t="str">
        <f aca="false">IF(A3238="","",MONTH(A3238))</f>
        <v/>
      </c>
    </row>
    <row r="3239" customFormat="false" ht="15" hidden="false" customHeight="false" outlineLevel="0" collapsed="false">
      <c r="A3239" s="27"/>
      <c r="E3239" s="28"/>
      <c r="F3239" s="28"/>
      <c r="I3239" s="28" t="str">
        <f aca="false">IF(A3239="","",D3239*E3239)</f>
        <v/>
      </c>
      <c r="J3239" s="28" t="str">
        <f aca="false">IF(A3239="","",D3239*F3239)</f>
        <v/>
      </c>
      <c r="K3239" s="0" t="str">
        <f aca="false">IF(A3239="","",YEAR(A3239))</f>
        <v/>
      </c>
      <c r="L3239" s="0" t="str">
        <f aca="false">IF(A3239="","",MONTH(A3239))</f>
        <v/>
      </c>
    </row>
    <row r="3240" customFormat="false" ht="15" hidden="false" customHeight="false" outlineLevel="0" collapsed="false">
      <c r="A3240" s="27"/>
      <c r="E3240" s="28"/>
      <c r="F3240" s="28"/>
      <c r="I3240" s="28" t="str">
        <f aca="false">IF(A3240="","",D3240*E3240)</f>
        <v/>
      </c>
      <c r="J3240" s="28" t="str">
        <f aca="false">IF(A3240="","",D3240*F3240)</f>
        <v/>
      </c>
      <c r="K3240" s="0" t="str">
        <f aca="false">IF(A3240="","",YEAR(A3240))</f>
        <v/>
      </c>
      <c r="L3240" s="0" t="str">
        <f aca="false">IF(A3240="","",MONTH(A3240))</f>
        <v/>
      </c>
    </row>
    <row r="3241" customFormat="false" ht="15" hidden="false" customHeight="false" outlineLevel="0" collapsed="false">
      <c r="A3241" s="27"/>
      <c r="E3241" s="28"/>
      <c r="F3241" s="28"/>
      <c r="I3241" s="28" t="str">
        <f aca="false">IF(A3241="","",D3241*E3241)</f>
        <v/>
      </c>
      <c r="J3241" s="28" t="str">
        <f aca="false">IF(A3241="","",D3241*F3241)</f>
        <v/>
      </c>
      <c r="K3241" s="0" t="str">
        <f aca="false">IF(A3241="","",YEAR(A3241))</f>
        <v/>
      </c>
      <c r="L3241" s="0" t="str">
        <f aca="false">IF(A3241="","",MONTH(A3241))</f>
        <v/>
      </c>
    </row>
    <row r="3242" customFormat="false" ht="15" hidden="false" customHeight="false" outlineLevel="0" collapsed="false">
      <c r="A3242" s="27"/>
      <c r="E3242" s="28"/>
      <c r="F3242" s="28"/>
      <c r="I3242" s="28" t="str">
        <f aca="false">IF(A3242="","",D3242*E3242)</f>
        <v/>
      </c>
      <c r="J3242" s="28" t="str">
        <f aca="false">IF(A3242="","",D3242*F3242)</f>
        <v/>
      </c>
      <c r="K3242" s="0" t="str">
        <f aca="false">IF(A3242="","",YEAR(A3242))</f>
        <v/>
      </c>
      <c r="L3242" s="0" t="str">
        <f aca="false">IF(A3242="","",MONTH(A3242))</f>
        <v/>
      </c>
    </row>
    <row r="3243" customFormat="false" ht="15" hidden="false" customHeight="false" outlineLevel="0" collapsed="false">
      <c r="A3243" s="27"/>
      <c r="E3243" s="28"/>
      <c r="F3243" s="28"/>
      <c r="I3243" s="28" t="str">
        <f aca="false">IF(A3243="","",D3243*E3243)</f>
        <v/>
      </c>
      <c r="J3243" s="28" t="str">
        <f aca="false">IF(A3243="","",D3243*F3243)</f>
        <v/>
      </c>
      <c r="K3243" s="0" t="str">
        <f aca="false">IF(A3243="","",YEAR(A3243))</f>
        <v/>
      </c>
      <c r="L3243" s="0" t="str">
        <f aca="false">IF(A3243="","",MONTH(A3243))</f>
        <v/>
      </c>
    </row>
    <row r="3244" customFormat="false" ht="15" hidden="false" customHeight="false" outlineLevel="0" collapsed="false">
      <c r="A3244" s="27"/>
      <c r="E3244" s="28"/>
      <c r="F3244" s="28"/>
      <c r="I3244" s="28" t="str">
        <f aca="false">IF(A3244="","",D3244*E3244)</f>
        <v/>
      </c>
      <c r="J3244" s="28" t="str">
        <f aca="false">IF(A3244="","",D3244*F3244)</f>
        <v/>
      </c>
      <c r="K3244" s="0" t="str">
        <f aca="false">IF(A3244="","",YEAR(A3244))</f>
        <v/>
      </c>
      <c r="L3244" s="0" t="str">
        <f aca="false">IF(A3244="","",MONTH(A3244))</f>
        <v/>
      </c>
    </row>
    <row r="3245" customFormat="false" ht="15" hidden="false" customHeight="false" outlineLevel="0" collapsed="false">
      <c r="A3245" s="27"/>
      <c r="E3245" s="28"/>
      <c r="F3245" s="28"/>
      <c r="I3245" s="28" t="str">
        <f aca="false">IF(A3245="","",D3245*E3245)</f>
        <v/>
      </c>
      <c r="J3245" s="28" t="str">
        <f aca="false">IF(A3245="","",D3245*F3245)</f>
        <v/>
      </c>
      <c r="K3245" s="0" t="str">
        <f aca="false">IF(A3245="","",YEAR(A3245))</f>
        <v/>
      </c>
      <c r="L3245" s="0" t="str">
        <f aca="false">IF(A3245="","",MONTH(A3245))</f>
        <v/>
      </c>
    </row>
    <row r="3246" customFormat="false" ht="15" hidden="false" customHeight="false" outlineLevel="0" collapsed="false">
      <c r="A3246" s="27"/>
      <c r="E3246" s="28"/>
      <c r="F3246" s="28"/>
      <c r="I3246" s="28" t="str">
        <f aca="false">IF(A3246="","",D3246*E3246)</f>
        <v/>
      </c>
      <c r="J3246" s="28" t="str">
        <f aca="false">IF(A3246="","",D3246*F3246)</f>
        <v/>
      </c>
      <c r="K3246" s="0" t="str">
        <f aca="false">IF(A3246="","",YEAR(A3246))</f>
        <v/>
      </c>
      <c r="L3246" s="0" t="str">
        <f aca="false">IF(A3246="","",MONTH(A3246))</f>
        <v/>
      </c>
    </row>
    <row r="3247" customFormat="false" ht="15" hidden="false" customHeight="false" outlineLevel="0" collapsed="false">
      <c r="A3247" s="27"/>
      <c r="E3247" s="28"/>
      <c r="F3247" s="28"/>
      <c r="I3247" s="28" t="str">
        <f aca="false">IF(A3247="","",D3247*E3247)</f>
        <v/>
      </c>
      <c r="J3247" s="28" t="str">
        <f aca="false">IF(A3247="","",D3247*F3247)</f>
        <v/>
      </c>
      <c r="K3247" s="0" t="str">
        <f aca="false">IF(A3247="","",YEAR(A3247))</f>
        <v/>
      </c>
      <c r="L3247" s="0" t="str">
        <f aca="false">IF(A3247="","",MONTH(A3247))</f>
        <v/>
      </c>
    </row>
    <row r="3248" customFormat="false" ht="15" hidden="false" customHeight="false" outlineLevel="0" collapsed="false">
      <c r="A3248" s="27"/>
      <c r="E3248" s="28"/>
      <c r="F3248" s="28"/>
      <c r="I3248" s="28" t="str">
        <f aca="false">IF(A3248="","",D3248*E3248)</f>
        <v/>
      </c>
      <c r="J3248" s="28" t="str">
        <f aca="false">IF(A3248="","",D3248*F3248)</f>
        <v/>
      </c>
      <c r="K3248" s="0" t="str">
        <f aca="false">IF(A3248="","",YEAR(A3248))</f>
        <v/>
      </c>
      <c r="L3248" s="0" t="str">
        <f aca="false">IF(A3248="","",MONTH(A3248))</f>
        <v/>
      </c>
    </row>
    <row r="3249" customFormat="false" ht="15" hidden="false" customHeight="false" outlineLevel="0" collapsed="false">
      <c r="A3249" s="27"/>
      <c r="E3249" s="28"/>
      <c r="F3249" s="28"/>
      <c r="I3249" s="28" t="str">
        <f aca="false">IF(A3249="","",D3249*E3249)</f>
        <v/>
      </c>
      <c r="J3249" s="28" t="str">
        <f aca="false">IF(A3249="","",D3249*F3249)</f>
        <v/>
      </c>
      <c r="K3249" s="0" t="str">
        <f aca="false">IF(A3249="","",YEAR(A3249))</f>
        <v/>
      </c>
      <c r="L3249" s="0" t="str">
        <f aca="false">IF(A3249="","",MONTH(A3249))</f>
        <v/>
      </c>
    </row>
    <row r="3250" customFormat="false" ht="15" hidden="false" customHeight="false" outlineLevel="0" collapsed="false">
      <c r="A3250" s="27"/>
      <c r="E3250" s="28"/>
      <c r="F3250" s="28"/>
      <c r="I3250" s="28" t="str">
        <f aca="false">IF(A3250="","",D3250*E3250)</f>
        <v/>
      </c>
      <c r="J3250" s="28" t="str">
        <f aca="false">IF(A3250="","",D3250*F3250)</f>
        <v/>
      </c>
      <c r="K3250" s="0" t="str">
        <f aca="false">IF(A3250="","",YEAR(A3250))</f>
        <v/>
      </c>
      <c r="L3250" s="0" t="str">
        <f aca="false">IF(A3250="","",MONTH(A3250))</f>
        <v/>
      </c>
    </row>
    <row r="3251" customFormat="false" ht="15" hidden="false" customHeight="false" outlineLevel="0" collapsed="false">
      <c r="A3251" s="27"/>
      <c r="E3251" s="28"/>
      <c r="F3251" s="28"/>
      <c r="I3251" s="28" t="str">
        <f aca="false">IF(A3251="","",D3251*E3251)</f>
        <v/>
      </c>
      <c r="J3251" s="28" t="str">
        <f aca="false">IF(A3251="","",D3251*F3251)</f>
        <v/>
      </c>
      <c r="K3251" s="0" t="str">
        <f aca="false">IF(A3251="","",YEAR(A3251))</f>
        <v/>
      </c>
      <c r="L3251" s="0" t="str">
        <f aca="false">IF(A3251="","",MONTH(A3251))</f>
        <v/>
      </c>
    </row>
    <row r="3252" customFormat="false" ht="15" hidden="false" customHeight="false" outlineLevel="0" collapsed="false">
      <c r="A3252" s="27"/>
      <c r="E3252" s="28"/>
      <c r="F3252" s="28"/>
      <c r="I3252" s="28" t="str">
        <f aca="false">IF(A3252="","",D3252*E3252)</f>
        <v/>
      </c>
      <c r="J3252" s="28" t="str">
        <f aca="false">IF(A3252="","",D3252*F3252)</f>
        <v/>
      </c>
      <c r="K3252" s="0" t="str">
        <f aca="false">IF(A3252="","",YEAR(A3252))</f>
        <v/>
      </c>
      <c r="L3252" s="0" t="str">
        <f aca="false">IF(A3252="","",MONTH(A3252))</f>
        <v/>
      </c>
    </row>
    <row r="3253" customFormat="false" ht="15" hidden="false" customHeight="false" outlineLevel="0" collapsed="false">
      <c r="A3253" s="27"/>
      <c r="E3253" s="28"/>
      <c r="F3253" s="28"/>
      <c r="I3253" s="28" t="str">
        <f aca="false">IF(A3253="","",D3253*E3253)</f>
        <v/>
      </c>
      <c r="J3253" s="28" t="str">
        <f aca="false">IF(A3253="","",D3253*F3253)</f>
        <v/>
      </c>
      <c r="K3253" s="0" t="str">
        <f aca="false">IF(A3253="","",YEAR(A3253))</f>
        <v/>
      </c>
      <c r="L3253" s="0" t="str">
        <f aca="false">IF(A3253="","",MONTH(A3253))</f>
        <v/>
      </c>
    </row>
    <row r="3254" customFormat="false" ht="15" hidden="false" customHeight="false" outlineLevel="0" collapsed="false">
      <c r="A3254" s="27"/>
      <c r="E3254" s="28"/>
      <c r="F3254" s="28"/>
      <c r="I3254" s="28" t="str">
        <f aca="false">IF(A3254="","",D3254*E3254)</f>
        <v/>
      </c>
      <c r="J3254" s="28" t="str">
        <f aca="false">IF(A3254="","",D3254*F3254)</f>
        <v/>
      </c>
      <c r="K3254" s="0" t="str">
        <f aca="false">IF(A3254="","",YEAR(A3254))</f>
        <v/>
      </c>
      <c r="L3254" s="0" t="str">
        <f aca="false">IF(A3254="","",MONTH(A3254))</f>
        <v/>
      </c>
    </row>
    <row r="3255" customFormat="false" ht="15" hidden="false" customHeight="false" outlineLevel="0" collapsed="false">
      <c r="A3255" s="27"/>
      <c r="E3255" s="28"/>
      <c r="F3255" s="28"/>
      <c r="I3255" s="28" t="str">
        <f aca="false">IF(A3255="","",D3255*E3255)</f>
        <v/>
      </c>
      <c r="J3255" s="28" t="str">
        <f aca="false">IF(A3255="","",D3255*F3255)</f>
        <v/>
      </c>
      <c r="K3255" s="0" t="str">
        <f aca="false">IF(A3255="","",YEAR(A3255))</f>
        <v/>
      </c>
      <c r="L3255" s="0" t="str">
        <f aca="false">IF(A3255="","",MONTH(A3255))</f>
        <v/>
      </c>
    </row>
    <row r="3256" customFormat="false" ht="15" hidden="false" customHeight="false" outlineLevel="0" collapsed="false">
      <c r="A3256" s="27"/>
      <c r="E3256" s="28"/>
      <c r="F3256" s="28"/>
      <c r="I3256" s="28" t="str">
        <f aca="false">IF(A3256="","",D3256*E3256)</f>
        <v/>
      </c>
      <c r="J3256" s="28" t="str">
        <f aca="false">IF(A3256="","",D3256*F3256)</f>
        <v/>
      </c>
      <c r="K3256" s="0" t="str">
        <f aca="false">IF(A3256="","",YEAR(A3256))</f>
        <v/>
      </c>
      <c r="L3256" s="0" t="str">
        <f aca="false">IF(A3256="","",MONTH(A3256))</f>
        <v/>
      </c>
    </row>
    <row r="3257" customFormat="false" ht="15" hidden="false" customHeight="false" outlineLevel="0" collapsed="false">
      <c r="A3257" s="27"/>
      <c r="E3257" s="28"/>
      <c r="F3257" s="28"/>
      <c r="I3257" s="28" t="str">
        <f aca="false">IF(A3257="","",D3257*E3257)</f>
        <v/>
      </c>
      <c r="J3257" s="28" t="str">
        <f aca="false">IF(A3257="","",D3257*F3257)</f>
        <v/>
      </c>
      <c r="K3257" s="0" t="str">
        <f aca="false">IF(A3257="","",YEAR(A3257))</f>
        <v/>
      </c>
      <c r="L3257" s="0" t="str">
        <f aca="false">IF(A3257="","",MONTH(A3257))</f>
        <v/>
      </c>
    </row>
    <row r="3258" customFormat="false" ht="15" hidden="false" customHeight="false" outlineLevel="0" collapsed="false">
      <c r="A3258" s="27"/>
      <c r="E3258" s="28"/>
      <c r="F3258" s="28"/>
      <c r="I3258" s="28" t="str">
        <f aca="false">IF(A3258="","",D3258*E3258)</f>
        <v/>
      </c>
      <c r="J3258" s="28" t="str">
        <f aca="false">IF(A3258="","",D3258*F3258)</f>
        <v/>
      </c>
      <c r="K3258" s="0" t="str">
        <f aca="false">IF(A3258="","",YEAR(A3258))</f>
        <v/>
      </c>
      <c r="L3258" s="0" t="str">
        <f aca="false">IF(A3258="","",MONTH(A3258))</f>
        <v/>
      </c>
    </row>
    <row r="3259" customFormat="false" ht="15" hidden="false" customHeight="false" outlineLevel="0" collapsed="false">
      <c r="A3259" s="27"/>
      <c r="E3259" s="28"/>
      <c r="F3259" s="28"/>
      <c r="I3259" s="28" t="str">
        <f aca="false">IF(A3259="","",D3259*E3259)</f>
        <v/>
      </c>
      <c r="J3259" s="28" t="str">
        <f aca="false">IF(A3259="","",D3259*F3259)</f>
        <v/>
      </c>
      <c r="K3259" s="0" t="str">
        <f aca="false">IF(A3259="","",YEAR(A3259))</f>
        <v/>
      </c>
      <c r="L3259" s="0" t="str">
        <f aca="false">IF(A3259="","",MONTH(A3259))</f>
        <v/>
      </c>
    </row>
    <row r="3260" customFormat="false" ht="15" hidden="false" customHeight="false" outlineLevel="0" collapsed="false">
      <c r="A3260" s="27"/>
      <c r="E3260" s="28"/>
      <c r="F3260" s="28"/>
      <c r="I3260" s="28" t="str">
        <f aca="false">IF(A3260="","",D3260*E3260)</f>
        <v/>
      </c>
      <c r="J3260" s="28" t="str">
        <f aca="false">IF(A3260="","",D3260*F3260)</f>
        <v/>
      </c>
      <c r="K3260" s="0" t="str">
        <f aca="false">IF(A3260="","",YEAR(A3260))</f>
        <v/>
      </c>
      <c r="L3260" s="0" t="str">
        <f aca="false">IF(A3260="","",MONTH(A3260))</f>
        <v/>
      </c>
    </row>
    <row r="3261" customFormat="false" ht="15" hidden="false" customHeight="false" outlineLevel="0" collapsed="false">
      <c r="A3261" s="27"/>
      <c r="E3261" s="28"/>
      <c r="F3261" s="28"/>
      <c r="I3261" s="28" t="str">
        <f aca="false">IF(A3261="","",D3261*E3261)</f>
        <v/>
      </c>
      <c r="J3261" s="28" t="str">
        <f aca="false">IF(A3261="","",D3261*F3261)</f>
        <v/>
      </c>
      <c r="K3261" s="0" t="str">
        <f aca="false">IF(A3261="","",YEAR(A3261))</f>
        <v/>
      </c>
      <c r="L3261" s="0" t="str">
        <f aca="false">IF(A3261="","",MONTH(A3261))</f>
        <v/>
      </c>
    </row>
    <row r="3262" customFormat="false" ht="15" hidden="false" customHeight="false" outlineLevel="0" collapsed="false">
      <c r="A3262" s="27"/>
      <c r="E3262" s="28"/>
      <c r="F3262" s="28"/>
      <c r="I3262" s="28" t="str">
        <f aca="false">IF(A3262="","",D3262*E3262)</f>
        <v/>
      </c>
      <c r="J3262" s="28" t="str">
        <f aca="false">IF(A3262="","",D3262*F3262)</f>
        <v/>
      </c>
      <c r="K3262" s="0" t="str">
        <f aca="false">IF(A3262="","",YEAR(A3262))</f>
        <v/>
      </c>
      <c r="L3262" s="0" t="str">
        <f aca="false">IF(A3262="","",MONTH(A3262))</f>
        <v/>
      </c>
    </row>
    <row r="3263" customFormat="false" ht="15" hidden="false" customHeight="false" outlineLevel="0" collapsed="false">
      <c r="A3263" s="27"/>
      <c r="E3263" s="28"/>
      <c r="F3263" s="28"/>
      <c r="I3263" s="28" t="str">
        <f aca="false">IF(A3263="","",D3263*E3263)</f>
        <v/>
      </c>
      <c r="J3263" s="28" t="str">
        <f aca="false">IF(A3263="","",D3263*F3263)</f>
        <v/>
      </c>
      <c r="K3263" s="0" t="str">
        <f aca="false">IF(A3263="","",YEAR(A3263))</f>
        <v/>
      </c>
      <c r="L3263" s="0" t="str">
        <f aca="false">IF(A3263="","",MONTH(A3263))</f>
        <v/>
      </c>
    </row>
    <row r="3264" customFormat="false" ht="15" hidden="false" customHeight="false" outlineLevel="0" collapsed="false">
      <c r="A3264" s="27"/>
      <c r="E3264" s="28"/>
      <c r="F3264" s="28"/>
      <c r="I3264" s="28" t="str">
        <f aca="false">IF(A3264="","",D3264*E3264)</f>
        <v/>
      </c>
      <c r="J3264" s="28" t="str">
        <f aca="false">IF(A3264="","",D3264*F3264)</f>
        <v/>
      </c>
      <c r="K3264" s="0" t="str">
        <f aca="false">IF(A3264="","",YEAR(A3264))</f>
        <v/>
      </c>
      <c r="L3264" s="0" t="str">
        <f aca="false">IF(A3264="","",MONTH(A3264))</f>
        <v/>
      </c>
    </row>
    <row r="3265" customFormat="false" ht="15" hidden="false" customHeight="false" outlineLevel="0" collapsed="false">
      <c r="A3265" s="27"/>
      <c r="E3265" s="28"/>
      <c r="F3265" s="28"/>
      <c r="I3265" s="28" t="str">
        <f aca="false">IF(A3265="","",D3265*E3265)</f>
        <v/>
      </c>
      <c r="J3265" s="28" t="str">
        <f aca="false">IF(A3265="","",D3265*F3265)</f>
        <v/>
      </c>
      <c r="K3265" s="0" t="str">
        <f aca="false">IF(A3265="","",YEAR(A3265))</f>
        <v/>
      </c>
      <c r="L3265" s="0" t="str">
        <f aca="false">IF(A3265="","",MONTH(A3265))</f>
        <v/>
      </c>
    </row>
    <row r="3266" customFormat="false" ht="15" hidden="false" customHeight="false" outlineLevel="0" collapsed="false">
      <c r="A3266" s="27"/>
      <c r="E3266" s="28"/>
      <c r="F3266" s="28"/>
      <c r="I3266" s="28" t="str">
        <f aca="false">IF(A3266="","",D3266*E3266)</f>
        <v/>
      </c>
      <c r="J3266" s="28" t="str">
        <f aca="false">IF(A3266="","",D3266*F3266)</f>
        <v/>
      </c>
      <c r="K3266" s="0" t="str">
        <f aca="false">IF(A3266="","",YEAR(A3266))</f>
        <v/>
      </c>
      <c r="L3266" s="0" t="str">
        <f aca="false">IF(A3266="","",MONTH(A3266))</f>
        <v/>
      </c>
    </row>
    <row r="3267" customFormat="false" ht="15" hidden="false" customHeight="false" outlineLevel="0" collapsed="false">
      <c r="A3267" s="27"/>
      <c r="E3267" s="28"/>
      <c r="F3267" s="28"/>
      <c r="I3267" s="28" t="str">
        <f aca="false">IF(A3267="","",D3267*E3267)</f>
        <v/>
      </c>
      <c r="J3267" s="28" t="str">
        <f aca="false">IF(A3267="","",D3267*F3267)</f>
        <v/>
      </c>
      <c r="K3267" s="0" t="str">
        <f aca="false">IF(A3267="","",YEAR(A3267))</f>
        <v/>
      </c>
      <c r="L3267" s="0" t="str">
        <f aca="false">IF(A3267="","",MONTH(A3267))</f>
        <v/>
      </c>
    </row>
    <row r="3268" customFormat="false" ht="15" hidden="false" customHeight="false" outlineLevel="0" collapsed="false">
      <c r="A3268" s="27"/>
      <c r="E3268" s="28"/>
      <c r="F3268" s="28"/>
      <c r="I3268" s="28" t="str">
        <f aca="false">IF(A3268="","",D3268*E3268)</f>
        <v/>
      </c>
      <c r="J3268" s="28" t="str">
        <f aca="false">IF(A3268="","",D3268*F3268)</f>
        <v/>
      </c>
      <c r="K3268" s="0" t="str">
        <f aca="false">IF(A3268="","",YEAR(A3268))</f>
        <v/>
      </c>
      <c r="L3268" s="0" t="str">
        <f aca="false">IF(A3268="","",MONTH(A3268))</f>
        <v/>
      </c>
    </row>
    <row r="3269" customFormat="false" ht="15" hidden="false" customHeight="false" outlineLevel="0" collapsed="false">
      <c r="A3269" s="27"/>
      <c r="E3269" s="28"/>
      <c r="F3269" s="28"/>
      <c r="I3269" s="28" t="str">
        <f aca="false">IF(A3269="","",D3269*E3269)</f>
        <v/>
      </c>
      <c r="J3269" s="28" t="str">
        <f aca="false">IF(A3269="","",D3269*F3269)</f>
        <v/>
      </c>
      <c r="K3269" s="0" t="str">
        <f aca="false">IF(A3269="","",YEAR(A3269))</f>
        <v/>
      </c>
      <c r="L3269" s="0" t="str">
        <f aca="false">IF(A3269="","",MONTH(A3269))</f>
        <v/>
      </c>
    </row>
    <row r="3270" customFormat="false" ht="15" hidden="false" customHeight="false" outlineLevel="0" collapsed="false">
      <c r="A3270" s="27"/>
      <c r="E3270" s="28"/>
      <c r="F3270" s="28"/>
      <c r="I3270" s="28" t="str">
        <f aca="false">IF(A3270="","",D3270*E3270)</f>
        <v/>
      </c>
      <c r="J3270" s="28" t="str">
        <f aca="false">IF(A3270="","",D3270*F3270)</f>
        <v/>
      </c>
      <c r="K3270" s="0" t="str">
        <f aca="false">IF(A3270="","",YEAR(A3270))</f>
        <v/>
      </c>
      <c r="L3270" s="0" t="str">
        <f aca="false">IF(A3270="","",MONTH(A3270))</f>
        <v/>
      </c>
    </row>
    <row r="3271" customFormat="false" ht="15" hidden="false" customHeight="false" outlineLevel="0" collapsed="false">
      <c r="A3271" s="27"/>
      <c r="E3271" s="28"/>
      <c r="F3271" s="28"/>
      <c r="I3271" s="28" t="str">
        <f aca="false">IF(A3271="","",D3271*E3271)</f>
        <v/>
      </c>
      <c r="J3271" s="28" t="str">
        <f aca="false">IF(A3271="","",D3271*F3271)</f>
        <v/>
      </c>
      <c r="K3271" s="0" t="str">
        <f aca="false">IF(A3271="","",YEAR(A3271))</f>
        <v/>
      </c>
      <c r="L3271" s="0" t="str">
        <f aca="false">IF(A3271="","",MONTH(A3271))</f>
        <v/>
      </c>
    </row>
    <row r="3272" customFormat="false" ht="15" hidden="false" customHeight="false" outlineLevel="0" collapsed="false">
      <c r="A3272" s="27"/>
      <c r="E3272" s="28"/>
      <c r="F3272" s="28"/>
      <c r="I3272" s="28" t="str">
        <f aca="false">IF(A3272="","",D3272*E3272)</f>
        <v/>
      </c>
      <c r="J3272" s="28" t="str">
        <f aca="false">IF(A3272="","",D3272*F3272)</f>
        <v/>
      </c>
      <c r="K3272" s="0" t="str">
        <f aca="false">IF(A3272="","",YEAR(A3272))</f>
        <v/>
      </c>
      <c r="L3272" s="0" t="str">
        <f aca="false">IF(A3272="","",MONTH(A3272))</f>
        <v/>
      </c>
    </row>
    <row r="3273" customFormat="false" ht="15" hidden="false" customHeight="false" outlineLevel="0" collapsed="false">
      <c r="A3273" s="27"/>
      <c r="E3273" s="28"/>
      <c r="F3273" s="28"/>
      <c r="I3273" s="28" t="str">
        <f aca="false">IF(A3273="","",D3273*E3273)</f>
        <v/>
      </c>
      <c r="J3273" s="28" t="str">
        <f aca="false">IF(A3273="","",D3273*F3273)</f>
        <v/>
      </c>
      <c r="K3273" s="0" t="str">
        <f aca="false">IF(A3273="","",YEAR(A3273))</f>
        <v/>
      </c>
      <c r="L3273" s="0" t="str">
        <f aca="false">IF(A3273="","",MONTH(A3273))</f>
        <v/>
      </c>
    </row>
    <row r="3274" customFormat="false" ht="15" hidden="false" customHeight="false" outlineLevel="0" collapsed="false">
      <c r="A3274" s="27"/>
      <c r="E3274" s="28"/>
      <c r="F3274" s="28"/>
      <c r="I3274" s="28" t="str">
        <f aca="false">IF(A3274="","",D3274*E3274)</f>
        <v/>
      </c>
      <c r="J3274" s="28" t="str">
        <f aca="false">IF(A3274="","",D3274*F3274)</f>
        <v/>
      </c>
      <c r="K3274" s="0" t="str">
        <f aca="false">IF(A3274="","",YEAR(A3274))</f>
        <v/>
      </c>
      <c r="L3274" s="0" t="str">
        <f aca="false">IF(A3274="","",MONTH(A3274))</f>
        <v/>
      </c>
    </row>
    <row r="3275" customFormat="false" ht="15" hidden="false" customHeight="false" outlineLevel="0" collapsed="false">
      <c r="A3275" s="27"/>
      <c r="E3275" s="28"/>
      <c r="F3275" s="28"/>
      <c r="I3275" s="28" t="str">
        <f aca="false">IF(A3275="","",D3275*E3275)</f>
        <v/>
      </c>
      <c r="J3275" s="28" t="str">
        <f aca="false">IF(A3275="","",D3275*F3275)</f>
        <v/>
      </c>
      <c r="K3275" s="0" t="str">
        <f aca="false">IF(A3275="","",YEAR(A3275))</f>
        <v/>
      </c>
      <c r="L3275" s="0" t="str">
        <f aca="false">IF(A3275="","",MONTH(A3275))</f>
        <v/>
      </c>
    </row>
    <row r="3276" customFormat="false" ht="15" hidden="false" customHeight="false" outlineLevel="0" collapsed="false">
      <c r="A3276" s="27"/>
      <c r="E3276" s="28"/>
      <c r="F3276" s="28"/>
      <c r="I3276" s="28" t="str">
        <f aca="false">IF(A3276="","",D3276*E3276)</f>
        <v/>
      </c>
      <c r="J3276" s="28" t="str">
        <f aca="false">IF(A3276="","",D3276*F3276)</f>
        <v/>
      </c>
      <c r="K3276" s="0" t="str">
        <f aca="false">IF(A3276="","",YEAR(A3276))</f>
        <v/>
      </c>
      <c r="L3276" s="0" t="str">
        <f aca="false">IF(A3276="","",MONTH(A3276))</f>
        <v/>
      </c>
    </row>
    <row r="3277" customFormat="false" ht="15" hidden="false" customHeight="false" outlineLevel="0" collapsed="false">
      <c r="A3277" s="27"/>
      <c r="E3277" s="28"/>
      <c r="F3277" s="28"/>
      <c r="I3277" s="28" t="str">
        <f aca="false">IF(A3277="","",D3277*E3277)</f>
        <v/>
      </c>
      <c r="J3277" s="28" t="str">
        <f aca="false">IF(A3277="","",D3277*F3277)</f>
        <v/>
      </c>
      <c r="K3277" s="0" t="str">
        <f aca="false">IF(A3277="","",YEAR(A3277))</f>
        <v/>
      </c>
      <c r="L3277" s="0" t="str">
        <f aca="false">IF(A3277="","",MONTH(A3277))</f>
        <v/>
      </c>
    </row>
    <row r="3278" customFormat="false" ht="15" hidden="false" customHeight="false" outlineLevel="0" collapsed="false">
      <c r="A3278" s="27"/>
      <c r="E3278" s="28"/>
      <c r="F3278" s="28"/>
      <c r="I3278" s="28" t="str">
        <f aca="false">IF(A3278="","",D3278*E3278)</f>
        <v/>
      </c>
      <c r="J3278" s="28" t="str">
        <f aca="false">IF(A3278="","",D3278*F3278)</f>
        <v/>
      </c>
      <c r="K3278" s="0" t="str">
        <f aca="false">IF(A3278="","",YEAR(A3278))</f>
        <v/>
      </c>
      <c r="L3278" s="0" t="str">
        <f aca="false">IF(A3278="","",MONTH(A3278))</f>
        <v/>
      </c>
    </row>
    <row r="3279" customFormat="false" ht="15" hidden="false" customHeight="false" outlineLevel="0" collapsed="false">
      <c r="A3279" s="27"/>
      <c r="E3279" s="28"/>
      <c r="F3279" s="28"/>
      <c r="I3279" s="28" t="str">
        <f aca="false">IF(A3279="","",D3279*E3279)</f>
        <v/>
      </c>
      <c r="J3279" s="28" t="str">
        <f aca="false">IF(A3279="","",D3279*F3279)</f>
        <v/>
      </c>
      <c r="K3279" s="0" t="str">
        <f aca="false">IF(A3279="","",YEAR(A3279))</f>
        <v/>
      </c>
      <c r="L3279" s="0" t="str">
        <f aca="false">IF(A3279="","",MONTH(A3279))</f>
        <v/>
      </c>
    </row>
    <row r="3280" customFormat="false" ht="15" hidden="false" customHeight="false" outlineLevel="0" collapsed="false">
      <c r="A3280" s="27"/>
      <c r="E3280" s="28"/>
      <c r="F3280" s="28"/>
      <c r="I3280" s="28" t="str">
        <f aca="false">IF(A3280="","",D3280*E3280)</f>
        <v/>
      </c>
      <c r="J3280" s="28" t="str">
        <f aca="false">IF(A3280="","",D3280*F3280)</f>
        <v/>
      </c>
      <c r="K3280" s="0" t="str">
        <f aca="false">IF(A3280="","",YEAR(A3280))</f>
        <v/>
      </c>
      <c r="L3280" s="0" t="str">
        <f aca="false">IF(A3280="","",MONTH(A3280))</f>
        <v/>
      </c>
    </row>
    <row r="3281" customFormat="false" ht="15" hidden="false" customHeight="false" outlineLevel="0" collapsed="false">
      <c r="A3281" s="27"/>
      <c r="E3281" s="28"/>
      <c r="F3281" s="28"/>
      <c r="I3281" s="28" t="str">
        <f aca="false">IF(A3281="","",D3281*E3281)</f>
        <v/>
      </c>
      <c r="J3281" s="28" t="str">
        <f aca="false">IF(A3281="","",D3281*F3281)</f>
        <v/>
      </c>
      <c r="K3281" s="0" t="str">
        <f aca="false">IF(A3281="","",YEAR(A3281))</f>
        <v/>
      </c>
      <c r="L3281" s="0" t="str">
        <f aca="false">IF(A3281="","",MONTH(A3281))</f>
        <v/>
      </c>
    </row>
    <row r="3282" customFormat="false" ht="15" hidden="false" customHeight="false" outlineLevel="0" collapsed="false">
      <c r="A3282" s="27"/>
      <c r="E3282" s="28"/>
      <c r="F3282" s="28"/>
      <c r="I3282" s="28" t="str">
        <f aca="false">IF(A3282="","",D3282*E3282)</f>
        <v/>
      </c>
      <c r="J3282" s="28" t="str">
        <f aca="false">IF(A3282="","",D3282*F3282)</f>
        <v/>
      </c>
      <c r="K3282" s="0" t="str">
        <f aca="false">IF(A3282="","",YEAR(A3282))</f>
        <v/>
      </c>
      <c r="L3282" s="0" t="str">
        <f aca="false">IF(A3282="","",MONTH(A3282))</f>
        <v/>
      </c>
    </row>
    <row r="3283" customFormat="false" ht="15" hidden="false" customHeight="false" outlineLevel="0" collapsed="false">
      <c r="A3283" s="27"/>
      <c r="E3283" s="28"/>
      <c r="F3283" s="28"/>
      <c r="I3283" s="28" t="str">
        <f aca="false">IF(A3283="","",D3283*E3283)</f>
        <v/>
      </c>
      <c r="J3283" s="28" t="str">
        <f aca="false">IF(A3283="","",D3283*F3283)</f>
        <v/>
      </c>
      <c r="K3283" s="0" t="str">
        <f aca="false">IF(A3283="","",YEAR(A3283))</f>
        <v/>
      </c>
      <c r="L3283" s="0" t="str">
        <f aca="false">IF(A3283="","",MONTH(A3283))</f>
        <v/>
      </c>
    </row>
    <row r="3284" customFormat="false" ht="15" hidden="false" customHeight="false" outlineLevel="0" collapsed="false">
      <c r="A3284" s="27"/>
      <c r="E3284" s="28"/>
      <c r="F3284" s="28"/>
      <c r="I3284" s="28" t="str">
        <f aca="false">IF(A3284="","",D3284*E3284)</f>
        <v/>
      </c>
      <c r="J3284" s="28" t="str">
        <f aca="false">IF(A3284="","",D3284*F3284)</f>
        <v/>
      </c>
      <c r="K3284" s="0" t="str">
        <f aca="false">IF(A3284="","",YEAR(A3284))</f>
        <v/>
      </c>
      <c r="L3284" s="0" t="str">
        <f aca="false">IF(A3284="","",MONTH(A3284))</f>
        <v/>
      </c>
    </row>
    <row r="3285" customFormat="false" ht="15" hidden="false" customHeight="false" outlineLevel="0" collapsed="false">
      <c r="A3285" s="27"/>
      <c r="E3285" s="28"/>
      <c r="F3285" s="28"/>
      <c r="I3285" s="28" t="str">
        <f aca="false">IF(A3285="","",D3285*E3285)</f>
        <v/>
      </c>
      <c r="J3285" s="28" t="str">
        <f aca="false">IF(A3285="","",D3285*F3285)</f>
        <v/>
      </c>
      <c r="K3285" s="0" t="str">
        <f aca="false">IF(A3285="","",YEAR(A3285))</f>
        <v/>
      </c>
      <c r="L3285" s="0" t="str">
        <f aca="false">IF(A3285="","",MONTH(A3285))</f>
        <v/>
      </c>
    </row>
    <row r="3286" customFormat="false" ht="15" hidden="false" customHeight="false" outlineLevel="0" collapsed="false">
      <c r="A3286" s="27"/>
      <c r="E3286" s="28"/>
      <c r="F3286" s="28"/>
      <c r="I3286" s="28" t="str">
        <f aca="false">IF(A3286="","",D3286*E3286)</f>
        <v/>
      </c>
      <c r="J3286" s="28" t="str">
        <f aca="false">IF(A3286="","",D3286*F3286)</f>
        <v/>
      </c>
      <c r="K3286" s="0" t="str">
        <f aca="false">IF(A3286="","",YEAR(A3286))</f>
        <v/>
      </c>
      <c r="L3286" s="0" t="str">
        <f aca="false">IF(A3286="","",MONTH(A3286))</f>
        <v/>
      </c>
    </row>
    <row r="3287" customFormat="false" ht="15" hidden="false" customHeight="false" outlineLevel="0" collapsed="false">
      <c r="A3287" s="27"/>
      <c r="E3287" s="28"/>
      <c r="F3287" s="28"/>
      <c r="I3287" s="28" t="str">
        <f aca="false">IF(A3287="","",D3287*E3287)</f>
        <v/>
      </c>
      <c r="J3287" s="28" t="str">
        <f aca="false">IF(A3287="","",D3287*F3287)</f>
        <v/>
      </c>
      <c r="K3287" s="0" t="str">
        <f aca="false">IF(A3287="","",YEAR(A3287))</f>
        <v/>
      </c>
      <c r="L3287" s="0" t="str">
        <f aca="false">IF(A3287="","",MONTH(A3287))</f>
        <v/>
      </c>
    </row>
    <row r="3288" customFormat="false" ht="15" hidden="false" customHeight="false" outlineLevel="0" collapsed="false">
      <c r="A3288" s="27"/>
      <c r="E3288" s="28"/>
      <c r="F3288" s="28"/>
      <c r="I3288" s="28" t="str">
        <f aca="false">IF(A3288="","",D3288*E3288)</f>
        <v/>
      </c>
      <c r="J3288" s="28" t="str">
        <f aca="false">IF(A3288="","",D3288*F3288)</f>
        <v/>
      </c>
      <c r="K3288" s="0" t="str">
        <f aca="false">IF(A3288="","",YEAR(A3288))</f>
        <v/>
      </c>
      <c r="L3288" s="0" t="str">
        <f aca="false">IF(A3288="","",MONTH(A3288))</f>
        <v/>
      </c>
    </row>
    <row r="3289" customFormat="false" ht="15" hidden="false" customHeight="false" outlineLevel="0" collapsed="false">
      <c r="A3289" s="27"/>
      <c r="E3289" s="28"/>
      <c r="F3289" s="28"/>
      <c r="I3289" s="28" t="str">
        <f aca="false">IF(A3289="","",D3289*E3289)</f>
        <v/>
      </c>
      <c r="J3289" s="28" t="str">
        <f aca="false">IF(A3289="","",D3289*F3289)</f>
        <v/>
      </c>
      <c r="K3289" s="0" t="str">
        <f aca="false">IF(A3289="","",YEAR(A3289))</f>
        <v/>
      </c>
      <c r="L3289" s="0" t="str">
        <f aca="false">IF(A3289="","",MONTH(A3289))</f>
        <v/>
      </c>
    </row>
    <row r="3290" customFormat="false" ht="15" hidden="false" customHeight="false" outlineLevel="0" collapsed="false">
      <c r="A3290" s="27"/>
      <c r="E3290" s="28"/>
      <c r="F3290" s="28"/>
      <c r="I3290" s="28" t="str">
        <f aca="false">IF(A3290="","",D3290*E3290)</f>
        <v/>
      </c>
      <c r="J3290" s="28" t="str">
        <f aca="false">IF(A3290="","",D3290*F3290)</f>
        <v/>
      </c>
      <c r="K3290" s="0" t="str">
        <f aca="false">IF(A3290="","",YEAR(A3290))</f>
        <v/>
      </c>
      <c r="L3290" s="0" t="str">
        <f aca="false">IF(A3290="","",MONTH(A3290))</f>
        <v/>
      </c>
    </row>
    <row r="3291" customFormat="false" ht="15" hidden="false" customHeight="false" outlineLevel="0" collapsed="false">
      <c r="A3291" s="27"/>
      <c r="E3291" s="28"/>
      <c r="F3291" s="28"/>
      <c r="I3291" s="28" t="str">
        <f aca="false">IF(A3291="","",D3291*E3291)</f>
        <v/>
      </c>
      <c r="J3291" s="28" t="str">
        <f aca="false">IF(A3291="","",D3291*F3291)</f>
        <v/>
      </c>
      <c r="K3291" s="0" t="str">
        <f aca="false">IF(A3291="","",YEAR(A3291))</f>
        <v/>
      </c>
      <c r="L3291" s="0" t="str">
        <f aca="false">IF(A3291="","",MONTH(A3291))</f>
        <v/>
      </c>
    </row>
    <row r="3292" customFormat="false" ht="15" hidden="false" customHeight="false" outlineLevel="0" collapsed="false">
      <c r="A3292" s="27"/>
      <c r="E3292" s="28"/>
      <c r="F3292" s="28"/>
      <c r="I3292" s="28" t="str">
        <f aca="false">IF(A3292="","",D3292*E3292)</f>
        <v/>
      </c>
      <c r="J3292" s="28" t="str">
        <f aca="false">IF(A3292="","",D3292*F3292)</f>
        <v/>
      </c>
      <c r="K3292" s="0" t="str">
        <f aca="false">IF(A3292="","",YEAR(A3292))</f>
        <v/>
      </c>
      <c r="L3292" s="0" t="str">
        <f aca="false">IF(A3292="","",MONTH(A3292))</f>
        <v/>
      </c>
    </row>
    <row r="3293" customFormat="false" ht="15" hidden="false" customHeight="false" outlineLevel="0" collapsed="false">
      <c r="A3293" s="27"/>
      <c r="E3293" s="28"/>
      <c r="F3293" s="28"/>
      <c r="I3293" s="28" t="str">
        <f aca="false">IF(A3293="","",D3293*E3293)</f>
        <v/>
      </c>
      <c r="J3293" s="28" t="str">
        <f aca="false">IF(A3293="","",D3293*F3293)</f>
        <v/>
      </c>
      <c r="K3293" s="0" t="str">
        <f aca="false">IF(A3293="","",YEAR(A3293))</f>
        <v/>
      </c>
      <c r="L3293" s="0" t="str">
        <f aca="false">IF(A3293="","",MONTH(A3293))</f>
        <v/>
      </c>
    </row>
    <row r="3294" customFormat="false" ht="15" hidden="false" customHeight="false" outlineLevel="0" collapsed="false">
      <c r="A3294" s="27"/>
      <c r="E3294" s="28"/>
      <c r="F3294" s="28"/>
      <c r="I3294" s="28" t="str">
        <f aca="false">IF(A3294="","",D3294*E3294)</f>
        <v/>
      </c>
      <c r="J3294" s="28" t="str">
        <f aca="false">IF(A3294="","",D3294*F3294)</f>
        <v/>
      </c>
      <c r="K3294" s="0" t="str">
        <f aca="false">IF(A3294="","",YEAR(A3294))</f>
        <v/>
      </c>
      <c r="L3294" s="0" t="str">
        <f aca="false">IF(A3294="","",MONTH(A3294))</f>
        <v/>
      </c>
    </row>
    <row r="3295" customFormat="false" ht="15" hidden="false" customHeight="false" outlineLevel="0" collapsed="false">
      <c r="A3295" s="27"/>
      <c r="E3295" s="28"/>
      <c r="F3295" s="28"/>
      <c r="I3295" s="28" t="str">
        <f aca="false">IF(A3295="","",D3295*E3295)</f>
        <v/>
      </c>
      <c r="J3295" s="28" t="str">
        <f aca="false">IF(A3295="","",D3295*F3295)</f>
        <v/>
      </c>
      <c r="K3295" s="0" t="str">
        <f aca="false">IF(A3295="","",YEAR(A3295))</f>
        <v/>
      </c>
      <c r="L3295" s="0" t="str">
        <f aca="false">IF(A3295="","",MONTH(A3295))</f>
        <v/>
      </c>
    </row>
    <row r="3296" customFormat="false" ht="15" hidden="false" customHeight="false" outlineLevel="0" collapsed="false">
      <c r="A3296" s="27"/>
      <c r="E3296" s="28"/>
      <c r="F3296" s="28"/>
      <c r="I3296" s="28" t="str">
        <f aca="false">IF(A3296="","",D3296*E3296)</f>
        <v/>
      </c>
      <c r="J3296" s="28" t="str">
        <f aca="false">IF(A3296="","",D3296*F3296)</f>
        <v/>
      </c>
      <c r="K3296" s="0" t="str">
        <f aca="false">IF(A3296="","",YEAR(A3296))</f>
        <v/>
      </c>
      <c r="L3296" s="0" t="str">
        <f aca="false">IF(A3296="","",MONTH(A3296))</f>
        <v/>
      </c>
    </row>
    <row r="3297" customFormat="false" ht="15" hidden="false" customHeight="false" outlineLevel="0" collapsed="false">
      <c r="A3297" s="27"/>
      <c r="E3297" s="28"/>
      <c r="F3297" s="28"/>
      <c r="I3297" s="28" t="str">
        <f aca="false">IF(A3297="","",D3297*E3297)</f>
        <v/>
      </c>
      <c r="J3297" s="28" t="str">
        <f aca="false">IF(A3297="","",D3297*F3297)</f>
        <v/>
      </c>
      <c r="K3297" s="0" t="str">
        <f aca="false">IF(A3297="","",YEAR(A3297))</f>
        <v/>
      </c>
      <c r="L3297" s="0" t="str">
        <f aca="false">IF(A3297="","",MONTH(A3297))</f>
        <v/>
      </c>
    </row>
    <row r="3298" customFormat="false" ht="15" hidden="false" customHeight="false" outlineLevel="0" collapsed="false">
      <c r="A3298" s="27"/>
      <c r="E3298" s="28"/>
      <c r="F3298" s="28"/>
      <c r="I3298" s="28" t="str">
        <f aca="false">IF(A3298="","",D3298*E3298)</f>
        <v/>
      </c>
      <c r="J3298" s="28" t="str">
        <f aca="false">IF(A3298="","",D3298*F3298)</f>
        <v/>
      </c>
      <c r="K3298" s="0" t="str">
        <f aca="false">IF(A3298="","",YEAR(A3298))</f>
        <v/>
      </c>
      <c r="L3298" s="0" t="str">
        <f aca="false">IF(A3298="","",MONTH(A3298))</f>
        <v/>
      </c>
    </row>
    <row r="3299" customFormat="false" ht="15" hidden="false" customHeight="false" outlineLevel="0" collapsed="false">
      <c r="A3299" s="27"/>
      <c r="E3299" s="28"/>
      <c r="F3299" s="28"/>
      <c r="I3299" s="28" t="str">
        <f aca="false">IF(A3299="","",D3299*E3299)</f>
        <v/>
      </c>
      <c r="J3299" s="28" t="str">
        <f aca="false">IF(A3299="","",D3299*F3299)</f>
        <v/>
      </c>
      <c r="K3299" s="0" t="str">
        <f aca="false">IF(A3299="","",YEAR(A3299))</f>
        <v/>
      </c>
      <c r="L3299" s="0" t="str">
        <f aca="false">IF(A3299="","",MONTH(A3299))</f>
        <v/>
      </c>
    </row>
    <row r="3300" customFormat="false" ht="15" hidden="false" customHeight="false" outlineLevel="0" collapsed="false">
      <c r="A3300" s="27"/>
      <c r="E3300" s="28"/>
      <c r="F3300" s="28"/>
      <c r="I3300" s="28" t="str">
        <f aca="false">IF(A3300="","",D3300*E3300)</f>
        <v/>
      </c>
      <c r="J3300" s="28" t="str">
        <f aca="false">IF(A3300="","",D3300*F3300)</f>
        <v/>
      </c>
      <c r="K3300" s="0" t="str">
        <f aca="false">IF(A3300="","",YEAR(A3300))</f>
        <v/>
      </c>
      <c r="L3300" s="0" t="str">
        <f aca="false">IF(A3300="","",MONTH(A3300))</f>
        <v/>
      </c>
    </row>
    <row r="3301" customFormat="false" ht="15" hidden="false" customHeight="false" outlineLevel="0" collapsed="false">
      <c r="A3301" s="27"/>
      <c r="E3301" s="28"/>
      <c r="F3301" s="28"/>
      <c r="I3301" s="28" t="str">
        <f aca="false">IF(A3301="","",D3301*E3301)</f>
        <v/>
      </c>
      <c r="J3301" s="28" t="str">
        <f aca="false">IF(A3301="","",D3301*F3301)</f>
        <v/>
      </c>
      <c r="K3301" s="0" t="str">
        <f aca="false">IF(A3301="","",YEAR(A3301))</f>
        <v/>
      </c>
      <c r="L3301" s="0" t="str">
        <f aca="false">IF(A3301="","",MONTH(A3301))</f>
        <v/>
      </c>
    </row>
    <row r="3302" customFormat="false" ht="15" hidden="false" customHeight="false" outlineLevel="0" collapsed="false">
      <c r="A3302" s="27"/>
      <c r="E3302" s="28"/>
      <c r="F3302" s="28"/>
      <c r="I3302" s="28" t="str">
        <f aca="false">IF(A3302="","",D3302*E3302)</f>
        <v/>
      </c>
      <c r="J3302" s="28" t="str">
        <f aca="false">IF(A3302="","",D3302*F3302)</f>
        <v/>
      </c>
      <c r="K3302" s="0" t="str">
        <f aca="false">IF(A3302="","",YEAR(A3302))</f>
        <v/>
      </c>
      <c r="L3302" s="0" t="str">
        <f aca="false">IF(A3302="","",MONTH(A3302))</f>
        <v/>
      </c>
    </row>
    <row r="3303" customFormat="false" ht="15" hidden="false" customHeight="false" outlineLevel="0" collapsed="false">
      <c r="A3303" s="27"/>
      <c r="E3303" s="28"/>
      <c r="F3303" s="28"/>
      <c r="I3303" s="28" t="str">
        <f aca="false">IF(A3303="","",D3303*E3303)</f>
        <v/>
      </c>
      <c r="J3303" s="28" t="str">
        <f aca="false">IF(A3303="","",D3303*F3303)</f>
        <v/>
      </c>
      <c r="K3303" s="0" t="str">
        <f aca="false">IF(A3303="","",YEAR(A3303))</f>
        <v/>
      </c>
      <c r="L3303" s="0" t="str">
        <f aca="false">IF(A3303="","",MONTH(A3303))</f>
        <v/>
      </c>
    </row>
    <row r="3304" customFormat="false" ht="15" hidden="false" customHeight="false" outlineLevel="0" collapsed="false">
      <c r="A3304" s="27"/>
      <c r="E3304" s="28"/>
      <c r="F3304" s="28"/>
      <c r="I3304" s="28" t="str">
        <f aca="false">IF(A3304="","",D3304*E3304)</f>
        <v/>
      </c>
      <c r="J3304" s="28" t="str">
        <f aca="false">IF(A3304="","",D3304*F3304)</f>
        <v/>
      </c>
      <c r="K3304" s="0" t="str">
        <f aca="false">IF(A3304="","",YEAR(A3304))</f>
        <v/>
      </c>
      <c r="L3304" s="0" t="str">
        <f aca="false">IF(A3304="","",MONTH(A3304))</f>
        <v/>
      </c>
    </row>
    <row r="3305" customFormat="false" ht="15" hidden="false" customHeight="false" outlineLevel="0" collapsed="false">
      <c r="A3305" s="27"/>
      <c r="E3305" s="28"/>
      <c r="F3305" s="28"/>
      <c r="I3305" s="28" t="str">
        <f aca="false">IF(A3305="","",D3305*E3305)</f>
        <v/>
      </c>
      <c r="J3305" s="28" t="str">
        <f aca="false">IF(A3305="","",D3305*F3305)</f>
        <v/>
      </c>
      <c r="K3305" s="0" t="str">
        <f aca="false">IF(A3305="","",YEAR(A3305))</f>
        <v/>
      </c>
      <c r="L3305" s="0" t="str">
        <f aca="false">IF(A3305="","",MONTH(A3305))</f>
        <v/>
      </c>
    </row>
    <row r="3306" customFormat="false" ht="15" hidden="false" customHeight="false" outlineLevel="0" collapsed="false">
      <c r="A3306" s="27"/>
      <c r="E3306" s="28"/>
      <c r="F3306" s="28"/>
      <c r="I3306" s="28" t="str">
        <f aca="false">IF(A3306="","",D3306*E3306)</f>
        <v/>
      </c>
      <c r="J3306" s="28" t="str">
        <f aca="false">IF(A3306="","",D3306*F3306)</f>
        <v/>
      </c>
      <c r="K3306" s="0" t="str">
        <f aca="false">IF(A3306="","",YEAR(A3306))</f>
        <v/>
      </c>
      <c r="L3306" s="0" t="str">
        <f aca="false">IF(A3306="","",MONTH(A3306))</f>
        <v/>
      </c>
    </row>
    <row r="3307" customFormat="false" ht="15" hidden="false" customHeight="false" outlineLevel="0" collapsed="false">
      <c r="A3307" s="27"/>
      <c r="E3307" s="28"/>
      <c r="F3307" s="28"/>
      <c r="I3307" s="28" t="str">
        <f aca="false">IF(A3307="","",D3307*E3307)</f>
        <v/>
      </c>
      <c r="J3307" s="28" t="str">
        <f aca="false">IF(A3307="","",D3307*F3307)</f>
        <v/>
      </c>
      <c r="K3307" s="0" t="str">
        <f aca="false">IF(A3307="","",YEAR(A3307))</f>
        <v/>
      </c>
      <c r="L3307" s="0" t="str">
        <f aca="false">IF(A3307="","",MONTH(A3307))</f>
        <v/>
      </c>
    </row>
    <row r="3308" customFormat="false" ht="15" hidden="false" customHeight="false" outlineLevel="0" collapsed="false">
      <c r="A3308" s="27"/>
      <c r="E3308" s="28"/>
      <c r="F3308" s="28"/>
      <c r="I3308" s="28" t="str">
        <f aca="false">IF(A3308="","",D3308*E3308)</f>
        <v/>
      </c>
      <c r="J3308" s="28" t="str">
        <f aca="false">IF(A3308="","",D3308*F3308)</f>
        <v/>
      </c>
      <c r="K3308" s="0" t="str">
        <f aca="false">IF(A3308="","",YEAR(A3308))</f>
        <v/>
      </c>
      <c r="L3308" s="0" t="str">
        <f aca="false">IF(A3308="","",MONTH(A3308))</f>
        <v/>
      </c>
    </row>
    <row r="3309" customFormat="false" ht="15" hidden="false" customHeight="false" outlineLevel="0" collapsed="false">
      <c r="A3309" s="27"/>
      <c r="E3309" s="28"/>
      <c r="F3309" s="28"/>
      <c r="I3309" s="28" t="str">
        <f aca="false">IF(A3309="","",D3309*E3309)</f>
        <v/>
      </c>
      <c r="J3309" s="28" t="str">
        <f aca="false">IF(A3309="","",D3309*F3309)</f>
        <v/>
      </c>
      <c r="K3309" s="0" t="str">
        <f aca="false">IF(A3309="","",YEAR(A3309))</f>
        <v/>
      </c>
      <c r="L3309" s="0" t="str">
        <f aca="false">IF(A3309="","",MONTH(A3309))</f>
        <v/>
      </c>
    </row>
    <row r="3310" customFormat="false" ht="15" hidden="false" customHeight="false" outlineLevel="0" collapsed="false">
      <c r="A3310" s="27"/>
      <c r="E3310" s="28"/>
      <c r="F3310" s="28"/>
      <c r="I3310" s="28" t="str">
        <f aca="false">IF(A3310="","",D3310*E3310)</f>
        <v/>
      </c>
      <c r="J3310" s="28" t="str">
        <f aca="false">IF(A3310="","",D3310*F3310)</f>
        <v/>
      </c>
      <c r="K3310" s="0" t="str">
        <f aca="false">IF(A3310="","",YEAR(A3310))</f>
        <v/>
      </c>
      <c r="L3310" s="0" t="str">
        <f aca="false">IF(A3310="","",MONTH(A3310))</f>
        <v/>
      </c>
    </row>
    <row r="3311" customFormat="false" ht="15" hidden="false" customHeight="false" outlineLevel="0" collapsed="false">
      <c r="A3311" s="27"/>
      <c r="E3311" s="28"/>
      <c r="F3311" s="28"/>
      <c r="I3311" s="28" t="str">
        <f aca="false">IF(A3311="","",D3311*E3311)</f>
        <v/>
      </c>
      <c r="J3311" s="28" t="str">
        <f aca="false">IF(A3311="","",D3311*F3311)</f>
        <v/>
      </c>
      <c r="K3311" s="0" t="str">
        <f aca="false">IF(A3311="","",YEAR(A3311))</f>
        <v/>
      </c>
      <c r="L3311" s="0" t="str">
        <f aca="false">IF(A3311="","",MONTH(A3311))</f>
        <v/>
      </c>
    </row>
    <row r="3312" customFormat="false" ht="15" hidden="false" customHeight="false" outlineLevel="0" collapsed="false">
      <c r="A3312" s="27"/>
      <c r="E3312" s="28"/>
      <c r="F3312" s="28"/>
      <c r="I3312" s="28" t="str">
        <f aca="false">IF(A3312="","",D3312*E3312)</f>
        <v/>
      </c>
      <c r="J3312" s="28" t="str">
        <f aca="false">IF(A3312="","",D3312*F3312)</f>
        <v/>
      </c>
      <c r="K3312" s="0" t="str">
        <f aca="false">IF(A3312="","",YEAR(A3312))</f>
        <v/>
      </c>
      <c r="L3312" s="0" t="str">
        <f aca="false">IF(A3312="","",MONTH(A3312))</f>
        <v/>
      </c>
    </row>
    <row r="3313" customFormat="false" ht="15" hidden="false" customHeight="false" outlineLevel="0" collapsed="false">
      <c r="A3313" s="27"/>
      <c r="E3313" s="28"/>
      <c r="F3313" s="28"/>
      <c r="I3313" s="28" t="str">
        <f aca="false">IF(A3313="","",D3313*E3313)</f>
        <v/>
      </c>
      <c r="J3313" s="28" t="str">
        <f aca="false">IF(A3313="","",D3313*F3313)</f>
        <v/>
      </c>
      <c r="K3313" s="0" t="str">
        <f aca="false">IF(A3313="","",YEAR(A3313))</f>
        <v/>
      </c>
      <c r="L3313" s="0" t="str">
        <f aca="false">IF(A3313="","",MONTH(A3313))</f>
        <v/>
      </c>
    </row>
    <row r="3314" customFormat="false" ht="15" hidden="false" customHeight="false" outlineLevel="0" collapsed="false">
      <c r="A3314" s="27"/>
      <c r="E3314" s="28"/>
      <c r="F3314" s="28"/>
      <c r="I3314" s="28" t="str">
        <f aca="false">IF(A3314="","",D3314*E3314)</f>
        <v/>
      </c>
      <c r="J3314" s="28" t="str">
        <f aca="false">IF(A3314="","",D3314*F3314)</f>
        <v/>
      </c>
      <c r="K3314" s="0" t="str">
        <f aca="false">IF(A3314="","",YEAR(A3314))</f>
        <v/>
      </c>
      <c r="L3314" s="0" t="str">
        <f aca="false">IF(A3314="","",MONTH(A3314))</f>
        <v/>
      </c>
    </row>
    <row r="3315" customFormat="false" ht="15" hidden="false" customHeight="false" outlineLevel="0" collapsed="false">
      <c r="A3315" s="27"/>
      <c r="E3315" s="28"/>
      <c r="F3315" s="28"/>
      <c r="I3315" s="28" t="str">
        <f aca="false">IF(A3315="","",D3315*E3315)</f>
        <v/>
      </c>
      <c r="J3315" s="28" t="str">
        <f aca="false">IF(A3315="","",D3315*F3315)</f>
        <v/>
      </c>
      <c r="K3315" s="0" t="str">
        <f aca="false">IF(A3315="","",YEAR(A3315))</f>
        <v/>
      </c>
      <c r="L3315" s="0" t="str">
        <f aca="false">IF(A3315="","",MONTH(A3315))</f>
        <v/>
      </c>
    </row>
    <row r="3316" customFormat="false" ht="15" hidden="false" customHeight="false" outlineLevel="0" collapsed="false">
      <c r="A3316" s="27"/>
      <c r="E3316" s="28"/>
      <c r="F3316" s="28"/>
      <c r="I3316" s="28" t="str">
        <f aca="false">IF(A3316="","",D3316*E3316)</f>
        <v/>
      </c>
      <c r="J3316" s="28" t="str">
        <f aca="false">IF(A3316="","",D3316*F3316)</f>
        <v/>
      </c>
      <c r="K3316" s="0" t="str">
        <f aca="false">IF(A3316="","",YEAR(A3316))</f>
        <v/>
      </c>
      <c r="L3316" s="0" t="str">
        <f aca="false">IF(A3316="","",MONTH(A3316))</f>
        <v/>
      </c>
    </row>
    <row r="3317" customFormat="false" ht="15" hidden="false" customHeight="false" outlineLevel="0" collapsed="false">
      <c r="A3317" s="27"/>
      <c r="E3317" s="28"/>
      <c r="F3317" s="28"/>
      <c r="I3317" s="28" t="str">
        <f aca="false">IF(A3317="","",D3317*E3317)</f>
        <v/>
      </c>
      <c r="J3317" s="28" t="str">
        <f aca="false">IF(A3317="","",D3317*F3317)</f>
        <v/>
      </c>
      <c r="K3317" s="0" t="str">
        <f aca="false">IF(A3317="","",YEAR(A3317))</f>
        <v/>
      </c>
      <c r="L3317" s="0" t="str">
        <f aca="false">IF(A3317="","",MONTH(A3317))</f>
        <v/>
      </c>
    </row>
    <row r="3318" customFormat="false" ht="15" hidden="false" customHeight="false" outlineLevel="0" collapsed="false">
      <c r="A3318" s="27"/>
      <c r="E3318" s="28"/>
      <c r="F3318" s="28"/>
      <c r="I3318" s="28" t="str">
        <f aca="false">IF(A3318="","",D3318*E3318)</f>
        <v/>
      </c>
      <c r="J3318" s="28" t="str">
        <f aca="false">IF(A3318="","",D3318*F3318)</f>
        <v/>
      </c>
      <c r="K3318" s="0" t="str">
        <f aca="false">IF(A3318="","",YEAR(A3318))</f>
        <v/>
      </c>
      <c r="L3318" s="0" t="str">
        <f aca="false">IF(A3318="","",MONTH(A3318))</f>
        <v/>
      </c>
    </row>
    <row r="3319" customFormat="false" ht="15" hidden="false" customHeight="false" outlineLevel="0" collapsed="false">
      <c r="A3319" s="27"/>
      <c r="E3319" s="28"/>
      <c r="F3319" s="28"/>
      <c r="I3319" s="28" t="str">
        <f aca="false">IF(A3319="","",D3319*E3319)</f>
        <v/>
      </c>
      <c r="J3319" s="28" t="str">
        <f aca="false">IF(A3319="","",D3319*F3319)</f>
        <v/>
      </c>
      <c r="K3319" s="0" t="str">
        <f aca="false">IF(A3319="","",YEAR(A3319))</f>
        <v/>
      </c>
      <c r="L3319" s="0" t="str">
        <f aca="false">IF(A3319="","",MONTH(A3319))</f>
        <v/>
      </c>
    </row>
    <row r="3320" customFormat="false" ht="15" hidden="false" customHeight="false" outlineLevel="0" collapsed="false">
      <c r="A3320" s="27"/>
      <c r="E3320" s="28"/>
      <c r="F3320" s="28"/>
      <c r="I3320" s="28" t="str">
        <f aca="false">IF(A3320="","",D3320*E3320)</f>
        <v/>
      </c>
      <c r="J3320" s="28" t="str">
        <f aca="false">IF(A3320="","",D3320*F3320)</f>
        <v/>
      </c>
      <c r="K3320" s="0" t="str">
        <f aca="false">IF(A3320="","",YEAR(A3320))</f>
        <v/>
      </c>
      <c r="L3320" s="0" t="str">
        <f aca="false">IF(A3320="","",MONTH(A3320))</f>
        <v/>
      </c>
    </row>
    <row r="3321" customFormat="false" ht="15" hidden="false" customHeight="false" outlineLevel="0" collapsed="false">
      <c r="A3321" s="27"/>
      <c r="E3321" s="28"/>
      <c r="F3321" s="28"/>
      <c r="I3321" s="28" t="str">
        <f aca="false">IF(A3321="","",D3321*E3321)</f>
        <v/>
      </c>
      <c r="J3321" s="28" t="str">
        <f aca="false">IF(A3321="","",D3321*F3321)</f>
        <v/>
      </c>
      <c r="K3321" s="0" t="str">
        <f aca="false">IF(A3321="","",YEAR(A3321))</f>
        <v/>
      </c>
      <c r="L3321" s="0" t="str">
        <f aca="false">IF(A3321="","",MONTH(A3321))</f>
        <v/>
      </c>
    </row>
    <row r="3322" customFormat="false" ht="15" hidden="false" customHeight="false" outlineLevel="0" collapsed="false">
      <c r="A3322" s="27"/>
      <c r="E3322" s="28"/>
      <c r="F3322" s="28"/>
      <c r="I3322" s="28" t="str">
        <f aca="false">IF(A3322="","",D3322*E3322)</f>
        <v/>
      </c>
      <c r="J3322" s="28" t="str">
        <f aca="false">IF(A3322="","",D3322*F3322)</f>
        <v/>
      </c>
      <c r="K3322" s="0" t="str">
        <f aca="false">IF(A3322="","",YEAR(A3322))</f>
        <v/>
      </c>
      <c r="L3322" s="0" t="str">
        <f aca="false">IF(A3322="","",MONTH(A3322))</f>
        <v/>
      </c>
    </row>
    <row r="3323" customFormat="false" ht="15" hidden="false" customHeight="false" outlineLevel="0" collapsed="false">
      <c r="A3323" s="27"/>
      <c r="E3323" s="28"/>
      <c r="F3323" s="28"/>
      <c r="I3323" s="28" t="str">
        <f aca="false">IF(A3323="","",D3323*E3323)</f>
        <v/>
      </c>
      <c r="J3323" s="28" t="str">
        <f aca="false">IF(A3323="","",D3323*F3323)</f>
        <v/>
      </c>
      <c r="K3323" s="0" t="str">
        <f aca="false">IF(A3323="","",YEAR(A3323))</f>
        <v/>
      </c>
      <c r="L3323" s="0" t="str">
        <f aca="false">IF(A3323="","",MONTH(A3323))</f>
        <v/>
      </c>
    </row>
    <row r="3324" customFormat="false" ht="15" hidden="false" customHeight="false" outlineLevel="0" collapsed="false">
      <c r="A3324" s="27"/>
      <c r="E3324" s="28"/>
      <c r="F3324" s="28"/>
      <c r="I3324" s="28" t="str">
        <f aca="false">IF(A3324="","",D3324*E3324)</f>
        <v/>
      </c>
      <c r="J3324" s="28" t="str">
        <f aca="false">IF(A3324="","",D3324*F3324)</f>
        <v/>
      </c>
      <c r="K3324" s="0" t="str">
        <f aca="false">IF(A3324="","",YEAR(A3324))</f>
        <v/>
      </c>
      <c r="L3324" s="0" t="str">
        <f aca="false">IF(A3324="","",MONTH(A3324))</f>
        <v/>
      </c>
    </row>
    <row r="3325" customFormat="false" ht="15" hidden="false" customHeight="false" outlineLevel="0" collapsed="false">
      <c r="A3325" s="27"/>
      <c r="E3325" s="28"/>
      <c r="F3325" s="28"/>
      <c r="I3325" s="28" t="str">
        <f aca="false">IF(A3325="","",D3325*E3325)</f>
        <v/>
      </c>
      <c r="J3325" s="28" t="str">
        <f aca="false">IF(A3325="","",D3325*F3325)</f>
        <v/>
      </c>
      <c r="K3325" s="0" t="str">
        <f aca="false">IF(A3325="","",YEAR(A3325))</f>
        <v/>
      </c>
      <c r="L3325" s="0" t="str">
        <f aca="false">IF(A3325="","",MONTH(A3325))</f>
        <v/>
      </c>
    </row>
    <row r="3326" customFormat="false" ht="15" hidden="false" customHeight="false" outlineLevel="0" collapsed="false">
      <c r="A3326" s="27"/>
      <c r="E3326" s="28"/>
      <c r="F3326" s="28"/>
      <c r="I3326" s="28" t="str">
        <f aca="false">IF(A3326="","",D3326*E3326)</f>
        <v/>
      </c>
      <c r="J3326" s="28" t="str">
        <f aca="false">IF(A3326="","",D3326*F3326)</f>
        <v/>
      </c>
      <c r="K3326" s="0" t="str">
        <f aca="false">IF(A3326="","",YEAR(A3326))</f>
        <v/>
      </c>
      <c r="L3326" s="0" t="str">
        <f aca="false">IF(A3326="","",MONTH(A3326))</f>
        <v/>
      </c>
    </row>
    <row r="3327" customFormat="false" ht="15" hidden="false" customHeight="false" outlineLevel="0" collapsed="false">
      <c r="A3327" s="27"/>
      <c r="E3327" s="28"/>
      <c r="F3327" s="28"/>
      <c r="I3327" s="28" t="str">
        <f aca="false">IF(A3327="","",D3327*E3327)</f>
        <v/>
      </c>
      <c r="J3327" s="28" t="str">
        <f aca="false">IF(A3327="","",D3327*F3327)</f>
        <v/>
      </c>
      <c r="K3327" s="0" t="str">
        <f aca="false">IF(A3327="","",YEAR(A3327))</f>
        <v/>
      </c>
      <c r="L3327" s="0" t="str">
        <f aca="false">IF(A3327="","",MONTH(A3327))</f>
        <v/>
      </c>
    </row>
    <row r="3328" customFormat="false" ht="15" hidden="false" customHeight="false" outlineLevel="0" collapsed="false">
      <c r="A3328" s="27"/>
      <c r="E3328" s="28"/>
      <c r="F3328" s="28"/>
      <c r="I3328" s="28" t="str">
        <f aca="false">IF(A3328="","",D3328*E3328)</f>
        <v/>
      </c>
      <c r="J3328" s="28" t="str">
        <f aca="false">IF(A3328="","",D3328*F3328)</f>
        <v/>
      </c>
      <c r="K3328" s="0" t="str">
        <f aca="false">IF(A3328="","",YEAR(A3328))</f>
        <v/>
      </c>
      <c r="L3328" s="0" t="str">
        <f aca="false">IF(A3328="","",MONTH(A3328))</f>
        <v/>
      </c>
    </row>
    <row r="3329" customFormat="false" ht="15" hidden="false" customHeight="false" outlineLevel="0" collapsed="false">
      <c r="A3329" s="27"/>
      <c r="E3329" s="28"/>
      <c r="F3329" s="28"/>
      <c r="I3329" s="28" t="str">
        <f aca="false">IF(A3329="","",D3329*E3329)</f>
        <v/>
      </c>
      <c r="J3329" s="28" t="str">
        <f aca="false">IF(A3329="","",D3329*F3329)</f>
        <v/>
      </c>
      <c r="K3329" s="0" t="str">
        <f aca="false">IF(A3329="","",YEAR(A3329))</f>
        <v/>
      </c>
      <c r="L3329" s="0" t="str">
        <f aca="false">IF(A3329="","",MONTH(A3329))</f>
        <v/>
      </c>
    </row>
    <row r="3330" customFormat="false" ht="15" hidden="false" customHeight="false" outlineLevel="0" collapsed="false">
      <c r="A3330" s="27"/>
      <c r="E3330" s="28"/>
      <c r="F3330" s="28"/>
      <c r="I3330" s="28" t="str">
        <f aca="false">IF(A3330="","",D3330*E3330)</f>
        <v/>
      </c>
      <c r="J3330" s="28" t="str">
        <f aca="false">IF(A3330="","",D3330*F3330)</f>
        <v/>
      </c>
      <c r="K3330" s="0" t="str">
        <f aca="false">IF(A3330="","",YEAR(A3330))</f>
        <v/>
      </c>
      <c r="L3330" s="0" t="str">
        <f aca="false">IF(A3330="","",MONTH(A3330))</f>
        <v/>
      </c>
    </row>
    <row r="3331" customFormat="false" ht="15" hidden="false" customHeight="false" outlineLevel="0" collapsed="false">
      <c r="A3331" s="27"/>
      <c r="E3331" s="28"/>
      <c r="F3331" s="28"/>
      <c r="I3331" s="28" t="str">
        <f aca="false">IF(A3331="","",D3331*E3331)</f>
        <v/>
      </c>
      <c r="J3331" s="28" t="str">
        <f aca="false">IF(A3331="","",D3331*F3331)</f>
        <v/>
      </c>
      <c r="K3331" s="0" t="str">
        <f aca="false">IF(A3331="","",YEAR(A3331))</f>
        <v/>
      </c>
      <c r="L3331" s="0" t="str">
        <f aca="false">IF(A3331="","",MONTH(A3331))</f>
        <v/>
      </c>
    </row>
    <row r="3332" customFormat="false" ht="15" hidden="false" customHeight="false" outlineLevel="0" collapsed="false">
      <c r="A3332" s="27"/>
      <c r="E3332" s="28"/>
      <c r="F3332" s="28"/>
      <c r="I3332" s="28" t="str">
        <f aca="false">IF(A3332="","",D3332*E3332)</f>
        <v/>
      </c>
      <c r="J3332" s="28" t="str">
        <f aca="false">IF(A3332="","",D3332*F3332)</f>
        <v/>
      </c>
      <c r="K3332" s="0" t="str">
        <f aca="false">IF(A3332="","",YEAR(A3332))</f>
        <v/>
      </c>
      <c r="L3332" s="0" t="str">
        <f aca="false">IF(A3332="","",MONTH(A3332))</f>
        <v/>
      </c>
    </row>
    <row r="3333" customFormat="false" ht="15" hidden="false" customHeight="false" outlineLevel="0" collapsed="false">
      <c r="A3333" s="27"/>
      <c r="E3333" s="28"/>
      <c r="F3333" s="28"/>
      <c r="I3333" s="28" t="str">
        <f aca="false">IF(A3333="","",D3333*E3333)</f>
        <v/>
      </c>
      <c r="J3333" s="28" t="str">
        <f aca="false">IF(A3333="","",D3333*F3333)</f>
        <v/>
      </c>
      <c r="K3333" s="0" t="str">
        <f aca="false">IF(A3333="","",YEAR(A3333))</f>
        <v/>
      </c>
      <c r="L3333" s="0" t="str">
        <f aca="false">IF(A3333="","",MONTH(A3333))</f>
        <v/>
      </c>
    </row>
    <row r="3334" customFormat="false" ht="15" hidden="false" customHeight="false" outlineLevel="0" collapsed="false">
      <c r="A3334" s="27"/>
      <c r="E3334" s="28"/>
      <c r="F3334" s="28"/>
      <c r="I3334" s="28" t="str">
        <f aca="false">IF(A3334="","",D3334*E3334)</f>
        <v/>
      </c>
      <c r="J3334" s="28" t="str">
        <f aca="false">IF(A3334="","",D3334*F3334)</f>
        <v/>
      </c>
      <c r="K3334" s="0" t="str">
        <f aca="false">IF(A3334="","",YEAR(A3334))</f>
        <v/>
      </c>
      <c r="L3334" s="0" t="str">
        <f aca="false">IF(A3334="","",MONTH(A3334))</f>
        <v/>
      </c>
    </row>
    <row r="3335" customFormat="false" ht="15" hidden="false" customHeight="false" outlineLevel="0" collapsed="false">
      <c r="A3335" s="27"/>
      <c r="E3335" s="28"/>
      <c r="F3335" s="28"/>
      <c r="I3335" s="28" t="str">
        <f aca="false">IF(A3335="","",D3335*E3335)</f>
        <v/>
      </c>
      <c r="J3335" s="28" t="str">
        <f aca="false">IF(A3335="","",D3335*F3335)</f>
        <v/>
      </c>
      <c r="K3335" s="0" t="str">
        <f aca="false">IF(A3335="","",YEAR(A3335))</f>
        <v/>
      </c>
      <c r="L3335" s="0" t="str">
        <f aca="false">IF(A3335="","",MONTH(A3335))</f>
        <v/>
      </c>
    </row>
    <row r="3336" customFormat="false" ht="15" hidden="false" customHeight="false" outlineLevel="0" collapsed="false">
      <c r="A3336" s="27"/>
      <c r="E3336" s="28"/>
      <c r="F3336" s="28"/>
      <c r="I3336" s="28" t="str">
        <f aca="false">IF(A3336="","",D3336*E3336)</f>
        <v/>
      </c>
      <c r="J3336" s="28" t="str">
        <f aca="false">IF(A3336="","",D3336*F3336)</f>
        <v/>
      </c>
      <c r="K3336" s="0" t="str">
        <f aca="false">IF(A3336="","",YEAR(A3336))</f>
        <v/>
      </c>
      <c r="L3336" s="0" t="str">
        <f aca="false">IF(A3336="","",MONTH(A3336))</f>
        <v/>
      </c>
    </row>
    <row r="3337" customFormat="false" ht="15" hidden="false" customHeight="false" outlineLevel="0" collapsed="false">
      <c r="A3337" s="27"/>
      <c r="E3337" s="28"/>
      <c r="F3337" s="28"/>
      <c r="I3337" s="28" t="str">
        <f aca="false">IF(A3337="","",D3337*E3337)</f>
        <v/>
      </c>
      <c r="J3337" s="28" t="str">
        <f aca="false">IF(A3337="","",D3337*F3337)</f>
        <v/>
      </c>
      <c r="K3337" s="0" t="str">
        <f aca="false">IF(A3337="","",YEAR(A3337))</f>
        <v/>
      </c>
      <c r="L3337" s="0" t="str">
        <f aca="false">IF(A3337="","",MONTH(A3337))</f>
        <v/>
      </c>
    </row>
    <row r="3338" customFormat="false" ht="15" hidden="false" customHeight="false" outlineLevel="0" collapsed="false">
      <c r="A3338" s="27"/>
      <c r="E3338" s="28"/>
      <c r="F3338" s="28"/>
      <c r="I3338" s="28" t="str">
        <f aca="false">IF(A3338="","",D3338*E3338)</f>
        <v/>
      </c>
      <c r="J3338" s="28" t="str">
        <f aca="false">IF(A3338="","",D3338*F3338)</f>
        <v/>
      </c>
      <c r="K3338" s="0" t="str">
        <f aca="false">IF(A3338="","",YEAR(A3338))</f>
        <v/>
      </c>
      <c r="L3338" s="0" t="str">
        <f aca="false">IF(A3338="","",MONTH(A3338))</f>
        <v/>
      </c>
    </row>
    <row r="3339" customFormat="false" ht="15" hidden="false" customHeight="false" outlineLevel="0" collapsed="false">
      <c r="A3339" s="27"/>
      <c r="E3339" s="28"/>
      <c r="F3339" s="28"/>
      <c r="I3339" s="28" t="str">
        <f aca="false">IF(A3339="","",D3339*E3339)</f>
        <v/>
      </c>
      <c r="J3339" s="28" t="str">
        <f aca="false">IF(A3339="","",D3339*F3339)</f>
        <v/>
      </c>
      <c r="K3339" s="0" t="str">
        <f aca="false">IF(A3339="","",YEAR(A3339))</f>
        <v/>
      </c>
      <c r="L3339" s="0" t="str">
        <f aca="false">IF(A3339="","",MONTH(A3339))</f>
        <v/>
      </c>
    </row>
    <row r="3340" customFormat="false" ht="15" hidden="false" customHeight="false" outlineLevel="0" collapsed="false">
      <c r="A3340" s="27"/>
      <c r="E3340" s="28"/>
      <c r="F3340" s="28"/>
      <c r="I3340" s="28" t="str">
        <f aca="false">IF(A3340="","",D3340*E3340)</f>
        <v/>
      </c>
      <c r="J3340" s="28" t="str">
        <f aca="false">IF(A3340="","",D3340*F3340)</f>
        <v/>
      </c>
      <c r="K3340" s="0" t="str">
        <f aca="false">IF(A3340="","",YEAR(A3340))</f>
        <v/>
      </c>
      <c r="L3340" s="0" t="str">
        <f aca="false">IF(A3340="","",MONTH(A3340))</f>
        <v/>
      </c>
    </row>
    <row r="3341" customFormat="false" ht="15" hidden="false" customHeight="false" outlineLevel="0" collapsed="false">
      <c r="A3341" s="27"/>
      <c r="E3341" s="28"/>
      <c r="F3341" s="28"/>
      <c r="I3341" s="28" t="str">
        <f aca="false">IF(A3341="","",D3341*E3341)</f>
        <v/>
      </c>
      <c r="J3341" s="28" t="str">
        <f aca="false">IF(A3341="","",D3341*F3341)</f>
        <v/>
      </c>
      <c r="K3341" s="0" t="str">
        <f aca="false">IF(A3341="","",YEAR(A3341))</f>
        <v/>
      </c>
      <c r="L3341" s="0" t="str">
        <f aca="false">IF(A3341="","",MONTH(A3341))</f>
        <v/>
      </c>
    </row>
    <row r="3342" customFormat="false" ht="15" hidden="false" customHeight="false" outlineLevel="0" collapsed="false">
      <c r="A3342" s="27"/>
      <c r="E3342" s="28"/>
      <c r="F3342" s="28"/>
      <c r="I3342" s="28" t="str">
        <f aca="false">IF(A3342="","",D3342*E3342)</f>
        <v/>
      </c>
      <c r="J3342" s="28" t="str">
        <f aca="false">IF(A3342="","",D3342*F3342)</f>
        <v/>
      </c>
      <c r="K3342" s="0" t="str">
        <f aca="false">IF(A3342="","",YEAR(A3342))</f>
        <v/>
      </c>
      <c r="L3342" s="0" t="str">
        <f aca="false">IF(A3342="","",MONTH(A3342))</f>
        <v/>
      </c>
    </row>
    <row r="3343" customFormat="false" ht="15" hidden="false" customHeight="false" outlineLevel="0" collapsed="false">
      <c r="A3343" s="27"/>
      <c r="E3343" s="28"/>
      <c r="F3343" s="28"/>
      <c r="I3343" s="28" t="str">
        <f aca="false">IF(A3343="","",D3343*E3343)</f>
        <v/>
      </c>
      <c r="J3343" s="28" t="str">
        <f aca="false">IF(A3343="","",D3343*F3343)</f>
        <v/>
      </c>
      <c r="K3343" s="0" t="str">
        <f aca="false">IF(A3343="","",YEAR(A3343))</f>
        <v/>
      </c>
      <c r="L3343" s="0" t="str">
        <f aca="false">IF(A3343="","",MONTH(A3343))</f>
        <v/>
      </c>
    </row>
    <row r="3344" customFormat="false" ht="15" hidden="false" customHeight="false" outlineLevel="0" collapsed="false">
      <c r="A3344" s="27"/>
      <c r="E3344" s="28"/>
      <c r="F3344" s="28"/>
      <c r="I3344" s="28" t="str">
        <f aca="false">IF(A3344="","",D3344*E3344)</f>
        <v/>
      </c>
      <c r="J3344" s="28" t="str">
        <f aca="false">IF(A3344="","",D3344*F3344)</f>
        <v/>
      </c>
      <c r="K3344" s="0" t="str">
        <f aca="false">IF(A3344="","",YEAR(A3344))</f>
        <v/>
      </c>
      <c r="L3344" s="0" t="str">
        <f aca="false">IF(A3344="","",MONTH(A3344))</f>
        <v/>
      </c>
    </row>
    <row r="3345" customFormat="false" ht="15" hidden="false" customHeight="false" outlineLevel="0" collapsed="false">
      <c r="A3345" s="27"/>
      <c r="E3345" s="28"/>
      <c r="F3345" s="28"/>
      <c r="I3345" s="28" t="str">
        <f aca="false">IF(A3345="","",D3345*E3345)</f>
        <v/>
      </c>
      <c r="J3345" s="28" t="str">
        <f aca="false">IF(A3345="","",D3345*F3345)</f>
        <v/>
      </c>
      <c r="K3345" s="0" t="str">
        <f aca="false">IF(A3345="","",YEAR(A3345))</f>
        <v/>
      </c>
      <c r="L3345" s="0" t="str">
        <f aca="false">IF(A3345="","",MONTH(A3345))</f>
        <v/>
      </c>
    </row>
    <row r="3346" customFormat="false" ht="15" hidden="false" customHeight="false" outlineLevel="0" collapsed="false">
      <c r="A3346" s="27"/>
      <c r="E3346" s="28"/>
      <c r="F3346" s="28"/>
      <c r="I3346" s="28" t="str">
        <f aca="false">IF(A3346="","",D3346*E3346)</f>
        <v/>
      </c>
      <c r="J3346" s="28" t="str">
        <f aca="false">IF(A3346="","",D3346*F3346)</f>
        <v/>
      </c>
      <c r="K3346" s="0" t="str">
        <f aca="false">IF(A3346="","",YEAR(A3346))</f>
        <v/>
      </c>
      <c r="L3346" s="0" t="str">
        <f aca="false">IF(A3346="","",MONTH(A3346))</f>
        <v/>
      </c>
    </row>
    <row r="3347" customFormat="false" ht="15" hidden="false" customHeight="false" outlineLevel="0" collapsed="false">
      <c r="A3347" s="27"/>
      <c r="E3347" s="28"/>
      <c r="F3347" s="28"/>
      <c r="I3347" s="28" t="str">
        <f aca="false">IF(A3347="","",D3347*E3347)</f>
        <v/>
      </c>
      <c r="J3347" s="28" t="str">
        <f aca="false">IF(A3347="","",D3347*F3347)</f>
        <v/>
      </c>
      <c r="K3347" s="0" t="str">
        <f aca="false">IF(A3347="","",YEAR(A3347))</f>
        <v/>
      </c>
      <c r="L3347" s="0" t="str">
        <f aca="false">IF(A3347="","",MONTH(A3347))</f>
        <v/>
      </c>
    </row>
    <row r="3348" customFormat="false" ht="15" hidden="false" customHeight="false" outlineLevel="0" collapsed="false">
      <c r="A3348" s="27"/>
      <c r="E3348" s="28"/>
      <c r="F3348" s="28"/>
      <c r="I3348" s="28" t="str">
        <f aca="false">IF(A3348="","",D3348*E3348)</f>
        <v/>
      </c>
      <c r="J3348" s="28" t="str">
        <f aca="false">IF(A3348="","",D3348*F3348)</f>
        <v/>
      </c>
      <c r="K3348" s="0" t="str">
        <f aca="false">IF(A3348="","",YEAR(A3348))</f>
        <v/>
      </c>
      <c r="L3348" s="0" t="str">
        <f aca="false">IF(A3348="","",MONTH(A3348))</f>
        <v/>
      </c>
    </row>
    <row r="3349" customFormat="false" ht="15" hidden="false" customHeight="false" outlineLevel="0" collapsed="false">
      <c r="A3349" s="27"/>
      <c r="E3349" s="28"/>
      <c r="F3349" s="28"/>
      <c r="I3349" s="28" t="str">
        <f aca="false">IF(A3349="","",D3349*E3349)</f>
        <v/>
      </c>
      <c r="J3349" s="28" t="str">
        <f aca="false">IF(A3349="","",D3349*F3349)</f>
        <v/>
      </c>
      <c r="K3349" s="0" t="str">
        <f aca="false">IF(A3349="","",YEAR(A3349))</f>
        <v/>
      </c>
      <c r="L3349" s="0" t="str">
        <f aca="false">IF(A3349="","",MONTH(A3349))</f>
        <v/>
      </c>
    </row>
    <row r="3350" customFormat="false" ht="15" hidden="false" customHeight="false" outlineLevel="0" collapsed="false">
      <c r="A3350" s="27"/>
      <c r="E3350" s="28"/>
      <c r="F3350" s="28"/>
      <c r="I3350" s="28" t="str">
        <f aca="false">IF(A3350="","",D3350*E3350)</f>
        <v/>
      </c>
      <c r="J3350" s="28" t="str">
        <f aca="false">IF(A3350="","",D3350*F3350)</f>
        <v/>
      </c>
      <c r="K3350" s="0" t="str">
        <f aca="false">IF(A3350="","",YEAR(A3350))</f>
        <v/>
      </c>
      <c r="L3350" s="0" t="str">
        <f aca="false">IF(A3350="","",MONTH(A3350))</f>
        <v/>
      </c>
    </row>
    <row r="3351" customFormat="false" ht="15" hidden="false" customHeight="false" outlineLevel="0" collapsed="false">
      <c r="A3351" s="27"/>
      <c r="E3351" s="28"/>
      <c r="F3351" s="28"/>
      <c r="I3351" s="28" t="str">
        <f aca="false">IF(A3351="","",D3351*E3351)</f>
        <v/>
      </c>
      <c r="J3351" s="28" t="str">
        <f aca="false">IF(A3351="","",D3351*F3351)</f>
        <v/>
      </c>
      <c r="K3351" s="0" t="str">
        <f aca="false">IF(A3351="","",YEAR(A3351))</f>
        <v/>
      </c>
      <c r="L3351" s="0" t="str">
        <f aca="false">IF(A3351="","",MONTH(A3351))</f>
        <v/>
      </c>
    </row>
    <row r="3352" customFormat="false" ht="15" hidden="false" customHeight="false" outlineLevel="0" collapsed="false">
      <c r="A3352" s="27"/>
      <c r="E3352" s="28"/>
      <c r="F3352" s="28"/>
      <c r="I3352" s="28" t="str">
        <f aca="false">IF(A3352="","",D3352*E3352)</f>
        <v/>
      </c>
      <c r="J3352" s="28" t="str">
        <f aca="false">IF(A3352="","",D3352*F3352)</f>
        <v/>
      </c>
      <c r="K3352" s="0" t="str">
        <f aca="false">IF(A3352="","",YEAR(A3352))</f>
        <v/>
      </c>
      <c r="L3352" s="0" t="str">
        <f aca="false">IF(A3352="","",MONTH(A3352))</f>
        <v/>
      </c>
    </row>
    <row r="3353" customFormat="false" ht="15" hidden="false" customHeight="false" outlineLevel="0" collapsed="false">
      <c r="A3353" s="27"/>
      <c r="E3353" s="28"/>
      <c r="F3353" s="28"/>
      <c r="I3353" s="28" t="str">
        <f aca="false">IF(A3353="","",D3353*E3353)</f>
        <v/>
      </c>
      <c r="J3353" s="28" t="str">
        <f aca="false">IF(A3353="","",D3353*F3353)</f>
        <v/>
      </c>
      <c r="K3353" s="0" t="str">
        <f aca="false">IF(A3353="","",YEAR(A3353))</f>
        <v/>
      </c>
      <c r="L3353" s="0" t="str">
        <f aca="false">IF(A3353="","",MONTH(A3353))</f>
        <v/>
      </c>
    </row>
    <row r="3354" customFormat="false" ht="15" hidden="false" customHeight="false" outlineLevel="0" collapsed="false">
      <c r="A3354" s="27"/>
      <c r="E3354" s="28"/>
      <c r="F3354" s="28"/>
      <c r="I3354" s="28" t="str">
        <f aca="false">IF(A3354="","",D3354*E3354)</f>
        <v/>
      </c>
      <c r="J3354" s="28" t="str">
        <f aca="false">IF(A3354="","",D3354*F3354)</f>
        <v/>
      </c>
      <c r="K3354" s="0" t="str">
        <f aca="false">IF(A3354="","",YEAR(A3354))</f>
        <v/>
      </c>
      <c r="L3354" s="0" t="str">
        <f aca="false">IF(A3354="","",MONTH(A3354))</f>
        <v/>
      </c>
    </row>
    <row r="3355" customFormat="false" ht="15" hidden="false" customHeight="false" outlineLevel="0" collapsed="false">
      <c r="A3355" s="27"/>
      <c r="E3355" s="28"/>
      <c r="F3355" s="28"/>
      <c r="I3355" s="28" t="str">
        <f aca="false">IF(A3355="","",D3355*E3355)</f>
        <v/>
      </c>
      <c r="J3355" s="28" t="str">
        <f aca="false">IF(A3355="","",D3355*F3355)</f>
        <v/>
      </c>
      <c r="K3355" s="0" t="str">
        <f aca="false">IF(A3355="","",YEAR(A3355))</f>
        <v/>
      </c>
      <c r="L3355" s="0" t="str">
        <f aca="false">IF(A3355="","",MONTH(A3355))</f>
        <v/>
      </c>
    </row>
    <row r="3356" customFormat="false" ht="15" hidden="false" customHeight="false" outlineLevel="0" collapsed="false">
      <c r="A3356" s="27"/>
      <c r="E3356" s="28"/>
      <c r="F3356" s="28"/>
      <c r="I3356" s="28" t="str">
        <f aca="false">IF(A3356="","",D3356*E3356)</f>
        <v/>
      </c>
      <c r="J3356" s="28" t="str">
        <f aca="false">IF(A3356="","",D3356*F3356)</f>
        <v/>
      </c>
      <c r="K3356" s="0" t="str">
        <f aca="false">IF(A3356="","",YEAR(A3356))</f>
        <v/>
      </c>
      <c r="L3356" s="0" t="str">
        <f aca="false">IF(A3356="","",MONTH(A3356))</f>
        <v/>
      </c>
    </row>
    <row r="3357" customFormat="false" ht="15" hidden="false" customHeight="false" outlineLevel="0" collapsed="false">
      <c r="A3357" s="27"/>
      <c r="E3357" s="28"/>
      <c r="F3357" s="28"/>
      <c r="I3357" s="28" t="str">
        <f aca="false">IF(A3357="","",D3357*E3357)</f>
        <v/>
      </c>
      <c r="J3357" s="28" t="str">
        <f aca="false">IF(A3357="","",D3357*F3357)</f>
        <v/>
      </c>
      <c r="K3357" s="0" t="str">
        <f aca="false">IF(A3357="","",YEAR(A3357))</f>
        <v/>
      </c>
      <c r="L3357" s="0" t="str">
        <f aca="false">IF(A3357="","",MONTH(A3357))</f>
        <v/>
      </c>
    </row>
    <row r="3358" customFormat="false" ht="15" hidden="false" customHeight="false" outlineLevel="0" collapsed="false">
      <c r="A3358" s="27"/>
      <c r="E3358" s="28"/>
      <c r="F3358" s="28"/>
      <c r="I3358" s="28" t="str">
        <f aca="false">IF(A3358="","",D3358*E3358)</f>
        <v/>
      </c>
      <c r="J3358" s="28" t="str">
        <f aca="false">IF(A3358="","",D3358*F3358)</f>
        <v/>
      </c>
      <c r="K3358" s="0" t="str">
        <f aca="false">IF(A3358="","",YEAR(A3358))</f>
        <v/>
      </c>
      <c r="L3358" s="0" t="str">
        <f aca="false">IF(A3358="","",MONTH(A3358))</f>
        <v/>
      </c>
    </row>
    <row r="3359" customFormat="false" ht="15" hidden="false" customHeight="false" outlineLevel="0" collapsed="false">
      <c r="A3359" s="27"/>
      <c r="E3359" s="28"/>
      <c r="F3359" s="28"/>
      <c r="I3359" s="28" t="str">
        <f aca="false">IF(A3359="","",D3359*E3359)</f>
        <v/>
      </c>
      <c r="J3359" s="28" t="str">
        <f aca="false">IF(A3359="","",D3359*F3359)</f>
        <v/>
      </c>
      <c r="K3359" s="0" t="str">
        <f aca="false">IF(A3359="","",YEAR(A3359))</f>
        <v/>
      </c>
      <c r="L3359" s="0" t="str">
        <f aca="false">IF(A3359="","",MONTH(A3359))</f>
        <v/>
      </c>
    </row>
    <row r="3360" customFormat="false" ht="15" hidden="false" customHeight="false" outlineLevel="0" collapsed="false">
      <c r="A3360" s="27"/>
      <c r="E3360" s="28"/>
      <c r="F3360" s="28"/>
      <c r="I3360" s="28" t="str">
        <f aca="false">IF(A3360="","",D3360*E3360)</f>
        <v/>
      </c>
      <c r="J3360" s="28" t="str">
        <f aca="false">IF(A3360="","",D3360*F3360)</f>
        <v/>
      </c>
      <c r="K3360" s="0" t="str">
        <f aca="false">IF(A3360="","",YEAR(A3360))</f>
        <v/>
      </c>
      <c r="L3360" s="0" t="str">
        <f aca="false">IF(A3360="","",MONTH(A3360))</f>
        <v/>
      </c>
    </row>
    <row r="3361" customFormat="false" ht="15" hidden="false" customHeight="false" outlineLevel="0" collapsed="false">
      <c r="A3361" s="27"/>
      <c r="E3361" s="28"/>
      <c r="F3361" s="28"/>
      <c r="I3361" s="28" t="str">
        <f aca="false">IF(A3361="","",D3361*E3361)</f>
        <v/>
      </c>
      <c r="J3361" s="28" t="str">
        <f aca="false">IF(A3361="","",D3361*F3361)</f>
        <v/>
      </c>
      <c r="K3361" s="0" t="str">
        <f aca="false">IF(A3361="","",YEAR(A3361))</f>
        <v/>
      </c>
      <c r="L3361" s="0" t="str">
        <f aca="false">IF(A3361="","",MONTH(A3361))</f>
        <v/>
      </c>
    </row>
    <row r="3362" customFormat="false" ht="15" hidden="false" customHeight="false" outlineLevel="0" collapsed="false">
      <c r="A3362" s="27"/>
      <c r="E3362" s="28"/>
      <c r="F3362" s="28"/>
      <c r="I3362" s="28" t="str">
        <f aca="false">IF(A3362="","",D3362*E3362)</f>
        <v/>
      </c>
      <c r="J3362" s="28" t="str">
        <f aca="false">IF(A3362="","",D3362*F3362)</f>
        <v/>
      </c>
      <c r="K3362" s="0" t="str">
        <f aca="false">IF(A3362="","",YEAR(A3362))</f>
        <v/>
      </c>
      <c r="L3362" s="0" t="str">
        <f aca="false">IF(A3362="","",MONTH(A3362))</f>
        <v/>
      </c>
    </row>
    <row r="3363" customFormat="false" ht="15" hidden="false" customHeight="false" outlineLevel="0" collapsed="false">
      <c r="A3363" s="27"/>
      <c r="E3363" s="28"/>
      <c r="F3363" s="28"/>
      <c r="I3363" s="28" t="str">
        <f aca="false">IF(A3363="","",D3363*E3363)</f>
        <v/>
      </c>
      <c r="J3363" s="28" t="str">
        <f aca="false">IF(A3363="","",D3363*F3363)</f>
        <v/>
      </c>
      <c r="K3363" s="0" t="str">
        <f aca="false">IF(A3363="","",YEAR(A3363))</f>
        <v/>
      </c>
      <c r="L3363" s="0" t="str">
        <f aca="false">IF(A3363="","",MONTH(A3363))</f>
        <v/>
      </c>
    </row>
    <row r="3364" customFormat="false" ht="15" hidden="false" customHeight="false" outlineLevel="0" collapsed="false">
      <c r="A3364" s="27"/>
      <c r="E3364" s="28"/>
      <c r="F3364" s="28"/>
      <c r="I3364" s="28" t="str">
        <f aca="false">IF(A3364="","",D3364*E3364)</f>
        <v/>
      </c>
      <c r="J3364" s="28" t="str">
        <f aca="false">IF(A3364="","",D3364*F3364)</f>
        <v/>
      </c>
      <c r="K3364" s="0" t="str">
        <f aca="false">IF(A3364="","",YEAR(A3364))</f>
        <v/>
      </c>
      <c r="L3364" s="0" t="str">
        <f aca="false">IF(A3364="","",MONTH(A3364))</f>
        <v/>
      </c>
    </row>
    <row r="3365" customFormat="false" ht="15" hidden="false" customHeight="false" outlineLevel="0" collapsed="false">
      <c r="A3365" s="27"/>
      <c r="E3365" s="28"/>
      <c r="F3365" s="28"/>
      <c r="I3365" s="28" t="str">
        <f aca="false">IF(A3365="","",D3365*E3365)</f>
        <v/>
      </c>
      <c r="J3365" s="28" t="str">
        <f aca="false">IF(A3365="","",D3365*F3365)</f>
        <v/>
      </c>
      <c r="K3365" s="0" t="str">
        <f aca="false">IF(A3365="","",YEAR(A3365))</f>
        <v/>
      </c>
      <c r="L3365" s="0" t="str">
        <f aca="false">IF(A3365="","",MONTH(A3365))</f>
        <v/>
      </c>
    </row>
    <row r="3366" customFormat="false" ht="15" hidden="false" customHeight="false" outlineLevel="0" collapsed="false">
      <c r="A3366" s="27"/>
      <c r="E3366" s="28"/>
      <c r="F3366" s="28"/>
      <c r="I3366" s="28" t="str">
        <f aca="false">IF(A3366="","",D3366*E3366)</f>
        <v/>
      </c>
      <c r="J3366" s="28" t="str">
        <f aca="false">IF(A3366="","",D3366*F3366)</f>
        <v/>
      </c>
      <c r="K3366" s="0" t="str">
        <f aca="false">IF(A3366="","",YEAR(A3366))</f>
        <v/>
      </c>
      <c r="L3366" s="0" t="str">
        <f aca="false">IF(A3366="","",MONTH(A3366))</f>
        <v/>
      </c>
    </row>
    <row r="3367" customFormat="false" ht="15" hidden="false" customHeight="false" outlineLevel="0" collapsed="false">
      <c r="A3367" s="27"/>
      <c r="E3367" s="28"/>
      <c r="F3367" s="28"/>
      <c r="I3367" s="28" t="str">
        <f aca="false">IF(A3367="","",D3367*E3367)</f>
        <v/>
      </c>
      <c r="J3367" s="28" t="str">
        <f aca="false">IF(A3367="","",D3367*F3367)</f>
        <v/>
      </c>
      <c r="K3367" s="0" t="str">
        <f aca="false">IF(A3367="","",YEAR(A3367))</f>
        <v/>
      </c>
      <c r="L3367" s="0" t="str">
        <f aca="false">IF(A3367="","",MONTH(A3367))</f>
        <v/>
      </c>
    </row>
    <row r="3368" customFormat="false" ht="15" hidden="false" customHeight="false" outlineLevel="0" collapsed="false">
      <c r="A3368" s="27"/>
      <c r="E3368" s="28"/>
      <c r="F3368" s="28"/>
      <c r="I3368" s="28" t="str">
        <f aca="false">IF(A3368="","",D3368*E3368)</f>
        <v/>
      </c>
      <c r="J3368" s="28" t="str">
        <f aca="false">IF(A3368="","",D3368*F3368)</f>
        <v/>
      </c>
      <c r="K3368" s="0" t="str">
        <f aca="false">IF(A3368="","",YEAR(A3368))</f>
        <v/>
      </c>
      <c r="L3368" s="0" t="str">
        <f aca="false">IF(A3368="","",MONTH(A3368))</f>
        <v/>
      </c>
    </row>
    <row r="3369" customFormat="false" ht="15" hidden="false" customHeight="false" outlineLevel="0" collapsed="false">
      <c r="A3369" s="27"/>
      <c r="E3369" s="28"/>
      <c r="F3369" s="28"/>
      <c r="I3369" s="28" t="str">
        <f aca="false">IF(A3369="","",D3369*E3369)</f>
        <v/>
      </c>
      <c r="J3369" s="28" t="str">
        <f aca="false">IF(A3369="","",D3369*F3369)</f>
        <v/>
      </c>
      <c r="K3369" s="0" t="str">
        <f aca="false">IF(A3369="","",YEAR(A3369))</f>
        <v/>
      </c>
      <c r="L3369" s="0" t="str">
        <f aca="false">IF(A3369="","",MONTH(A3369))</f>
        <v/>
      </c>
    </row>
    <row r="3370" customFormat="false" ht="15" hidden="false" customHeight="false" outlineLevel="0" collapsed="false">
      <c r="A3370" s="27"/>
      <c r="E3370" s="28"/>
      <c r="F3370" s="28"/>
      <c r="I3370" s="28" t="str">
        <f aca="false">IF(A3370="","",D3370*E3370)</f>
        <v/>
      </c>
      <c r="J3370" s="28" t="str">
        <f aca="false">IF(A3370="","",D3370*F3370)</f>
        <v/>
      </c>
      <c r="K3370" s="0" t="str">
        <f aca="false">IF(A3370="","",YEAR(A3370))</f>
        <v/>
      </c>
      <c r="L3370" s="0" t="str">
        <f aca="false">IF(A3370="","",MONTH(A3370))</f>
        <v/>
      </c>
    </row>
    <row r="3371" customFormat="false" ht="15" hidden="false" customHeight="false" outlineLevel="0" collapsed="false">
      <c r="A3371" s="27"/>
      <c r="E3371" s="28"/>
      <c r="F3371" s="28"/>
      <c r="I3371" s="28" t="str">
        <f aca="false">IF(A3371="","",D3371*E3371)</f>
        <v/>
      </c>
      <c r="J3371" s="28" t="str">
        <f aca="false">IF(A3371="","",D3371*F3371)</f>
        <v/>
      </c>
      <c r="K3371" s="0" t="str">
        <f aca="false">IF(A3371="","",YEAR(A3371))</f>
        <v/>
      </c>
      <c r="L3371" s="0" t="str">
        <f aca="false">IF(A3371="","",MONTH(A3371))</f>
        <v/>
      </c>
    </row>
    <row r="3372" customFormat="false" ht="15" hidden="false" customHeight="false" outlineLevel="0" collapsed="false">
      <c r="A3372" s="27"/>
      <c r="E3372" s="28"/>
      <c r="F3372" s="28"/>
      <c r="I3372" s="28" t="str">
        <f aca="false">IF(A3372="","",D3372*E3372)</f>
        <v/>
      </c>
      <c r="J3372" s="28" t="str">
        <f aca="false">IF(A3372="","",D3372*F3372)</f>
        <v/>
      </c>
      <c r="K3372" s="0" t="str">
        <f aca="false">IF(A3372="","",YEAR(A3372))</f>
        <v/>
      </c>
      <c r="L3372" s="0" t="str">
        <f aca="false">IF(A3372="","",MONTH(A3372))</f>
        <v/>
      </c>
    </row>
    <row r="3373" customFormat="false" ht="15" hidden="false" customHeight="false" outlineLevel="0" collapsed="false">
      <c r="A3373" s="27"/>
      <c r="E3373" s="28"/>
      <c r="F3373" s="28"/>
      <c r="I3373" s="28" t="str">
        <f aca="false">IF(A3373="","",D3373*E3373)</f>
        <v/>
      </c>
      <c r="J3373" s="28" t="str">
        <f aca="false">IF(A3373="","",D3373*F3373)</f>
        <v/>
      </c>
      <c r="K3373" s="0" t="str">
        <f aca="false">IF(A3373="","",YEAR(A3373))</f>
        <v/>
      </c>
      <c r="L3373" s="0" t="str">
        <f aca="false">IF(A3373="","",MONTH(A3373))</f>
        <v/>
      </c>
    </row>
    <row r="3374" customFormat="false" ht="15" hidden="false" customHeight="false" outlineLevel="0" collapsed="false">
      <c r="A3374" s="27"/>
      <c r="E3374" s="28"/>
      <c r="F3374" s="28"/>
      <c r="I3374" s="28" t="str">
        <f aca="false">IF(A3374="","",D3374*E3374)</f>
        <v/>
      </c>
      <c r="J3374" s="28" t="str">
        <f aca="false">IF(A3374="","",D3374*F3374)</f>
        <v/>
      </c>
      <c r="K3374" s="0" t="str">
        <f aca="false">IF(A3374="","",YEAR(A3374))</f>
        <v/>
      </c>
      <c r="L3374" s="0" t="str">
        <f aca="false">IF(A3374="","",MONTH(A3374))</f>
        <v/>
      </c>
    </row>
    <row r="3375" customFormat="false" ht="15" hidden="false" customHeight="false" outlineLevel="0" collapsed="false">
      <c r="A3375" s="27"/>
      <c r="E3375" s="28"/>
      <c r="F3375" s="28"/>
      <c r="I3375" s="28" t="str">
        <f aca="false">IF(A3375="","",D3375*E3375)</f>
        <v/>
      </c>
      <c r="J3375" s="28" t="str">
        <f aca="false">IF(A3375="","",D3375*F3375)</f>
        <v/>
      </c>
      <c r="K3375" s="0" t="str">
        <f aca="false">IF(A3375="","",YEAR(A3375))</f>
        <v/>
      </c>
      <c r="L3375" s="0" t="str">
        <f aca="false">IF(A3375="","",MONTH(A3375))</f>
        <v/>
      </c>
    </row>
    <row r="3376" customFormat="false" ht="15" hidden="false" customHeight="false" outlineLevel="0" collapsed="false">
      <c r="A3376" s="27"/>
      <c r="E3376" s="28"/>
      <c r="F3376" s="28"/>
      <c r="I3376" s="28" t="str">
        <f aca="false">IF(A3376="","",D3376*E3376)</f>
        <v/>
      </c>
      <c r="J3376" s="28" t="str">
        <f aca="false">IF(A3376="","",D3376*F3376)</f>
        <v/>
      </c>
      <c r="K3376" s="0" t="str">
        <f aca="false">IF(A3376="","",YEAR(A3376))</f>
        <v/>
      </c>
      <c r="L3376" s="0" t="str">
        <f aca="false">IF(A3376="","",MONTH(A3376))</f>
        <v/>
      </c>
    </row>
    <row r="3377" customFormat="false" ht="15" hidden="false" customHeight="false" outlineLevel="0" collapsed="false">
      <c r="A3377" s="27"/>
      <c r="E3377" s="28"/>
      <c r="F3377" s="28"/>
      <c r="I3377" s="28" t="str">
        <f aca="false">IF(A3377="","",D3377*E3377)</f>
        <v/>
      </c>
      <c r="J3377" s="28" t="str">
        <f aca="false">IF(A3377="","",D3377*F3377)</f>
        <v/>
      </c>
      <c r="K3377" s="0" t="str">
        <f aca="false">IF(A3377="","",YEAR(A3377))</f>
        <v/>
      </c>
      <c r="L3377" s="0" t="str">
        <f aca="false">IF(A3377="","",MONTH(A3377))</f>
        <v/>
      </c>
    </row>
    <row r="3378" customFormat="false" ht="15" hidden="false" customHeight="false" outlineLevel="0" collapsed="false">
      <c r="A3378" s="27"/>
      <c r="E3378" s="28"/>
      <c r="F3378" s="28"/>
      <c r="I3378" s="28" t="str">
        <f aca="false">IF(A3378="","",D3378*E3378)</f>
        <v/>
      </c>
      <c r="J3378" s="28" t="str">
        <f aca="false">IF(A3378="","",D3378*F3378)</f>
        <v/>
      </c>
      <c r="K3378" s="0" t="str">
        <f aca="false">IF(A3378="","",YEAR(A3378))</f>
        <v/>
      </c>
      <c r="L3378" s="0" t="str">
        <f aca="false">IF(A3378="","",MONTH(A3378))</f>
        <v/>
      </c>
    </row>
    <row r="3379" customFormat="false" ht="15" hidden="false" customHeight="false" outlineLevel="0" collapsed="false">
      <c r="A3379" s="27"/>
      <c r="E3379" s="28"/>
      <c r="F3379" s="28"/>
      <c r="I3379" s="28" t="str">
        <f aca="false">IF(A3379="","",D3379*E3379)</f>
        <v/>
      </c>
      <c r="J3379" s="28" t="str">
        <f aca="false">IF(A3379="","",D3379*F3379)</f>
        <v/>
      </c>
      <c r="K3379" s="0" t="str">
        <f aca="false">IF(A3379="","",YEAR(A3379))</f>
        <v/>
      </c>
      <c r="L3379" s="0" t="str">
        <f aca="false">IF(A3379="","",MONTH(A3379))</f>
        <v/>
      </c>
    </row>
    <row r="3380" customFormat="false" ht="15" hidden="false" customHeight="false" outlineLevel="0" collapsed="false">
      <c r="A3380" s="27"/>
      <c r="E3380" s="28"/>
      <c r="F3380" s="28"/>
      <c r="I3380" s="28" t="str">
        <f aca="false">IF(A3380="","",D3380*E3380)</f>
        <v/>
      </c>
      <c r="J3380" s="28" t="str">
        <f aca="false">IF(A3380="","",D3380*F3380)</f>
        <v/>
      </c>
      <c r="K3380" s="0" t="str">
        <f aca="false">IF(A3380="","",YEAR(A3380))</f>
        <v/>
      </c>
      <c r="L3380" s="0" t="str">
        <f aca="false">IF(A3380="","",MONTH(A3380))</f>
        <v/>
      </c>
    </row>
    <row r="3381" customFormat="false" ht="15" hidden="false" customHeight="false" outlineLevel="0" collapsed="false">
      <c r="A3381" s="27"/>
      <c r="E3381" s="28"/>
      <c r="F3381" s="28"/>
      <c r="I3381" s="28" t="str">
        <f aca="false">IF(A3381="","",D3381*E3381)</f>
        <v/>
      </c>
      <c r="J3381" s="28" t="str">
        <f aca="false">IF(A3381="","",D3381*F3381)</f>
        <v/>
      </c>
      <c r="K3381" s="0" t="str">
        <f aca="false">IF(A3381="","",YEAR(A3381))</f>
        <v/>
      </c>
      <c r="L3381" s="0" t="str">
        <f aca="false">IF(A3381="","",MONTH(A3381))</f>
        <v/>
      </c>
    </row>
    <row r="3382" customFormat="false" ht="15" hidden="false" customHeight="false" outlineLevel="0" collapsed="false">
      <c r="A3382" s="27"/>
      <c r="E3382" s="28"/>
      <c r="F3382" s="28"/>
      <c r="I3382" s="28" t="str">
        <f aca="false">IF(A3382="","",D3382*E3382)</f>
        <v/>
      </c>
      <c r="J3382" s="28" t="str">
        <f aca="false">IF(A3382="","",D3382*F3382)</f>
        <v/>
      </c>
      <c r="K3382" s="0" t="str">
        <f aca="false">IF(A3382="","",YEAR(A3382))</f>
        <v/>
      </c>
      <c r="L3382" s="0" t="str">
        <f aca="false">IF(A3382="","",MONTH(A3382))</f>
        <v/>
      </c>
    </row>
    <row r="3383" customFormat="false" ht="15" hidden="false" customHeight="false" outlineLevel="0" collapsed="false">
      <c r="A3383" s="27"/>
      <c r="E3383" s="28"/>
      <c r="F3383" s="28"/>
      <c r="I3383" s="28" t="str">
        <f aca="false">IF(A3383="","",D3383*E3383)</f>
        <v/>
      </c>
      <c r="J3383" s="28" t="str">
        <f aca="false">IF(A3383="","",D3383*F3383)</f>
        <v/>
      </c>
      <c r="K3383" s="0" t="str">
        <f aca="false">IF(A3383="","",YEAR(A3383))</f>
        <v/>
      </c>
      <c r="L3383" s="0" t="str">
        <f aca="false">IF(A3383="","",MONTH(A3383))</f>
        <v/>
      </c>
    </row>
    <row r="3384" customFormat="false" ht="15" hidden="false" customHeight="false" outlineLevel="0" collapsed="false">
      <c r="A3384" s="27"/>
      <c r="E3384" s="28"/>
      <c r="F3384" s="28"/>
      <c r="I3384" s="28" t="str">
        <f aca="false">IF(A3384="","",D3384*E3384)</f>
        <v/>
      </c>
      <c r="J3384" s="28" t="str">
        <f aca="false">IF(A3384="","",D3384*F3384)</f>
        <v/>
      </c>
      <c r="K3384" s="0" t="str">
        <f aca="false">IF(A3384="","",YEAR(A3384))</f>
        <v/>
      </c>
      <c r="L3384" s="0" t="str">
        <f aca="false">IF(A3384="","",MONTH(A3384))</f>
        <v/>
      </c>
    </row>
    <row r="3385" customFormat="false" ht="15" hidden="false" customHeight="false" outlineLevel="0" collapsed="false">
      <c r="A3385" s="27"/>
      <c r="E3385" s="28"/>
      <c r="F3385" s="28"/>
      <c r="I3385" s="28" t="str">
        <f aca="false">IF(A3385="","",D3385*E3385)</f>
        <v/>
      </c>
      <c r="J3385" s="28" t="str">
        <f aca="false">IF(A3385="","",D3385*F3385)</f>
        <v/>
      </c>
      <c r="K3385" s="0" t="str">
        <f aca="false">IF(A3385="","",YEAR(A3385))</f>
        <v/>
      </c>
      <c r="L3385" s="0" t="str">
        <f aca="false">IF(A3385="","",MONTH(A3385))</f>
        <v/>
      </c>
    </row>
    <row r="3386" customFormat="false" ht="15" hidden="false" customHeight="false" outlineLevel="0" collapsed="false">
      <c r="A3386" s="27"/>
      <c r="E3386" s="28"/>
      <c r="F3386" s="28"/>
      <c r="I3386" s="28" t="str">
        <f aca="false">IF(A3386="","",D3386*E3386)</f>
        <v/>
      </c>
      <c r="J3386" s="28" t="str">
        <f aca="false">IF(A3386="","",D3386*F3386)</f>
        <v/>
      </c>
      <c r="K3386" s="0" t="str">
        <f aca="false">IF(A3386="","",YEAR(A3386))</f>
        <v/>
      </c>
      <c r="L3386" s="0" t="str">
        <f aca="false">IF(A3386="","",MONTH(A3386))</f>
        <v/>
      </c>
    </row>
    <row r="3387" customFormat="false" ht="15" hidden="false" customHeight="false" outlineLevel="0" collapsed="false">
      <c r="A3387" s="27"/>
      <c r="E3387" s="28"/>
      <c r="F3387" s="28"/>
      <c r="I3387" s="28" t="str">
        <f aca="false">IF(A3387="","",D3387*E3387)</f>
        <v/>
      </c>
      <c r="J3387" s="28" t="str">
        <f aca="false">IF(A3387="","",D3387*F3387)</f>
        <v/>
      </c>
      <c r="K3387" s="0" t="str">
        <f aca="false">IF(A3387="","",YEAR(A3387))</f>
        <v/>
      </c>
      <c r="L3387" s="0" t="str">
        <f aca="false">IF(A3387="","",MONTH(A3387))</f>
        <v/>
      </c>
    </row>
    <row r="3388" customFormat="false" ht="15" hidden="false" customHeight="false" outlineLevel="0" collapsed="false">
      <c r="A3388" s="27"/>
      <c r="E3388" s="28"/>
      <c r="F3388" s="28"/>
      <c r="I3388" s="28" t="str">
        <f aca="false">IF(A3388="","",D3388*E3388)</f>
        <v/>
      </c>
      <c r="J3388" s="28" t="str">
        <f aca="false">IF(A3388="","",D3388*F3388)</f>
        <v/>
      </c>
      <c r="K3388" s="0" t="str">
        <f aca="false">IF(A3388="","",YEAR(A3388))</f>
        <v/>
      </c>
      <c r="L3388" s="0" t="str">
        <f aca="false">IF(A3388="","",MONTH(A3388))</f>
        <v/>
      </c>
    </row>
    <row r="3389" customFormat="false" ht="15" hidden="false" customHeight="false" outlineLevel="0" collapsed="false">
      <c r="A3389" s="27"/>
      <c r="E3389" s="28"/>
      <c r="F3389" s="28"/>
      <c r="I3389" s="28" t="str">
        <f aca="false">IF(A3389="","",D3389*E3389)</f>
        <v/>
      </c>
      <c r="J3389" s="28" t="str">
        <f aca="false">IF(A3389="","",D3389*F3389)</f>
        <v/>
      </c>
      <c r="K3389" s="0" t="str">
        <f aca="false">IF(A3389="","",YEAR(A3389))</f>
        <v/>
      </c>
      <c r="L3389" s="0" t="str">
        <f aca="false">IF(A3389="","",MONTH(A3389))</f>
        <v/>
      </c>
    </row>
    <row r="3390" customFormat="false" ht="15" hidden="false" customHeight="false" outlineLevel="0" collapsed="false">
      <c r="A3390" s="27"/>
      <c r="E3390" s="28"/>
      <c r="F3390" s="28"/>
      <c r="I3390" s="28" t="str">
        <f aca="false">IF(A3390="","",D3390*E3390)</f>
        <v/>
      </c>
      <c r="J3390" s="28" t="str">
        <f aca="false">IF(A3390="","",D3390*F3390)</f>
        <v/>
      </c>
      <c r="K3390" s="0" t="str">
        <f aca="false">IF(A3390="","",YEAR(A3390))</f>
        <v/>
      </c>
      <c r="L3390" s="0" t="str">
        <f aca="false">IF(A3390="","",MONTH(A3390))</f>
        <v/>
      </c>
    </row>
    <row r="3391" customFormat="false" ht="15" hidden="false" customHeight="false" outlineLevel="0" collapsed="false">
      <c r="A3391" s="27"/>
      <c r="E3391" s="28"/>
      <c r="F3391" s="28"/>
      <c r="I3391" s="28" t="str">
        <f aca="false">IF(A3391="","",D3391*E3391)</f>
        <v/>
      </c>
      <c r="J3391" s="28" t="str">
        <f aca="false">IF(A3391="","",D3391*F3391)</f>
        <v/>
      </c>
      <c r="K3391" s="0" t="str">
        <f aca="false">IF(A3391="","",YEAR(A3391))</f>
        <v/>
      </c>
      <c r="L3391" s="0" t="str">
        <f aca="false">IF(A3391="","",MONTH(A3391))</f>
        <v/>
      </c>
    </row>
    <row r="3392" customFormat="false" ht="15" hidden="false" customHeight="false" outlineLevel="0" collapsed="false">
      <c r="A3392" s="27"/>
      <c r="E3392" s="28"/>
      <c r="F3392" s="28"/>
      <c r="I3392" s="28" t="str">
        <f aca="false">IF(A3392="","",D3392*E3392)</f>
        <v/>
      </c>
      <c r="J3392" s="28" t="str">
        <f aca="false">IF(A3392="","",D3392*F3392)</f>
        <v/>
      </c>
      <c r="K3392" s="0" t="str">
        <f aca="false">IF(A3392="","",YEAR(A3392))</f>
        <v/>
      </c>
      <c r="L3392" s="0" t="str">
        <f aca="false">IF(A3392="","",MONTH(A3392))</f>
        <v/>
      </c>
    </row>
    <row r="3393" customFormat="false" ht="15" hidden="false" customHeight="false" outlineLevel="0" collapsed="false">
      <c r="A3393" s="27"/>
      <c r="E3393" s="28"/>
      <c r="F3393" s="28"/>
      <c r="I3393" s="28" t="str">
        <f aca="false">IF(A3393="","",D3393*E3393)</f>
        <v/>
      </c>
      <c r="J3393" s="28" t="str">
        <f aca="false">IF(A3393="","",D3393*F3393)</f>
        <v/>
      </c>
      <c r="K3393" s="0" t="str">
        <f aca="false">IF(A3393="","",YEAR(A3393))</f>
        <v/>
      </c>
      <c r="L3393" s="0" t="str">
        <f aca="false">IF(A3393="","",MONTH(A3393))</f>
        <v/>
      </c>
    </row>
    <row r="3394" customFormat="false" ht="15" hidden="false" customHeight="false" outlineLevel="0" collapsed="false">
      <c r="A3394" s="27"/>
      <c r="E3394" s="28"/>
      <c r="F3394" s="28"/>
      <c r="I3394" s="28" t="str">
        <f aca="false">IF(A3394="","",D3394*E3394)</f>
        <v/>
      </c>
      <c r="J3394" s="28" t="str">
        <f aca="false">IF(A3394="","",D3394*F3394)</f>
        <v/>
      </c>
      <c r="K3394" s="0" t="str">
        <f aca="false">IF(A3394="","",YEAR(A3394))</f>
        <v/>
      </c>
      <c r="L3394" s="0" t="str">
        <f aca="false">IF(A3394="","",MONTH(A3394))</f>
        <v/>
      </c>
    </row>
    <row r="3395" customFormat="false" ht="15" hidden="false" customHeight="false" outlineLevel="0" collapsed="false">
      <c r="A3395" s="27"/>
      <c r="E3395" s="28"/>
      <c r="F3395" s="28"/>
      <c r="I3395" s="28" t="str">
        <f aca="false">IF(A3395="","",D3395*E3395)</f>
        <v/>
      </c>
      <c r="J3395" s="28" t="str">
        <f aca="false">IF(A3395="","",D3395*F3395)</f>
        <v/>
      </c>
      <c r="K3395" s="0" t="str">
        <f aca="false">IF(A3395="","",YEAR(A3395))</f>
        <v/>
      </c>
      <c r="L3395" s="0" t="str">
        <f aca="false">IF(A3395="","",MONTH(A3395))</f>
        <v/>
      </c>
    </row>
    <row r="3396" customFormat="false" ht="15" hidden="false" customHeight="false" outlineLevel="0" collapsed="false">
      <c r="A3396" s="27"/>
      <c r="E3396" s="28"/>
      <c r="F3396" s="28"/>
      <c r="I3396" s="28" t="str">
        <f aca="false">IF(A3396="","",D3396*E3396)</f>
        <v/>
      </c>
      <c r="J3396" s="28" t="str">
        <f aca="false">IF(A3396="","",D3396*F3396)</f>
        <v/>
      </c>
      <c r="K3396" s="0" t="str">
        <f aca="false">IF(A3396="","",YEAR(A3396))</f>
        <v/>
      </c>
      <c r="L3396" s="0" t="str">
        <f aca="false">IF(A3396="","",MONTH(A3396))</f>
        <v/>
      </c>
    </row>
    <row r="3397" customFormat="false" ht="15" hidden="false" customHeight="false" outlineLevel="0" collapsed="false">
      <c r="A3397" s="27"/>
      <c r="E3397" s="28"/>
      <c r="F3397" s="28"/>
      <c r="I3397" s="28" t="str">
        <f aca="false">IF(A3397="","",D3397*E3397)</f>
        <v/>
      </c>
      <c r="J3397" s="28" t="str">
        <f aca="false">IF(A3397="","",D3397*F3397)</f>
        <v/>
      </c>
      <c r="K3397" s="0" t="str">
        <f aca="false">IF(A3397="","",YEAR(A3397))</f>
        <v/>
      </c>
      <c r="L3397" s="0" t="str">
        <f aca="false">IF(A3397="","",MONTH(A3397))</f>
        <v/>
      </c>
    </row>
    <row r="3398" customFormat="false" ht="15" hidden="false" customHeight="false" outlineLevel="0" collapsed="false">
      <c r="A3398" s="27"/>
      <c r="E3398" s="28"/>
      <c r="F3398" s="28"/>
      <c r="I3398" s="28" t="str">
        <f aca="false">IF(A3398="","",D3398*E3398)</f>
        <v/>
      </c>
      <c r="J3398" s="28" t="str">
        <f aca="false">IF(A3398="","",D3398*F3398)</f>
        <v/>
      </c>
      <c r="K3398" s="0" t="str">
        <f aca="false">IF(A3398="","",YEAR(A3398))</f>
        <v/>
      </c>
      <c r="L3398" s="0" t="str">
        <f aca="false">IF(A3398="","",MONTH(A3398))</f>
        <v/>
      </c>
    </row>
    <row r="3399" customFormat="false" ht="15" hidden="false" customHeight="false" outlineLevel="0" collapsed="false">
      <c r="A3399" s="27"/>
      <c r="E3399" s="28"/>
      <c r="F3399" s="28"/>
      <c r="I3399" s="28" t="str">
        <f aca="false">IF(A3399="","",D3399*E3399)</f>
        <v/>
      </c>
      <c r="J3399" s="28" t="str">
        <f aca="false">IF(A3399="","",D3399*F3399)</f>
        <v/>
      </c>
      <c r="K3399" s="0" t="str">
        <f aca="false">IF(A3399="","",YEAR(A3399))</f>
        <v/>
      </c>
      <c r="L3399" s="0" t="str">
        <f aca="false">IF(A3399="","",MONTH(A3399))</f>
        <v/>
      </c>
    </row>
    <row r="3400" customFormat="false" ht="15" hidden="false" customHeight="false" outlineLevel="0" collapsed="false">
      <c r="A3400" s="27"/>
      <c r="E3400" s="28"/>
      <c r="F3400" s="28"/>
      <c r="I3400" s="28" t="str">
        <f aca="false">IF(A3400="","",D3400*E3400)</f>
        <v/>
      </c>
      <c r="J3400" s="28" t="str">
        <f aca="false">IF(A3400="","",D3400*F3400)</f>
        <v/>
      </c>
      <c r="K3400" s="0" t="str">
        <f aca="false">IF(A3400="","",YEAR(A3400))</f>
        <v/>
      </c>
      <c r="L3400" s="0" t="str">
        <f aca="false">IF(A3400="","",MONTH(A3400))</f>
        <v/>
      </c>
    </row>
    <row r="3401" customFormat="false" ht="15" hidden="false" customHeight="false" outlineLevel="0" collapsed="false">
      <c r="A3401" s="27"/>
      <c r="E3401" s="28"/>
      <c r="F3401" s="28"/>
      <c r="I3401" s="28" t="str">
        <f aca="false">IF(A3401="","",D3401*E3401)</f>
        <v/>
      </c>
      <c r="J3401" s="28" t="str">
        <f aca="false">IF(A3401="","",D3401*F3401)</f>
        <v/>
      </c>
      <c r="K3401" s="0" t="str">
        <f aca="false">IF(A3401="","",YEAR(A3401))</f>
        <v/>
      </c>
      <c r="L3401" s="0" t="str">
        <f aca="false">IF(A3401="","",MONTH(A3401))</f>
        <v/>
      </c>
    </row>
    <row r="3402" customFormat="false" ht="15" hidden="false" customHeight="false" outlineLevel="0" collapsed="false">
      <c r="A3402" s="27"/>
      <c r="E3402" s="28"/>
      <c r="F3402" s="28"/>
      <c r="I3402" s="28" t="str">
        <f aca="false">IF(A3402="","",D3402*E3402)</f>
        <v/>
      </c>
      <c r="J3402" s="28" t="str">
        <f aca="false">IF(A3402="","",D3402*F3402)</f>
        <v/>
      </c>
      <c r="K3402" s="0" t="str">
        <f aca="false">IF(A3402="","",YEAR(A3402))</f>
        <v/>
      </c>
      <c r="L3402" s="0" t="str">
        <f aca="false">IF(A3402="","",MONTH(A3402))</f>
        <v/>
      </c>
    </row>
    <row r="3403" customFormat="false" ht="15" hidden="false" customHeight="false" outlineLevel="0" collapsed="false">
      <c r="A3403" s="27"/>
      <c r="E3403" s="28"/>
      <c r="F3403" s="28"/>
      <c r="I3403" s="28" t="str">
        <f aca="false">IF(A3403="","",D3403*E3403)</f>
        <v/>
      </c>
      <c r="J3403" s="28" t="str">
        <f aca="false">IF(A3403="","",D3403*F3403)</f>
        <v/>
      </c>
      <c r="K3403" s="0" t="str">
        <f aca="false">IF(A3403="","",YEAR(A3403))</f>
        <v/>
      </c>
      <c r="L3403" s="0" t="str">
        <f aca="false">IF(A3403="","",MONTH(A3403))</f>
        <v/>
      </c>
    </row>
    <row r="3404" customFormat="false" ht="15" hidden="false" customHeight="false" outlineLevel="0" collapsed="false">
      <c r="A3404" s="27"/>
      <c r="E3404" s="28"/>
      <c r="F3404" s="28"/>
      <c r="I3404" s="28" t="str">
        <f aca="false">IF(A3404="","",D3404*E3404)</f>
        <v/>
      </c>
      <c r="J3404" s="28" t="str">
        <f aca="false">IF(A3404="","",D3404*F3404)</f>
        <v/>
      </c>
      <c r="K3404" s="0" t="str">
        <f aca="false">IF(A3404="","",YEAR(A3404))</f>
        <v/>
      </c>
      <c r="L3404" s="0" t="str">
        <f aca="false">IF(A3404="","",MONTH(A3404))</f>
        <v/>
      </c>
    </row>
    <row r="3405" customFormat="false" ht="15" hidden="false" customHeight="false" outlineLevel="0" collapsed="false">
      <c r="A3405" s="27"/>
      <c r="E3405" s="28"/>
      <c r="F3405" s="28"/>
      <c r="I3405" s="28" t="str">
        <f aca="false">IF(A3405="","",D3405*E3405)</f>
        <v/>
      </c>
      <c r="J3405" s="28" t="str">
        <f aca="false">IF(A3405="","",D3405*F3405)</f>
        <v/>
      </c>
      <c r="K3405" s="0" t="str">
        <f aca="false">IF(A3405="","",YEAR(A3405))</f>
        <v/>
      </c>
      <c r="L3405" s="0" t="str">
        <f aca="false">IF(A3405="","",MONTH(A3405))</f>
        <v/>
      </c>
    </row>
    <row r="3406" customFormat="false" ht="15" hidden="false" customHeight="false" outlineLevel="0" collapsed="false">
      <c r="A3406" s="27"/>
      <c r="E3406" s="28"/>
      <c r="F3406" s="28"/>
      <c r="I3406" s="28" t="str">
        <f aca="false">IF(A3406="","",D3406*E3406)</f>
        <v/>
      </c>
      <c r="J3406" s="28" t="str">
        <f aca="false">IF(A3406="","",D3406*F3406)</f>
        <v/>
      </c>
      <c r="K3406" s="0" t="str">
        <f aca="false">IF(A3406="","",YEAR(A3406))</f>
        <v/>
      </c>
      <c r="L3406" s="0" t="str">
        <f aca="false">IF(A3406="","",MONTH(A3406))</f>
        <v/>
      </c>
    </row>
    <row r="3407" customFormat="false" ht="15" hidden="false" customHeight="false" outlineLevel="0" collapsed="false">
      <c r="A3407" s="27"/>
      <c r="E3407" s="28"/>
      <c r="F3407" s="28"/>
      <c r="I3407" s="28" t="str">
        <f aca="false">IF(A3407="","",D3407*E3407)</f>
        <v/>
      </c>
      <c r="J3407" s="28" t="str">
        <f aca="false">IF(A3407="","",D3407*F3407)</f>
        <v/>
      </c>
      <c r="K3407" s="0" t="str">
        <f aca="false">IF(A3407="","",YEAR(A3407))</f>
        <v/>
      </c>
      <c r="L3407" s="0" t="str">
        <f aca="false">IF(A3407="","",MONTH(A3407))</f>
        <v/>
      </c>
    </row>
    <row r="3408" customFormat="false" ht="15" hidden="false" customHeight="false" outlineLevel="0" collapsed="false">
      <c r="A3408" s="27"/>
      <c r="E3408" s="28"/>
      <c r="F3408" s="28"/>
      <c r="I3408" s="28" t="str">
        <f aca="false">IF(A3408="","",D3408*E3408)</f>
        <v/>
      </c>
      <c r="J3408" s="28" t="str">
        <f aca="false">IF(A3408="","",D3408*F3408)</f>
        <v/>
      </c>
      <c r="K3408" s="0" t="str">
        <f aca="false">IF(A3408="","",YEAR(A3408))</f>
        <v/>
      </c>
      <c r="L3408" s="0" t="str">
        <f aca="false">IF(A3408="","",MONTH(A3408))</f>
        <v/>
      </c>
    </row>
    <row r="3409" customFormat="false" ht="15" hidden="false" customHeight="false" outlineLevel="0" collapsed="false">
      <c r="A3409" s="27"/>
      <c r="E3409" s="28"/>
      <c r="F3409" s="28"/>
      <c r="I3409" s="28" t="str">
        <f aca="false">IF(A3409="","",D3409*E3409)</f>
        <v/>
      </c>
      <c r="J3409" s="28" t="str">
        <f aca="false">IF(A3409="","",D3409*F3409)</f>
        <v/>
      </c>
      <c r="K3409" s="0" t="str">
        <f aca="false">IF(A3409="","",YEAR(A3409))</f>
        <v/>
      </c>
      <c r="L3409" s="0" t="str">
        <f aca="false">IF(A3409="","",MONTH(A3409))</f>
        <v/>
      </c>
    </row>
    <row r="3410" customFormat="false" ht="15" hidden="false" customHeight="false" outlineLevel="0" collapsed="false">
      <c r="A3410" s="27"/>
      <c r="E3410" s="28"/>
      <c r="F3410" s="28"/>
      <c r="I3410" s="28" t="str">
        <f aca="false">IF(A3410="","",D3410*E3410)</f>
        <v/>
      </c>
      <c r="J3410" s="28" t="str">
        <f aca="false">IF(A3410="","",D3410*F3410)</f>
        <v/>
      </c>
      <c r="K3410" s="0" t="str">
        <f aca="false">IF(A3410="","",YEAR(A3410))</f>
        <v/>
      </c>
      <c r="L3410" s="0" t="str">
        <f aca="false">IF(A3410="","",MONTH(A3410))</f>
        <v/>
      </c>
    </row>
    <row r="3411" customFormat="false" ht="15" hidden="false" customHeight="false" outlineLevel="0" collapsed="false">
      <c r="A3411" s="27"/>
      <c r="E3411" s="28"/>
      <c r="F3411" s="28"/>
      <c r="I3411" s="28" t="str">
        <f aca="false">IF(A3411="","",D3411*E3411)</f>
        <v/>
      </c>
      <c r="J3411" s="28" t="str">
        <f aca="false">IF(A3411="","",D3411*F3411)</f>
        <v/>
      </c>
      <c r="K3411" s="0" t="str">
        <f aca="false">IF(A3411="","",YEAR(A3411))</f>
        <v/>
      </c>
      <c r="L3411" s="0" t="str">
        <f aca="false">IF(A3411="","",MONTH(A3411))</f>
        <v/>
      </c>
    </row>
    <row r="3412" customFormat="false" ht="15" hidden="false" customHeight="false" outlineLevel="0" collapsed="false">
      <c r="A3412" s="27"/>
      <c r="E3412" s="28"/>
      <c r="F3412" s="28"/>
      <c r="I3412" s="28" t="str">
        <f aca="false">IF(A3412="","",D3412*E3412)</f>
        <v/>
      </c>
      <c r="J3412" s="28" t="str">
        <f aca="false">IF(A3412="","",D3412*F3412)</f>
        <v/>
      </c>
      <c r="K3412" s="0" t="str">
        <f aca="false">IF(A3412="","",YEAR(A3412))</f>
        <v/>
      </c>
      <c r="L3412" s="0" t="str">
        <f aca="false">IF(A3412="","",MONTH(A3412))</f>
        <v/>
      </c>
    </row>
    <row r="3413" customFormat="false" ht="15" hidden="false" customHeight="false" outlineLevel="0" collapsed="false">
      <c r="A3413" s="27"/>
      <c r="E3413" s="28"/>
      <c r="F3413" s="28"/>
      <c r="I3413" s="28" t="str">
        <f aca="false">IF(A3413="","",D3413*E3413)</f>
        <v/>
      </c>
      <c r="J3413" s="28" t="str">
        <f aca="false">IF(A3413="","",D3413*F3413)</f>
        <v/>
      </c>
      <c r="K3413" s="0" t="str">
        <f aca="false">IF(A3413="","",YEAR(A3413))</f>
        <v/>
      </c>
      <c r="L3413" s="0" t="str">
        <f aca="false">IF(A3413="","",MONTH(A3413))</f>
        <v/>
      </c>
    </row>
    <row r="3414" customFormat="false" ht="15" hidden="false" customHeight="false" outlineLevel="0" collapsed="false">
      <c r="A3414" s="27"/>
      <c r="E3414" s="28"/>
      <c r="F3414" s="28"/>
      <c r="I3414" s="28" t="str">
        <f aca="false">IF(A3414="","",D3414*E3414)</f>
        <v/>
      </c>
      <c r="J3414" s="28" t="str">
        <f aca="false">IF(A3414="","",D3414*F3414)</f>
        <v/>
      </c>
      <c r="K3414" s="0" t="str">
        <f aca="false">IF(A3414="","",YEAR(A3414))</f>
        <v/>
      </c>
      <c r="L3414" s="0" t="str">
        <f aca="false">IF(A3414="","",MONTH(A3414))</f>
        <v/>
      </c>
    </row>
    <row r="3415" customFormat="false" ht="15" hidden="false" customHeight="false" outlineLevel="0" collapsed="false">
      <c r="A3415" s="27"/>
      <c r="E3415" s="28"/>
      <c r="F3415" s="28"/>
      <c r="I3415" s="28" t="str">
        <f aca="false">IF(A3415="","",D3415*E3415)</f>
        <v/>
      </c>
      <c r="J3415" s="28" t="str">
        <f aca="false">IF(A3415="","",D3415*F3415)</f>
        <v/>
      </c>
      <c r="K3415" s="0" t="str">
        <f aca="false">IF(A3415="","",YEAR(A3415))</f>
        <v/>
      </c>
      <c r="L3415" s="0" t="str">
        <f aca="false">IF(A3415="","",MONTH(A3415))</f>
        <v/>
      </c>
    </row>
    <row r="3416" customFormat="false" ht="15" hidden="false" customHeight="false" outlineLevel="0" collapsed="false">
      <c r="A3416" s="27"/>
      <c r="E3416" s="28"/>
      <c r="F3416" s="28"/>
      <c r="I3416" s="28" t="str">
        <f aca="false">IF(A3416="","",D3416*E3416)</f>
        <v/>
      </c>
      <c r="J3416" s="28" t="str">
        <f aca="false">IF(A3416="","",D3416*F3416)</f>
        <v/>
      </c>
      <c r="K3416" s="0" t="str">
        <f aca="false">IF(A3416="","",YEAR(A3416))</f>
        <v/>
      </c>
      <c r="L3416" s="0" t="str">
        <f aca="false">IF(A3416="","",MONTH(A3416))</f>
        <v/>
      </c>
    </row>
    <row r="3417" customFormat="false" ht="15" hidden="false" customHeight="false" outlineLevel="0" collapsed="false">
      <c r="A3417" s="27"/>
      <c r="E3417" s="28"/>
      <c r="F3417" s="28"/>
      <c r="I3417" s="28" t="str">
        <f aca="false">IF(A3417="","",D3417*E3417)</f>
        <v/>
      </c>
      <c r="J3417" s="28" t="str">
        <f aca="false">IF(A3417="","",D3417*F3417)</f>
        <v/>
      </c>
      <c r="K3417" s="0" t="str">
        <f aca="false">IF(A3417="","",YEAR(A3417))</f>
        <v/>
      </c>
      <c r="L3417" s="0" t="str">
        <f aca="false">IF(A3417="","",MONTH(A3417))</f>
        <v/>
      </c>
    </row>
    <row r="3418" customFormat="false" ht="15" hidden="false" customHeight="false" outlineLevel="0" collapsed="false">
      <c r="A3418" s="27"/>
      <c r="E3418" s="28"/>
      <c r="F3418" s="28"/>
      <c r="I3418" s="28" t="str">
        <f aca="false">IF(A3418="","",D3418*E3418)</f>
        <v/>
      </c>
      <c r="J3418" s="28" t="str">
        <f aca="false">IF(A3418="","",D3418*F3418)</f>
        <v/>
      </c>
      <c r="K3418" s="0" t="str">
        <f aca="false">IF(A3418="","",YEAR(A3418))</f>
        <v/>
      </c>
      <c r="L3418" s="0" t="str">
        <f aca="false">IF(A3418="","",MONTH(A3418))</f>
        <v/>
      </c>
    </row>
    <row r="3419" customFormat="false" ht="15" hidden="false" customHeight="false" outlineLevel="0" collapsed="false">
      <c r="A3419" s="27"/>
      <c r="E3419" s="28"/>
      <c r="F3419" s="28"/>
      <c r="I3419" s="28" t="str">
        <f aca="false">IF(A3419="","",D3419*E3419)</f>
        <v/>
      </c>
      <c r="J3419" s="28" t="str">
        <f aca="false">IF(A3419="","",D3419*F3419)</f>
        <v/>
      </c>
      <c r="K3419" s="0" t="str">
        <f aca="false">IF(A3419="","",YEAR(A3419))</f>
        <v/>
      </c>
      <c r="L3419" s="0" t="str">
        <f aca="false">IF(A3419="","",MONTH(A3419))</f>
        <v/>
      </c>
    </row>
    <row r="3420" customFormat="false" ht="15" hidden="false" customHeight="false" outlineLevel="0" collapsed="false">
      <c r="A3420" s="27"/>
      <c r="E3420" s="28"/>
      <c r="F3420" s="28"/>
      <c r="I3420" s="28" t="str">
        <f aca="false">IF(A3420="","",D3420*E3420)</f>
        <v/>
      </c>
      <c r="J3420" s="28" t="str">
        <f aca="false">IF(A3420="","",D3420*F3420)</f>
        <v/>
      </c>
      <c r="K3420" s="0" t="str">
        <f aca="false">IF(A3420="","",YEAR(A3420))</f>
        <v/>
      </c>
      <c r="L3420" s="0" t="str">
        <f aca="false">IF(A3420="","",MONTH(A3420))</f>
        <v/>
      </c>
    </row>
    <row r="3421" customFormat="false" ht="15" hidden="false" customHeight="false" outlineLevel="0" collapsed="false">
      <c r="A3421" s="27"/>
      <c r="E3421" s="28"/>
      <c r="F3421" s="28"/>
      <c r="I3421" s="28" t="str">
        <f aca="false">IF(A3421="","",D3421*E3421)</f>
        <v/>
      </c>
      <c r="J3421" s="28" t="str">
        <f aca="false">IF(A3421="","",D3421*F3421)</f>
        <v/>
      </c>
      <c r="K3421" s="0" t="str">
        <f aca="false">IF(A3421="","",YEAR(A3421))</f>
        <v/>
      </c>
      <c r="L3421" s="0" t="str">
        <f aca="false">IF(A3421="","",MONTH(A3421))</f>
        <v/>
      </c>
    </row>
    <row r="3422" customFormat="false" ht="15" hidden="false" customHeight="false" outlineLevel="0" collapsed="false">
      <c r="A3422" s="27"/>
      <c r="E3422" s="28"/>
      <c r="F3422" s="28"/>
      <c r="I3422" s="28" t="str">
        <f aca="false">IF(A3422="","",D3422*E3422)</f>
        <v/>
      </c>
      <c r="J3422" s="28" t="str">
        <f aca="false">IF(A3422="","",D3422*F3422)</f>
        <v/>
      </c>
      <c r="K3422" s="0" t="str">
        <f aca="false">IF(A3422="","",YEAR(A3422))</f>
        <v/>
      </c>
      <c r="L3422" s="0" t="str">
        <f aca="false">IF(A3422="","",MONTH(A3422))</f>
        <v/>
      </c>
    </row>
    <row r="3423" customFormat="false" ht="15" hidden="false" customHeight="false" outlineLevel="0" collapsed="false">
      <c r="A3423" s="27"/>
      <c r="E3423" s="28"/>
      <c r="F3423" s="28"/>
      <c r="I3423" s="28" t="str">
        <f aca="false">IF(A3423="","",D3423*E3423)</f>
        <v/>
      </c>
      <c r="J3423" s="28" t="str">
        <f aca="false">IF(A3423="","",D3423*F3423)</f>
        <v/>
      </c>
      <c r="K3423" s="0" t="str">
        <f aca="false">IF(A3423="","",YEAR(A3423))</f>
        <v/>
      </c>
      <c r="L3423" s="0" t="str">
        <f aca="false">IF(A3423="","",MONTH(A3423))</f>
        <v/>
      </c>
    </row>
    <row r="3424" customFormat="false" ht="15" hidden="false" customHeight="false" outlineLevel="0" collapsed="false">
      <c r="A3424" s="27"/>
      <c r="E3424" s="28"/>
      <c r="F3424" s="28"/>
      <c r="I3424" s="28" t="str">
        <f aca="false">IF(A3424="","",D3424*E3424)</f>
        <v/>
      </c>
      <c r="J3424" s="28" t="str">
        <f aca="false">IF(A3424="","",D3424*F3424)</f>
        <v/>
      </c>
      <c r="K3424" s="0" t="str">
        <f aca="false">IF(A3424="","",YEAR(A3424))</f>
        <v/>
      </c>
      <c r="L3424" s="0" t="str">
        <f aca="false">IF(A3424="","",MONTH(A3424))</f>
        <v/>
      </c>
    </row>
    <row r="3425" customFormat="false" ht="15" hidden="false" customHeight="false" outlineLevel="0" collapsed="false">
      <c r="A3425" s="27"/>
      <c r="E3425" s="28"/>
      <c r="F3425" s="28"/>
      <c r="I3425" s="28" t="str">
        <f aca="false">IF(A3425="","",D3425*E3425)</f>
        <v/>
      </c>
      <c r="J3425" s="28" t="str">
        <f aca="false">IF(A3425="","",D3425*F3425)</f>
        <v/>
      </c>
      <c r="K3425" s="0" t="str">
        <f aca="false">IF(A3425="","",YEAR(A3425))</f>
        <v/>
      </c>
      <c r="L3425" s="0" t="str">
        <f aca="false">IF(A3425="","",MONTH(A3425))</f>
        <v/>
      </c>
    </row>
    <row r="3426" customFormat="false" ht="15" hidden="false" customHeight="false" outlineLevel="0" collapsed="false">
      <c r="A3426" s="27"/>
      <c r="E3426" s="28"/>
      <c r="F3426" s="28"/>
      <c r="I3426" s="28" t="str">
        <f aca="false">IF(A3426="","",D3426*E3426)</f>
        <v/>
      </c>
      <c r="J3426" s="28" t="str">
        <f aca="false">IF(A3426="","",D3426*F3426)</f>
        <v/>
      </c>
      <c r="K3426" s="0" t="str">
        <f aca="false">IF(A3426="","",YEAR(A3426))</f>
        <v/>
      </c>
      <c r="L3426" s="0" t="str">
        <f aca="false">IF(A3426="","",MONTH(A3426))</f>
        <v/>
      </c>
    </row>
    <row r="3427" customFormat="false" ht="15" hidden="false" customHeight="false" outlineLevel="0" collapsed="false">
      <c r="A3427" s="27"/>
      <c r="E3427" s="28"/>
      <c r="F3427" s="28"/>
      <c r="I3427" s="28" t="str">
        <f aca="false">IF(A3427="","",D3427*E3427)</f>
        <v/>
      </c>
      <c r="J3427" s="28" t="str">
        <f aca="false">IF(A3427="","",D3427*F3427)</f>
        <v/>
      </c>
      <c r="K3427" s="0" t="str">
        <f aca="false">IF(A3427="","",YEAR(A3427))</f>
        <v/>
      </c>
      <c r="L3427" s="0" t="str">
        <f aca="false">IF(A3427="","",MONTH(A3427))</f>
        <v/>
      </c>
    </row>
    <row r="3428" customFormat="false" ht="15" hidden="false" customHeight="false" outlineLevel="0" collapsed="false">
      <c r="A3428" s="27"/>
      <c r="E3428" s="28"/>
      <c r="F3428" s="28"/>
      <c r="I3428" s="28" t="str">
        <f aca="false">IF(A3428="","",D3428*E3428)</f>
        <v/>
      </c>
      <c r="J3428" s="28" t="str">
        <f aca="false">IF(A3428="","",D3428*F3428)</f>
        <v/>
      </c>
      <c r="K3428" s="0" t="str">
        <f aca="false">IF(A3428="","",YEAR(A3428))</f>
        <v/>
      </c>
      <c r="L3428" s="0" t="str">
        <f aca="false">IF(A3428="","",MONTH(A3428))</f>
        <v/>
      </c>
    </row>
    <row r="3429" customFormat="false" ht="15" hidden="false" customHeight="false" outlineLevel="0" collapsed="false">
      <c r="A3429" s="27"/>
      <c r="E3429" s="28"/>
      <c r="F3429" s="28"/>
      <c r="I3429" s="28" t="str">
        <f aca="false">IF(A3429="","",D3429*E3429)</f>
        <v/>
      </c>
      <c r="J3429" s="28" t="str">
        <f aca="false">IF(A3429="","",D3429*F3429)</f>
        <v/>
      </c>
      <c r="K3429" s="0" t="str">
        <f aca="false">IF(A3429="","",YEAR(A3429))</f>
        <v/>
      </c>
      <c r="L3429" s="0" t="str">
        <f aca="false">IF(A3429="","",MONTH(A3429))</f>
        <v/>
      </c>
    </row>
    <row r="3430" customFormat="false" ht="15" hidden="false" customHeight="false" outlineLevel="0" collapsed="false">
      <c r="A3430" s="27"/>
      <c r="E3430" s="28"/>
      <c r="F3430" s="28"/>
      <c r="I3430" s="28" t="str">
        <f aca="false">IF(A3430="","",D3430*E3430)</f>
        <v/>
      </c>
      <c r="J3430" s="28" t="str">
        <f aca="false">IF(A3430="","",D3430*F3430)</f>
        <v/>
      </c>
      <c r="K3430" s="0" t="str">
        <f aca="false">IF(A3430="","",YEAR(A3430))</f>
        <v/>
      </c>
      <c r="L3430" s="0" t="str">
        <f aca="false">IF(A3430="","",MONTH(A3430))</f>
        <v/>
      </c>
    </row>
    <row r="3431" customFormat="false" ht="15" hidden="false" customHeight="false" outlineLevel="0" collapsed="false">
      <c r="A3431" s="27"/>
      <c r="E3431" s="28"/>
      <c r="F3431" s="28"/>
      <c r="I3431" s="28" t="str">
        <f aca="false">IF(A3431="","",D3431*E3431)</f>
        <v/>
      </c>
      <c r="J3431" s="28" t="str">
        <f aca="false">IF(A3431="","",D3431*F3431)</f>
        <v/>
      </c>
      <c r="K3431" s="0" t="str">
        <f aca="false">IF(A3431="","",YEAR(A3431))</f>
        <v/>
      </c>
      <c r="L3431" s="0" t="str">
        <f aca="false">IF(A3431="","",MONTH(A3431))</f>
        <v/>
      </c>
    </row>
    <row r="3432" customFormat="false" ht="15" hidden="false" customHeight="false" outlineLevel="0" collapsed="false">
      <c r="A3432" s="27"/>
      <c r="E3432" s="28"/>
      <c r="F3432" s="28"/>
      <c r="I3432" s="28" t="str">
        <f aca="false">IF(A3432="","",D3432*E3432)</f>
        <v/>
      </c>
      <c r="J3432" s="28" t="str">
        <f aca="false">IF(A3432="","",D3432*F3432)</f>
        <v/>
      </c>
      <c r="K3432" s="0" t="str">
        <f aca="false">IF(A3432="","",YEAR(A3432))</f>
        <v/>
      </c>
      <c r="L3432" s="0" t="str">
        <f aca="false">IF(A3432="","",MONTH(A3432))</f>
        <v/>
      </c>
    </row>
    <row r="3433" customFormat="false" ht="15" hidden="false" customHeight="false" outlineLevel="0" collapsed="false">
      <c r="A3433" s="27"/>
      <c r="E3433" s="28"/>
      <c r="F3433" s="28"/>
      <c r="I3433" s="28" t="str">
        <f aca="false">IF(A3433="","",D3433*E3433)</f>
        <v/>
      </c>
      <c r="J3433" s="28" t="str">
        <f aca="false">IF(A3433="","",D3433*F3433)</f>
        <v/>
      </c>
      <c r="K3433" s="0" t="str">
        <f aca="false">IF(A3433="","",YEAR(A3433))</f>
        <v/>
      </c>
      <c r="L3433" s="0" t="str">
        <f aca="false">IF(A3433="","",MONTH(A3433))</f>
        <v/>
      </c>
    </row>
    <row r="3434" customFormat="false" ht="15" hidden="false" customHeight="false" outlineLevel="0" collapsed="false">
      <c r="A3434" s="27"/>
      <c r="E3434" s="28"/>
      <c r="F3434" s="28"/>
      <c r="I3434" s="28" t="str">
        <f aca="false">IF(A3434="","",D3434*E3434)</f>
        <v/>
      </c>
      <c r="J3434" s="28" t="str">
        <f aca="false">IF(A3434="","",D3434*F3434)</f>
        <v/>
      </c>
      <c r="K3434" s="0" t="str">
        <f aca="false">IF(A3434="","",YEAR(A3434))</f>
        <v/>
      </c>
      <c r="L3434" s="0" t="str">
        <f aca="false">IF(A3434="","",MONTH(A3434))</f>
        <v/>
      </c>
    </row>
    <row r="3435" customFormat="false" ht="15" hidden="false" customHeight="false" outlineLevel="0" collapsed="false">
      <c r="A3435" s="27"/>
      <c r="E3435" s="28"/>
      <c r="F3435" s="28"/>
      <c r="I3435" s="28" t="str">
        <f aca="false">IF(A3435="","",D3435*E3435)</f>
        <v/>
      </c>
      <c r="J3435" s="28" t="str">
        <f aca="false">IF(A3435="","",D3435*F3435)</f>
        <v/>
      </c>
      <c r="K3435" s="0" t="str">
        <f aca="false">IF(A3435="","",YEAR(A3435))</f>
        <v/>
      </c>
      <c r="L3435" s="0" t="str">
        <f aca="false">IF(A3435="","",MONTH(A3435))</f>
        <v/>
      </c>
    </row>
    <row r="3436" customFormat="false" ht="15" hidden="false" customHeight="false" outlineLevel="0" collapsed="false">
      <c r="A3436" s="27"/>
      <c r="E3436" s="28"/>
      <c r="F3436" s="28"/>
      <c r="I3436" s="28" t="str">
        <f aca="false">IF(A3436="","",D3436*E3436)</f>
        <v/>
      </c>
      <c r="J3436" s="28" t="str">
        <f aca="false">IF(A3436="","",D3436*F3436)</f>
        <v/>
      </c>
      <c r="K3436" s="0" t="str">
        <f aca="false">IF(A3436="","",YEAR(A3436))</f>
        <v/>
      </c>
      <c r="L3436" s="0" t="str">
        <f aca="false">IF(A3436="","",MONTH(A3436))</f>
        <v/>
      </c>
    </row>
    <row r="3437" customFormat="false" ht="15" hidden="false" customHeight="false" outlineLevel="0" collapsed="false">
      <c r="A3437" s="27"/>
      <c r="E3437" s="28"/>
      <c r="F3437" s="28"/>
      <c r="I3437" s="28" t="str">
        <f aca="false">IF(A3437="","",D3437*E3437)</f>
        <v/>
      </c>
      <c r="J3437" s="28" t="str">
        <f aca="false">IF(A3437="","",D3437*F3437)</f>
        <v/>
      </c>
      <c r="K3437" s="0" t="str">
        <f aca="false">IF(A3437="","",YEAR(A3437))</f>
        <v/>
      </c>
      <c r="L3437" s="0" t="str">
        <f aca="false">IF(A3437="","",MONTH(A3437))</f>
        <v/>
      </c>
    </row>
    <row r="3438" customFormat="false" ht="15" hidden="false" customHeight="false" outlineLevel="0" collapsed="false">
      <c r="A3438" s="27"/>
      <c r="E3438" s="28"/>
      <c r="F3438" s="28"/>
      <c r="I3438" s="28" t="str">
        <f aca="false">IF(A3438="","",D3438*E3438)</f>
        <v/>
      </c>
      <c r="J3438" s="28" t="str">
        <f aca="false">IF(A3438="","",D3438*F3438)</f>
        <v/>
      </c>
      <c r="K3438" s="0" t="str">
        <f aca="false">IF(A3438="","",YEAR(A3438))</f>
        <v/>
      </c>
      <c r="L3438" s="0" t="str">
        <f aca="false">IF(A3438="","",MONTH(A3438))</f>
        <v/>
      </c>
    </row>
    <row r="3439" customFormat="false" ht="15" hidden="false" customHeight="false" outlineLevel="0" collapsed="false">
      <c r="A3439" s="27"/>
      <c r="E3439" s="28"/>
      <c r="F3439" s="28"/>
      <c r="I3439" s="28" t="str">
        <f aca="false">IF(A3439="","",D3439*E3439)</f>
        <v/>
      </c>
      <c r="J3439" s="28" t="str">
        <f aca="false">IF(A3439="","",D3439*F3439)</f>
        <v/>
      </c>
      <c r="K3439" s="0" t="str">
        <f aca="false">IF(A3439="","",YEAR(A3439))</f>
        <v/>
      </c>
      <c r="L3439" s="0" t="str">
        <f aca="false">IF(A3439="","",MONTH(A3439))</f>
        <v/>
      </c>
    </row>
    <row r="3440" customFormat="false" ht="15" hidden="false" customHeight="false" outlineLevel="0" collapsed="false">
      <c r="A3440" s="27"/>
      <c r="E3440" s="28"/>
      <c r="F3440" s="28"/>
      <c r="I3440" s="28" t="str">
        <f aca="false">IF(A3440="","",D3440*E3440)</f>
        <v/>
      </c>
      <c r="J3440" s="28" t="str">
        <f aca="false">IF(A3440="","",D3440*F3440)</f>
        <v/>
      </c>
      <c r="K3440" s="0" t="str">
        <f aca="false">IF(A3440="","",YEAR(A3440))</f>
        <v/>
      </c>
      <c r="L3440" s="0" t="str">
        <f aca="false">IF(A3440="","",MONTH(A3440))</f>
        <v/>
      </c>
    </row>
    <row r="3441" customFormat="false" ht="15" hidden="false" customHeight="false" outlineLevel="0" collapsed="false">
      <c r="A3441" s="27"/>
      <c r="E3441" s="28"/>
      <c r="F3441" s="28"/>
      <c r="I3441" s="28" t="str">
        <f aca="false">IF(A3441="","",D3441*E3441)</f>
        <v/>
      </c>
      <c r="J3441" s="28" t="str">
        <f aca="false">IF(A3441="","",D3441*F3441)</f>
        <v/>
      </c>
      <c r="K3441" s="0" t="str">
        <f aca="false">IF(A3441="","",YEAR(A3441))</f>
        <v/>
      </c>
      <c r="L3441" s="0" t="str">
        <f aca="false">IF(A3441="","",MONTH(A3441))</f>
        <v/>
      </c>
    </row>
    <row r="3442" customFormat="false" ht="15" hidden="false" customHeight="false" outlineLevel="0" collapsed="false">
      <c r="A3442" s="27"/>
      <c r="E3442" s="28"/>
      <c r="F3442" s="28"/>
      <c r="I3442" s="28" t="str">
        <f aca="false">IF(A3442="","",D3442*E3442)</f>
        <v/>
      </c>
      <c r="J3442" s="28" t="str">
        <f aca="false">IF(A3442="","",D3442*F3442)</f>
        <v/>
      </c>
      <c r="K3442" s="0" t="str">
        <f aca="false">IF(A3442="","",YEAR(A3442))</f>
        <v/>
      </c>
      <c r="L3442" s="0" t="str">
        <f aca="false">IF(A3442="","",MONTH(A3442))</f>
        <v/>
      </c>
    </row>
    <row r="3443" customFormat="false" ht="15" hidden="false" customHeight="false" outlineLevel="0" collapsed="false">
      <c r="A3443" s="27"/>
      <c r="E3443" s="28"/>
      <c r="F3443" s="28"/>
      <c r="I3443" s="28" t="str">
        <f aca="false">IF(A3443="","",D3443*E3443)</f>
        <v/>
      </c>
      <c r="J3443" s="28" t="str">
        <f aca="false">IF(A3443="","",D3443*F3443)</f>
        <v/>
      </c>
      <c r="K3443" s="0" t="str">
        <f aca="false">IF(A3443="","",YEAR(A3443))</f>
        <v/>
      </c>
      <c r="L3443" s="0" t="str">
        <f aca="false">IF(A3443="","",MONTH(A3443))</f>
        <v/>
      </c>
    </row>
    <row r="3444" customFormat="false" ht="15" hidden="false" customHeight="false" outlineLevel="0" collapsed="false">
      <c r="A3444" s="27"/>
      <c r="E3444" s="28"/>
      <c r="F3444" s="28"/>
      <c r="I3444" s="28" t="str">
        <f aca="false">IF(A3444="","",D3444*E3444)</f>
        <v/>
      </c>
      <c r="J3444" s="28" t="str">
        <f aca="false">IF(A3444="","",D3444*F3444)</f>
        <v/>
      </c>
      <c r="K3444" s="0" t="str">
        <f aca="false">IF(A3444="","",YEAR(A3444))</f>
        <v/>
      </c>
      <c r="L3444" s="0" t="str">
        <f aca="false">IF(A3444="","",MONTH(A3444))</f>
        <v/>
      </c>
    </row>
    <row r="3445" customFormat="false" ht="15" hidden="false" customHeight="false" outlineLevel="0" collapsed="false">
      <c r="A3445" s="27"/>
      <c r="E3445" s="28"/>
      <c r="F3445" s="28"/>
      <c r="I3445" s="28" t="str">
        <f aca="false">IF(A3445="","",D3445*E3445)</f>
        <v/>
      </c>
      <c r="J3445" s="28" t="str">
        <f aca="false">IF(A3445="","",D3445*F3445)</f>
        <v/>
      </c>
      <c r="K3445" s="0" t="str">
        <f aca="false">IF(A3445="","",YEAR(A3445))</f>
        <v/>
      </c>
      <c r="L3445" s="0" t="str">
        <f aca="false">IF(A3445="","",MONTH(A3445))</f>
        <v/>
      </c>
    </row>
    <row r="3446" customFormat="false" ht="15" hidden="false" customHeight="false" outlineLevel="0" collapsed="false">
      <c r="A3446" s="27"/>
      <c r="E3446" s="28"/>
      <c r="F3446" s="28"/>
      <c r="I3446" s="28" t="str">
        <f aca="false">IF(A3446="","",D3446*E3446)</f>
        <v/>
      </c>
      <c r="J3446" s="28" t="str">
        <f aca="false">IF(A3446="","",D3446*F3446)</f>
        <v/>
      </c>
      <c r="K3446" s="0" t="str">
        <f aca="false">IF(A3446="","",YEAR(A3446))</f>
        <v/>
      </c>
      <c r="L3446" s="0" t="str">
        <f aca="false">IF(A3446="","",MONTH(A3446))</f>
        <v/>
      </c>
    </row>
    <row r="3447" customFormat="false" ht="15" hidden="false" customHeight="false" outlineLevel="0" collapsed="false">
      <c r="A3447" s="27"/>
      <c r="E3447" s="28"/>
      <c r="F3447" s="28"/>
      <c r="I3447" s="28" t="str">
        <f aca="false">IF(A3447="","",D3447*E3447)</f>
        <v/>
      </c>
      <c r="J3447" s="28" t="str">
        <f aca="false">IF(A3447="","",D3447*F3447)</f>
        <v/>
      </c>
      <c r="K3447" s="0" t="str">
        <f aca="false">IF(A3447="","",YEAR(A3447))</f>
        <v/>
      </c>
      <c r="L3447" s="0" t="str">
        <f aca="false">IF(A3447="","",MONTH(A3447))</f>
        <v/>
      </c>
    </row>
    <row r="3448" customFormat="false" ht="15" hidden="false" customHeight="false" outlineLevel="0" collapsed="false">
      <c r="A3448" s="27"/>
      <c r="E3448" s="28"/>
      <c r="F3448" s="28"/>
      <c r="I3448" s="28" t="str">
        <f aca="false">IF(A3448="","",D3448*E3448)</f>
        <v/>
      </c>
      <c r="J3448" s="28" t="str">
        <f aca="false">IF(A3448="","",D3448*F3448)</f>
        <v/>
      </c>
      <c r="K3448" s="0" t="str">
        <f aca="false">IF(A3448="","",YEAR(A3448))</f>
        <v/>
      </c>
      <c r="L3448" s="0" t="str">
        <f aca="false">IF(A3448="","",MONTH(A3448))</f>
        <v/>
      </c>
    </row>
    <row r="3449" customFormat="false" ht="15" hidden="false" customHeight="false" outlineLevel="0" collapsed="false">
      <c r="A3449" s="27"/>
      <c r="E3449" s="28"/>
      <c r="F3449" s="28"/>
      <c r="I3449" s="28" t="str">
        <f aca="false">IF(A3449="","",D3449*E3449)</f>
        <v/>
      </c>
      <c r="J3449" s="28" t="str">
        <f aca="false">IF(A3449="","",D3449*F3449)</f>
        <v/>
      </c>
      <c r="K3449" s="0" t="str">
        <f aca="false">IF(A3449="","",YEAR(A3449))</f>
        <v/>
      </c>
      <c r="L3449" s="0" t="str">
        <f aca="false">IF(A3449="","",MONTH(A3449))</f>
        <v/>
      </c>
    </row>
    <row r="3450" customFormat="false" ht="15" hidden="false" customHeight="false" outlineLevel="0" collapsed="false">
      <c r="A3450" s="27"/>
      <c r="E3450" s="28"/>
      <c r="F3450" s="28"/>
      <c r="I3450" s="28" t="str">
        <f aca="false">IF(A3450="","",D3450*E3450)</f>
        <v/>
      </c>
      <c r="J3450" s="28" t="str">
        <f aca="false">IF(A3450="","",D3450*F3450)</f>
        <v/>
      </c>
      <c r="K3450" s="0" t="str">
        <f aca="false">IF(A3450="","",YEAR(A3450))</f>
        <v/>
      </c>
      <c r="L3450" s="0" t="str">
        <f aca="false">IF(A3450="","",MONTH(A3450))</f>
        <v/>
      </c>
    </row>
    <row r="3451" customFormat="false" ht="15" hidden="false" customHeight="false" outlineLevel="0" collapsed="false">
      <c r="A3451" s="27"/>
      <c r="E3451" s="28"/>
      <c r="F3451" s="28"/>
      <c r="I3451" s="28" t="str">
        <f aca="false">IF(A3451="","",D3451*E3451)</f>
        <v/>
      </c>
      <c r="J3451" s="28" t="str">
        <f aca="false">IF(A3451="","",D3451*F3451)</f>
        <v/>
      </c>
      <c r="K3451" s="0" t="str">
        <f aca="false">IF(A3451="","",YEAR(A3451))</f>
        <v/>
      </c>
      <c r="L3451" s="0" t="str">
        <f aca="false">IF(A3451="","",MONTH(A3451))</f>
        <v/>
      </c>
    </row>
    <row r="3452" customFormat="false" ht="15" hidden="false" customHeight="false" outlineLevel="0" collapsed="false">
      <c r="A3452" s="27"/>
      <c r="E3452" s="28"/>
      <c r="F3452" s="28"/>
      <c r="I3452" s="28" t="str">
        <f aca="false">IF(A3452="","",D3452*E3452)</f>
        <v/>
      </c>
      <c r="J3452" s="28" t="str">
        <f aca="false">IF(A3452="","",D3452*F3452)</f>
        <v/>
      </c>
      <c r="K3452" s="0" t="str">
        <f aca="false">IF(A3452="","",YEAR(A3452))</f>
        <v/>
      </c>
      <c r="L3452" s="0" t="str">
        <f aca="false">IF(A3452="","",MONTH(A3452))</f>
        <v/>
      </c>
    </row>
    <row r="3453" customFormat="false" ht="15" hidden="false" customHeight="false" outlineLevel="0" collapsed="false">
      <c r="A3453" s="27"/>
      <c r="E3453" s="28"/>
      <c r="F3453" s="28"/>
      <c r="I3453" s="28" t="str">
        <f aca="false">IF(A3453="","",D3453*E3453)</f>
        <v/>
      </c>
      <c r="J3453" s="28" t="str">
        <f aca="false">IF(A3453="","",D3453*F3453)</f>
        <v/>
      </c>
      <c r="K3453" s="0" t="str">
        <f aca="false">IF(A3453="","",YEAR(A3453))</f>
        <v/>
      </c>
      <c r="L3453" s="0" t="str">
        <f aca="false">IF(A3453="","",MONTH(A3453))</f>
        <v/>
      </c>
    </row>
    <row r="3454" customFormat="false" ht="15" hidden="false" customHeight="false" outlineLevel="0" collapsed="false">
      <c r="A3454" s="27"/>
      <c r="E3454" s="28"/>
      <c r="F3454" s="28"/>
      <c r="I3454" s="28" t="str">
        <f aca="false">IF(A3454="","",D3454*E3454)</f>
        <v/>
      </c>
      <c r="J3454" s="28" t="str">
        <f aca="false">IF(A3454="","",D3454*F3454)</f>
        <v/>
      </c>
      <c r="K3454" s="0" t="str">
        <f aca="false">IF(A3454="","",YEAR(A3454))</f>
        <v/>
      </c>
      <c r="L3454" s="0" t="str">
        <f aca="false">IF(A3454="","",MONTH(A3454))</f>
        <v/>
      </c>
    </row>
    <row r="3455" customFormat="false" ht="15" hidden="false" customHeight="false" outlineLevel="0" collapsed="false">
      <c r="A3455" s="27"/>
      <c r="E3455" s="28"/>
      <c r="F3455" s="28"/>
      <c r="I3455" s="28" t="str">
        <f aca="false">IF(A3455="","",D3455*E3455)</f>
        <v/>
      </c>
      <c r="J3455" s="28" t="str">
        <f aca="false">IF(A3455="","",D3455*F3455)</f>
        <v/>
      </c>
      <c r="K3455" s="0" t="str">
        <f aca="false">IF(A3455="","",YEAR(A3455))</f>
        <v/>
      </c>
      <c r="L3455" s="0" t="str">
        <f aca="false">IF(A3455="","",MONTH(A3455))</f>
        <v/>
      </c>
    </row>
    <row r="3456" customFormat="false" ht="15" hidden="false" customHeight="false" outlineLevel="0" collapsed="false">
      <c r="A3456" s="27"/>
      <c r="E3456" s="28"/>
      <c r="F3456" s="28"/>
      <c r="I3456" s="28" t="str">
        <f aca="false">IF(A3456="","",D3456*E3456)</f>
        <v/>
      </c>
      <c r="J3456" s="28" t="str">
        <f aca="false">IF(A3456="","",D3456*F3456)</f>
        <v/>
      </c>
      <c r="K3456" s="0" t="str">
        <f aca="false">IF(A3456="","",YEAR(A3456))</f>
        <v/>
      </c>
      <c r="L3456" s="0" t="str">
        <f aca="false">IF(A3456="","",MONTH(A3456))</f>
        <v/>
      </c>
    </row>
    <row r="3457" customFormat="false" ht="15" hidden="false" customHeight="false" outlineLevel="0" collapsed="false">
      <c r="A3457" s="27"/>
      <c r="E3457" s="28"/>
      <c r="F3457" s="28"/>
      <c r="I3457" s="28" t="str">
        <f aca="false">IF(A3457="","",D3457*E3457)</f>
        <v/>
      </c>
      <c r="J3457" s="28" t="str">
        <f aca="false">IF(A3457="","",D3457*F3457)</f>
        <v/>
      </c>
      <c r="K3457" s="0" t="str">
        <f aca="false">IF(A3457="","",YEAR(A3457))</f>
        <v/>
      </c>
      <c r="L3457" s="0" t="str">
        <f aca="false">IF(A3457="","",MONTH(A3457))</f>
        <v/>
      </c>
    </row>
    <row r="3458" customFormat="false" ht="15" hidden="false" customHeight="false" outlineLevel="0" collapsed="false">
      <c r="A3458" s="27"/>
      <c r="E3458" s="28"/>
      <c r="F3458" s="28"/>
      <c r="I3458" s="28" t="str">
        <f aca="false">IF(A3458="","",D3458*E3458)</f>
        <v/>
      </c>
      <c r="J3458" s="28" t="str">
        <f aca="false">IF(A3458="","",D3458*F3458)</f>
        <v/>
      </c>
      <c r="K3458" s="0" t="str">
        <f aca="false">IF(A3458="","",YEAR(A3458))</f>
        <v/>
      </c>
      <c r="L3458" s="0" t="str">
        <f aca="false">IF(A3458="","",MONTH(A3458))</f>
        <v/>
      </c>
    </row>
    <row r="3459" customFormat="false" ht="15" hidden="false" customHeight="false" outlineLevel="0" collapsed="false">
      <c r="A3459" s="27"/>
      <c r="E3459" s="28"/>
      <c r="F3459" s="28"/>
      <c r="I3459" s="28" t="str">
        <f aca="false">IF(A3459="","",D3459*E3459)</f>
        <v/>
      </c>
      <c r="J3459" s="28" t="str">
        <f aca="false">IF(A3459="","",D3459*F3459)</f>
        <v/>
      </c>
      <c r="K3459" s="0" t="str">
        <f aca="false">IF(A3459="","",YEAR(A3459))</f>
        <v/>
      </c>
      <c r="L3459" s="0" t="str">
        <f aca="false">IF(A3459="","",MONTH(A3459))</f>
        <v/>
      </c>
    </row>
    <row r="3460" customFormat="false" ht="15" hidden="false" customHeight="false" outlineLevel="0" collapsed="false">
      <c r="A3460" s="27"/>
      <c r="E3460" s="28"/>
      <c r="F3460" s="28"/>
      <c r="I3460" s="28" t="str">
        <f aca="false">IF(A3460="","",D3460*E3460)</f>
        <v/>
      </c>
      <c r="J3460" s="28" t="str">
        <f aca="false">IF(A3460="","",D3460*F3460)</f>
        <v/>
      </c>
      <c r="K3460" s="0" t="str">
        <f aca="false">IF(A3460="","",YEAR(A3460))</f>
        <v/>
      </c>
      <c r="L3460" s="0" t="str">
        <f aca="false">IF(A3460="","",MONTH(A3460))</f>
        <v/>
      </c>
    </row>
    <row r="3461" customFormat="false" ht="15" hidden="false" customHeight="false" outlineLevel="0" collapsed="false">
      <c r="A3461" s="27"/>
      <c r="E3461" s="28"/>
      <c r="F3461" s="28"/>
      <c r="I3461" s="28" t="str">
        <f aca="false">IF(A3461="","",D3461*E3461)</f>
        <v/>
      </c>
      <c r="J3461" s="28" t="str">
        <f aca="false">IF(A3461="","",D3461*F3461)</f>
        <v/>
      </c>
      <c r="K3461" s="0" t="str">
        <f aca="false">IF(A3461="","",YEAR(A3461))</f>
        <v/>
      </c>
      <c r="L3461" s="0" t="str">
        <f aca="false">IF(A3461="","",MONTH(A3461))</f>
        <v/>
      </c>
    </row>
    <row r="3462" customFormat="false" ht="15" hidden="false" customHeight="false" outlineLevel="0" collapsed="false">
      <c r="A3462" s="27"/>
      <c r="E3462" s="28"/>
      <c r="F3462" s="28"/>
      <c r="I3462" s="28" t="str">
        <f aca="false">IF(A3462="","",D3462*E3462)</f>
        <v/>
      </c>
      <c r="J3462" s="28" t="str">
        <f aca="false">IF(A3462="","",D3462*F3462)</f>
        <v/>
      </c>
      <c r="K3462" s="0" t="str">
        <f aca="false">IF(A3462="","",YEAR(A3462))</f>
        <v/>
      </c>
      <c r="L3462" s="0" t="str">
        <f aca="false">IF(A3462="","",MONTH(A3462))</f>
        <v/>
      </c>
    </row>
    <row r="3463" customFormat="false" ht="15" hidden="false" customHeight="false" outlineLevel="0" collapsed="false">
      <c r="A3463" s="27"/>
      <c r="E3463" s="28"/>
      <c r="F3463" s="28"/>
      <c r="I3463" s="28" t="str">
        <f aca="false">IF(A3463="","",D3463*E3463)</f>
        <v/>
      </c>
      <c r="J3463" s="28" t="str">
        <f aca="false">IF(A3463="","",D3463*F3463)</f>
        <v/>
      </c>
      <c r="K3463" s="0" t="str">
        <f aca="false">IF(A3463="","",YEAR(A3463))</f>
        <v/>
      </c>
      <c r="L3463" s="0" t="str">
        <f aca="false">IF(A3463="","",MONTH(A3463))</f>
        <v/>
      </c>
    </row>
    <row r="3464" customFormat="false" ht="15" hidden="false" customHeight="false" outlineLevel="0" collapsed="false">
      <c r="A3464" s="27"/>
      <c r="E3464" s="28"/>
      <c r="F3464" s="28"/>
      <c r="I3464" s="28" t="str">
        <f aca="false">IF(A3464="","",D3464*E3464)</f>
        <v/>
      </c>
      <c r="J3464" s="28" t="str">
        <f aca="false">IF(A3464="","",D3464*F3464)</f>
        <v/>
      </c>
      <c r="K3464" s="0" t="str">
        <f aca="false">IF(A3464="","",YEAR(A3464))</f>
        <v/>
      </c>
      <c r="L3464" s="0" t="str">
        <f aca="false">IF(A3464="","",MONTH(A3464))</f>
        <v/>
      </c>
    </row>
    <row r="3465" customFormat="false" ht="15" hidden="false" customHeight="false" outlineLevel="0" collapsed="false">
      <c r="A3465" s="27"/>
      <c r="E3465" s="28"/>
      <c r="F3465" s="28"/>
      <c r="I3465" s="28" t="str">
        <f aca="false">IF(A3465="","",D3465*E3465)</f>
        <v/>
      </c>
      <c r="J3465" s="28" t="str">
        <f aca="false">IF(A3465="","",D3465*F3465)</f>
        <v/>
      </c>
      <c r="K3465" s="0" t="str">
        <f aca="false">IF(A3465="","",YEAR(A3465))</f>
        <v/>
      </c>
      <c r="L3465" s="0" t="str">
        <f aca="false">IF(A3465="","",MONTH(A3465))</f>
        <v/>
      </c>
    </row>
    <row r="3466" customFormat="false" ht="15" hidden="false" customHeight="false" outlineLevel="0" collapsed="false">
      <c r="A3466" s="27"/>
      <c r="E3466" s="28"/>
      <c r="F3466" s="28"/>
      <c r="I3466" s="28" t="str">
        <f aca="false">IF(A3466="","",D3466*E3466)</f>
        <v/>
      </c>
      <c r="J3466" s="28" t="str">
        <f aca="false">IF(A3466="","",D3466*F3466)</f>
        <v/>
      </c>
      <c r="K3466" s="0" t="str">
        <f aca="false">IF(A3466="","",YEAR(A3466))</f>
        <v/>
      </c>
      <c r="L3466" s="0" t="str">
        <f aca="false">IF(A3466="","",MONTH(A3466))</f>
        <v/>
      </c>
    </row>
    <row r="3467" customFormat="false" ht="15" hidden="false" customHeight="false" outlineLevel="0" collapsed="false">
      <c r="A3467" s="27"/>
      <c r="E3467" s="28"/>
      <c r="F3467" s="28"/>
      <c r="I3467" s="28" t="str">
        <f aca="false">IF(A3467="","",D3467*E3467)</f>
        <v/>
      </c>
      <c r="J3467" s="28" t="str">
        <f aca="false">IF(A3467="","",D3467*F3467)</f>
        <v/>
      </c>
      <c r="K3467" s="0" t="str">
        <f aca="false">IF(A3467="","",YEAR(A3467))</f>
        <v/>
      </c>
      <c r="L3467" s="0" t="str">
        <f aca="false">IF(A3467="","",MONTH(A3467))</f>
        <v/>
      </c>
    </row>
    <row r="3468" customFormat="false" ht="15" hidden="false" customHeight="false" outlineLevel="0" collapsed="false">
      <c r="A3468" s="27"/>
      <c r="E3468" s="28"/>
      <c r="F3468" s="28"/>
      <c r="I3468" s="28" t="str">
        <f aca="false">IF(A3468="","",D3468*E3468)</f>
        <v/>
      </c>
      <c r="J3468" s="28" t="str">
        <f aca="false">IF(A3468="","",D3468*F3468)</f>
        <v/>
      </c>
      <c r="K3468" s="0" t="str">
        <f aca="false">IF(A3468="","",YEAR(A3468))</f>
        <v/>
      </c>
      <c r="L3468" s="0" t="str">
        <f aca="false">IF(A3468="","",MONTH(A3468))</f>
        <v/>
      </c>
    </row>
    <row r="3469" customFormat="false" ht="15" hidden="false" customHeight="false" outlineLevel="0" collapsed="false">
      <c r="A3469" s="27"/>
      <c r="E3469" s="28"/>
      <c r="F3469" s="28"/>
      <c r="I3469" s="28" t="str">
        <f aca="false">IF(A3469="","",D3469*E3469)</f>
        <v/>
      </c>
      <c r="J3469" s="28" t="str">
        <f aca="false">IF(A3469="","",D3469*F3469)</f>
        <v/>
      </c>
      <c r="K3469" s="0" t="str">
        <f aca="false">IF(A3469="","",YEAR(A3469))</f>
        <v/>
      </c>
      <c r="L3469" s="0" t="str">
        <f aca="false">IF(A3469="","",MONTH(A3469))</f>
        <v/>
      </c>
    </row>
    <row r="3470" customFormat="false" ht="15" hidden="false" customHeight="false" outlineLevel="0" collapsed="false">
      <c r="A3470" s="27"/>
      <c r="E3470" s="28"/>
      <c r="F3470" s="28"/>
      <c r="I3470" s="28" t="str">
        <f aca="false">IF(A3470="","",D3470*E3470)</f>
        <v/>
      </c>
      <c r="J3470" s="28" t="str">
        <f aca="false">IF(A3470="","",D3470*F3470)</f>
        <v/>
      </c>
      <c r="K3470" s="0" t="str">
        <f aca="false">IF(A3470="","",YEAR(A3470))</f>
        <v/>
      </c>
      <c r="L3470" s="0" t="str">
        <f aca="false">IF(A3470="","",MONTH(A3470))</f>
        <v/>
      </c>
    </row>
    <row r="3471" customFormat="false" ht="15" hidden="false" customHeight="false" outlineLevel="0" collapsed="false">
      <c r="A3471" s="27"/>
      <c r="E3471" s="28"/>
      <c r="F3471" s="28"/>
      <c r="I3471" s="28" t="str">
        <f aca="false">IF(A3471="","",D3471*E3471)</f>
        <v/>
      </c>
      <c r="J3471" s="28" t="str">
        <f aca="false">IF(A3471="","",D3471*F3471)</f>
        <v/>
      </c>
      <c r="K3471" s="0" t="str">
        <f aca="false">IF(A3471="","",YEAR(A3471))</f>
        <v/>
      </c>
      <c r="L3471" s="0" t="str">
        <f aca="false">IF(A3471="","",MONTH(A3471))</f>
        <v/>
      </c>
    </row>
    <row r="3472" customFormat="false" ht="15" hidden="false" customHeight="false" outlineLevel="0" collapsed="false">
      <c r="A3472" s="27"/>
      <c r="E3472" s="28"/>
      <c r="F3472" s="28"/>
      <c r="I3472" s="28" t="str">
        <f aca="false">IF(A3472="","",D3472*E3472)</f>
        <v/>
      </c>
      <c r="J3472" s="28" t="str">
        <f aca="false">IF(A3472="","",D3472*F3472)</f>
        <v/>
      </c>
      <c r="K3472" s="0" t="str">
        <f aca="false">IF(A3472="","",YEAR(A3472))</f>
        <v/>
      </c>
      <c r="L3472" s="0" t="str">
        <f aca="false">IF(A3472="","",MONTH(A3472))</f>
        <v/>
      </c>
    </row>
    <row r="3473" customFormat="false" ht="15" hidden="false" customHeight="false" outlineLevel="0" collapsed="false">
      <c r="A3473" s="27"/>
      <c r="E3473" s="28"/>
      <c r="F3473" s="28"/>
      <c r="I3473" s="28" t="str">
        <f aca="false">IF(A3473="","",D3473*E3473)</f>
        <v/>
      </c>
      <c r="J3473" s="28" t="str">
        <f aca="false">IF(A3473="","",D3473*F3473)</f>
        <v/>
      </c>
      <c r="K3473" s="0" t="str">
        <f aca="false">IF(A3473="","",YEAR(A3473))</f>
        <v/>
      </c>
      <c r="L3473" s="0" t="str">
        <f aca="false">IF(A3473="","",MONTH(A3473))</f>
        <v/>
      </c>
    </row>
    <row r="3474" customFormat="false" ht="15" hidden="false" customHeight="false" outlineLevel="0" collapsed="false">
      <c r="A3474" s="27"/>
      <c r="E3474" s="28"/>
      <c r="F3474" s="28"/>
      <c r="I3474" s="28" t="str">
        <f aca="false">IF(A3474="","",D3474*E3474)</f>
        <v/>
      </c>
      <c r="J3474" s="28" t="str">
        <f aca="false">IF(A3474="","",D3474*F3474)</f>
        <v/>
      </c>
      <c r="K3474" s="0" t="str">
        <f aca="false">IF(A3474="","",YEAR(A3474))</f>
        <v/>
      </c>
      <c r="L3474" s="0" t="str">
        <f aca="false">IF(A3474="","",MONTH(A3474))</f>
        <v/>
      </c>
    </row>
    <row r="3475" customFormat="false" ht="15" hidden="false" customHeight="false" outlineLevel="0" collapsed="false">
      <c r="A3475" s="27"/>
      <c r="E3475" s="28"/>
      <c r="F3475" s="28"/>
      <c r="I3475" s="28" t="str">
        <f aca="false">IF(A3475="","",D3475*E3475)</f>
        <v/>
      </c>
      <c r="J3475" s="28" t="str">
        <f aca="false">IF(A3475="","",D3475*F3475)</f>
        <v/>
      </c>
      <c r="K3475" s="0" t="str">
        <f aca="false">IF(A3475="","",YEAR(A3475))</f>
        <v/>
      </c>
      <c r="L3475" s="0" t="str">
        <f aca="false">IF(A3475="","",MONTH(A3475))</f>
        <v/>
      </c>
    </row>
    <row r="3476" customFormat="false" ht="15" hidden="false" customHeight="false" outlineLevel="0" collapsed="false">
      <c r="A3476" s="27"/>
      <c r="E3476" s="28"/>
      <c r="F3476" s="28"/>
      <c r="I3476" s="28" t="str">
        <f aca="false">IF(A3476="","",D3476*E3476)</f>
        <v/>
      </c>
      <c r="J3476" s="28" t="str">
        <f aca="false">IF(A3476="","",D3476*F3476)</f>
        <v/>
      </c>
      <c r="K3476" s="0" t="str">
        <f aca="false">IF(A3476="","",YEAR(A3476))</f>
        <v/>
      </c>
      <c r="L3476" s="0" t="str">
        <f aca="false">IF(A3476="","",MONTH(A3476))</f>
        <v/>
      </c>
    </row>
    <row r="3477" customFormat="false" ht="15" hidden="false" customHeight="false" outlineLevel="0" collapsed="false">
      <c r="A3477" s="27"/>
      <c r="E3477" s="28"/>
      <c r="F3477" s="28"/>
      <c r="I3477" s="28" t="str">
        <f aca="false">IF(A3477="","",D3477*E3477)</f>
        <v/>
      </c>
      <c r="J3477" s="28" t="str">
        <f aca="false">IF(A3477="","",D3477*F3477)</f>
        <v/>
      </c>
      <c r="K3477" s="0" t="str">
        <f aca="false">IF(A3477="","",YEAR(A3477))</f>
        <v/>
      </c>
      <c r="L3477" s="0" t="str">
        <f aca="false">IF(A3477="","",MONTH(A3477))</f>
        <v/>
      </c>
    </row>
    <row r="3478" customFormat="false" ht="15" hidden="false" customHeight="false" outlineLevel="0" collapsed="false">
      <c r="A3478" s="27"/>
      <c r="E3478" s="28"/>
      <c r="F3478" s="28"/>
      <c r="I3478" s="28" t="str">
        <f aca="false">IF(A3478="","",D3478*E3478)</f>
        <v/>
      </c>
      <c r="J3478" s="28" t="str">
        <f aca="false">IF(A3478="","",D3478*F3478)</f>
        <v/>
      </c>
      <c r="K3478" s="0" t="str">
        <f aca="false">IF(A3478="","",YEAR(A3478))</f>
        <v/>
      </c>
      <c r="L3478" s="0" t="str">
        <f aca="false">IF(A3478="","",MONTH(A3478))</f>
        <v/>
      </c>
    </row>
    <row r="3479" customFormat="false" ht="15" hidden="false" customHeight="false" outlineLevel="0" collapsed="false">
      <c r="A3479" s="27"/>
      <c r="E3479" s="28"/>
      <c r="F3479" s="28"/>
      <c r="I3479" s="28" t="str">
        <f aca="false">IF(A3479="","",D3479*E3479)</f>
        <v/>
      </c>
      <c r="J3479" s="28" t="str">
        <f aca="false">IF(A3479="","",D3479*F3479)</f>
        <v/>
      </c>
      <c r="K3479" s="0" t="str">
        <f aca="false">IF(A3479="","",YEAR(A3479))</f>
        <v/>
      </c>
      <c r="L3479" s="0" t="str">
        <f aca="false">IF(A3479="","",MONTH(A3479))</f>
        <v/>
      </c>
    </row>
    <row r="3480" customFormat="false" ht="15" hidden="false" customHeight="false" outlineLevel="0" collapsed="false">
      <c r="A3480" s="27"/>
      <c r="E3480" s="28"/>
      <c r="F3480" s="28"/>
      <c r="I3480" s="28" t="str">
        <f aca="false">IF(A3480="","",D3480*E3480)</f>
        <v/>
      </c>
      <c r="J3480" s="28" t="str">
        <f aca="false">IF(A3480="","",D3480*F3480)</f>
        <v/>
      </c>
      <c r="K3480" s="0" t="str">
        <f aca="false">IF(A3480="","",YEAR(A3480))</f>
        <v/>
      </c>
      <c r="L3480" s="0" t="str">
        <f aca="false">IF(A3480="","",MONTH(A3480))</f>
        <v/>
      </c>
    </row>
    <row r="3481" customFormat="false" ht="15" hidden="false" customHeight="false" outlineLevel="0" collapsed="false">
      <c r="A3481" s="27"/>
      <c r="E3481" s="28"/>
      <c r="F3481" s="28"/>
      <c r="I3481" s="28" t="str">
        <f aca="false">IF(A3481="","",D3481*E3481)</f>
        <v/>
      </c>
      <c r="J3481" s="28" t="str">
        <f aca="false">IF(A3481="","",D3481*F3481)</f>
        <v/>
      </c>
      <c r="K3481" s="0" t="str">
        <f aca="false">IF(A3481="","",YEAR(A3481))</f>
        <v/>
      </c>
      <c r="L3481" s="0" t="str">
        <f aca="false">IF(A3481="","",MONTH(A3481))</f>
        <v/>
      </c>
    </row>
    <row r="3482" customFormat="false" ht="15" hidden="false" customHeight="false" outlineLevel="0" collapsed="false">
      <c r="A3482" s="27"/>
      <c r="E3482" s="28"/>
      <c r="F3482" s="28"/>
      <c r="I3482" s="28" t="str">
        <f aca="false">IF(A3482="","",D3482*E3482)</f>
        <v/>
      </c>
      <c r="J3482" s="28" t="str">
        <f aca="false">IF(A3482="","",D3482*F3482)</f>
        <v/>
      </c>
      <c r="K3482" s="0" t="str">
        <f aca="false">IF(A3482="","",YEAR(A3482))</f>
        <v/>
      </c>
      <c r="L3482" s="0" t="str">
        <f aca="false">IF(A3482="","",MONTH(A3482))</f>
        <v/>
      </c>
    </row>
    <row r="3483" customFormat="false" ht="15" hidden="false" customHeight="false" outlineLevel="0" collapsed="false">
      <c r="A3483" s="27"/>
      <c r="E3483" s="28"/>
      <c r="F3483" s="28"/>
      <c r="I3483" s="28" t="str">
        <f aca="false">IF(A3483="","",D3483*E3483)</f>
        <v/>
      </c>
      <c r="J3483" s="28" t="str">
        <f aca="false">IF(A3483="","",D3483*F3483)</f>
        <v/>
      </c>
      <c r="K3483" s="0" t="str">
        <f aca="false">IF(A3483="","",YEAR(A3483))</f>
        <v/>
      </c>
      <c r="L3483" s="0" t="str">
        <f aca="false">IF(A3483="","",MONTH(A3483))</f>
        <v/>
      </c>
    </row>
    <row r="3484" customFormat="false" ht="15" hidden="false" customHeight="false" outlineLevel="0" collapsed="false">
      <c r="A3484" s="27"/>
      <c r="E3484" s="28"/>
      <c r="F3484" s="28"/>
      <c r="I3484" s="28" t="str">
        <f aca="false">IF(A3484="","",D3484*E3484)</f>
        <v/>
      </c>
      <c r="J3484" s="28" t="str">
        <f aca="false">IF(A3484="","",D3484*F3484)</f>
        <v/>
      </c>
      <c r="K3484" s="0" t="str">
        <f aca="false">IF(A3484="","",YEAR(A3484))</f>
        <v/>
      </c>
      <c r="L3484" s="0" t="str">
        <f aca="false">IF(A3484="","",MONTH(A3484))</f>
        <v/>
      </c>
    </row>
    <row r="3485" customFormat="false" ht="15" hidden="false" customHeight="false" outlineLevel="0" collapsed="false">
      <c r="A3485" s="27"/>
      <c r="E3485" s="28"/>
      <c r="F3485" s="28"/>
      <c r="I3485" s="28" t="str">
        <f aca="false">IF(A3485="","",D3485*E3485)</f>
        <v/>
      </c>
      <c r="J3485" s="28" t="str">
        <f aca="false">IF(A3485="","",D3485*F3485)</f>
        <v/>
      </c>
      <c r="K3485" s="0" t="str">
        <f aca="false">IF(A3485="","",YEAR(A3485))</f>
        <v/>
      </c>
      <c r="L3485" s="0" t="str">
        <f aca="false">IF(A3485="","",MONTH(A3485))</f>
        <v/>
      </c>
    </row>
    <row r="3486" customFormat="false" ht="15" hidden="false" customHeight="false" outlineLevel="0" collapsed="false">
      <c r="A3486" s="27"/>
      <c r="E3486" s="28"/>
      <c r="F3486" s="28"/>
      <c r="I3486" s="28" t="str">
        <f aca="false">IF(A3486="","",D3486*E3486)</f>
        <v/>
      </c>
      <c r="J3486" s="28" t="str">
        <f aca="false">IF(A3486="","",D3486*F3486)</f>
        <v/>
      </c>
      <c r="K3486" s="0" t="str">
        <f aca="false">IF(A3486="","",YEAR(A3486))</f>
        <v/>
      </c>
      <c r="L3486" s="0" t="str">
        <f aca="false">IF(A3486="","",MONTH(A3486))</f>
        <v/>
      </c>
    </row>
    <row r="3487" customFormat="false" ht="15" hidden="false" customHeight="false" outlineLevel="0" collapsed="false">
      <c r="A3487" s="27"/>
      <c r="E3487" s="28"/>
      <c r="F3487" s="28"/>
      <c r="I3487" s="28" t="str">
        <f aca="false">IF(A3487="","",D3487*E3487)</f>
        <v/>
      </c>
      <c r="J3487" s="28" t="str">
        <f aca="false">IF(A3487="","",D3487*F3487)</f>
        <v/>
      </c>
      <c r="K3487" s="0" t="str">
        <f aca="false">IF(A3487="","",YEAR(A3487))</f>
        <v/>
      </c>
      <c r="L3487" s="0" t="str">
        <f aca="false">IF(A3487="","",MONTH(A3487))</f>
        <v/>
      </c>
    </row>
    <row r="3488" customFormat="false" ht="15" hidden="false" customHeight="false" outlineLevel="0" collapsed="false">
      <c r="A3488" s="27"/>
      <c r="E3488" s="28"/>
      <c r="F3488" s="28"/>
      <c r="I3488" s="28" t="str">
        <f aca="false">IF(A3488="","",D3488*E3488)</f>
        <v/>
      </c>
      <c r="J3488" s="28" t="str">
        <f aca="false">IF(A3488="","",D3488*F3488)</f>
        <v/>
      </c>
      <c r="K3488" s="0" t="str">
        <f aca="false">IF(A3488="","",YEAR(A3488))</f>
        <v/>
      </c>
      <c r="L3488" s="0" t="str">
        <f aca="false">IF(A3488="","",MONTH(A3488))</f>
        <v/>
      </c>
    </row>
    <row r="3489" customFormat="false" ht="15" hidden="false" customHeight="false" outlineLevel="0" collapsed="false">
      <c r="A3489" s="27"/>
      <c r="E3489" s="28"/>
      <c r="F3489" s="28"/>
      <c r="I3489" s="28" t="str">
        <f aca="false">IF(A3489="","",D3489*E3489)</f>
        <v/>
      </c>
      <c r="J3489" s="28" t="str">
        <f aca="false">IF(A3489="","",D3489*F3489)</f>
        <v/>
      </c>
      <c r="K3489" s="0" t="str">
        <f aca="false">IF(A3489="","",YEAR(A3489))</f>
        <v/>
      </c>
      <c r="L3489" s="0" t="str">
        <f aca="false">IF(A3489="","",MONTH(A3489))</f>
        <v/>
      </c>
    </row>
    <row r="3490" customFormat="false" ht="15" hidden="false" customHeight="false" outlineLevel="0" collapsed="false">
      <c r="A3490" s="27"/>
      <c r="E3490" s="28"/>
      <c r="F3490" s="28"/>
      <c r="I3490" s="28" t="str">
        <f aca="false">IF(A3490="","",D3490*E3490)</f>
        <v/>
      </c>
      <c r="J3490" s="28" t="str">
        <f aca="false">IF(A3490="","",D3490*F3490)</f>
        <v/>
      </c>
      <c r="K3490" s="0" t="str">
        <f aca="false">IF(A3490="","",YEAR(A3490))</f>
        <v/>
      </c>
      <c r="L3490" s="0" t="str">
        <f aca="false">IF(A3490="","",MONTH(A3490))</f>
        <v/>
      </c>
    </row>
    <row r="3491" customFormat="false" ht="15" hidden="false" customHeight="false" outlineLevel="0" collapsed="false">
      <c r="A3491" s="27"/>
      <c r="E3491" s="28"/>
      <c r="F3491" s="28"/>
      <c r="I3491" s="28" t="str">
        <f aca="false">IF(A3491="","",D3491*E3491)</f>
        <v/>
      </c>
      <c r="J3491" s="28" t="str">
        <f aca="false">IF(A3491="","",D3491*F3491)</f>
        <v/>
      </c>
      <c r="K3491" s="0" t="str">
        <f aca="false">IF(A3491="","",YEAR(A3491))</f>
        <v/>
      </c>
      <c r="L3491" s="0" t="str">
        <f aca="false">IF(A3491="","",MONTH(A3491))</f>
        <v/>
      </c>
    </row>
    <row r="3492" customFormat="false" ht="15" hidden="false" customHeight="false" outlineLevel="0" collapsed="false">
      <c r="A3492" s="27"/>
      <c r="E3492" s="28"/>
      <c r="F3492" s="28"/>
      <c r="I3492" s="28" t="str">
        <f aca="false">IF(A3492="","",D3492*E3492)</f>
        <v/>
      </c>
      <c r="J3492" s="28" t="str">
        <f aca="false">IF(A3492="","",D3492*F3492)</f>
        <v/>
      </c>
      <c r="K3492" s="0" t="str">
        <f aca="false">IF(A3492="","",YEAR(A3492))</f>
        <v/>
      </c>
      <c r="L3492" s="0" t="str">
        <f aca="false">IF(A3492="","",MONTH(A3492))</f>
        <v/>
      </c>
    </row>
    <row r="3493" customFormat="false" ht="15" hidden="false" customHeight="false" outlineLevel="0" collapsed="false">
      <c r="A3493" s="27"/>
      <c r="E3493" s="28"/>
      <c r="F3493" s="28"/>
      <c r="I3493" s="28" t="str">
        <f aca="false">IF(A3493="","",D3493*E3493)</f>
        <v/>
      </c>
      <c r="J3493" s="28" t="str">
        <f aca="false">IF(A3493="","",D3493*F3493)</f>
        <v/>
      </c>
      <c r="K3493" s="0" t="str">
        <f aca="false">IF(A3493="","",YEAR(A3493))</f>
        <v/>
      </c>
      <c r="L3493" s="0" t="str">
        <f aca="false">IF(A3493="","",MONTH(A3493))</f>
        <v/>
      </c>
    </row>
    <row r="3494" customFormat="false" ht="15" hidden="false" customHeight="false" outlineLevel="0" collapsed="false">
      <c r="A3494" s="27"/>
      <c r="E3494" s="28"/>
      <c r="F3494" s="28"/>
      <c r="I3494" s="28" t="str">
        <f aca="false">IF(A3494="","",D3494*E3494)</f>
        <v/>
      </c>
      <c r="J3494" s="28" t="str">
        <f aca="false">IF(A3494="","",D3494*F3494)</f>
        <v/>
      </c>
      <c r="K3494" s="0" t="str">
        <f aca="false">IF(A3494="","",YEAR(A3494))</f>
        <v/>
      </c>
      <c r="L3494" s="0" t="str">
        <f aca="false">IF(A3494="","",MONTH(A3494))</f>
        <v/>
      </c>
    </row>
    <row r="3495" customFormat="false" ht="15" hidden="false" customHeight="false" outlineLevel="0" collapsed="false">
      <c r="A3495" s="27"/>
      <c r="E3495" s="28"/>
      <c r="F3495" s="28"/>
      <c r="I3495" s="28" t="str">
        <f aca="false">IF(A3495="","",D3495*E3495)</f>
        <v/>
      </c>
      <c r="J3495" s="28" t="str">
        <f aca="false">IF(A3495="","",D3495*F3495)</f>
        <v/>
      </c>
      <c r="K3495" s="0" t="str">
        <f aca="false">IF(A3495="","",YEAR(A3495))</f>
        <v/>
      </c>
      <c r="L3495" s="0" t="str">
        <f aca="false">IF(A3495="","",MONTH(A3495))</f>
        <v/>
      </c>
    </row>
    <row r="3496" customFormat="false" ht="15" hidden="false" customHeight="false" outlineLevel="0" collapsed="false">
      <c r="A3496" s="27"/>
      <c r="E3496" s="28"/>
      <c r="F3496" s="28"/>
      <c r="I3496" s="28" t="str">
        <f aca="false">IF(A3496="","",D3496*E3496)</f>
        <v/>
      </c>
      <c r="J3496" s="28" t="str">
        <f aca="false">IF(A3496="","",D3496*F3496)</f>
        <v/>
      </c>
      <c r="K3496" s="0" t="str">
        <f aca="false">IF(A3496="","",YEAR(A3496))</f>
        <v/>
      </c>
      <c r="L3496" s="0" t="str">
        <f aca="false">IF(A3496="","",MONTH(A3496))</f>
        <v/>
      </c>
    </row>
    <row r="3497" customFormat="false" ht="15" hidden="false" customHeight="false" outlineLevel="0" collapsed="false">
      <c r="A3497" s="27"/>
      <c r="E3497" s="28"/>
      <c r="F3497" s="28"/>
      <c r="I3497" s="28" t="str">
        <f aca="false">IF(A3497="","",D3497*E3497)</f>
        <v/>
      </c>
      <c r="J3497" s="28" t="str">
        <f aca="false">IF(A3497="","",D3497*F3497)</f>
        <v/>
      </c>
      <c r="K3497" s="0" t="str">
        <f aca="false">IF(A3497="","",YEAR(A3497))</f>
        <v/>
      </c>
      <c r="L3497" s="0" t="str">
        <f aca="false">IF(A3497="","",MONTH(A3497))</f>
        <v/>
      </c>
    </row>
    <row r="3498" customFormat="false" ht="15" hidden="false" customHeight="false" outlineLevel="0" collapsed="false">
      <c r="A3498" s="27"/>
      <c r="E3498" s="28"/>
      <c r="F3498" s="28"/>
      <c r="I3498" s="28" t="str">
        <f aca="false">IF(A3498="","",D3498*E3498)</f>
        <v/>
      </c>
      <c r="J3498" s="28" t="str">
        <f aca="false">IF(A3498="","",D3498*F3498)</f>
        <v/>
      </c>
      <c r="K3498" s="0" t="str">
        <f aca="false">IF(A3498="","",YEAR(A3498))</f>
        <v/>
      </c>
      <c r="L3498" s="0" t="str">
        <f aca="false">IF(A3498="","",MONTH(A3498))</f>
        <v/>
      </c>
    </row>
    <row r="3499" customFormat="false" ht="15" hidden="false" customHeight="false" outlineLevel="0" collapsed="false">
      <c r="A3499" s="27"/>
      <c r="E3499" s="28"/>
      <c r="F3499" s="28"/>
      <c r="I3499" s="28" t="str">
        <f aca="false">IF(A3499="","",D3499*E3499)</f>
        <v/>
      </c>
      <c r="J3499" s="28" t="str">
        <f aca="false">IF(A3499="","",D3499*F3499)</f>
        <v/>
      </c>
      <c r="K3499" s="0" t="str">
        <f aca="false">IF(A3499="","",YEAR(A3499))</f>
        <v/>
      </c>
      <c r="L3499" s="0" t="str">
        <f aca="false">IF(A3499="","",MONTH(A3499))</f>
        <v/>
      </c>
    </row>
    <row r="3500" customFormat="false" ht="15" hidden="false" customHeight="false" outlineLevel="0" collapsed="false">
      <c r="A3500" s="27"/>
      <c r="E3500" s="28"/>
      <c r="F3500" s="28"/>
      <c r="I3500" s="28" t="str">
        <f aca="false">IF(A3500="","",D3500*E3500)</f>
        <v/>
      </c>
      <c r="J3500" s="28" t="str">
        <f aca="false">IF(A3500="","",D3500*F3500)</f>
        <v/>
      </c>
      <c r="K3500" s="0" t="str">
        <f aca="false">IF(A3500="","",YEAR(A3500))</f>
        <v/>
      </c>
      <c r="L3500" s="0" t="str">
        <f aca="false">IF(A3500="","",MONTH(A3500))</f>
        <v/>
      </c>
    </row>
    <row r="3501" customFormat="false" ht="15" hidden="false" customHeight="false" outlineLevel="0" collapsed="false">
      <c r="A3501" s="27"/>
      <c r="E3501" s="28"/>
      <c r="F3501" s="28"/>
      <c r="I3501" s="28" t="str">
        <f aca="false">IF(A3501="","",D3501*E3501)</f>
        <v/>
      </c>
      <c r="J3501" s="28" t="str">
        <f aca="false">IF(A3501="","",D3501*F3501)</f>
        <v/>
      </c>
      <c r="K3501" s="0" t="str">
        <f aca="false">IF(A3501="","",YEAR(A3501))</f>
        <v/>
      </c>
      <c r="L3501" s="0" t="str">
        <f aca="false">IF(A3501="","",MONTH(A3501))</f>
        <v/>
      </c>
    </row>
    <row r="3502" customFormat="false" ht="15" hidden="false" customHeight="false" outlineLevel="0" collapsed="false">
      <c r="A3502" s="27"/>
      <c r="E3502" s="28"/>
      <c r="F3502" s="28"/>
      <c r="I3502" s="28" t="str">
        <f aca="false">IF(A3502="","",D3502*E3502)</f>
        <v/>
      </c>
      <c r="J3502" s="28" t="str">
        <f aca="false">IF(A3502="","",D3502*F3502)</f>
        <v/>
      </c>
      <c r="K3502" s="0" t="str">
        <f aca="false">IF(A3502="","",YEAR(A3502))</f>
        <v/>
      </c>
      <c r="L3502" s="0" t="str">
        <f aca="false">IF(A3502="","",MONTH(A3502))</f>
        <v/>
      </c>
    </row>
    <row r="3503" customFormat="false" ht="15" hidden="false" customHeight="false" outlineLevel="0" collapsed="false">
      <c r="A3503" s="27"/>
      <c r="E3503" s="28"/>
      <c r="F3503" s="28"/>
      <c r="I3503" s="28" t="str">
        <f aca="false">IF(A3503="","",D3503*E3503)</f>
        <v/>
      </c>
      <c r="J3503" s="28" t="str">
        <f aca="false">IF(A3503="","",D3503*F3503)</f>
        <v/>
      </c>
      <c r="K3503" s="0" t="str">
        <f aca="false">IF(A3503="","",YEAR(A3503))</f>
        <v/>
      </c>
      <c r="L3503" s="0" t="str">
        <f aca="false">IF(A3503="","",MONTH(A3503))</f>
        <v/>
      </c>
    </row>
    <row r="3504" customFormat="false" ht="15" hidden="false" customHeight="false" outlineLevel="0" collapsed="false">
      <c r="A3504" s="27"/>
      <c r="E3504" s="28"/>
      <c r="F3504" s="28"/>
      <c r="I3504" s="28" t="str">
        <f aca="false">IF(A3504="","",D3504*E3504)</f>
        <v/>
      </c>
      <c r="J3504" s="28" t="str">
        <f aca="false">IF(A3504="","",D3504*F3504)</f>
        <v/>
      </c>
      <c r="K3504" s="0" t="str">
        <f aca="false">IF(A3504="","",YEAR(A3504))</f>
        <v/>
      </c>
      <c r="L3504" s="0" t="str">
        <f aca="false">IF(A3504="","",MONTH(A3504))</f>
        <v/>
      </c>
    </row>
    <row r="3505" customFormat="false" ht="15" hidden="false" customHeight="false" outlineLevel="0" collapsed="false">
      <c r="A3505" s="27"/>
      <c r="E3505" s="28"/>
      <c r="F3505" s="28"/>
      <c r="I3505" s="28" t="str">
        <f aca="false">IF(A3505="","",D3505*E3505)</f>
        <v/>
      </c>
      <c r="J3505" s="28" t="str">
        <f aca="false">IF(A3505="","",D3505*F3505)</f>
        <v/>
      </c>
      <c r="K3505" s="0" t="str">
        <f aca="false">IF(A3505="","",YEAR(A3505))</f>
        <v/>
      </c>
      <c r="L3505" s="0" t="str">
        <f aca="false">IF(A3505="","",MONTH(A3505))</f>
        <v/>
      </c>
    </row>
    <row r="3506" customFormat="false" ht="15" hidden="false" customHeight="false" outlineLevel="0" collapsed="false">
      <c r="A3506" s="27"/>
      <c r="E3506" s="28"/>
      <c r="F3506" s="28"/>
      <c r="I3506" s="28" t="str">
        <f aca="false">IF(A3506="","",D3506*E3506)</f>
        <v/>
      </c>
      <c r="J3506" s="28" t="str">
        <f aca="false">IF(A3506="","",D3506*F3506)</f>
        <v/>
      </c>
      <c r="K3506" s="0" t="str">
        <f aca="false">IF(A3506="","",YEAR(A3506))</f>
        <v/>
      </c>
      <c r="L3506" s="0" t="str">
        <f aca="false">IF(A3506="","",MONTH(A3506))</f>
        <v/>
      </c>
    </row>
    <row r="3507" customFormat="false" ht="15" hidden="false" customHeight="false" outlineLevel="0" collapsed="false">
      <c r="A3507" s="27"/>
      <c r="E3507" s="28"/>
      <c r="F3507" s="28"/>
      <c r="I3507" s="28" t="str">
        <f aca="false">IF(A3507="","",D3507*E3507)</f>
        <v/>
      </c>
      <c r="J3507" s="28" t="str">
        <f aca="false">IF(A3507="","",D3507*F3507)</f>
        <v/>
      </c>
      <c r="K3507" s="0" t="str">
        <f aca="false">IF(A3507="","",YEAR(A3507))</f>
        <v/>
      </c>
      <c r="L3507" s="0" t="str">
        <f aca="false">IF(A3507="","",MONTH(A3507))</f>
        <v/>
      </c>
    </row>
    <row r="3508" customFormat="false" ht="15" hidden="false" customHeight="false" outlineLevel="0" collapsed="false">
      <c r="A3508" s="27"/>
      <c r="E3508" s="28"/>
      <c r="F3508" s="28"/>
      <c r="I3508" s="28" t="str">
        <f aca="false">IF(A3508="","",D3508*E3508)</f>
        <v/>
      </c>
      <c r="J3508" s="28" t="str">
        <f aca="false">IF(A3508="","",D3508*F3508)</f>
        <v/>
      </c>
      <c r="K3508" s="0" t="str">
        <f aca="false">IF(A3508="","",YEAR(A3508))</f>
        <v/>
      </c>
      <c r="L3508" s="0" t="str">
        <f aca="false">IF(A3508="","",MONTH(A3508))</f>
        <v/>
      </c>
    </row>
    <row r="3509" customFormat="false" ht="15" hidden="false" customHeight="false" outlineLevel="0" collapsed="false">
      <c r="A3509" s="27"/>
      <c r="E3509" s="28"/>
      <c r="F3509" s="28"/>
      <c r="I3509" s="28" t="str">
        <f aca="false">IF(A3509="","",D3509*E3509)</f>
        <v/>
      </c>
      <c r="J3509" s="28" t="str">
        <f aca="false">IF(A3509="","",D3509*F3509)</f>
        <v/>
      </c>
      <c r="K3509" s="0" t="str">
        <f aca="false">IF(A3509="","",YEAR(A3509))</f>
        <v/>
      </c>
      <c r="L3509" s="0" t="str">
        <f aca="false">IF(A3509="","",MONTH(A3509))</f>
        <v/>
      </c>
    </row>
    <row r="3510" customFormat="false" ht="15" hidden="false" customHeight="false" outlineLevel="0" collapsed="false">
      <c r="A3510" s="27"/>
      <c r="E3510" s="28"/>
      <c r="F3510" s="28"/>
      <c r="I3510" s="28" t="str">
        <f aca="false">IF(A3510="","",D3510*E3510)</f>
        <v/>
      </c>
      <c r="J3510" s="28" t="str">
        <f aca="false">IF(A3510="","",D3510*F3510)</f>
        <v/>
      </c>
      <c r="K3510" s="0" t="str">
        <f aca="false">IF(A3510="","",YEAR(A3510))</f>
        <v/>
      </c>
      <c r="L3510" s="0" t="str">
        <f aca="false">IF(A3510="","",MONTH(A3510))</f>
        <v/>
      </c>
    </row>
    <row r="3511" customFormat="false" ht="15" hidden="false" customHeight="false" outlineLevel="0" collapsed="false">
      <c r="A3511" s="27"/>
      <c r="E3511" s="28"/>
      <c r="F3511" s="28"/>
      <c r="I3511" s="28" t="str">
        <f aca="false">IF(A3511="","",D3511*E3511)</f>
        <v/>
      </c>
      <c r="J3511" s="28" t="str">
        <f aca="false">IF(A3511="","",D3511*F3511)</f>
        <v/>
      </c>
      <c r="K3511" s="0" t="str">
        <f aca="false">IF(A3511="","",YEAR(A3511))</f>
        <v/>
      </c>
      <c r="L3511" s="0" t="str">
        <f aca="false">IF(A3511="","",MONTH(A3511))</f>
        <v/>
      </c>
    </row>
    <row r="3512" customFormat="false" ht="15" hidden="false" customHeight="false" outlineLevel="0" collapsed="false">
      <c r="A3512" s="27"/>
      <c r="E3512" s="28"/>
      <c r="F3512" s="28"/>
      <c r="I3512" s="28" t="str">
        <f aca="false">IF(A3512="","",D3512*E3512)</f>
        <v/>
      </c>
      <c r="J3512" s="28" t="str">
        <f aca="false">IF(A3512="","",D3512*F3512)</f>
        <v/>
      </c>
      <c r="K3512" s="0" t="str">
        <f aca="false">IF(A3512="","",YEAR(A3512))</f>
        <v/>
      </c>
      <c r="L3512" s="0" t="str">
        <f aca="false">IF(A3512="","",MONTH(A3512))</f>
        <v/>
      </c>
    </row>
    <row r="3513" customFormat="false" ht="15" hidden="false" customHeight="false" outlineLevel="0" collapsed="false">
      <c r="A3513" s="27"/>
      <c r="E3513" s="28"/>
      <c r="F3513" s="28"/>
      <c r="I3513" s="28" t="str">
        <f aca="false">IF(A3513="","",D3513*E3513)</f>
        <v/>
      </c>
      <c r="J3513" s="28" t="str">
        <f aca="false">IF(A3513="","",D3513*F3513)</f>
        <v/>
      </c>
      <c r="K3513" s="0" t="str">
        <f aca="false">IF(A3513="","",YEAR(A3513))</f>
        <v/>
      </c>
      <c r="L3513" s="0" t="str">
        <f aca="false">IF(A3513="","",MONTH(A3513))</f>
        <v/>
      </c>
    </row>
    <row r="3514" customFormat="false" ht="15" hidden="false" customHeight="false" outlineLevel="0" collapsed="false">
      <c r="A3514" s="27"/>
      <c r="E3514" s="28"/>
      <c r="F3514" s="28"/>
      <c r="I3514" s="28" t="str">
        <f aca="false">IF(A3514="","",D3514*E3514)</f>
        <v/>
      </c>
      <c r="J3514" s="28" t="str">
        <f aca="false">IF(A3514="","",D3514*F3514)</f>
        <v/>
      </c>
      <c r="K3514" s="0" t="str">
        <f aca="false">IF(A3514="","",YEAR(A3514))</f>
        <v/>
      </c>
      <c r="L3514" s="0" t="str">
        <f aca="false">IF(A3514="","",MONTH(A3514))</f>
        <v/>
      </c>
    </row>
    <row r="3515" customFormat="false" ht="15" hidden="false" customHeight="false" outlineLevel="0" collapsed="false">
      <c r="A3515" s="27"/>
      <c r="E3515" s="28"/>
      <c r="F3515" s="28"/>
      <c r="I3515" s="28" t="str">
        <f aca="false">IF(A3515="","",D3515*E3515)</f>
        <v/>
      </c>
      <c r="J3515" s="28" t="str">
        <f aca="false">IF(A3515="","",D3515*F3515)</f>
        <v/>
      </c>
      <c r="K3515" s="0" t="str">
        <f aca="false">IF(A3515="","",YEAR(A3515))</f>
        <v/>
      </c>
      <c r="L3515" s="0" t="str">
        <f aca="false">IF(A3515="","",MONTH(A3515))</f>
        <v/>
      </c>
    </row>
    <row r="3516" customFormat="false" ht="15" hidden="false" customHeight="false" outlineLevel="0" collapsed="false">
      <c r="A3516" s="27"/>
      <c r="E3516" s="28"/>
      <c r="F3516" s="28"/>
      <c r="I3516" s="28" t="str">
        <f aca="false">IF(A3516="","",D3516*E3516)</f>
        <v/>
      </c>
      <c r="J3516" s="28" t="str">
        <f aca="false">IF(A3516="","",D3516*F3516)</f>
        <v/>
      </c>
      <c r="K3516" s="0" t="str">
        <f aca="false">IF(A3516="","",YEAR(A3516))</f>
        <v/>
      </c>
      <c r="L3516" s="0" t="str">
        <f aca="false">IF(A3516="","",MONTH(A3516))</f>
        <v/>
      </c>
    </row>
    <row r="3517" customFormat="false" ht="15" hidden="false" customHeight="false" outlineLevel="0" collapsed="false">
      <c r="A3517" s="27"/>
      <c r="E3517" s="28"/>
      <c r="F3517" s="28"/>
      <c r="I3517" s="28" t="str">
        <f aca="false">IF(A3517="","",D3517*E3517)</f>
        <v/>
      </c>
      <c r="J3517" s="28" t="str">
        <f aca="false">IF(A3517="","",D3517*F3517)</f>
        <v/>
      </c>
      <c r="K3517" s="0" t="str">
        <f aca="false">IF(A3517="","",YEAR(A3517))</f>
        <v/>
      </c>
      <c r="L3517" s="0" t="str">
        <f aca="false">IF(A3517="","",MONTH(A3517))</f>
        <v/>
      </c>
    </row>
    <row r="3518" customFormat="false" ht="15" hidden="false" customHeight="false" outlineLevel="0" collapsed="false">
      <c r="A3518" s="27"/>
      <c r="E3518" s="28"/>
      <c r="F3518" s="28"/>
      <c r="I3518" s="28" t="str">
        <f aca="false">IF(A3518="","",D3518*E3518)</f>
        <v/>
      </c>
      <c r="J3518" s="28" t="str">
        <f aca="false">IF(A3518="","",D3518*F3518)</f>
        <v/>
      </c>
      <c r="K3518" s="0" t="str">
        <f aca="false">IF(A3518="","",YEAR(A3518))</f>
        <v/>
      </c>
      <c r="L3518" s="0" t="str">
        <f aca="false">IF(A3518="","",MONTH(A3518))</f>
        <v/>
      </c>
    </row>
    <row r="3519" customFormat="false" ht="15" hidden="false" customHeight="false" outlineLevel="0" collapsed="false">
      <c r="A3519" s="27"/>
      <c r="E3519" s="28"/>
      <c r="F3519" s="28"/>
      <c r="I3519" s="28" t="str">
        <f aca="false">IF(A3519="","",D3519*E3519)</f>
        <v/>
      </c>
      <c r="J3519" s="28" t="str">
        <f aca="false">IF(A3519="","",D3519*F3519)</f>
        <v/>
      </c>
      <c r="K3519" s="0" t="str">
        <f aca="false">IF(A3519="","",YEAR(A3519))</f>
        <v/>
      </c>
      <c r="L3519" s="0" t="str">
        <f aca="false">IF(A3519="","",MONTH(A3519))</f>
        <v/>
      </c>
    </row>
    <row r="3520" customFormat="false" ht="15" hidden="false" customHeight="false" outlineLevel="0" collapsed="false">
      <c r="A3520" s="27"/>
      <c r="E3520" s="28"/>
      <c r="F3520" s="28"/>
      <c r="I3520" s="28" t="str">
        <f aca="false">IF(A3520="","",D3520*E3520)</f>
        <v/>
      </c>
      <c r="J3520" s="28" t="str">
        <f aca="false">IF(A3520="","",D3520*F3520)</f>
        <v/>
      </c>
      <c r="K3520" s="0" t="str">
        <f aca="false">IF(A3520="","",YEAR(A3520))</f>
        <v/>
      </c>
      <c r="L3520" s="0" t="str">
        <f aca="false">IF(A3520="","",MONTH(A3520))</f>
        <v/>
      </c>
    </row>
    <row r="3521" customFormat="false" ht="15" hidden="false" customHeight="false" outlineLevel="0" collapsed="false">
      <c r="A3521" s="27"/>
      <c r="E3521" s="28"/>
      <c r="F3521" s="28"/>
      <c r="I3521" s="28" t="str">
        <f aca="false">IF(A3521="","",D3521*E3521)</f>
        <v/>
      </c>
      <c r="J3521" s="28" t="str">
        <f aca="false">IF(A3521="","",D3521*F3521)</f>
        <v/>
      </c>
      <c r="K3521" s="0" t="str">
        <f aca="false">IF(A3521="","",YEAR(A3521))</f>
        <v/>
      </c>
      <c r="L3521" s="0" t="str">
        <f aca="false">IF(A3521="","",MONTH(A3521))</f>
        <v/>
      </c>
    </row>
    <row r="3522" customFormat="false" ht="15" hidden="false" customHeight="false" outlineLevel="0" collapsed="false">
      <c r="A3522" s="27"/>
      <c r="E3522" s="28"/>
      <c r="F3522" s="28"/>
      <c r="I3522" s="28" t="str">
        <f aca="false">IF(A3522="","",D3522*E3522)</f>
        <v/>
      </c>
      <c r="J3522" s="28" t="str">
        <f aca="false">IF(A3522="","",D3522*F3522)</f>
        <v/>
      </c>
      <c r="K3522" s="0" t="str">
        <f aca="false">IF(A3522="","",YEAR(A3522))</f>
        <v/>
      </c>
      <c r="L3522" s="0" t="str">
        <f aca="false">IF(A3522="","",MONTH(A3522))</f>
        <v/>
      </c>
    </row>
    <row r="3523" customFormat="false" ht="15" hidden="false" customHeight="false" outlineLevel="0" collapsed="false">
      <c r="A3523" s="27"/>
      <c r="E3523" s="28"/>
      <c r="F3523" s="28"/>
      <c r="I3523" s="28" t="str">
        <f aca="false">IF(A3523="","",D3523*E3523)</f>
        <v/>
      </c>
      <c r="J3523" s="28" t="str">
        <f aca="false">IF(A3523="","",D3523*F3523)</f>
        <v/>
      </c>
      <c r="K3523" s="0" t="str">
        <f aca="false">IF(A3523="","",YEAR(A3523))</f>
        <v/>
      </c>
      <c r="L3523" s="0" t="str">
        <f aca="false">IF(A3523="","",MONTH(A3523))</f>
        <v/>
      </c>
    </row>
    <row r="3524" customFormat="false" ht="15" hidden="false" customHeight="false" outlineLevel="0" collapsed="false">
      <c r="A3524" s="27"/>
      <c r="E3524" s="28"/>
      <c r="F3524" s="28"/>
      <c r="I3524" s="28" t="str">
        <f aca="false">IF(A3524="","",D3524*E3524)</f>
        <v/>
      </c>
      <c r="J3524" s="28" t="str">
        <f aca="false">IF(A3524="","",D3524*F3524)</f>
        <v/>
      </c>
      <c r="K3524" s="0" t="str">
        <f aca="false">IF(A3524="","",YEAR(A3524))</f>
        <v/>
      </c>
      <c r="L3524" s="0" t="str">
        <f aca="false">IF(A3524="","",MONTH(A3524))</f>
        <v/>
      </c>
    </row>
    <row r="3525" customFormat="false" ht="15" hidden="false" customHeight="false" outlineLevel="0" collapsed="false">
      <c r="A3525" s="27"/>
      <c r="E3525" s="28"/>
      <c r="F3525" s="28"/>
      <c r="I3525" s="28" t="str">
        <f aca="false">IF(A3525="","",D3525*E3525)</f>
        <v/>
      </c>
      <c r="J3525" s="28" t="str">
        <f aca="false">IF(A3525="","",D3525*F3525)</f>
        <v/>
      </c>
      <c r="K3525" s="0" t="str">
        <f aca="false">IF(A3525="","",YEAR(A3525))</f>
        <v/>
      </c>
      <c r="L3525" s="0" t="str">
        <f aca="false">IF(A3525="","",MONTH(A3525))</f>
        <v/>
      </c>
    </row>
    <row r="3526" customFormat="false" ht="15" hidden="false" customHeight="false" outlineLevel="0" collapsed="false">
      <c r="A3526" s="27"/>
      <c r="E3526" s="28"/>
      <c r="F3526" s="28"/>
      <c r="I3526" s="28" t="str">
        <f aca="false">IF(A3526="","",D3526*E3526)</f>
        <v/>
      </c>
      <c r="J3526" s="28" t="str">
        <f aca="false">IF(A3526="","",D3526*F3526)</f>
        <v/>
      </c>
      <c r="K3526" s="0" t="str">
        <f aca="false">IF(A3526="","",YEAR(A3526))</f>
        <v/>
      </c>
      <c r="L3526" s="0" t="str">
        <f aca="false">IF(A3526="","",MONTH(A3526))</f>
        <v/>
      </c>
    </row>
    <row r="3527" customFormat="false" ht="15" hidden="false" customHeight="false" outlineLevel="0" collapsed="false">
      <c r="A3527" s="27"/>
      <c r="E3527" s="28"/>
      <c r="F3527" s="28"/>
      <c r="I3527" s="28" t="str">
        <f aca="false">IF(A3527="","",D3527*E3527)</f>
        <v/>
      </c>
      <c r="J3527" s="28" t="str">
        <f aca="false">IF(A3527="","",D3527*F3527)</f>
        <v/>
      </c>
      <c r="K3527" s="0" t="str">
        <f aca="false">IF(A3527="","",YEAR(A3527))</f>
        <v/>
      </c>
      <c r="L3527" s="0" t="str">
        <f aca="false">IF(A3527="","",MONTH(A3527))</f>
        <v/>
      </c>
    </row>
    <row r="3528" customFormat="false" ht="15" hidden="false" customHeight="false" outlineLevel="0" collapsed="false">
      <c r="A3528" s="27"/>
      <c r="E3528" s="28"/>
      <c r="F3528" s="28"/>
      <c r="I3528" s="28" t="str">
        <f aca="false">IF(A3528="","",D3528*E3528)</f>
        <v/>
      </c>
      <c r="J3528" s="28" t="str">
        <f aca="false">IF(A3528="","",D3528*F3528)</f>
        <v/>
      </c>
      <c r="K3528" s="0" t="str">
        <f aca="false">IF(A3528="","",YEAR(A3528))</f>
        <v/>
      </c>
      <c r="L3528" s="0" t="str">
        <f aca="false">IF(A3528="","",MONTH(A3528))</f>
        <v/>
      </c>
    </row>
    <row r="3529" customFormat="false" ht="15" hidden="false" customHeight="false" outlineLevel="0" collapsed="false">
      <c r="A3529" s="27"/>
      <c r="E3529" s="28"/>
      <c r="F3529" s="28"/>
      <c r="I3529" s="28" t="str">
        <f aca="false">IF(A3529="","",D3529*E3529)</f>
        <v/>
      </c>
      <c r="J3529" s="28" t="str">
        <f aca="false">IF(A3529="","",D3529*F3529)</f>
        <v/>
      </c>
      <c r="K3529" s="0" t="str">
        <f aca="false">IF(A3529="","",YEAR(A3529))</f>
        <v/>
      </c>
      <c r="L3529" s="0" t="str">
        <f aca="false">IF(A3529="","",MONTH(A3529))</f>
        <v/>
      </c>
    </row>
    <row r="3530" customFormat="false" ht="15" hidden="false" customHeight="false" outlineLevel="0" collapsed="false">
      <c r="A3530" s="27"/>
      <c r="E3530" s="28"/>
      <c r="F3530" s="28"/>
      <c r="I3530" s="28" t="str">
        <f aca="false">IF(A3530="","",D3530*E3530)</f>
        <v/>
      </c>
      <c r="J3530" s="28" t="str">
        <f aca="false">IF(A3530="","",D3530*F3530)</f>
        <v/>
      </c>
      <c r="K3530" s="0" t="str">
        <f aca="false">IF(A3530="","",YEAR(A3530))</f>
        <v/>
      </c>
      <c r="L3530" s="0" t="str">
        <f aca="false">IF(A3530="","",MONTH(A3530))</f>
        <v/>
      </c>
    </row>
    <row r="3531" customFormat="false" ht="15" hidden="false" customHeight="false" outlineLevel="0" collapsed="false">
      <c r="A3531" s="27"/>
      <c r="E3531" s="28"/>
      <c r="F3531" s="28"/>
      <c r="I3531" s="28" t="str">
        <f aca="false">IF(A3531="","",D3531*E3531)</f>
        <v/>
      </c>
      <c r="J3531" s="28" t="str">
        <f aca="false">IF(A3531="","",D3531*F3531)</f>
        <v/>
      </c>
      <c r="K3531" s="0" t="str">
        <f aca="false">IF(A3531="","",YEAR(A3531))</f>
        <v/>
      </c>
      <c r="L3531" s="0" t="str">
        <f aca="false">IF(A3531="","",MONTH(A3531))</f>
        <v/>
      </c>
    </row>
    <row r="3532" customFormat="false" ht="15" hidden="false" customHeight="false" outlineLevel="0" collapsed="false">
      <c r="A3532" s="27"/>
      <c r="E3532" s="28"/>
      <c r="F3532" s="28"/>
      <c r="I3532" s="28" t="str">
        <f aca="false">IF(A3532="","",D3532*E3532)</f>
        <v/>
      </c>
      <c r="J3532" s="28" t="str">
        <f aca="false">IF(A3532="","",D3532*F3532)</f>
        <v/>
      </c>
      <c r="K3532" s="0" t="str">
        <f aca="false">IF(A3532="","",YEAR(A3532))</f>
        <v/>
      </c>
      <c r="L3532" s="0" t="str">
        <f aca="false">IF(A3532="","",MONTH(A3532))</f>
        <v/>
      </c>
    </row>
    <row r="3533" customFormat="false" ht="15" hidden="false" customHeight="false" outlineLevel="0" collapsed="false">
      <c r="A3533" s="27"/>
      <c r="E3533" s="28"/>
      <c r="F3533" s="28"/>
      <c r="I3533" s="28" t="str">
        <f aca="false">IF(A3533="","",D3533*E3533)</f>
        <v/>
      </c>
      <c r="J3533" s="28" t="str">
        <f aca="false">IF(A3533="","",D3533*F3533)</f>
        <v/>
      </c>
      <c r="K3533" s="0" t="str">
        <f aca="false">IF(A3533="","",YEAR(A3533))</f>
        <v/>
      </c>
      <c r="L3533" s="0" t="str">
        <f aca="false">IF(A3533="","",MONTH(A3533))</f>
        <v/>
      </c>
    </row>
    <row r="3534" customFormat="false" ht="15" hidden="false" customHeight="false" outlineLevel="0" collapsed="false">
      <c r="A3534" s="27"/>
      <c r="E3534" s="28"/>
      <c r="F3534" s="28"/>
      <c r="I3534" s="28" t="str">
        <f aca="false">IF(A3534="","",D3534*E3534)</f>
        <v/>
      </c>
      <c r="J3534" s="28" t="str">
        <f aca="false">IF(A3534="","",D3534*F3534)</f>
        <v/>
      </c>
      <c r="K3534" s="0" t="str">
        <f aca="false">IF(A3534="","",YEAR(A3534))</f>
        <v/>
      </c>
      <c r="L3534" s="0" t="str">
        <f aca="false">IF(A3534="","",MONTH(A3534))</f>
        <v/>
      </c>
    </row>
    <row r="3535" customFormat="false" ht="15" hidden="false" customHeight="false" outlineLevel="0" collapsed="false">
      <c r="A3535" s="27"/>
      <c r="E3535" s="28"/>
      <c r="F3535" s="28"/>
      <c r="I3535" s="28" t="str">
        <f aca="false">IF(A3535="","",D3535*E3535)</f>
        <v/>
      </c>
      <c r="J3535" s="28" t="str">
        <f aca="false">IF(A3535="","",D3535*F3535)</f>
        <v/>
      </c>
      <c r="K3535" s="0" t="str">
        <f aca="false">IF(A3535="","",YEAR(A3535))</f>
        <v/>
      </c>
      <c r="L3535" s="0" t="str">
        <f aca="false">IF(A3535="","",MONTH(A3535))</f>
        <v/>
      </c>
    </row>
    <row r="3536" customFormat="false" ht="15" hidden="false" customHeight="false" outlineLevel="0" collapsed="false">
      <c r="A3536" s="27"/>
      <c r="E3536" s="28"/>
      <c r="F3536" s="28"/>
      <c r="I3536" s="28" t="str">
        <f aca="false">IF(A3536="","",D3536*E3536)</f>
        <v/>
      </c>
      <c r="J3536" s="28" t="str">
        <f aca="false">IF(A3536="","",D3536*F3536)</f>
        <v/>
      </c>
      <c r="K3536" s="0" t="str">
        <f aca="false">IF(A3536="","",YEAR(A3536))</f>
        <v/>
      </c>
      <c r="L3536" s="0" t="str">
        <f aca="false">IF(A3536="","",MONTH(A3536))</f>
        <v/>
      </c>
    </row>
    <row r="3537" customFormat="false" ht="15" hidden="false" customHeight="false" outlineLevel="0" collapsed="false">
      <c r="A3537" s="27"/>
      <c r="E3537" s="28"/>
      <c r="F3537" s="28"/>
      <c r="I3537" s="28" t="str">
        <f aca="false">IF(A3537="","",D3537*E3537)</f>
        <v/>
      </c>
      <c r="J3537" s="28" t="str">
        <f aca="false">IF(A3537="","",D3537*F3537)</f>
        <v/>
      </c>
      <c r="K3537" s="0" t="str">
        <f aca="false">IF(A3537="","",YEAR(A3537))</f>
        <v/>
      </c>
      <c r="L3537" s="0" t="str">
        <f aca="false">IF(A3537="","",MONTH(A3537))</f>
        <v/>
      </c>
    </row>
    <row r="3538" customFormat="false" ht="15" hidden="false" customHeight="false" outlineLevel="0" collapsed="false">
      <c r="A3538" s="27"/>
      <c r="E3538" s="28"/>
      <c r="F3538" s="28"/>
      <c r="I3538" s="28" t="str">
        <f aca="false">IF(A3538="","",D3538*E3538)</f>
        <v/>
      </c>
      <c r="J3538" s="28" t="str">
        <f aca="false">IF(A3538="","",D3538*F3538)</f>
        <v/>
      </c>
      <c r="K3538" s="0" t="str">
        <f aca="false">IF(A3538="","",YEAR(A3538))</f>
        <v/>
      </c>
      <c r="L3538" s="0" t="str">
        <f aca="false">IF(A3538="","",MONTH(A3538))</f>
        <v/>
      </c>
    </row>
    <row r="3539" customFormat="false" ht="15" hidden="false" customHeight="false" outlineLevel="0" collapsed="false">
      <c r="A3539" s="27"/>
      <c r="E3539" s="28"/>
      <c r="F3539" s="28"/>
      <c r="I3539" s="28" t="str">
        <f aca="false">IF(A3539="","",D3539*E3539)</f>
        <v/>
      </c>
      <c r="J3539" s="28" t="str">
        <f aca="false">IF(A3539="","",D3539*F3539)</f>
        <v/>
      </c>
      <c r="K3539" s="0" t="str">
        <f aca="false">IF(A3539="","",YEAR(A3539))</f>
        <v/>
      </c>
      <c r="L3539" s="0" t="str">
        <f aca="false">IF(A3539="","",MONTH(A3539))</f>
        <v/>
      </c>
    </row>
    <row r="3540" customFormat="false" ht="15" hidden="false" customHeight="false" outlineLevel="0" collapsed="false">
      <c r="A3540" s="27"/>
      <c r="E3540" s="28"/>
      <c r="F3540" s="28"/>
      <c r="I3540" s="28" t="str">
        <f aca="false">IF(A3540="","",D3540*E3540)</f>
        <v/>
      </c>
      <c r="J3540" s="28" t="str">
        <f aca="false">IF(A3540="","",D3540*F3540)</f>
        <v/>
      </c>
      <c r="K3540" s="0" t="str">
        <f aca="false">IF(A3540="","",YEAR(A3540))</f>
        <v/>
      </c>
      <c r="L3540" s="0" t="str">
        <f aca="false">IF(A3540="","",MONTH(A3540))</f>
        <v/>
      </c>
    </row>
    <row r="3541" customFormat="false" ht="15" hidden="false" customHeight="false" outlineLevel="0" collapsed="false">
      <c r="A3541" s="27"/>
      <c r="E3541" s="28"/>
      <c r="F3541" s="28"/>
      <c r="I3541" s="28" t="str">
        <f aca="false">IF(A3541="","",D3541*E3541)</f>
        <v/>
      </c>
      <c r="J3541" s="28" t="str">
        <f aca="false">IF(A3541="","",D3541*F3541)</f>
        <v/>
      </c>
      <c r="K3541" s="0" t="str">
        <f aca="false">IF(A3541="","",YEAR(A3541))</f>
        <v/>
      </c>
      <c r="L3541" s="0" t="str">
        <f aca="false">IF(A3541="","",MONTH(A3541))</f>
        <v/>
      </c>
    </row>
    <row r="3542" customFormat="false" ht="15" hidden="false" customHeight="false" outlineLevel="0" collapsed="false">
      <c r="A3542" s="27"/>
      <c r="E3542" s="28"/>
      <c r="F3542" s="28"/>
      <c r="I3542" s="28" t="str">
        <f aca="false">IF(A3542="","",D3542*E3542)</f>
        <v/>
      </c>
      <c r="J3542" s="28" t="str">
        <f aca="false">IF(A3542="","",D3542*F3542)</f>
        <v/>
      </c>
      <c r="K3542" s="0" t="str">
        <f aca="false">IF(A3542="","",YEAR(A3542))</f>
        <v/>
      </c>
      <c r="L3542" s="0" t="str">
        <f aca="false">IF(A3542="","",MONTH(A3542))</f>
        <v/>
      </c>
    </row>
    <row r="3543" customFormat="false" ht="15" hidden="false" customHeight="false" outlineLevel="0" collapsed="false">
      <c r="A3543" s="27"/>
      <c r="E3543" s="28"/>
      <c r="F3543" s="28"/>
      <c r="I3543" s="28" t="str">
        <f aca="false">IF(A3543="","",D3543*E3543)</f>
        <v/>
      </c>
      <c r="J3543" s="28" t="str">
        <f aca="false">IF(A3543="","",D3543*F3543)</f>
        <v/>
      </c>
      <c r="K3543" s="0" t="str">
        <f aca="false">IF(A3543="","",YEAR(A3543))</f>
        <v/>
      </c>
      <c r="L3543" s="0" t="str">
        <f aca="false">IF(A3543="","",MONTH(A3543))</f>
        <v/>
      </c>
    </row>
    <row r="3544" customFormat="false" ht="15" hidden="false" customHeight="false" outlineLevel="0" collapsed="false">
      <c r="A3544" s="27"/>
      <c r="E3544" s="28"/>
      <c r="F3544" s="28"/>
      <c r="I3544" s="28" t="str">
        <f aca="false">IF(A3544="","",D3544*E3544)</f>
        <v/>
      </c>
      <c r="J3544" s="28" t="str">
        <f aca="false">IF(A3544="","",D3544*F3544)</f>
        <v/>
      </c>
      <c r="K3544" s="0" t="str">
        <f aca="false">IF(A3544="","",YEAR(A3544))</f>
        <v/>
      </c>
      <c r="L3544" s="0" t="str">
        <f aca="false">IF(A3544="","",MONTH(A3544))</f>
        <v/>
      </c>
    </row>
    <row r="3545" customFormat="false" ht="15" hidden="false" customHeight="false" outlineLevel="0" collapsed="false">
      <c r="A3545" s="27"/>
      <c r="E3545" s="28"/>
      <c r="F3545" s="28"/>
      <c r="I3545" s="28" t="str">
        <f aca="false">IF(A3545="","",D3545*E3545)</f>
        <v/>
      </c>
      <c r="J3545" s="28" t="str">
        <f aca="false">IF(A3545="","",D3545*F3545)</f>
        <v/>
      </c>
      <c r="K3545" s="0" t="str">
        <f aca="false">IF(A3545="","",YEAR(A3545))</f>
        <v/>
      </c>
      <c r="L3545" s="0" t="str">
        <f aca="false">IF(A3545="","",MONTH(A3545))</f>
        <v/>
      </c>
    </row>
    <row r="3546" customFormat="false" ht="15" hidden="false" customHeight="false" outlineLevel="0" collapsed="false">
      <c r="A3546" s="27"/>
      <c r="E3546" s="28"/>
      <c r="F3546" s="28"/>
      <c r="I3546" s="28" t="str">
        <f aca="false">IF(A3546="","",D3546*E3546)</f>
        <v/>
      </c>
      <c r="J3546" s="28" t="str">
        <f aca="false">IF(A3546="","",D3546*F3546)</f>
        <v/>
      </c>
      <c r="K3546" s="0" t="str">
        <f aca="false">IF(A3546="","",YEAR(A3546))</f>
        <v/>
      </c>
      <c r="L3546" s="0" t="str">
        <f aca="false">IF(A3546="","",MONTH(A3546))</f>
        <v/>
      </c>
    </row>
    <row r="3547" customFormat="false" ht="15" hidden="false" customHeight="false" outlineLevel="0" collapsed="false">
      <c r="A3547" s="27"/>
      <c r="E3547" s="28"/>
      <c r="F3547" s="28"/>
      <c r="I3547" s="28" t="str">
        <f aca="false">IF(A3547="","",D3547*E3547)</f>
        <v/>
      </c>
      <c r="J3547" s="28" t="str">
        <f aca="false">IF(A3547="","",D3547*F3547)</f>
        <v/>
      </c>
      <c r="K3547" s="0" t="str">
        <f aca="false">IF(A3547="","",YEAR(A3547))</f>
        <v/>
      </c>
      <c r="L3547" s="0" t="str">
        <f aca="false">IF(A3547="","",MONTH(A3547))</f>
        <v/>
      </c>
    </row>
    <row r="3548" customFormat="false" ht="15" hidden="false" customHeight="false" outlineLevel="0" collapsed="false">
      <c r="A3548" s="27"/>
      <c r="E3548" s="28"/>
      <c r="F3548" s="28"/>
      <c r="I3548" s="28" t="str">
        <f aca="false">IF(A3548="","",D3548*E3548)</f>
        <v/>
      </c>
      <c r="J3548" s="28" t="str">
        <f aca="false">IF(A3548="","",D3548*F3548)</f>
        <v/>
      </c>
      <c r="K3548" s="0" t="str">
        <f aca="false">IF(A3548="","",YEAR(A3548))</f>
        <v/>
      </c>
      <c r="L3548" s="0" t="str">
        <f aca="false">IF(A3548="","",MONTH(A3548))</f>
        <v/>
      </c>
    </row>
    <row r="3549" customFormat="false" ht="15" hidden="false" customHeight="false" outlineLevel="0" collapsed="false">
      <c r="A3549" s="27"/>
      <c r="E3549" s="28"/>
      <c r="F3549" s="28"/>
      <c r="I3549" s="28" t="str">
        <f aca="false">IF(A3549="","",D3549*E3549)</f>
        <v/>
      </c>
      <c r="J3549" s="28" t="str">
        <f aca="false">IF(A3549="","",D3549*F3549)</f>
        <v/>
      </c>
      <c r="K3549" s="0" t="str">
        <f aca="false">IF(A3549="","",YEAR(A3549))</f>
        <v/>
      </c>
      <c r="L3549" s="0" t="str">
        <f aca="false">IF(A3549="","",MONTH(A3549))</f>
        <v/>
      </c>
    </row>
    <row r="3550" customFormat="false" ht="15" hidden="false" customHeight="false" outlineLevel="0" collapsed="false">
      <c r="A3550" s="27"/>
      <c r="E3550" s="28"/>
      <c r="F3550" s="28"/>
      <c r="I3550" s="28" t="str">
        <f aca="false">IF(A3550="","",D3550*E3550)</f>
        <v/>
      </c>
      <c r="J3550" s="28" t="str">
        <f aca="false">IF(A3550="","",D3550*F3550)</f>
        <v/>
      </c>
      <c r="K3550" s="0" t="str">
        <f aca="false">IF(A3550="","",YEAR(A3550))</f>
        <v/>
      </c>
      <c r="L3550" s="0" t="str">
        <f aca="false">IF(A3550="","",MONTH(A3550))</f>
        <v/>
      </c>
    </row>
    <row r="3551" customFormat="false" ht="15" hidden="false" customHeight="false" outlineLevel="0" collapsed="false">
      <c r="A3551" s="27"/>
      <c r="E3551" s="28"/>
      <c r="F3551" s="28"/>
      <c r="I3551" s="28" t="str">
        <f aca="false">IF(A3551="","",D3551*E3551)</f>
        <v/>
      </c>
      <c r="J3551" s="28" t="str">
        <f aca="false">IF(A3551="","",D3551*F3551)</f>
        <v/>
      </c>
      <c r="K3551" s="0" t="str">
        <f aca="false">IF(A3551="","",YEAR(A3551))</f>
        <v/>
      </c>
      <c r="L3551" s="0" t="str">
        <f aca="false">IF(A3551="","",MONTH(A3551))</f>
        <v/>
      </c>
    </row>
    <row r="3552" customFormat="false" ht="15" hidden="false" customHeight="false" outlineLevel="0" collapsed="false">
      <c r="A3552" s="27"/>
      <c r="E3552" s="28"/>
      <c r="F3552" s="28"/>
      <c r="I3552" s="28" t="str">
        <f aca="false">IF(A3552="","",D3552*E3552)</f>
        <v/>
      </c>
      <c r="J3552" s="28" t="str">
        <f aca="false">IF(A3552="","",D3552*F3552)</f>
        <v/>
      </c>
      <c r="K3552" s="0" t="str">
        <f aca="false">IF(A3552="","",YEAR(A3552))</f>
        <v/>
      </c>
      <c r="L3552" s="0" t="str">
        <f aca="false">IF(A3552="","",MONTH(A3552))</f>
        <v/>
      </c>
    </row>
    <row r="3553" customFormat="false" ht="15" hidden="false" customHeight="false" outlineLevel="0" collapsed="false">
      <c r="A3553" s="27"/>
      <c r="E3553" s="28"/>
      <c r="F3553" s="28"/>
      <c r="I3553" s="28" t="str">
        <f aca="false">IF(A3553="","",D3553*E3553)</f>
        <v/>
      </c>
      <c r="J3553" s="28" t="str">
        <f aca="false">IF(A3553="","",D3553*F3553)</f>
        <v/>
      </c>
      <c r="K3553" s="0" t="str">
        <f aca="false">IF(A3553="","",YEAR(A3553))</f>
        <v/>
      </c>
      <c r="L3553" s="0" t="str">
        <f aca="false">IF(A3553="","",MONTH(A3553))</f>
        <v/>
      </c>
    </row>
    <row r="3554" customFormat="false" ht="15" hidden="false" customHeight="false" outlineLevel="0" collapsed="false">
      <c r="A3554" s="27"/>
      <c r="E3554" s="28"/>
      <c r="F3554" s="28"/>
      <c r="I3554" s="28" t="str">
        <f aca="false">IF(A3554="","",D3554*E3554)</f>
        <v/>
      </c>
      <c r="J3554" s="28" t="str">
        <f aca="false">IF(A3554="","",D3554*F3554)</f>
        <v/>
      </c>
      <c r="K3554" s="0" t="str">
        <f aca="false">IF(A3554="","",YEAR(A3554))</f>
        <v/>
      </c>
      <c r="L3554" s="0" t="str">
        <f aca="false">IF(A3554="","",MONTH(A3554))</f>
        <v/>
      </c>
    </row>
    <row r="3555" customFormat="false" ht="15" hidden="false" customHeight="false" outlineLevel="0" collapsed="false">
      <c r="A3555" s="27"/>
      <c r="E3555" s="28"/>
      <c r="F3555" s="28"/>
      <c r="I3555" s="28" t="str">
        <f aca="false">IF(A3555="","",D3555*E3555)</f>
        <v/>
      </c>
      <c r="J3555" s="28" t="str">
        <f aca="false">IF(A3555="","",D3555*F3555)</f>
        <v/>
      </c>
      <c r="K3555" s="0" t="str">
        <f aca="false">IF(A3555="","",YEAR(A3555))</f>
        <v/>
      </c>
      <c r="L3555" s="0" t="str">
        <f aca="false">IF(A3555="","",MONTH(A3555))</f>
        <v/>
      </c>
    </row>
    <row r="3556" customFormat="false" ht="15" hidden="false" customHeight="false" outlineLevel="0" collapsed="false">
      <c r="A3556" s="27"/>
      <c r="E3556" s="28"/>
      <c r="F3556" s="28"/>
      <c r="I3556" s="28" t="str">
        <f aca="false">IF(A3556="","",D3556*E3556)</f>
        <v/>
      </c>
      <c r="J3556" s="28" t="str">
        <f aca="false">IF(A3556="","",D3556*F3556)</f>
        <v/>
      </c>
      <c r="K3556" s="0" t="str">
        <f aca="false">IF(A3556="","",YEAR(A3556))</f>
        <v/>
      </c>
      <c r="L3556" s="0" t="str">
        <f aca="false">IF(A3556="","",MONTH(A3556))</f>
        <v/>
      </c>
    </row>
    <row r="3557" customFormat="false" ht="15" hidden="false" customHeight="false" outlineLevel="0" collapsed="false">
      <c r="A3557" s="27"/>
      <c r="E3557" s="28"/>
      <c r="F3557" s="28"/>
      <c r="I3557" s="28" t="str">
        <f aca="false">IF(A3557="","",D3557*E3557)</f>
        <v/>
      </c>
      <c r="J3557" s="28" t="str">
        <f aca="false">IF(A3557="","",D3557*F3557)</f>
        <v/>
      </c>
      <c r="K3557" s="0" t="str">
        <f aca="false">IF(A3557="","",YEAR(A3557))</f>
        <v/>
      </c>
      <c r="L3557" s="0" t="str">
        <f aca="false">IF(A3557="","",MONTH(A3557))</f>
        <v/>
      </c>
    </row>
    <row r="3558" customFormat="false" ht="15" hidden="false" customHeight="false" outlineLevel="0" collapsed="false">
      <c r="A3558" s="27"/>
      <c r="E3558" s="28"/>
      <c r="F3558" s="28"/>
      <c r="I3558" s="28" t="str">
        <f aca="false">IF(A3558="","",D3558*E3558)</f>
        <v/>
      </c>
      <c r="J3558" s="28" t="str">
        <f aca="false">IF(A3558="","",D3558*F3558)</f>
        <v/>
      </c>
      <c r="K3558" s="0" t="str">
        <f aca="false">IF(A3558="","",YEAR(A3558))</f>
        <v/>
      </c>
      <c r="L3558" s="0" t="str">
        <f aca="false">IF(A3558="","",MONTH(A3558))</f>
        <v/>
      </c>
    </row>
    <row r="3559" customFormat="false" ht="15" hidden="false" customHeight="false" outlineLevel="0" collapsed="false">
      <c r="A3559" s="27"/>
      <c r="E3559" s="28"/>
      <c r="F3559" s="28"/>
      <c r="I3559" s="28" t="str">
        <f aca="false">IF(A3559="","",D3559*E3559)</f>
        <v/>
      </c>
      <c r="J3559" s="28" t="str">
        <f aca="false">IF(A3559="","",D3559*F3559)</f>
        <v/>
      </c>
      <c r="K3559" s="0" t="str">
        <f aca="false">IF(A3559="","",YEAR(A3559))</f>
        <v/>
      </c>
      <c r="L3559" s="0" t="str">
        <f aca="false">IF(A3559="","",MONTH(A3559))</f>
        <v/>
      </c>
    </row>
    <row r="3560" customFormat="false" ht="15" hidden="false" customHeight="false" outlineLevel="0" collapsed="false">
      <c r="A3560" s="27"/>
      <c r="E3560" s="28"/>
      <c r="F3560" s="28"/>
      <c r="I3560" s="28" t="str">
        <f aca="false">IF(A3560="","",D3560*E3560)</f>
        <v/>
      </c>
      <c r="J3560" s="28" t="str">
        <f aca="false">IF(A3560="","",D3560*F3560)</f>
        <v/>
      </c>
      <c r="K3560" s="0" t="str">
        <f aca="false">IF(A3560="","",YEAR(A3560))</f>
        <v/>
      </c>
      <c r="L3560" s="0" t="str">
        <f aca="false">IF(A3560="","",MONTH(A3560))</f>
        <v/>
      </c>
    </row>
    <row r="3561" customFormat="false" ht="15" hidden="false" customHeight="false" outlineLevel="0" collapsed="false">
      <c r="A3561" s="27"/>
      <c r="E3561" s="28"/>
      <c r="F3561" s="28"/>
      <c r="I3561" s="28" t="str">
        <f aca="false">IF(A3561="","",D3561*E3561)</f>
        <v/>
      </c>
      <c r="J3561" s="28" t="str">
        <f aca="false">IF(A3561="","",D3561*F3561)</f>
        <v/>
      </c>
      <c r="K3561" s="0" t="str">
        <f aca="false">IF(A3561="","",YEAR(A3561))</f>
        <v/>
      </c>
      <c r="L3561" s="0" t="str">
        <f aca="false">IF(A3561="","",MONTH(A3561))</f>
        <v/>
      </c>
    </row>
    <row r="3562" customFormat="false" ht="15" hidden="false" customHeight="false" outlineLevel="0" collapsed="false">
      <c r="A3562" s="27"/>
      <c r="E3562" s="28"/>
      <c r="F3562" s="28"/>
      <c r="I3562" s="28" t="str">
        <f aca="false">IF(A3562="","",D3562*E3562)</f>
        <v/>
      </c>
      <c r="J3562" s="28" t="str">
        <f aca="false">IF(A3562="","",D3562*F3562)</f>
        <v/>
      </c>
      <c r="K3562" s="0" t="str">
        <f aca="false">IF(A3562="","",YEAR(A3562))</f>
        <v/>
      </c>
      <c r="L3562" s="0" t="str">
        <f aca="false">IF(A3562="","",MONTH(A3562))</f>
        <v/>
      </c>
    </row>
    <row r="3563" customFormat="false" ht="15" hidden="false" customHeight="false" outlineLevel="0" collapsed="false">
      <c r="A3563" s="27"/>
      <c r="E3563" s="28"/>
      <c r="F3563" s="28"/>
      <c r="I3563" s="28" t="str">
        <f aca="false">IF(A3563="","",D3563*E3563)</f>
        <v/>
      </c>
      <c r="J3563" s="28" t="str">
        <f aca="false">IF(A3563="","",D3563*F3563)</f>
        <v/>
      </c>
      <c r="K3563" s="0" t="str">
        <f aca="false">IF(A3563="","",YEAR(A3563))</f>
        <v/>
      </c>
      <c r="L3563" s="0" t="str">
        <f aca="false">IF(A3563="","",MONTH(A3563))</f>
        <v/>
      </c>
    </row>
    <row r="3564" customFormat="false" ht="15" hidden="false" customHeight="false" outlineLevel="0" collapsed="false">
      <c r="A3564" s="27"/>
      <c r="E3564" s="28"/>
      <c r="F3564" s="28"/>
      <c r="I3564" s="28" t="str">
        <f aca="false">IF(A3564="","",D3564*E3564)</f>
        <v/>
      </c>
      <c r="J3564" s="28" t="str">
        <f aca="false">IF(A3564="","",D3564*F3564)</f>
        <v/>
      </c>
      <c r="K3564" s="0" t="str">
        <f aca="false">IF(A3564="","",YEAR(A3564))</f>
        <v/>
      </c>
      <c r="L3564" s="0" t="str">
        <f aca="false">IF(A3564="","",MONTH(A3564))</f>
        <v/>
      </c>
    </row>
    <row r="3565" customFormat="false" ht="15" hidden="false" customHeight="false" outlineLevel="0" collapsed="false">
      <c r="A3565" s="27"/>
      <c r="E3565" s="28"/>
      <c r="F3565" s="28"/>
      <c r="I3565" s="28" t="str">
        <f aca="false">IF(A3565="","",D3565*E3565)</f>
        <v/>
      </c>
      <c r="J3565" s="28" t="str">
        <f aca="false">IF(A3565="","",D3565*F3565)</f>
        <v/>
      </c>
      <c r="K3565" s="0" t="str">
        <f aca="false">IF(A3565="","",YEAR(A3565))</f>
        <v/>
      </c>
      <c r="L3565" s="0" t="str">
        <f aca="false">IF(A3565="","",MONTH(A3565))</f>
        <v/>
      </c>
    </row>
    <row r="3566" customFormat="false" ht="15" hidden="false" customHeight="false" outlineLevel="0" collapsed="false">
      <c r="A3566" s="27"/>
      <c r="E3566" s="28"/>
      <c r="F3566" s="28"/>
      <c r="I3566" s="28" t="str">
        <f aca="false">IF(A3566="","",D3566*E3566)</f>
        <v/>
      </c>
      <c r="J3566" s="28" t="str">
        <f aca="false">IF(A3566="","",D3566*F3566)</f>
        <v/>
      </c>
      <c r="K3566" s="0" t="str">
        <f aca="false">IF(A3566="","",YEAR(A3566))</f>
        <v/>
      </c>
      <c r="L3566" s="0" t="str">
        <f aca="false">IF(A3566="","",MONTH(A3566))</f>
        <v/>
      </c>
    </row>
    <row r="3567" customFormat="false" ht="15" hidden="false" customHeight="false" outlineLevel="0" collapsed="false">
      <c r="A3567" s="27"/>
      <c r="E3567" s="28"/>
      <c r="F3567" s="28"/>
      <c r="I3567" s="28" t="str">
        <f aca="false">IF(A3567="","",D3567*E3567)</f>
        <v/>
      </c>
      <c r="J3567" s="28" t="str">
        <f aca="false">IF(A3567="","",D3567*F3567)</f>
        <v/>
      </c>
      <c r="K3567" s="0" t="str">
        <f aca="false">IF(A3567="","",YEAR(A3567))</f>
        <v/>
      </c>
      <c r="L3567" s="0" t="str">
        <f aca="false">IF(A3567="","",MONTH(A3567))</f>
        <v/>
      </c>
    </row>
    <row r="3568" customFormat="false" ht="15" hidden="false" customHeight="false" outlineLevel="0" collapsed="false">
      <c r="A3568" s="27"/>
      <c r="E3568" s="28"/>
      <c r="F3568" s="28"/>
      <c r="I3568" s="28" t="str">
        <f aca="false">IF(A3568="","",D3568*E3568)</f>
        <v/>
      </c>
      <c r="J3568" s="28" t="str">
        <f aca="false">IF(A3568="","",D3568*F3568)</f>
        <v/>
      </c>
      <c r="K3568" s="0" t="str">
        <f aca="false">IF(A3568="","",YEAR(A3568))</f>
        <v/>
      </c>
      <c r="L3568" s="0" t="str">
        <f aca="false">IF(A3568="","",MONTH(A3568))</f>
        <v/>
      </c>
    </row>
    <row r="3569" customFormat="false" ht="15" hidden="false" customHeight="false" outlineLevel="0" collapsed="false">
      <c r="A3569" s="27"/>
      <c r="E3569" s="28"/>
      <c r="F3569" s="28"/>
      <c r="I3569" s="28" t="str">
        <f aca="false">IF(A3569="","",D3569*E3569)</f>
        <v/>
      </c>
      <c r="J3569" s="28" t="str">
        <f aca="false">IF(A3569="","",D3569*F3569)</f>
        <v/>
      </c>
      <c r="K3569" s="0" t="str">
        <f aca="false">IF(A3569="","",YEAR(A3569))</f>
        <v/>
      </c>
      <c r="L3569" s="0" t="str">
        <f aca="false">IF(A3569="","",MONTH(A3569))</f>
        <v/>
      </c>
    </row>
    <row r="3570" customFormat="false" ht="15" hidden="false" customHeight="false" outlineLevel="0" collapsed="false">
      <c r="A3570" s="27"/>
      <c r="E3570" s="28"/>
      <c r="F3570" s="28"/>
      <c r="I3570" s="28" t="str">
        <f aca="false">IF(A3570="","",D3570*E3570)</f>
        <v/>
      </c>
      <c r="J3570" s="28" t="str">
        <f aca="false">IF(A3570="","",D3570*F3570)</f>
        <v/>
      </c>
      <c r="K3570" s="0" t="str">
        <f aca="false">IF(A3570="","",YEAR(A3570))</f>
        <v/>
      </c>
      <c r="L3570" s="0" t="str">
        <f aca="false">IF(A3570="","",MONTH(A3570))</f>
        <v/>
      </c>
    </row>
    <row r="3571" customFormat="false" ht="15" hidden="false" customHeight="false" outlineLevel="0" collapsed="false">
      <c r="A3571" s="27"/>
      <c r="E3571" s="28"/>
      <c r="F3571" s="28"/>
      <c r="I3571" s="28" t="str">
        <f aca="false">IF(A3571="","",D3571*E3571)</f>
        <v/>
      </c>
      <c r="J3571" s="28" t="str">
        <f aca="false">IF(A3571="","",D3571*F3571)</f>
        <v/>
      </c>
      <c r="K3571" s="0" t="str">
        <f aca="false">IF(A3571="","",YEAR(A3571))</f>
        <v/>
      </c>
      <c r="L3571" s="0" t="str">
        <f aca="false">IF(A3571="","",MONTH(A3571))</f>
        <v/>
      </c>
    </row>
    <row r="3572" customFormat="false" ht="15" hidden="false" customHeight="false" outlineLevel="0" collapsed="false">
      <c r="A3572" s="27"/>
      <c r="E3572" s="28"/>
      <c r="F3572" s="28"/>
      <c r="I3572" s="28" t="str">
        <f aca="false">IF(A3572="","",D3572*E3572)</f>
        <v/>
      </c>
      <c r="J3572" s="28" t="str">
        <f aca="false">IF(A3572="","",D3572*F3572)</f>
        <v/>
      </c>
      <c r="K3572" s="0" t="str">
        <f aca="false">IF(A3572="","",YEAR(A3572))</f>
        <v/>
      </c>
      <c r="L3572" s="0" t="str">
        <f aca="false">IF(A3572="","",MONTH(A3572))</f>
        <v/>
      </c>
    </row>
    <row r="3573" customFormat="false" ht="15" hidden="false" customHeight="false" outlineLevel="0" collapsed="false">
      <c r="A3573" s="27"/>
      <c r="E3573" s="28"/>
      <c r="F3573" s="28"/>
      <c r="I3573" s="28" t="str">
        <f aca="false">IF(A3573="","",D3573*E3573)</f>
        <v/>
      </c>
      <c r="J3573" s="28" t="str">
        <f aca="false">IF(A3573="","",D3573*F3573)</f>
        <v/>
      </c>
      <c r="K3573" s="0" t="str">
        <f aca="false">IF(A3573="","",YEAR(A3573))</f>
        <v/>
      </c>
      <c r="L3573" s="0" t="str">
        <f aca="false">IF(A3573="","",MONTH(A3573))</f>
        <v/>
      </c>
    </row>
    <row r="3574" customFormat="false" ht="15" hidden="false" customHeight="false" outlineLevel="0" collapsed="false">
      <c r="A3574" s="27"/>
      <c r="E3574" s="28"/>
      <c r="F3574" s="28"/>
      <c r="I3574" s="28" t="str">
        <f aca="false">IF(A3574="","",D3574*E3574)</f>
        <v/>
      </c>
      <c r="J3574" s="28" t="str">
        <f aca="false">IF(A3574="","",D3574*F3574)</f>
        <v/>
      </c>
      <c r="K3574" s="0" t="str">
        <f aca="false">IF(A3574="","",YEAR(A3574))</f>
        <v/>
      </c>
      <c r="L3574" s="0" t="str">
        <f aca="false">IF(A3574="","",MONTH(A3574))</f>
        <v/>
      </c>
    </row>
    <row r="3575" customFormat="false" ht="15" hidden="false" customHeight="false" outlineLevel="0" collapsed="false">
      <c r="A3575" s="27"/>
      <c r="E3575" s="28"/>
      <c r="F3575" s="28"/>
      <c r="I3575" s="28" t="str">
        <f aca="false">IF(A3575="","",D3575*E3575)</f>
        <v/>
      </c>
      <c r="J3575" s="28" t="str">
        <f aca="false">IF(A3575="","",D3575*F3575)</f>
        <v/>
      </c>
      <c r="K3575" s="0" t="str">
        <f aca="false">IF(A3575="","",YEAR(A3575))</f>
        <v/>
      </c>
      <c r="L3575" s="0" t="str">
        <f aca="false">IF(A3575="","",MONTH(A3575))</f>
        <v/>
      </c>
    </row>
    <row r="3576" customFormat="false" ht="15" hidden="false" customHeight="false" outlineLevel="0" collapsed="false">
      <c r="A3576" s="27"/>
      <c r="E3576" s="28"/>
      <c r="F3576" s="28"/>
      <c r="I3576" s="28" t="str">
        <f aca="false">IF(A3576="","",D3576*E3576)</f>
        <v/>
      </c>
      <c r="J3576" s="28" t="str">
        <f aca="false">IF(A3576="","",D3576*F3576)</f>
        <v/>
      </c>
      <c r="K3576" s="0" t="str">
        <f aca="false">IF(A3576="","",YEAR(A3576))</f>
        <v/>
      </c>
      <c r="L3576" s="0" t="str">
        <f aca="false">IF(A3576="","",MONTH(A3576))</f>
        <v/>
      </c>
    </row>
    <row r="3577" customFormat="false" ht="15" hidden="false" customHeight="false" outlineLevel="0" collapsed="false">
      <c r="A3577" s="27"/>
      <c r="E3577" s="28"/>
      <c r="F3577" s="28"/>
      <c r="I3577" s="28" t="str">
        <f aca="false">IF(A3577="","",D3577*E3577)</f>
        <v/>
      </c>
      <c r="J3577" s="28" t="str">
        <f aca="false">IF(A3577="","",D3577*F3577)</f>
        <v/>
      </c>
      <c r="K3577" s="0" t="str">
        <f aca="false">IF(A3577="","",YEAR(A3577))</f>
        <v/>
      </c>
      <c r="L3577" s="0" t="str">
        <f aca="false">IF(A3577="","",MONTH(A3577))</f>
        <v/>
      </c>
    </row>
    <row r="3578" customFormat="false" ht="15" hidden="false" customHeight="false" outlineLevel="0" collapsed="false">
      <c r="A3578" s="27"/>
      <c r="E3578" s="28"/>
      <c r="F3578" s="28"/>
      <c r="I3578" s="28" t="str">
        <f aca="false">IF(A3578="","",D3578*E3578)</f>
        <v/>
      </c>
      <c r="J3578" s="28" t="str">
        <f aca="false">IF(A3578="","",D3578*F3578)</f>
        <v/>
      </c>
      <c r="K3578" s="0" t="str">
        <f aca="false">IF(A3578="","",YEAR(A3578))</f>
        <v/>
      </c>
      <c r="L3578" s="0" t="str">
        <f aca="false">IF(A3578="","",MONTH(A3578))</f>
        <v/>
      </c>
    </row>
    <row r="3579" customFormat="false" ht="15" hidden="false" customHeight="false" outlineLevel="0" collapsed="false">
      <c r="A3579" s="27"/>
      <c r="E3579" s="28"/>
      <c r="F3579" s="28"/>
      <c r="I3579" s="28" t="str">
        <f aca="false">IF(A3579="","",D3579*E3579)</f>
        <v/>
      </c>
      <c r="J3579" s="28" t="str">
        <f aca="false">IF(A3579="","",D3579*F3579)</f>
        <v/>
      </c>
      <c r="K3579" s="0" t="str">
        <f aca="false">IF(A3579="","",YEAR(A3579))</f>
        <v/>
      </c>
      <c r="L3579" s="0" t="str">
        <f aca="false">IF(A3579="","",MONTH(A3579))</f>
        <v/>
      </c>
    </row>
    <row r="3580" customFormat="false" ht="15" hidden="false" customHeight="false" outlineLevel="0" collapsed="false">
      <c r="A3580" s="27"/>
      <c r="E3580" s="28"/>
      <c r="F3580" s="28"/>
      <c r="I3580" s="28" t="str">
        <f aca="false">IF(A3580="","",D3580*E3580)</f>
        <v/>
      </c>
      <c r="J3580" s="28" t="str">
        <f aca="false">IF(A3580="","",D3580*F3580)</f>
        <v/>
      </c>
      <c r="K3580" s="0" t="str">
        <f aca="false">IF(A3580="","",YEAR(A3580))</f>
        <v/>
      </c>
      <c r="L3580" s="0" t="str">
        <f aca="false">IF(A3580="","",MONTH(A3580))</f>
        <v/>
      </c>
    </row>
    <row r="3581" customFormat="false" ht="15" hidden="false" customHeight="false" outlineLevel="0" collapsed="false">
      <c r="A3581" s="27"/>
      <c r="E3581" s="28"/>
      <c r="F3581" s="28"/>
      <c r="I3581" s="28" t="str">
        <f aca="false">IF(A3581="","",D3581*E3581)</f>
        <v/>
      </c>
      <c r="J3581" s="28" t="str">
        <f aca="false">IF(A3581="","",D3581*F3581)</f>
        <v/>
      </c>
      <c r="K3581" s="0" t="str">
        <f aca="false">IF(A3581="","",YEAR(A3581))</f>
        <v/>
      </c>
      <c r="L3581" s="0" t="str">
        <f aca="false">IF(A3581="","",MONTH(A3581))</f>
        <v/>
      </c>
    </row>
    <row r="3582" customFormat="false" ht="15" hidden="false" customHeight="false" outlineLevel="0" collapsed="false">
      <c r="A3582" s="27"/>
      <c r="E3582" s="28"/>
      <c r="F3582" s="28"/>
      <c r="I3582" s="28" t="str">
        <f aca="false">IF(A3582="","",D3582*E3582)</f>
        <v/>
      </c>
      <c r="J3582" s="28" t="str">
        <f aca="false">IF(A3582="","",D3582*F3582)</f>
        <v/>
      </c>
      <c r="K3582" s="0" t="str">
        <f aca="false">IF(A3582="","",YEAR(A3582))</f>
        <v/>
      </c>
      <c r="L3582" s="0" t="str">
        <f aca="false">IF(A3582="","",MONTH(A3582))</f>
        <v/>
      </c>
    </row>
    <row r="3583" customFormat="false" ht="15" hidden="false" customHeight="false" outlineLevel="0" collapsed="false">
      <c r="A3583" s="27"/>
      <c r="E3583" s="28"/>
      <c r="F3583" s="28"/>
      <c r="I3583" s="28" t="str">
        <f aca="false">IF(A3583="","",D3583*E3583)</f>
        <v/>
      </c>
      <c r="J3583" s="28" t="str">
        <f aca="false">IF(A3583="","",D3583*F3583)</f>
        <v/>
      </c>
      <c r="K3583" s="0" t="str">
        <f aca="false">IF(A3583="","",YEAR(A3583))</f>
        <v/>
      </c>
      <c r="L3583" s="0" t="str">
        <f aca="false">IF(A3583="","",MONTH(A3583))</f>
        <v/>
      </c>
    </row>
    <row r="3584" customFormat="false" ht="15" hidden="false" customHeight="false" outlineLevel="0" collapsed="false">
      <c r="A3584" s="27"/>
      <c r="E3584" s="28"/>
      <c r="F3584" s="28"/>
      <c r="I3584" s="28" t="str">
        <f aca="false">IF(A3584="","",D3584*E3584)</f>
        <v/>
      </c>
      <c r="J3584" s="28" t="str">
        <f aca="false">IF(A3584="","",D3584*F3584)</f>
        <v/>
      </c>
      <c r="K3584" s="0" t="str">
        <f aca="false">IF(A3584="","",YEAR(A3584))</f>
        <v/>
      </c>
      <c r="L3584" s="0" t="str">
        <f aca="false">IF(A3584="","",MONTH(A3584))</f>
        <v/>
      </c>
    </row>
    <row r="3585" customFormat="false" ht="15" hidden="false" customHeight="false" outlineLevel="0" collapsed="false">
      <c r="A3585" s="27"/>
      <c r="E3585" s="28"/>
      <c r="F3585" s="28"/>
      <c r="I3585" s="28" t="str">
        <f aca="false">IF(A3585="","",D3585*E3585)</f>
        <v/>
      </c>
      <c r="J3585" s="28" t="str">
        <f aca="false">IF(A3585="","",D3585*F3585)</f>
        <v/>
      </c>
      <c r="K3585" s="0" t="str">
        <f aca="false">IF(A3585="","",YEAR(A3585))</f>
        <v/>
      </c>
      <c r="L3585" s="0" t="str">
        <f aca="false">IF(A3585="","",MONTH(A3585))</f>
        <v/>
      </c>
    </row>
    <row r="3586" customFormat="false" ht="15" hidden="false" customHeight="false" outlineLevel="0" collapsed="false">
      <c r="A3586" s="27"/>
      <c r="E3586" s="28"/>
      <c r="F3586" s="28"/>
      <c r="I3586" s="28" t="str">
        <f aca="false">IF(A3586="","",D3586*E3586)</f>
        <v/>
      </c>
      <c r="J3586" s="28" t="str">
        <f aca="false">IF(A3586="","",D3586*F3586)</f>
        <v/>
      </c>
      <c r="K3586" s="0" t="str">
        <f aca="false">IF(A3586="","",YEAR(A3586))</f>
        <v/>
      </c>
      <c r="L3586" s="0" t="str">
        <f aca="false">IF(A3586="","",MONTH(A3586))</f>
        <v/>
      </c>
    </row>
    <row r="3587" customFormat="false" ht="15" hidden="false" customHeight="false" outlineLevel="0" collapsed="false">
      <c r="A3587" s="27"/>
      <c r="E3587" s="28"/>
      <c r="F3587" s="28"/>
      <c r="I3587" s="28" t="str">
        <f aca="false">IF(A3587="","",D3587*E3587)</f>
        <v/>
      </c>
      <c r="J3587" s="28" t="str">
        <f aca="false">IF(A3587="","",D3587*F3587)</f>
        <v/>
      </c>
      <c r="K3587" s="0" t="str">
        <f aca="false">IF(A3587="","",YEAR(A3587))</f>
        <v/>
      </c>
      <c r="L3587" s="0" t="str">
        <f aca="false">IF(A3587="","",MONTH(A3587))</f>
        <v/>
      </c>
    </row>
    <row r="3588" customFormat="false" ht="15" hidden="false" customHeight="false" outlineLevel="0" collapsed="false">
      <c r="A3588" s="27"/>
      <c r="E3588" s="28"/>
      <c r="F3588" s="28"/>
      <c r="I3588" s="28" t="str">
        <f aca="false">IF(A3588="","",D3588*E3588)</f>
        <v/>
      </c>
      <c r="J3588" s="28" t="str">
        <f aca="false">IF(A3588="","",D3588*F3588)</f>
        <v/>
      </c>
      <c r="K3588" s="0" t="str">
        <f aca="false">IF(A3588="","",YEAR(A3588))</f>
        <v/>
      </c>
      <c r="L3588" s="0" t="str">
        <f aca="false">IF(A3588="","",MONTH(A3588))</f>
        <v/>
      </c>
    </row>
    <row r="3589" customFormat="false" ht="15" hidden="false" customHeight="false" outlineLevel="0" collapsed="false">
      <c r="A3589" s="27"/>
      <c r="E3589" s="28"/>
      <c r="F3589" s="28"/>
      <c r="I3589" s="28" t="str">
        <f aca="false">IF(A3589="","",D3589*E3589)</f>
        <v/>
      </c>
      <c r="J3589" s="28" t="str">
        <f aca="false">IF(A3589="","",D3589*F3589)</f>
        <v/>
      </c>
      <c r="K3589" s="0" t="str">
        <f aca="false">IF(A3589="","",YEAR(A3589))</f>
        <v/>
      </c>
      <c r="L3589" s="0" t="str">
        <f aca="false">IF(A3589="","",MONTH(A3589))</f>
        <v/>
      </c>
    </row>
    <row r="3590" customFormat="false" ht="15" hidden="false" customHeight="false" outlineLevel="0" collapsed="false">
      <c r="A3590" s="27"/>
      <c r="E3590" s="28"/>
      <c r="F3590" s="28"/>
      <c r="I3590" s="28" t="str">
        <f aca="false">IF(A3590="","",D3590*E3590)</f>
        <v/>
      </c>
      <c r="J3590" s="28" t="str">
        <f aca="false">IF(A3590="","",D3590*F3590)</f>
        <v/>
      </c>
      <c r="K3590" s="0" t="str">
        <f aca="false">IF(A3590="","",YEAR(A3590))</f>
        <v/>
      </c>
      <c r="L3590" s="0" t="str">
        <f aca="false">IF(A3590="","",MONTH(A3590))</f>
        <v/>
      </c>
    </row>
    <row r="3591" customFormat="false" ht="15" hidden="false" customHeight="false" outlineLevel="0" collapsed="false">
      <c r="A3591" s="27"/>
      <c r="E3591" s="28"/>
      <c r="F3591" s="28"/>
      <c r="I3591" s="28" t="str">
        <f aca="false">IF(A3591="","",D3591*E3591)</f>
        <v/>
      </c>
      <c r="J3591" s="28" t="str">
        <f aca="false">IF(A3591="","",D3591*F3591)</f>
        <v/>
      </c>
      <c r="K3591" s="0" t="str">
        <f aca="false">IF(A3591="","",YEAR(A3591))</f>
        <v/>
      </c>
      <c r="L3591" s="0" t="str">
        <f aca="false">IF(A3591="","",MONTH(A3591))</f>
        <v/>
      </c>
    </row>
    <row r="3592" customFormat="false" ht="15" hidden="false" customHeight="false" outlineLevel="0" collapsed="false">
      <c r="A3592" s="27"/>
      <c r="E3592" s="28"/>
      <c r="F3592" s="28"/>
      <c r="I3592" s="28" t="str">
        <f aca="false">IF(A3592="","",D3592*E3592)</f>
        <v/>
      </c>
      <c r="J3592" s="28" t="str">
        <f aca="false">IF(A3592="","",D3592*F3592)</f>
        <v/>
      </c>
      <c r="K3592" s="0" t="str">
        <f aca="false">IF(A3592="","",YEAR(A3592))</f>
        <v/>
      </c>
      <c r="L3592" s="0" t="str">
        <f aca="false">IF(A3592="","",MONTH(A3592))</f>
        <v/>
      </c>
    </row>
    <row r="3593" customFormat="false" ht="15" hidden="false" customHeight="false" outlineLevel="0" collapsed="false">
      <c r="A3593" s="27"/>
      <c r="E3593" s="28"/>
      <c r="F3593" s="28"/>
      <c r="I3593" s="28" t="str">
        <f aca="false">IF(A3593="","",D3593*E3593)</f>
        <v/>
      </c>
      <c r="J3593" s="28" t="str">
        <f aca="false">IF(A3593="","",D3593*F3593)</f>
        <v/>
      </c>
      <c r="K3593" s="0" t="str">
        <f aca="false">IF(A3593="","",YEAR(A3593))</f>
        <v/>
      </c>
      <c r="L3593" s="0" t="str">
        <f aca="false">IF(A3593="","",MONTH(A3593))</f>
        <v/>
      </c>
    </row>
    <row r="3594" customFormat="false" ht="15" hidden="false" customHeight="false" outlineLevel="0" collapsed="false">
      <c r="A3594" s="27"/>
      <c r="E3594" s="28"/>
      <c r="F3594" s="28"/>
      <c r="I3594" s="28" t="str">
        <f aca="false">IF(A3594="","",D3594*E3594)</f>
        <v/>
      </c>
      <c r="J3594" s="28" t="str">
        <f aca="false">IF(A3594="","",D3594*F3594)</f>
        <v/>
      </c>
      <c r="K3594" s="0" t="str">
        <f aca="false">IF(A3594="","",YEAR(A3594))</f>
        <v/>
      </c>
      <c r="L3594" s="0" t="str">
        <f aca="false">IF(A3594="","",MONTH(A3594))</f>
        <v/>
      </c>
    </row>
    <row r="3595" customFormat="false" ht="15" hidden="false" customHeight="false" outlineLevel="0" collapsed="false">
      <c r="A3595" s="27"/>
      <c r="E3595" s="28"/>
      <c r="F3595" s="28"/>
      <c r="I3595" s="28" t="str">
        <f aca="false">IF(A3595="","",D3595*E3595)</f>
        <v/>
      </c>
      <c r="J3595" s="28" t="str">
        <f aca="false">IF(A3595="","",D3595*F3595)</f>
        <v/>
      </c>
      <c r="K3595" s="0" t="str">
        <f aca="false">IF(A3595="","",YEAR(A3595))</f>
        <v/>
      </c>
      <c r="L3595" s="0" t="str">
        <f aca="false">IF(A3595="","",MONTH(A3595))</f>
        <v/>
      </c>
    </row>
    <row r="3596" customFormat="false" ht="15" hidden="false" customHeight="false" outlineLevel="0" collapsed="false">
      <c r="A3596" s="27"/>
      <c r="E3596" s="28"/>
      <c r="F3596" s="28"/>
      <c r="I3596" s="28" t="str">
        <f aca="false">IF(A3596="","",D3596*E3596)</f>
        <v/>
      </c>
      <c r="J3596" s="28" t="str">
        <f aca="false">IF(A3596="","",D3596*F3596)</f>
        <v/>
      </c>
      <c r="K3596" s="0" t="str">
        <f aca="false">IF(A3596="","",YEAR(A3596))</f>
        <v/>
      </c>
      <c r="L3596" s="0" t="str">
        <f aca="false">IF(A3596="","",MONTH(A3596))</f>
        <v/>
      </c>
    </row>
    <row r="3597" customFormat="false" ht="15" hidden="false" customHeight="false" outlineLevel="0" collapsed="false">
      <c r="A3597" s="27"/>
      <c r="E3597" s="28"/>
      <c r="F3597" s="28"/>
      <c r="I3597" s="28" t="str">
        <f aca="false">IF(A3597="","",D3597*E3597)</f>
        <v/>
      </c>
      <c r="J3597" s="28" t="str">
        <f aca="false">IF(A3597="","",D3597*F3597)</f>
        <v/>
      </c>
      <c r="K3597" s="0" t="str">
        <f aca="false">IF(A3597="","",YEAR(A3597))</f>
        <v/>
      </c>
      <c r="L3597" s="0" t="str">
        <f aca="false">IF(A3597="","",MONTH(A3597))</f>
        <v/>
      </c>
    </row>
    <row r="3598" customFormat="false" ht="15" hidden="false" customHeight="false" outlineLevel="0" collapsed="false">
      <c r="A3598" s="27"/>
      <c r="E3598" s="28"/>
      <c r="F3598" s="28"/>
      <c r="I3598" s="28" t="str">
        <f aca="false">IF(A3598="","",D3598*E3598)</f>
        <v/>
      </c>
      <c r="J3598" s="28" t="str">
        <f aca="false">IF(A3598="","",D3598*F3598)</f>
        <v/>
      </c>
      <c r="K3598" s="0" t="str">
        <f aca="false">IF(A3598="","",YEAR(A3598))</f>
        <v/>
      </c>
      <c r="L3598" s="0" t="str">
        <f aca="false">IF(A3598="","",MONTH(A3598))</f>
        <v/>
      </c>
    </row>
    <row r="3599" customFormat="false" ht="15" hidden="false" customHeight="false" outlineLevel="0" collapsed="false">
      <c r="A3599" s="27"/>
      <c r="E3599" s="28"/>
      <c r="F3599" s="28"/>
      <c r="I3599" s="28" t="str">
        <f aca="false">IF(A3599="","",D3599*E3599)</f>
        <v/>
      </c>
      <c r="J3599" s="28" t="str">
        <f aca="false">IF(A3599="","",D3599*F3599)</f>
        <v/>
      </c>
      <c r="K3599" s="0" t="str">
        <f aca="false">IF(A3599="","",YEAR(A3599))</f>
        <v/>
      </c>
      <c r="L3599" s="0" t="str">
        <f aca="false">IF(A3599="","",MONTH(A3599))</f>
        <v/>
      </c>
    </row>
    <row r="3600" customFormat="false" ht="15" hidden="false" customHeight="false" outlineLevel="0" collapsed="false">
      <c r="A3600" s="27"/>
      <c r="E3600" s="28"/>
      <c r="F3600" s="28"/>
      <c r="I3600" s="28" t="str">
        <f aca="false">IF(A3600="","",D3600*E3600)</f>
        <v/>
      </c>
      <c r="J3600" s="28" t="str">
        <f aca="false">IF(A3600="","",D3600*F3600)</f>
        <v/>
      </c>
      <c r="K3600" s="0" t="str">
        <f aca="false">IF(A3600="","",YEAR(A3600))</f>
        <v/>
      </c>
      <c r="L3600" s="0" t="str">
        <f aca="false">IF(A3600="","",MONTH(A3600))</f>
        <v/>
      </c>
    </row>
    <row r="3601" customFormat="false" ht="15" hidden="false" customHeight="false" outlineLevel="0" collapsed="false">
      <c r="A3601" s="27"/>
      <c r="E3601" s="28"/>
      <c r="F3601" s="28"/>
      <c r="I3601" s="28" t="str">
        <f aca="false">IF(A3601="","",D3601*E3601)</f>
        <v/>
      </c>
      <c r="J3601" s="28" t="str">
        <f aca="false">IF(A3601="","",D3601*F3601)</f>
        <v/>
      </c>
      <c r="K3601" s="0" t="str">
        <f aca="false">IF(A3601="","",YEAR(A3601))</f>
        <v/>
      </c>
      <c r="L3601" s="0" t="str">
        <f aca="false">IF(A3601="","",MONTH(A3601))</f>
        <v/>
      </c>
    </row>
    <row r="3602" customFormat="false" ht="15" hidden="false" customHeight="false" outlineLevel="0" collapsed="false">
      <c r="A3602" s="27"/>
      <c r="E3602" s="28"/>
      <c r="F3602" s="28"/>
      <c r="I3602" s="28" t="str">
        <f aca="false">IF(A3602="","",D3602*E3602)</f>
        <v/>
      </c>
      <c r="J3602" s="28" t="str">
        <f aca="false">IF(A3602="","",D3602*F3602)</f>
        <v/>
      </c>
      <c r="K3602" s="0" t="str">
        <f aca="false">IF(A3602="","",YEAR(A3602))</f>
        <v/>
      </c>
      <c r="L3602" s="0" t="str">
        <f aca="false">IF(A3602="","",MONTH(A3602))</f>
        <v/>
      </c>
    </row>
    <row r="3603" customFormat="false" ht="15" hidden="false" customHeight="false" outlineLevel="0" collapsed="false">
      <c r="A3603" s="27"/>
      <c r="E3603" s="28"/>
      <c r="F3603" s="28"/>
      <c r="I3603" s="28" t="str">
        <f aca="false">IF(A3603="","",D3603*E3603)</f>
        <v/>
      </c>
      <c r="J3603" s="28" t="str">
        <f aca="false">IF(A3603="","",D3603*F3603)</f>
        <v/>
      </c>
      <c r="K3603" s="0" t="str">
        <f aca="false">IF(A3603="","",YEAR(A3603))</f>
        <v/>
      </c>
      <c r="L3603" s="0" t="str">
        <f aca="false">IF(A3603="","",MONTH(A3603))</f>
        <v/>
      </c>
    </row>
    <row r="3604" customFormat="false" ht="15" hidden="false" customHeight="false" outlineLevel="0" collapsed="false">
      <c r="A3604" s="27"/>
      <c r="E3604" s="28"/>
      <c r="F3604" s="28"/>
      <c r="I3604" s="28" t="str">
        <f aca="false">IF(A3604="","",D3604*E3604)</f>
        <v/>
      </c>
      <c r="J3604" s="28" t="str">
        <f aca="false">IF(A3604="","",D3604*F3604)</f>
        <v/>
      </c>
      <c r="K3604" s="0" t="str">
        <f aca="false">IF(A3604="","",YEAR(A3604))</f>
        <v/>
      </c>
      <c r="L3604" s="0" t="str">
        <f aca="false">IF(A3604="","",MONTH(A3604))</f>
        <v/>
      </c>
    </row>
    <row r="3605" customFormat="false" ht="15" hidden="false" customHeight="false" outlineLevel="0" collapsed="false">
      <c r="A3605" s="27"/>
      <c r="E3605" s="28"/>
      <c r="F3605" s="28"/>
      <c r="I3605" s="28" t="str">
        <f aca="false">IF(A3605="","",D3605*E3605)</f>
        <v/>
      </c>
      <c r="J3605" s="28" t="str">
        <f aca="false">IF(A3605="","",D3605*F3605)</f>
        <v/>
      </c>
      <c r="K3605" s="0" t="str">
        <f aca="false">IF(A3605="","",YEAR(A3605))</f>
        <v/>
      </c>
      <c r="L3605" s="0" t="str">
        <f aca="false">IF(A3605="","",MONTH(A3605))</f>
        <v/>
      </c>
    </row>
    <row r="3606" customFormat="false" ht="15" hidden="false" customHeight="false" outlineLevel="0" collapsed="false">
      <c r="A3606" s="27"/>
      <c r="E3606" s="28"/>
      <c r="F3606" s="28"/>
      <c r="I3606" s="28" t="str">
        <f aca="false">IF(A3606="","",D3606*E3606)</f>
        <v/>
      </c>
      <c r="J3606" s="28" t="str">
        <f aca="false">IF(A3606="","",D3606*F3606)</f>
        <v/>
      </c>
      <c r="K3606" s="0" t="str">
        <f aca="false">IF(A3606="","",YEAR(A3606))</f>
        <v/>
      </c>
      <c r="L3606" s="0" t="str">
        <f aca="false">IF(A3606="","",MONTH(A3606))</f>
        <v/>
      </c>
    </row>
    <row r="3607" customFormat="false" ht="15" hidden="false" customHeight="false" outlineLevel="0" collapsed="false">
      <c r="A3607" s="27"/>
      <c r="E3607" s="28"/>
      <c r="F3607" s="28"/>
      <c r="I3607" s="28" t="str">
        <f aca="false">IF(A3607="","",D3607*E3607)</f>
        <v/>
      </c>
      <c r="J3607" s="28" t="str">
        <f aca="false">IF(A3607="","",D3607*F3607)</f>
        <v/>
      </c>
      <c r="K3607" s="0" t="str">
        <f aca="false">IF(A3607="","",YEAR(A3607))</f>
        <v/>
      </c>
      <c r="L3607" s="0" t="str">
        <f aca="false">IF(A3607="","",MONTH(A3607))</f>
        <v/>
      </c>
    </row>
    <row r="3608" customFormat="false" ht="15" hidden="false" customHeight="false" outlineLevel="0" collapsed="false">
      <c r="A3608" s="27"/>
      <c r="E3608" s="28"/>
      <c r="F3608" s="28"/>
      <c r="I3608" s="28" t="str">
        <f aca="false">IF(A3608="","",D3608*E3608)</f>
        <v/>
      </c>
      <c r="J3608" s="28" t="str">
        <f aca="false">IF(A3608="","",D3608*F3608)</f>
        <v/>
      </c>
      <c r="K3608" s="0" t="str">
        <f aca="false">IF(A3608="","",YEAR(A3608))</f>
        <v/>
      </c>
      <c r="L3608" s="0" t="str">
        <f aca="false">IF(A3608="","",MONTH(A3608))</f>
        <v/>
      </c>
    </row>
    <row r="3609" customFormat="false" ht="15" hidden="false" customHeight="false" outlineLevel="0" collapsed="false">
      <c r="A3609" s="27"/>
      <c r="E3609" s="28"/>
      <c r="F3609" s="28"/>
      <c r="I3609" s="28" t="str">
        <f aca="false">IF(A3609="","",D3609*E3609)</f>
        <v/>
      </c>
      <c r="J3609" s="28" t="str">
        <f aca="false">IF(A3609="","",D3609*F3609)</f>
        <v/>
      </c>
      <c r="K3609" s="0" t="str">
        <f aca="false">IF(A3609="","",YEAR(A3609))</f>
        <v/>
      </c>
      <c r="L3609" s="0" t="str">
        <f aca="false">IF(A3609="","",MONTH(A3609))</f>
        <v/>
      </c>
    </row>
    <row r="3610" customFormat="false" ht="15" hidden="false" customHeight="false" outlineLevel="0" collapsed="false">
      <c r="A3610" s="27"/>
      <c r="E3610" s="28"/>
      <c r="F3610" s="28"/>
      <c r="I3610" s="28" t="str">
        <f aca="false">IF(A3610="","",D3610*E3610)</f>
        <v/>
      </c>
      <c r="J3610" s="28" t="str">
        <f aca="false">IF(A3610="","",D3610*F3610)</f>
        <v/>
      </c>
      <c r="K3610" s="0" t="str">
        <f aca="false">IF(A3610="","",YEAR(A3610))</f>
        <v/>
      </c>
      <c r="L3610" s="0" t="str">
        <f aca="false">IF(A3610="","",MONTH(A3610))</f>
        <v/>
      </c>
    </row>
    <row r="3611" customFormat="false" ht="15" hidden="false" customHeight="false" outlineLevel="0" collapsed="false">
      <c r="A3611" s="27"/>
      <c r="E3611" s="28"/>
      <c r="F3611" s="28"/>
      <c r="I3611" s="28" t="str">
        <f aca="false">IF(A3611="","",D3611*E3611)</f>
        <v/>
      </c>
      <c r="J3611" s="28" t="str">
        <f aca="false">IF(A3611="","",D3611*F3611)</f>
        <v/>
      </c>
      <c r="K3611" s="0" t="str">
        <f aca="false">IF(A3611="","",YEAR(A3611))</f>
        <v/>
      </c>
      <c r="L3611" s="0" t="str">
        <f aca="false">IF(A3611="","",MONTH(A3611))</f>
        <v/>
      </c>
    </row>
    <row r="3612" customFormat="false" ht="15" hidden="false" customHeight="false" outlineLevel="0" collapsed="false">
      <c r="A3612" s="27"/>
      <c r="E3612" s="28"/>
      <c r="F3612" s="28"/>
      <c r="I3612" s="28" t="str">
        <f aca="false">IF(A3612="","",D3612*E3612)</f>
        <v/>
      </c>
      <c r="J3612" s="28" t="str">
        <f aca="false">IF(A3612="","",D3612*F3612)</f>
        <v/>
      </c>
      <c r="K3612" s="0" t="str">
        <f aca="false">IF(A3612="","",YEAR(A3612))</f>
        <v/>
      </c>
      <c r="L3612" s="0" t="str">
        <f aca="false">IF(A3612="","",MONTH(A3612))</f>
        <v/>
      </c>
    </row>
    <row r="3613" customFormat="false" ht="15" hidden="false" customHeight="false" outlineLevel="0" collapsed="false">
      <c r="A3613" s="27"/>
      <c r="E3613" s="28"/>
      <c r="F3613" s="28"/>
      <c r="I3613" s="28" t="str">
        <f aca="false">IF(A3613="","",D3613*E3613)</f>
        <v/>
      </c>
      <c r="J3613" s="28" t="str">
        <f aca="false">IF(A3613="","",D3613*F3613)</f>
        <v/>
      </c>
      <c r="K3613" s="0" t="str">
        <f aca="false">IF(A3613="","",YEAR(A3613))</f>
        <v/>
      </c>
      <c r="L3613" s="0" t="str">
        <f aca="false">IF(A3613="","",MONTH(A3613))</f>
        <v/>
      </c>
    </row>
    <row r="3614" customFormat="false" ht="15" hidden="false" customHeight="false" outlineLevel="0" collapsed="false">
      <c r="A3614" s="27"/>
      <c r="E3614" s="28"/>
      <c r="F3614" s="28"/>
      <c r="I3614" s="28" t="str">
        <f aca="false">IF(A3614="","",D3614*E3614)</f>
        <v/>
      </c>
      <c r="J3614" s="28" t="str">
        <f aca="false">IF(A3614="","",D3614*F3614)</f>
        <v/>
      </c>
      <c r="K3614" s="0" t="str">
        <f aca="false">IF(A3614="","",YEAR(A3614))</f>
        <v/>
      </c>
      <c r="L3614" s="0" t="str">
        <f aca="false">IF(A3614="","",MONTH(A3614))</f>
        <v/>
      </c>
    </row>
    <row r="3615" customFormat="false" ht="15" hidden="false" customHeight="false" outlineLevel="0" collapsed="false">
      <c r="A3615" s="27"/>
      <c r="E3615" s="28"/>
      <c r="F3615" s="28"/>
      <c r="I3615" s="28" t="str">
        <f aca="false">IF(A3615="","",D3615*E3615)</f>
        <v/>
      </c>
      <c r="J3615" s="28" t="str">
        <f aca="false">IF(A3615="","",D3615*F3615)</f>
        <v/>
      </c>
      <c r="K3615" s="0" t="str">
        <f aca="false">IF(A3615="","",YEAR(A3615))</f>
        <v/>
      </c>
      <c r="L3615" s="0" t="str">
        <f aca="false">IF(A3615="","",MONTH(A3615))</f>
        <v/>
      </c>
    </row>
    <row r="3616" customFormat="false" ht="15" hidden="false" customHeight="false" outlineLevel="0" collapsed="false">
      <c r="A3616" s="27"/>
      <c r="E3616" s="28"/>
      <c r="F3616" s="28"/>
      <c r="I3616" s="28" t="str">
        <f aca="false">IF(A3616="","",D3616*E3616)</f>
        <v/>
      </c>
      <c r="J3616" s="28" t="str">
        <f aca="false">IF(A3616="","",D3616*F3616)</f>
        <v/>
      </c>
      <c r="K3616" s="0" t="str">
        <f aca="false">IF(A3616="","",YEAR(A3616))</f>
        <v/>
      </c>
      <c r="L3616" s="0" t="str">
        <f aca="false">IF(A3616="","",MONTH(A3616))</f>
        <v/>
      </c>
    </row>
    <row r="3617" customFormat="false" ht="15" hidden="false" customHeight="false" outlineLevel="0" collapsed="false">
      <c r="A3617" s="27"/>
      <c r="E3617" s="28"/>
      <c r="F3617" s="28"/>
      <c r="I3617" s="28" t="str">
        <f aca="false">IF(A3617="","",D3617*E3617)</f>
        <v/>
      </c>
      <c r="J3617" s="28" t="str">
        <f aca="false">IF(A3617="","",D3617*F3617)</f>
        <v/>
      </c>
      <c r="K3617" s="0" t="str">
        <f aca="false">IF(A3617="","",YEAR(A3617))</f>
        <v/>
      </c>
      <c r="L3617" s="0" t="str">
        <f aca="false">IF(A3617="","",MONTH(A3617))</f>
        <v/>
      </c>
    </row>
    <row r="3618" customFormat="false" ht="15" hidden="false" customHeight="false" outlineLevel="0" collapsed="false">
      <c r="A3618" s="27"/>
      <c r="E3618" s="28"/>
      <c r="F3618" s="28"/>
      <c r="I3618" s="28" t="str">
        <f aca="false">IF(A3618="","",D3618*E3618)</f>
        <v/>
      </c>
      <c r="J3618" s="28" t="str">
        <f aca="false">IF(A3618="","",D3618*F3618)</f>
        <v/>
      </c>
      <c r="K3618" s="0" t="str">
        <f aca="false">IF(A3618="","",YEAR(A3618))</f>
        <v/>
      </c>
      <c r="L3618" s="0" t="str">
        <f aca="false">IF(A3618="","",MONTH(A3618))</f>
        <v/>
      </c>
    </row>
    <row r="3619" customFormat="false" ht="15" hidden="false" customHeight="false" outlineLevel="0" collapsed="false">
      <c r="A3619" s="27"/>
      <c r="E3619" s="28"/>
      <c r="F3619" s="28"/>
      <c r="I3619" s="28" t="str">
        <f aca="false">IF(A3619="","",D3619*E3619)</f>
        <v/>
      </c>
      <c r="J3619" s="28" t="str">
        <f aca="false">IF(A3619="","",D3619*F3619)</f>
        <v/>
      </c>
      <c r="K3619" s="0" t="str">
        <f aca="false">IF(A3619="","",YEAR(A3619))</f>
        <v/>
      </c>
      <c r="L3619" s="0" t="str">
        <f aca="false">IF(A3619="","",MONTH(A3619))</f>
        <v/>
      </c>
    </row>
    <row r="3620" customFormat="false" ht="15" hidden="false" customHeight="false" outlineLevel="0" collapsed="false">
      <c r="A3620" s="27"/>
      <c r="E3620" s="28"/>
      <c r="F3620" s="28"/>
      <c r="I3620" s="28" t="str">
        <f aca="false">IF(A3620="","",D3620*E3620)</f>
        <v/>
      </c>
      <c r="J3620" s="28" t="str">
        <f aca="false">IF(A3620="","",D3620*F3620)</f>
        <v/>
      </c>
      <c r="K3620" s="0" t="str">
        <f aca="false">IF(A3620="","",YEAR(A3620))</f>
        <v/>
      </c>
      <c r="L3620" s="0" t="str">
        <f aca="false">IF(A3620="","",MONTH(A3620))</f>
        <v/>
      </c>
    </row>
    <row r="3621" customFormat="false" ht="15" hidden="false" customHeight="false" outlineLevel="0" collapsed="false">
      <c r="A3621" s="27"/>
      <c r="E3621" s="28"/>
      <c r="F3621" s="28"/>
      <c r="I3621" s="28" t="str">
        <f aca="false">IF(A3621="","",D3621*E3621)</f>
        <v/>
      </c>
      <c r="J3621" s="28" t="str">
        <f aca="false">IF(A3621="","",D3621*F3621)</f>
        <v/>
      </c>
      <c r="K3621" s="0" t="str">
        <f aca="false">IF(A3621="","",YEAR(A3621))</f>
        <v/>
      </c>
      <c r="L3621" s="0" t="str">
        <f aca="false">IF(A3621="","",MONTH(A3621))</f>
        <v/>
      </c>
    </row>
    <row r="3622" customFormat="false" ht="15" hidden="false" customHeight="false" outlineLevel="0" collapsed="false">
      <c r="A3622" s="27"/>
      <c r="E3622" s="28"/>
      <c r="F3622" s="28"/>
      <c r="I3622" s="28" t="str">
        <f aca="false">IF(A3622="","",D3622*E3622)</f>
        <v/>
      </c>
      <c r="J3622" s="28" t="str">
        <f aca="false">IF(A3622="","",D3622*F3622)</f>
        <v/>
      </c>
      <c r="K3622" s="0" t="str">
        <f aca="false">IF(A3622="","",YEAR(A3622))</f>
        <v/>
      </c>
      <c r="L3622" s="0" t="str">
        <f aca="false">IF(A3622="","",MONTH(A3622))</f>
        <v/>
      </c>
    </row>
    <row r="3623" customFormat="false" ht="15" hidden="false" customHeight="false" outlineLevel="0" collapsed="false">
      <c r="A3623" s="27"/>
      <c r="E3623" s="28"/>
      <c r="F3623" s="28"/>
      <c r="I3623" s="28" t="str">
        <f aca="false">IF(A3623="","",D3623*E3623)</f>
        <v/>
      </c>
      <c r="J3623" s="28" t="str">
        <f aca="false">IF(A3623="","",D3623*F3623)</f>
        <v/>
      </c>
      <c r="K3623" s="0" t="str">
        <f aca="false">IF(A3623="","",YEAR(A3623))</f>
        <v/>
      </c>
      <c r="L3623" s="0" t="str">
        <f aca="false">IF(A3623="","",MONTH(A3623))</f>
        <v/>
      </c>
    </row>
    <row r="3624" customFormat="false" ht="15" hidden="false" customHeight="false" outlineLevel="0" collapsed="false">
      <c r="A3624" s="27"/>
      <c r="E3624" s="28"/>
      <c r="F3624" s="28"/>
      <c r="I3624" s="28" t="str">
        <f aca="false">IF(A3624="","",D3624*E3624)</f>
        <v/>
      </c>
      <c r="J3624" s="28" t="str">
        <f aca="false">IF(A3624="","",D3624*F3624)</f>
        <v/>
      </c>
      <c r="K3624" s="0" t="str">
        <f aca="false">IF(A3624="","",YEAR(A3624))</f>
        <v/>
      </c>
      <c r="L3624" s="0" t="str">
        <f aca="false">IF(A3624="","",MONTH(A3624))</f>
        <v/>
      </c>
    </row>
    <row r="3625" customFormat="false" ht="15" hidden="false" customHeight="false" outlineLevel="0" collapsed="false">
      <c r="A3625" s="27"/>
      <c r="E3625" s="28"/>
      <c r="F3625" s="28"/>
      <c r="I3625" s="28" t="str">
        <f aca="false">IF(A3625="","",D3625*E3625)</f>
        <v/>
      </c>
      <c r="J3625" s="28" t="str">
        <f aca="false">IF(A3625="","",D3625*F3625)</f>
        <v/>
      </c>
      <c r="K3625" s="0" t="str">
        <f aca="false">IF(A3625="","",YEAR(A3625))</f>
        <v/>
      </c>
      <c r="L3625" s="0" t="str">
        <f aca="false">IF(A3625="","",MONTH(A3625))</f>
        <v/>
      </c>
    </row>
    <row r="3626" customFormat="false" ht="15" hidden="false" customHeight="false" outlineLevel="0" collapsed="false">
      <c r="A3626" s="27"/>
      <c r="E3626" s="28"/>
      <c r="F3626" s="28"/>
      <c r="I3626" s="28" t="str">
        <f aca="false">IF(A3626="","",D3626*E3626)</f>
        <v/>
      </c>
      <c r="J3626" s="28" t="str">
        <f aca="false">IF(A3626="","",D3626*F3626)</f>
        <v/>
      </c>
      <c r="K3626" s="0" t="str">
        <f aca="false">IF(A3626="","",YEAR(A3626))</f>
        <v/>
      </c>
      <c r="L3626" s="0" t="str">
        <f aca="false">IF(A3626="","",MONTH(A3626))</f>
        <v/>
      </c>
    </row>
    <row r="3627" customFormat="false" ht="15" hidden="false" customHeight="false" outlineLevel="0" collapsed="false">
      <c r="A3627" s="27"/>
      <c r="E3627" s="28"/>
      <c r="F3627" s="28"/>
      <c r="I3627" s="28" t="str">
        <f aca="false">IF(A3627="","",D3627*E3627)</f>
        <v/>
      </c>
      <c r="J3627" s="28" t="str">
        <f aca="false">IF(A3627="","",D3627*F3627)</f>
        <v/>
      </c>
      <c r="K3627" s="0" t="str">
        <f aca="false">IF(A3627="","",YEAR(A3627))</f>
        <v/>
      </c>
      <c r="L3627" s="0" t="str">
        <f aca="false">IF(A3627="","",MONTH(A3627))</f>
        <v/>
      </c>
    </row>
    <row r="3628" customFormat="false" ht="15" hidden="false" customHeight="false" outlineLevel="0" collapsed="false">
      <c r="A3628" s="27"/>
      <c r="E3628" s="28"/>
      <c r="F3628" s="28"/>
      <c r="I3628" s="28" t="str">
        <f aca="false">IF(A3628="","",D3628*E3628)</f>
        <v/>
      </c>
      <c r="J3628" s="28" t="str">
        <f aca="false">IF(A3628="","",D3628*F3628)</f>
        <v/>
      </c>
      <c r="K3628" s="0" t="str">
        <f aca="false">IF(A3628="","",YEAR(A3628))</f>
        <v/>
      </c>
      <c r="L3628" s="0" t="str">
        <f aca="false">IF(A3628="","",MONTH(A3628))</f>
        <v/>
      </c>
    </row>
    <row r="3629" customFormat="false" ht="15" hidden="false" customHeight="false" outlineLevel="0" collapsed="false">
      <c r="A3629" s="27"/>
      <c r="E3629" s="28"/>
      <c r="F3629" s="28"/>
      <c r="I3629" s="28" t="str">
        <f aca="false">IF(A3629="","",D3629*E3629)</f>
        <v/>
      </c>
      <c r="J3629" s="28" t="str">
        <f aca="false">IF(A3629="","",D3629*F3629)</f>
        <v/>
      </c>
      <c r="K3629" s="0" t="str">
        <f aca="false">IF(A3629="","",YEAR(A3629))</f>
        <v/>
      </c>
      <c r="L3629" s="0" t="str">
        <f aca="false">IF(A3629="","",MONTH(A3629))</f>
        <v/>
      </c>
    </row>
    <row r="3630" customFormat="false" ht="15" hidden="false" customHeight="false" outlineLevel="0" collapsed="false">
      <c r="A3630" s="27"/>
      <c r="E3630" s="28"/>
      <c r="F3630" s="28"/>
      <c r="I3630" s="28" t="str">
        <f aca="false">IF(A3630="","",D3630*E3630)</f>
        <v/>
      </c>
      <c r="J3630" s="28" t="str">
        <f aca="false">IF(A3630="","",D3630*F3630)</f>
        <v/>
      </c>
      <c r="K3630" s="0" t="str">
        <f aca="false">IF(A3630="","",YEAR(A3630))</f>
        <v/>
      </c>
      <c r="L3630" s="0" t="str">
        <f aca="false">IF(A3630="","",MONTH(A3630))</f>
        <v/>
      </c>
    </row>
    <row r="3631" customFormat="false" ht="15" hidden="false" customHeight="false" outlineLevel="0" collapsed="false">
      <c r="A3631" s="27"/>
      <c r="E3631" s="28"/>
      <c r="F3631" s="28"/>
      <c r="I3631" s="28" t="str">
        <f aca="false">IF(A3631="","",D3631*E3631)</f>
        <v/>
      </c>
      <c r="J3631" s="28" t="str">
        <f aca="false">IF(A3631="","",D3631*F3631)</f>
        <v/>
      </c>
      <c r="K3631" s="0" t="str">
        <f aca="false">IF(A3631="","",YEAR(A3631))</f>
        <v/>
      </c>
      <c r="L3631" s="0" t="str">
        <f aca="false">IF(A3631="","",MONTH(A3631))</f>
        <v/>
      </c>
    </row>
    <row r="3632" customFormat="false" ht="15" hidden="false" customHeight="false" outlineLevel="0" collapsed="false">
      <c r="A3632" s="27"/>
      <c r="E3632" s="28"/>
      <c r="F3632" s="28"/>
      <c r="I3632" s="28" t="str">
        <f aca="false">IF(A3632="","",D3632*E3632)</f>
        <v/>
      </c>
      <c r="J3632" s="28" t="str">
        <f aca="false">IF(A3632="","",D3632*F3632)</f>
        <v/>
      </c>
      <c r="K3632" s="0" t="str">
        <f aca="false">IF(A3632="","",YEAR(A3632))</f>
        <v/>
      </c>
      <c r="L3632" s="0" t="str">
        <f aca="false">IF(A3632="","",MONTH(A3632))</f>
        <v/>
      </c>
    </row>
    <row r="3633" customFormat="false" ht="15" hidden="false" customHeight="false" outlineLevel="0" collapsed="false">
      <c r="A3633" s="27"/>
      <c r="E3633" s="28"/>
      <c r="F3633" s="28"/>
      <c r="I3633" s="28" t="str">
        <f aca="false">IF(A3633="","",D3633*E3633)</f>
        <v/>
      </c>
      <c r="J3633" s="28" t="str">
        <f aca="false">IF(A3633="","",D3633*F3633)</f>
        <v/>
      </c>
      <c r="K3633" s="0" t="str">
        <f aca="false">IF(A3633="","",YEAR(A3633))</f>
        <v/>
      </c>
      <c r="L3633" s="0" t="str">
        <f aca="false">IF(A3633="","",MONTH(A3633))</f>
        <v/>
      </c>
    </row>
    <row r="3634" customFormat="false" ht="15" hidden="false" customHeight="false" outlineLevel="0" collapsed="false">
      <c r="A3634" s="27"/>
      <c r="E3634" s="28"/>
      <c r="F3634" s="28"/>
      <c r="I3634" s="28" t="str">
        <f aca="false">IF(A3634="","",D3634*E3634)</f>
        <v/>
      </c>
      <c r="J3634" s="28" t="str">
        <f aca="false">IF(A3634="","",D3634*F3634)</f>
        <v/>
      </c>
      <c r="K3634" s="0" t="str">
        <f aca="false">IF(A3634="","",YEAR(A3634))</f>
        <v/>
      </c>
      <c r="L3634" s="0" t="str">
        <f aca="false">IF(A3634="","",MONTH(A3634))</f>
        <v/>
      </c>
    </row>
    <row r="3635" customFormat="false" ht="15" hidden="false" customHeight="false" outlineLevel="0" collapsed="false">
      <c r="A3635" s="27"/>
      <c r="E3635" s="28"/>
      <c r="F3635" s="28"/>
      <c r="I3635" s="28" t="str">
        <f aca="false">IF(A3635="","",D3635*E3635)</f>
        <v/>
      </c>
      <c r="J3635" s="28" t="str">
        <f aca="false">IF(A3635="","",D3635*F3635)</f>
        <v/>
      </c>
      <c r="K3635" s="0" t="str">
        <f aca="false">IF(A3635="","",YEAR(A3635))</f>
        <v/>
      </c>
      <c r="L3635" s="0" t="str">
        <f aca="false">IF(A3635="","",MONTH(A3635))</f>
        <v/>
      </c>
    </row>
    <row r="3636" customFormat="false" ht="15" hidden="false" customHeight="false" outlineLevel="0" collapsed="false">
      <c r="A3636" s="27"/>
      <c r="E3636" s="28"/>
      <c r="F3636" s="28"/>
      <c r="I3636" s="28" t="str">
        <f aca="false">IF(A3636="","",D3636*E3636)</f>
        <v/>
      </c>
      <c r="J3636" s="28" t="str">
        <f aca="false">IF(A3636="","",D3636*F3636)</f>
        <v/>
      </c>
      <c r="K3636" s="0" t="str">
        <f aca="false">IF(A3636="","",YEAR(A3636))</f>
        <v/>
      </c>
      <c r="L3636" s="0" t="str">
        <f aca="false">IF(A3636="","",MONTH(A3636))</f>
        <v/>
      </c>
    </row>
    <row r="3637" customFormat="false" ht="15" hidden="false" customHeight="false" outlineLevel="0" collapsed="false">
      <c r="A3637" s="27"/>
      <c r="E3637" s="28"/>
      <c r="F3637" s="28"/>
      <c r="I3637" s="28" t="str">
        <f aca="false">IF(A3637="","",D3637*E3637)</f>
        <v/>
      </c>
      <c r="J3637" s="28" t="str">
        <f aca="false">IF(A3637="","",D3637*F3637)</f>
        <v/>
      </c>
      <c r="K3637" s="0" t="str">
        <f aca="false">IF(A3637="","",YEAR(A3637))</f>
        <v/>
      </c>
      <c r="L3637" s="0" t="str">
        <f aca="false">IF(A3637="","",MONTH(A3637))</f>
        <v/>
      </c>
    </row>
    <row r="3638" customFormat="false" ht="15" hidden="false" customHeight="false" outlineLevel="0" collapsed="false">
      <c r="A3638" s="27"/>
      <c r="E3638" s="28"/>
      <c r="F3638" s="28"/>
      <c r="I3638" s="28" t="str">
        <f aca="false">IF(A3638="","",D3638*E3638)</f>
        <v/>
      </c>
      <c r="J3638" s="28" t="str">
        <f aca="false">IF(A3638="","",D3638*F3638)</f>
        <v/>
      </c>
      <c r="K3638" s="0" t="str">
        <f aca="false">IF(A3638="","",YEAR(A3638))</f>
        <v/>
      </c>
      <c r="L3638" s="0" t="str">
        <f aca="false">IF(A3638="","",MONTH(A3638))</f>
        <v/>
      </c>
    </row>
    <row r="3639" customFormat="false" ht="15" hidden="false" customHeight="false" outlineLevel="0" collapsed="false">
      <c r="A3639" s="27"/>
      <c r="E3639" s="28"/>
      <c r="F3639" s="28"/>
      <c r="I3639" s="28" t="str">
        <f aca="false">IF(A3639="","",D3639*E3639)</f>
        <v/>
      </c>
      <c r="J3639" s="28" t="str">
        <f aca="false">IF(A3639="","",D3639*F3639)</f>
        <v/>
      </c>
      <c r="K3639" s="0" t="str">
        <f aca="false">IF(A3639="","",YEAR(A3639))</f>
        <v/>
      </c>
      <c r="L3639" s="0" t="str">
        <f aca="false">IF(A3639="","",MONTH(A3639))</f>
        <v/>
      </c>
    </row>
    <row r="3640" customFormat="false" ht="15" hidden="false" customHeight="false" outlineLevel="0" collapsed="false">
      <c r="A3640" s="27"/>
      <c r="E3640" s="28"/>
      <c r="F3640" s="28"/>
      <c r="I3640" s="28" t="str">
        <f aca="false">IF(A3640="","",D3640*E3640)</f>
        <v/>
      </c>
      <c r="J3640" s="28" t="str">
        <f aca="false">IF(A3640="","",D3640*F3640)</f>
        <v/>
      </c>
      <c r="K3640" s="0" t="str">
        <f aca="false">IF(A3640="","",YEAR(A3640))</f>
        <v/>
      </c>
      <c r="L3640" s="0" t="str">
        <f aca="false">IF(A3640="","",MONTH(A3640))</f>
        <v/>
      </c>
    </row>
    <row r="3641" customFormat="false" ht="15" hidden="false" customHeight="false" outlineLevel="0" collapsed="false">
      <c r="A3641" s="27"/>
      <c r="E3641" s="28"/>
      <c r="F3641" s="28"/>
      <c r="I3641" s="28" t="str">
        <f aca="false">IF(A3641="","",D3641*E3641)</f>
        <v/>
      </c>
      <c r="J3641" s="28" t="str">
        <f aca="false">IF(A3641="","",D3641*F3641)</f>
        <v/>
      </c>
      <c r="K3641" s="0" t="str">
        <f aca="false">IF(A3641="","",YEAR(A3641))</f>
        <v/>
      </c>
      <c r="L3641" s="0" t="str">
        <f aca="false">IF(A3641="","",MONTH(A3641))</f>
        <v/>
      </c>
    </row>
    <row r="3642" customFormat="false" ht="15" hidden="false" customHeight="false" outlineLevel="0" collapsed="false">
      <c r="A3642" s="27"/>
      <c r="E3642" s="28"/>
      <c r="F3642" s="28"/>
      <c r="I3642" s="28" t="str">
        <f aca="false">IF(A3642="","",D3642*E3642)</f>
        <v/>
      </c>
      <c r="J3642" s="28" t="str">
        <f aca="false">IF(A3642="","",D3642*F3642)</f>
        <v/>
      </c>
      <c r="K3642" s="0" t="str">
        <f aca="false">IF(A3642="","",YEAR(A3642))</f>
        <v/>
      </c>
      <c r="L3642" s="0" t="str">
        <f aca="false">IF(A3642="","",MONTH(A3642))</f>
        <v/>
      </c>
    </row>
    <row r="3643" customFormat="false" ht="15" hidden="false" customHeight="false" outlineLevel="0" collapsed="false">
      <c r="A3643" s="27"/>
      <c r="E3643" s="28"/>
      <c r="F3643" s="28"/>
      <c r="I3643" s="28" t="str">
        <f aca="false">IF(A3643="","",D3643*E3643)</f>
        <v/>
      </c>
      <c r="J3643" s="28" t="str">
        <f aca="false">IF(A3643="","",D3643*F3643)</f>
        <v/>
      </c>
      <c r="K3643" s="0" t="str">
        <f aca="false">IF(A3643="","",YEAR(A3643))</f>
        <v/>
      </c>
      <c r="L3643" s="0" t="str">
        <f aca="false">IF(A3643="","",MONTH(A3643))</f>
        <v/>
      </c>
    </row>
    <row r="3644" customFormat="false" ht="15" hidden="false" customHeight="false" outlineLevel="0" collapsed="false">
      <c r="A3644" s="27"/>
      <c r="E3644" s="28"/>
      <c r="F3644" s="28"/>
      <c r="I3644" s="28" t="str">
        <f aca="false">IF(A3644="","",D3644*E3644)</f>
        <v/>
      </c>
      <c r="J3644" s="28" t="str">
        <f aca="false">IF(A3644="","",D3644*F3644)</f>
        <v/>
      </c>
      <c r="K3644" s="0" t="str">
        <f aca="false">IF(A3644="","",YEAR(A3644))</f>
        <v/>
      </c>
      <c r="L3644" s="0" t="str">
        <f aca="false">IF(A3644="","",MONTH(A3644))</f>
        <v/>
      </c>
    </row>
    <row r="3645" customFormat="false" ht="15" hidden="false" customHeight="false" outlineLevel="0" collapsed="false">
      <c r="A3645" s="27"/>
      <c r="E3645" s="28"/>
      <c r="F3645" s="28"/>
      <c r="I3645" s="28" t="str">
        <f aca="false">IF(A3645="","",D3645*E3645)</f>
        <v/>
      </c>
      <c r="J3645" s="28" t="str">
        <f aca="false">IF(A3645="","",D3645*F3645)</f>
        <v/>
      </c>
      <c r="K3645" s="0" t="str">
        <f aca="false">IF(A3645="","",YEAR(A3645))</f>
        <v/>
      </c>
      <c r="L3645" s="0" t="str">
        <f aca="false">IF(A3645="","",MONTH(A3645))</f>
        <v/>
      </c>
    </row>
    <row r="3646" customFormat="false" ht="15" hidden="false" customHeight="false" outlineLevel="0" collapsed="false">
      <c r="A3646" s="27"/>
      <c r="E3646" s="28"/>
      <c r="F3646" s="28"/>
      <c r="I3646" s="28" t="str">
        <f aca="false">IF(A3646="","",D3646*E3646)</f>
        <v/>
      </c>
      <c r="J3646" s="28" t="str">
        <f aca="false">IF(A3646="","",D3646*F3646)</f>
        <v/>
      </c>
      <c r="K3646" s="0" t="str">
        <f aca="false">IF(A3646="","",YEAR(A3646))</f>
        <v/>
      </c>
      <c r="L3646" s="0" t="str">
        <f aca="false">IF(A3646="","",MONTH(A3646))</f>
        <v/>
      </c>
    </row>
    <row r="3647" customFormat="false" ht="15" hidden="false" customHeight="false" outlineLevel="0" collapsed="false">
      <c r="A3647" s="27"/>
      <c r="E3647" s="28"/>
      <c r="F3647" s="28"/>
      <c r="I3647" s="28" t="str">
        <f aca="false">IF(A3647="","",D3647*E3647)</f>
        <v/>
      </c>
      <c r="J3647" s="28" t="str">
        <f aca="false">IF(A3647="","",D3647*F3647)</f>
        <v/>
      </c>
      <c r="K3647" s="0" t="str">
        <f aca="false">IF(A3647="","",YEAR(A3647))</f>
        <v/>
      </c>
      <c r="L3647" s="0" t="str">
        <f aca="false">IF(A3647="","",MONTH(A3647))</f>
        <v/>
      </c>
    </row>
    <row r="3648" customFormat="false" ht="15" hidden="false" customHeight="false" outlineLevel="0" collapsed="false">
      <c r="A3648" s="27"/>
      <c r="E3648" s="28"/>
      <c r="F3648" s="28"/>
      <c r="I3648" s="28" t="str">
        <f aca="false">IF(A3648="","",D3648*E3648)</f>
        <v/>
      </c>
      <c r="J3648" s="28" t="str">
        <f aca="false">IF(A3648="","",D3648*F3648)</f>
        <v/>
      </c>
      <c r="K3648" s="0" t="str">
        <f aca="false">IF(A3648="","",YEAR(A3648))</f>
        <v/>
      </c>
      <c r="L3648" s="0" t="str">
        <f aca="false">IF(A3648="","",MONTH(A3648))</f>
        <v/>
      </c>
    </row>
    <row r="3649" customFormat="false" ht="15" hidden="false" customHeight="false" outlineLevel="0" collapsed="false">
      <c r="A3649" s="27"/>
      <c r="E3649" s="28"/>
      <c r="F3649" s="28"/>
      <c r="I3649" s="28" t="str">
        <f aca="false">IF(A3649="","",D3649*E3649)</f>
        <v/>
      </c>
      <c r="J3649" s="28" t="str">
        <f aca="false">IF(A3649="","",D3649*F3649)</f>
        <v/>
      </c>
      <c r="K3649" s="0" t="str">
        <f aca="false">IF(A3649="","",YEAR(A3649))</f>
        <v/>
      </c>
      <c r="L3649" s="0" t="str">
        <f aca="false">IF(A3649="","",MONTH(A3649))</f>
        <v/>
      </c>
    </row>
    <row r="3650" customFormat="false" ht="15" hidden="false" customHeight="false" outlineLevel="0" collapsed="false">
      <c r="A3650" s="27"/>
      <c r="E3650" s="28"/>
      <c r="F3650" s="28"/>
      <c r="I3650" s="28" t="str">
        <f aca="false">IF(A3650="","",D3650*E3650)</f>
        <v/>
      </c>
      <c r="J3650" s="28" t="str">
        <f aca="false">IF(A3650="","",D3650*F3650)</f>
        <v/>
      </c>
      <c r="K3650" s="0" t="str">
        <f aca="false">IF(A3650="","",YEAR(A3650))</f>
        <v/>
      </c>
      <c r="L3650" s="0" t="str">
        <f aca="false">IF(A3650="","",MONTH(A3650))</f>
        <v/>
      </c>
    </row>
    <row r="3651" customFormat="false" ht="15" hidden="false" customHeight="false" outlineLevel="0" collapsed="false">
      <c r="A3651" s="27"/>
      <c r="E3651" s="28"/>
      <c r="F3651" s="28"/>
      <c r="I3651" s="28" t="str">
        <f aca="false">IF(A3651="","",D3651*E3651)</f>
        <v/>
      </c>
      <c r="J3651" s="28" t="str">
        <f aca="false">IF(A3651="","",D3651*F3651)</f>
        <v/>
      </c>
      <c r="K3651" s="0" t="str">
        <f aca="false">IF(A3651="","",YEAR(A3651))</f>
        <v/>
      </c>
      <c r="L3651" s="0" t="str">
        <f aca="false">IF(A3651="","",MONTH(A3651))</f>
        <v/>
      </c>
    </row>
    <row r="3652" customFormat="false" ht="15" hidden="false" customHeight="false" outlineLevel="0" collapsed="false">
      <c r="A3652" s="27"/>
      <c r="E3652" s="28"/>
      <c r="F3652" s="28"/>
      <c r="I3652" s="28" t="str">
        <f aca="false">IF(A3652="","",D3652*E3652)</f>
        <v/>
      </c>
      <c r="J3652" s="28" t="str">
        <f aca="false">IF(A3652="","",D3652*F3652)</f>
        <v/>
      </c>
      <c r="K3652" s="0" t="str">
        <f aca="false">IF(A3652="","",YEAR(A3652))</f>
        <v/>
      </c>
      <c r="L3652" s="0" t="str">
        <f aca="false">IF(A3652="","",MONTH(A3652))</f>
        <v/>
      </c>
    </row>
    <row r="3653" customFormat="false" ht="15" hidden="false" customHeight="false" outlineLevel="0" collapsed="false">
      <c r="A3653" s="27"/>
      <c r="E3653" s="28"/>
      <c r="F3653" s="28"/>
      <c r="I3653" s="28" t="str">
        <f aca="false">IF(A3653="","",D3653*E3653)</f>
        <v/>
      </c>
      <c r="J3653" s="28" t="str">
        <f aca="false">IF(A3653="","",D3653*F3653)</f>
        <v/>
      </c>
      <c r="K3653" s="0" t="str">
        <f aca="false">IF(A3653="","",YEAR(A3653))</f>
        <v/>
      </c>
      <c r="L3653" s="0" t="str">
        <f aca="false">IF(A3653="","",MONTH(A3653))</f>
        <v/>
      </c>
    </row>
    <row r="3654" customFormat="false" ht="15" hidden="false" customHeight="false" outlineLevel="0" collapsed="false">
      <c r="A3654" s="27"/>
      <c r="E3654" s="28"/>
      <c r="F3654" s="28"/>
      <c r="I3654" s="28" t="str">
        <f aca="false">IF(A3654="","",D3654*E3654)</f>
        <v/>
      </c>
      <c r="J3654" s="28" t="str">
        <f aca="false">IF(A3654="","",D3654*F3654)</f>
        <v/>
      </c>
      <c r="K3654" s="0" t="str">
        <f aca="false">IF(A3654="","",YEAR(A3654))</f>
        <v/>
      </c>
      <c r="L3654" s="0" t="str">
        <f aca="false">IF(A3654="","",MONTH(A3654))</f>
        <v/>
      </c>
    </row>
    <row r="3655" customFormat="false" ht="15" hidden="false" customHeight="false" outlineLevel="0" collapsed="false">
      <c r="A3655" s="27"/>
      <c r="E3655" s="28"/>
      <c r="F3655" s="28"/>
      <c r="I3655" s="28" t="str">
        <f aca="false">IF(A3655="","",D3655*E3655)</f>
        <v/>
      </c>
      <c r="J3655" s="28" t="str">
        <f aca="false">IF(A3655="","",D3655*F3655)</f>
        <v/>
      </c>
      <c r="K3655" s="0" t="str">
        <f aca="false">IF(A3655="","",YEAR(A3655))</f>
        <v/>
      </c>
      <c r="L3655" s="0" t="str">
        <f aca="false">IF(A3655="","",MONTH(A3655))</f>
        <v/>
      </c>
    </row>
    <row r="3656" customFormat="false" ht="15" hidden="false" customHeight="false" outlineLevel="0" collapsed="false">
      <c r="A3656" s="27"/>
      <c r="E3656" s="28"/>
      <c r="F3656" s="28"/>
      <c r="I3656" s="28" t="str">
        <f aca="false">IF(A3656="","",D3656*E3656)</f>
        <v/>
      </c>
      <c r="J3656" s="28" t="str">
        <f aca="false">IF(A3656="","",D3656*F3656)</f>
        <v/>
      </c>
      <c r="K3656" s="0" t="str">
        <f aca="false">IF(A3656="","",YEAR(A3656))</f>
        <v/>
      </c>
      <c r="L3656" s="0" t="str">
        <f aca="false">IF(A3656="","",MONTH(A3656))</f>
        <v/>
      </c>
    </row>
    <row r="3657" customFormat="false" ht="15" hidden="false" customHeight="false" outlineLevel="0" collapsed="false">
      <c r="A3657" s="27"/>
      <c r="E3657" s="28"/>
      <c r="F3657" s="28"/>
      <c r="I3657" s="28" t="str">
        <f aca="false">IF(A3657="","",D3657*E3657)</f>
        <v/>
      </c>
      <c r="J3657" s="28" t="str">
        <f aca="false">IF(A3657="","",D3657*F3657)</f>
        <v/>
      </c>
      <c r="K3657" s="0" t="str">
        <f aca="false">IF(A3657="","",YEAR(A3657))</f>
        <v/>
      </c>
      <c r="L3657" s="0" t="str">
        <f aca="false">IF(A3657="","",MONTH(A3657))</f>
        <v/>
      </c>
    </row>
    <row r="3658" customFormat="false" ht="15" hidden="false" customHeight="false" outlineLevel="0" collapsed="false">
      <c r="A3658" s="27"/>
      <c r="E3658" s="28"/>
      <c r="F3658" s="28"/>
      <c r="I3658" s="28" t="str">
        <f aca="false">IF(A3658="","",D3658*E3658)</f>
        <v/>
      </c>
      <c r="J3658" s="28" t="str">
        <f aca="false">IF(A3658="","",D3658*F3658)</f>
        <v/>
      </c>
      <c r="K3658" s="0" t="str">
        <f aca="false">IF(A3658="","",YEAR(A3658))</f>
        <v/>
      </c>
      <c r="L3658" s="0" t="str">
        <f aca="false">IF(A3658="","",MONTH(A3658))</f>
        <v/>
      </c>
    </row>
    <row r="3659" customFormat="false" ht="15" hidden="false" customHeight="false" outlineLevel="0" collapsed="false">
      <c r="A3659" s="27"/>
      <c r="E3659" s="28"/>
      <c r="F3659" s="28"/>
      <c r="I3659" s="28" t="str">
        <f aca="false">IF(A3659="","",D3659*E3659)</f>
        <v/>
      </c>
      <c r="J3659" s="28" t="str">
        <f aca="false">IF(A3659="","",D3659*F3659)</f>
        <v/>
      </c>
      <c r="K3659" s="0" t="str">
        <f aca="false">IF(A3659="","",YEAR(A3659))</f>
        <v/>
      </c>
      <c r="L3659" s="0" t="str">
        <f aca="false">IF(A3659="","",MONTH(A3659))</f>
        <v/>
      </c>
    </row>
    <row r="3660" customFormat="false" ht="15" hidden="false" customHeight="false" outlineLevel="0" collapsed="false">
      <c r="A3660" s="27"/>
      <c r="E3660" s="28"/>
      <c r="F3660" s="28"/>
      <c r="I3660" s="28" t="str">
        <f aca="false">IF(A3660="","",D3660*E3660)</f>
        <v/>
      </c>
      <c r="J3660" s="28" t="str">
        <f aca="false">IF(A3660="","",D3660*F3660)</f>
        <v/>
      </c>
      <c r="K3660" s="0" t="str">
        <f aca="false">IF(A3660="","",YEAR(A3660))</f>
        <v/>
      </c>
      <c r="L3660" s="0" t="str">
        <f aca="false">IF(A3660="","",MONTH(A3660))</f>
        <v/>
      </c>
    </row>
    <row r="3661" customFormat="false" ht="15" hidden="false" customHeight="false" outlineLevel="0" collapsed="false">
      <c r="A3661" s="27"/>
      <c r="E3661" s="28"/>
      <c r="F3661" s="28"/>
      <c r="I3661" s="28" t="str">
        <f aca="false">IF(A3661="","",D3661*E3661)</f>
        <v/>
      </c>
      <c r="J3661" s="28" t="str">
        <f aca="false">IF(A3661="","",D3661*F3661)</f>
        <v/>
      </c>
      <c r="K3661" s="0" t="str">
        <f aca="false">IF(A3661="","",YEAR(A3661))</f>
        <v/>
      </c>
      <c r="L3661" s="0" t="str">
        <f aca="false">IF(A3661="","",MONTH(A3661))</f>
        <v/>
      </c>
    </row>
    <row r="3662" customFormat="false" ht="15" hidden="false" customHeight="false" outlineLevel="0" collapsed="false">
      <c r="A3662" s="27"/>
      <c r="E3662" s="28"/>
      <c r="F3662" s="28"/>
      <c r="I3662" s="28" t="str">
        <f aca="false">IF(A3662="","",D3662*E3662)</f>
        <v/>
      </c>
      <c r="J3662" s="28" t="str">
        <f aca="false">IF(A3662="","",D3662*F3662)</f>
        <v/>
      </c>
      <c r="K3662" s="0" t="str">
        <f aca="false">IF(A3662="","",YEAR(A3662))</f>
        <v/>
      </c>
      <c r="L3662" s="0" t="str">
        <f aca="false">IF(A3662="","",MONTH(A3662))</f>
        <v/>
      </c>
    </row>
    <row r="3663" customFormat="false" ht="15" hidden="false" customHeight="false" outlineLevel="0" collapsed="false">
      <c r="A3663" s="27"/>
      <c r="E3663" s="28"/>
      <c r="F3663" s="28"/>
      <c r="I3663" s="28" t="str">
        <f aca="false">IF(A3663="","",D3663*E3663)</f>
        <v/>
      </c>
      <c r="J3663" s="28" t="str">
        <f aca="false">IF(A3663="","",D3663*F3663)</f>
        <v/>
      </c>
      <c r="K3663" s="0" t="str">
        <f aca="false">IF(A3663="","",YEAR(A3663))</f>
        <v/>
      </c>
      <c r="L3663" s="0" t="str">
        <f aca="false">IF(A3663="","",MONTH(A3663))</f>
        <v/>
      </c>
    </row>
    <row r="3664" customFormat="false" ht="15" hidden="false" customHeight="false" outlineLevel="0" collapsed="false">
      <c r="A3664" s="27"/>
      <c r="E3664" s="28"/>
      <c r="F3664" s="28"/>
      <c r="I3664" s="28" t="str">
        <f aca="false">IF(A3664="","",D3664*E3664)</f>
        <v/>
      </c>
      <c r="J3664" s="28" t="str">
        <f aca="false">IF(A3664="","",D3664*F3664)</f>
        <v/>
      </c>
      <c r="K3664" s="0" t="str">
        <f aca="false">IF(A3664="","",YEAR(A3664))</f>
        <v/>
      </c>
      <c r="L3664" s="0" t="str">
        <f aca="false">IF(A3664="","",MONTH(A3664))</f>
        <v/>
      </c>
    </row>
    <row r="3665" customFormat="false" ht="15" hidden="false" customHeight="false" outlineLevel="0" collapsed="false">
      <c r="A3665" s="27"/>
      <c r="E3665" s="28"/>
      <c r="F3665" s="28"/>
      <c r="I3665" s="28" t="str">
        <f aca="false">IF(A3665="","",D3665*E3665)</f>
        <v/>
      </c>
      <c r="J3665" s="28" t="str">
        <f aca="false">IF(A3665="","",D3665*F3665)</f>
        <v/>
      </c>
      <c r="K3665" s="0" t="str">
        <f aca="false">IF(A3665="","",YEAR(A3665))</f>
        <v/>
      </c>
      <c r="L3665" s="0" t="str">
        <f aca="false">IF(A3665="","",MONTH(A3665))</f>
        <v/>
      </c>
    </row>
    <row r="3666" customFormat="false" ht="15" hidden="false" customHeight="false" outlineLevel="0" collapsed="false">
      <c r="A3666" s="27"/>
      <c r="E3666" s="28"/>
      <c r="F3666" s="28"/>
      <c r="I3666" s="28" t="str">
        <f aca="false">IF(A3666="","",D3666*E3666)</f>
        <v/>
      </c>
      <c r="J3666" s="28" t="str">
        <f aca="false">IF(A3666="","",D3666*F3666)</f>
        <v/>
      </c>
      <c r="K3666" s="0" t="str">
        <f aca="false">IF(A3666="","",YEAR(A3666))</f>
        <v/>
      </c>
      <c r="L3666" s="0" t="str">
        <f aca="false">IF(A3666="","",MONTH(A3666))</f>
        <v/>
      </c>
    </row>
    <row r="3667" customFormat="false" ht="15" hidden="false" customHeight="false" outlineLevel="0" collapsed="false">
      <c r="A3667" s="27"/>
      <c r="E3667" s="28"/>
      <c r="F3667" s="28"/>
      <c r="I3667" s="28" t="str">
        <f aca="false">IF(A3667="","",D3667*E3667)</f>
        <v/>
      </c>
      <c r="J3667" s="28" t="str">
        <f aca="false">IF(A3667="","",D3667*F3667)</f>
        <v/>
      </c>
      <c r="K3667" s="0" t="str">
        <f aca="false">IF(A3667="","",YEAR(A3667))</f>
        <v/>
      </c>
      <c r="L3667" s="0" t="str">
        <f aca="false">IF(A3667="","",MONTH(A3667))</f>
        <v/>
      </c>
    </row>
    <row r="3668" customFormat="false" ht="15" hidden="false" customHeight="false" outlineLevel="0" collapsed="false">
      <c r="A3668" s="27"/>
      <c r="E3668" s="28"/>
      <c r="F3668" s="28"/>
      <c r="I3668" s="28" t="str">
        <f aca="false">IF(A3668="","",D3668*E3668)</f>
        <v/>
      </c>
      <c r="J3668" s="28" t="str">
        <f aca="false">IF(A3668="","",D3668*F3668)</f>
        <v/>
      </c>
      <c r="K3668" s="0" t="str">
        <f aca="false">IF(A3668="","",YEAR(A3668))</f>
        <v/>
      </c>
      <c r="L3668" s="0" t="str">
        <f aca="false">IF(A3668="","",MONTH(A3668))</f>
        <v/>
      </c>
    </row>
    <row r="3669" customFormat="false" ht="15" hidden="false" customHeight="false" outlineLevel="0" collapsed="false">
      <c r="A3669" s="27"/>
      <c r="E3669" s="28"/>
      <c r="F3669" s="28"/>
      <c r="I3669" s="28" t="str">
        <f aca="false">IF(A3669="","",D3669*E3669)</f>
        <v/>
      </c>
      <c r="J3669" s="28" t="str">
        <f aca="false">IF(A3669="","",D3669*F3669)</f>
        <v/>
      </c>
      <c r="K3669" s="0" t="str">
        <f aca="false">IF(A3669="","",YEAR(A3669))</f>
        <v/>
      </c>
      <c r="L3669" s="0" t="str">
        <f aca="false">IF(A3669="","",MONTH(A3669))</f>
        <v/>
      </c>
    </row>
    <row r="3670" customFormat="false" ht="15" hidden="false" customHeight="false" outlineLevel="0" collapsed="false">
      <c r="A3670" s="27"/>
      <c r="E3670" s="28"/>
      <c r="F3670" s="28"/>
      <c r="I3670" s="28" t="str">
        <f aca="false">IF(A3670="","",D3670*E3670)</f>
        <v/>
      </c>
      <c r="J3670" s="28" t="str">
        <f aca="false">IF(A3670="","",D3670*F3670)</f>
        <v/>
      </c>
      <c r="K3670" s="0" t="str">
        <f aca="false">IF(A3670="","",YEAR(A3670))</f>
        <v/>
      </c>
      <c r="L3670" s="0" t="str">
        <f aca="false">IF(A3670="","",MONTH(A3670))</f>
        <v/>
      </c>
    </row>
    <row r="3671" customFormat="false" ht="15" hidden="false" customHeight="false" outlineLevel="0" collapsed="false">
      <c r="A3671" s="27"/>
      <c r="E3671" s="28"/>
      <c r="F3671" s="28"/>
      <c r="I3671" s="28" t="str">
        <f aca="false">IF(A3671="","",D3671*E3671)</f>
        <v/>
      </c>
      <c r="J3671" s="28" t="str">
        <f aca="false">IF(A3671="","",D3671*F3671)</f>
        <v/>
      </c>
      <c r="K3671" s="0" t="str">
        <f aca="false">IF(A3671="","",YEAR(A3671))</f>
        <v/>
      </c>
      <c r="L3671" s="0" t="str">
        <f aca="false">IF(A3671="","",MONTH(A3671))</f>
        <v/>
      </c>
    </row>
    <row r="3672" customFormat="false" ht="15" hidden="false" customHeight="false" outlineLevel="0" collapsed="false">
      <c r="A3672" s="27"/>
      <c r="E3672" s="28"/>
      <c r="F3672" s="28"/>
      <c r="I3672" s="28" t="str">
        <f aca="false">IF(A3672="","",D3672*E3672)</f>
        <v/>
      </c>
      <c r="J3672" s="28" t="str">
        <f aca="false">IF(A3672="","",D3672*F3672)</f>
        <v/>
      </c>
      <c r="K3672" s="0" t="str">
        <f aca="false">IF(A3672="","",YEAR(A3672))</f>
        <v/>
      </c>
      <c r="L3672" s="0" t="str">
        <f aca="false">IF(A3672="","",MONTH(A3672))</f>
        <v/>
      </c>
    </row>
    <row r="3673" customFormat="false" ht="15" hidden="false" customHeight="false" outlineLevel="0" collapsed="false">
      <c r="A3673" s="27"/>
      <c r="E3673" s="28"/>
      <c r="F3673" s="28"/>
      <c r="I3673" s="28" t="str">
        <f aca="false">IF(A3673="","",D3673*E3673)</f>
        <v/>
      </c>
      <c r="J3673" s="28" t="str">
        <f aca="false">IF(A3673="","",D3673*F3673)</f>
        <v/>
      </c>
      <c r="K3673" s="0" t="str">
        <f aca="false">IF(A3673="","",YEAR(A3673))</f>
        <v/>
      </c>
      <c r="L3673" s="0" t="str">
        <f aca="false">IF(A3673="","",MONTH(A3673))</f>
        <v/>
      </c>
    </row>
    <row r="3674" customFormat="false" ht="15" hidden="false" customHeight="false" outlineLevel="0" collapsed="false">
      <c r="A3674" s="27"/>
      <c r="E3674" s="28"/>
      <c r="F3674" s="28"/>
      <c r="I3674" s="28" t="str">
        <f aca="false">IF(A3674="","",D3674*E3674)</f>
        <v/>
      </c>
      <c r="J3674" s="28" t="str">
        <f aca="false">IF(A3674="","",D3674*F3674)</f>
        <v/>
      </c>
      <c r="K3674" s="0" t="str">
        <f aca="false">IF(A3674="","",YEAR(A3674))</f>
        <v/>
      </c>
      <c r="L3674" s="0" t="str">
        <f aca="false">IF(A3674="","",MONTH(A3674))</f>
        <v/>
      </c>
    </row>
    <row r="3675" customFormat="false" ht="15" hidden="false" customHeight="false" outlineLevel="0" collapsed="false">
      <c r="A3675" s="27"/>
      <c r="E3675" s="28"/>
      <c r="F3675" s="28"/>
      <c r="I3675" s="28" t="str">
        <f aca="false">IF(A3675="","",D3675*E3675)</f>
        <v/>
      </c>
      <c r="J3675" s="28" t="str">
        <f aca="false">IF(A3675="","",D3675*F3675)</f>
        <v/>
      </c>
      <c r="K3675" s="0" t="str">
        <f aca="false">IF(A3675="","",YEAR(A3675))</f>
        <v/>
      </c>
      <c r="L3675" s="0" t="str">
        <f aca="false">IF(A3675="","",MONTH(A3675))</f>
        <v/>
      </c>
    </row>
    <row r="3676" customFormat="false" ht="15" hidden="false" customHeight="false" outlineLevel="0" collapsed="false">
      <c r="A3676" s="27"/>
      <c r="E3676" s="28"/>
      <c r="F3676" s="28"/>
      <c r="I3676" s="28" t="str">
        <f aca="false">IF(A3676="","",D3676*E3676)</f>
        <v/>
      </c>
      <c r="J3676" s="28" t="str">
        <f aca="false">IF(A3676="","",D3676*F3676)</f>
        <v/>
      </c>
      <c r="K3676" s="0" t="str">
        <f aca="false">IF(A3676="","",YEAR(A3676))</f>
        <v/>
      </c>
      <c r="L3676" s="0" t="str">
        <f aca="false">IF(A3676="","",MONTH(A3676))</f>
        <v/>
      </c>
    </row>
    <row r="3677" customFormat="false" ht="15" hidden="false" customHeight="false" outlineLevel="0" collapsed="false">
      <c r="A3677" s="27"/>
      <c r="E3677" s="28"/>
      <c r="F3677" s="28"/>
      <c r="I3677" s="28" t="str">
        <f aca="false">IF(A3677="","",D3677*E3677)</f>
        <v/>
      </c>
      <c r="J3677" s="28" t="str">
        <f aca="false">IF(A3677="","",D3677*F3677)</f>
        <v/>
      </c>
      <c r="K3677" s="0" t="str">
        <f aca="false">IF(A3677="","",YEAR(A3677))</f>
        <v/>
      </c>
      <c r="L3677" s="0" t="str">
        <f aca="false">IF(A3677="","",MONTH(A3677))</f>
        <v/>
      </c>
    </row>
    <row r="3678" customFormat="false" ht="15" hidden="false" customHeight="false" outlineLevel="0" collapsed="false">
      <c r="A3678" s="27"/>
      <c r="E3678" s="28"/>
      <c r="F3678" s="28"/>
      <c r="I3678" s="28" t="str">
        <f aca="false">IF(A3678="","",D3678*E3678)</f>
        <v/>
      </c>
      <c r="J3678" s="28" t="str">
        <f aca="false">IF(A3678="","",D3678*F3678)</f>
        <v/>
      </c>
      <c r="K3678" s="0" t="str">
        <f aca="false">IF(A3678="","",YEAR(A3678))</f>
        <v/>
      </c>
      <c r="L3678" s="0" t="str">
        <f aca="false">IF(A3678="","",MONTH(A3678))</f>
        <v/>
      </c>
    </row>
    <row r="3679" customFormat="false" ht="15" hidden="false" customHeight="false" outlineLevel="0" collapsed="false">
      <c r="A3679" s="27"/>
      <c r="E3679" s="28"/>
      <c r="F3679" s="28"/>
      <c r="I3679" s="28" t="str">
        <f aca="false">IF(A3679="","",D3679*E3679)</f>
        <v/>
      </c>
      <c r="J3679" s="28" t="str">
        <f aca="false">IF(A3679="","",D3679*F3679)</f>
        <v/>
      </c>
      <c r="K3679" s="0" t="str">
        <f aca="false">IF(A3679="","",YEAR(A3679))</f>
        <v/>
      </c>
      <c r="L3679" s="0" t="str">
        <f aca="false">IF(A3679="","",MONTH(A3679))</f>
        <v/>
      </c>
    </row>
    <row r="3680" customFormat="false" ht="15" hidden="false" customHeight="false" outlineLevel="0" collapsed="false">
      <c r="A3680" s="27"/>
      <c r="E3680" s="28"/>
      <c r="F3680" s="28"/>
      <c r="I3680" s="28" t="str">
        <f aca="false">IF(A3680="","",D3680*E3680)</f>
        <v/>
      </c>
      <c r="J3680" s="28" t="str">
        <f aca="false">IF(A3680="","",D3680*F3680)</f>
        <v/>
      </c>
      <c r="K3680" s="0" t="str">
        <f aca="false">IF(A3680="","",YEAR(A3680))</f>
        <v/>
      </c>
      <c r="L3680" s="0" t="str">
        <f aca="false">IF(A3680="","",MONTH(A3680))</f>
        <v/>
      </c>
    </row>
    <row r="3681" customFormat="false" ht="15" hidden="false" customHeight="false" outlineLevel="0" collapsed="false">
      <c r="A3681" s="27"/>
      <c r="E3681" s="28"/>
      <c r="F3681" s="28"/>
      <c r="I3681" s="28" t="str">
        <f aca="false">IF(A3681="","",D3681*E3681)</f>
        <v/>
      </c>
      <c r="J3681" s="28" t="str">
        <f aca="false">IF(A3681="","",D3681*F3681)</f>
        <v/>
      </c>
      <c r="K3681" s="0" t="str">
        <f aca="false">IF(A3681="","",YEAR(A3681))</f>
        <v/>
      </c>
      <c r="L3681" s="0" t="str">
        <f aca="false">IF(A3681="","",MONTH(A3681))</f>
        <v/>
      </c>
    </row>
    <row r="3682" customFormat="false" ht="15" hidden="false" customHeight="false" outlineLevel="0" collapsed="false">
      <c r="A3682" s="27"/>
      <c r="E3682" s="28"/>
      <c r="F3682" s="28"/>
      <c r="I3682" s="28" t="str">
        <f aca="false">IF(A3682="","",D3682*E3682)</f>
        <v/>
      </c>
      <c r="J3682" s="28" t="str">
        <f aca="false">IF(A3682="","",D3682*F3682)</f>
        <v/>
      </c>
      <c r="K3682" s="0" t="str">
        <f aca="false">IF(A3682="","",YEAR(A3682))</f>
        <v/>
      </c>
      <c r="L3682" s="0" t="str">
        <f aca="false">IF(A3682="","",MONTH(A3682))</f>
        <v/>
      </c>
    </row>
    <row r="3683" customFormat="false" ht="15" hidden="false" customHeight="false" outlineLevel="0" collapsed="false">
      <c r="A3683" s="27"/>
      <c r="E3683" s="28"/>
      <c r="F3683" s="28"/>
      <c r="I3683" s="28" t="str">
        <f aca="false">IF(A3683="","",D3683*E3683)</f>
        <v/>
      </c>
      <c r="J3683" s="28" t="str">
        <f aca="false">IF(A3683="","",D3683*F3683)</f>
        <v/>
      </c>
      <c r="K3683" s="0" t="str">
        <f aca="false">IF(A3683="","",YEAR(A3683))</f>
        <v/>
      </c>
      <c r="L3683" s="0" t="str">
        <f aca="false">IF(A3683="","",MONTH(A3683))</f>
        <v/>
      </c>
    </row>
    <row r="3684" customFormat="false" ht="15" hidden="false" customHeight="false" outlineLevel="0" collapsed="false">
      <c r="A3684" s="27"/>
      <c r="E3684" s="28"/>
      <c r="F3684" s="28"/>
      <c r="I3684" s="28" t="str">
        <f aca="false">IF(A3684="","",D3684*E3684)</f>
        <v/>
      </c>
      <c r="J3684" s="28" t="str">
        <f aca="false">IF(A3684="","",D3684*F3684)</f>
        <v/>
      </c>
      <c r="K3684" s="0" t="str">
        <f aca="false">IF(A3684="","",YEAR(A3684))</f>
        <v/>
      </c>
      <c r="L3684" s="0" t="str">
        <f aca="false">IF(A3684="","",MONTH(A3684))</f>
        <v/>
      </c>
    </row>
    <row r="3685" customFormat="false" ht="15" hidden="false" customHeight="false" outlineLevel="0" collapsed="false">
      <c r="A3685" s="27"/>
      <c r="E3685" s="28"/>
      <c r="F3685" s="28"/>
      <c r="I3685" s="28" t="str">
        <f aca="false">IF(A3685="","",D3685*E3685)</f>
        <v/>
      </c>
      <c r="J3685" s="28" t="str">
        <f aca="false">IF(A3685="","",D3685*F3685)</f>
        <v/>
      </c>
      <c r="K3685" s="0" t="str">
        <f aca="false">IF(A3685="","",YEAR(A3685))</f>
        <v/>
      </c>
      <c r="L3685" s="0" t="str">
        <f aca="false">IF(A3685="","",MONTH(A3685))</f>
        <v/>
      </c>
    </row>
    <row r="3686" customFormat="false" ht="15" hidden="false" customHeight="false" outlineLevel="0" collapsed="false">
      <c r="A3686" s="27"/>
      <c r="E3686" s="28"/>
      <c r="F3686" s="28"/>
      <c r="I3686" s="28" t="str">
        <f aca="false">IF(A3686="","",D3686*E3686)</f>
        <v/>
      </c>
      <c r="J3686" s="28" t="str">
        <f aca="false">IF(A3686="","",D3686*F3686)</f>
        <v/>
      </c>
      <c r="K3686" s="0" t="str">
        <f aca="false">IF(A3686="","",YEAR(A3686))</f>
        <v/>
      </c>
      <c r="L3686" s="0" t="str">
        <f aca="false">IF(A3686="","",MONTH(A3686))</f>
        <v/>
      </c>
    </row>
    <row r="3687" customFormat="false" ht="15" hidden="false" customHeight="false" outlineLevel="0" collapsed="false">
      <c r="A3687" s="27"/>
      <c r="E3687" s="28"/>
      <c r="F3687" s="28"/>
      <c r="I3687" s="28" t="str">
        <f aca="false">IF(A3687="","",D3687*E3687)</f>
        <v/>
      </c>
      <c r="J3687" s="28" t="str">
        <f aca="false">IF(A3687="","",D3687*F3687)</f>
        <v/>
      </c>
      <c r="K3687" s="0" t="str">
        <f aca="false">IF(A3687="","",YEAR(A3687))</f>
        <v/>
      </c>
      <c r="L3687" s="0" t="str">
        <f aca="false">IF(A3687="","",MONTH(A3687))</f>
        <v/>
      </c>
    </row>
    <row r="3688" customFormat="false" ht="15" hidden="false" customHeight="false" outlineLevel="0" collapsed="false">
      <c r="A3688" s="27"/>
      <c r="E3688" s="28"/>
      <c r="F3688" s="28"/>
      <c r="I3688" s="28" t="str">
        <f aca="false">IF(A3688="","",D3688*E3688)</f>
        <v/>
      </c>
      <c r="J3688" s="28" t="str">
        <f aca="false">IF(A3688="","",D3688*F3688)</f>
        <v/>
      </c>
      <c r="K3688" s="0" t="str">
        <f aca="false">IF(A3688="","",YEAR(A3688))</f>
        <v/>
      </c>
      <c r="L3688" s="0" t="str">
        <f aca="false">IF(A3688="","",MONTH(A3688))</f>
        <v/>
      </c>
    </row>
    <row r="3689" customFormat="false" ht="15" hidden="false" customHeight="false" outlineLevel="0" collapsed="false">
      <c r="A3689" s="27"/>
      <c r="E3689" s="28"/>
      <c r="F3689" s="28"/>
      <c r="I3689" s="28" t="str">
        <f aca="false">IF(A3689="","",D3689*E3689)</f>
        <v/>
      </c>
      <c r="J3689" s="28" t="str">
        <f aca="false">IF(A3689="","",D3689*F3689)</f>
        <v/>
      </c>
      <c r="K3689" s="0" t="str">
        <f aca="false">IF(A3689="","",YEAR(A3689))</f>
        <v/>
      </c>
      <c r="L3689" s="0" t="str">
        <f aca="false">IF(A3689="","",MONTH(A3689))</f>
        <v/>
      </c>
    </row>
    <row r="3690" customFormat="false" ht="15" hidden="false" customHeight="false" outlineLevel="0" collapsed="false">
      <c r="A3690" s="27"/>
      <c r="E3690" s="28"/>
      <c r="F3690" s="28"/>
      <c r="I3690" s="28" t="str">
        <f aca="false">IF(A3690="","",D3690*E3690)</f>
        <v/>
      </c>
      <c r="J3690" s="28" t="str">
        <f aca="false">IF(A3690="","",D3690*F3690)</f>
        <v/>
      </c>
      <c r="K3690" s="0" t="str">
        <f aca="false">IF(A3690="","",YEAR(A3690))</f>
        <v/>
      </c>
      <c r="L3690" s="0" t="str">
        <f aca="false">IF(A3690="","",MONTH(A3690))</f>
        <v/>
      </c>
    </row>
    <row r="3691" customFormat="false" ht="15" hidden="false" customHeight="false" outlineLevel="0" collapsed="false">
      <c r="A3691" s="27"/>
      <c r="E3691" s="28"/>
      <c r="F3691" s="28"/>
      <c r="I3691" s="28" t="str">
        <f aca="false">IF(A3691="","",D3691*E3691)</f>
        <v/>
      </c>
      <c r="J3691" s="28" t="str">
        <f aca="false">IF(A3691="","",D3691*F3691)</f>
        <v/>
      </c>
      <c r="K3691" s="0" t="str">
        <f aca="false">IF(A3691="","",YEAR(A3691))</f>
        <v/>
      </c>
      <c r="L3691" s="0" t="str">
        <f aca="false">IF(A3691="","",MONTH(A3691))</f>
        <v/>
      </c>
    </row>
    <row r="3692" customFormat="false" ht="15" hidden="false" customHeight="false" outlineLevel="0" collapsed="false">
      <c r="A3692" s="27"/>
      <c r="E3692" s="28"/>
      <c r="F3692" s="28"/>
      <c r="I3692" s="28" t="str">
        <f aca="false">IF(A3692="","",D3692*E3692)</f>
        <v/>
      </c>
      <c r="J3692" s="28" t="str">
        <f aca="false">IF(A3692="","",D3692*F3692)</f>
        <v/>
      </c>
      <c r="K3692" s="0" t="str">
        <f aca="false">IF(A3692="","",YEAR(A3692))</f>
        <v/>
      </c>
      <c r="L3692" s="0" t="str">
        <f aca="false">IF(A3692="","",MONTH(A3692))</f>
        <v/>
      </c>
    </row>
    <row r="3693" customFormat="false" ht="15" hidden="false" customHeight="false" outlineLevel="0" collapsed="false">
      <c r="A3693" s="27"/>
      <c r="E3693" s="28"/>
      <c r="F3693" s="28"/>
      <c r="I3693" s="28" t="str">
        <f aca="false">IF(A3693="","",D3693*E3693)</f>
        <v/>
      </c>
      <c r="J3693" s="28" t="str">
        <f aca="false">IF(A3693="","",D3693*F3693)</f>
        <v/>
      </c>
      <c r="K3693" s="0" t="str">
        <f aca="false">IF(A3693="","",YEAR(A3693))</f>
        <v/>
      </c>
      <c r="L3693" s="0" t="str">
        <f aca="false">IF(A3693="","",MONTH(A3693))</f>
        <v/>
      </c>
    </row>
    <row r="3694" customFormat="false" ht="15" hidden="false" customHeight="false" outlineLevel="0" collapsed="false">
      <c r="A3694" s="27"/>
      <c r="E3694" s="28"/>
      <c r="F3694" s="28"/>
      <c r="I3694" s="28" t="str">
        <f aca="false">IF(A3694="","",D3694*E3694)</f>
        <v/>
      </c>
      <c r="J3694" s="28" t="str">
        <f aca="false">IF(A3694="","",D3694*F3694)</f>
        <v/>
      </c>
      <c r="K3694" s="0" t="str">
        <f aca="false">IF(A3694="","",YEAR(A3694))</f>
        <v/>
      </c>
      <c r="L3694" s="0" t="str">
        <f aca="false">IF(A3694="","",MONTH(A3694))</f>
        <v/>
      </c>
    </row>
    <row r="3695" customFormat="false" ht="15" hidden="false" customHeight="false" outlineLevel="0" collapsed="false">
      <c r="A3695" s="27"/>
      <c r="E3695" s="28"/>
      <c r="F3695" s="28"/>
      <c r="I3695" s="28" t="str">
        <f aca="false">IF(A3695="","",D3695*E3695)</f>
        <v/>
      </c>
      <c r="J3695" s="28" t="str">
        <f aca="false">IF(A3695="","",D3695*F3695)</f>
        <v/>
      </c>
      <c r="K3695" s="0" t="str">
        <f aca="false">IF(A3695="","",YEAR(A3695))</f>
        <v/>
      </c>
      <c r="L3695" s="0" t="str">
        <f aca="false">IF(A3695="","",MONTH(A3695))</f>
        <v/>
      </c>
    </row>
    <row r="3696" customFormat="false" ht="15" hidden="false" customHeight="false" outlineLevel="0" collapsed="false">
      <c r="A3696" s="27"/>
      <c r="E3696" s="28"/>
      <c r="F3696" s="28"/>
      <c r="I3696" s="28" t="str">
        <f aca="false">IF(A3696="","",D3696*E3696)</f>
        <v/>
      </c>
      <c r="J3696" s="28" t="str">
        <f aca="false">IF(A3696="","",D3696*F3696)</f>
        <v/>
      </c>
      <c r="K3696" s="0" t="str">
        <f aca="false">IF(A3696="","",YEAR(A3696))</f>
        <v/>
      </c>
      <c r="L3696" s="0" t="str">
        <f aca="false">IF(A3696="","",MONTH(A3696))</f>
        <v/>
      </c>
    </row>
    <row r="3697" customFormat="false" ht="15" hidden="false" customHeight="false" outlineLevel="0" collapsed="false">
      <c r="A3697" s="27"/>
      <c r="E3697" s="28"/>
      <c r="F3697" s="28"/>
      <c r="I3697" s="28" t="str">
        <f aca="false">IF(A3697="","",D3697*E3697)</f>
        <v/>
      </c>
      <c r="J3697" s="28" t="str">
        <f aca="false">IF(A3697="","",D3697*F3697)</f>
        <v/>
      </c>
      <c r="K3697" s="0" t="str">
        <f aca="false">IF(A3697="","",YEAR(A3697))</f>
        <v/>
      </c>
      <c r="L3697" s="0" t="str">
        <f aca="false">IF(A3697="","",MONTH(A3697))</f>
        <v/>
      </c>
    </row>
    <row r="3698" customFormat="false" ht="15" hidden="false" customHeight="false" outlineLevel="0" collapsed="false">
      <c r="A3698" s="27"/>
      <c r="E3698" s="28"/>
      <c r="F3698" s="28"/>
      <c r="I3698" s="28" t="str">
        <f aca="false">IF(A3698="","",D3698*E3698)</f>
        <v/>
      </c>
      <c r="J3698" s="28" t="str">
        <f aca="false">IF(A3698="","",D3698*F3698)</f>
        <v/>
      </c>
      <c r="K3698" s="0" t="str">
        <f aca="false">IF(A3698="","",YEAR(A3698))</f>
        <v/>
      </c>
      <c r="L3698" s="0" t="str">
        <f aca="false">IF(A3698="","",MONTH(A3698))</f>
        <v/>
      </c>
    </row>
    <row r="3699" customFormat="false" ht="15" hidden="false" customHeight="false" outlineLevel="0" collapsed="false">
      <c r="A3699" s="27"/>
      <c r="E3699" s="28"/>
      <c r="F3699" s="28"/>
      <c r="I3699" s="28" t="str">
        <f aca="false">IF(A3699="","",D3699*E3699)</f>
        <v/>
      </c>
      <c r="J3699" s="28" t="str">
        <f aca="false">IF(A3699="","",D3699*F3699)</f>
        <v/>
      </c>
      <c r="K3699" s="0" t="str">
        <f aca="false">IF(A3699="","",YEAR(A3699))</f>
        <v/>
      </c>
      <c r="L3699" s="0" t="str">
        <f aca="false">IF(A3699="","",MONTH(A3699))</f>
        <v/>
      </c>
    </row>
    <row r="3700" customFormat="false" ht="15" hidden="false" customHeight="false" outlineLevel="0" collapsed="false">
      <c r="A3700" s="27"/>
      <c r="E3700" s="28"/>
      <c r="F3700" s="28"/>
      <c r="I3700" s="28" t="str">
        <f aca="false">IF(A3700="","",D3700*E3700)</f>
        <v/>
      </c>
      <c r="J3700" s="28" t="str">
        <f aca="false">IF(A3700="","",D3700*F3700)</f>
        <v/>
      </c>
      <c r="K3700" s="0" t="str">
        <f aca="false">IF(A3700="","",YEAR(A3700))</f>
        <v/>
      </c>
      <c r="L3700" s="0" t="str">
        <f aca="false">IF(A3700="","",MONTH(A3700))</f>
        <v/>
      </c>
    </row>
    <row r="3701" customFormat="false" ht="15" hidden="false" customHeight="false" outlineLevel="0" collapsed="false">
      <c r="A3701" s="27"/>
      <c r="E3701" s="28"/>
      <c r="F3701" s="28"/>
      <c r="I3701" s="28" t="str">
        <f aca="false">IF(A3701="","",D3701*E3701)</f>
        <v/>
      </c>
      <c r="J3701" s="28" t="str">
        <f aca="false">IF(A3701="","",D3701*F3701)</f>
        <v/>
      </c>
      <c r="K3701" s="0" t="str">
        <f aca="false">IF(A3701="","",YEAR(A3701))</f>
        <v/>
      </c>
      <c r="L3701" s="0" t="str">
        <f aca="false">IF(A3701="","",MONTH(A3701))</f>
        <v/>
      </c>
    </row>
    <row r="3702" customFormat="false" ht="15" hidden="false" customHeight="false" outlineLevel="0" collapsed="false">
      <c r="A3702" s="27"/>
      <c r="E3702" s="28"/>
      <c r="F3702" s="28"/>
      <c r="I3702" s="28" t="str">
        <f aca="false">IF(A3702="","",D3702*E3702)</f>
        <v/>
      </c>
      <c r="J3702" s="28" t="str">
        <f aca="false">IF(A3702="","",D3702*F3702)</f>
        <v/>
      </c>
      <c r="K3702" s="0" t="str">
        <f aca="false">IF(A3702="","",YEAR(A3702))</f>
        <v/>
      </c>
      <c r="L3702" s="0" t="str">
        <f aca="false">IF(A3702="","",MONTH(A3702))</f>
        <v/>
      </c>
    </row>
    <row r="3703" customFormat="false" ht="15" hidden="false" customHeight="false" outlineLevel="0" collapsed="false">
      <c r="A3703" s="27"/>
      <c r="E3703" s="28"/>
      <c r="F3703" s="28"/>
      <c r="I3703" s="28" t="str">
        <f aca="false">IF(A3703="","",D3703*E3703)</f>
        <v/>
      </c>
      <c r="J3703" s="28" t="str">
        <f aca="false">IF(A3703="","",D3703*F3703)</f>
        <v/>
      </c>
      <c r="K3703" s="0" t="str">
        <f aca="false">IF(A3703="","",YEAR(A3703))</f>
        <v/>
      </c>
      <c r="L3703" s="0" t="str">
        <f aca="false">IF(A3703="","",MONTH(A3703))</f>
        <v/>
      </c>
    </row>
    <row r="3704" customFormat="false" ht="15" hidden="false" customHeight="false" outlineLevel="0" collapsed="false">
      <c r="A3704" s="27"/>
      <c r="E3704" s="28"/>
      <c r="F3704" s="28"/>
      <c r="I3704" s="28" t="str">
        <f aca="false">IF(A3704="","",D3704*E3704)</f>
        <v/>
      </c>
      <c r="J3704" s="28" t="str">
        <f aca="false">IF(A3704="","",D3704*F3704)</f>
        <v/>
      </c>
      <c r="K3704" s="0" t="str">
        <f aca="false">IF(A3704="","",YEAR(A3704))</f>
        <v/>
      </c>
      <c r="L3704" s="0" t="str">
        <f aca="false">IF(A3704="","",MONTH(A3704))</f>
        <v/>
      </c>
    </row>
    <row r="3705" customFormat="false" ht="15" hidden="false" customHeight="false" outlineLevel="0" collapsed="false">
      <c r="A3705" s="27"/>
      <c r="E3705" s="28"/>
      <c r="F3705" s="28"/>
      <c r="I3705" s="28" t="str">
        <f aca="false">IF(A3705="","",D3705*E3705)</f>
        <v/>
      </c>
      <c r="J3705" s="28" t="str">
        <f aca="false">IF(A3705="","",D3705*F3705)</f>
        <v/>
      </c>
      <c r="K3705" s="0" t="str">
        <f aca="false">IF(A3705="","",YEAR(A3705))</f>
        <v/>
      </c>
      <c r="L3705" s="0" t="str">
        <f aca="false">IF(A3705="","",MONTH(A3705))</f>
        <v/>
      </c>
    </row>
    <row r="3706" customFormat="false" ht="15" hidden="false" customHeight="false" outlineLevel="0" collapsed="false">
      <c r="A3706" s="27"/>
      <c r="E3706" s="28"/>
      <c r="F3706" s="28"/>
      <c r="I3706" s="28" t="str">
        <f aca="false">IF(A3706="","",D3706*E3706)</f>
        <v/>
      </c>
      <c r="J3706" s="28" t="str">
        <f aca="false">IF(A3706="","",D3706*F3706)</f>
        <v/>
      </c>
      <c r="K3706" s="0" t="str">
        <f aca="false">IF(A3706="","",YEAR(A3706))</f>
        <v/>
      </c>
      <c r="L3706" s="0" t="str">
        <f aca="false">IF(A3706="","",MONTH(A3706))</f>
        <v/>
      </c>
    </row>
    <row r="3707" customFormat="false" ht="15" hidden="false" customHeight="false" outlineLevel="0" collapsed="false">
      <c r="A3707" s="27"/>
      <c r="E3707" s="28"/>
      <c r="F3707" s="28"/>
      <c r="I3707" s="28" t="str">
        <f aca="false">IF(A3707="","",D3707*E3707)</f>
        <v/>
      </c>
      <c r="J3707" s="28" t="str">
        <f aca="false">IF(A3707="","",D3707*F3707)</f>
        <v/>
      </c>
      <c r="K3707" s="0" t="str">
        <f aca="false">IF(A3707="","",YEAR(A3707))</f>
        <v/>
      </c>
      <c r="L3707" s="0" t="str">
        <f aca="false">IF(A3707="","",MONTH(A3707))</f>
        <v/>
      </c>
    </row>
    <row r="3708" customFormat="false" ht="15" hidden="false" customHeight="false" outlineLevel="0" collapsed="false">
      <c r="A3708" s="27"/>
      <c r="E3708" s="28"/>
      <c r="F3708" s="28"/>
      <c r="I3708" s="28" t="str">
        <f aca="false">IF(A3708="","",D3708*E3708)</f>
        <v/>
      </c>
      <c r="J3708" s="28" t="str">
        <f aca="false">IF(A3708="","",D3708*F3708)</f>
        <v/>
      </c>
      <c r="K3708" s="0" t="str">
        <f aca="false">IF(A3708="","",YEAR(A3708))</f>
        <v/>
      </c>
      <c r="L3708" s="0" t="str">
        <f aca="false">IF(A3708="","",MONTH(A3708))</f>
        <v/>
      </c>
    </row>
    <row r="3709" customFormat="false" ht="15" hidden="false" customHeight="false" outlineLevel="0" collapsed="false">
      <c r="A3709" s="27"/>
      <c r="E3709" s="28"/>
      <c r="F3709" s="28"/>
      <c r="I3709" s="28" t="str">
        <f aca="false">IF(A3709="","",D3709*E3709)</f>
        <v/>
      </c>
      <c r="J3709" s="28" t="str">
        <f aca="false">IF(A3709="","",D3709*F3709)</f>
        <v/>
      </c>
      <c r="K3709" s="0" t="str">
        <f aca="false">IF(A3709="","",YEAR(A3709))</f>
        <v/>
      </c>
      <c r="L3709" s="0" t="str">
        <f aca="false">IF(A3709="","",MONTH(A3709))</f>
        <v/>
      </c>
    </row>
    <row r="3710" customFormat="false" ht="15" hidden="false" customHeight="false" outlineLevel="0" collapsed="false">
      <c r="A3710" s="27"/>
      <c r="E3710" s="28"/>
      <c r="F3710" s="28"/>
      <c r="I3710" s="28" t="str">
        <f aca="false">IF(A3710="","",D3710*E3710)</f>
        <v/>
      </c>
      <c r="J3710" s="28" t="str">
        <f aca="false">IF(A3710="","",D3710*F3710)</f>
        <v/>
      </c>
      <c r="K3710" s="0" t="str">
        <f aca="false">IF(A3710="","",YEAR(A3710))</f>
        <v/>
      </c>
      <c r="L3710" s="0" t="str">
        <f aca="false">IF(A3710="","",MONTH(A3710))</f>
        <v/>
      </c>
    </row>
    <row r="3711" customFormat="false" ht="15" hidden="false" customHeight="false" outlineLevel="0" collapsed="false">
      <c r="A3711" s="27"/>
      <c r="E3711" s="28"/>
      <c r="F3711" s="28"/>
      <c r="I3711" s="28" t="str">
        <f aca="false">IF(A3711="","",D3711*E3711)</f>
        <v/>
      </c>
      <c r="J3711" s="28" t="str">
        <f aca="false">IF(A3711="","",D3711*F3711)</f>
        <v/>
      </c>
      <c r="K3711" s="0" t="str">
        <f aca="false">IF(A3711="","",YEAR(A3711))</f>
        <v/>
      </c>
      <c r="L3711" s="0" t="str">
        <f aca="false">IF(A3711="","",MONTH(A3711))</f>
        <v/>
      </c>
    </row>
    <row r="3712" customFormat="false" ht="15" hidden="false" customHeight="false" outlineLevel="0" collapsed="false">
      <c r="A3712" s="27"/>
      <c r="E3712" s="28"/>
      <c r="F3712" s="28"/>
      <c r="I3712" s="28" t="str">
        <f aca="false">IF(A3712="","",D3712*E3712)</f>
        <v/>
      </c>
      <c r="J3712" s="28" t="str">
        <f aca="false">IF(A3712="","",D3712*F3712)</f>
        <v/>
      </c>
      <c r="K3712" s="0" t="str">
        <f aca="false">IF(A3712="","",YEAR(A3712))</f>
        <v/>
      </c>
      <c r="L3712" s="0" t="str">
        <f aca="false">IF(A3712="","",MONTH(A3712))</f>
        <v/>
      </c>
    </row>
    <row r="3713" customFormat="false" ht="15" hidden="false" customHeight="false" outlineLevel="0" collapsed="false">
      <c r="A3713" s="27"/>
      <c r="E3713" s="28"/>
      <c r="F3713" s="28"/>
      <c r="I3713" s="28" t="str">
        <f aca="false">IF(A3713="","",D3713*E3713)</f>
        <v/>
      </c>
      <c r="J3713" s="28" t="str">
        <f aca="false">IF(A3713="","",D3713*F3713)</f>
        <v/>
      </c>
      <c r="K3713" s="0" t="str">
        <f aca="false">IF(A3713="","",YEAR(A3713))</f>
        <v/>
      </c>
      <c r="L3713" s="0" t="str">
        <f aca="false">IF(A3713="","",MONTH(A3713))</f>
        <v/>
      </c>
    </row>
    <row r="3714" customFormat="false" ht="15" hidden="false" customHeight="false" outlineLevel="0" collapsed="false">
      <c r="A3714" s="27"/>
      <c r="E3714" s="28"/>
      <c r="F3714" s="28"/>
      <c r="I3714" s="28" t="str">
        <f aca="false">IF(A3714="","",D3714*E3714)</f>
        <v/>
      </c>
      <c r="J3714" s="28" t="str">
        <f aca="false">IF(A3714="","",D3714*F3714)</f>
        <v/>
      </c>
      <c r="K3714" s="0" t="str">
        <f aca="false">IF(A3714="","",YEAR(A3714))</f>
        <v/>
      </c>
      <c r="L3714" s="0" t="str">
        <f aca="false">IF(A3714="","",MONTH(A3714))</f>
        <v/>
      </c>
    </row>
    <row r="3715" customFormat="false" ht="15" hidden="false" customHeight="false" outlineLevel="0" collapsed="false">
      <c r="A3715" s="27"/>
      <c r="E3715" s="28"/>
      <c r="F3715" s="28"/>
      <c r="I3715" s="28" t="str">
        <f aca="false">IF(A3715="","",D3715*E3715)</f>
        <v/>
      </c>
      <c r="J3715" s="28" t="str">
        <f aca="false">IF(A3715="","",D3715*F3715)</f>
        <v/>
      </c>
      <c r="K3715" s="0" t="str">
        <f aca="false">IF(A3715="","",YEAR(A3715))</f>
        <v/>
      </c>
      <c r="L3715" s="0" t="str">
        <f aca="false">IF(A3715="","",MONTH(A3715))</f>
        <v/>
      </c>
    </row>
    <row r="3716" customFormat="false" ht="15" hidden="false" customHeight="false" outlineLevel="0" collapsed="false">
      <c r="A3716" s="27"/>
      <c r="E3716" s="28"/>
      <c r="F3716" s="28"/>
      <c r="I3716" s="28" t="str">
        <f aca="false">IF(A3716="","",D3716*E3716)</f>
        <v/>
      </c>
      <c r="J3716" s="28" t="str">
        <f aca="false">IF(A3716="","",D3716*F3716)</f>
        <v/>
      </c>
      <c r="K3716" s="0" t="str">
        <f aca="false">IF(A3716="","",YEAR(A3716))</f>
        <v/>
      </c>
      <c r="L3716" s="0" t="str">
        <f aca="false">IF(A3716="","",MONTH(A3716))</f>
        <v/>
      </c>
    </row>
    <row r="3717" customFormat="false" ht="15" hidden="false" customHeight="false" outlineLevel="0" collapsed="false">
      <c r="A3717" s="27"/>
      <c r="E3717" s="28"/>
      <c r="F3717" s="28"/>
      <c r="I3717" s="28" t="str">
        <f aca="false">IF(A3717="","",D3717*E3717)</f>
        <v/>
      </c>
      <c r="J3717" s="28" t="str">
        <f aca="false">IF(A3717="","",D3717*F3717)</f>
        <v/>
      </c>
      <c r="K3717" s="0" t="str">
        <f aca="false">IF(A3717="","",YEAR(A3717))</f>
        <v/>
      </c>
      <c r="L3717" s="0" t="str">
        <f aca="false">IF(A3717="","",MONTH(A3717))</f>
        <v/>
      </c>
    </row>
    <row r="3718" customFormat="false" ht="15" hidden="false" customHeight="false" outlineLevel="0" collapsed="false">
      <c r="A3718" s="27"/>
      <c r="E3718" s="28"/>
      <c r="F3718" s="28"/>
      <c r="I3718" s="28" t="str">
        <f aca="false">IF(A3718="","",D3718*E3718)</f>
        <v/>
      </c>
      <c r="J3718" s="28" t="str">
        <f aca="false">IF(A3718="","",D3718*F3718)</f>
        <v/>
      </c>
      <c r="K3718" s="0" t="str">
        <f aca="false">IF(A3718="","",YEAR(A3718))</f>
        <v/>
      </c>
      <c r="L3718" s="0" t="str">
        <f aca="false">IF(A3718="","",MONTH(A3718))</f>
        <v/>
      </c>
    </row>
    <row r="3719" customFormat="false" ht="15" hidden="false" customHeight="false" outlineLevel="0" collapsed="false">
      <c r="A3719" s="27"/>
      <c r="E3719" s="28"/>
      <c r="F3719" s="28"/>
      <c r="I3719" s="28" t="str">
        <f aca="false">IF(A3719="","",D3719*E3719)</f>
        <v/>
      </c>
      <c r="J3719" s="28" t="str">
        <f aca="false">IF(A3719="","",D3719*F3719)</f>
        <v/>
      </c>
      <c r="K3719" s="0" t="str">
        <f aca="false">IF(A3719="","",YEAR(A3719))</f>
        <v/>
      </c>
      <c r="L3719" s="0" t="str">
        <f aca="false">IF(A3719="","",MONTH(A3719))</f>
        <v/>
      </c>
    </row>
    <row r="3720" customFormat="false" ht="15" hidden="false" customHeight="false" outlineLevel="0" collapsed="false">
      <c r="A3720" s="27"/>
      <c r="E3720" s="28"/>
      <c r="F3720" s="28"/>
      <c r="I3720" s="28" t="str">
        <f aca="false">IF(A3720="","",D3720*E3720)</f>
        <v/>
      </c>
      <c r="J3720" s="28" t="str">
        <f aca="false">IF(A3720="","",D3720*F3720)</f>
        <v/>
      </c>
      <c r="K3720" s="0" t="str">
        <f aca="false">IF(A3720="","",YEAR(A3720))</f>
        <v/>
      </c>
      <c r="L3720" s="0" t="str">
        <f aca="false">IF(A3720="","",MONTH(A3720))</f>
        <v/>
      </c>
    </row>
    <row r="3721" customFormat="false" ht="15" hidden="false" customHeight="false" outlineLevel="0" collapsed="false">
      <c r="A3721" s="27"/>
      <c r="E3721" s="28"/>
      <c r="F3721" s="28"/>
      <c r="I3721" s="28" t="str">
        <f aca="false">IF(A3721="","",D3721*E3721)</f>
        <v/>
      </c>
      <c r="J3721" s="28" t="str">
        <f aca="false">IF(A3721="","",D3721*F3721)</f>
        <v/>
      </c>
      <c r="K3721" s="0" t="str">
        <f aca="false">IF(A3721="","",YEAR(A3721))</f>
        <v/>
      </c>
      <c r="L3721" s="0" t="str">
        <f aca="false">IF(A3721="","",MONTH(A3721))</f>
        <v/>
      </c>
    </row>
    <row r="3722" customFormat="false" ht="15" hidden="false" customHeight="false" outlineLevel="0" collapsed="false">
      <c r="A3722" s="27"/>
      <c r="E3722" s="28"/>
      <c r="F3722" s="28"/>
      <c r="I3722" s="28" t="str">
        <f aca="false">IF(A3722="","",D3722*E3722)</f>
        <v/>
      </c>
      <c r="J3722" s="28" t="str">
        <f aca="false">IF(A3722="","",D3722*F3722)</f>
        <v/>
      </c>
      <c r="K3722" s="0" t="str">
        <f aca="false">IF(A3722="","",YEAR(A3722))</f>
        <v/>
      </c>
      <c r="L3722" s="0" t="str">
        <f aca="false">IF(A3722="","",MONTH(A3722))</f>
        <v/>
      </c>
    </row>
    <row r="3723" customFormat="false" ht="15" hidden="false" customHeight="false" outlineLevel="0" collapsed="false">
      <c r="A3723" s="27"/>
      <c r="E3723" s="28"/>
      <c r="F3723" s="28"/>
      <c r="I3723" s="28" t="str">
        <f aca="false">IF(A3723="","",D3723*E3723)</f>
        <v/>
      </c>
      <c r="J3723" s="28" t="str">
        <f aca="false">IF(A3723="","",D3723*F3723)</f>
        <v/>
      </c>
      <c r="K3723" s="0" t="str">
        <f aca="false">IF(A3723="","",YEAR(A3723))</f>
        <v/>
      </c>
      <c r="L3723" s="0" t="str">
        <f aca="false">IF(A3723="","",MONTH(A3723))</f>
        <v/>
      </c>
    </row>
    <row r="3724" customFormat="false" ht="15" hidden="false" customHeight="false" outlineLevel="0" collapsed="false">
      <c r="A3724" s="27"/>
      <c r="E3724" s="28"/>
      <c r="F3724" s="28"/>
      <c r="I3724" s="28" t="str">
        <f aca="false">IF(A3724="","",D3724*E3724)</f>
        <v/>
      </c>
      <c r="J3724" s="28" t="str">
        <f aca="false">IF(A3724="","",D3724*F3724)</f>
        <v/>
      </c>
      <c r="K3724" s="0" t="str">
        <f aca="false">IF(A3724="","",YEAR(A3724))</f>
        <v/>
      </c>
      <c r="L3724" s="0" t="str">
        <f aca="false">IF(A3724="","",MONTH(A3724))</f>
        <v/>
      </c>
    </row>
    <row r="3725" customFormat="false" ht="15" hidden="false" customHeight="false" outlineLevel="0" collapsed="false">
      <c r="A3725" s="27"/>
      <c r="E3725" s="28"/>
      <c r="F3725" s="28"/>
      <c r="I3725" s="28" t="str">
        <f aca="false">IF(A3725="","",D3725*E3725)</f>
        <v/>
      </c>
      <c r="J3725" s="28" t="str">
        <f aca="false">IF(A3725="","",D3725*F3725)</f>
        <v/>
      </c>
      <c r="K3725" s="0" t="str">
        <f aca="false">IF(A3725="","",YEAR(A3725))</f>
        <v/>
      </c>
      <c r="L3725" s="0" t="str">
        <f aca="false">IF(A3725="","",MONTH(A3725))</f>
        <v/>
      </c>
    </row>
    <row r="3726" customFormat="false" ht="15" hidden="false" customHeight="false" outlineLevel="0" collapsed="false">
      <c r="A3726" s="27"/>
      <c r="E3726" s="28"/>
      <c r="F3726" s="28"/>
      <c r="I3726" s="28" t="str">
        <f aca="false">IF(A3726="","",D3726*E3726)</f>
        <v/>
      </c>
      <c r="J3726" s="28" t="str">
        <f aca="false">IF(A3726="","",D3726*F3726)</f>
        <v/>
      </c>
      <c r="K3726" s="0" t="str">
        <f aca="false">IF(A3726="","",YEAR(A3726))</f>
        <v/>
      </c>
      <c r="L3726" s="0" t="str">
        <f aca="false">IF(A3726="","",MONTH(A3726))</f>
        <v/>
      </c>
    </row>
    <row r="3727" customFormat="false" ht="15" hidden="false" customHeight="false" outlineLevel="0" collapsed="false">
      <c r="A3727" s="27"/>
      <c r="E3727" s="28"/>
      <c r="F3727" s="28"/>
      <c r="I3727" s="28" t="str">
        <f aca="false">IF(A3727="","",D3727*E3727)</f>
        <v/>
      </c>
      <c r="J3727" s="28" t="str">
        <f aca="false">IF(A3727="","",D3727*F3727)</f>
        <v/>
      </c>
      <c r="K3727" s="0" t="str">
        <f aca="false">IF(A3727="","",YEAR(A3727))</f>
        <v/>
      </c>
      <c r="L3727" s="0" t="str">
        <f aca="false">IF(A3727="","",MONTH(A3727))</f>
        <v/>
      </c>
    </row>
    <row r="3728" customFormat="false" ht="15" hidden="false" customHeight="false" outlineLevel="0" collapsed="false">
      <c r="A3728" s="27"/>
      <c r="E3728" s="28"/>
      <c r="F3728" s="28"/>
      <c r="I3728" s="28" t="str">
        <f aca="false">IF(A3728="","",D3728*E3728)</f>
        <v/>
      </c>
      <c r="J3728" s="28" t="str">
        <f aca="false">IF(A3728="","",D3728*F3728)</f>
        <v/>
      </c>
      <c r="K3728" s="0" t="str">
        <f aca="false">IF(A3728="","",YEAR(A3728))</f>
        <v/>
      </c>
      <c r="L3728" s="0" t="str">
        <f aca="false">IF(A3728="","",MONTH(A3728))</f>
        <v/>
      </c>
    </row>
    <row r="3729" customFormat="false" ht="15" hidden="false" customHeight="false" outlineLevel="0" collapsed="false">
      <c r="A3729" s="27"/>
      <c r="E3729" s="28"/>
      <c r="F3729" s="28"/>
      <c r="I3729" s="28" t="str">
        <f aca="false">IF(A3729="","",D3729*E3729)</f>
        <v/>
      </c>
      <c r="J3729" s="28" t="str">
        <f aca="false">IF(A3729="","",D3729*F3729)</f>
        <v/>
      </c>
      <c r="K3729" s="0" t="str">
        <f aca="false">IF(A3729="","",YEAR(A3729))</f>
        <v/>
      </c>
      <c r="L3729" s="0" t="str">
        <f aca="false">IF(A3729="","",MONTH(A3729))</f>
        <v/>
      </c>
    </row>
    <row r="3730" customFormat="false" ht="15" hidden="false" customHeight="false" outlineLevel="0" collapsed="false">
      <c r="A3730" s="27"/>
      <c r="E3730" s="28"/>
      <c r="F3730" s="28"/>
      <c r="I3730" s="28" t="str">
        <f aca="false">IF(A3730="","",D3730*E3730)</f>
        <v/>
      </c>
      <c r="J3730" s="28" t="str">
        <f aca="false">IF(A3730="","",D3730*F3730)</f>
        <v/>
      </c>
      <c r="K3730" s="0" t="str">
        <f aca="false">IF(A3730="","",YEAR(A3730))</f>
        <v/>
      </c>
      <c r="L3730" s="0" t="str">
        <f aca="false">IF(A3730="","",MONTH(A3730))</f>
        <v/>
      </c>
    </row>
    <row r="3731" customFormat="false" ht="15" hidden="false" customHeight="false" outlineLevel="0" collapsed="false">
      <c r="A3731" s="27"/>
      <c r="E3731" s="28"/>
      <c r="F3731" s="28"/>
      <c r="I3731" s="28" t="str">
        <f aca="false">IF(A3731="","",D3731*E3731)</f>
        <v/>
      </c>
      <c r="J3731" s="28" t="str">
        <f aca="false">IF(A3731="","",D3731*F3731)</f>
        <v/>
      </c>
      <c r="K3731" s="0" t="str">
        <f aca="false">IF(A3731="","",YEAR(A3731))</f>
        <v/>
      </c>
      <c r="L3731" s="0" t="str">
        <f aca="false">IF(A3731="","",MONTH(A3731))</f>
        <v/>
      </c>
    </row>
    <row r="3732" customFormat="false" ht="15" hidden="false" customHeight="false" outlineLevel="0" collapsed="false">
      <c r="A3732" s="27"/>
      <c r="E3732" s="28"/>
      <c r="F3732" s="28"/>
      <c r="I3732" s="28" t="str">
        <f aca="false">IF(A3732="","",D3732*E3732)</f>
        <v/>
      </c>
      <c r="J3732" s="28" t="str">
        <f aca="false">IF(A3732="","",D3732*F3732)</f>
        <v/>
      </c>
      <c r="K3732" s="0" t="str">
        <f aca="false">IF(A3732="","",YEAR(A3732))</f>
        <v/>
      </c>
      <c r="L3732" s="0" t="str">
        <f aca="false">IF(A3732="","",MONTH(A3732))</f>
        <v/>
      </c>
    </row>
    <row r="3733" customFormat="false" ht="15" hidden="false" customHeight="false" outlineLevel="0" collapsed="false">
      <c r="A3733" s="27"/>
      <c r="E3733" s="28"/>
      <c r="F3733" s="28"/>
      <c r="I3733" s="28" t="str">
        <f aca="false">IF(A3733="","",D3733*E3733)</f>
        <v/>
      </c>
      <c r="J3733" s="28" t="str">
        <f aca="false">IF(A3733="","",D3733*F3733)</f>
        <v/>
      </c>
      <c r="K3733" s="0" t="str">
        <f aca="false">IF(A3733="","",YEAR(A3733))</f>
        <v/>
      </c>
      <c r="L3733" s="0" t="str">
        <f aca="false">IF(A3733="","",MONTH(A3733))</f>
        <v/>
      </c>
    </row>
    <row r="3734" customFormat="false" ht="15" hidden="false" customHeight="false" outlineLevel="0" collapsed="false">
      <c r="A3734" s="27"/>
      <c r="E3734" s="28"/>
      <c r="F3734" s="28"/>
      <c r="I3734" s="28" t="str">
        <f aca="false">IF(A3734="","",D3734*E3734)</f>
        <v/>
      </c>
      <c r="J3734" s="28" t="str">
        <f aca="false">IF(A3734="","",D3734*F3734)</f>
        <v/>
      </c>
      <c r="K3734" s="0" t="str">
        <f aca="false">IF(A3734="","",YEAR(A3734))</f>
        <v/>
      </c>
      <c r="L3734" s="0" t="str">
        <f aca="false">IF(A3734="","",MONTH(A3734))</f>
        <v/>
      </c>
    </row>
    <row r="3735" customFormat="false" ht="15" hidden="false" customHeight="false" outlineLevel="0" collapsed="false">
      <c r="A3735" s="27"/>
      <c r="E3735" s="28"/>
      <c r="F3735" s="28"/>
      <c r="I3735" s="28" t="str">
        <f aca="false">IF(A3735="","",D3735*E3735)</f>
        <v/>
      </c>
      <c r="J3735" s="28" t="str">
        <f aca="false">IF(A3735="","",D3735*F3735)</f>
        <v/>
      </c>
      <c r="K3735" s="0" t="str">
        <f aca="false">IF(A3735="","",YEAR(A3735))</f>
        <v/>
      </c>
      <c r="L3735" s="0" t="str">
        <f aca="false">IF(A3735="","",MONTH(A3735))</f>
        <v/>
      </c>
    </row>
    <row r="3736" customFormat="false" ht="15" hidden="false" customHeight="false" outlineLevel="0" collapsed="false">
      <c r="A3736" s="27"/>
      <c r="E3736" s="28"/>
      <c r="F3736" s="28"/>
      <c r="I3736" s="28" t="str">
        <f aca="false">IF(A3736="","",D3736*E3736)</f>
        <v/>
      </c>
      <c r="J3736" s="28" t="str">
        <f aca="false">IF(A3736="","",D3736*F3736)</f>
        <v/>
      </c>
      <c r="K3736" s="0" t="str">
        <f aca="false">IF(A3736="","",YEAR(A3736))</f>
        <v/>
      </c>
      <c r="L3736" s="0" t="str">
        <f aca="false">IF(A3736="","",MONTH(A3736))</f>
        <v/>
      </c>
    </row>
    <row r="3737" customFormat="false" ht="15" hidden="false" customHeight="false" outlineLevel="0" collapsed="false">
      <c r="A3737" s="27"/>
      <c r="E3737" s="28"/>
      <c r="F3737" s="28"/>
      <c r="I3737" s="28" t="str">
        <f aca="false">IF(A3737="","",D3737*E3737)</f>
        <v/>
      </c>
      <c r="J3737" s="28" t="str">
        <f aca="false">IF(A3737="","",D3737*F3737)</f>
        <v/>
      </c>
      <c r="K3737" s="0" t="str">
        <f aca="false">IF(A3737="","",YEAR(A3737))</f>
        <v/>
      </c>
      <c r="L3737" s="0" t="str">
        <f aca="false">IF(A3737="","",MONTH(A3737))</f>
        <v/>
      </c>
    </row>
    <row r="3738" customFormat="false" ht="15" hidden="false" customHeight="false" outlineLevel="0" collapsed="false">
      <c r="A3738" s="27"/>
      <c r="E3738" s="28"/>
      <c r="F3738" s="28"/>
      <c r="I3738" s="28" t="str">
        <f aca="false">IF(A3738="","",D3738*E3738)</f>
        <v/>
      </c>
      <c r="J3738" s="28" t="str">
        <f aca="false">IF(A3738="","",D3738*F3738)</f>
        <v/>
      </c>
      <c r="K3738" s="0" t="str">
        <f aca="false">IF(A3738="","",YEAR(A3738))</f>
        <v/>
      </c>
      <c r="L3738" s="0" t="str">
        <f aca="false">IF(A3738="","",MONTH(A3738))</f>
        <v/>
      </c>
    </row>
    <row r="3739" customFormat="false" ht="15" hidden="false" customHeight="false" outlineLevel="0" collapsed="false">
      <c r="A3739" s="27"/>
      <c r="E3739" s="28"/>
      <c r="F3739" s="28"/>
      <c r="I3739" s="28" t="str">
        <f aca="false">IF(A3739="","",D3739*E3739)</f>
        <v/>
      </c>
      <c r="J3739" s="28" t="str">
        <f aca="false">IF(A3739="","",D3739*F3739)</f>
        <v/>
      </c>
      <c r="K3739" s="0" t="str">
        <f aca="false">IF(A3739="","",YEAR(A3739))</f>
        <v/>
      </c>
      <c r="L3739" s="0" t="str">
        <f aca="false">IF(A3739="","",MONTH(A3739))</f>
        <v/>
      </c>
    </row>
    <row r="3740" customFormat="false" ht="15" hidden="false" customHeight="false" outlineLevel="0" collapsed="false">
      <c r="A3740" s="27"/>
      <c r="E3740" s="28"/>
      <c r="F3740" s="28"/>
      <c r="I3740" s="28" t="str">
        <f aca="false">IF(A3740="","",D3740*E3740)</f>
        <v/>
      </c>
      <c r="J3740" s="28" t="str">
        <f aca="false">IF(A3740="","",D3740*F3740)</f>
        <v/>
      </c>
      <c r="K3740" s="0" t="str">
        <f aca="false">IF(A3740="","",YEAR(A3740))</f>
        <v/>
      </c>
      <c r="L3740" s="0" t="str">
        <f aca="false">IF(A3740="","",MONTH(A3740))</f>
        <v/>
      </c>
    </row>
    <row r="3741" customFormat="false" ht="15" hidden="false" customHeight="false" outlineLevel="0" collapsed="false">
      <c r="A3741" s="27"/>
      <c r="E3741" s="28"/>
      <c r="F3741" s="28"/>
      <c r="I3741" s="28" t="str">
        <f aca="false">IF(A3741="","",D3741*E3741)</f>
        <v/>
      </c>
      <c r="J3741" s="28" t="str">
        <f aca="false">IF(A3741="","",D3741*F3741)</f>
        <v/>
      </c>
      <c r="K3741" s="0" t="str">
        <f aca="false">IF(A3741="","",YEAR(A3741))</f>
        <v/>
      </c>
      <c r="L3741" s="0" t="str">
        <f aca="false">IF(A3741="","",MONTH(A3741))</f>
        <v/>
      </c>
    </row>
    <row r="3742" customFormat="false" ht="15" hidden="false" customHeight="false" outlineLevel="0" collapsed="false">
      <c r="A3742" s="27"/>
      <c r="E3742" s="28"/>
      <c r="F3742" s="28"/>
      <c r="I3742" s="28" t="str">
        <f aca="false">IF(A3742="","",D3742*E3742)</f>
        <v/>
      </c>
      <c r="J3742" s="28" t="str">
        <f aca="false">IF(A3742="","",D3742*F3742)</f>
        <v/>
      </c>
      <c r="K3742" s="0" t="str">
        <f aca="false">IF(A3742="","",YEAR(A3742))</f>
        <v/>
      </c>
      <c r="L3742" s="0" t="str">
        <f aca="false">IF(A3742="","",MONTH(A3742))</f>
        <v/>
      </c>
    </row>
    <row r="3743" customFormat="false" ht="15" hidden="false" customHeight="false" outlineLevel="0" collapsed="false">
      <c r="A3743" s="27"/>
      <c r="E3743" s="28"/>
      <c r="F3743" s="28"/>
      <c r="I3743" s="28" t="str">
        <f aca="false">IF(A3743="","",D3743*E3743)</f>
        <v/>
      </c>
      <c r="J3743" s="28" t="str">
        <f aca="false">IF(A3743="","",D3743*F3743)</f>
        <v/>
      </c>
      <c r="K3743" s="0" t="str">
        <f aca="false">IF(A3743="","",YEAR(A3743))</f>
        <v/>
      </c>
      <c r="L3743" s="0" t="str">
        <f aca="false">IF(A3743="","",MONTH(A3743))</f>
        <v/>
      </c>
    </row>
    <row r="3744" customFormat="false" ht="15" hidden="false" customHeight="false" outlineLevel="0" collapsed="false">
      <c r="A3744" s="27"/>
      <c r="E3744" s="28"/>
      <c r="F3744" s="28"/>
      <c r="I3744" s="28" t="str">
        <f aca="false">IF(A3744="","",D3744*E3744)</f>
        <v/>
      </c>
      <c r="J3744" s="28" t="str">
        <f aca="false">IF(A3744="","",D3744*F3744)</f>
        <v/>
      </c>
      <c r="K3744" s="0" t="str">
        <f aca="false">IF(A3744="","",YEAR(A3744))</f>
        <v/>
      </c>
      <c r="L3744" s="0" t="str">
        <f aca="false">IF(A3744="","",MONTH(A3744))</f>
        <v/>
      </c>
    </row>
    <row r="3745" customFormat="false" ht="15" hidden="false" customHeight="false" outlineLevel="0" collapsed="false">
      <c r="A3745" s="27"/>
      <c r="E3745" s="28"/>
      <c r="F3745" s="28"/>
      <c r="I3745" s="28" t="str">
        <f aca="false">IF(A3745="","",D3745*E3745)</f>
        <v/>
      </c>
      <c r="J3745" s="28" t="str">
        <f aca="false">IF(A3745="","",D3745*F3745)</f>
        <v/>
      </c>
      <c r="K3745" s="0" t="str">
        <f aca="false">IF(A3745="","",YEAR(A3745))</f>
        <v/>
      </c>
      <c r="L3745" s="0" t="str">
        <f aca="false">IF(A3745="","",MONTH(A3745))</f>
        <v/>
      </c>
    </row>
    <row r="3746" customFormat="false" ht="15" hidden="false" customHeight="false" outlineLevel="0" collapsed="false">
      <c r="A3746" s="27"/>
      <c r="E3746" s="28"/>
      <c r="F3746" s="28"/>
      <c r="I3746" s="28" t="str">
        <f aca="false">IF(A3746="","",D3746*E3746)</f>
        <v/>
      </c>
      <c r="J3746" s="28" t="str">
        <f aca="false">IF(A3746="","",D3746*F3746)</f>
        <v/>
      </c>
      <c r="K3746" s="0" t="str">
        <f aca="false">IF(A3746="","",YEAR(A3746))</f>
        <v/>
      </c>
      <c r="L3746" s="0" t="str">
        <f aca="false">IF(A3746="","",MONTH(A3746))</f>
        <v/>
      </c>
    </row>
    <row r="3747" customFormat="false" ht="15" hidden="false" customHeight="false" outlineLevel="0" collapsed="false">
      <c r="A3747" s="27"/>
      <c r="E3747" s="28"/>
      <c r="F3747" s="28"/>
      <c r="I3747" s="28" t="str">
        <f aca="false">IF(A3747="","",D3747*E3747)</f>
        <v/>
      </c>
      <c r="J3747" s="28" t="str">
        <f aca="false">IF(A3747="","",D3747*F3747)</f>
        <v/>
      </c>
      <c r="K3747" s="0" t="str">
        <f aca="false">IF(A3747="","",YEAR(A3747))</f>
        <v/>
      </c>
      <c r="L3747" s="0" t="str">
        <f aca="false">IF(A3747="","",MONTH(A3747))</f>
        <v/>
      </c>
    </row>
    <row r="3748" customFormat="false" ht="15" hidden="false" customHeight="false" outlineLevel="0" collapsed="false">
      <c r="A3748" s="27"/>
      <c r="E3748" s="28"/>
      <c r="F3748" s="28"/>
      <c r="I3748" s="28" t="str">
        <f aca="false">IF(A3748="","",D3748*E3748)</f>
        <v/>
      </c>
      <c r="J3748" s="28" t="str">
        <f aca="false">IF(A3748="","",D3748*F3748)</f>
        <v/>
      </c>
      <c r="K3748" s="0" t="str">
        <f aca="false">IF(A3748="","",YEAR(A3748))</f>
        <v/>
      </c>
      <c r="L3748" s="0" t="str">
        <f aca="false">IF(A3748="","",MONTH(A3748))</f>
        <v/>
      </c>
    </row>
    <row r="3749" customFormat="false" ht="15" hidden="false" customHeight="false" outlineLevel="0" collapsed="false">
      <c r="A3749" s="27"/>
      <c r="E3749" s="28"/>
      <c r="F3749" s="28"/>
      <c r="I3749" s="28" t="str">
        <f aca="false">IF(A3749="","",D3749*E3749)</f>
        <v/>
      </c>
      <c r="J3749" s="28" t="str">
        <f aca="false">IF(A3749="","",D3749*F3749)</f>
        <v/>
      </c>
      <c r="K3749" s="0" t="str">
        <f aca="false">IF(A3749="","",YEAR(A3749))</f>
        <v/>
      </c>
      <c r="L3749" s="0" t="str">
        <f aca="false">IF(A3749="","",MONTH(A3749))</f>
        <v/>
      </c>
    </row>
    <row r="3750" customFormat="false" ht="15" hidden="false" customHeight="false" outlineLevel="0" collapsed="false">
      <c r="A3750" s="27"/>
      <c r="E3750" s="28"/>
      <c r="F3750" s="28"/>
      <c r="I3750" s="28" t="str">
        <f aca="false">IF(A3750="","",D3750*E3750)</f>
        <v/>
      </c>
      <c r="J3750" s="28" t="str">
        <f aca="false">IF(A3750="","",D3750*F3750)</f>
        <v/>
      </c>
      <c r="K3750" s="0" t="str">
        <f aca="false">IF(A3750="","",YEAR(A3750))</f>
        <v/>
      </c>
      <c r="L3750" s="0" t="str">
        <f aca="false">IF(A3750="","",MONTH(A3750))</f>
        <v/>
      </c>
    </row>
    <row r="3751" customFormat="false" ht="15" hidden="false" customHeight="false" outlineLevel="0" collapsed="false">
      <c r="A3751" s="27"/>
      <c r="E3751" s="28"/>
      <c r="F3751" s="28"/>
      <c r="I3751" s="28" t="str">
        <f aca="false">IF(A3751="","",D3751*E3751)</f>
        <v/>
      </c>
      <c r="J3751" s="28" t="str">
        <f aca="false">IF(A3751="","",D3751*F3751)</f>
        <v/>
      </c>
      <c r="K3751" s="0" t="str">
        <f aca="false">IF(A3751="","",YEAR(A3751))</f>
        <v/>
      </c>
      <c r="L3751" s="0" t="str">
        <f aca="false">IF(A3751="","",MONTH(A3751))</f>
        <v/>
      </c>
    </row>
    <row r="3752" customFormat="false" ht="15" hidden="false" customHeight="false" outlineLevel="0" collapsed="false">
      <c r="A3752" s="27"/>
      <c r="E3752" s="28"/>
      <c r="F3752" s="28"/>
      <c r="I3752" s="28" t="str">
        <f aca="false">IF(A3752="","",D3752*E3752)</f>
        <v/>
      </c>
      <c r="J3752" s="28" t="str">
        <f aca="false">IF(A3752="","",D3752*F3752)</f>
        <v/>
      </c>
      <c r="K3752" s="0" t="str">
        <f aca="false">IF(A3752="","",YEAR(A3752))</f>
        <v/>
      </c>
      <c r="L3752" s="0" t="str">
        <f aca="false">IF(A3752="","",MONTH(A3752))</f>
        <v/>
      </c>
    </row>
    <row r="3753" customFormat="false" ht="15" hidden="false" customHeight="false" outlineLevel="0" collapsed="false">
      <c r="A3753" s="27"/>
      <c r="E3753" s="28"/>
      <c r="F3753" s="28"/>
      <c r="I3753" s="28" t="str">
        <f aca="false">IF(A3753="","",D3753*E3753)</f>
        <v/>
      </c>
      <c r="J3753" s="28" t="str">
        <f aca="false">IF(A3753="","",D3753*F3753)</f>
        <v/>
      </c>
      <c r="K3753" s="0" t="str">
        <f aca="false">IF(A3753="","",YEAR(A3753))</f>
        <v/>
      </c>
      <c r="L3753" s="0" t="str">
        <f aca="false">IF(A3753="","",MONTH(A3753))</f>
        <v/>
      </c>
    </row>
    <row r="3754" customFormat="false" ht="15" hidden="false" customHeight="false" outlineLevel="0" collapsed="false">
      <c r="A3754" s="27"/>
      <c r="E3754" s="28"/>
      <c r="F3754" s="28"/>
      <c r="I3754" s="28" t="str">
        <f aca="false">IF(A3754="","",D3754*E3754)</f>
        <v/>
      </c>
      <c r="J3754" s="28" t="str">
        <f aca="false">IF(A3754="","",D3754*F3754)</f>
        <v/>
      </c>
      <c r="K3754" s="0" t="str">
        <f aca="false">IF(A3754="","",YEAR(A3754))</f>
        <v/>
      </c>
      <c r="L3754" s="0" t="str">
        <f aca="false">IF(A3754="","",MONTH(A3754))</f>
        <v/>
      </c>
    </row>
    <row r="3755" customFormat="false" ht="15" hidden="false" customHeight="false" outlineLevel="0" collapsed="false">
      <c r="A3755" s="27"/>
      <c r="E3755" s="28"/>
      <c r="F3755" s="28"/>
      <c r="I3755" s="28" t="str">
        <f aca="false">IF(A3755="","",D3755*E3755)</f>
        <v/>
      </c>
      <c r="J3755" s="28" t="str">
        <f aca="false">IF(A3755="","",D3755*F3755)</f>
        <v/>
      </c>
      <c r="K3755" s="0" t="str">
        <f aca="false">IF(A3755="","",YEAR(A3755))</f>
        <v/>
      </c>
      <c r="L3755" s="0" t="str">
        <f aca="false">IF(A3755="","",MONTH(A3755))</f>
        <v/>
      </c>
    </row>
    <row r="3756" customFormat="false" ht="15" hidden="false" customHeight="false" outlineLevel="0" collapsed="false">
      <c r="A3756" s="27"/>
      <c r="E3756" s="28"/>
      <c r="F3756" s="28"/>
      <c r="I3756" s="28" t="str">
        <f aca="false">IF(A3756="","",D3756*E3756)</f>
        <v/>
      </c>
      <c r="J3756" s="28" t="str">
        <f aca="false">IF(A3756="","",D3756*F3756)</f>
        <v/>
      </c>
      <c r="K3756" s="0" t="str">
        <f aca="false">IF(A3756="","",YEAR(A3756))</f>
        <v/>
      </c>
      <c r="L3756" s="0" t="str">
        <f aca="false">IF(A3756="","",MONTH(A3756))</f>
        <v/>
      </c>
    </row>
    <row r="3757" customFormat="false" ht="15" hidden="false" customHeight="false" outlineLevel="0" collapsed="false">
      <c r="A3757" s="27"/>
      <c r="E3757" s="28"/>
      <c r="F3757" s="28"/>
      <c r="I3757" s="28" t="str">
        <f aca="false">IF(A3757="","",D3757*E3757)</f>
        <v/>
      </c>
      <c r="J3757" s="28" t="str">
        <f aca="false">IF(A3757="","",D3757*F3757)</f>
        <v/>
      </c>
      <c r="K3757" s="0" t="str">
        <f aca="false">IF(A3757="","",YEAR(A3757))</f>
        <v/>
      </c>
      <c r="L3757" s="0" t="str">
        <f aca="false">IF(A3757="","",MONTH(A3757))</f>
        <v/>
      </c>
    </row>
    <row r="3758" customFormat="false" ht="15" hidden="false" customHeight="false" outlineLevel="0" collapsed="false">
      <c r="A3758" s="27"/>
      <c r="E3758" s="28"/>
      <c r="F3758" s="28"/>
      <c r="I3758" s="28" t="str">
        <f aca="false">IF(A3758="","",D3758*E3758)</f>
        <v/>
      </c>
      <c r="J3758" s="28" t="str">
        <f aca="false">IF(A3758="","",D3758*F3758)</f>
        <v/>
      </c>
      <c r="K3758" s="0" t="str">
        <f aca="false">IF(A3758="","",YEAR(A3758))</f>
        <v/>
      </c>
      <c r="L3758" s="0" t="str">
        <f aca="false">IF(A3758="","",MONTH(A3758))</f>
        <v/>
      </c>
    </row>
    <row r="3759" customFormat="false" ht="15" hidden="false" customHeight="false" outlineLevel="0" collapsed="false">
      <c r="A3759" s="27"/>
      <c r="E3759" s="28"/>
      <c r="F3759" s="28"/>
      <c r="I3759" s="28" t="str">
        <f aca="false">IF(A3759="","",D3759*E3759)</f>
        <v/>
      </c>
      <c r="J3759" s="28" t="str">
        <f aca="false">IF(A3759="","",D3759*F3759)</f>
        <v/>
      </c>
      <c r="K3759" s="0" t="str">
        <f aca="false">IF(A3759="","",YEAR(A3759))</f>
        <v/>
      </c>
      <c r="L3759" s="0" t="str">
        <f aca="false">IF(A3759="","",MONTH(A3759))</f>
        <v/>
      </c>
    </row>
    <row r="3760" customFormat="false" ht="15" hidden="false" customHeight="false" outlineLevel="0" collapsed="false">
      <c r="A3760" s="27"/>
      <c r="E3760" s="28"/>
      <c r="F3760" s="28"/>
      <c r="I3760" s="28" t="str">
        <f aca="false">IF(A3760="","",D3760*E3760)</f>
        <v/>
      </c>
      <c r="J3760" s="28" t="str">
        <f aca="false">IF(A3760="","",D3760*F3760)</f>
        <v/>
      </c>
      <c r="K3760" s="0" t="str">
        <f aca="false">IF(A3760="","",YEAR(A3760))</f>
        <v/>
      </c>
      <c r="L3760" s="0" t="str">
        <f aca="false">IF(A3760="","",MONTH(A3760))</f>
        <v/>
      </c>
    </row>
    <row r="3761" customFormat="false" ht="15" hidden="false" customHeight="false" outlineLevel="0" collapsed="false">
      <c r="A3761" s="27"/>
      <c r="E3761" s="28"/>
      <c r="F3761" s="28"/>
      <c r="I3761" s="28" t="str">
        <f aca="false">IF(A3761="","",D3761*E3761)</f>
        <v/>
      </c>
      <c r="J3761" s="28" t="str">
        <f aca="false">IF(A3761="","",D3761*F3761)</f>
        <v/>
      </c>
      <c r="K3761" s="0" t="str">
        <f aca="false">IF(A3761="","",YEAR(A3761))</f>
        <v/>
      </c>
      <c r="L3761" s="0" t="str">
        <f aca="false">IF(A3761="","",MONTH(A3761))</f>
        <v/>
      </c>
    </row>
    <row r="3762" customFormat="false" ht="15" hidden="false" customHeight="false" outlineLevel="0" collapsed="false">
      <c r="A3762" s="27"/>
      <c r="E3762" s="28"/>
      <c r="F3762" s="28"/>
      <c r="I3762" s="28" t="str">
        <f aca="false">IF(A3762="","",D3762*E3762)</f>
        <v/>
      </c>
      <c r="J3762" s="28" t="str">
        <f aca="false">IF(A3762="","",D3762*F3762)</f>
        <v/>
      </c>
      <c r="K3762" s="0" t="str">
        <f aca="false">IF(A3762="","",YEAR(A3762))</f>
        <v/>
      </c>
      <c r="L3762" s="0" t="str">
        <f aca="false">IF(A3762="","",MONTH(A3762))</f>
        <v/>
      </c>
    </row>
    <row r="3763" customFormat="false" ht="15" hidden="false" customHeight="false" outlineLevel="0" collapsed="false">
      <c r="A3763" s="27"/>
      <c r="E3763" s="28"/>
      <c r="F3763" s="28"/>
      <c r="I3763" s="28" t="str">
        <f aca="false">IF(A3763="","",D3763*E3763)</f>
        <v/>
      </c>
      <c r="J3763" s="28" t="str">
        <f aca="false">IF(A3763="","",D3763*F3763)</f>
        <v/>
      </c>
      <c r="K3763" s="0" t="str">
        <f aca="false">IF(A3763="","",YEAR(A3763))</f>
        <v/>
      </c>
      <c r="L3763" s="0" t="str">
        <f aca="false">IF(A3763="","",MONTH(A3763))</f>
        <v/>
      </c>
    </row>
    <row r="3764" customFormat="false" ht="15" hidden="false" customHeight="false" outlineLevel="0" collapsed="false">
      <c r="A3764" s="27"/>
      <c r="E3764" s="28"/>
      <c r="F3764" s="28"/>
      <c r="I3764" s="28" t="str">
        <f aca="false">IF(A3764="","",D3764*E3764)</f>
        <v/>
      </c>
      <c r="J3764" s="28" t="str">
        <f aca="false">IF(A3764="","",D3764*F3764)</f>
        <v/>
      </c>
      <c r="K3764" s="0" t="str">
        <f aca="false">IF(A3764="","",YEAR(A3764))</f>
        <v/>
      </c>
      <c r="L3764" s="0" t="str">
        <f aca="false">IF(A3764="","",MONTH(A3764))</f>
        <v/>
      </c>
    </row>
    <row r="3765" customFormat="false" ht="15" hidden="false" customHeight="false" outlineLevel="0" collapsed="false">
      <c r="A3765" s="27"/>
      <c r="E3765" s="28"/>
      <c r="F3765" s="28"/>
      <c r="I3765" s="28" t="str">
        <f aca="false">IF(A3765="","",D3765*E3765)</f>
        <v/>
      </c>
      <c r="J3765" s="28" t="str">
        <f aca="false">IF(A3765="","",D3765*F3765)</f>
        <v/>
      </c>
      <c r="K3765" s="0" t="str">
        <f aca="false">IF(A3765="","",YEAR(A3765))</f>
        <v/>
      </c>
      <c r="L3765" s="0" t="str">
        <f aca="false">IF(A3765="","",MONTH(A3765))</f>
        <v/>
      </c>
    </row>
    <row r="3766" customFormat="false" ht="15" hidden="false" customHeight="false" outlineLevel="0" collapsed="false">
      <c r="A3766" s="27"/>
      <c r="E3766" s="28"/>
      <c r="F3766" s="28"/>
      <c r="I3766" s="28" t="str">
        <f aca="false">IF(A3766="","",D3766*E3766)</f>
        <v/>
      </c>
      <c r="J3766" s="28" t="str">
        <f aca="false">IF(A3766="","",D3766*F3766)</f>
        <v/>
      </c>
      <c r="K3766" s="0" t="str">
        <f aca="false">IF(A3766="","",YEAR(A3766))</f>
        <v/>
      </c>
      <c r="L3766" s="0" t="str">
        <f aca="false">IF(A3766="","",MONTH(A3766))</f>
        <v/>
      </c>
    </row>
    <row r="3767" customFormat="false" ht="15" hidden="false" customHeight="false" outlineLevel="0" collapsed="false">
      <c r="A3767" s="27"/>
      <c r="E3767" s="28"/>
      <c r="F3767" s="28"/>
      <c r="I3767" s="28" t="str">
        <f aca="false">IF(A3767="","",D3767*E3767)</f>
        <v/>
      </c>
      <c r="J3767" s="28" t="str">
        <f aca="false">IF(A3767="","",D3767*F3767)</f>
        <v/>
      </c>
      <c r="K3767" s="0" t="str">
        <f aca="false">IF(A3767="","",YEAR(A3767))</f>
        <v/>
      </c>
      <c r="L3767" s="0" t="str">
        <f aca="false">IF(A3767="","",MONTH(A3767))</f>
        <v/>
      </c>
    </row>
    <row r="3768" customFormat="false" ht="15" hidden="false" customHeight="false" outlineLevel="0" collapsed="false">
      <c r="A3768" s="27"/>
      <c r="E3768" s="28"/>
      <c r="F3768" s="28"/>
      <c r="I3768" s="28" t="str">
        <f aca="false">IF(A3768="","",D3768*E3768)</f>
        <v/>
      </c>
      <c r="J3768" s="28" t="str">
        <f aca="false">IF(A3768="","",D3768*F3768)</f>
        <v/>
      </c>
      <c r="K3768" s="0" t="str">
        <f aca="false">IF(A3768="","",YEAR(A3768))</f>
        <v/>
      </c>
      <c r="L3768" s="0" t="str">
        <f aca="false">IF(A3768="","",MONTH(A3768))</f>
        <v/>
      </c>
    </row>
    <row r="3769" customFormat="false" ht="15" hidden="false" customHeight="false" outlineLevel="0" collapsed="false">
      <c r="A3769" s="27"/>
      <c r="E3769" s="28"/>
      <c r="F3769" s="28"/>
      <c r="I3769" s="28" t="str">
        <f aca="false">IF(A3769="","",D3769*E3769)</f>
        <v/>
      </c>
      <c r="J3769" s="28" t="str">
        <f aca="false">IF(A3769="","",D3769*F3769)</f>
        <v/>
      </c>
      <c r="K3769" s="0" t="str">
        <f aca="false">IF(A3769="","",YEAR(A3769))</f>
        <v/>
      </c>
      <c r="L3769" s="0" t="str">
        <f aca="false">IF(A3769="","",MONTH(A3769))</f>
        <v/>
      </c>
    </row>
    <row r="3770" customFormat="false" ht="15" hidden="false" customHeight="false" outlineLevel="0" collapsed="false">
      <c r="A3770" s="27"/>
      <c r="E3770" s="28"/>
      <c r="F3770" s="28"/>
      <c r="I3770" s="28" t="str">
        <f aca="false">IF(A3770="","",D3770*E3770)</f>
        <v/>
      </c>
      <c r="J3770" s="28" t="str">
        <f aca="false">IF(A3770="","",D3770*F3770)</f>
        <v/>
      </c>
      <c r="K3770" s="0" t="str">
        <f aca="false">IF(A3770="","",YEAR(A3770))</f>
        <v/>
      </c>
      <c r="L3770" s="0" t="str">
        <f aca="false">IF(A3770="","",MONTH(A3770))</f>
        <v/>
      </c>
    </row>
    <row r="3771" customFormat="false" ht="15" hidden="false" customHeight="false" outlineLevel="0" collapsed="false">
      <c r="A3771" s="27"/>
      <c r="E3771" s="28"/>
      <c r="F3771" s="28"/>
      <c r="I3771" s="28" t="str">
        <f aca="false">IF(A3771="","",D3771*E3771)</f>
        <v/>
      </c>
      <c r="J3771" s="28" t="str">
        <f aca="false">IF(A3771="","",D3771*F3771)</f>
        <v/>
      </c>
      <c r="K3771" s="0" t="str">
        <f aca="false">IF(A3771="","",YEAR(A3771))</f>
        <v/>
      </c>
      <c r="L3771" s="0" t="str">
        <f aca="false">IF(A3771="","",MONTH(A3771))</f>
        <v/>
      </c>
    </row>
    <row r="3772" customFormat="false" ht="15" hidden="false" customHeight="false" outlineLevel="0" collapsed="false">
      <c r="A3772" s="27"/>
      <c r="E3772" s="28"/>
      <c r="F3772" s="28"/>
      <c r="I3772" s="28" t="str">
        <f aca="false">IF(A3772="","",D3772*E3772)</f>
        <v/>
      </c>
      <c r="J3772" s="28" t="str">
        <f aca="false">IF(A3772="","",D3772*F3772)</f>
        <v/>
      </c>
      <c r="K3772" s="0" t="str">
        <f aca="false">IF(A3772="","",YEAR(A3772))</f>
        <v/>
      </c>
      <c r="L3772" s="0" t="str">
        <f aca="false">IF(A3772="","",MONTH(A3772))</f>
        <v/>
      </c>
    </row>
    <row r="3773" customFormat="false" ht="15" hidden="false" customHeight="false" outlineLevel="0" collapsed="false">
      <c r="A3773" s="27"/>
      <c r="E3773" s="28"/>
      <c r="F3773" s="28"/>
      <c r="I3773" s="28" t="str">
        <f aca="false">IF(A3773="","",D3773*E3773)</f>
        <v/>
      </c>
      <c r="J3773" s="28" t="str">
        <f aca="false">IF(A3773="","",D3773*F3773)</f>
        <v/>
      </c>
      <c r="K3773" s="0" t="str">
        <f aca="false">IF(A3773="","",YEAR(A3773))</f>
        <v/>
      </c>
      <c r="L3773" s="0" t="str">
        <f aca="false">IF(A3773="","",MONTH(A3773))</f>
        <v/>
      </c>
    </row>
    <row r="3774" customFormat="false" ht="15" hidden="false" customHeight="false" outlineLevel="0" collapsed="false">
      <c r="A3774" s="27"/>
      <c r="E3774" s="28"/>
      <c r="F3774" s="28"/>
      <c r="I3774" s="28" t="str">
        <f aca="false">IF(A3774="","",D3774*E3774)</f>
        <v/>
      </c>
      <c r="J3774" s="28" t="str">
        <f aca="false">IF(A3774="","",D3774*F3774)</f>
        <v/>
      </c>
      <c r="K3774" s="0" t="str">
        <f aca="false">IF(A3774="","",YEAR(A3774))</f>
        <v/>
      </c>
      <c r="L3774" s="0" t="str">
        <f aca="false">IF(A3774="","",MONTH(A3774))</f>
        <v/>
      </c>
    </row>
    <row r="3775" customFormat="false" ht="15" hidden="false" customHeight="false" outlineLevel="0" collapsed="false">
      <c r="A3775" s="27"/>
      <c r="E3775" s="28"/>
      <c r="F3775" s="28"/>
      <c r="I3775" s="28" t="str">
        <f aca="false">IF(A3775="","",D3775*E3775)</f>
        <v/>
      </c>
      <c r="J3775" s="28" t="str">
        <f aca="false">IF(A3775="","",D3775*F3775)</f>
        <v/>
      </c>
      <c r="K3775" s="0" t="str">
        <f aca="false">IF(A3775="","",YEAR(A3775))</f>
        <v/>
      </c>
      <c r="L3775" s="0" t="str">
        <f aca="false">IF(A3775="","",MONTH(A3775))</f>
        <v/>
      </c>
    </row>
    <row r="3776" customFormat="false" ht="15" hidden="false" customHeight="false" outlineLevel="0" collapsed="false">
      <c r="A3776" s="27"/>
      <c r="E3776" s="28"/>
      <c r="F3776" s="28"/>
      <c r="I3776" s="28" t="str">
        <f aca="false">IF(A3776="","",D3776*E3776)</f>
        <v/>
      </c>
      <c r="J3776" s="28" t="str">
        <f aca="false">IF(A3776="","",D3776*F3776)</f>
        <v/>
      </c>
      <c r="K3776" s="0" t="str">
        <f aca="false">IF(A3776="","",YEAR(A3776))</f>
        <v/>
      </c>
      <c r="L3776" s="0" t="str">
        <f aca="false">IF(A3776="","",MONTH(A3776))</f>
        <v/>
      </c>
    </row>
    <row r="3777" customFormat="false" ht="15" hidden="false" customHeight="false" outlineLevel="0" collapsed="false">
      <c r="A3777" s="27"/>
      <c r="E3777" s="28"/>
      <c r="F3777" s="28"/>
      <c r="I3777" s="28" t="str">
        <f aca="false">IF(A3777="","",D3777*E3777)</f>
        <v/>
      </c>
      <c r="J3777" s="28" t="str">
        <f aca="false">IF(A3777="","",D3777*F3777)</f>
        <v/>
      </c>
      <c r="K3777" s="0" t="str">
        <f aca="false">IF(A3777="","",YEAR(A3777))</f>
        <v/>
      </c>
      <c r="L3777" s="0" t="str">
        <f aca="false">IF(A3777="","",MONTH(A3777))</f>
        <v/>
      </c>
    </row>
    <row r="3778" customFormat="false" ht="15" hidden="false" customHeight="false" outlineLevel="0" collapsed="false">
      <c r="A3778" s="27"/>
      <c r="E3778" s="28"/>
      <c r="F3778" s="28"/>
      <c r="I3778" s="28" t="str">
        <f aca="false">IF(A3778="","",D3778*E3778)</f>
        <v/>
      </c>
      <c r="J3778" s="28" t="str">
        <f aca="false">IF(A3778="","",D3778*F3778)</f>
        <v/>
      </c>
      <c r="K3778" s="0" t="str">
        <f aca="false">IF(A3778="","",YEAR(A3778))</f>
        <v/>
      </c>
      <c r="L3778" s="0" t="str">
        <f aca="false">IF(A3778="","",MONTH(A3778))</f>
        <v/>
      </c>
    </row>
    <row r="3779" customFormat="false" ht="15" hidden="false" customHeight="false" outlineLevel="0" collapsed="false">
      <c r="A3779" s="27"/>
      <c r="E3779" s="28"/>
      <c r="F3779" s="28"/>
      <c r="I3779" s="28" t="str">
        <f aca="false">IF(A3779="","",D3779*E3779)</f>
        <v/>
      </c>
      <c r="J3779" s="28" t="str">
        <f aca="false">IF(A3779="","",D3779*F3779)</f>
        <v/>
      </c>
      <c r="K3779" s="0" t="str">
        <f aca="false">IF(A3779="","",YEAR(A3779))</f>
        <v/>
      </c>
      <c r="L3779" s="0" t="str">
        <f aca="false">IF(A3779="","",MONTH(A3779))</f>
        <v/>
      </c>
    </row>
    <row r="3780" customFormat="false" ht="15" hidden="false" customHeight="false" outlineLevel="0" collapsed="false">
      <c r="A3780" s="27"/>
      <c r="E3780" s="28"/>
      <c r="F3780" s="28"/>
      <c r="I3780" s="28" t="str">
        <f aca="false">IF(A3780="","",D3780*E3780)</f>
        <v/>
      </c>
      <c r="J3780" s="28" t="str">
        <f aca="false">IF(A3780="","",D3780*F3780)</f>
        <v/>
      </c>
      <c r="K3780" s="0" t="str">
        <f aca="false">IF(A3780="","",YEAR(A3780))</f>
        <v/>
      </c>
      <c r="L3780" s="0" t="str">
        <f aca="false">IF(A3780="","",MONTH(A3780))</f>
        <v/>
      </c>
    </row>
    <row r="3781" customFormat="false" ht="15" hidden="false" customHeight="false" outlineLevel="0" collapsed="false">
      <c r="A3781" s="27"/>
      <c r="E3781" s="28"/>
      <c r="F3781" s="28"/>
      <c r="I3781" s="28" t="str">
        <f aca="false">IF(A3781="","",D3781*E3781)</f>
        <v/>
      </c>
      <c r="J3781" s="28" t="str">
        <f aca="false">IF(A3781="","",D3781*F3781)</f>
        <v/>
      </c>
      <c r="K3781" s="0" t="str">
        <f aca="false">IF(A3781="","",YEAR(A3781))</f>
        <v/>
      </c>
      <c r="L3781" s="0" t="str">
        <f aca="false">IF(A3781="","",MONTH(A3781))</f>
        <v/>
      </c>
    </row>
    <row r="3782" customFormat="false" ht="15" hidden="false" customHeight="false" outlineLevel="0" collapsed="false">
      <c r="A3782" s="27"/>
      <c r="E3782" s="28"/>
      <c r="F3782" s="28"/>
      <c r="I3782" s="28" t="str">
        <f aca="false">IF(A3782="","",D3782*E3782)</f>
        <v/>
      </c>
      <c r="J3782" s="28" t="str">
        <f aca="false">IF(A3782="","",D3782*F3782)</f>
        <v/>
      </c>
      <c r="K3782" s="0" t="str">
        <f aca="false">IF(A3782="","",YEAR(A3782))</f>
        <v/>
      </c>
      <c r="L3782" s="0" t="str">
        <f aca="false">IF(A3782="","",MONTH(A3782))</f>
        <v/>
      </c>
    </row>
    <row r="3783" customFormat="false" ht="15" hidden="false" customHeight="false" outlineLevel="0" collapsed="false">
      <c r="A3783" s="27"/>
      <c r="E3783" s="28"/>
      <c r="F3783" s="28"/>
      <c r="I3783" s="28" t="str">
        <f aca="false">IF(A3783="","",D3783*E3783)</f>
        <v/>
      </c>
      <c r="J3783" s="28" t="str">
        <f aca="false">IF(A3783="","",D3783*F3783)</f>
        <v/>
      </c>
      <c r="K3783" s="0" t="str">
        <f aca="false">IF(A3783="","",YEAR(A3783))</f>
        <v/>
      </c>
      <c r="L3783" s="0" t="str">
        <f aca="false">IF(A3783="","",MONTH(A3783))</f>
        <v/>
      </c>
    </row>
    <row r="3784" customFormat="false" ht="15" hidden="false" customHeight="false" outlineLevel="0" collapsed="false">
      <c r="A3784" s="27"/>
      <c r="E3784" s="28"/>
      <c r="F3784" s="28"/>
      <c r="I3784" s="28" t="str">
        <f aca="false">IF(A3784="","",D3784*E3784)</f>
        <v/>
      </c>
      <c r="J3784" s="28" t="str">
        <f aca="false">IF(A3784="","",D3784*F3784)</f>
        <v/>
      </c>
      <c r="K3784" s="0" t="str">
        <f aca="false">IF(A3784="","",YEAR(A3784))</f>
        <v/>
      </c>
      <c r="L3784" s="0" t="str">
        <f aca="false">IF(A3784="","",MONTH(A3784))</f>
        <v/>
      </c>
    </row>
    <row r="3785" customFormat="false" ht="15" hidden="false" customHeight="false" outlineLevel="0" collapsed="false">
      <c r="A3785" s="27"/>
      <c r="E3785" s="28"/>
      <c r="F3785" s="28"/>
      <c r="I3785" s="28" t="str">
        <f aca="false">IF(A3785="","",D3785*E3785)</f>
        <v/>
      </c>
      <c r="J3785" s="28" t="str">
        <f aca="false">IF(A3785="","",D3785*F3785)</f>
        <v/>
      </c>
      <c r="K3785" s="0" t="str">
        <f aca="false">IF(A3785="","",YEAR(A3785))</f>
        <v/>
      </c>
      <c r="L3785" s="0" t="str">
        <f aca="false">IF(A3785="","",MONTH(A3785))</f>
        <v/>
      </c>
    </row>
    <row r="3786" customFormat="false" ht="15" hidden="false" customHeight="false" outlineLevel="0" collapsed="false">
      <c r="A3786" s="27"/>
      <c r="E3786" s="28"/>
      <c r="F3786" s="28"/>
      <c r="I3786" s="28" t="str">
        <f aca="false">IF(A3786="","",D3786*E3786)</f>
        <v/>
      </c>
      <c r="J3786" s="28" t="str">
        <f aca="false">IF(A3786="","",D3786*F3786)</f>
        <v/>
      </c>
      <c r="K3786" s="0" t="str">
        <f aca="false">IF(A3786="","",YEAR(A3786))</f>
        <v/>
      </c>
      <c r="L3786" s="0" t="str">
        <f aca="false">IF(A3786="","",MONTH(A3786))</f>
        <v/>
      </c>
    </row>
    <row r="3787" customFormat="false" ht="15" hidden="false" customHeight="false" outlineLevel="0" collapsed="false">
      <c r="A3787" s="27"/>
      <c r="E3787" s="28"/>
      <c r="F3787" s="28"/>
      <c r="I3787" s="28" t="str">
        <f aca="false">IF(A3787="","",D3787*E3787)</f>
        <v/>
      </c>
      <c r="J3787" s="28" t="str">
        <f aca="false">IF(A3787="","",D3787*F3787)</f>
        <v/>
      </c>
      <c r="K3787" s="0" t="str">
        <f aca="false">IF(A3787="","",YEAR(A3787))</f>
        <v/>
      </c>
      <c r="L3787" s="0" t="str">
        <f aca="false">IF(A3787="","",MONTH(A3787))</f>
        <v/>
      </c>
    </row>
    <row r="3788" customFormat="false" ht="15" hidden="false" customHeight="false" outlineLevel="0" collapsed="false">
      <c r="A3788" s="27"/>
      <c r="E3788" s="28"/>
      <c r="F3788" s="28"/>
      <c r="I3788" s="28" t="str">
        <f aca="false">IF(A3788="","",D3788*E3788)</f>
        <v/>
      </c>
      <c r="J3788" s="28" t="str">
        <f aca="false">IF(A3788="","",D3788*F3788)</f>
        <v/>
      </c>
      <c r="K3788" s="0" t="str">
        <f aca="false">IF(A3788="","",YEAR(A3788))</f>
        <v/>
      </c>
      <c r="L3788" s="0" t="str">
        <f aca="false">IF(A3788="","",MONTH(A3788))</f>
        <v/>
      </c>
    </row>
    <row r="3789" customFormat="false" ht="15" hidden="false" customHeight="false" outlineLevel="0" collapsed="false">
      <c r="A3789" s="27"/>
      <c r="E3789" s="28"/>
      <c r="F3789" s="28"/>
      <c r="I3789" s="28" t="str">
        <f aca="false">IF(A3789="","",D3789*E3789)</f>
        <v/>
      </c>
      <c r="J3789" s="28" t="str">
        <f aca="false">IF(A3789="","",D3789*F3789)</f>
        <v/>
      </c>
      <c r="K3789" s="0" t="str">
        <f aca="false">IF(A3789="","",YEAR(A3789))</f>
        <v/>
      </c>
      <c r="L3789" s="0" t="str">
        <f aca="false">IF(A3789="","",MONTH(A3789))</f>
        <v/>
      </c>
    </row>
    <row r="3790" customFormat="false" ht="15" hidden="false" customHeight="false" outlineLevel="0" collapsed="false">
      <c r="A3790" s="27"/>
      <c r="E3790" s="28"/>
      <c r="F3790" s="28"/>
      <c r="I3790" s="28" t="str">
        <f aca="false">IF(A3790="","",D3790*E3790)</f>
        <v/>
      </c>
      <c r="J3790" s="28" t="str">
        <f aca="false">IF(A3790="","",D3790*F3790)</f>
        <v/>
      </c>
      <c r="K3790" s="0" t="str">
        <f aca="false">IF(A3790="","",YEAR(A3790))</f>
        <v/>
      </c>
      <c r="L3790" s="0" t="str">
        <f aca="false">IF(A3790="","",MONTH(A3790))</f>
        <v/>
      </c>
    </row>
    <row r="3791" customFormat="false" ht="15" hidden="false" customHeight="false" outlineLevel="0" collapsed="false">
      <c r="A3791" s="27"/>
      <c r="E3791" s="28"/>
      <c r="F3791" s="28"/>
      <c r="I3791" s="28" t="str">
        <f aca="false">IF(A3791="","",D3791*E3791)</f>
        <v/>
      </c>
      <c r="J3791" s="28" t="str">
        <f aca="false">IF(A3791="","",D3791*F3791)</f>
        <v/>
      </c>
      <c r="K3791" s="0" t="str">
        <f aca="false">IF(A3791="","",YEAR(A3791))</f>
        <v/>
      </c>
      <c r="L3791" s="0" t="str">
        <f aca="false">IF(A3791="","",MONTH(A3791))</f>
        <v/>
      </c>
    </row>
    <row r="3792" customFormat="false" ht="15" hidden="false" customHeight="false" outlineLevel="0" collapsed="false">
      <c r="A3792" s="27"/>
      <c r="E3792" s="28"/>
      <c r="F3792" s="28"/>
      <c r="I3792" s="28" t="str">
        <f aca="false">IF(A3792="","",D3792*E3792)</f>
        <v/>
      </c>
      <c r="J3792" s="28" t="str">
        <f aca="false">IF(A3792="","",D3792*F3792)</f>
        <v/>
      </c>
      <c r="K3792" s="0" t="str">
        <f aca="false">IF(A3792="","",YEAR(A3792))</f>
        <v/>
      </c>
      <c r="L3792" s="0" t="str">
        <f aca="false">IF(A3792="","",MONTH(A3792))</f>
        <v/>
      </c>
    </row>
    <row r="3793" customFormat="false" ht="15" hidden="false" customHeight="false" outlineLevel="0" collapsed="false">
      <c r="A3793" s="27"/>
      <c r="E3793" s="28"/>
      <c r="F3793" s="28"/>
      <c r="I3793" s="28" t="str">
        <f aca="false">IF(A3793="","",D3793*E3793)</f>
        <v/>
      </c>
      <c r="J3793" s="28" t="str">
        <f aca="false">IF(A3793="","",D3793*F3793)</f>
        <v/>
      </c>
      <c r="K3793" s="0" t="str">
        <f aca="false">IF(A3793="","",YEAR(A3793))</f>
        <v/>
      </c>
      <c r="L3793" s="0" t="str">
        <f aca="false">IF(A3793="","",MONTH(A3793))</f>
        <v/>
      </c>
    </row>
    <row r="3794" customFormat="false" ht="15" hidden="false" customHeight="false" outlineLevel="0" collapsed="false">
      <c r="A3794" s="27"/>
      <c r="E3794" s="28"/>
      <c r="F3794" s="28"/>
      <c r="I3794" s="28" t="str">
        <f aca="false">IF(A3794="","",D3794*E3794)</f>
        <v/>
      </c>
      <c r="J3794" s="28" t="str">
        <f aca="false">IF(A3794="","",D3794*F3794)</f>
        <v/>
      </c>
      <c r="K3794" s="0" t="str">
        <f aca="false">IF(A3794="","",YEAR(A3794))</f>
        <v/>
      </c>
      <c r="L3794" s="0" t="str">
        <f aca="false">IF(A3794="","",MONTH(A3794))</f>
        <v/>
      </c>
    </row>
    <row r="3795" customFormat="false" ht="15" hidden="false" customHeight="false" outlineLevel="0" collapsed="false">
      <c r="A3795" s="27"/>
      <c r="E3795" s="28"/>
      <c r="F3795" s="28"/>
      <c r="I3795" s="28" t="str">
        <f aca="false">IF(A3795="","",D3795*E3795)</f>
        <v/>
      </c>
      <c r="J3795" s="28" t="str">
        <f aca="false">IF(A3795="","",D3795*F3795)</f>
        <v/>
      </c>
      <c r="K3795" s="0" t="str">
        <f aca="false">IF(A3795="","",YEAR(A3795))</f>
        <v/>
      </c>
      <c r="L3795" s="0" t="str">
        <f aca="false">IF(A3795="","",MONTH(A3795))</f>
        <v/>
      </c>
    </row>
    <row r="3796" customFormat="false" ht="15" hidden="false" customHeight="false" outlineLevel="0" collapsed="false">
      <c r="A3796" s="27"/>
      <c r="E3796" s="28"/>
      <c r="F3796" s="28"/>
      <c r="I3796" s="28" t="str">
        <f aca="false">IF(A3796="","",D3796*E3796)</f>
        <v/>
      </c>
      <c r="J3796" s="28" t="str">
        <f aca="false">IF(A3796="","",D3796*F3796)</f>
        <v/>
      </c>
      <c r="K3796" s="0" t="str">
        <f aca="false">IF(A3796="","",YEAR(A3796))</f>
        <v/>
      </c>
      <c r="L3796" s="0" t="str">
        <f aca="false">IF(A3796="","",MONTH(A3796))</f>
        <v/>
      </c>
    </row>
    <row r="3797" customFormat="false" ht="15" hidden="false" customHeight="false" outlineLevel="0" collapsed="false">
      <c r="A3797" s="27"/>
      <c r="E3797" s="28"/>
      <c r="F3797" s="28"/>
      <c r="I3797" s="28" t="str">
        <f aca="false">IF(A3797="","",D3797*E3797)</f>
        <v/>
      </c>
      <c r="J3797" s="28" t="str">
        <f aca="false">IF(A3797="","",D3797*F3797)</f>
        <v/>
      </c>
      <c r="K3797" s="0" t="str">
        <f aca="false">IF(A3797="","",YEAR(A3797))</f>
        <v/>
      </c>
      <c r="L3797" s="0" t="str">
        <f aca="false">IF(A3797="","",MONTH(A3797))</f>
        <v/>
      </c>
    </row>
    <row r="3798" customFormat="false" ht="15" hidden="false" customHeight="false" outlineLevel="0" collapsed="false">
      <c r="A3798" s="27"/>
      <c r="E3798" s="28"/>
      <c r="F3798" s="28"/>
      <c r="I3798" s="28" t="str">
        <f aca="false">IF(A3798="","",D3798*E3798)</f>
        <v/>
      </c>
      <c r="J3798" s="28" t="str">
        <f aca="false">IF(A3798="","",D3798*F3798)</f>
        <v/>
      </c>
      <c r="K3798" s="0" t="str">
        <f aca="false">IF(A3798="","",YEAR(A3798))</f>
        <v/>
      </c>
      <c r="L3798" s="0" t="str">
        <f aca="false">IF(A3798="","",MONTH(A3798))</f>
        <v/>
      </c>
    </row>
    <row r="3799" customFormat="false" ht="15" hidden="false" customHeight="false" outlineLevel="0" collapsed="false">
      <c r="A3799" s="27"/>
      <c r="E3799" s="28"/>
      <c r="F3799" s="28"/>
      <c r="I3799" s="28" t="str">
        <f aca="false">IF(A3799="","",D3799*E3799)</f>
        <v/>
      </c>
      <c r="J3799" s="28" t="str">
        <f aca="false">IF(A3799="","",D3799*F3799)</f>
        <v/>
      </c>
      <c r="K3799" s="0" t="str">
        <f aca="false">IF(A3799="","",YEAR(A3799))</f>
        <v/>
      </c>
      <c r="L3799" s="0" t="str">
        <f aca="false">IF(A3799="","",MONTH(A3799))</f>
        <v/>
      </c>
    </row>
    <row r="3800" customFormat="false" ht="15" hidden="false" customHeight="false" outlineLevel="0" collapsed="false">
      <c r="A3800" s="27"/>
      <c r="E3800" s="28"/>
      <c r="F3800" s="28"/>
      <c r="I3800" s="28" t="str">
        <f aca="false">IF(A3800="","",D3800*E3800)</f>
        <v/>
      </c>
      <c r="J3800" s="28" t="str">
        <f aca="false">IF(A3800="","",D3800*F3800)</f>
        <v/>
      </c>
      <c r="K3800" s="0" t="str">
        <f aca="false">IF(A3800="","",YEAR(A3800))</f>
        <v/>
      </c>
      <c r="L3800" s="0" t="str">
        <f aca="false">IF(A3800="","",MONTH(A3800))</f>
        <v/>
      </c>
    </row>
    <row r="3801" customFormat="false" ht="15" hidden="false" customHeight="false" outlineLevel="0" collapsed="false">
      <c r="A3801" s="27"/>
      <c r="E3801" s="28"/>
      <c r="F3801" s="28"/>
      <c r="I3801" s="28" t="str">
        <f aca="false">IF(A3801="","",D3801*E3801)</f>
        <v/>
      </c>
      <c r="J3801" s="28" t="str">
        <f aca="false">IF(A3801="","",D3801*F3801)</f>
        <v/>
      </c>
      <c r="K3801" s="0" t="str">
        <f aca="false">IF(A3801="","",YEAR(A3801))</f>
        <v/>
      </c>
      <c r="L3801" s="0" t="str">
        <f aca="false">IF(A3801="","",MONTH(A3801))</f>
        <v/>
      </c>
    </row>
    <row r="3802" customFormat="false" ht="15" hidden="false" customHeight="false" outlineLevel="0" collapsed="false">
      <c r="A3802" s="27"/>
      <c r="E3802" s="28"/>
      <c r="F3802" s="28"/>
      <c r="I3802" s="28" t="str">
        <f aca="false">IF(A3802="","",D3802*E3802)</f>
        <v/>
      </c>
      <c r="J3802" s="28" t="str">
        <f aca="false">IF(A3802="","",D3802*F3802)</f>
        <v/>
      </c>
      <c r="K3802" s="0" t="str">
        <f aca="false">IF(A3802="","",YEAR(A3802))</f>
        <v/>
      </c>
      <c r="L3802" s="0" t="str">
        <f aca="false">IF(A3802="","",MONTH(A3802))</f>
        <v/>
      </c>
    </row>
    <row r="3803" customFormat="false" ht="15" hidden="false" customHeight="false" outlineLevel="0" collapsed="false">
      <c r="A3803" s="27"/>
      <c r="E3803" s="28"/>
      <c r="F3803" s="28"/>
      <c r="I3803" s="28" t="str">
        <f aca="false">IF(A3803="","",D3803*E3803)</f>
        <v/>
      </c>
      <c r="J3803" s="28" t="str">
        <f aca="false">IF(A3803="","",D3803*F3803)</f>
        <v/>
      </c>
      <c r="K3803" s="0" t="str">
        <f aca="false">IF(A3803="","",YEAR(A3803))</f>
        <v/>
      </c>
      <c r="L3803" s="0" t="str">
        <f aca="false">IF(A3803="","",MONTH(A3803))</f>
        <v/>
      </c>
    </row>
    <row r="3804" customFormat="false" ht="15" hidden="false" customHeight="false" outlineLevel="0" collapsed="false">
      <c r="A3804" s="27"/>
      <c r="E3804" s="28"/>
      <c r="F3804" s="28"/>
      <c r="I3804" s="28" t="str">
        <f aca="false">IF(A3804="","",D3804*E3804)</f>
        <v/>
      </c>
      <c r="J3804" s="28" t="str">
        <f aca="false">IF(A3804="","",D3804*F3804)</f>
        <v/>
      </c>
      <c r="K3804" s="0" t="str">
        <f aca="false">IF(A3804="","",YEAR(A3804))</f>
        <v/>
      </c>
      <c r="L3804" s="0" t="str">
        <f aca="false">IF(A3804="","",MONTH(A3804))</f>
        <v/>
      </c>
    </row>
    <row r="3805" customFormat="false" ht="15" hidden="false" customHeight="false" outlineLevel="0" collapsed="false">
      <c r="A3805" s="27"/>
      <c r="E3805" s="28"/>
      <c r="F3805" s="28"/>
      <c r="I3805" s="28" t="str">
        <f aca="false">IF(A3805="","",D3805*E3805)</f>
        <v/>
      </c>
      <c r="J3805" s="28" t="str">
        <f aca="false">IF(A3805="","",D3805*F3805)</f>
        <v/>
      </c>
      <c r="K3805" s="0" t="str">
        <f aca="false">IF(A3805="","",YEAR(A3805))</f>
        <v/>
      </c>
      <c r="L3805" s="0" t="str">
        <f aca="false">IF(A3805="","",MONTH(A3805))</f>
        <v/>
      </c>
    </row>
    <row r="3806" customFormat="false" ht="15" hidden="false" customHeight="false" outlineLevel="0" collapsed="false">
      <c r="A3806" s="27"/>
      <c r="E3806" s="28"/>
      <c r="F3806" s="28"/>
      <c r="I3806" s="28" t="str">
        <f aca="false">IF(A3806="","",D3806*E3806)</f>
        <v/>
      </c>
      <c r="J3806" s="28" t="str">
        <f aca="false">IF(A3806="","",D3806*F3806)</f>
        <v/>
      </c>
      <c r="K3806" s="0" t="str">
        <f aca="false">IF(A3806="","",YEAR(A3806))</f>
        <v/>
      </c>
      <c r="L3806" s="0" t="str">
        <f aca="false">IF(A3806="","",MONTH(A3806))</f>
        <v/>
      </c>
    </row>
    <row r="3807" customFormat="false" ht="15" hidden="false" customHeight="false" outlineLevel="0" collapsed="false">
      <c r="A3807" s="27"/>
      <c r="E3807" s="28"/>
      <c r="F3807" s="28"/>
      <c r="I3807" s="28" t="str">
        <f aca="false">IF(A3807="","",D3807*E3807)</f>
        <v/>
      </c>
      <c r="J3807" s="28" t="str">
        <f aca="false">IF(A3807="","",D3807*F3807)</f>
        <v/>
      </c>
      <c r="K3807" s="0" t="str">
        <f aca="false">IF(A3807="","",YEAR(A3807))</f>
        <v/>
      </c>
      <c r="L3807" s="0" t="str">
        <f aca="false">IF(A3807="","",MONTH(A3807))</f>
        <v/>
      </c>
    </row>
    <row r="3808" customFormat="false" ht="15" hidden="false" customHeight="false" outlineLevel="0" collapsed="false">
      <c r="A3808" s="27"/>
      <c r="E3808" s="28"/>
      <c r="F3808" s="28"/>
      <c r="I3808" s="28" t="str">
        <f aca="false">IF(A3808="","",D3808*E3808)</f>
        <v/>
      </c>
      <c r="J3808" s="28" t="str">
        <f aca="false">IF(A3808="","",D3808*F3808)</f>
        <v/>
      </c>
      <c r="K3808" s="0" t="str">
        <f aca="false">IF(A3808="","",YEAR(A3808))</f>
        <v/>
      </c>
      <c r="L3808" s="0" t="str">
        <f aca="false">IF(A3808="","",MONTH(A3808))</f>
        <v/>
      </c>
    </row>
    <row r="3809" customFormat="false" ht="15" hidden="false" customHeight="false" outlineLevel="0" collapsed="false">
      <c r="A3809" s="27"/>
      <c r="E3809" s="28"/>
      <c r="F3809" s="28"/>
      <c r="I3809" s="28" t="str">
        <f aca="false">IF(A3809="","",D3809*E3809)</f>
        <v/>
      </c>
      <c r="J3809" s="28" t="str">
        <f aca="false">IF(A3809="","",D3809*F3809)</f>
        <v/>
      </c>
      <c r="K3809" s="0" t="str">
        <f aca="false">IF(A3809="","",YEAR(A3809))</f>
        <v/>
      </c>
      <c r="L3809" s="0" t="str">
        <f aca="false">IF(A3809="","",MONTH(A3809))</f>
        <v/>
      </c>
    </row>
    <row r="3810" customFormat="false" ht="15" hidden="false" customHeight="false" outlineLevel="0" collapsed="false">
      <c r="A3810" s="27"/>
      <c r="E3810" s="28"/>
      <c r="F3810" s="28"/>
      <c r="I3810" s="28" t="str">
        <f aca="false">IF(A3810="","",D3810*E3810)</f>
        <v/>
      </c>
      <c r="J3810" s="28" t="str">
        <f aca="false">IF(A3810="","",D3810*F3810)</f>
        <v/>
      </c>
      <c r="K3810" s="0" t="str">
        <f aca="false">IF(A3810="","",YEAR(A3810))</f>
        <v/>
      </c>
      <c r="L3810" s="0" t="str">
        <f aca="false">IF(A3810="","",MONTH(A3810))</f>
        <v/>
      </c>
    </row>
    <row r="3811" customFormat="false" ht="15" hidden="false" customHeight="false" outlineLevel="0" collapsed="false">
      <c r="A3811" s="27"/>
      <c r="E3811" s="28"/>
      <c r="F3811" s="28"/>
      <c r="I3811" s="28" t="str">
        <f aca="false">IF(A3811="","",D3811*E3811)</f>
        <v/>
      </c>
      <c r="J3811" s="28" t="str">
        <f aca="false">IF(A3811="","",D3811*F3811)</f>
        <v/>
      </c>
      <c r="K3811" s="0" t="str">
        <f aca="false">IF(A3811="","",YEAR(A3811))</f>
        <v/>
      </c>
      <c r="L3811" s="0" t="str">
        <f aca="false">IF(A3811="","",MONTH(A3811))</f>
        <v/>
      </c>
    </row>
    <row r="3812" customFormat="false" ht="15" hidden="false" customHeight="false" outlineLevel="0" collapsed="false">
      <c r="A3812" s="27"/>
      <c r="E3812" s="28"/>
      <c r="F3812" s="28"/>
      <c r="I3812" s="28" t="str">
        <f aca="false">IF(A3812="","",D3812*E3812)</f>
        <v/>
      </c>
      <c r="J3812" s="28" t="str">
        <f aca="false">IF(A3812="","",D3812*F3812)</f>
        <v/>
      </c>
      <c r="K3812" s="0" t="str">
        <f aca="false">IF(A3812="","",YEAR(A3812))</f>
        <v/>
      </c>
      <c r="L3812" s="0" t="str">
        <f aca="false">IF(A3812="","",MONTH(A3812))</f>
        <v/>
      </c>
    </row>
    <row r="3813" customFormat="false" ht="15" hidden="false" customHeight="false" outlineLevel="0" collapsed="false">
      <c r="A3813" s="27"/>
      <c r="E3813" s="28"/>
      <c r="F3813" s="28"/>
      <c r="I3813" s="28" t="str">
        <f aca="false">IF(A3813="","",D3813*E3813)</f>
        <v/>
      </c>
      <c r="J3813" s="28" t="str">
        <f aca="false">IF(A3813="","",D3813*F3813)</f>
        <v/>
      </c>
      <c r="K3813" s="0" t="str">
        <f aca="false">IF(A3813="","",YEAR(A3813))</f>
        <v/>
      </c>
      <c r="L3813" s="0" t="str">
        <f aca="false">IF(A3813="","",MONTH(A3813))</f>
        <v/>
      </c>
    </row>
    <row r="3814" customFormat="false" ht="15" hidden="false" customHeight="false" outlineLevel="0" collapsed="false">
      <c r="A3814" s="27"/>
      <c r="E3814" s="28"/>
      <c r="F3814" s="28"/>
      <c r="I3814" s="28" t="str">
        <f aca="false">IF(A3814="","",D3814*E3814)</f>
        <v/>
      </c>
      <c r="J3814" s="28" t="str">
        <f aca="false">IF(A3814="","",D3814*F3814)</f>
        <v/>
      </c>
      <c r="K3814" s="0" t="str">
        <f aca="false">IF(A3814="","",YEAR(A3814))</f>
        <v/>
      </c>
      <c r="L3814" s="0" t="str">
        <f aca="false">IF(A3814="","",MONTH(A3814))</f>
        <v/>
      </c>
    </row>
    <row r="3815" customFormat="false" ht="15" hidden="false" customHeight="false" outlineLevel="0" collapsed="false">
      <c r="A3815" s="27"/>
      <c r="E3815" s="28"/>
      <c r="F3815" s="28"/>
      <c r="I3815" s="28" t="str">
        <f aca="false">IF(A3815="","",D3815*E3815)</f>
        <v/>
      </c>
      <c r="J3815" s="28" t="str">
        <f aca="false">IF(A3815="","",D3815*F3815)</f>
        <v/>
      </c>
      <c r="K3815" s="0" t="str">
        <f aca="false">IF(A3815="","",YEAR(A3815))</f>
        <v/>
      </c>
      <c r="L3815" s="0" t="str">
        <f aca="false">IF(A3815="","",MONTH(A3815))</f>
        <v/>
      </c>
    </row>
    <row r="3816" customFormat="false" ht="15" hidden="false" customHeight="false" outlineLevel="0" collapsed="false">
      <c r="A3816" s="27"/>
      <c r="E3816" s="28"/>
      <c r="F3816" s="28"/>
      <c r="I3816" s="28" t="str">
        <f aca="false">IF(A3816="","",D3816*E3816)</f>
        <v/>
      </c>
      <c r="J3816" s="28" t="str">
        <f aca="false">IF(A3816="","",D3816*F3816)</f>
        <v/>
      </c>
      <c r="K3816" s="0" t="str">
        <f aca="false">IF(A3816="","",YEAR(A3816))</f>
        <v/>
      </c>
      <c r="L3816" s="0" t="str">
        <f aca="false">IF(A3816="","",MONTH(A3816))</f>
        <v/>
      </c>
    </row>
    <row r="3817" customFormat="false" ht="15" hidden="false" customHeight="false" outlineLevel="0" collapsed="false">
      <c r="A3817" s="27"/>
      <c r="E3817" s="28"/>
      <c r="F3817" s="28"/>
      <c r="I3817" s="28" t="str">
        <f aca="false">IF(A3817="","",D3817*E3817)</f>
        <v/>
      </c>
      <c r="J3817" s="28" t="str">
        <f aca="false">IF(A3817="","",D3817*F3817)</f>
        <v/>
      </c>
      <c r="K3817" s="0" t="str">
        <f aca="false">IF(A3817="","",YEAR(A3817))</f>
        <v/>
      </c>
      <c r="L3817" s="0" t="str">
        <f aca="false">IF(A3817="","",MONTH(A3817))</f>
        <v/>
      </c>
    </row>
    <row r="3818" customFormat="false" ht="15" hidden="false" customHeight="false" outlineLevel="0" collapsed="false">
      <c r="A3818" s="27"/>
      <c r="E3818" s="28"/>
      <c r="F3818" s="28"/>
      <c r="I3818" s="28" t="str">
        <f aca="false">IF(A3818="","",D3818*E3818)</f>
        <v/>
      </c>
      <c r="J3818" s="28" t="str">
        <f aca="false">IF(A3818="","",D3818*F3818)</f>
        <v/>
      </c>
      <c r="K3818" s="0" t="str">
        <f aca="false">IF(A3818="","",YEAR(A3818))</f>
        <v/>
      </c>
      <c r="L3818" s="0" t="str">
        <f aca="false">IF(A3818="","",MONTH(A3818))</f>
        <v/>
      </c>
    </row>
    <row r="3819" customFormat="false" ht="15" hidden="false" customHeight="false" outlineLevel="0" collapsed="false">
      <c r="A3819" s="27"/>
      <c r="E3819" s="28"/>
      <c r="F3819" s="28"/>
      <c r="I3819" s="28" t="str">
        <f aca="false">IF(A3819="","",D3819*E3819)</f>
        <v/>
      </c>
      <c r="J3819" s="28" t="str">
        <f aca="false">IF(A3819="","",D3819*F3819)</f>
        <v/>
      </c>
      <c r="K3819" s="0" t="str">
        <f aca="false">IF(A3819="","",YEAR(A3819))</f>
        <v/>
      </c>
      <c r="L3819" s="0" t="str">
        <f aca="false">IF(A3819="","",MONTH(A3819))</f>
        <v/>
      </c>
    </row>
    <row r="3820" customFormat="false" ht="15" hidden="false" customHeight="false" outlineLevel="0" collapsed="false">
      <c r="A3820" s="27"/>
      <c r="E3820" s="28"/>
      <c r="F3820" s="28"/>
      <c r="I3820" s="28" t="str">
        <f aca="false">IF(A3820="","",D3820*E3820)</f>
        <v/>
      </c>
      <c r="J3820" s="28" t="str">
        <f aca="false">IF(A3820="","",D3820*F3820)</f>
        <v/>
      </c>
      <c r="K3820" s="0" t="str">
        <f aca="false">IF(A3820="","",YEAR(A3820))</f>
        <v/>
      </c>
      <c r="L3820" s="0" t="str">
        <f aca="false">IF(A3820="","",MONTH(A3820))</f>
        <v/>
      </c>
    </row>
    <row r="3821" customFormat="false" ht="15" hidden="false" customHeight="false" outlineLevel="0" collapsed="false">
      <c r="A3821" s="27"/>
      <c r="E3821" s="28"/>
      <c r="F3821" s="28"/>
      <c r="I3821" s="28" t="str">
        <f aca="false">IF(A3821="","",D3821*E3821)</f>
        <v/>
      </c>
      <c r="J3821" s="28" t="str">
        <f aca="false">IF(A3821="","",D3821*F3821)</f>
        <v/>
      </c>
      <c r="K3821" s="0" t="str">
        <f aca="false">IF(A3821="","",YEAR(A3821))</f>
        <v/>
      </c>
      <c r="L3821" s="0" t="str">
        <f aca="false">IF(A3821="","",MONTH(A3821))</f>
        <v/>
      </c>
    </row>
    <row r="3822" customFormat="false" ht="15" hidden="false" customHeight="false" outlineLevel="0" collapsed="false">
      <c r="A3822" s="27"/>
      <c r="E3822" s="28"/>
      <c r="F3822" s="28"/>
      <c r="I3822" s="28" t="str">
        <f aca="false">IF(A3822="","",D3822*E3822)</f>
        <v/>
      </c>
      <c r="J3822" s="28" t="str">
        <f aca="false">IF(A3822="","",D3822*F3822)</f>
        <v/>
      </c>
      <c r="K3822" s="0" t="str">
        <f aca="false">IF(A3822="","",YEAR(A3822))</f>
        <v/>
      </c>
      <c r="L3822" s="0" t="str">
        <f aca="false">IF(A3822="","",MONTH(A3822))</f>
        <v/>
      </c>
    </row>
    <row r="3823" customFormat="false" ht="15" hidden="false" customHeight="false" outlineLevel="0" collapsed="false">
      <c r="A3823" s="27"/>
      <c r="E3823" s="28"/>
      <c r="F3823" s="28"/>
      <c r="I3823" s="28" t="str">
        <f aca="false">IF(A3823="","",D3823*E3823)</f>
        <v/>
      </c>
      <c r="J3823" s="28" t="str">
        <f aca="false">IF(A3823="","",D3823*F3823)</f>
        <v/>
      </c>
      <c r="K3823" s="0" t="str">
        <f aca="false">IF(A3823="","",YEAR(A3823))</f>
        <v/>
      </c>
      <c r="L3823" s="0" t="str">
        <f aca="false">IF(A3823="","",MONTH(A3823))</f>
        <v/>
      </c>
    </row>
    <row r="3824" customFormat="false" ht="15" hidden="false" customHeight="false" outlineLevel="0" collapsed="false">
      <c r="A3824" s="27"/>
      <c r="E3824" s="28"/>
      <c r="F3824" s="28"/>
      <c r="I3824" s="28" t="str">
        <f aca="false">IF(A3824="","",D3824*E3824)</f>
        <v/>
      </c>
      <c r="J3824" s="28" t="str">
        <f aca="false">IF(A3824="","",D3824*F3824)</f>
        <v/>
      </c>
      <c r="K3824" s="0" t="str">
        <f aca="false">IF(A3824="","",YEAR(A3824))</f>
        <v/>
      </c>
      <c r="L3824" s="0" t="str">
        <f aca="false">IF(A3824="","",MONTH(A3824))</f>
        <v/>
      </c>
    </row>
    <row r="3825" customFormat="false" ht="15" hidden="false" customHeight="false" outlineLevel="0" collapsed="false">
      <c r="A3825" s="27"/>
      <c r="E3825" s="28"/>
      <c r="F3825" s="28"/>
      <c r="I3825" s="28" t="str">
        <f aca="false">IF(A3825="","",D3825*E3825)</f>
        <v/>
      </c>
      <c r="J3825" s="28" t="str">
        <f aca="false">IF(A3825="","",D3825*F3825)</f>
        <v/>
      </c>
      <c r="K3825" s="0" t="str">
        <f aca="false">IF(A3825="","",YEAR(A3825))</f>
        <v/>
      </c>
      <c r="L3825" s="0" t="str">
        <f aca="false">IF(A3825="","",MONTH(A3825))</f>
        <v/>
      </c>
    </row>
    <row r="3826" customFormat="false" ht="15" hidden="false" customHeight="false" outlineLevel="0" collapsed="false">
      <c r="A3826" s="27"/>
      <c r="E3826" s="28"/>
      <c r="F3826" s="28"/>
      <c r="I3826" s="28" t="str">
        <f aca="false">IF(A3826="","",D3826*E3826)</f>
        <v/>
      </c>
      <c r="J3826" s="28" t="str">
        <f aca="false">IF(A3826="","",D3826*F3826)</f>
        <v/>
      </c>
      <c r="K3826" s="0" t="str">
        <f aca="false">IF(A3826="","",YEAR(A3826))</f>
        <v/>
      </c>
      <c r="L3826" s="0" t="str">
        <f aca="false">IF(A3826="","",MONTH(A3826))</f>
        <v/>
      </c>
    </row>
    <row r="3827" customFormat="false" ht="15" hidden="false" customHeight="false" outlineLevel="0" collapsed="false">
      <c r="A3827" s="27"/>
      <c r="E3827" s="28"/>
      <c r="F3827" s="28"/>
      <c r="I3827" s="28" t="str">
        <f aca="false">IF(A3827="","",D3827*E3827)</f>
        <v/>
      </c>
      <c r="J3827" s="28" t="str">
        <f aca="false">IF(A3827="","",D3827*F3827)</f>
        <v/>
      </c>
      <c r="K3827" s="0" t="str">
        <f aca="false">IF(A3827="","",YEAR(A3827))</f>
        <v/>
      </c>
      <c r="L3827" s="0" t="str">
        <f aca="false">IF(A3827="","",MONTH(A3827))</f>
        <v/>
      </c>
    </row>
    <row r="3828" customFormat="false" ht="15" hidden="false" customHeight="false" outlineLevel="0" collapsed="false">
      <c r="A3828" s="27"/>
      <c r="E3828" s="28"/>
      <c r="F3828" s="28"/>
      <c r="I3828" s="28" t="str">
        <f aca="false">IF(A3828="","",D3828*E3828)</f>
        <v/>
      </c>
      <c r="J3828" s="28" t="str">
        <f aca="false">IF(A3828="","",D3828*F3828)</f>
        <v/>
      </c>
      <c r="K3828" s="0" t="str">
        <f aca="false">IF(A3828="","",YEAR(A3828))</f>
        <v/>
      </c>
      <c r="L3828" s="0" t="str">
        <f aca="false">IF(A3828="","",MONTH(A3828))</f>
        <v/>
      </c>
    </row>
    <row r="3829" customFormat="false" ht="15" hidden="false" customHeight="false" outlineLevel="0" collapsed="false">
      <c r="A3829" s="27"/>
      <c r="E3829" s="28"/>
      <c r="F3829" s="28"/>
      <c r="I3829" s="28" t="str">
        <f aca="false">IF(A3829="","",D3829*E3829)</f>
        <v/>
      </c>
      <c r="J3829" s="28" t="str">
        <f aca="false">IF(A3829="","",D3829*F3829)</f>
        <v/>
      </c>
      <c r="K3829" s="0" t="str">
        <f aca="false">IF(A3829="","",YEAR(A3829))</f>
        <v/>
      </c>
      <c r="L3829" s="0" t="str">
        <f aca="false">IF(A3829="","",MONTH(A3829))</f>
        <v/>
      </c>
    </row>
    <row r="3830" customFormat="false" ht="15" hidden="false" customHeight="false" outlineLevel="0" collapsed="false">
      <c r="A3830" s="27"/>
      <c r="E3830" s="28"/>
      <c r="F3830" s="28"/>
      <c r="I3830" s="28" t="str">
        <f aca="false">IF(A3830="","",D3830*E3830)</f>
        <v/>
      </c>
      <c r="J3830" s="28" t="str">
        <f aca="false">IF(A3830="","",D3830*F3830)</f>
        <v/>
      </c>
      <c r="K3830" s="0" t="str">
        <f aca="false">IF(A3830="","",YEAR(A3830))</f>
        <v/>
      </c>
      <c r="L3830" s="0" t="str">
        <f aca="false">IF(A3830="","",MONTH(A3830))</f>
        <v/>
      </c>
    </row>
    <row r="3831" customFormat="false" ht="15" hidden="false" customHeight="false" outlineLevel="0" collapsed="false">
      <c r="A3831" s="27"/>
      <c r="E3831" s="28"/>
      <c r="F3831" s="28"/>
      <c r="I3831" s="28" t="str">
        <f aca="false">IF(A3831="","",D3831*E3831)</f>
        <v/>
      </c>
      <c r="J3831" s="28" t="str">
        <f aca="false">IF(A3831="","",D3831*F3831)</f>
        <v/>
      </c>
      <c r="K3831" s="0" t="str">
        <f aca="false">IF(A3831="","",YEAR(A3831))</f>
        <v/>
      </c>
      <c r="L3831" s="0" t="str">
        <f aca="false">IF(A3831="","",MONTH(A3831))</f>
        <v/>
      </c>
    </row>
    <row r="3832" customFormat="false" ht="15" hidden="false" customHeight="false" outlineLevel="0" collapsed="false">
      <c r="A3832" s="27"/>
      <c r="E3832" s="28"/>
      <c r="F3832" s="28"/>
      <c r="I3832" s="28" t="str">
        <f aca="false">IF(A3832="","",D3832*E3832)</f>
        <v/>
      </c>
      <c r="J3832" s="28" t="str">
        <f aca="false">IF(A3832="","",D3832*F3832)</f>
        <v/>
      </c>
      <c r="K3832" s="0" t="str">
        <f aca="false">IF(A3832="","",YEAR(A3832))</f>
        <v/>
      </c>
      <c r="L3832" s="0" t="str">
        <f aca="false">IF(A3832="","",MONTH(A3832))</f>
        <v/>
      </c>
    </row>
    <row r="3833" customFormat="false" ht="15" hidden="false" customHeight="false" outlineLevel="0" collapsed="false">
      <c r="A3833" s="27"/>
      <c r="E3833" s="28"/>
      <c r="F3833" s="28"/>
      <c r="I3833" s="28" t="str">
        <f aca="false">IF(A3833="","",D3833*E3833)</f>
        <v/>
      </c>
      <c r="J3833" s="28" t="str">
        <f aca="false">IF(A3833="","",D3833*F3833)</f>
        <v/>
      </c>
      <c r="K3833" s="0" t="str">
        <f aca="false">IF(A3833="","",YEAR(A3833))</f>
        <v/>
      </c>
      <c r="L3833" s="0" t="str">
        <f aca="false">IF(A3833="","",MONTH(A3833))</f>
        <v/>
      </c>
    </row>
    <row r="3834" customFormat="false" ht="15" hidden="false" customHeight="false" outlineLevel="0" collapsed="false">
      <c r="A3834" s="27"/>
      <c r="E3834" s="28"/>
      <c r="F3834" s="28"/>
      <c r="I3834" s="28" t="str">
        <f aca="false">IF(A3834="","",D3834*E3834)</f>
        <v/>
      </c>
      <c r="J3834" s="28" t="str">
        <f aca="false">IF(A3834="","",D3834*F3834)</f>
        <v/>
      </c>
      <c r="K3834" s="0" t="str">
        <f aca="false">IF(A3834="","",YEAR(A3834))</f>
        <v/>
      </c>
      <c r="L3834" s="0" t="str">
        <f aca="false">IF(A3834="","",MONTH(A3834))</f>
        <v/>
      </c>
    </row>
    <row r="3835" customFormat="false" ht="15" hidden="false" customHeight="false" outlineLevel="0" collapsed="false">
      <c r="A3835" s="27"/>
      <c r="E3835" s="28"/>
      <c r="F3835" s="28"/>
      <c r="I3835" s="28" t="str">
        <f aca="false">IF(A3835="","",D3835*E3835)</f>
        <v/>
      </c>
      <c r="J3835" s="28" t="str">
        <f aca="false">IF(A3835="","",D3835*F3835)</f>
        <v/>
      </c>
      <c r="K3835" s="0" t="str">
        <f aca="false">IF(A3835="","",YEAR(A3835))</f>
        <v/>
      </c>
      <c r="L3835" s="0" t="str">
        <f aca="false">IF(A3835="","",MONTH(A3835))</f>
        <v/>
      </c>
    </row>
    <row r="3836" customFormat="false" ht="15" hidden="false" customHeight="false" outlineLevel="0" collapsed="false">
      <c r="A3836" s="27"/>
      <c r="E3836" s="28"/>
      <c r="F3836" s="28"/>
      <c r="I3836" s="28" t="str">
        <f aca="false">IF(A3836="","",D3836*E3836)</f>
        <v/>
      </c>
      <c r="J3836" s="28" t="str">
        <f aca="false">IF(A3836="","",D3836*F3836)</f>
        <v/>
      </c>
      <c r="K3836" s="0" t="str">
        <f aca="false">IF(A3836="","",YEAR(A3836))</f>
        <v/>
      </c>
      <c r="L3836" s="0" t="str">
        <f aca="false">IF(A3836="","",MONTH(A3836))</f>
        <v/>
      </c>
    </row>
    <row r="3837" customFormat="false" ht="15" hidden="false" customHeight="false" outlineLevel="0" collapsed="false">
      <c r="A3837" s="27"/>
      <c r="E3837" s="28"/>
      <c r="F3837" s="28"/>
      <c r="I3837" s="28" t="str">
        <f aca="false">IF(A3837="","",D3837*E3837)</f>
        <v/>
      </c>
      <c r="J3837" s="28" t="str">
        <f aca="false">IF(A3837="","",D3837*F3837)</f>
        <v/>
      </c>
      <c r="K3837" s="0" t="str">
        <f aca="false">IF(A3837="","",YEAR(A3837))</f>
        <v/>
      </c>
      <c r="L3837" s="0" t="str">
        <f aca="false">IF(A3837="","",MONTH(A3837))</f>
        <v/>
      </c>
    </row>
    <row r="3838" customFormat="false" ht="15" hidden="false" customHeight="false" outlineLevel="0" collapsed="false">
      <c r="A3838" s="27"/>
      <c r="E3838" s="28"/>
      <c r="F3838" s="28"/>
      <c r="I3838" s="28" t="str">
        <f aca="false">IF(A3838="","",D3838*E3838)</f>
        <v/>
      </c>
      <c r="J3838" s="28" t="str">
        <f aca="false">IF(A3838="","",D3838*F3838)</f>
        <v/>
      </c>
      <c r="K3838" s="0" t="str">
        <f aca="false">IF(A3838="","",YEAR(A3838))</f>
        <v/>
      </c>
      <c r="L3838" s="0" t="str">
        <f aca="false">IF(A3838="","",MONTH(A3838))</f>
        <v/>
      </c>
    </row>
    <row r="3839" customFormat="false" ht="15" hidden="false" customHeight="false" outlineLevel="0" collapsed="false">
      <c r="A3839" s="27"/>
      <c r="E3839" s="28"/>
      <c r="F3839" s="28"/>
      <c r="I3839" s="28" t="str">
        <f aca="false">IF(A3839="","",D3839*E3839)</f>
        <v/>
      </c>
      <c r="J3839" s="28" t="str">
        <f aca="false">IF(A3839="","",D3839*F3839)</f>
        <v/>
      </c>
      <c r="K3839" s="0" t="str">
        <f aca="false">IF(A3839="","",YEAR(A3839))</f>
        <v/>
      </c>
      <c r="L3839" s="0" t="str">
        <f aca="false">IF(A3839="","",MONTH(A3839))</f>
        <v/>
      </c>
    </row>
    <row r="3840" customFormat="false" ht="15" hidden="false" customHeight="false" outlineLevel="0" collapsed="false">
      <c r="A3840" s="27"/>
      <c r="E3840" s="28"/>
      <c r="F3840" s="28"/>
      <c r="I3840" s="28" t="str">
        <f aca="false">IF(A3840="","",D3840*E3840)</f>
        <v/>
      </c>
      <c r="J3840" s="28" t="str">
        <f aca="false">IF(A3840="","",D3840*F3840)</f>
        <v/>
      </c>
      <c r="K3840" s="0" t="str">
        <f aca="false">IF(A3840="","",YEAR(A3840))</f>
        <v/>
      </c>
      <c r="L3840" s="0" t="str">
        <f aca="false">IF(A3840="","",MONTH(A3840))</f>
        <v/>
      </c>
    </row>
    <row r="3841" customFormat="false" ht="15" hidden="false" customHeight="false" outlineLevel="0" collapsed="false">
      <c r="A3841" s="27"/>
      <c r="E3841" s="28"/>
      <c r="F3841" s="28"/>
      <c r="I3841" s="28" t="str">
        <f aca="false">IF(A3841="","",D3841*E3841)</f>
        <v/>
      </c>
      <c r="J3841" s="28" t="str">
        <f aca="false">IF(A3841="","",D3841*F3841)</f>
        <v/>
      </c>
      <c r="K3841" s="0" t="str">
        <f aca="false">IF(A3841="","",YEAR(A3841))</f>
        <v/>
      </c>
      <c r="L3841" s="0" t="str">
        <f aca="false">IF(A3841="","",MONTH(A3841))</f>
        <v/>
      </c>
    </row>
    <row r="3842" customFormat="false" ht="15" hidden="false" customHeight="false" outlineLevel="0" collapsed="false">
      <c r="A3842" s="27"/>
      <c r="E3842" s="28"/>
      <c r="F3842" s="28"/>
      <c r="I3842" s="28" t="str">
        <f aca="false">IF(A3842="","",D3842*E3842)</f>
        <v/>
      </c>
      <c r="J3842" s="28" t="str">
        <f aca="false">IF(A3842="","",D3842*F3842)</f>
        <v/>
      </c>
      <c r="K3842" s="0" t="str">
        <f aca="false">IF(A3842="","",YEAR(A3842))</f>
        <v/>
      </c>
      <c r="L3842" s="0" t="str">
        <f aca="false">IF(A3842="","",MONTH(A3842))</f>
        <v/>
      </c>
    </row>
    <row r="3843" customFormat="false" ht="15" hidden="false" customHeight="false" outlineLevel="0" collapsed="false">
      <c r="A3843" s="27"/>
      <c r="E3843" s="28"/>
      <c r="F3843" s="28"/>
      <c r="I3843" s="28" t="str">
        <f aca="false">IF(A3843="","",D3843*E3843)</f>
        <v/>
      </c>
      <c r="J3843" s="28" t="str">
        <f aca="false">IF(A3843="","",D3843*F3843)</f>
        <v/>
      </c>
      <c r="K3843" s="0" t="str">
        <f aca="false">IF(A3843="","",YEAR(A3843))</f>
        <v/>
      </c>
      <c r="L3843" s="0" t="str">
        <f aca="false">IF(A3843="","",MONTH(A3843))</f>
        <v/>
      </c>
    </row>
    <row r="3844" customFormat="false" ht="15" hidden="false" customHeight="false" outlineLevel="0" collapsed="false">
      <c r="A3844" s="27"/>
      <c r="E3844" s="28"/>
      <c r="F3844" s="28"/>
      <c r="I3844" s="28" t="str">
        <f aca="false">IF(A3844="","",D3844*E3844)</f>
        <v/>
      </c>
      <c r="J3844" s="28" t="str">
        <f aca="false">IF(A3844="","",D3844*F3844)</f>
        <v/>
      </c>
      <c r="K3844" s="0" t="str">
        <f aca="false">IF(A3844="","",YEAR(A3844))</f>
        <v/>
      </c>
      <c r="L3844" s="0" t="str">
        <f aca="false">IF(A3844="","",MONTH(A3844))</f>
        <v/>
      </c>
    </row>
    <row r="3845" customFormat="false" ht="15" hidden="false" customHeight="false" outlineLevel="0" collapsed="false">
      <c r="A3845" s="27"/>
      <c r="E3845" s="28"/>
      <c r="F3845" s="28"/>
      <c r="I3845" s="28" t="str">
        <f aca="false">IF(A3845="","",D3845*E3845)</f>
        <v/>
      </c>
      <c r="J3845" s="28" t="str">
        <f aca="false">IF(A3845="","",D3845*F3845)</f>
        <v/>
      </c>
      <c r="K3845" s="0" t="str">
        <f aca="false">IF(A3845="","",YEAR(A3845))</f>
        <v/>
      </c>
      <c r="L3845" s="0" t="str">
        <f aca="false">IF(A3845="","",MONTH(A3845))</f>
        <v/>
      </c>
    </row>
    <row r="3846" customFormat="false" ht="15" hidden="false" customHeight="false" outlineLevel="0" collapsed="false">
      <c r="A3846" s="27"/>
      <c r="E3846" s="28"/>
      <c r="F3846" s="28"/>
      <c r="I3846" s="28" t="str">
        <f aca="false">IF(A3846="","",D3846*E3846)</f>
        <v/>
      </c>
      <c r="J3846" s="28" t="str">
        <f aca="false">IF(A3846="","",D3846*F3846)</f>
        <v/>
      </c>
      <c r="K3846" s="0" t="str">
        <f aca="false">IF(A3846="","",YEAR(A3846))</f>
        <v/>
      </c>
      <c r="L3846" s="0" t="str">
        <f aca="false">IF(A3846="","",MONTH(A3846))</f>
        <v/>
      </c>
    </row>
    <row r="3847" customFormat="false" ht="15" hidden="false" customHeight="false" outlineLevel="0" collapsed="false">
      <c r="A3847" s="27"/>
      <c r="E3847" s="28"/>
      <c r="F3847" s="28"/>
      <c r="I3847" s="28" t="str">
        <f aca="false">IF(A3847="","",D3847*E3847)</f>
        <v/>
      </c>
      <c r="J3847" s="28" t="str">
        <f aca="false">IF(A3847="","",D3847*F3847)</f>
        <v/>
      </c>
      <c r="K3847" s="0" t="str">
        <f aca="false">IF(A3847="","",YEAR(A3847))</f>
        <v/>
      </c>
      <c r="L3847" s="0" t="str">
        <f aca="false">IF(A3847="","",MONTH(A3847))</f>
        <v/>
      </c>
    </row>
    <row r="3848" customFormat="false" ht="15" hidden="false" customHeight="false" outlineLevel="0" collapsed="false">
      <c r="A3848" s="27"/>
      <c r="E3848" s="28"/>
      <c r="F3848" s="28"/>
      <c r="I3848" s="28" t="str">
        <f aca="false">IF(A3848="","",D3848*E3848)</f>
        <v/>
      </c>
      <c r="J3848" s="28" t="str">
        <f aca="false">IF(A3848="","",D3848*F3848)</f>
        <v/>
      </c>
      <c r="K3848" s="0" t="str">
        <f aca="false">IF(A3848="","",YEAR(A3848))</f>
        <v/>
      </c>
      <c r="L3848" s="0" t="str">
        <f aca="false">IF(A3848="","",MONTH(A3848))</f>
        <v/>
      </c>
    </row>
    <row r="3849" customFormat="false" ht="15" hidden="false" customHeight="false" outlineLevel="0" collapsed="false">
      <c r="A3849" s="27"/>
      <c r="E3849" s="28"/>
      <c r="F3849" s="28"/>
      <c r="I3849" s="28" t="str">
        <f aca="false">IF(A3849="","",D3849*E3849)</f>
        <v/>
      </c>
      <c r="J3849" s="28" t="str">
        <f aca="false">IF(A3849="","",D3849*F3849)</f>
        <v/>
      </c>
      <c r="K3849" s="0" t="str">
        <f aca="false">IF(A3849="","",YEAR(A3849))</f>
        <v/>
      </c>
      <c r="L3849" s="0" t="str">
        <f aca="false">IF(A3849="","",MONTH(A3849))</f>
        <v/>
      </c>
    </row>
    <row r="3850" customFormat="false" ht="15" hidden="false" customHeight="false" outlineLevel="0" collapsed="false">
      <c r="A3850" s="27"/>
      <c r="E3850" s="28"/>
      <c r="F3850" s="28"/>
      <c r="I3850" s="28" t="str">
        <f aca="false">IF(A3850="","",D3850*E3850)</f>
        <v/>
      </c>
      <c r="J3850" s="28" t="str">
        <f aca="false">IF(A3850="","",D3850*F3850)</f>
        <v/>
      </c>
      <c r="K3850" s="0" t="str">
        <f aca="false">IF(A3850="","",YEAR(A3850))</f>
        <v/>
      </c>
      <c r="L3850" s="0" t="str">
        <f aca="false">IF(A3850="","",MONTH(A3850))</f>
        <v/>
      </c>
    </row>
    <row r="3851" customFormat="false" ht="15" hidden="false" customHeight="false" outlineLevel="0" collapsed="false">
      <c r="A3851" s="27"/>
      <c r="E3851" s="28"/>
      <c r="F3851" s="28"/>
      <c r="I3851" s="28" t="str">
        <f aca="false">IF(A3851="","",D3851*E3851)</f>
        <v/>
      </c>
      <c r="J3851" s="28" t="str">
        <f aca="false">IF(A3851="","",D3851*F3851)</f>
        <v/>
      </c>
      <c r="K3851" s="0" t="str">
        <f aca="false">IF(A3851="","",YEAR(A3851))</f>
        <v/>
      </c>
      <c r="L3851" s="0" t="str">
        <f aca="false">IF(A3851="","",MONTH(A3851))</f>
        <v/>
      </c>
    </row>
    <row r="3852" customFormat="false" ht="15" hidden="false" customHeight="false" outlineLevel="0" collapsed="false">
      <c r="A3852" s="27"/>
      <c r="E3852" s="28"/>
      <c r="F3852" s="28"/>
      <c r="I3852" s="28" t="str">
        <f aca="false">IF(A3852="","",D3852*E3852)</f>
        <v/>
      </c>
      <c r="J3852" s="28" t="str">
        <f aca="false">IF(A3852="","",D3852*F3852)</f>
        <v/>
      </c>
      <c r="K3852" s="0" t="str">
        <f aca="false">IF(A3852="","",YEAR(A3852))</f>
        <v/>
      </c>
      <c r="L3852" s="0" t="str">
        <f aca="false">IF(A3852="","",MONTH(A3852))</f>
        <v/>
      </c>
    </row>
    <row r="3853" customFormat="false" ht="15" hidden="false" customHeight="false" outlineLevel="0" collapsed="false">
      <c r="A3853" s="27"/>
      <c r="E3853" s="28"/>
      <c r="F3853" s="28"/>
      <c r="I3853" s="28" t="str">
        <f aca="false">IF(A3853="","",D3853*E3853)</f>
        <v/>
      </c>
      <c r="J3853" s="28" t="str">
        <f aca="false">IF(A3853="","",D3853*F3853)</f>
        <v/>
      </c>
      <c r="K3853" s="0" t="str">
        <f aca="false">IF(A3853="","",YEAR(A3853))</f>
        <v/>
      </c>
      <c r="L3853" s="0" t="str">
        <f aca="false">IF(A3853="","",MONTH(A3853))</f>
        <v/>
      </c>
    </row>
    <row r="3854" customFormat="false" ht="15" hidden="false" customHeight="false" outlineLevel="0" collapsed="false">
      <c r="A3854" s="27"/>
      <c r="E3854" s="28"/>
      <c r="F3854" s="28"/>
      <c r="I3854" s="28" t="str">
        <f aca="false">IF(A3854="","",D3854*E3854)</f>
        <v/>
      </c>
      <c r="J3854" s="28" t="str">
        <f aca="false">IF(A3854="","",D3854*F3854)</f>
        <v/>
      </c>
      <c r="K3854" s="0" t="str">
        <f aca="false">IF(A3854="","",YEAR(A3854))</f>
        <v/>
      </c>
      <c r="L3854" s="0" t="str">
        <f aca="false">IF(A3854="","",MONTH(A3854))</f>
        <v/>
      </c>
    </row>
    <row r="3855" customFormat="false" ht="15" hidden="false" customHeight="false" outlineLevel="0" collapsed="false">
      <c r="A3855" s="27"/>
      <c r="E3855" s="28"/>
      <c r="F3855" s="28"/>
      <c r="I3855" s="28" t="str">
        <f aca="false">IF(A3855="","",D3855*E3855)</f>
        <v/>
      </c>
      <c r="J3855" s="28" t="str">
        <f aca="false">IF(A3855="","",D3855*F3855)</f>
        <v/>
      </c>
      <c r="K3855" s="0" t="str">
        <f aca="false">IF(A3855="","",YEAR(A3855))</f>
        <v/>
      </c>
      <c r="L3855" s="0" t="str">
        <f aca="false">IF(A3855="","",MONTH(A3855))</f>
        <v/>
      </c>
    </row>
    <row r="3856" customFormat="false" ht="15" hidden="false" customHeight="false" outlineLevel="0" collapsed="false">
      <c r="A3856" s="27"/>
      <c r="E3856" s="28"/>
      <c r="F3856" s="28"/>
      <c r="I3856" s="28" t="str">
        <f aca="false">IF(A3856="","",D3856*E3856)</f>
        <v/>
      </c>
      <c r="J3856" s="28" t="str">
        <f aca="false">IF(A3856="","",D3856*F3856)</f>
        <v/>
      </c>
      <c r="K3856" s="0" t="str">
        <f aca="false">IF(A3856="","",YEAR(A3856))</f>
        <v/>
      </c>
      <c r="L3856" s="0" t="str">
        <f aca="false">IF(A3856="","",MONTH(A3856))</f>
        <v/>
      </c>
    </row>
    <row r="3857" customFormat="false" ht="15" hidden="false" customHeight="false" outlineLevel="0" collapsed="false">
      <c r="A3857" s="27"/>
      <c r="E3857" s="28"/>
      <c r="F3857" s="28"/>
      <c r="I3857" s="28" t="str">
        <f aca="false">IF(A3857="","",D3857*E3857)</f>
        <v/>
      </c>
      <c r="J3857" s="28" t="str">
        <f aca="false">IF(A3857="","",D3857*F3857)</f>
        <v/>
      </c>
      <c r="K3857" s="0" t="str">
        <f aca="false">IF(A3857="","",YEAR(A3857))</f>
        <v/>
      </c>
      <c r="L3857" s="0" t="str">
        <f aca="false">IF(A3857="","",MONTH(A3857))</f>
        <v/>
      </c>
    </row>
    <row r="3858" customFormat="false" ht="15" hidden="false" customHeight="false" outlineLevel="0" collapsed="false">
      <c r="A3858" s="27"/>
      <c r="E3858" s="28"/>
      <c r="F3858" s="28"/>
      <c r="I3858" s="28" t="str">
        <f aca="false">IF(A3858="","",D3858*E3858)</f>
        <v/>
      </c>
      <c r="J3858" s="28" t="str">
        <f aca="false">IF(A3858="","",D3858*F3858)</f>
        <v/>
      </c>
      <c r="K3858" s="0" t="str">
        <f aca="false">IF(A3858="","",YEAR(A3858))</f>
        <v/>
      </c>
      <c r="L3858" s="0" t="str">
        <f aca="false">IF(A3858="","",MONTH(A3858))</f>
        <v/>
      </c>
    </row>
    <row r="3859" customFormat="false" ht="15" hidden="false" customHeight="false" outlineLevel="0" collapsed="false">
      <c r="A3859" s="27"/>
      <c r="E3859" s="28"/>
      <c r="F3859" s="28"/>
      <c r="I3859" s="28" t="str">
        <f aca="false">IF(A3859="","",D3859*E3859)</f>
        <v/>
      </c>
      <c r="J3859" s="28" t="str">
        <f aca="false">IF(A3859="","",D3859*F3859)</f>
        <v/>
      </c>
      <c r="K3859" s="0" t="str">
        <f aca="false">IF(A3859="","",YEAR(A3859))</f>
        <v/>
      </c>
      <c r="L3859" s="0" t="str">
        <f aca="false">IF(A3859="","",MONTH(A3859))</f>
        <v/>
      </c>
    </row>
    <row r="3860" customFormat="false" ht="15" hidden="false" customHeight="false" outlineLevel="0" collapsed="false">
      <c r="A3860" s="27"/>
      <c r="E3860" s="28"/>
      <c r="F3860" s="28"/>
      <c r="I3860" s="28" t="str">
        <f aca="false">IF(A3860="","",D3860*E3860)</f>
        <v/>
      </c>
      <c r="J3860" s="28" t="str">
        <f aca="false">IF(A3860="","",D3860*F3860)</f>
        <v/>
      </c>
      <c r="K3860" s="0" t="str">
        <f aca="false">IF(A3860="","",YEAR(A3860))</f>
        <v/>
      </c>
      <c r="L3860" s="0" t="str">
        <f aca="false">IF(A3860="","",MONTH(A3860))</f>
        <v/>
      </c>
    </row>
    <row r="3861" customFormat="false" ht="15" hidden="false" customHeight="false" outlineLevel="0" collapsed="false">
      <c r="A3861" s="27"/>
      <c r="E3861" s="28"/>
      <c r="F3861" s="28"/>
      <c r="I3861" s="28" t="str">
        <f aca="false">IF(A3861="","",D3861*E3861)</f>
        <v/>
      </c>
      <c r="J3861" s="28" t="str">
        <f aca="false">IF(A3861="","",D3861*F3861)</f>
        <v/>
      </c>
      <c r="K3861" s="0" t="str">
        <f aca="false">IF(A3861="","",YEAR(A3861))</f>
        <v/>
      </c>
      <c r="L3861" s="0" t="str">
        <f aca="false">IF(A3861="","",MONTH(A3861))</f>
        <v/>
      </c>
    </row>
    <row r="3862" customFormat="false" ht="15" hidden="false" customHeight="false" outlineLevel="0" collapsed="false">
      <c r="A3862" s="27"/>
      <c r="E3862" s="28"/>
      <c r="F3862" s="28"/>
      <c r="I3862" s="28" t="str">
        <f aca="false">IF(A3862="","",D3862*E3862)</f>
        <v/>
      </c>
      <c r="J3862" s="28" t="str">
        <f aca="false">IF(A3862="","",D3862*F3862)</f>
        <v/>
      </c>
      <c r="K3862" s="0" t="str">
        <f aca="false">IF(A3862="","",YEAR(A3862))</f>
        <v/>
      </c>
      <c r="L3862" s="0" t="str">
        <f aca="false">IF(A3862="","",MONTH(A3862))</f>
        <v/>
      </c>
    </row>
    <row r="3863" customFormat="false" ht="15" hidden="false" customHeight="false" outlineLevel="0" collapsed="false">
      <c r="A3863" s="27"/>
      <c r="E3863" s="28"/>
      <c r="F3863" s="28"/>
      <c r="I3863" s="28" t="str">
        <f aca="false">IF(A3863="","",D3863*E3863)</f>
        <v/>
      </c>
      <c r="J3863" s="28" t="str">
        <f aca="false">IF(A3863="","",D3863*F3863)</f>
        <v/>
      </c>
      <c r="K3863" s="0" t="str">
        <f aca="false">IF(A3863="","",YEAR(A3863))</f>
        <v/>
      </c>
      <c r="L3863" s="0" t="str">
        <f aca="false">IF(A3863="","",MONTH(A3863))</f>
        <v/>
      </c>
    </row>
    <row r="3864" customFormat="false" ht="15" hidden="false" customHeight="false" outlineLevel="0" collapsed="false">
      <c r="A3864" s="27"/>
      <c r="E3864" s="28"/>
      <c r="F3864" s="28"/>
      <c r="I3864" s="28" t="str">
        <f aca="false">IF(A3864="","",D3864*E3864)</f>
        <v/>
      </c>
      <c r="J3864" s="28" t="str">
        <f aca="false">IF(A3864="","",D3864*F3864)</f>
        <v/>
      </c>
      <c r="K3864" s="0" t="str">
        <f aca="false">IF(A3864="","",YEAR(A3864))</f>
        <v/>
      </c>
      <c r="L3864" s="0" t="str">
        <f aca="false">IF(A3864="","",MONTH(A3864))</f>
        <v/>
      </c>
    </row>
    <row r="3865" customFormat="false" ht="15" hidden="false" customHeight="false" outlineLevel="0" collapsed="false">
      <c r="A3865" s="27"/>
      <c r="E3865" s="28"/>
      <c r="F3865" s="28"/>
      <c r="I3865" s="28" t="str">
        <f aca="false">IF(A3865="","",D3865*E3865)</f>
        <v/>
      </c>
      <c r="J3865" s="28" t="str">
        <f aca="false">IF(A3865="","",D3865*F3865)</f>
        <v/>
      </c>
      <c r="K3865" s="0" t="str">
        <f aca="false">IF(A3865="","",YEAR(A3865))</f>
        <v/>
      </c>
      <c r="L3865" s="0" t="str">
        <f aca="false">IF(A3865="","",MONTH(A3865))</f>
        <v/>
      </c>
    </row>
    <row r="3866" customFormat="false" ht="15" hidden="false" customHeight="false" outlineLevel="0" collapsed="false">
      <c r="A3866" s="27"/>
      <c r="E3866" s="28"/>
      <c r="F3866" s="28"/>
      <c r="I3866" s="28" t="str">
        <f aca="false">IF(A3866="","",D3866*E3866)</f>
        <v/>
      </c>
      <c r="J3866" s="28" t="str">
        <f aca="false">IF(A3866="","",D3866*F3866)</f>
        <v/>
      </c>
      <c r="K3866" s="0" t="str">
        <f aca="false">IF(A3866="","",YEAR(A3866))</f>
        <v/>
      </c>
      <c r="L3866" s="0" t="str">
        <f aca="false">IF(A3866="","",MONTH(A3866))</f>
        <v/>
      </c>
    </row>
    <row r="3867" customFormat="false" ht="15" hidden="false" customHeight="false" outlineLevel="0" collapsed="false">
      <c r="A3867" s="27"/>
      <c r="E3867" s="28"/>
      <c r="F3867" s="28"/>
      <c r="I3867" s="28" t="str">
        <f aca="false">IF(A3867="","",D3867*E3867)</f>
        <v/>
      </c>
      <c r="J3867" s="28" t="str">
        <f aca="false">IF(A3867="","",D3867*F3867)</f>
        <v/>
      </c>
      <c r="K3867" s="0" t="str">
        <f aca="false">IF(A3867="","",YEAR(A3867))</f>
        <v/>
      </c>
      <c r="L3867" s="0" t="str">
        <f aca="false">IF(A3867="","",MONTH(A3867))</f>
        <v/>
      </c>
    </row>
    <row r="3868" customFormat="false" ht="15" hidden="false" customHeight="false" outlineLevel="0" collapsed="false">
      <c r="A3868" s="27"/>
      <c r="E3868" s="28"/>
      <c r="F3868" s="28"/>
      <c r="I3868" s="28" t="str">
        <f aca="false">IF(A3868="","",D3868*E3868)</f>
        <v/>
      </c>
      <c r="J3868" s="28" t="str">
        <f aca="false">IF(A3868="","",D3868*F3868)</f>
        <v/>
      </c>
      <c r="K3868" s="0" t="str">
        <f aca="false">IF(A3868="","",YEAR(A3868))</f>
        <v/>
      </c>
      <c r="L3868" s="0" t="str">
        <f aca="false">IF(A3868="","",MONTH(A3868))</f>
        <v/>
      </c>
    </row>
    <row r="3869" customFormat="false" ht="15" hidden="false" customHeight="false" outlineLevel="0" collapsed="false">
      <c r="A3869" s="27"/>
      <c r="E3869" s="28"/>
      <c r="F3869" s="28"/>
      <c r="I3869" s="28" t="str">
        <f aca="false">IF(A3869="","",D3869*E3869)</f>
        <v/>
      </c>
      <c r="J3869" s="28" t="str">
        <f aca="false">IF(A3869="","",D3869*F3869)</f>
        <v/>
      </c>
      <c r="K3869" s="0" t="str">
        <f aca="false">IF(A3869="","",YEAR(A3869))</f>
        <v/>
      </c>
      <c r="L3869" s="0" t="str">
        <f aca="false">IF(A3869="","",MONTH(A3869))</f>
        <v/>
      </c>
    </row>
    <row r="3870" customFormat="false" ht="15" hidden="false" customHeight="false" outlineLevel="0" collapsed="false">
      <c r="A3870" s="27"/>
      <c r="E3870" s="28"/>
      <c r="F3870" s="28"/>
      <c r="I3870" s="28" t="str">
        <f aca="false">IF(A3870="","",D3870*E3870)</f>
        <v/>
      </c>
      <c r="J3870" s="28" t="str">
        <f aca="false">IF(A3870="","",D3870*F3870)</f>
        <v/>
      </c>
      <c r="K3870" s="0" t="str">
        <f aca="false">IF(A3870="","",YEAR(A3870))</f>
        <v/>
      </c>
      <c r="L3870" s="0" t="str">
        <f aca="false">IF(A3870="","",MONTH(A3870))</f>
        <v/>
      </c>
    </row>
    <row r="3871" customFormat="false" ht="15" hidden="false" customHeight="false" outlineLevel="0" collapsed="false">
      <c r="A3871" s="27"/>
      <c r="E3871" s="28"/>
      <c r="F3871" s="28"/>
      <c r="I3871" s="28" t="str">
        <f aca="false">IF(A3871="","",D3871*E3871)</f>
        <v/>
      </c>
      <c r="J3871" s="28" t="str">
        <f aca="false">IF(A3871="","",D3871*F3871)</f>
        <v/>
      </c>
      <c r="K3871" s="0" t="str">
        <f aca="false">IF(A3871="","",YEAR(A3871))</f>
        <v/>
      </c>
      <c r="L3871" s="0" t="str">
        <f aca="false">IF(A3871="","",MONTH(A3871))</f>
        <v/>
      </c>
    </row>
    <row r="3872" customFormat="false" ht="15" hidden="false" customHeight="false" outlineLevel="0" collapsed="false">
      <c r="A3872" s="27"/>
      <c r="E3872" s="28"/>
      <c r="F3872" s="28"/>
      <c r="I3872" s="28" t="str">
        <f aca="false">IF(A3872="","",D3872*E3872)</f>
        <v/>
      </c>
      <c r="J3872" s="28" t="str">
        <f aca="false">IF(A3872="","",D3872*F3872)</f>
        <v/>
      </c>
      <c r="K3872" s="0" t="str">
        <f aca="false">IF(A3872="","",YEAR(A3872))</f>
        <v/>
      </c>
      <c r="L3872" s="0" t="str">
        <f aca="false">IF(A3872="","",MONTH(A3872))</f>
        <v/>
      </c>
    </row>
    <row r="3873" customFormat="false" ht="15" hidden="false" customHeight="false" outlineLevel="0" collapsed="false">
      <c r="A3873" s="27"/>
      <c r="E3873" s="28"/>
      <c r="F3873" s="28"/>
      <c r="I3873" s="28" t="str">
        <f aca="false">IF(A3873="","",D3873*E3873)</f>
        <v/>
      </c>
      <c r="J3873" s="28" t="str">
        <f aca="false">IF(A3873="","",D3873*F3873)</f>
        <v/>
      </c>
      <c r="K3873" s="0" t="str">
        <f aca="false">IF(A3873="","",YEAR(A3873))</f>
        <v/>
      </c>
      <c r="L3873" s="0" t="str">
        <f aca="false">IF(A3873="","",MONTH(A3873))</f>
        <v/>
      </c>
    </row>
    <row r="3874" customFormat="false" ht="15" hidden="false" customHeight="false" outlineLevel="0" collapsed="false">
      <c r="A3874" s="27"/>
      <c r="E3874" s="28"/>
      <c r="F3874" s="28"/>
      <c r="I3874" s="28" t="str">
        <f aca="false">IF(A3874="","",D3874*E3874)</f>
        <v/>
      </c>
      <c r="J3874" s="28" t="str">
        <f aca="false">IF(A3874="","",D3874*F3874)</f>
        <v/>
      </c>
      <c r="K3874" s="0" t="str">
        <f aca="false">IF(A3874="","",YEAR(A3874))</f>
        <v/>
      </c>
      <c r="L3874" s="0" t="str">
        <f aca="false">IF(A3874="","",MONTH(A3874))</f>
        <v/>
      </c>
    </row>
    <row r="3875" customFormat="false" ht="15" hidden="false" customHeight="false" outlineLevel="0" collapsed="false">
      <c r="A3875" s="27"/>
      <c r="E3875" s="28"/>
      <c r="F3875" s="28"/>
      <c r="I3875" s="28" t="str">
        <f aca="false">IF(A3875="","",D3875*E3875)</f>
        <v/>
      </c>
      <c r="J3875" s="28" t="str">
        <f aca="false">IF(A3875="","",D3875*F3875)</f>
        <v/>
      </c>
      <c r="K3875" s="0" t="str">
        <f aca="false">IF(A3875="","",YEAR(A3875))</f>
        <v/>
      </c>
      <c r="L3875" s="0" t="str">
        <f aca="false">IF(A3875="","",MONTH(A3875))</f>
        <v/>
      </c>
    </row>
    <row r="3876" customFormat="false" ht="15" hidden="false" customHeight="false" outlineLevel="0" collapsed="false">
      <c r="A3876" s="27"/>
      <c r="E3876" s="28"/>
      <c r="F3876" s="28"/>
      <c r="I3876" s="28" t="str">
        <f aca="false">IF(A3876="","",D3876*E3876)</f>
        <v/>
      </c>
      <c r="J3876" s="28" t="str">
        <f aca="false">IF(A3876="","",D3876*F3876)</f>
        <v/>
      </c>
      <c r="K3876" s="0" t="str">
        <f aca="false">IF(A3876="","",YEAR(A3876))</f>
        <v/>
      </c>
      <c r="L3876" s="0" t="str">
        <f aca="false">IF(A3876="","",MONTH(A3876))</f>
        <v/>
      </c>
    </row>
    <row r="3877" customFormat="false" ht="15" hidden="false" customHeight="false" outlineLevel="0" collapsed="false">
      <c r="A3877" s="27"/>
      <c r="E3877" s="28"/>
      <c r="F3877" s="28"/>
      <c r="I3877" s="28" t="str">
        <f aca="false">IF(A3877="","",D3877*E3877)</f>
        <v/>
      </c>
      <c r="J3877" s="28" t="str">
        <f aca="false">IF(A3877="","",D3877*F3877)</f>
        <v/>
      </c>
      <c r="K3877" s="0" t="str">
        <f aca="false">IF(A3877="","",YEAR(A3877))</f>
        <v/>
      </c>
      <c r="L3877" s="0" t="str">
        <f aca="false">IF(A3877="","",MONTH(A3877))</f>
        <v/>
      </c>
    </row>
    <row r="3878" customFormat="false" ht="15" hidden="false" customHeight="false" outlineLevel="0" collapsed="false">
      <c r="A3878" s="27"/>
      <c r="E3878" s="28"/>
      <c r="F3878" s="28"/>
      <c r="I3878" s="28" t="str">
        <f aca="false">IF(A3878="","",D3878*E3878)</f>
        <v/>
      </c>
      <c r="J3878" s="28" t="str">
        <f aca="false">IF(A3878="","",D3878*F3878)</f>
        <v/>
      </c>
      <c r="K3878" s="0" t="str">
        <f aca="false">IF(A3878="","",YEAR(A3878))</f>
        <v/>
      </c>
      <c r="L3878" s="0" t="str">
        <f aca="false">IF(A3878="","",MONTH(A3878))</f>
        <v/>
      </c>
    </row>
    <row r="3879" customFormat="false" ht="15" hidden="false" customHeight="false" outlineLevel="0" collapsed="false">
      <c r="A3879" s="27"/>
      <c r="E3879" s="28"/>
      <c r="F3879" s="28"/>
      <c r="I3879" s="28" t="str">
        <f aca="false">IF(A3879="","",D3879*E3879)</f>
        <v/>
      </c>
      <c r="J3879" s="28" t="str">
        <f aca="false">IF(A3879="","",D3879*F3879)</f>
        <v/>
      </c>
      <c r="K3879" s="0" t="str">
        <f aca="false">IF(A3879="","",YEAR(A3879))</f>
        <v/>
      </c>
      <c r="L3879" s="0" t="str">
        <f aca="false">IF(A3879="","",MONTH(A3879))</f>
        <v/>
      </c>
    </row>
    <row r="3880" customFormat="false" ht="15" hidden="false" customHeight="false" outlineLevel="0" collapsed="false">
      <c r="A3880" s="27"/>
      <c r="E3880" s="28"/>
      <c r="F3880" s="28"/>
      <c r="I3880" s="28" t="str">
        <f aca="false">IF(A3880="","",D3880*E3880)</f>
        <v/>
      </c>
      <c r="J3880" s="28" t="str">
        <f aca="false">IF(A3880="","",D3880*F3880)</f>
        <v/>
      </c>
      <c r="K3880" s="0" t="str">
        <f aca="false">IF(A3880="","",YEAR(A3880))</f>
        <v/>
      </c>
      <c r="L3880" s="0" t="str">
        <f aca="false">IF(A3880="","",MONTH(A3880))</f>
        <v/>
      </c>
    </row>
    <row r="3881" customFormat="false" ht="15" hidden="false" customHeight="false" outlineLevel="0" collapsed="false">
      <c r="A3881" s="27"/>
      <c r="E3881" s="28"/>
      <c r="F3881" s="28"/>
      <c r="I3881" s="28" t="str">
        <f aca="false">IF(A3881="","",D3881*E3881)</f>
        <v/>
      </c>
      <c r="J3881" s="28" t="str">
        <f aca="false">IF(A3881="","",D3881*F3881)</f>
        <v/>
      </c>
      <c r="K3881" s="0" t="str">
        <f aca="false">IF(A3881="","",YEAR(A3881))</f>
        <v/>
      </c>
      <c r="L3881" s="0" t="str">
        <f aca="false">IF(A3881="","",MONTH(A3881))</f>
        <v/>
      </c>
    </row>
    <row r="3882" customFormat="false" ht="15" hidden="false" customHeight="false" outlineLevel="0" collapsed="false">
      <c r="A3882" s="27"/>
      <c r="E3882" s="28"/>
      <c r="F3882" s="28"/>
      <c r="I3882" s="28" t="str">
        <f aca="false">IF(A3882="","",D3882*E3882)</f>
        <v/>
      </c>
      <c r="J3882" s="28" t="str">
        <f aca="false">IF(A3882="","",D3882*F3882)</f>
        <v/>
      </c>
      <c r="K3882" s="0" t="str">
        <f aca="false">IF(A3882="","",YEAR(A3882))</f>
        <v/>
      </c>
      <c r="L3882" s="0" t="str">
        <f aca="false">IF(A3882="","",MONTH(A3882))</f>
        <v/>
      </c>
    </row>
    <row r="3883" customFormat="false" ht="15" hidden="false" customHeight="false" outlineLevel="0" collapsed="false">
      <c r="A3883" s="27"/>
      <c r="E3883" s="28"/>
      <c r="F3883" s="28"/>
      <c r="I3883" s="28" t="str">
        <f aca="false">IF(A3883="","",D3883*E3883)</f>
        <v/>
      </c>
      <c r="J3883" s="28" t="str">
        <f aca="false">IF(A3883="","",D3883*F3883)</f>
        <v/>
      </c>
      <c r="K3883" s="0" t="str">
        <f aca="false">IF(A3883="","",YEAR(A3883))</f>
        <v/>
      </c>
      <c r="L3883" s="0" t="str">
        <f aca="false">IF(A3883="","",MONTH(A3883))</f>
        <v/>
      </c>
    </row>
    <row r="3884" customFormat="false" ht="15" hidden="false" customHeight="false" outlineLevel="0" collapsed="false">
      <c r="A3884" s="27"/>
      <c r="E3884" s="28"/>
      <c r="F3884" s="28"/>
      <c r="I3884" s="28" t="str">
        <f aca="false">IF(A3884="","",D3884*E3884)</f>
        <v/>
      </c>
      <c r="J3884" s="28" t="str">
        <f aca="false">IF(A3884="","",D3884*F3884)</f>
        <v/>
      </c>
      <c r="K3884" s="0" t="str">
        <f aca="false">IF(A3884="","",YEAR(A3884))</f>
        <v/>
      </c>
      <c r="L3884" s="0" t="str">
        <f aca="false">IF(A3884="","",MONTH(A3884))</f>
        <v/>
      </c>
    </row>
    <row r="3885" customFormat="false" ht="15" hidden="false" customHeight="false" outlineLevel="0" collapsed="false">
      <c r="A3885" s="27"/>
      <c r="E3885" s="28"/>
      <c r="F3885" s="28"/>
      <c r="I3885" s="28" t="str">
        <f aca="false">IF(A3885="","",D3885*E3885)</f>
        <v/>
      </c>
      <c r="J3885" s="28" t="str">
        <f aca="false">IF(A3885="","",D3885*F3885)</f>
        <v/>
      </c>
      <c r="K3885" s="0" t="str">
        <f aca="false">IF(A3885="","",YEAR(A3885))</f>
        <v/>
      </c>
      <c r="L3885" s="0" t="str">
        <f aca="false">IF(A3885="","",MONTH(A3885))</f>
        <v/>
      </c>
    </row>
    <row r="3886" customFormat="false" ht="15" hidden="false" customHeight="false" outlineLevel="0" collapsed="false">
      <c r="A3886" s="27"/>
      <c r="E3886" s="28"/>
      <c r="F3886" s="28"/>
      <c r="I3886" s="28" t="str">
        <f aca="false">IF(A3886="","",D3886*E3886)</f>
        <v/>
      </c>
      <c r="J3886" s="28" t="str">
        <f aca="false">IF(A3886="","",D3886*F3886)</f>
        <v/>
      </c>
      <c r="K3886" s="0" t="str">
        <f aca="false">IF(A3886="","",YEAR(A3886))</f>
        <v/>
      </c>
      <c r="L3886" s="0" t="str">
        <f aca="false">IF(A3886="","",MONTH(A3886))</f>
        <v/>
      </c>
    </row>
    <row r="3887" customFormat="false" ht="15" hidden="false" customHeight="false" outlineLevel="0" collapsed="false">
      <c r="A3887" s="27"/>
      <c r="E3887" s="28"/>
      <c r="F3887" s="28"/>
      <c r="I3887" s="28" t="str">
        <f aca="false">IF(A3887="","",D3887*E3887)</f>
        <v/>
      </c>
      <c r="J3887" s="28" t="str">
        <f aca="false">IF(A3887="","",D3887*F3887)</f>
        <v/>
      </c>
      <c r="K3887" s="0" t="str">
        <f aca="false">IF(A3887="","",YEAR(A3887))</f>
        <v/>
      </c>
      <c r="L3887" s="0" t="str">
        <f aca="false">IF(A3887="","",MONTH(A3887))</f>
        <v/>
      </c>
    </row>
    <row r="3888" customFormat="false" ht="15" hidden="false" customHeight="false" outlineLevel="0" collapsed="false">
      <c r="A3888" s="27"/>
      <c r="E3888" s="28"/>
      <c r="F3888" s="28"/>
      <c r="I3888" s="28" t="str">
        <f aca="false">IF(A3888="","",D3888*E3888)</f>
        <v/>
      </c>
      <c r="J3888" s="28" t="str">
        <f aca="false">IF(A3888="","",D3888*F3888)</f>
        <v/>
      </c>
      <c r="K3888" s="0" t="str">
        <f aca="false">IF(A3888="","",YEAR(A3888))</f>
        <v/>
      </c>
      <c r="L3888" s="0" t="str">
        <f aca="false">IF(A3888="","",MONTH(A3888))</f>
        <v/>
      </c>
    </row>
    <row r="3889" customFormat="false" ht="15" hidden="false" customHeight="false" outlineLevel="0" collapsed="false">
      <c r="A3889" s="27"/>
      <c r="E3889" s="28"/>
      <c r="F3889" s="28"/>
      <c r="I3889" s="28" t="str">
        <f aca="false">IF(A3889="","",D3889*E3889)</f>
        <v/>
      </c>
      <c r="J3889" s="28" t="str">
        <f aca="false">IF(A3889="","",D3889*F3889)</f>
        <v/>
      </c>
      <c r="K3889" s="0" t="str">
        <f aca="false">IF(A3889="","",YEAR(A3889))</f>
        <v/>
      </c>
      <c r="L3889" s="0" t="str">
        <f aca="false">IF(A3889="","",MONTH(A3889))</f>
        <v/>
      </c>
    </row>
    <row r="3890" customFormat="false" ht="15" hidden="false" customHeight="false" outlineLevel="0" collapsed="false">
      <c r="A3890" s="27"/>
      <c r="E3890" s="28"/>
      <c r="F3890" s="28"/>
      <c r="I3890" s="28" t="str">
        <f aca="false">IF(A3890="","",D3890*E3890)</f>
        <v/>
      </c>
      <c r="J3890" s="28" t="str">
        <f aca="false">IF(A3890="","",D3890*F3890)</f>
        <v/>
      </c>
      <c r="K3890" s="0" t="str">
        <f aca="false">IF(A3890="","",YEAR(A3890))</f>
        <v/>
      </c>
      <c r="L3890" s="0" t="str">
        <f aca="false">IF(A3890="","",MONTH(A3890))</f>
        <v/>
      </c>
    </row>
    <row r="3891" customFormat="false" ht="15" hidden="false" customHeight="false" outlineLevel="0" collapsed="false">
      <c r="A3891" s="27"/>
      <c r="E3891" s="28"/>
      <c r="F3891" s="28"/>
      <c r="I3891" s="28" t="str">
        <f aca="false">IF(A3891="","",D3891*E3891)</f>
        <v/>
      </c>
      <c r="J3891" s="28" t="str">
        <f aca="false">IF(A3891="","",D3891*F3891)</f>
        <v/>
      </c>
      <c r="K3891" s="0" t="str">
        <f aca="false">IF(A3891="","",YEAR(A3891))</f>
        <v/>
      </c>
      <c r="L3891" s="0" t="str">
        <f aca="false">IF(A3891="","",MONTH(A3891))</f>
        <v/>
      </c>
    </row>
    <row r="3892" customFormat="false" ht="15" hidden="false" customHeight="false" outlineLevel="0" collapsed="false">
      <c r="A3892" s="27"/>
      <c r="E3892" s="28"/>
      <c r="F3892" s="28"/>
      <c r="I3892" s="28" t="str">
        <f aca="false">IF(A3892="","",D3892*E3892)</f>
        <v/>
      </c>
      <c r="J3892" s="28" t="str">
        <f aca="false">IF(A3892="","",D3892*F3892)</f>
        <v/>
      </c>
      <c r="K3892" s="0" t="str">
        <f aca="false">IF(A3892="","",YEAR(A3892))</f>
        <v/>
      </c>
      <c r="L3892" s="0" t="str">
        <f aca="false">IF(A3892="","",MONTH(A3892))</f>
        <v/>
      </c>
    </row>
    <row r="3893" customFormat="false" ht="15" hidden="false" customHeight="false" outlineLevel="0" collapsed="false">
      <c r="A3893" s="27"/>
      <c r="E3893" s="28"/>
      <c r="F3893" s="28"/>
      <c r="I3893" s="28" t="str">
        <f aca="false">IF(A3893="","",D3893*E3893)</f>
        <v/>
      </c>
      <c r="J3893" s="28" t="str">
        <f aca="false">IF(A3893="","",D3893*F3893)</f>
        <v/>
      </c>
      <c r="K3893" s="0" t="str">
        <f aca="false">IF(A3893="","",YEAR(A3893))</f>
        <v/>
      </c>
      <c r="L3893" s="0" t="str">
        <f aca="false">IF(A3893="","",MONTH(A3893))</f>
        <v/>
      </c>
    </row>
    <row r="3894" customFormat="false" ht="15" hidden="false" customHeight="false" outlineLevel="0" collapsed="false">
      <c r="A3894" s="27"/>
      <c r="E3894" s="28"/>
      <c r="F3894" s="28"/>
      <c r="I3894" s="28" t="str">
        <f aca="false">IF(A3894="","",D3894*E3894)</f>
        <v/>
      </c>
      <c r="J3894" s="28" t="str">
        <f aca="false">IF(A3894="","",D3894*F3894)</f>
        <v/>
      </c>
      <c r="K3894" s="0" t="str">
        <f aca="false">IF(A3894="","",YEAR(A3894))</f>
        <v/>
      </c>
      <c r="L3894" s="0" t="str">
        <f aca="false">IF(A3894="","",MONTH(A3894))</f>
        <v/>
      </c>
    </row>
    <row r="3895" customFormat="false" ht="15" hidden="false" customHeight="false" outlineLevel="0" collapsed="false">
      <c r="A3895" s="27"/>
      <c r="E3895" s="28"/>
      <c r="F3895" s="28"/>
      <c r="I3895" s="28" t="str">
        <f aca="false">IF(A3895="","",D3895*E3895)</f>
        <v/>
      </c>
      <c r="J3895" s="28" t="str">
        <f aca="false">IF(A3895="","",D3895*F3895)</f>
        <v/>
      </c>
      <c r="K3895" s="0" t="str">
        <f aca="false">IF(A3895="","",YEAR(A3895))</f>
        <v/>
      </c>
      <c r="L3895" s="0" t="str">
        <f aca="false">IF(A3895="","",MONTH(A3895))</f>
        <v/>
      </c>
    </row>
    <row r="3896" customFormat="false" ht="15" hidden="false" customHeight="false" outlineLevel="0" collapsed="false">
      <c r="A3896" s="27"/>
      <c r="E3896" s="28"/>
      <c r="F3896" s="28"/>
      <c r="I3896" s="28" t="str">
        <f aca="false">IF(A3896="","",D3896*E3896)</f>
        <v/>
      </c>
      <c r="J3896" s="28" t="str">
        <f aca="false">IF(A3896="","",D3896*F3896)</f>
        <v/>
      </c>
      <c r="K3896" s="0" t="str">
        <f aca="false">IF(A3896="","",YEAR(A3896))</f>
        <v/>
      </c>
      <c r="L3896" s="0" t="str">
        <f aca="false">IF(A3896="","",MONTH(A3896))</f>
        <v/>
      </c>
    </row>
    <row r="3897" customFormat="false" ht="15" hidden="false" customHeight="false" outlineLevel="0" collapsed="false">
      <c r="A3897" s="27"/>
      <c r="E3897" s="28"/>
      <c r="F3897" s="28"/>
      <c r="I3897" s="28" t="str">
        <f aca="false">IF(A3897="","",D3897*E3897)</f>
        <v/>
      </c>
      <c r="J3897" s="28" t="str">
        <f aca="false">IF(A3897="","",D3897*F3897)</f>
        <v/>
      </c>
      <c r="K3897" s="0" t="str">
        <f aca="false">IF(A3897="","",YEAR(A3897))</f>
        <v/>
      </c>
      <c r="L3897" s="0" t="str">
        <f aca="false">IF(A3897="","",MONTH(A3897))</f>
        <v/>
      </c>
    </row>
    <row r="3898" customFormat="false" ht="15" hidden="false" customHeight="false" outlineLevel="0" collapsed="false">
      <c r="A3898" s="27"/>
      <c r="E3898" s="28"/>
      <c r="F3898" s="28"/>
      <c r="I3898" s="28" t="str">
        <f aca="false">IF(A3898="","",D3898*E3898)</f>
        <v/>
      </c>
      <c r="J3898" s="28" t="str">
        <f aca="false">IF(A3898="","",D3898*F3898)</f>
        <v/>
      </c>
      <c r="K3898" s="0" t="str">
        <f aca="false">IF(A3898="","",YEAR(A3898))</f>
        <v/>
      </c>
      <c r="L3898" s="0" t="str">
        <f aca="false">IF(A3898="","",MONTH(A3898))</f>
        <v/>
      </c>
    </row>
    <row r="3899" customFormat="false" ht="15" hidden="false" customHeight="false" outlineLevel="0" collapsed="false">
      <c r="A3899" s="27"/>
      <c r="E3899" s="28"/>
      <c r="F3899" s="28"/>
      <c r="I3899" s="28" t="str">
        <f aca="false">IF(A3899="","",D3899*E3899)</f>
        <v/>
      </c>
      <c r="J3899" s="28" t="str">
        <f aca="false">IF(A3899="","",D3899*F3899)</f>
        <v/>
      </c>
      <c r="K3899" s="0" t="str">
        <f aca="false">IF(A3899="","",YEAR(A3899))</f>
        <v/>
      </c>
      <c r="L3899" s="0" t="str">
        <f aca="false">IF(A3899="","",MONTH(A3899))</f>
        <v/>
      </c>
    </row>
    <row r="3900" customFormat="false" ht="15" hidden="false" customHeight="false" outlineLevel="0" collapsed="false">
      <c r="A3900" s="27"/>
      <c r="E3900" s="28"/>
      <c r="F3900" s="28"/>
      <c r="I3900" s="28" t="str">
        <f aca="false">IF(A3900="","",D3900*E3900)</f>
        <v/>
      </c>
      <c r="J3900" s="28" t="str">
        <f aca="false">IF(A3900="","",D3900*F3900)</f>
        <v/>
      </c>
      <c r="K3900" s="0" t="str">
        <f aca="false">IF(A3900="","",YEAR(A3900))</f>
        <v/>
      </c>
      <c r="L3900" s="0" t="str">
        <f aca="false">IF(A3900="","",MONTH(A3900))</f>
        <v/>
      </c>
    </row>
    <row r="3901" customFormat="false" ht="15" hidden="false" customHeight="false" outlineLevel="0" collapsed="false">
      <c r="A3901" s="27"/>
      <c r="E3901" s="28"/>
      <c r="F3901" s="28"/>
      <c r="I3901" s="28" t="str">
        <f aca="false">IF(A3901="","",D3901*E3901)</f>
        <v/>
      </c>
      <c r="J3901" s="28" t="str">
        <f aca="false">IF(A3901="","",D3901*F3901)</f>
        <v/>
      </c>
      <c r="K3901" s="0" t="str">
        <f aca="false">IF(A3901="","",YEAR(A3901))</f>
        <v/>
      </c>
      <c r="L3901" s="0" t="str">
        <f aca="false">IF(A3901="","",MONTH(A3901))</f>
        <v/>
      </c>
    </row>
    <row r="3902" customFormat="false" ht="15" hidden="false" customHeight="false" outlineLevel="0" collapsed="false">
      <c r="A3902" s="27"/>
      <c r="E3902" s="28"/>
      <c r="F3902" s="28"/>
      <c r="I3902" s="28" t="str">
        <f aca="false">IF(A3902="","",D3902*E3902)</f>
        <v/>
      </c>
      <c r="J3902" s="28" t="str">
        <f aca="false">IF(A3902="","",D3902*F3902)</f>
        <v/>
      </c>
      <c r="K3902" s="0" t="str">
        <f aca="false">IF(A3902="","",YEAR(A3902))</f>
        <v/>
      </c>
      <c r="L3902" s="0" t="str">
        <f aca="false">IF(A3902="","",MONTH(A3902))</f>
        <v/>
      </c>
    </row>
    <row r="3903" customFormat="false" ht="15" hidden="false" customHeight="false" outlineLevel="0" collapsed="false">
      <c r="A3903" s="27"/>
      <c r="E3903" s="28"/>
      <c r="F3903" s="28"/>
      <c r="I3903" s="28" t="str">
        <f aca="false">IF(A3903="","",D3903*E3903)</f>
        <v/>
      </c>
      <c r="J3903" s="28" t="str">
        <f aca="false">IF(A3903="","",D3903*F3903)</f>
        <v/>
      </c>
      <c r="K3903" s="0" t="str">
        <f aca="false">IF(A3903="","",YEAR(A3903))</f>
        <v/>
      </c>
      <c r="L3903" s="0" t="str">
        <f aca="false">IF(A3903="","",MONTH(A3903))</f>
        <v/>
      </c>
    </row>
    <row r="3904" customFormat="false" ht="15" hidden="false" customHeight="false" outlineLevel="0" collapsed="false">
      <c r="A3904" s="27"/>
      <c r="E3904" s="28"/>
      <c r="F3904" s="28"/>
      <c r="I3904" s="28" t="str">
        <f aca="false">IF(A3904="","",D3904*E3904)</f>
        <v/>
      </c>
      <c r="J3904" s="28" t="str">
        <f aca="false">IF(A3904="","",D3904*F3904)</f>
        <v/>
      </c>
      <c r="K3904" s="0" t="str">
        <f aca="false">IF(A3904="","",YEAR(A3904))</f>
        <v/>
      </c>
      <c r="L3904" s="0" t="str">
        <f aca="false">IF(A3904="","",MONTH(A3904))</f>
        <v/>
      </c>
    </row>
    <row r="3905" customFormat="false" ht="15" hidden="false" customHeight="false" outlineLevel="0" collapsed="false">
      <c r="A3905" s="27"/>
      <c r="E3905" s="28"/>
      <c r="F3905" s="28"/>
      <c r="I3905" s="28" t="str">
        <f aca="false">IF(A3905="","",D3905*E3905)</f>
        <v/>
      </c>
      <c r="J3905" s="28" t="str">
        <f aca="false">IF(A3905="","",D3905*F3905)</f>
        <v/>
      </c>
      <c r="K3905" s="0" t="str">
        <f aca="false">IF(A3905="","",YEAR(A3905))</f>
        <v/>
      </c>
      <c r="L3905" s="0" t="str">
        <f aca="false">IF(A3905="","",MONTH(A3905))</f>
        <v/>
      </c>
    </row>
    <row r="3906" customFormat="false" ht="15" hidden="false" customHeight="false" outlineLevel="0" collapsed="false">
      <c r="A3906" s="27"/>
      <c r="E3906" s="28"/>
      <c r="F3906" s="28"/>
      <c r="I3906" s="28" t="str">
        <f aca="false">IF(A3906="","",D3906*E3906)</f>
        <v/>
      </c>
      <c r="J3906" s="28" t="str">
        <f aca="false">IF(A3906="","",D3906*F3906)</f>
        <v/>
      </c>
      <c r="K3906" s="0" t="str">
        <f aca="false">IF(A3906="","",YEAR(A3906))</f>
        <v/>
      </c>
      <c r="L3906" s="0" t="str">
        <f aca="false">IF(A3906="","",MONTH(A3906))</f>
        <v/>
      </c>
    </row>
    <row r="3907" customFormat="false" ht="15" hidden="false" customHeight="false" outlineLevel="0" collapsed="false">
      <c r="A3907" s="27"/>
      <c r="E3907" s="28"/>
      <c r="F3907" s="28"/>
      <c r="I3907" s="28" t="str">
        <f aca="false">IF(A3907="","",D3907*E3907)</f>
        <v/>
      </c>
      <c r="J3907" s="28" t="str">
        <f aca="false">IF(A3907="","",D3907*F3907)</f>
        <v/>
      </c>
      <c r="K3907" s="0" t="str">
        <f aca="false">IF(A3907="","",YEAR(A3907))</f>
        <v/>
      </c>
      <c r="L3907" s="0" t="str">
        <f aca="false">IF(A3907="","",MONTH(A3907))</f>
        <v/>
      </c>
    </row>
    <row r="3908" customFormat="false" ht="15" hidden="false" customHeight="false" outlineLevel="0" collapsed="false">
      <c r="A3908" s="27"/>
      <c r="E3908" s="28"/>
      <c r="F3908" s="28"/>
      <c r="I3908" s="28" t="str">
        <f aca="false">IF(A3908="","",D3908*E3908)</f>
        <v/>
      </c>
      <c r="J3908" s="28" t="str">
        <f aca="false">IF(A3908="","",D3908*F3908)</f>
        <v/>
      </c>
      <c r="K3908" s="0" t="str">
        <f aca="false">IF(A3908="","",YEAR(A3908))</f>
        <v/>
      </c>
      <c r="L3908" s="0" t="str">
        <f aca="false">IF(A3908="","",MONTH(A3908))</f>
        <v/>
      </c>
    </row>
    <row r="3909" customFormat="false" ht="15" hidden="false" customHeight="false" outlineLevel="0" collapsed="false">
      <c r="A3909" s="27"/>
      <c r="E3909" s="28"/>
      <c r="F3909" s="28"/>
      <c r="I3909" s="28" t="str">
        <f aca="false">IF(A3909="","",D3909*E3909)</f>
        <v/>
      </c>
      <c r="J3909" s="28" t="str">
        <f aca="false">IF(A3909="","",D3909*F3909)</f>
        <v/>
      </c>
      <c r="K3909" s="0" t="str">
        <f aca="false">IF(A3909="","",YEAR(A3909))</f>
        <v/>
      </c>
      <c r="L3909" s="0" t="str">
        <f aca="false">IF(A3909="","",MONTH(A3909))</f>
        <v/>
      </c>
    </row>
    <row r="3910" customFormat="false" ht="15" hidden="false" customHeight="false" outlineLevel="0" collapsed="false">
      <c r="A3910" s="27"/>
      <c r="E3910" s="28"/>
      <c r="F3910" s="28"/>
      <c r="I3910" s="28" t="str">
        <f aca="false">IF(A3910="","",D3910*E3910)</f>
        <v/>
      </c>
      <c r="J3910" s="28" t="str">
        <f aca="false">IF(A3910="","",D3910*F3910)</f>
        <v/>
      </c>
      <c r="K3910" s="0" t="str">
        <f aca="false">IF(A3910="","",YEAR(A3910))</f>
        <v/>
      </c>
      <c r="L3910" s="0" t="str">
        <f aca="false">IF(A3910="","",MONTH(A3910))</f>
        <v/>
      </c>
    </row>
    <row r="3911" customFormat="false" ht="15" hidden="false" customHeight="false" outlineLevel="0" collapsed="false">
      <c r="A3911" s="27"/>
      <c r="E3911" s="28"/>
      <c r="F3911" s="28"/>
      <c r="I3911" s="28" t="str">
        <f aca="false">IF(A3911="","",D3911*E3911)</f>
        <v/>
      </c>
      <c r="J3911" s="28" t="str">
        <f aca="false">IF(A3911="","",D3911*F3911)</f>
        <v/>
      </c>
      <c r="K3911" s="0" t="str">
        <f aca="false">IF(A3911="","",YEAR(A3911))</f>
        <v/>
      </c>
      <c r="L3911" s="0" t="str">
        <f aca="false">IF(A3911="","",MONTH(A3911))</f>
        <v/>
      </c>
    </row>
    <row r="3912" customFormat="false" ht="15" hidden="false" customHeight="false" outlineLevel="0" collapsed="false">
      <c r="A3912" s="27"/>
      <c r="E3912" s="28"/>
      <c r="F3912" s="28"/>
      <c r="I3912" s="28" t="str">
        <f aca="false">IF(A3912="","",D3912*E3912)</f>
        <v/>
      </c>
      <c r="J3912" s="28" t="str">
        <f aca="false">IF(A3912="","",D3912*F3912)</f>
        <v/>
      </c>
      <c r="K3912" s="0" t="str">
        <f aca="false">IF(A3912="","",YEAR(A3912))</f>
        <v/>
      </c>
      <c r="L3912" s="0" t="str">
        <f aca="false">IF(A3912="","",MONTH(A3912))</f>
        <v/>
      </c>
    </row>
    <row r="3913" customFormat="false" ht="15" hidden="false" customHeight="false" outlineLevel="0" collapsed="false">
      <c r="A3913" s="27"/>
      <c r="E3913" s="28"/>
      <c r="F3913" s="28"/>
      <c r="I3913" s="28" t="str">
        <f aca="false">IF(A3913="","",D3913*E3913)</f>
        <v/>
      </c>
      <c r="J3913" s="28" t="str">
        <f aca="false">IF(A3913="","",D3913*F3913)</f>
        <v/>
      </c>
      <c r="K3913" s="0" t="str">
        <f aca="false">IF(A3913="","",YEAR(A3913))</f>
        <v/>
      </c>
      <c r="L3913" s="0" t="str">
        <f aca="false">IF(A3913="","",MONTH(A3913))</f>
        <v/>
      </c>
    </row>
    <row r="3914" customFormat="false" ht="15" hidden="false" customHeight="false" outlineLevel="0" collapsed="false">
      <c r="A3914" s="27"/>
      <c r="E3914" s="28"/>
      <c r="F3914" s="28"/>
      <c r="I3914" s="28" t="str">
        <f aca="false">IF(A3914="","",D3914*E3914)</f>
        <v/>
      </c>
      <c r="J3914" s="28" t="str">
        <f aca="false">IF(A3914="","",D3914*F3914)</f>
        <v/>
      </c>
      <c r="K3914" s="0" t="str">
        <f aca="false">IF(A3914="","",YEAR(A3914))</f>
        <v/>
      </c>
      <c r="L3914" s="0" t="str">
        <f aca="false">IF(A3914="","",MONTH(A3914))</f>
        <v/>
      </c>
    </row>
    <row r="3915" customFormat="false" ht="15" hidden="false" customHeight="false" outlineLevel="0" collapsed="false">
      <c r="A3915" s="27"/>
      <c r="E3915" s="28"/>
      <c r="F3915" s="28"/>
      <c r="I3915" s="28" t="str">
        <f aca="false">IF(A3915="","",D3915*E3915)</f>
        <v/>
      </c>
      <c r="J3915" s="28" t="str">
        <f aca="false">IF(A3915="","",D3915*F3915)</f>
        <v/>
      </c>
      <c r="K3915" s="0" t="str">
        <f aca="false">IF(A3915="","",YEAR(A3915))</f>
        <v/>
      </c>
      <c r="L3915" s="0" t="str">
        <f aca="false">IF(A3915="","",MONTH(A3915))</f>
        <v/>
      </c>
    </row>
    <row r="3916" customFormat="false" ht="15" hidden="false" customHeight="false" outlineLevel="0" collapsed="false">
      <c r="A3916" s="27"/>
      <c r="E3916" s="28"/>
      <c r="F3916" s="28"/>
      <c r="I3916" s="28" t="str">
        <f aca="false">IF(A3916="","",D3916*E3916)</f>
        <v/>
      </c>
      <c r="J3916" s="28" t="str">
        <f aca="false">IF(A3916="","",D3916*F3916)</f>
        <v/>
      </c>
      <c r="K3916" s="0" t="str">
        <f aca="false">IF(A3916="","",YEAR(A3916))</f>
        <v/>
      </c>
      <c r="L3916" s="0" t="str">
        <f aca="false">IF(A3916="","",MONTH(A3916))</f>
        <v/>
      </c>
    </row>
    <row r="3917" customFormat="false" ht="15" hidden="false" customHeight="false" outlineLevel="0" collapsed="false">
      <c r="A3917" s="27"/>
      <c r="E3917" s="28"/>
      <c r="F3917" s="28"/>
      <c r="I3917" s="28" t="str">
        <f aca="false">IF(A3917="","",D3917*E3917)</f>
        <v/>
      </c>
      <c r="J3917" s="28" t="str">
        <f aca="false">IF(A3917="","",D3917*F3917)</f>
        <v/>
      </c>
      <c r="K3917" s="0" t="str">
        <f aca="false">IF(A3917="","",YEAR(A3917))</f>
        <v/>
      </c>
      <c r="L3917" s="0" t="str">
        <f aca="false">IF(A3917="","",MONTH(A3917))</f>
        <v/>
      </c>
    </row>
    <row r="3918" customFormat="false" ht="15" hidden="false" customHeight="false" outlineLevel="0" collapsed="false">
      <c r="A3918" s="27"/>
      <c r="E3918" s="28"/>
      <c r="F3918" s="28"/>
      <c r="I3918" s="28" t="str">
        <f aca="false">IF(A3918="","",D3918*E3918)</f>
        <v/>
      </c>
      <c r="J3918" s="28" t="str">
        <f aca="false">IF(A3918="","",D3918*F3918)</f>
        <v/>
      </c>
      <c r="K3918" s="0" t="str">
        <f aca="false">IF(A3918="","",YEAR(A3918))</f>
        <v/>
      </c>
      <c r="L3918" s="0" t="str">
        <f aca="false">IF(A3918="","",MONTH(A3918))</f>
        <v/>
      </c>
    </row>
    <row r="3919" customFormat="false" ht="15" hidden="false" customHeight="false" outlineLevel="0" collapsed="false">
      <c r="A3919" s="27"/>
      <c r="E3919" s="28"/>
      <c r="F3919" s="28"/>
      <c r="I3919" s="28" t="str">
        <f aca="false">IF(A3919="","",D3919*E3919)</f>
        <v/>
      </c>
      <c r="J3919" s="28" t="str">
        <f aca="false">IF(A3919="","",D3919*F3919)</f>
        <v/>
      </c>
      <c r="K3919" s="0" t="str">
        <f aca="false">IF(A3919="","",YEAR(A3919))</f>
        <v/>
      </c>
      <c r="L3919" s="0" t="str">
        <f aca="false">IF(A3919="","",MONTH(A3919))</f>
        <v/>
      </c>
    </row>
    <row r="3920" customFormat="false" ht="15" hidden="false" customHeight="false" outlineLevel="0" collapsed="false">
      <c r="A3920" s="27"/>
      <c r="E3920" s="28"/>
      <c r="F3920" s="28"/>
      <c r="I3920" s="28" t="str">
        <f aca="false">IF(A3920="","",D3920*E3920)</f>
        <v/>
      </c>
      <c r="J3920" s="28" t="str">
        <f aca="false">IF(A3920="","",D3920*F3920)</f>
        <v/>
      </c>
      <c r="K3920" s="0" t="str">
        <f aca="false">IF(A3920="","",YEAR(A3920))</f>
        <v/>
      </c>
      <c r="L3920" s="0" t="str">
        <f aca="false">IF(A3920="","",MONTH(A3920))</f>
        <v/>
      </c>
    </row>
    <row r="3921" customFormat="false" ht="15" hidden="false" customHeight="false" outlineLevel="0" collapsed="false">
      <c r="A3921" s="27"/>
      <c r="E3921" s="28"/>
      <c r="F3921" s="28"/>
      <c r="I3921" s="28" t="str">
        <f aca="false">IF(A3921="","",D3921*E3921)</f>
        <v/>
      </c>
      <c r="J3921" s="28" t="str">
        <f aca="false">IF(A3921="","",D3921*F3921)</f>
        <v/>
      </c>
      <c r="K3921" s="0" t="str">
        <f aca="false">IF(A3921="","",YEAR(A3921))</f>
        <v/>
      </c>
      <c r="L3921" s="0" t="str">
        <f aca="false">IF(A3921="","",MONTH(A3921))</f>
        <v/>
      </c>
    </row>
    <row r="3922" customFormat="false" ht="15" hidden="false" customHeight="false" outlineLevel="0" collapsed="false">
      <c r="A3922" s="27"/>
      <c r="E3922" s="28"/>
      <c r="F3922" s="28"/>
      <c r="I3922" s="28" t="str">
        <f aca="false">IF(A3922="","",D3922*E3922)</f>
        <v/>
      </c>
      <c r="J3922" s="28" t="str">
        <f aca="false">IF(A3922="","",D3922*F3922)</f>
        <v/>
      </c>
      <c r="K3922" s="0" t="str">
        <f aca="false">IF(A3922="","",YEAR(A3922))</f>
        <v/>
      </c>
      <c r="L3922" s="0" t="str">
        <f aca="false">IF(A3922="","",MONTH(A3922))</f>
        <v/>
      </c>
    </row>
    <row r="3923" customFormat="false" ht="15" hidden="false" customHeight="false" outlineLevel="0" collapsed="false">
      <c r="A3923" s="27"/>
      <c r="E3923" s="28"/>
      <c r="F3923" s="28"/>
      <c r="I3923" s="28" t="str">
        <f aca="false">IF(A3923="","",D3923*E3923)</f>
        <v/>
      </c>
      <c r="J3923" s="28" t="str">
        <f aca="false">IF(A3923="","",D3923*F3923)</f>
        <v/>
      </c>
      <c r="K3923" s="0" t="str">
        <f aca="false">IF(A3923="","",YEAR(A3923))</f>
        <v/>
      </c>
      <c r="L3923" s="0" t="str">
        <f aca="false">IF(A3923="","",MONTH(A3923))</f>
        <v/>
      </c>
    </row>
    <row r="3924" customFormat="false" ht="15" hidden="false" customHeight="false" outlineLevel="0" collapsed="false">
      <c r="A3924" s="27"/>
      <c r="E3924" s="28"/>
      <c r="F3924" s="28"/>
      <c r="I3924" s="28" t="str">
        <f aca="false">IF(A3924="","",D3924*E3924)</f>
        <v/>
      </c>
      <c r="J3924" s="28" t="str">
        <f aca="false">IF(A3924="","",D3924*F3924)</f>
        <v/>
      </c>
      <c r="K3924" s="0" t="str">
        <f aca="false">IF(A3924="","",YEAR(A3924))</f>
        <v/>
      </c>
      <c r="L3924" s="0" t="str">
        <f aca="false">IF(A3924="","",MONTH(A3924))</f>
        <v/>
      </c>
    </row>
    <row r="3925" customFormat="false" ht="15" hidden="false" customHeight="false" outlineLevel="0" collapsed="false">
      <c r="A3925" s="27"/>
      <c r="E3925" s="28"/>
      <c r="F3925" s="28"/>
      <c r="I3925" s="28" t="str">
        <f aca="false">IF(A3925="","",D3925*E3925)</f>
        <v/>
      </c>
      <c r="J3925" s="28" t="str">
        <f aca="false">IF(A3925="","",D3925*F3925)</f>
        <v/>
      </c>
      <c r="K3925" s="0" t="str">
        <f aca="false">IF(A3925="","",YEAR(A3925))</f>
        <v/>
      </c>
      <c r="L3925" s="0" t="str">
        <f aca="false">IF(A3925="","",MONTH(A3925))</f>
        <v/>
      </c>
    </row>
    <row r="3926" customFormat="false" ht="15" hidden="false" customHeight="false" outlineLevel="0" collapsed="false">
      <c r="A3926" s="27"/>
      <c r="E3926" s="28"/>
      <c r="F3926" s="28"/>
      <c r="I3926" s="28" t="str">
        <f aca="false">IF(A3926="","",D3926*E3926)</f>
        <v/>
      </c>
      <c r="J3926" s="28" t="str">
        <f aca="false">IF(A3926="","",D3926*F3926)</f>
        <v/>
      </c>
      <c r="K3926" s="0" t="str">
        <f aca="false">IF(A3926="","",YEAR(A3926))</f>
        <v/>
      </c>
      <c r="L3926" s="0" t="str">
        <f aca="false">IF(A3926="","",MONTH(A3926))</f>
        <v/>
      </c>
    </row>
    <row r="3927" customFormat="false" ht="15" hidden="false" customHeight="false" outlineLevel="0" collapsed="false">
      <c r="A3927" s="27"/>
      <c r="E3927" s="28"/>
      <c r="F3927" s="28"/>
      <c r="I3927" s="28" t="str">
        <f aca="false">IF(A3927="","",D3927*E3927)</f>
        <v/>
      </c>
      <c r="J3927" s="28" t="str">
        <f aca="false">IF(A3927="","",D3927*F3927)</f>
        <v/>
      </c>
      <c r="K3927" s="0" t="str">
        <f aca="false">IF(A3927="","",YEAR(A3927))</f>
        <v/>
      </c>
      <c r="L3927" s="0" t="str">
        <f aca="false">IF(A3927="","",MONTH(A3927))</f>
        <v/>
      </c>
    </row>
    <row r="3928" customFormat="false" ht="15" hidden="false" customHeight="false" outlineLevel="0" collapsed="false">
      <c r="A3928" s="27"/>
      <c r="E3928" s="28"/>
      <c r="F3928" s="28"/>
      <c r="I3928" s="28" t="str">
        <f aca="false">IF(A3928="","",D3928*E3928)</f>
        <v/>
      </c>
      <c r="J3928" s="28" t="str">
        <f aca="false">IF(A3928="","",D3928*F3928)</f>
        <v/>
      </c>
      <c r="K3928" s="0" t="str">
        <f aca="false">IF(A3928="","",YEAR(A3928))</f>
        <v/>
      </c>
      <c r="L3928" s="0" t="str">
        <f aca="false">IF(A3928="","",MONTH(A3928))</f>
        <v/>
      </c>
    </row>
    <row r="3929" customFormat="false" ht="15" hidden="false" customHeight="false" outlineLevel="0" collapsed="false">
      <c r="A3929" s="27"/>
      <c r="E3929" s="28"/>
      <c r="F3929" s="28"/>
      <c r="I3929" s="28" t="str">
        <f aca="false">IF(A3929="","",D3929*E3929)</f>
        <v/>
      </c>
      <c r="J3929" s="28" t="str">
        <f aca="false">IF(A3929="","",D3929*F3929)</f>
        <v/>
      </c>
      <c r="K3929" s="0" t="str">
        <f aca="false">IF(A3929="","",YEAR(A3929))</f>
        <v/>
      </c>
      <c r="L3929" s="0" t="str">
        <f aca="false">IF(A3929="","",MONTH(A3929))</f>
        <v/>
      </c>
    </row>
    <row r="3930" customFormat="false" ht="15" hidden="false" customHeight="false" outlineLevel="0" collapsed="false">
      <c r="A3930" s="27"/>
      <c r="E3930" s="28"/>
      <c r="F3930" s="28"/>
      <c r="I3930" s="28" t="str">
        <f aca="false">IF(A3930="","",D3930*E3930)</f>
        <v/>
      </c>
      <c r="J3930" s="28" t="str">
        <f aca="false">IF(A3930="","",D3930*F3930)</f>
        <v/>
      </c>
      <c r="K3930" s="0" t="str">
        <f aca="false">IF(A3930="","",YEAR(A3930))</f>
        <v/>
      </c>
      <c r="L3930" s="0" t="str">
        <f aca="false">IF(A3930="","",MONTH(A3930))</f>
        <v/>
      </c>
    </row>
    <row r="3931" customFormat="false" ht="15" hidden="false" customHeight="false" outlineLevel="0" collapsed="false">
      <c r="A3931" s="27"/>
      <c r="E3931" s="28"/>
      <c r="F3931" s="28"/>
      <c r="I3931" s="28" t="str">
        <f aca="false">IF(A3931="","",D3931*E3931)</f>
        <v/>
      </c>
      <c r="J3931" s="28" t="str">
        <f aca="false">IF(A3931="","",D3931*F3931)</f>
        <v/>
      </c>
      <c r="K3931" s="0" t="str">
        <f aca="false">IF(A3931="","",YEAR(A3931))</f>
        <v/>
      </c>
      <c r="L3931" s="0" t="str">
        <f aca="false">IF(A3931="","",MONTH(A3931))</f>
        <v/>
      </c>
    </row>
    <row r="3932" customFormat="false" ht="15" hidden="false" customHeight="false" outlineLevel="0" collapsed="false">
      <c r="A3932" s="27"/>
      <c r="E3932" s="28"/>
      <c r="F3932" s="28"/>
      <c r="I3932" s="28" t="str">
        <f aca="false">IF(A3932="","",D3932*E3932)</f>
        <v/>
      </c>
      <c r="J3932" s="28" t="str">
        <f aca="false">IF(A3932="","",D3932*F3932)</f>
        <v/>
      </c>
      <c r="K3932" s="0" t="str">
        <f aca="false">IF(A3932="","",YEAR(A3932))</f>
        <v/>
      </c>
      <c r="L3932" s="0" t="str">
        <f aca="false">IF(A3932="","",MONTH(A3932))</f>
        <v/>
      </c>
    </row>
    <row r="3933" customFormat="false" ht="15" hidden="false" customHeight="false" outlineLevel="0" collapsed="false">
      <c r="A3933" s="27"/>
      <c r="E3933" s="28"/>
      <c r="F3933" s="28"/>
      <c r="I3933" s="28" t="str">
        <f aca="false">IF(A3933="","",D3933*E3933)</f>
        <v/>
      </c>
      <c r="J3933" s="28" t="str">
        <f aca="false">IF(A3933="","",D3933*F3933)</f>
        <v/>
      </c>
      <c r="K3933" s="0" t="str">
        <f aca="false">IF(A3933="","",YEAR(A3933))</f>
        <v/>
      </c>
      <c r="L3933" s="0" t="str">
        <f aca="false">IF(A3933="","",MONTH(A3933))</f>
        <v/>
      </c>
    </row>
    <row r="3934" customFormat="false" ht="15" hidden="false" customHeight="false" outlineLevel="0" collapsed="false">
      <c r="A3934" s="27"/>
      <c r="E3934" s="28"/>
      <c r="F3934" s="28"/>
      <c r="I3934" s="28" t="str">
        <f aca="false">IF(A3934="","",D3934*E3934)</f>
        <v/>
      </c>
      <c r="J3934" s="28" t="str">
        <f aca="false">IF(A3934="","",D3934*F3934)</f>
        <v/>
      </c>
      <c r="K3934" s="0" t="str">
        <f aca="false">IF(A3934="","",YEAR(A3934))</f>
        <v/>
      </c>
      <c r="L3934" s="0" t="str">
        <f aca="false">IF(A3934="","",MONTH(A3934))</f>
        <v/>
      </c>
    </row>
    <row r="3935" customFormat="false" ht="15" hidden="false" customHeight="false" outlineLevel="0" collapsed="false">
      <c r="A3935" s="27"/>
      <c r="E3935" s="28"/>
      <c r="F3935" s="28"/>
      <c r="I3935" s="28" t="str">
        <f aca="false">IF(A3935="","",D3935*E3935)</f>
        <v/>
      </c>
      <c r="J3935" s="28" t="str">
        <f aca="false">IF(A3935="","",D3935*F3935)</f>
        <v/>
      </c>
      <c r="K3935" s="0" t="str">
        <f aca="false">IF(A3935="","",YEAR(A3935))</f>
        <v/>
      </c>
      <c r="L3935" s="0" t="str">
        <f aca="false">IF(A3935="","",MONTH(A3935))</f>
        <v/>
      </c>
    </row>
    <row r="3936" customFormat="false" ht="15" hidden="false" customHeight="false" outlineLevel="0" collapsed="false">
      <c r="A3936" s="27"/>
      <c r="E3936" s="28"/>
      <c r="F3936" s="28"/>
      <c r="I3936" s="28" t="str">
        <f aca="false">IF(A3936="","",D3936*E3936)</f>
        <v/>
      </c>
      <c r="J3936" s="28" t="str">
        <f aca="false">IF(A3936="","",D3936*F3936)</f>
        <v/>
      </c>
      <c r="K3936" s="0" t="str">
        <f aca="false">IF(A3936="","",YEAR(A3936))</f>
        <v/>
      </c>
      <c r="L3936" s="0" t="str">
        <f aca="false">IF(A3936="","",MONTH(A3936))</f>
        <v/>
      </c>
    </row>
    <row r="3937" customFormat="false" ht="15" hidden="false" customHeight="false" outlineLevel="0" collapsed="false">
      <c r="A3937" s="27"/>
      <c r="E3937" s="28"/>
      <c r="F3937" s="28"/>
      <c r="I3937" s="28" t="str">
        <f aca="false">IF(A3937="","",D3937*E3937)</f>
        <v/>
      </c>
      <c r="J3937" s="28" t="str">
        <f aca="false">IF(A3937="","",D3937*F3937)</f>
        <v/>
      </c>
      <c r="K3937" s="0" t="str">
        <f aca="false">IF(A3937="","",YEAR(A3937))</f>
        <v/>
      </c>
      <c r="L3937" s="0" t="str">
        <f aca="false">IF(A3937="","",MONTH(A3937))</f>
        <v/>
      </c>
    </row>
    <row r="3938" customFormat="false" ht="15" hidden="false" customHeight="false" outlineLevel="0" collapsed="false">
      <c r="A3938" s="27"/>
      <c r="E3938" s="28"/>
      <c r="F3938" s="28"/>
      <c r="I3938" s="28" t="str">
        <f aca="false">IF(A3938="","",D3938*E3938)</f>
        <v/>
      </c>
      <c r="J3938" s="28" t="str">
        <f aca="false">IF(A3938="","",D3938*F3938)</f>
        <v/>
      </c>
      <c r="K3938" s="0" t="str">
        <f aca="false">IF(A3938="","",YEAR(A3938))</f>
        <v/>
      </c>
      <c r="L3938" s="0" t="str">
        <f aca="false">IF(A3938="","",MONTH(A3938))</f>
        <v/>
      </c>
    </row>
    <row r="3939" customFormat="false" ht="15" hidden="false" customHeight="false" outlineLevel="0" collapsed="false">
      <c r="A3939" s="27"/>
      <c r="E3939" s="28"/>
      <c r="F3939" s="28"/>
      <c r="I3939" s="28" t="str">
        <f aca="false">IF(A3939="","",D3939*E3939)</f>
        <v/>
      </c>
      <c r="J3939" s="28" t="str">
        <f aca="false">IF(A3939="","",D3939*F3939)</f>
        <v/>
      </c>
      <c r="K3939" s="0" t="str">
        <f aca="false">IF(A3939="","",YEAR(A3939))</f>
        <v/>
      </c>
      <c r="L3939" s="0" t="str">
        <f aca="false">IF(A3939="","",MONTH(A3939))</f>
        <v/>
      </c>
    </row>
    <row r="3940" customFormat="false" ht="15" hidden="false" customHeight="false" outlineLevel="0" collapsed="false">
      <c r="A3940" s="27"/>
      <c r="E3940" s="28"/>
      <c r="F3940" s="28"/>
      <c r="I3940" s="28" t="str">
        <f aca="false">IF(A3940="","",D3940*E3940)</f>
        <v/>
      </c>
      <c r="J3940" s="28" t="str">
        <f aca="false">IF(A3940="","",D3940*F3940)</f>
        <v/>
      </c>
      <c r="K3940" s="0" t="str">
        <f aca="false">IF(A3940="","",YEAR(A3940))</f>
        <v/>
      </c>
      <c r="L3940" s="0" t="str">
        <f aca="false">IF(A3940="","",MONTH(A3940))</f>
        <v/>
      </c>
    </row>
    <row r="3941" customFormat="false" ht="15" hidden="false" customHeight="false" outlineLevel="0" collapsed="false">
      <c r="A3941" s="27"/>
      <c r="E3941" s="28"/>
      <c r="F3941" s="28"/>
      <c r="I3941" s="28" t="str">
        <f aca="false">IF(A3941="","",D3941*E3941)</f>
        <v/>
      </c>
      <c r="J3941" s="28" t="str">
        <f aca="false">IF(A3941="","",D3941*F3941)</f>
        <v/>
      </c>
      <c r="K3941" s="0" t="str">
        <f aca="false">IF(A3941="","",YEAR(A3941))</f>
        <v/>
      </c>
      <c r="L3941" s="0" t="str">
        <f aca="false">IF(A3941="","",MONTH(A3941))</f>
        <v/>
      </c>
    </row>
    <row r="3942" customFormat="false" ht="15" hidden="false" customHeight="false" outlineLevel="0" collapsed="false">
      <c r="A3942" s="27"/>
      <c r="E3942" s="28"/>
      <c r="F3942" s="28"/>
      <c r="I3942" s="28" t="str">
        <f aca="false">IF(A3942="","",D3942*E3942)</f>
        <v/>
      </c>
      <c r="J3942" s="28" t="str">
        <f aca="false">IF(A3942="","",D3942*F3942)</f>
        <v/>
      </c>
      <c r="K3942" s="0" t="str">
        <f aca="false">IF(A3942="","",YEAR(A3942))</f>
        <v/>
      </c>
      <c r="L3942" s="0" t="str">
        <f aca="false">IF(A3942="","",MONTH(A3942))</f>
        <v/>
      </c>
    </row>
    <row r="3943" customFormat="false" ht="15" hidden="false" customHeight="false" outlineLevel="0" collapsed="false">
      <c r="A3943" s="27"/>
      <c r="E3943" s="28"/>
      <c r="F3943" s="28"/>
      <c r="I3943" s="28" t="str">
        <f aca="false">IF(A3943="","",D3943*E3943)</f>
        <v/>
      </c>
      <c r="J3943" s="28" t="str">
        <f aca="false">IF(A3943="","",D3943*F3943)</f>
        <v/>
      </c>
      <c r="K3943" s="0" t="str">
        <f aca="false">IF(A3943="","",YEAR(A3943))</f>
        <v/>
      </c>
      <c r="L3943" s="0" t="str">
        <f aca="false">IF(A3943="","",MONTH(A3943))</f>
        <v/>
      </c>
    </row>
    <row r="3944" customFormat="false" ht="15" hidden="false" customHeight="false" outlineLevel="0" collapsed="false">
      <c r="A3944" s="27"/>
      <c r="E3944" s="28"/>
      <c r="F3944" s="28"/>
      <c r="I3944" s="28" t="str">
        <f aca="false">IF(A3944="","",D3944*E3944)</f>
        <v/>
      </c>
      <c r="J3944" s="28" t="str">
        <f aca="false">IF(A3944="","",D3944*F3944)</f>
        <v/>
      </c>
      <c r="K3944" s="0" t="str">
        <f aca="false">IF(A3944="","",YEAR(A3944))</f>
        <v/>
      </c>
      <c r="L3944" s="0" t="str">
        <f aca="false">IF(A3944="","",MONTH(A3944))</f>
        <v/>
      </c>
    </row>
    <row r="3945" customFormat="false" ht="15" hidden="false" customHeight="false" outlineLevel="0" collapsed="false">
      <c r="A3945" s="27"/>
      <c r="E3945" s="28"/>
      <c r="F3945" s="28"/>
      <c r="I3945" s="28" t="str">
        <f aca="false">IF(A3945="","",D3945*E3945)</f>
        <v/>
      </c>
      <c r="J3945" s="28" t="str">
        <f aca="false">IF(A3945="","",D3945*F3945)</f>
        <v/>
      </c>
      <c r="K3945" s="0" t="str">
        <f aca="false">IF(A3945="","",YEAR(A3945))</f>
        <v/>
      </c>
      <c r="L3945" s="0" t="str">
        <f aca="false">IF(A3945="","",MONTH(A3945))</f>
        <v/>
      </c>
    </row>
    <row r="3946" customFormat="false" ht="15" hidden="false" customHeight="false" outlineLevel="0" collapsed="false">
      <c r="A3946" s="27"/>
      <c r="E3946" s="28"/>
      <c r="F3946" s="28"/>
      <c r="I3946" s="28" t="str">
        <f aca="false">IF(A3946="","",D3946*E3946)</f>
        <v/>
      </c>
      <c r="J3946" s="28" t="str">
        <f aca="false">IF(A3946="","",D3946*F3946)</f>
        <v/>
      </c>
      <c r="K3946" s="0" t="str">
        <f aca="false">IF(A3946="","",YEAR(A3946))</f>
        <v/>
      </c>
      <c r="L3946" s="0" t="str">
        <f aca="false">IF(A3946="","",MONTH(A3946))</f>
        <v/>
      </c>
    </row>
    <row r="3947" customFormat="false" ht="15" hidden="false" customHeight="false" outlineLevel="0" collapsed="false">
      <c r="A3947" s="27"/>
      <c r="E3947" s="28"/>
      <c r="F3947" s="28"/>
      <c r="I3947" s="28" t="str">
        <f aca="false">IF(A3947="","",D3947*E3947)</f>
        <v/>
      </c>
      <c r="J3947" s="28" t="str">
        <f aca="false">IF(A3947="","",D3947*F3947)</f>
        <v/>
      </c>
      <c r="K3947" s="0" t="str">
        <f aca="false">IF(A3947="","",YEAR(A3947))</f>
        <v/>
      </c>
      <c r="L3947" s="0" t="str">
        <f aca="false">IF(A3947="","",MONTH(A3947))</f>
        <v/>
      </c>
    </row>
    <row r="3948" customFormat="false" ht="15" hidden="false" customHeight="false" outlineLevel="0" collapsed="false">
      <c r="A3948" s="27"/>
      <c r="E3948" s="28"/>
      <c r="F3948" s="28"/>
      <c r="I3948" s="28" t="str">
        <f aca="false">IF(A3948="","",D3948*E3948)</f>
        <v/>
      </c>
      <c r="J3948" s="28" t="str">
        <f aca="false">IF(A3948="","",D3948*F3948)</f>
        <v/>
      </c>
      <c r="K3948" s="0" t="str">
        <f aca="false">IF(A3948="","",YEAR(A3948))</f>
        <v/>
      </c>
      <c r="L3948" s="0" t="str">
        <f aca="false">IF(A3948="","",MONTH(A3948))</f>
        <v/>
      </c>
    </row>
    <row r="3949" customFormat="false" ht="15" hidden="false" customHeight="false" outlineLevel="0" collapsed="false">
      <c r="A3949" s="27"/>
      <c r="E3949" s="28"/>
      <c r="F3949" s="28"/>
      <c r="I3949" s="28" t="str">
        <f aca="false">IF(A3949="","",D3949*E3949)</f>
        <v/>
      </c>
      <c r="J3949" s="28" t="str">
        <f aca="false">IF(A3949="","",D3949*F3949)</f>
        <v/>
      </c>
      <c r="K3949" s="0" t="str">
        <f aca="false">IF(A3949="","",YEAR(A3949))</f>
        <v/>
      </c>
      <c r="L3949" s="0" t="str">
        <f aca="false">IF(A3949="","",MONTH(A3949))</f>
        <v/>
      </c>
    </row>
    <row r="3950" customFormat="false" ht="15" hidden="false" customHeight="false" outlineLevel="0" collapsed="false">
      <c r="A3950" s="27"/>
      <c r="E3950" s="28"/>
      <c r="F3950" s="28"/>
      <c r="I3950" s="28" t="str">
        <f aca="false">IF(A3950="","",D3950*E3950)</f>
        <v/>
      </c>
      <c r="J3950" s="28" t="str">
        <f aca="false">IF(A3950="","",D3950*F3950)</f>
        <v/>
      </c>
      <c r="K3950" s="0" t="str">
        <f aca="false">IF(A3950="","",YEAR(A3950))</f>
        <v/>
      </c>
      <c r="L3950" s="0" t="str">
        <f aca="false">IF(A3950="","",MONTH(A3950))</f>
        <v/>
      </c>
    </row>
    <row r="3951" customFormat="false" ht="15" hidden="false" customHeight="false" outlineLevel="0" collapsed="false">
      <c r="A3951" s="27"/>
      <c r="E3951" s="28"/>
      <c r="F3951" s="28"/>
      <c r="I3951" s="28" t="str">
        <f aca="false">IF(A3951="","",D3951*E3951)</f>
        <v/>
      </c>
      <c r="J3951" s="28" t="str">
        <f aca="false">IF(A3951="","",D3951*F3951)</f>
        <v/>
      </c>
      <c r="K3951" s="0" t="str">
        <f aca="false">IF(A3951="","",YEAR(A3951))</f>
        <v/>
      </c>
      <c r="L3951" s="0" t="str">
        <f aca="false">IF(A3951="","",MONTH(A3951))</f>
        <v/>
      </c>
    </row>
    <row r="3952" customFormat="false" ht="15" hidden="false" customHeight="false" outlineLevel="0" collapsed="false">
      <c r="A3952" s="27"/>
      <c r="E3952" s="28"/>
      <c r="F3952" s="28"/>
      <c r="I3952" s="28" t="str">
        <f aca="false">IF(A3952="","",D3952*E3952)</f>
        <v/>
      </c>
      <c r="J3952" s="28" t="str">
        <f aca="false">IF(A3952="","",D3952*F3952)</f>
        <v/>
      </c>
      <c r="K3952" s="0" t="str">
        <f aca="false">IF(A3952="","",YEAR(A3952))</f>
        <v/>
      </c>
      <c r="L3952" s="0" t="str">
        <f aca="false">IF(A3952="","",MONTH(A3952))</f>
        <v/>
      </c>
    </row>
    <row r="3953" customFormat="false" ht="15" hidden="false" customHeight="false" outlineLevel="0" collapsed="false">
      <c r="A3953" s="27"/>
      <c r="E3953" s="28"/>
      <c r="F3953" s="28"/>
      <c r="I3953" s="28" t="str">
        <f aca="false">IF(A3953="","",D3953*E3953)</f>
        <v/>
      </c>
      <c r="J3953" s="28" t="str">
        <f aca="false">IF(A3953="","",D3953*F3953)</f>
        <v/>
      </c>
      <c r="K3953" s="0" t="str">
        <f aca="false">IF(A3953="","",YEAR(A3953))</f>
        <v/>
      </c>
      <c r="L3953" s="0" t="str">
        <f aca="false">IF(A3953="","",MONTH(A3953))</f>
        <v/>
      </c>
    </row>
    <row r="3954" customFormat="false" ht="15" hidden="false" customHeight="false" outlineLevel="0" collapsed="false">
      <c r="A3954" s="27"/>
      <c r="E3954" s="28"/>
      <c r="F3954" s="28"/>
      <c r="I3954" s="28" t="str">
        <f aca="false">IF(A3954="","",D3954*E3954)</f>
        <v/>
      </c>
      <c r="J3954" s="28" t="str">
        <f aca="false">IF(A3954="","",D3954*F3954)</f>
        <v/>
      </c>
      <c r="K3954" s="0" t="str">
        <f aca="false">IF(A3954="","",YEAR(A3954))</f>
        <v/>
      </c>
      <c r="L3954" s="0" t="str">
        <f aca="false">IF(A3954="","",MONTH(A3954))</f>
        <v/>
      </c>
    </row>
    <row r="3955" customFormat="false" ht="15" hidden="false" customHeight="false" outlineLevel="0" collapsed="false">
      <c r="A3955" s="27"/>
      <c r="E3955" s="28"/>
      <c r="F3955" s="28"/>
      <c r="I3955" s="28" t="str">
        <f aca="false">IF(A3955="","",D3955*E3955)</f>
        <v/>
      </c>
      <c r="J3955" s="28" t="str">
        <f aca="false">IF(A3955="","",D3955*F3955)</f>
        <v/>
      </c>
      <c r="K3955" s="0" t="str">
        <f aca="false">IF(A3955="","",YEAR(A3955))</f>
        <v/>
      </c>
      <c r="L3955" s="0" t="str">
        <f aca="false">IF(A3955="","",MONTH(A3955))</f>
        <v/>
      </c>
    </row>
    <row r="3956" customFormat="false" ht="15" hidden="false" customHeight="false" outlineLevel="0" collapsed="false">
      <c r="A3956" s="27"/>
      <c r="E3956" s="28"/>
      <c r="F3956" s="28"/>
      <c r="I3956" s="28" t="str">
        <f aca="false">IF(A3956="","",D3956*E3956)</f>
        <v/>
      </c>
      <c r="J3956" s="28" t="str">
        <f aca="false">IF(A3956="","",D3956*F3956)</f>
        <v/>
      </c>
      <c r="K3956" s="0" t="str">
        <f aca="false">IF(A3956="","",YEAR(A3956))</f>
        <v/>
      </c>
      <c r="L3956" s="0" t="str">
        <f aca="false">IF(A3956="","",MONTH(A3956))</f>
        <v/>
      </c>
    </row>
    <row r="3957" customFormat="false" ht="15" hidden="false" customHeight="false" outlineLevel="0" collapsed="false">
      <c r="A3957" s="27"/>
      <c r="E3957" s="28"/>
      <c r="F3957" s="28"/>
      <c r="I3957" s="28" t="str">
        <f aca="false">IF(A3957="","",D3957*E3957)</f>
        <v/>
      </c>
      <c r="J3957" s="28" t="str">
        <f aca="false">IF(A3957="","",D3957*F3957)</f>
        <v/>
      </c>
      <c r="K3957" s="0" t="str">
        <f aca="false">IF(A3957="","",YEAR(A3957))</f>
        <v/>
      </c>
      <c r="L3957" s="0" t="str">
        <f aca="false">IF(A3957="","",MONTH(A3957))</f>
        <v/>
      </c>
    </row>
    <row r="3958" customFormat="false" ht="15" hidden="false" customHeight="false" outlineLevel="0" collapsed="false">
      <c r="A3958" s="27"/>
      <c r="E3958" s="28"/>
      <c r="F3958" s="28"/>
      <c r="I3958" s="28" t="str">
        <f aca="false">IF(A3958="","",D3958*E3958)</f>
        <v/>
      </c>
      <c r="J3958" s="28" t="str">
        <f aca="false">IF(A3958="","",D3958*F3958)</f>
        <v/>
      </c>
      <c r="K3958" s="0" t="str">
        <f aca="false">IF(A3958="","",YEAR(A3958))</f>
        <v/>
      </c>
      <c r="L3958" s="0" t="str">
        <f aca="false">IF(A3958="","",MONTH(A3958))</f>
        <v/>
      </c>
    </row>
    <row r="3959" customFormat="false" ht="15" hidden="false" customHeight="false" outlineLevel="0" collapsed="false">
      <c r="A3959" s="27"/>
      <c r="E3959" s="28"/>
      <c r="F3959" s="28"/>
      <c r="I3959" s="28" t="str">
        <f aca="false">IF(A3959="","",D3959*E3959)</f>
        <v/>
      </c>
      <c r="J3959" s="28" t="str">
        <f aca="false">IF(A3959="","",D3959*F3959)</f>
        <v/>
      </c>
      <c r="K3959" s="0" t="str">
        <f aca="false">IF(A3959="","",YEAR(A3959))</f>
        <v/>
      </c>
      <c r="L3959" s="0" t="str">
        <f aca="false">IF(A3959="","",MONTH(A3959))</f>
        <v/>
      </c>
    </row>
    <row r="3960" customFormat="false" ht="15" hidden="false" customHeight="false" outlineLevel="0" collapsed="false">
      <c r="A3960" s="27"/>
      <c r="E3960" s="28"/>
      <c r="F3960" s="28"/>
      <c r="I3960" s="28" t="str">
        <f aca="false">IF(A3960="","",D3960*E3960)</f>
        <v/>
      </c>
      <c r="J3960" s="28" t="str">
        <f aca="false">IF(A3960="","",D3960*F3960)</f>
        <v/>
      </c>
      <c r="K3960" s="0" t="str">
        <f aca="false">IF(A3960="","",YEAR(A3960))</f>
        <v/>
      </c>
      <c r="L3960" s="0" t="str">
        <f aca="false">IF(A3960="","",MONTH(A3960))</f>
        <v/>
      </c>
    </row>
    <row r="3961" customFormat="false" ht="15" hidden="false" customHeight="false" outlineLevel="0" collapsed="false">
      <c r="A3961" s="27"/>
      <c r="E3961" s="28"/>
      <c r="F3961" s="28"/>
      <c r="I3961" s="28" t="str">
        <f aca="false">IF(A3961="","",D3961*E3961)</f>
        <v/>
      </c>
      <c r="J3961" s="28" t="str">
        <f aca="false">IF(A3961="","",D3961*F3961)</f>
        <v/>
      </c>
      <c r="K3961" s="0" t="str">
        <f aca="false">IF(A3961="","",YEAR(A3961))</f>
        <v/>
      </c>
      <c r="L3961" s="0" t="str">
        <f aca="false">IF(A3961="","",MONTH(A3961))</f>
        <v/>
      </c>
    </row>
    <row r="3962" customFormat="false" ht="15" hidden="false" customHeight="false" outlineLevel="0" collapsed="false">
      <c r="A3962" s="27"/>
      <c r="E3962" s="28"/>
      <c r="F3962" s="28"/>
      <c r="I3962" s="28" t="str">
        <f aca="false">IF(A3962="","",D3962*E3962)</f>
        <v/>
      </c>
      <c r="J3962" s="28" t="str">
        <f aca="false">IF(A3962="","",D3962*F3962)</f>
        <v/>
      </c>
      <c r="K3962" s="0" t="str">
        <f aca="false">IF(A3962="","",YEAR(A3962))</f>
        <v/>
      </c>
      <c r="L3962" s="0" t="str">
        <f aca="false">IF(A3962="","",MONTH(A3962))</f>
        <v/>
      </c>
    </row>
    <row r="3963" customFormat="false" ht="15" hidden="false" customHeight="false" outlineLevel="0" collapsed="false">
      <c r="A3963" s="27"/>
      <c r="E3963" s="28"/>
      <c r="F3963" s="28"/>
      <c r="I3963" s="28" t="str">
        <f aca="false">IF(A3963="","",D3963*E3963)</f>
        <v/>
      </c>
      <c r="J3963" s="28" t="str">
        <f aca="false">IF(A3963="","",D3963*F3963)</f>
        <v/>
      </c>
      <c r="K3963" s="0" t="str">
        <f aca="false">IF(A3963="","",YEAR(A3963))</f>
        <v/>
      </c>
      <c r="L3963" s="0" t="str">
        <f aca="false">IF(A3963="","",MONTH(A3963))</f>
        <v/>
      </c>
    </row>
    <row r="3964" customFormat="false" ht="15" hidden="false" customHeight="false" outlineLevel="0" collapsed="false">
      <c r="A3964" s="27"/>
      <c r="E3964" s="28"/>
      <c r="F3964" s="28"/>
      <c r="I3964" s="28" t="str">
        <f aca="false">IF(A3964="","",D3964*E3964)</f>
        <v/>
      </c>
      <c r="J3964" s="28" t="str">
        <f aca="false">IF(A3964="","",D3964*F3964)</f>
        <v/>
      </c>
      <c r="K3964" s="0" t="str">
        <f aca="false">IF(A3964="","",YEAR(A3964))</f>
        <v/>
      </c>
      <c r="L3964" s="0" t="str">
        <f aca="false">IF(A3964="","",MONTH(A3964))</f>
        <v/>
      </c>
    </row>
    <row r="3965" customFormat="false" ht="15" hidden="false" customHeight="false" outlineLevel="0" collapsed="false">
      <c r="A3965" s="27"/>
      <c r="E3965" s="28"/>
      <c r="F3965" s="28"/>
      <c r="I3965" s="28" t="str">
        <f aca="false">IF(A3965="","",D3965*E3965)</f>
        <v/>
      </c>
      <c r="J3965" s="28" t="str">
        <f aca="false">IF(A3965="","",D3965*F3965)</f>
        <v/>
      </c>
      <c r="K3965" s="0" t="str">
        <f aca="false">IF(A3965="","",YEAR(A3965))</f>
        <v/>
      </c>
      <c r="L3965" s="0" t="str">
        <f aca="false">IF(A3965="","",MONTH(A3965))</f>
        <v/>
      </c>
    </row>
    <row r="3966" customFormat="false" ht="15" hidden="false" customHeight="false" outlineLevel="0" collapsed="false">
      <c r="A3966" s="27"/>
      <c r="E3966" s="28"/>
      <c r="F3966" s="28"/>
      <c r="I3966" s="28" t="str">
        <f aca="false">IF(A3966="","",D3966*E3966)</f>
        <v/>
      </c>
      <c r="J3966" s="28" t="str">
        <f aca="false">IF(A3966="","",D3966*F3966)</f>
        <v/>
      </c>
      <c r="K3966" s="0" t="str">
        <f aca="false">IF(A3966="","",YEAR(A3966))</f>
        <v/>
      </c>
      <c r="L3966" s="0" t="str">
        <f aca="false">IF(A3966="","",MONTH(A3966))</f>
        <v/>
      </c>
    </row>
    <row r="3967" customFormat="false" ht="15" hidden="false" customHeight="false" outlineLevel="0" collapsed="false">
      <c r="A3967" s="27"/>
      <c r="E3967" s="28"/>
      <c r="F3967" s="28"/>
      <c r="I3967" s="28" t="str">
        <f aca="false">IF(A3967="","",D3967*E3967)</f>
        <v/>
      </c>
      <c r="J3967" s="28" t="str">
        <f aca="false">IF(A3967="","",D3967*F3967)</f>
        <v/>
      </c>
      <c r="K3967" s="0" t="str">
        <f aca="false">IF(A3967="","",YEAR(A3967))</f>
        <v/>
      </c>
      <c r="L3967" s="0" t="str">
        <f aca="false">IF(A3967="","",MONTH(A3967))</f>
        <v/>
      </c>
    </row>
    <row r="3968" customFormat="false" ht="15" hidden="false" customHeight="false" outlineLevel="0" collapsed="false">
      <c r="A3968" s="27"/>
      <c r="E3968" s="28"/>
      <c r="F3968" s="28"/>
      <c r="I3968" s="28" t="str">
        <f aca="false">IF(A3968="","",D3968*E3968)</f>
        <v/>
      </c>
      <c r="J3968" s="28" t="str">
        <f aca="false">IF(A3968="","",D3968*F3968)</f>
        <v/>
      </c>
      <c r="K3968" s="0" t="str">
        <f aca="false">IF(A3968="","",YEAR(A3968))</f>
        <v/>
      </c>
      <c r="L3968" s="0" t="str">
        <f aca="false">IF(A3968="","",MONTH(A3968))</f>
        <v/>
      </c>
    </row>
    <row r="3969" customFormat="false" ht="15" hidden="false" customHeight="false" outlineLevel="0" collapsed="false">
      <c r="A3969" s="27"/>
      <c r="E3969" s="28"/>
      <c r="F3969" s="28"/>
      <c r="I3969" s="28" t="str">
        <f aca="false">IF(A3969="","",D3969*E3969)</f>
        <v/>
      </c>
      <c r="J3969" s="28" t="str">
        <f aca="false">IF(A3969="","",D3969*F3969)</f>
        <v/>
      </c>
      <c r="K3969" s="0" t="str">
        <f aca="false">IF(A3969="","",YEAR(A3969))</f>
        <v/>
      </c>
      <c r="L3969" s="0" t="str">
        <f aca="false">IF(A3969="","",MONTH(A3969))</f>
        <v/>
      </c>
    </row>
    <row r="3970" customFormat="false" ht="15" hidden="false" customHeight="false" outlineLevel="0" collapsed="false">
      <c r="A3970" s="27"/>
      <c r="E3970" s="28"/>
      <c r="F3970" s="28"/>
      <c r="I3970" s="28" t="str">
        <f aca="false">IF(A3970="","",D3970*E3970)</f>
        <v/>
      </c>
      <c r="J3970" s="28" t="str">
        <f aca="false">IF(A3970="","",D3970*F3970)</f>
        <v/>
      </c>
      <c r="K3970" s="0" t="str">
        <f aca="false">IF(A3970="","",YEAR(A3970))</f>
        <v/>
      </c>
      <c r="L3970" s="0" t="str">
        <f aca="false">IF(A3970="","",MONTH(A3970))</f>
        <v/>
      </c>
    </row>
    <row r="3971" customFormat="false" ht="15" hidden="false" customHeight="false" outlineLevel="0" collapsed="false">
      <c r="A3971" s="27"/>
      <c r="E3971" s="28"/>
      <c r="F3971" s="28"/>
      <c r="I3971" s="28" t="str">
        <f aca="false">IF(A3971="","",D3971*E3971)</f>
        <v/>
      </c>
      <c r="J3971" s="28" t="str">
        <f aca="false">IF(A3971="","",D3971*F3971)</f>
        <v/>
      </c>
      <c r="K3971" s="0" t="str">
        <f aca="false">IF(A3971="","",YEAR(A3971))</f>
        <v/>
      </c>
      <c r="L3971" s="0" t="str">
        <f aca="false">IF(A3971="","",MONTH(A3971))</f>
        <v/>
      </c>
    </row>
    <row r="3972" customFormat="false" ht="15" hidden="false" customHeight="false" outlineLevel="0" collapsed="false">
      <c r="A3972" s="27"/>
      <c r="E3972" s="28"/>
      <c r="F3972" s="28"/>
      <c r="I3972" s="28" t="str">
        <f aca="false">IF(A3972="","",D3972*E3972)</f>
        <v/>
      </c>
      <c r="J3972" s="28" t="str">
        <f aca="false">IF(A3972="","",D3972*F3972)</f>
        <v/>
      </c>
      <c r="K3972" s="0" t="str">
        <f aca="false">IF(A3972="","",YEAR(A3972))</f>
        <v/>
      </c>
      <c r="L3972" s="0" t="str">
        <f aca="false">IF(A3972="","",MONTH(A3972))</f>
        <v/>
      </c>
    </row>
    <row r="3973" customFormat="false" ht="15" hidden="false" customHeight="false" outlineLevel="0" collapsed="false">
      <c r="A3973" s="27"/>
      <c r="E3973" s="28"/>
      <c r="F3973" s="28"/>
      <c r="I3973" s="28" t="str">
        <f aca="false">IF(A3973="","",D3973*E3973)</f>
        <v/>
      </c>
      <c r="J3973" s="28" t="str">
        <f aca="false">IF(A3973="","",D3973*F3973)</f>
        <v/>
      </c>
      <c r="K3973" s="0" t="str">
        <f aca="false">IF(A3973="","",YEAR(A3973))</f>
        <v/>
      </c>
      <c r="L3973" s="0" t="str">
        <f aca="false">IF(A3973="","",MONTH(A3973))</f>
        <v/>
      </c>
    </row>
    <row r="3974" customFormat="false" ht="15" hidden="false" customHeight="false" outlineLevel="0" collapsed="false">
      <c r="A3974" s="27"/>
      <c r="E3974" s="28"/>
      <c r="F3974" s="28"/>
      <c r="I3974" s="28" t="str">
        <f aca="false">IF(A3974="","",D3974*E3974)</f>
        <v/>
      </c>
      <c r="J3974" s="28" t="str">
        <f aca="false">IF(A3974="","",D3974*F3974)</f>
        <v/>
      </c>
      <c r="K3974" s="0" t="str">
        <f aca="false">IF(A3974="","",YEAR(A3974))</f>
        <v/>
      </c>
      <c r="L3974" s="0" t="str">
        <f aca="false">IF(A3974="","",MONTH(A3974))</f>
        <v/>
      </c>
    </row>
    <row r="3975" customFormat="false" ht="15" hidden="false" customHeight="false" outlineLevel="0" collapsed="false">
      <c r="A3975" s="27"/>
      <c r="E3975" s="28"/>
      <c r="F3975" s="28"/>
      <c r="I3975" s="28" t="str">
        <f aca="false">IF(A3975="","",D3975*E3975)</f>
        <v/>
      </c>
      <c r="J3975" s="28" t="str">
        <f aca="false">IF(A3975="","",D3975*F3975)</f>
        <v/>
      </c>
      <c r="K3975" s="0" t="str">
        <f aca="false">IF(A3975="","",YEAR(A3975))</f>
        <v/>
      </c>
      <c r="L3975" s="0" t="str">
        <f aca="false">IF(A3975="","",MONTH(A3975))</f>
        <v/>
      </c>
    </row>
    <row r="3976" customFormat="false" ht="15" hidden="false" customHeight="false" outlineLevel="0" collapsed="false">
      <c r="A3976" s="27"/>
      <c r="E3976" s="28"/>
      <c r="F3976" s="28"/>
      <c r="I3976" s="28" t="str">
        <f aca="false">IF(A3976="","",D3976*E3976)</f>
        <v/>
      </c>
      <c r="J3976" s="28" t="str">
        <f aca="false">IF(A3976="","",D3976*F3976)</f>
        <v/>
      </c>
      <c r="K3976" s="0" t="str">
        <f aca="false">IF(A3976="","",YEAR(A3976))</f>
        <v/>
      </c>
      <c r="L3976" s="0" t="str">
        <f aca="false">IF(A3976="","",MONTH(A3976))</f>
        <v/>
      </c>
    </row>
    <row r="3977" customFormat="false" ht="15" hidden="false" customHeight="false" outlineLevel="0" collapsed="false">
      <c r="A3977" s="27"/>
      <c r="E3977" s="28"/>
      <c r="F3977" s="28"/>
      <c r="I3977" s="28" t="str">
        <f aca="false">IF(A3977="","",D3977*E3977)</f>
        <v/>
      </c>
      <c r="J3977" s="28" t="str">
        <f aca="false">IF(A3977="","",D3977*F3977)</f>
        <v/>
      </c>
      <c r="K3977" s="0" t="str">
        <f aca="false">IF(A3977="","",YEAR(A3977))</f>
        <v/>
      </c>
      <c r="L3977" s="0" t="str">
        <f aca="false">IF(A3977="","",MONTH(A3977))</f>
        <v/>
      </c>
    </row>
    <row r="3978" customFormat="false" ht="15" hidden="false" customHeight="false" outlineLevel="0" collapsed="false">
      <c r="A3978" s="27"/>
      <c r="E3978" s="28"/>
      <c r="F3978" s="28"/>
      <c r="I3978" s="28" t="str">
        <f aca="false">IF(A3978="","",D3978*E3978)</f>
        <v/>
      </c>
      <c r="J3978" s="28" t="str">
        <f aca="false">IF(A3978="","",D3978*F3978)</f>
        <v/>
      </c>
      <c r="K3978" s="0" t="str">
        <f aca="false">IF(A3978="","",YEAR(A3978))</f>
        <v/>
      </c>
      <c r="L3978" s="0" t="str">
        <f aca="false">IF(A3978="","",MONTH(A3978))</f>
        <v/>
      </c>
    </row>
    <row r="3979" customFormat="false" ht="15" hidden="false" customHeight="false" outlineLevel="0" collapsed="false">
      <c r="A3979" s="27"/>
      <c r="E3979" s="28"/>
      <c r="F3979" s="28"/>
      <c r="I3979" s="28" t="str">
        <f aca="false">IF(A3979="","",D3979*E3979)</f>
        <v/>
      </c>
      <c r="J3979" s="28" t="str">
        <f aca="false">IF(A3979="","",D3979*F3979)</f>
        <v/>
      </c>
      <c r="K3979" s="0" t="str">
        <f aca="false">IF(A3979="","",YEAR(A3979))</f>
        <v/>
      </c>
      <c r="L3979" s="0" t="str">
        <f aca="false">IF(A3979="","",MONTH(A3979))</f>
        <v/>
      </c>
    </row>
    <row r="3980" customFormat="false" ht="15" hidden="false" customHeight="false" outlineLevel="0" collapsed="false">
      <c r="A3980" s="27"/>
      <c r="E3980" s="28"/>
      <c r="F3980" s="28"/>
      <c r="I3980" s="28" t="str">
        <f aca="false">IF(A3980="","",D3980*E3980)</f>
        <v/>
      </c>
      <c r="J3980" s="28" t="str">
        <f aca="false">IF(A3980="","",D3980*F3980)</f>
        <v/>
      </c>
      <c r="K3980" s="0" t="str">
        <f aca="false">IF(A3980="","",YEAR(A3980))</f>
        <v/>
      </c>
      <c r="L3980" s="0" t="str">
        <f aca="false">IF(A3980="","",MONTH(A3980))</f>
        <v/>
      </c>
    </row>
    <row r="3981" customFormat="false" ht="15" hidden="false" customHeight="false" outlineLevel="0" collapsed="false">
      <c r="A3981" s="27"/>
      <c r="E3981" s="28"/>
      <c r="F3981" s="28"/>
      <c r="I3981" s="28" t="str">
        <f aca="false">IF(A3981="","",D3981*E3981)</f>
        <v/>
      </c>
      <c r="J3981" s="28" t="str">
        <f aca="false">IF(A3981="","",D3981*F3981)</f>
        <v/>
      </c>
      <c r="K3981" s="0" t="str">
        <f aca="false">IF(A3981="","",YEAR(A3981))</f>
        <v/>
      </c>
      <c r="L3981" s="0" t="str">
        <f aca="false">IF(A3981="","",MONTH(A3981))</f>
        <v/>
      </c>
    </row>
    <row r="3982" customFormat="false" ht="15" hidden="false" customHeight="false" outlineLevel="0" collapsed="false">
      <c r="A3982" s="27"/>
      <c r="E3982" s="28"/>
      <c r="F3982" s="28"/>
      <c r="I3982" s="28" t="str">
        <f aca="false">IF(A3982="","",D3982*E3982)</f>
        <v/>
      </c>
      <c r="J3982" s="28" t="str">
        <f aca="false">IF(A3982="","",D3982*F3982)</f>
        <v/>
      </c>
      <c r="K3982" s="0" t="str">
        <f aca="false">IF(A3982="","",YEAR(A3982))</f>
        <v/>
      </c>
      <c r="L3982" s="0" t="str">
        <f aca="false">IF(A3982="","",MONTH(A3982))</f>
        <v/>
      </c>
    </row>
    <row r="3983" customFormat="false" ht="15" hidden="false" customHeight="false" outlineLevel="0" collapsed="false">
      <c r="A3983" s="27"/>
      <c r="E3983" s="28"/>
      <c r="F3983" s="28"/>
      <c r="I3983" s="28" t="str">
        <f aca="false">IF(A3983="","",D3983*E3983)</f>
        <v/>
      </c>
      <c r="J3983" s="28" t="str">
        <f aca="false">IF(A3983="","",D3983*F3983)</f>
        <v/>
      </c>
      <c r="K3983" s="0" t="str">
        <f aca="false">IF(A3983="","",YEAR(A3983))</f>
        <v/>
      </c>
      <c r="L3983" s="0" t="str">
        <f aca="false">IF(A3983="","",MONTH(A3983))</f>
        <v/>
      </c>
    </row>
    <row r="3984" customFormat="false" ht="15" hidden="false" customHeight="false" outlineLevel="0" collapsed="false">
      <c r="A3984" s="27"/>
      <c r="E3984" s="28"/>
      <c r="F3984" s="28"/>
      <c r="I3984" s="28" t="str">
        <f aca="false">IF(A3984="","",D3984*E3984)</f>
        <v/>
      </c>
      <c r="J3984" s="28" t="str">
        <f aca="false">IF(A3984="","",D3984*F3984)</f>
        <v/>
      </c>
      <c r="K3984" s="0" t="str">
        <f aca="false">IF(A3984="","",YEAR(A3984))</f>
        <v/>
      </c>
      <c r="L3984" s="0" t="str">
        <f aca="false">IF(A3984="","",MONTH(A3984))</f>
        <v/>
      </c>
    </row>
    <row r="3985" customFormat="false" ht="15" hidden="false" customHeight="false" outlineLevel="0" collapsed="false">
      <c r="A3985" s="27"/>
      <c r="E3985" s="28"/>
      <c r="F3985" s="28"/>
      <c r="I3985" s="28" t="str">
        <f aca="false">IF(A3985="","",D3985*E3985)</f>
        <v/>
      </c>
      <c r="J3985" s="28" t="str">
        <f aca="false">IF(A3985="","",D3985*F3985)</f>
        <v/>
      </c>
      <c r="K3985" s="0" t="str">
        <f aca="false">IF(A3985="","",YEAR(A3985))</f>
        <v/>
      </c>
      <c r="L3985" s="0" t="str">
        <f aca="false">IF(A3985="","",MONTH(A3985))</f>
        <v/>
      </c>
    </row>
    <row r="3986" customFormat="false" ht="15" hidden="false" customHeight="false" outlineLevel="0" collapsed="false">
      <c r="A3986" s="27"/>
      <c r="E3986" s="28"/>
      <c r="F3986" s="28"/>
      <c r="I3986" s="28" t="str">
        <f aca="false">IF(A3986="","",D3986*E3986)</f>
        <v/>
      </c>
      <c r="J3986" s="28" t="str">
        <f aca="false">IF(A3986="","",D3986*F3986)</f>
        <v/>
      </c>
      <c r="K3986" s="0" t="str">
        <f aca="false">IF(A3986="","",YEAR(A3986))</f>
        <v/>
      </c>
      <c r="L3986" s="0" t="str">
        <f aca="false">IF(A3986="","",MONTH(A3986))</f>
        <v/>
      </c>
    </row>
    <row r="3987" customFormat="false" ht="15" hidden="false" customHeight="false" outlineLevel="0" collapsed="false">
      <c r="A3987" s="27"/>
      <c r="E3987" s="28"/>
      <c r="F3987" s="28"/>
      <c r="I3987" s="28" t="str">
        <f aca="false">IF(A3987="","",D3987*E3987)</f>
        <v/>
      </c>
      <c r="J3987" s="28" t="str">
        <f aca="false">IF(A3987="","",D3987*F3987)</f>
        <v/>
      </c>
      <c r="K3987" s="0" t="str">
        <f aca="false">IF(A3987="","",YEAR(A3987))</f>
        <v/>
      </c>
      <c r="L3987" s="0" t="str">
        <f aca="false">IF(A3987="","",MONTH(A3987))</f>
        <v/>
      </c>
    </row>
    <row r="3988" customFormat="false" ht="15" hidden="false" customHeight="false" outlineLevel="0" collapsed="false">
      <c r="A3988" s="27"/>
      <c r="E3988" s="28"/>
      <c r="F3988" s="28"/>
      <c r="I3988" s="28" t="str">
        <f aca="false">IF(A3988="","",D3988*E3988)</f>
        <v/>
      </c>
      <c r="J3988" s="28" t="str">
        <f aca="false">IF(A3988="","",D3988*F3988)</f>
        <v/>
      </c>
      <c r="K3988" s="0" t="str">
        <f aca="false">IF(A3988="","",YEAR(A3988))</f>
        <v/>
      </c>
      <c r="L3988" s="0" t="str">
        <f aca="false">IF(A3988="","",MONTH(A3988))</f>
        <v/>
      </c>
    </row>
    <row r="3989" customFormat="false" ht="15" hidden="false" customHeight="false" outlineLevel="0" collapsed="false">
      <c r="A3989" s="27"/>
      <c r="E3989" s="28"/>
      <c r="F3989" s="28"/>
      <c r="I3989" s="28" t="str">
        <f aca="false">IF(A3989="","",D3989*E3989)</f>
        <v/>
      </c>
      <c r="J3989" s="28" t="str">
        <f aca="false">IF(A3989="","",D3989*F3989)</f>
        <v/>
      </c>
      <c r="K3989" s="0" t="str">
        <f aca="false">IF(A3989="","",YEAR(A3989))</f>
        <v/>
      </c>
      <c r="L3989" s="0" t="str">
        <f aca="false">IF(A3989="","",MONTH(A3989))</f>
        <v/>
      </c>
    </row>
    <row r="3990" customFormat="false" ht="15" hidden="false" customHeight="false" outlineLevel="0" collapsed="false">
      <c r="A3990" s="27"/>
      <c r="E3990" s="28"/>
      <c r="F3990" s="28"/>
      <c r="I3990" s="28" t="str">
        <f aca="false">IF(A3990="","",D3990*E3990)</f>
        <v/>
      </c>
      <c r="J3990" s="28" t="str">
        <f aca="false">IF(A3990="","",D3990*F3990)</f>
        <v/>
      </c>
      <c r="K3990" s="0" t="str">
        <f aca="false">IF(A3990="","",YEAR(A3990))</f>
        <v/>
      </c>
      <c r="L3990" s="0" t="str">
        <f aca="false">IF(A3990="","",MONTH(A3990))</f>
        <v/>
      </c>
    </row>
    <row r="3991" customFormat="false" ht="15" hidden="false" customHeight="false" outlineLevel="0" collapsed="false">
      <c r="A3991" s="27"/>
      <c r="E3991" s="28"/>
      <c r="F3991" s="28"/>
      <c r="I3991" s="28" t="str">
        <f aca="false">IF(A3991="","",D3991*E3991)</f>
        <v/>
      </c>
      <c r="J3991" s="28" t="str">
        <f aca="false">IF(A3991="","",D3991*F3991)</f>
        <v/>
      </c>
      <c r="K3991" s="0" t="str">
        <f aca="false">IF(A3991="","",YEAR(A3991))</f>
        <v/>
      </c>
      <c r="L3991" s="0" t="str">
        <f aca="false">IF(A3991="","",MONTH(A3991))</f>
        <v/>
      </c>
    </row>
    <row r="3992" customFormat="false" ht="15" hidden="false" customHeight="false" outlineLevel="0" collapsed="false">
      <c r="A3992" s="27"/>
      <c r="E3992" s="28"/>
      <c r="F3992" s="28"/>
      <c r="I3992" s="28" t="str">
        <f aca="false">IF(A3992="","",D3992*E3992)</f>
        <v/>
      </c>
      <c r="J3992" s="28" t="str">
        <f aca="false">IF(A3992="","",D3992*F3992)</f>
        <v/>
      </c>
      <c r="K3992" s="0" t="str">
        <f aca="false">IF(A3992="","",YEAR(A3992))</f>
        <v/>
      </c>
      <c r="L3992" s="0" t="str">
        <f aca="false">IF(A3992="","",MONTH(A3992))</f>
        <v/>
      </c>
    </row>
    <row r="3993" customFormat="false" ht="15" hidden="false" customHeight="false" outlineLevel="0" collapsed="false">
      <c r="A3993" s="27"/>
      <c r="E3993" s="28"/>
      <c r="F3993" s="28"/>
      <c r="I3993" s="28" t="str">
        <f aca="false">IF(A3993="","",D3993*E3993)</f>
        <v/>
      </c>
      <c r="J3993" s="28" t="str">
        <f aca="false">IF(A3993="","",D3993*F3993)</f>
        <v/>
      </c>
      <c r="K3993" s="0" t="str">
        <f aca="false">IF(A3993="","",YEAR(A3993))</f>
        <v/>
      </c>
      <c r="L3993" s="0" t="str">
        <f aca="false">IF(A3993="","",MONTH(A3993))</f>
        <v/>
      </c>
    </row>
    <row r="3994" customFormat="false" ht="15" hidden="false" customHeight="false" outlineLevel="0" collapsed="false">
      <c r="A3994" s="27"/>
      <c r="E3994" s="28"/>
      <c r="F3994" s="28"/>
      <c r="I3994" s="28" t="str">
        <f aca="false">IF(A3994="","",D3994*E3994)</f>
        <v/>
      </c>
      <c r="J3994" s="28" t="str">
        <f aca="false">IF(A3994="","",D3994*F3994)</f>
        <v/>
      </c>
      <c r="K3994" s="0" t="str">
        <f aca="false">IF(A3994="","",YEAR(A3994))</f>
        <v/>
      </c>
      <c r="L3994" s="0" t="str">
        <f aca="false">IF(A3994="","",MONTH(A3994))</f>
        <v/>
      </c>
    </row>
    <row r="3995" customFormat="false" ht="15" hidden="false" customHeight="false" outlineLevel="0" collapsed="false">
      <c r="A3995" s="27"/>
      <c r="E3995" s="28"/>
      <c r="F3995" s="28"/>
      <c r="I3995" s="28" t="str">
        <f aca="false">IF(A3995="","",D3995*E3995)</f>
        <v/>
      </c>
      <c r="J3995" s="28" t="str">
        <f aca="false">IF(A3995="","",D3995*F3995)</f>
        <v/>
      </c>
      <c r="K3995" s="0" t="str">
        <f aca="false">IF(A3995="","",YEAR(A3995))</f>
        <v/>
      </c>
      <c r="L3995" s="0" t="str">
        <f aca="false">IF(A3995="","",MONTH(A3995))</f>
        <v/>
      </c>
    </row>
    <row r="3996" customFormat="false" ht="15" hidden="false" customHeight="false" outlineLevel="0" collapsed="false">
      <c r="A3996" s="27"/>
      <c r="E3996" s="28"/>
      <c r="F3996" s="28"/>
      <c r="I3996" s="28" t="str">
        <f aca="false">IF(A3996="","",D3996*E3996)</f>
        <v/>
      </c>
      <c r="J3996" s="28" t="str">
        <f aca="false">IF(A3996="","",D3996*F3996)</f>
        <v/>
      </c>
      <c r="K3996" s="0" t="str">
        <f aca="false">IF(A3996="","",YEAR(A3996))</f>
        <v/>
      </c>
      <c r="L3996" s="0" t="str">
        <f aca="false">IF(A3996="","",MONTH(A3996))</f>
        <v/>
      </c>
    </row>
    <row r="3997" customFormat="false" ht="15" hidden="false" customHeight="false" outlineLevel="0" collapsed="false">
      <c r="A3997" s="27"/>
      <c r="E3997" s="28"/>
      <c r="F3997" s="28"/>
      <c r="I3997" s="28" t="str">
        <f aca="false">IF(A3997="","",D3997*E3997)</f>
        <v/>
      </c>
      <c r="J3997" s="28" t="str">
        <f aca="false">IF(A3997="","",D3997*F3997)</f>
        <v/>
      </c>
      <c r="K3997" s="0" t="str">
        <f aca="false">IF(A3997="","",YEAR(A3997))</f>
        <v/>
      </c>
      <c r="L3997" s="0" t="str">
        <f aca="false">IF(A3997="","",MONTH(A3997))</f>
        <v/>
      </c>
    </row>
    <row r="3998" customFormat="false" ht="15" hidden="false" customHeight="false" outlineLevel="0" collapsed="false">
      <c r="A3998" s="27"/>
      <c r="E3998" s="28"/>
      <c r="F3998" s="28"/>
      <c r="I3998" s="28" t="str">
        <f aca="false">IF(A3998="","",D3998*E3998)</f>
        <v/>
      </c>
      <c r="J3998" s="28" t="str">
        <f aca="false">IF(A3998="","",D3998*F3998)</f>
        <v/>
      </c>
      <c r="K3998" s="0" t="str">
        <f aca="false">IF(A3998="","",YEAR(A3998))</f>
        <v/>
      </c>
      <c r="L3998" s="0" t="str">
        <f aca="false">IF(A3998="","",MONTH(A3998))</f>
        <v/>
      </c>
    </row>
    <row r="3999" customFormat="false" ht="15" hidden="false" customHeight="false" outlineLevel="0" collapsed="false">
      <c r="A3999" s="27"/>
      <c r="E3999" s="28"/>
      <c r="F3999" s="28"/>
      <c r="I3999" s="28" t="str">
        <f aca="false">IF(A3999="","",D3999*E3999)</f>
        <v/>
      </c>
      <c r="J3999" s="28" t="str">
        <f aca="false">IF(A3999="","",D3999*F3999)</f>
        <v/>
      </c>
      <c r="K3999" s="0" t="str">
        <f aca="false">IF(A3999="","",YEAR(A3999))</f>
        <v/>
      </c>
      <c r="L3999" s="0" t="str">
        <f aca="false">IF(A3999="","",MONTH(A3999))</f>
        <v/>
      </c>
    </row>
    <row r="4000" customFormat="false" ht="15" hidden="false" customHeight="false" outlineLevel="0" collapsed="false">
      <c r="A4000" s="27"/>
      <c r="E4000" s="28"/>
      <c r="F4000" s="28"/>
      <c r="I4000" s="28" t="str">
        <f aca="false">IF(A4000="","",D4000*E4000)</f>
        <v/>
      </c>
      <c r="J4000" s="28" t="str">
        <f aca="false">IF(A4000="","",D4000*F4000)</f>
        <v/>
      </c>
      <c r="K4000" s="0" t="str">
        <f aca="false">IF(A4000="","",YEAR(A4000))</f>
        <v/>
      </c>
      <c r="L4000" s="0" t="str">
        <f aca="false">IF(A4000="","",MONTH(A4000))</f>
        <v/>
      </c>
    </row>
    <row r="4001" customFormat="false" ht="15" hidden="false" customHeight="false" outlineLevel="0" collapsed="false">
      <c r="A4001" s="27"/>
      <c r="E4001" s="28"/>
      <c r="F4001" s="28"/>
      <c r="I4001" s="28" t="str">
        <f aca="false">IF(A4001="","",D4001*E4001)</f>
        <v/>
      </c>
      <c r="J4001" s="28" t="str">
        <f aca="false">IF(A4001="","",D4001*F4001)</f>
        <v/>
      </c>
      <c r="K4001" s="0" t="str">
        <f aca="false">IF(A4001="","",YEAR(A4001))</f>
        <v/>
      </c>
      <c r="L4001" s="0" t="str">
        <f aca="false">IF(A4001="","",MONTH(A4001))</f>
        <v/>
      </c>
    </row>
    <row r="4002" customFormat="false" ht="15" hidden="false" customHeight="false" outlineLevel="0" collapsed="false">
      <c r="A4002" s="27"/>
      <c r="E4002" s="28"/>
      <c r="F4002" s="28"/>
      <c r="I4002" s="28" t="str">
        <f aca="false">IF(A4002="","",D4002*E4002)</f>
        <v/>
      </c>
      <c r="J4002" s="28" t="str">
        <f aca="false">IF(A4002="","",D4002*F4002)</f>
        <v/>
      </c>
      <c r="K4002" s="0" t="str">
        <f aca="false">IF(A4002="","",YEAR(A4002))</f>
        <v/>
      </c>
      <c r="L4002" s="0" t="str">
        <f aca="false">IF(A4002="","",MONTH(A4002))</f>
        <v/>
      </c>
    </row>
    <row r="4003" customFormat="false" ht="15" hidden="false" customHeight="false" outlineLevel="0" collapsed="false">
      <c r="A4003" s="27"/>
      <c r="E4003" s="28"/>
      <c r="F4003" s="28"/>
      <c r="I4003" s="28" t="str">
        <f aca="false">IF(A4003="","",D4003*E4003)</f>
        <v/>
      </c>
      <c r="J4003" s="28" t="str">
        <f aca="false">IF(A4003="","",D4003*F4003)</f>
        <v/>
      </c>
      <c r="K4003" s="0" t="str">
        <f aca="false">IF(A4003="","",YEAR(A4003))</f>
        <v/>
      </c>
      <c r="L4003" s="0" t="str">
        <f aca="false">IF(A4003="","",MONTH(A4003))</f>
        <v/>
      </c>
    </row>
    <row r="4004" customFormat="false" ht="15" hidden="false" customHeight="false" outlineLevel="0" collapsed="false">
      <c r="A4004" s="27"/>
      <c r="E4004" s="28"/>
      <c r="F4004" s="28"/>
      <c r="I4004" s="28" t="str">
        <f aca="false">IF(A4004="","",D4004*E4004)</f>
        <v/>
      </c>
      <c r="J4004" s="28" t="str">
        <f aca="false">IF(A4004="","",D4004*F4004)</f>
        <v/>
      </c>
      <c r="K4004" s="0" t="str">
        <f aca="false">IF(A4004="","",YEAR(A4004))</f>
        <v/>
      </c>
      <c r="L4004" s="0" t="str">
        <f aca="false">IF(A4004="","",MONTH(A4004))</f>
        <v/>
      </c>
    </row>
    <row r="4005" customFormat="false" ht="15" hidden="false" customHeight="false" outlineLevel="0" collapsed="false">
      <c r="A4005" s="27"/>
      <c r="E4005" s="28"/>
      <c r="F4005" s="28"/>
      <c r="I4005" s="28" t="str">
        <f aca="false">IF(A4005="","",D4005*E4005)</f>
        <v/>
      </c>
      <c r="J4005" s="28" t="str">
        <f aca="false">IF(A4005="","",D4005*F4005)</f>
        <v/>
      </c>
      <c r="K4005" s="0" t="str">
        <f aca="false">IF(A4005="","",YEAR(A4005))</f>
        <v/>
      </c>
      <c r="L4005" s="0" t="str">
        <f aca="false">IF(A4005="","",MONTH(A4005))</f>
        <v/>
      </c>
    </row>
    <row r="4006" customFormat="false" ht="15" hidden="false" customHeight="false" outlineLevel="0" collapsed="false">
      <c r="A4006" s="27"/>
      <c r="E4006" s="28"/>
      <c r="F4006" s="28"/>
      <c r="I4006" s="28" t="str">
        <f aca="false">IF(A4006="","",D4006*E4006)</f>
        <v/>
      </c>
      <c r="J4006" s="28" t="str">
        <f aca="false">IF(A4006="","",D4006*F4006)</f>
        <v/>
      </c>
      <c r="K4006" s="0" t="str">
        <f aca="false">IF(A4006="","",YEAR(A4006))</f>
        <v/>
      </c>
      <c r="L4006" s="0" t="str">
        <f aca="false">IF(A4006="","",MONTH(A4006))</f>
        <v/>
      </c>
    </row>
    <row r="4007" customFormat="false" ht="15" hidden="false" customHeight="false" outlineLevel="0" collapsed="false">
      <c r="A4007" s="27"/>
      <c r="E4007" s="28"/>
      <c r="F4007" s="28"/>
      <c r="I4007" s="28" t="str">
        <f aca="false">IF(A4007="","",D4007*E4007)</f>
        <v/>
      </c>
      <c r="J4007" s="28" t="str">
        <f aca="false">IF(A4007="","",D4007*F4007)</f>
        <v/>
      </c>
      <c r="K4007" s="0" t="str">
        <f aca="false">IF(A4007="","",YEAR(A4007))</f>
        <v/>
      </c>
      <c r="L4007" s="0" t="str">
        <f aca="false">IF(A4007="","",MONTH(A4007))</f>
        <v/>
      </c>
    </row>
    <row r="4008" customFormat="false" ht="15" hidden="false" customHeight="false" outlineLevel="0" collapsed="false">
      <c r="A4008" s="27"/>
      <c r="E4008" s="28"/>
      <c r="F4008" s="28"/>
      <c r="I4008" s="28" t="str">
        <f aca="false">IF(A4008="","",D4008*E4008)</f>
        <v/>
      </c>
      <c r="J4008" s="28" t="str">
        <f aca="false">IF(A4008="","",D4008*F4008)</f>
        <v/>
      </c>
      <c r="K4008" s="0" t="str">
        <f aca="false">IF(A4008="","",YEAR(A4008))</f>
        <v/>
      </c>
      <c r="L4008" s="0" t="str">
        <f aca="false">IF(A4008="","",MONTH(A4008))</f>
        <v/>
      </c>
    </row>
    <row r="4009" customFormat="false" ht="15" hidden="false" customHeight="false" outlineLevel="0" collapsed="false">
      <c r="A4009" s="27"/>
      <c r="E4009" s="28"/>
      <c r="F4009" s="28"/>
      <c r="I4009" s="28" t="str">
        <f aca="false">IF(A4009="","",D4009*E4009)</f>
        <v/>
      </c>
      <c r="J4009" s="28" t="str">
        <f aca="false">IF(A4009="","",D4009*F4009)</f>
        <v/>
      </c>
      <c r="K4009" s="0" t="str">
        <f aca="false">IF(A4009="","",YEAR(A4009))</f>
        <v/>
      </c>
      <c r="L4009" s="0" t="str">
        <f aca="false">IF(A4009="","",MONTH(A4009))</f>
        <v/>
      </c>
    </row>
    <row r="4010" customFormat="false" ht="15" hidden="false" customHeight="false" outlineLevel="0" collapsed="false">
      <c r="A4010" s="27"/>
      <c r="E4010" s="28"/>
      <c r="F4010" s="28"/>
      <c r="I4010" s="28" t="str">
        <f aca="false">IF(A4010="","",D4010*E4010)</f>
        <v/>
      </c>
      <c r="J4010" s="28" t="str">
        <f aca="false">IF(A4010="","",D4010*F4010)</f>
        <v/>
      </c>
      <c r="K4010" s="0" t="str">
        <f aca="false">IF(A4010="","",YEAR(A4010))</f>
        <v/>
      </c>
      <c r="L4010" s="0" t="str">
        <f aca="false">IF(A4010="","",MONTH(A4010))</f>
        <v/>
      </c>
    </row>
    <row r="4011" customFormat="false" ht="15" hidden="false" customHeight="false" outlineLevel="0" collapsed="false">
      <c r="A4011" s="27"/>
      <c r="E4011" s="28"/>
      <c r="F4011" s="28"/>
      <c r="I4011" s="28" t="str">
        <f aca="false">IF(A4011="","",D4011*E4011)</f>
        <v/>
      </c>
      <c r="J4011" s="28" t="str">
        <f aca="false">IF(A4011="","",D4011*F4011)</f>
        <v/>
      </c>
      <c r="K4011" s="0" t="str">
        <f aca="false">IF(A4011="","",YEAR(A4011))</f>
        <v/>
      </c>
      <c r="L4011" s="0" t="str">
        <f aca="false">IF(A4011="","",MONTH(A4011))</f>
        <v/>
      </c>
    </row>
    <row r="4012" customFormat="false" ht="15" hidden="false" customHeight="false" outlineLevel="0" collapsed="false">
      <c r="A4012" s="27"/>
      <c r="E4012" s="28"/>
      <c r="F4012" s="28"/>
      <c r="I4012" s="28" t="str">
        <f aca="false">IF(A4012="","",D4012*E4012)</f>
        <v/>
      </c>
      <c r="J4012" s="28" t="str">
        <f aca="false">IF(A4012="","",D4012*F4012)</f>
        <v/>
      </c>
      <c r="K4012" s="0" t="str">
        <f aca="false">IF(A4012="","",YEAR(A4012))</f>
        <v/>
      </c>
      <c r="L4012" s="0" t="str">
        <f aca="false">IF(A4012="","",MONTH(A4012))</f>
        <v/>
      </c>
    </row>
    <row r="4013" customFormat="false" ht="15" hidden="false" customHeight="false" outlineLevel="0" collapsed="false">
      <c r="A4013" s="27"/>
      <c r="E4013" s="28"/>
      <c r="F4013" s="28"/>
      <c r="I4013" s="28" t="str">
        <f aca="false">IF(A4013="","",D4013*E4013)</f>
        <v/>
      </c>
      <c r="J4013" s="28" t="str">
        <f aca="false">IF(A4013="","",D4013*F4013)</f>
        <v/>
      </c>
      <c r="K4013" s="0" t="str">
        <f aca="false">IF(A4013="","",YEAR(A4013))</f>
        <v/>
      </c>
      <c r="L4013" s="0" t="str">
        <f aca="false">IF(A4013="","",MONTH(A4013))</f>
        <v/>
      </c>
    </row>
    <row r="4014" customFormat="false" ht="15" hidden="false" customHeight="false" outlineLevel="0" collapsed="false">
      <c r="A4014" s="27"/>
      <c r="E4014" s="28"/>
      <c r="F4014" s="28"/>
      <c r="I4014" s="28" t="str">
        <f aca="false">IF(A4014="","",D4014*E4014)</f>
        <v/>
      </c>
      <c r="J4014" s="28" t="str">
        <f aca="false">IF(A4014="","",D4014*F4014)</f>
        <v/>
      </c>
      <c r="K4014" s="0" t="str">
        <f aca="false">IF(A4014="","",YEAR(A4014))</f>
        <v/>
      </c>
      <c r="L4014" s="0" t="str">
        <f aca="false">IF(A4014="","",MONTH(A4014))</f>
        <v/>
      </c>
    </row>
    <row r="4015" customFormat="false" ht="15" hidden="false" customHeight="false" outlineLevel="0" collapsed="false">
      <c r="A4015" s="27"/>
      <c r="E4015" s="28"/>
      <c r="F4015" s="28"/>
      <c r="I4015" s="28" t="str">
        <f aca="false">IF(A4015="","",D4015*E4015)</f>
        <v/>
      </c>
      <c r="J4015" s="28" t="str">
        <f aca="false">IF(A4015="","",D4015*F4015)</f>
        <v/>
      </c>
      <c r="K4015" s="0" t="str">
        <f aca="false">IF(A4015="","",YEAR(A4015))</f>
        <v/>
      </c>
      <c r="L4015" s="0" t="str">
        <f aca="false">IF(A4015="","",MONTH(A4015))</f>
        <v/>
      </c>
    </row>
    <row r="4016" customFormat="false" ht="15" hidden="false" customHeight="false" outlineLevel="0" collapsed="false">
      <c r="A4016" s="27"/>
      <c r="E4016" s="28"/>
      <c r="F4016" s="28"/>
      <c r="I4016" s="28" t="str">
        <f aca="false">IF(A4016="","",D4016*E4016)</f>
        <v/>
      </c>
      <c r="J4016" s="28" t="str">
        <f aca="false">IF(A4016="","",D4016*F4016)</f>
        <v/>
      </c>
      <c r="K4016" s="0" t="str">
        <f aca="false">IF(A4016="","",YEAR(A4016))</f>
        <v/>
      </c>
      <c r="L4016" s="0" t="str">
        <f aca="false">IF(A4016="","",MONTH(A4016))</f>
        <v/>
      </c>
    </row>
    <row r="4017" customFormat="false" ht="15" hidden="false" customHeight="false" outlineLevel="0" collapsed="false">
      <c r="A4017" s="27"/>
      <c r="E4017" s="28"/>
      <c r="F4017" s="28"/>
      <c r="I4017" s="28" t="str">
        <f aca="false">IF(A4017="","",D4017*E4017)</f>
        <v/>
      </c>
      <c r="J4017" s="28" t="str">
        <f aca="false">IF(A4017="","",D4017*F4017)</f>
        <v/>
      </c>
      <c r="K4017" s="0" t="str">
        <f aca="false">IF(A4017="","",YEAR(A4017))</f>
        <v/>
      </c>
      <c r="L4017" s="0" t="str">
        <f aca="false">IF(A4017="","",MONTH(A4017))</f>
        <v/>
      </c>
    </row>
    <row r="4018" customFormat="false" ht="15" hidden="false" customHeight="false" outlineLevel="0" collapsed="false">
      <c r="A4018" s="27"/>
      <c r="E4018" s="28"/>
      <c r="F4018" s="28"/>
      <c r="I4018" s="28" t="str">
        <f aca="false">IF(A4018="","",D4018*E4018)</f>
        <v/>
      </c>
      <c r="J4018" s="28" t="str">
        <f aca="false">IF(A4018="","",D4018*F4018)</f>
        <v/>
      </c>
      <c r="K4018" s="0" t="str">
        <f aca="false">IF(A4018="","",YEAR(A4018))</f>
        <v/>
      </c>
      <c r="L4018" s="0" t="str">
        <f aca="false">IF(A4018="","",MONTH(A4018))</f>
        <v/>
      </c>
    </row>
    <row r="4019" customFormat="false" ht="15" hidden="false" customHeight="false" outlineLevel="0" collapsed="false">
      <c r="A4019" s="27"/>
      <c r="E4019" s="28"/>
      <c r="F4019" s="28"/>
      <c r="I4019" s="28" t="str">
        <f aca="false">IF(A4019="","",D4019*E4019)</f>
        <v/>
      </c>
      <c r="J4019" s="28" t="str">
        <f aca="false">IF(A4019="","",D4019*F4019)</f>
        <v/>
      </c>
      <c r="K4019" s="0" t="str">
        <f aca="false">IF(A4019="","",YEAR(A4019))</f>
        <v/>
      </c>
      <c r="L4019" s="0" t="str">
        <f aca="false">IF(A4019="","",MONTH(A4019))</f>
        <v/>
      </c>
    </row>
    <row r="4020" customFormat="false" ht="15" hidden="false" customHeight="false" outlineLevel="0" collapsed="false">
      <c r="A4020" s="27"/>
      <c r="E4020" s="28"/>
      <c r="F4020" s="28"/>
      <c r="I4020" s="28" t="str">
        <f aca="false">IF(A4020="","",D4020*E4020)</f>
        <v/>
      </c>
      <c r="J4020" s="28" t="str">
        <f aca="false">IF(A4020="","",D4020*F4020)</f>
        <v/>
      </c>
      <c r="K4020" s="0" t="str">
        <f aca="false">IF(A4020="","",YEAR(A4020))</f>
        <v/>
      </c>
      <c r="L4020" s="0" t="str">
        <f aca="false">IF(A4020="","",MONTH(A4020))</f>
        <v/>
      </c>
    </row>
    <row r="4021" customFormat="false" ht="15" hidden="false" customHeight="false" outlineLevel="0" collapsed="false">
      <c r="A4021" s="27"/>
      <c r="E4021" s="28"/>
      <c r="F4021" s="28"/>
      <c r="I4021" s="28" t="str">
        <f aca="false">IF(A4021="","",D4021*E4021)</f>
        <v/>
      </c>
      <c r="J4021" s="28" t="str">
        <f aca="false">IF(A4021="","",D4021*F4021)</f>
        <v/>
      </c>
      <c r="K4021" s="0" t="str">
        <f aca="false">IF(A4021="","",YEAR(A4021))</f>
        <v/>
      </c>
      <c r="L4021" s="0" t="str">
        <f aca="false">IF(A4021="","",MONTH(A4021))</f>
        <v/>
      </c>
    </row>
    <row r="4022" customFormat="false" ht="15" hidden="false" customHeight="false" outlineLevel="0" collapsed="false">
      <c r="A4022" s="27"/>
      <c r="E4022" s="28"/>
      <c r="F4022" s="28"/>
      <c r="I4022" s="28" t="str">
        <f aca="false">IF(A4022="","",D4022*E4022)</f>
        <v/>
      </c>
      <c r="J4022" s="28" t="str">
        <f aca="false">IF(A4022="","",D4022*F4022)</f>
        <v/>
      </c>
      <c r="K4022" s="0" t="str">
        <f aca="false">IF(A4022="","",YEAR(A4022))</f>
        <v/>
      </c>
      <c r="L4022" s="0" t="str">
        <f aca="false">IF(A4022="","",MONTH(A4022))</f>
        <v/>
      </c>
    </row>
    <row r="4023" customFormat="false" ht="15" hidden="false" customHeight="false" outlineLevel="0" collapsed="false">
      <c r="A4023" s="27"/>
      <c r="E4023" s="28"/>
      <c r="F4023" s="28"/>
      <c r="I4023" s="28" t="str">
        <f aca="false">IF(A4023="","",D4023*E4023)</f>
        <v/>
      </c>
      <c r="J4023" s="28" t="str">
        <f aca="false">IF(A4023="","",D4023*F4023)</f>
        <v/>
      </c>
      <c r="K4023" s="0" t="str">
        <f aca="false">IF(A4023="","",YEAR(A4023))</f>
        <v/>
      </c>
      <c r="L4023" s="0" t="str">
        <f aca="false">IF(A4023="","",MONTH(A4023))</f>
        <v/>
      </c>
    </row>
    <row r="4024" customFormat="false" ht="15" hidden="false" customHeight="false" outlineLevel="0" collapsed="false">
      <c r="A4024" s="27"/>
      <c r="E4024" s="28"/>
      <c r="F4024" s="28"/>
      <c r="I4024" s="28" t="str">
        <f aca="false">IF(A4024="","",D4024*E4024)</f>
        <v/>
      </c>
      <c r="J4024" s="28" t="str">
        <f aca="false">IF(A4024="","",D4024*F4024)</f>
        <v/>
      </c>
      <c r="K4024" s="0" t="str">
        <f aca="false">IF(A4024="","",YEAR(A4024))</f>
        <v/>
      </c>
      <c r="L4024" s="0" t="str">
        <f aca="false">IF(A4024="","",MONTH(A4024))</f>
        <v/>
      </c>
    </row>
    <row r="4025" customFormat="false" ht="15" hidden="false" customHeight="false" outlineLevel="0" collapsed="false">
      <c r="A4025" s="27"/>
      <c r="E4025" s="28"/>
      <c r="F4025" s="28"/>
      <c r="I4025" s="28" t="str">
        <f aca="false">IF(A4025="","",D4025*E4025)</f>
        <v/>
      </c>
      <c r="J4025" s="28" t="str">
        <f aca="false">IF(A4025="","",D4025*F4025)</f>
        <v/>
      </c>
      <c r="K4025" s="0" t="str">
        <f aca="false">IF(A4025="","",YEAR(A4025))</f>
        <v/>
      </c>
      <c r="L4025" s="0" t="str">
        <f aca="false">IF(A4025="","",MONTH(A4025))</f>
        <v/>
      </c>
    </row>
    <row r="4026" customFormat="false" ht="15" hidden="false" customHeight="false" outlineLevel="0" collapsed="false">
      <c r="A4026" s="27"/>
      <c r="E4026" s="28"/>
      <c r="F4026" s="28"/>
      <c r="I4026" s="28" t="str">
        <f aca="false">IF(A4026="","",D4026*E4026)</f>
        <v/>
      </c>
      <c r="J4026" s="28" t="str">
        <f aca="false">IF(A4026="","",D4026*F4026)</f>
        <v/>
      </c>
      <c r="K4026" s="0" t="str">
        <f aca="false">IF(A4026="","",YEAR(A4026))</f>
        <v/>
      </c>
      <c r="L4026" s="0" t="str">
        <f aca="false">IF(A4026="","",MONTH(A4026))</f>
        <v/>
      </c>
    </row>
    <row r="4027" customFormat="false" ht="15" hidden="false" customHeight="false" outlineLevel="0" collapsed="false">
      <c r="A4027" s="27"/>
      <c r="E4027" s="28"/>
      <c r="F4027" s="28"/>
      <c r="I4027" s="28" t="str">
        <f aca="false">IF(A4027="","",D4027*E4027)</f>
        <v/>
      </c>
      <c r="J4027" s="28" t="str">
        <f aca="false">IF(A4027="","",D4027*F4027)</f>
        <v/>
      </c>
      <c r="K4027" s="0" t="str">
        <f aca="false">IF(A4027="","",YEAR(A4027))</f>
        <v/>
      </c>
      <c r="L4027" s="0" t="str">
        <f aca="false">IF(A4027="","",MONTH(A4027))</f>
        <v/>
      </c>
    </row>
    <row r="4028" customFormat="false" ht="15" hidden="false" customHeight="false" outlineLevel="0" collapsed="false">
      <c r="A4028" s="27"/>
      <c r="E4028" s="28"/>
      <c r="F4028" s="28"/>
      <c r="I4028" s="28" t="str">
        <f aca="false">IF(A4028="","",D4028*E4028)</f>
        <v/>
      </c>
      <c r="J4028" s="28" t="str">
        <f aca="false">IF(A4028="","",D4028*F4028)</f>
        <v/>
      </c>
      <c r="K4028" s="0" t="str">
        <f aca="false">IF(A4028="","",YEAR(A4028))</f>
        <v/>
      </c>
      <c r="L4028" s="0" t="str">
        <f aca="false">IF(A4028="","",MONTH(A4028))</f>
        <v/>
      </c>
    </row>
    <row r="4029" customFormat="false" ht="15" hidden="false" customHeight="false" outlineLevel="0" collapsed="false">
      <c r="A4029" s="27"/>
      <c r="E4029" s="28"/>
      <c r="F4029" s="28"/>
      <c r="I4029" s="28" t="str">
        <f aca="false">IF(A4029="","",D4029*E4029)</f>
        <v/>
      </c>
      <c r="J4029" s="28" t="str">
        <f aca="false">IF(A4029="","",D4029*F4029)</f>
        <v/>
      </c>
      <c r="K4029" s="0" t="str">
        <f aca="false">IF(A4029="","",YEAR(A4029))</f>
        <v/>
      </c>
      <c r="L4029" s="0" t="str">
        <f aca="false">IF(A4029="","",MONTH(A4029))</f>
        <v/>
      </c>
    </row>
    <row r="4030" customFormat="false" ht="15" hidden="false" customHeight="false" outlineLevel="0" collapsed="false">
      <c r="A4030" s="27"/>
      <c r="E4030" s="28"/>
      <c r="F4030" s="28"/>
      <c r="I4030" s="28" t="str">
        <f aca="false">IF(A4030="","",D4030*E4030)</f>
        <v/>
      </c>
      <c r="J4030" s="28" t="str">
        <f aca="false">IF(A4030="","",D4030*F4030)</f>
        <v/>
      </c>
      <c r="K4030" s="0" t="str">
        <f aca="false">IF(A4030="","",YEAR(A4030))</f>
        <v/>
      </c>
      <c r="L4030" s="0" t="str">
        <f aca="false">IF(A4030="","",MONTH(A4030))</f>
        <v/>
      </c>
    </row>
    <row r="4031" customFormat="false" ht="15" hidden="false" customHeight="false" outlineLevel="0" collapsed="false">
      <c r="A4031" s="27"/>
      <c r="E4031" s="28"/>
      <c r="F4031" s="28"/>
      <c r="I4031" s="28" t="str">
        <f aca="false">IF(A4031="","",D4031*E4031)</f>
        <v/>
      </c>
      <c r="J4031" s="28" t="str">
        <f aca="false">IF(A4031="","",D4031*F4031)</f>
        <v/>
      </c>
      <c r="K4031" s="0" t="str">
        <f aca="false">IF(A4031="","",YEAR(A4031))</f>
        <v/>
      </c>
      <c r="L4031" s="0" t="str">
        <f aca="false">IF(A4031="","",MONTH(A4031))</f>
        <v/>
      </c>
    </row>
    <row r="4032" customFormat="false" ht="15" hidden="false" customHeight="false" outlineLevel="0" collapsed="false">
      <c r="A4032" s="27"/>
      <c r="E4032" s="28"/>
      <c r="F4032" s="28"/>
      <c r="I4032" s="28" t="str">
        <f aca="false">IF(A4032="","",D4032*E4032)</f>
        <v/>
      </c>
      <c r="J4032" s="28" t="str">
        <f aca="false">IF(A4032="","",D4032*F4032)</f>
        <v/>
      </c>
      <c r="K4032" s="0" t="str">
        <f aca="false">IF(A4032="","",YEAR(A4032))</f>
        <v/>
      </c>
      <c r="L4032" s="0" t="str">
        <f aca="false">IF(A4032="","",MONTH(A4032))</f>
        <v/>
      </c>
    </row>
    <row r="4033" customFormat="false" ht="15" hidden="false" customHeight="false" outlineLevel="0" collapsed="false">
      <c r="A4033" s="27"/>
      <c r="E4033" s="28"/>
      <c r="F4033" s="28"/>
      <c r="I4033" s="28" t="str">
        <f aca="false">IF(A4033="","",D4033*E4033)</f>
        <v/>
      </c>
      <c r="J4033" s="28" t="str">
        <f aca="false">IF(A4033="","",D4033*F4033)</f>
        <v/>
      </c>
      <c r="K4033" s="0" t="str">
        <f aca="false">IF(A4033="","",YEAR(A4033))</f>
        <v/>
      </c>
      <c r="L4033" s="0" t="str">
        <f aca="false">IF(A4033="","",MONTH(A4033))</f>
        <v/>
      </c>
    </row>
    <row r="4034" customFormat="false" ht="15" hidden="false" customHeight="false" outlineLevel="0" collapsed="false">
      <c r="A4034" s="27"/>
      <c r="E4034" s="28"/>
      <c r="F4034" s="28"/>
      <c r="I4034" s="28" t="str">
        <f aca="false">IF(A4034="","",D4034*E4034)</f>
        <v/>
      </c>
      <c r="J4034" s="28" t="str">
        <f aca="false">IF(A4034="","",D4034*F4034)</f>
        <v/>
      </c>
      <c r="K4034" s="0" t="str">
        <f aca="false">IF(A4034="","",YEAR(A4034))</f>
        <v/>
      </c>
      <c r="L4034" s="0" t="str">
        <f aca="false">IF(A4034="","",MONTH(A4034))</f>
        <v/>
      </c>
    </row>
    <row r="4035" customFormat="false" ht="15" hidden="false" customHeight="false" outlineLevel="0" collapsed="false">
      <c r="A4035" s="27"/>
      <c r="E4035" s="28"/>
      <c r="F4035" s="28"/>
      <c r="I4035" s="28" t="str">
        <f aca="false">IF(A4035="","",D4035*E4035)</f>
        <v/>
      </c>
      <c r="J4035" s="28" t="str">
        <f aca="false">IF(A4035="","",D4035*F4035)</f>
        <v/>
      </c>
      <c r="K4035" s="0" t="str">
        <f aca="false">IF(A4035="","",YEAR(A4035))</f>
        <v/>
      </c>
      <c r="L4035" s="0" t="str">
        <f aca="false">IF(A4035="","",MONTH(A4035))</f>
        <v/>
      </c>
    </row>
    <row r="4036" customFormat="false" ht="15" hidden="false" customHeight="false" outlineLevel="0" collapsed="false">
      <c r="A4036" s="27"/>
      <c r="E4036" s="28"/>
      <c r="F4036" s="28"/>
      <c r="I4036" s="28" t="str">
        <f aca="false">IF(A4036="","",D4036*E4036)</f>
        <v/>
      </c>
      <c r="J4036" s="28" t="str">
        <f aca="false">IF(A4036="","",D4036*F4036)</f>
        <v/>
      </c>
      <c r="K4036" s="0" t="str">
        <f aca="false">IF(A4036="","",YEAR(A4036))</f>
        <v/>
      </c>
      <c r="L4036" s="0" t="str">
        <f aca="false">IF(A4036="","",MONTH(A4036))</f>
        <v/>
      </c>
    </row>
    <row r="4037" customFormat="false" ht="15" hidden="false" customHeight="false" outlineLevel="0" collapsed="false">
      <c r="A4037" s="27"/>
      <c r="E4037" s="28"/>
      <c r="F4037" s="28"/>
      <c r="I4037" s="28" t="str">
        <f aca="false">IF(A4037="","",D4037*E4037)</f>
        <v/>
      </c>
      <c r="J4037" s="28" t="str">
        <f aca="false">IF(A4037="","",D4037*F4037)</f>
        <v/>
      </c>
      <c r="K4037" s="0" t="str">
        <f aca="false">IF(A4037="","",YEAR(A4037))</f>
        <v/>
      </c>
      <c r="L4037" s="0" t="str">
        <f aca="false">IF(A4037="","",MONTH(A4037))</f>
        <v/>
      </c>
    </row>
    <row r="4038" customFormat="false" ht="15" hidden="false" customHeight="false" outlineLevel="0" collapsed="false">
      <c r="A4038" s="27"/>
      <c r="E4038" s="28"/>
      <c r="F4038" s="28"/>
      <c r="I4038" s="28" t="str">
        <f aca="false">IF(A4038="","",D4038*E4038)</f>
        <v/>
      </c>
      <c r="J4038" s="28" t="str">
        <f aca="false">IF(A4038="","",D4038*F4038)</f>
        <v/>
      </c>
      <c r="K4038" s="0" t="str">
        <f aca="false">IF(A4038="","",YEAR(A4038))</f>
        <v/>
      </c>
      <c r="L4038" s="0" t="str">
        <f aca="false">IF(A4038="","",MONTH(A4038))</f>
        <v/>
      </c>
    </row>
    <row r="4039" customFormat="false" ht="15" hidden="false" customHeight="false" outlineLevel="0" collapsed="false">
      <c r="A4039" s="27"/>
      <c r="E4039" s="28"/>
      <c r="F4039" s="28"/>
      <c r="I4039" s="28" t="str">
        <f aca="false">IF(A4039="","",D4039*E4039)</f>
        <v/>
      </c>
      <c r="J4039" s="28" t="str">
        <f aca="false">IF(A4039="","",D4039*F4039)</f>
        <v/>
      </c>
      <c r="K4039" s="0" t="str">
        <f aca="false">IF(A4039="","",YEAR(A4039))</f>
        <v/>
      </c>
      <c r="L4039" s="0" t="str">
        <f aca="false">IF(A4039="","",MONTH(A4039))</f>
        <v/>
      </c>
    </row>
    <row r="4040" customFormat="false" ht="15" hidden="false" customHeight="false" outlineLevel="0" collapsed="false">
      <c r="A4040" s="27"/>
      <c r="E4040" s="28"/>
      <c r="F4040" s="28"/>
      <c r="I4040" s="28" t="str">
        <f aca="false">IF(A4040="","",D4040*E4040)</f>
        <v/>
      </c>
      <c r="J4040" s="28" t="str">
        <f aca="false">IF(A4040="","",D4040*F4040)</f>
        <v/>
      </c>
      <c r="K4040" s="0" t="str">
        <f aca="false">IF(A4040="","",YEAR(A4040))</f>
        <v/>
      </c>
      <c r="L4040" s="0" t="str">
        <f aca="false">IF(A4040="","",MONTH(A4040))</f>
        <v/>
      </c>
    </row>
    <row r="4041" customFormat="false" ht="15" hidden="false" customHeight="false" outlineLevel="0" collapsed="false">
      <c r="A4041" s="27"/>
      <c r="E4041" s="28"/>
      <c r="F4041" s="28"/>
      <c r="I4041" s="28" t="str">
        <f aca="false">IF(A4041="","",D4041*E4041)</f>
        <v/>
      </c>
      <c r="J4041" s="28" t="str">
        <f aca="false">IF(A4041="","",D4041*F4041)</f>
        <v/>
      </c>
      <c r="K4041" s="0" t="str">
        <f aca="false">IF(A4041="","",YEAR(A4041))</f>
        <v/>
      </c>
      <c r="L4041" s="0" t="str">
        <f aca="false">IF(A4041="","",MONTH(A4041))</f>
        <v/>
      </c>
    </row>
    <row r="4042" customFormat="false" ht="15" hidden="false" customHeight="false" outlineLevel="0" collapsed="false">
      <c r="A4042" s="27"/>
      <c r="E4042" s="28"/>
      <c r="F4042" s="28"/>
      <c r="I4042" s="28" t="str">
        <f aca="false">IF(A4042="","",D4042*E4042)</f>
        <v/>
      </c>
      <c r="J4042" s="28" t="str">
        <f aca="false">IF(A4042="","",D4042*F4042)</f>
        <v/>
      </c>
      <c r="K4042" s="0" t="str">
        <f aca="false">IF(A4042="","",YEAR(A4042))</f>
        <v/>
      </c>
      <c r="L4042" s="0" t="str">
        <f aca="false">IF(A4042="","",MONTH(A4042))</f>
        <v/>
      </c>
    </row>
    <row r="4043" customFormat="false" ht="15" hidden="false" customHeight="false" outlineLevel="0" collapsed="false">
      <c r="A4043" s="27"/>
      <c r="E4043" s="28"/>
      <c r="F4043" s="28"/>
      <c r="I4043" s="28" t="str">
        <f aca="false">IF(A4043="","",D4043*E4043)</f>
        <v/>
      </c>
      <c r="J4043" s="28" t="str">
        <f aca="false">IF(A4043="","",D4043*F4043)</f>
        <v/>
      </c>
      <c r="K4043" s="0" t="str">
        <f aca="false">IF(A4043="","",YEAR(A4043))</f>
        <v/>
      </c>
      <c r="L4043" s="0" t="str">
        <f aca="false">IF(A4043="","",MONTH(A4043))</f>
        <v/>
      </c>
    </row>
    <row r="4044" customFormat="false" ht="15" hidden="false" customHeight="false" outlineLevel="0" collapsed="false">
      <c r="A4044" s="27"/>
      <c r="E4044" s="28"/>
      <c r="F4044" s="28"/>
      <c r="I4044" s="28" t="str">
        <f aca="false">IF(A4044="","",D4044*E4044)</f>
        <v/>
      </c>
      <c r="J4044" s="28" t="str">
        <f aca="false">IF(A4044="","",D4044*F4044)</f>
        <v/>
      </c>
      <c r="K4044" s="0" t="str">
        <f aca="false">IF(A4044="","",YEAR(A4044))</f>
        <v/>
      </c>
      <c r="L4044" s="0" t="str">
        <f aca="false">IF(A4044="","",MONTH(A4044))</f>
        <v/>
      </c>
    </row>
    <row r="4045" customFormat="false" ht="15" hidden="false" customHeight="false" outlineLevel="0" collapsed="false">
      <c r="A4045" s="27"/>
      <c r="E4045" s="28"/>
      <c r="F4045" s="28"/>
      <c r="I4045" s="28" t="str">
        <f aca="false">IF(A4045="","",D4045*E4045)</f>
        <v/>
      </c>
      <c r="J4045" s="28" t="str">
        <f aca="false">IF(A4045="","",D4045*F4045)</f>
        <v/>
      </c>
      <c r="K4045" s="0" t="str">
        <f aca="false">IF(A4045="","",YEAR(A4045))</f>
        <v/>
      </c>
      <c r="L4045" s="0" t="str">
        <f aca="false">IF(A4045="","",MONTH(A4045))</f>
        <v/>
      </c>
    </row>
    <row r="4046" customFormat="false" ht="15" hidden="false" customHeight="false" outlineLevel="0" collapsed="false">
      <c r="A4046" s="27"/>
      <c r="E4046" s="28"/>
      <c r="F4046" s="28"/>
      <c r="I4046" s="28" t="str">
        <f aca="false">IF(A4046="","",D4046*E4046)</f>
        <v/>
      </c>
      <c r="J4046" s="28" t="str">
        <f aca="false">IF(A4046="","",D4046*F4046)</f>
        <v/>
      </c>
      <c r="K4046" s="0" t="str">
        <f aca="false">IF(A4046="","",YEAR(A4046))</f>
        <v/>
      </c>
      <c r="L4046" s="0" t="str">
        <f aca="false">IF(A4046="","",MONTH(A4046))</f>
        <v/>
      </c>
    </row>
    <row r="4047" customFormat="false" ht="15" hidden="false" customHeight="false" outlineLevel="0" collapsed="false">
      <c r="A4047" s="27"/>
      <c r="E4047" s="28"/>
      <c r="F4047" s="28"/>
      <c r="I4047" s="28" t="str">
        <f aca="false">IF(A4047="","",D4047*E4047)</f>
        <v/>
      </c>
      <c r="J4047" s="28" t="str">
        <f aca="false">IF(A4047="","",D4047*F4047)</f>
        <v/>
      </c>
      <c r="K4047" s="0" t="str">
        <f aca="false">IF(A4047="","",YEAR(A4047))</f>
        <v/>
      </c>
      <c r="L4047" s="0" t="str">
        <f aca="false">IF(A4047="","",MONTH(A4047))</f>
        <v/>
      </c>
    </row>
    <row r="4048" customFormat="false" ht="15" hidden="false" customHeight="false" outlineLevel="0" collapsed="false">
      <c r="A4048" s="27"/>
      <c r="E4048" s="28"/>
      <c r="F4048" s="28"/>
      <c r="I4048" s="28" t="str">
        <f aca="false">IF(A4048="","",D4048*E4048)</f>
        <v/>
      </c>
      <c r="J4048" s="28" t="str">
        <f aca="false">IF(A4048="","",D4048*F4048)</f>
        <v/>
      </c>
      <c r="K4048" s="0" t="str">
        <f aca="false">IF(A4048="","",YEAR(A4048))</f>
        <v/>
      </c>
      <c r="L4048" s="0" t="str">
        <f aca="false">IF(A4048="","",MONTH(A4048))</f>
        <v/>
      </c>
    </row>
    <row r="4049" customFormat="false" ht="15" hidden="false" customHeight="false" outlineLevel="0" collapsed="false">
      <c r="A4049" s="27"/>
      <c r="E4049" s="28"/>
      <c r="F4049" s="28"/>
      <c r="I4049" s="28" t="str">
        <f aca="false">IF(A4049="","",D4049*E4049)</f>
        <v/>
      </c>
      <c r="J4049" s="28" t="str">
        <f aca="false">IF(A4049="","",D4049*F4049)</f>
        <v/>
      </c>
      <c r="K4049" s="0" t="str">
        <f aca="false">IF(A4049="","",YEAR(A4049))</f>
        <v/>
      </c>
      <c r="L4049" s="0" t="str">
        <f aca="false">IF(A4049="","",MONTH(A4049))</f>
        <v/>
      </c>
    </row>
    <row r="4050" customFormat="false" ht="15" hidden="false" customHeight="false" outlineLevel="0" collapsed="false">
      <c r="A4050" s="27"/>
      <c r="E4050" s="28"/>
      <c r="F4050" s="28"/>
      <c r="I4050" s="28" t="str">
        <f aca="false">IF(A4050="","",D4050*E4050)</f>
        <v/>
      </c>
      <c r="J4050" s="28" t="str">
        <f aca="false">IF(A4050="","",D4050*F4050)</f>
        <v/>
      </c>
      <c r="K4050" s="0" t="str">
        <f aca="false">IF(A4050="","",YEAR(A4050))</f>
        <v/>
      </c>
      <c r="L4050" s="0" t="str">
        <f aca="false">IF(A4050="","",MONTH(A4050))</f>
        <v/>
      </c>
    </row>
    <row r="4051" customFormat="false" ht="15" hidden="false" customHeight="false" outlineLevel="0" collapsed="false">
      <c r="A4051" s="27"/>
      <c r="E4051" s="28"/>
      <c r="F4051" s="28"/>
      <c r="I4051" s="28" t="str">
        <f aca="false">IF(A4051="","",D4051*E4051)</f>
        <v/>
      </c>
      <c r="J4051" s="28" t="str">
        <f aca="false">IF(A4051="","",D4051*F4051)</f>
        <v/>
      </c>
      <c r="K4051" s="0" t="str">
        <f aca="false">IF(A4051="","",YEAR(A4051))</f>
        <v/>
      </c>
      <c r="L4051" s="0" t="str">
        <f aca="false">IF(A4051="","",MONTH(A4051))</f>
        <v/>
      </c>
    </row>
    <row r="4052" customFormat="false" ht="15" hidden="false" customHeight="false" outlineLevel="0" collapsed="false">
      <c r="A4052" s="27"/>
      <c r="E4052" s="28"/>
      <c r="F4052" s="28"/>
      <c r="I4052" s="28" t="str">
        <f aca="false">IF(A4052="","",D4052*E4052)</f>
        <v/>
      </c>
      <c r="J4052" s="28" t="str">
        <f aca="false">IF(A4052="","",D4052*F4052)</f>
        <v/>
      </c>
      <c r="K4052" s="0" t="str">
        <f aca="false">IF(A4052="","",YEAR(A4052))</f>
        <v/>
      </c>
      <c r="L4052" s="0" t="str">
        <f aca="false">IF(A4052="","",MONTH(A4052))</f>
        <v/>
      </c>
    </row>
    <row r="4053" customFormat="false" ht="15" hidden="false" customHeight="false" outlineLevel="0" collapsed="false">
      <c r="A4053" s="27"/>
      <c r="E4053" s="28"/>
      <c r="F4053" s="28"/>
      <c r="I4053" s="28" t="str">
        <f aca="false">IF(A4053="","",D4053*E4053)</f>
        <v/>
      </c>
      <c r="J4053" s="28" t="str">
        <f aca="false">IF(A4053="","",D4053*F4053)</f>
        <v/>
      </c>
      <c r="K4053" s="0" t="str">
        <f aca="false">IF(A4053="","",YEAR(A4053))</f>
        <v/>
      </c>
      <c r="L4053" s="0" t="str">
        <f aca="false">IF(A4053="","",MONTH(A4053))</f>
        <v/>
      </c>
    </row>
    <row r="4054" customFormat="false" ht="15" hidden="false" customHeight="false" outlineLevel="0" collapsed="false">
      <c r="A4054" s="27"/>
      <c r="E4054" s="28"/>
      <c r="F4054" s="28"/>
      <c r="I4054" s="28" t="str">
        <f aca="false">IF(A4054="","",D4054*E4054)</f>
        <v/>
      </c>
      <c r="J4054" s="28" t="str">
        <f aca="false">IF(A4054="","",D4054*F4054)</f>
        <v/>
      </c>
      <c r="K4054" s="0" t="str">
        <f aca="false">IF(A4054="","",YEAR(A4054))</f>
        <v/>
      </c>
      <c r="L4054" s="0" t="str">
        <f aca="false">IF(A4054="","",MONTH(A4054))</f>
        <v/>
      </c>
    </row>
    <row r="4055" customFormat="false" ht="15" hidden="false" customHeight="false" outlineLevel="0" collapsed="false">
      <c r="A4055" s="27"/>
      <c r="E4055" s="28"/>
      <c r="F4055" s="28"/>
      <c r="I4055" s="28" t="str">
        <f aca="false">IF(A4055="","",D4055*E4055)</f>
        <v/>
      </c>
      <c r="J4055" s="28" t="str">
        <f aca="false">IF(A4055="","",D4055*F4055)</f>
        <v/>
      </c>
      <c r="K4055" s="0" t="str">
        <f aca="false">IF(A4055="","",YEAR(A4055))</f>
        <v/>
      </c>
      <c r="L4055" s="0" t="str">
        <f aca="false">IF(A4055="","",MONTH(A4055))</f>
        <v/>
      </c>
    </row>
    <row r="4056" customFormat="false" ht="15" hidden="false" customHeight="false" outlineLevel="0" collapsed="false">
      <c r="A4056" s="27"/>
      <c r="E4056" s="28"/>
      <c r="F4056" s="28"/>
      <c r="I4056" s="28" t="str">
        <f aca="false">IF(A4056="","",D4056*E4056)</f>
        <v/>
      </c>
      <c r="J4056" s="28" t="str">
        <f aca="false">IF(A4056="","",D4056*F4056)</f>
        <v/>
      </c>
      <c r="K4056" s="0" t="str">
        <f aca="false">IF(A4056="","",YEAR(A4056))</f>
        <v/>
      </c>
      <c r="L4056" s="0" t="str">
        <f aca="false">IF(A4056="","",MONTH(A4056))</f>
        <v/>
      </c>
    </row>
    <row r="4057" customFormat="false" ht="15" hidden="false" customHeight="false" outlineLevel="0" collapsed="false">
      <c r="A4057" s="27"/>
      <c r="E4057" s="28"/>
      <c r="F4057" s="28"/>
      <c r="I4057" s="28" t="str">
        <f aca="false">IF(A4057="","",D4057*E4057)</f>
        <v/>
      </c>
      <c r="J4057" s="28" t="str">
        <f aca="false">IF(A4057="","",D4057*F4057)</f>
        <v/>
      </c>
      <c r="K4057" s="0" t="str">
        <f aca="false">IF(A4057="","",YEAR(A4057))</f>
        <v/>
      </c>
      <c r="L4057" s="0" t="str">
        <f aca="false">IF(A4057="","",MONTH(A4057))</f>
        <v/>
      </c>
    </row>
    <row r="4058" customFormat="false" ht="15" hidden="false" customHeight="false" outlineLevel="0" collapsed="false">
      <c r="A4058" s="27"/>
      <c r="E4058" s="28"/>
      <c r="F4058" s="28"/>
      <c r="I4058" s="28" t="str">
        <f aca="false">IF(A4058="","",D4058*E4058)</f>
        <v/>
      </c>
      <c r="J4058" s="28" t="str">
        <f aca="false">IF(A4058="","",D4058*F4058)</f>
        <v/>
      </c>
      <c r="K4058" s="0" t="str">
        <f aca="false">IF(A4058="","",YEAR(A4058))</f>
        <v/>
      </c>
      <c r="L4058" s="0" t="str">
        <f aca="false">IF(A4058="","",MONTH(A4058))</f>
        <v/>
      </c>
    </row>
    <row r="4059" customFormat="false" ht="15" hidden="false" customHeight="false" outlineLevel="0" collapsed="false">
      <c r="A4059" s="27"/>
      <c r="E4059" s="28"/>
      <c r="F4059" s="28"/>
      <c r="I4059" s="28" t="str">
        <f aca="false">IF(A4059="","",D4059*E4059)</f>
        <v/>
      </c>
      <c r="J4059" s="28" t="str">
        <f aca="false">IF(A4059="","",D4059*F4059)</f>
        <v/>
      </c>
      <c r="K4059" s="0" t="str">
        <f aca="false">IF(A4059="","",YEAR(A4059))</f>
        <v/>
      </c>
      <c r="L4059" s="0" t="str">
        <f aca="false">IF(A4059="","",MONTH(A4059))</f>
        <v/>
      </c>
    </row>
    <row r="4060" customFormat="false" ht="15" hidden="false" customHeight="false" outlineLevel="0" collapsed="false">
      <c r="A4060" s="27"/>
      <c r="E4060" s="28"/>
      <c r="F4060" s="28"/>
      <c r="I4060" s="28" t="str">
        <f aca="false">IF(A4060="","",D4060*E4060)</f>
        <v/>
      </c>
      <c r="J4060" s="28" t="str">
        <f aca="false">IF(A4060="","",D4060*F4060)</f>
        <v/>
      </c>
      <c r="K4060" s="0" t="str">
        <f aca="false">IF(A4060="","",YEAR(A4060))</f>
        <v/>
      </c>
      <c r="L4060" s="0" t="str">
        <f aca="false">IF(A4060="","",MONTH(A4060))</f>
        <v/>
      </c>
    </row>
    <row r="4061" customFormat="false" ht="15" hidden="false" customHeight="false" outlineLevel="0" collapsed="false">
      <c r="A4061" s="27"/>
      <c r="E4061" s="28"/>
      <c r="F4061" s="28"/>
      <c r="I4061" s="28" t="str">
        <f aca="false">IF(A4061="","",D4061*E4061)</f>
        <v/>
      </c>
      <c r="J4061" s="28" t="str">
        <f aca="false">IF(A4061="","",D4061*F4061)</f>
        <v/>
      </c>
      <c r="K4061" s="0" t="str">
        <f aca="false">IF(A4061="","",YEAR(A4061))</f>
        <v/>
      </c>
      <c r="L4061" s="0" t="str">
        <f aca="false">IF(A4061="","",MONTH(A4061))</f>
        <v/>
      </c>
    </row>
    <row r="4062" customFormat="false" ht="15" hidden="false" customHeight="false" outlineLevel="0" collapsed="false">
      <c r="A4062" s="27"/>
      <c r="E4062" s="28"/>
      <c r="F4062" s="28"/>
      <c r="I4062" s="28" t="str">
        <f aca="false">IF(A4062="","",D4062*E4062)</f>
        <v/>
      </c>
      <c r="J4062" s="28" t="str">
        <f aca="false">IF(A4062="","",D4062*F4062)</f>
        <v/>
      </c>
      <c r="K4062" s="0" t="str">
        <f aca="false">IF(A4062="","",YEAR(A4062))</f>
        <v/>
      </c>
      <c r="L4062" s="0" t="str">
        <f aca="false">IF(A4062="","",MONTH(A4062))</f>
        <v/>
      </c>
    </row>
    <row r="4063" customFormat="false" ht="15" hidden="false" customHeight="false" outlineLevel="0" collapsed="false">
      <c r="A4063" s="27"/>
      <c r="E4063" s="28"/>
      <c r="F4063" s="28"/>
      <c r="I4063" s="28" t="str">
        <f aca="false">IF(A4063="","",D4063*E4063)</f>
        <v/>
      </c>
      <c r="J4063" s="28" t="str">
        <f aca="false">IF(A4063="","",D4063*F4063)</f>
        <v/>
      </c>
      <c r="K4063" s="0" t="str">
        <f aca="false">IF(A4063="","",YEAR(A4063))</f>
        <v/>
      </c>
      <c r="L4063" s="0" t="str">
        <f aca="false">IF(A4063="","",MONTH(A4063))</f>
        <v/>
      </c>
    </row>
    <row r="4064" customFormat="false" ht="15" hidden="false" customHeight="false" outlineLevel="0" collapsed="false">
      <c r="A4064" s="27"/>
      <c r="E4064" s="28"/>
      <c r="F4064" s="28"/>
      <c r="I4064" s="28" t="str">
        <f aca="false">IF(A4064="","",D4064*E4064)</f>
        <v/>
      </c>
      <c r="J4064" s="28" t="str">
        <f aca="false">IF(A4064="","",D4064*F4064)</f>
        <v/>
      </c>
      <c r="K4064" s="0" t="str">
        <f aca="false">IF(A4064="","",YEAR(A4064))</f>
        <v/>
      </c>
      <c r="L4064" s="0" t="str">
        <f aca="false">IF(A4064="","",MONTH(A4064))</f>
        <v/>
      </c>
    </row>
    <row r="4065" customFormat="false" ht="15" hidden="false" customHeight="false" outlineLevel="0" collapsed="false">
      <c r="A4065" s="27"/>
      <c r="E4065" s="28"/>
      <c r="F4065" s="28"/>
      <c r="I4065" s="28" t="str">
        <f aca="false">IF(A4065="","",D4065*E4065)</f>
        <v/>
      </c>
      <c r="J4065" s="28" t="str">
        <f aca="false">IF(A4065="","",D4065*F4065)</f>
        <v/>
      </c>
      <c r="K4065" s="0" t="str">
        <f aca="false">IF(A4065="","",YEAR(A4065))</f>
        <v/>
      </c>
      <c r="L4065" s="0" t="str">
        <f aca="false">IF(A4065="","",MONTH(A4065))</f>
        <v/>
      </c>
    </row>
    <row r="4066" customFormat="false" ht="15" hidden="false" customHeight="false" outlineLevel="0" collapsed="false">
      <c r="A4066" s="27"/>
      <c r="E4066" s="28"/>
      <c r="F4066" s="28"/>
      <c r="I4066" s="28" t="str">
        <f aca="false">IF(A4066="","",D4066*E4066)</f>
        <v/>
      </c>
      <c r="J4066" s="28" t="str">
        <f aca="false">IF(A4066="","",D4066*F4066)</f>
        <v/>
      </c>
      <c r="K4066" s="0" t="str">
        <f aca="false">IF(A4066="","",YEAR(A4066))</f>
        <v/>
      </c>
      <c r="L4066" s="0" t="str">
        <f aca="false">IF(A4066="","",MONTH(A4066))</f>
        <v/>
      </c>
    </row>
    <row r="4067" customFormat="false" ht="15" hidden="false" customHeight="false" outlineLevel="0" collapsed="false">
      <c r="A4067" s="27"/>
      <c r="E4067" s="28"/>
      <c r="F4067" s="28"/>
      <c r="I4067" s="28" t="str">
        <f aca="false">IF(A4067="","",D4067*E4067)</f>
        <v/>
      </c>
      <c r="J4067" s="28" t="str">
        <f aca="false">IF(A4067="","",D4067*F4067)</f>
        <v/>
      </c>
      <c r="K4067" s="0" t="str">
        <f aca="false">IF(A4067="","",YEAR(A4067))</f>
        <v/>
      </c>
      <c r="L4067" s="0" t="str">
        <f aca="false">IF(A4067="","",MONTH(A4067))</f>
        <v/>
      </c>
    </row>
    <row r="4068" customFormat="false" ht="15" hidden="false" customHeight="false" outlineLevel="0" collapsed="false">
      <c r="A4068" s="27"/>
      <c r="E4068" s="28"/>
      <c r="F4068" s="28"/>
      <c r="I4068" s="28" t="str">
        <f aca="false">IF(A4068="","",D4068*E4068)</f>
        <v/>
      </c>
      <c r="J4068" s="28" t="str">
        <f aca="false">IF(A4068="","",D4068*F4068)</f>
        <v/>
      </c>
      <c r="K4068" s="0" t="str">
        <f aca="false">IF(A4068="","",YEAR(A4068))</f>
        <v/>
      </c>
      <c r="L4068" s="0" t="str">
        <f aca="false">IF(A4068="","",MONTH(A4068))</f>
        <v/>
      </c>
    </row>
    <row r="4069" customFormat="false" ht="15" hidden="false" customHeight="false" outlineLevel="0" collapsed="false">
      <c r="A4069" s="27"/>
      <c r="E4069" s="28"/>
      <c r="F4069" s="28"/>
      <c r="I4069" s="28" t="str">
        <f aca="false">IF(A4069="","",D4069*E4069)</f>
        <v/>
      </c>
      <c r="J4069" s="28" t="str">
        <f aca="false">IF(A4069="","",D4069*F4069)</f>
        <v/>
      </c>
      <c r="K4069" s="0" t="str">
        <f aca="false">IF(A4069="","",YEAR(A4069))</f>
        <v/>
      </c>
      <c r="L4069" s="0" t="str">
        <f aca="false">IF(A4069="","",MONTH(A4069))</f>
        <v/>
      </c>
    </row>
    <row r="4070" customFormat="false" ht="15" hidden="false" customHeight="false" outlineLevel="0" collapsed="false">
      <c r="A4070" s="27"/>
      <c r="E4070" s="28"/>
      <c r="F4070" s="28"/>
      <c r="I4070" s="28" t="str">
        <f aca="false">IF(A4070="","",D4070*E4070)</f>
        <v/>
      </c>
      <c r="J4070" s="28" t="str">
        <f aca="false">IF(A4070="","",D4070*F4070)</f>
        <v/>
      </c>
      <c r="K4070" s="0" t="str">
        <f aca="false">IF(A4070="","",YEAR(A4070))</f>
        <v/>
      </c>
      <c r="L4070" s="0" t="str">
        <f aca="false">IF(A4070="","",MONTH(A4070))</f>
        <v/>
      </c>
    </row>
    <row r="4071" customFormat="false" ht="15" hidden="false" customHeight="false" outlineLevel="0" collapsed="false">
      <c r="A4071" s="27"/>
      <c r="E4071" s="28"/>
      <c r="F4071" s="28"/>
      <c r="I4071" s="28" t="str">
        <f aca="false">IF(A4071="","",D4071*E4071)</f>
        <v/>
      </c>
      <c r="J4071" s="28" t="str">
        <f aca="false">IF(A4071="","",D4071*F4071)</f>
        <v/>
      </c>
      <c r="K4071" s="0" t="str">
        <f aca="false">IF(A4071="","",YEAR(A4071))</f>
        <v/>
      </c>
      <c r="L4071" s="0" t="str">
        <f aca="false">IF(A4071="","",MONTH(A4071))</f>
        <v/>
      </c>
    </row>
    <row r="4072" customFormat="false" ht="15" hidden="false" customHeight="false" outlineLevel="0" collapsed="false">
      <c r="A4072" s="27"/>
      <c r="E4072" s="28"/>
      <c r="F4072" s="28"/>
      <c r="I4072" s="28" t="str">
        <f aca="false">IF(A4072="","",D4072*E4072)</f>
        <v/>
      </c>
      <c r="J4072" s="28" t="str">
        <f aca="false">IF(A4072="","",D4072*F4072)</f>
        <v/>
      </c>
      <c r="K4072" s="0" t="str">
        <f aca="false">IF(A4072="","",YEAR(A4072))</f>
        <v/>
      </c>
      <c r="L4072" s="0" t="str">
        <f aca="false">IF(A4072="","",MONTH(A4072))</f>
        <v/>
      </c>
    </row>
    <row r="4073" customFormat="false" ht="15" hidden="false" customHeight="false" outlineLevel="0" collapsed="false">
      <c r="A4073" s="27"/>
      <c r="E4073" s="28"/>
      <c r="F4073" s="28"/>
      <c r="I4073" s="28" t="str">
        <f aca="false">IF(A4073="","",D4073*E4073)</f>
        <v/>
      </c>
      <c r="J4073" s="28" t="str">
        <f aca="false">IF(A4073="","",D4073*F4073)</f>
        <v/>
      </c>
      <c r="K4073" s="0" t="str">
        <f aca="false">IF(A4073="","",YEAR(A4073))</f>
        <v/>
      </c>
      <c r="L4073" s="0" t="str">
        <f aca="false">IF(A4073="","",MONTH(A4073))</f>
        <v/>
      </c>
    </row>
    <row r="4074" customFormat="false" ht="15" hidden="false" customHeight="false" outlineLevel="0" collapsed="false">
      <c r="A4074" s="27"/>
      <c r="E4074" s="28"/>
      <c r="F4074" s="28"/>
      <c r="I4074" s="28" t="str">
        <f aca="false">IF(A4074="","",D4074*E4074)</f>
        <v/>
      </c>
      <c r="J4074" s="28" t="str">
        <f aca="false">IF(A4074="","",D4074*F4074)</f>
        <v/>
      </c>
      <c r="K4074" s="0" t="str">
        <f aca="false">IF(A4074="","",YEAR(A4074))</f>
        <v/>
      </c>
      <c r="L4074" s="0" t="str">
        <f aca="false">IF(A4074="","",MONTH(A4074))</f>
        <v/>
      </c>
    </row>
    <row r="4075" customFormat="false" ht="15" hidden="false" customHeight="false" outlineLevel="0" collapsed="false">
      <c r="A4075" s="27"/>
      <c r="E4075" s="28"/>
      <c r="F4075" s="28"/>
      <c r="I4075" s="28" t="str">
        <f aca="false">IF(A4075="","",D4075*E4075)</f>
        <v/>
      </c>
      <c r="J4075" s="28" t="str">
        <f aca="false">IF(A4075="","",D4075*F4075)</f>
        <v/>
      </c>
      <c r="K4075" s="0" t="str">
        <f aca="false">IF(A4075="","",YEAR(A4075))</f>
        <v/>
      </c>
      <c r="L4075" s="0" t="str">
        <f aca="false">IF(A4075="","",MONTH(A4075))</f>
        <v/>
      </c>
    </row>
    <row r="4076" customFormat="false" ht="15" hidden="false" customHeight="false" outlineLevel="0" collapsed="false">
      <c r="A4076" s="27"/>
      <c r="E4076" s="28"/>
      <c r="F4076" s="28"/>
      <c r="I4076" s="28" t="str">
        <f aca="false">IF(A4076="","",D4076*E4076)</f>
        <v/>
      </c>
      <c r="J4076" s="28" t="str">
        <f aca="false">IF(A4076="","",D4076*F4076)</f>
        <v/>
      </c>
      <c r="K4076" s="0" t="str">
        <f aca="false">IF(A4076="","",YEAR(A4076))</f>
        <v/>
      </c>
      <c r="L4076" s="0" t="str">
        <f aca="false">IF(A4076="","",MONTH(A4076))</f>
        <v/>
      </c>
    </row>
    <row r="4077" customFormat="false" ht="15" hidden="false" customHeight="false" outlineLevel="0" collapsed="false">
      <c r="A4077" s="27"/>
      <c r="E4077" s="28"/>
      <c r="F4077" s="28"/>
      <c r="I4077" s="28" t="str">
        <f aca="false">IF(A4077="","",D4077*E4077)</f>
        <v/>
      </c>
      <c r="J4077" s="28" t="str">
        <f aca="false">IF(A4077="","",D4077*F4077)</f>
        <v/>
      </c>
      <c r="K4077" s="0" t="str">
        <f aca="false">IF(A4077="","",YEAR(A4077))</f>
        <v/>
      </c>
      <c r="L4077" s="0" t="str">
        <f aca="false">IF(A4077="","",MONTH(A4077))</f>
        <v/>
      </c>
    </row>
    <row r="4078" customFormat="false" ht="15" hidden="false" customHeight="false" outlineLevel="0" collapsed="false">
      <c r="A4078" s="27"/>
      <c r="E4078" s="28"/>
      <c r="F4078" s="28"/>
      <c r="I4078" s="28" t="str">
        <f aca="false">IF(A4078="","",D4078*E4078)</f>
        <v/>
      </c>
      <c r="J4078" s="28" t="str">
        <f aca="false">IF(A4078="","",D4078*F4078)</f>
        <v/>
      </c>
      <c r="K4078" s="0" t="str">
        <f aca="false">IF(A4078="","",YEAR(A4078))</f>
        <v/>
      </c>
      <c r="L4078" s="0" t="str">
        <f aca="false">IF(A4078="","",MONTH(A4078))</f>
        <v/>
      </c>
    </row>
    <row r="4079" customFormat="false" ht="15" hidden="false" customHeight="false" outlineLevel="0" collapsed="false">
      <c r="A4079" s="27"/>
      <c r="E4079" s="28"/>
      <c r="F4079" s="28"/>
      <c r="I4079" s="28" t="str">
        <f aca="false">IF(A4079="","",D4079*E4079)</f>
        <v/>
      </c>
      <c r="J4079" s="28" t="str">
        <f aca="false">IF(A4079="","",D4079*F4079)</f>
        <v/>
      </c>
      <c r="K4079" s="0" t="str">
        <f aca="false">IF(A4079="","",YEAR(A4079))</f>
        <v/>
      </c>
      <c r="L4079" s="0" t="str">
        <f aca="false">IF(A4079="","",MONTH(A4079))</f>
        <v/>
      </c>
    </row>
    <row r="4080" customFormat="false" ht="15" hidden="false" customHeight="false" outlineLevel="0" collapsed="false">
      <c r="A4080" s="27"/>
      <c r="E4080" s="28"/>
      <c r="F4080" s="28"/>
      <c r="I4080" s="28" t="str">
        <f aca="false">IF(A4080="","",D4080*E4080)</f>
        <v/>
      </c>
      <c r="J4080" s="28" t="str">
        <f aca="false">IF(A4080="","",D4080*F4080)</f>
        <v/>
      </c>
      <c r="K4080" s="0" t="str">
        <f aca="false">IF(A4080="","",YEAR(A4080))</f>
        <v/>
      </c>
      <c r="L4080" s="0" t="str">
        <f aca="false">IF(A4080="","",MONTH(A4080))</f>
        <v/>
      </c>
    </row>
    <row r="4081" customFormat="false" ht="15" hidden="false" customHeight="false" outlineLevel="0" collapsed="false">
      <c r="A4081" s="27"/>
      <c r="E4081" s="28"/>
      <c r="F4081" s="28"/>
      <c r="I4081" s="28" t="str">
        <f aca="false">IF(A4081="","",D4081*E4081)</f>
        <v/>
      </c>
      <c r="J4081" s="28" t="str">
        <f aca="false">IF(A4081="","",D4081*F4081)</f>
        <v/>
      </c>
      <c r="K4081" s="0" t="str">
        <f aca="false">IF(A4081="","",YEAR(A4081))</f>
        <v/>
      </c>
      <c r="L4081" s="0" t="str">
        <f aca="false">IF(A4081="","",MONTH(A4081))</f>
        <v/>
      </c>
    </row>
    <row r="4082" customFormat="false" ht="15" hidden="false" customHeight="false" outlineLevel="0" collapsed="false">
      <c r="A4082" s="27"/>
      <c r="E4082" s="28"/>
      <c r="F4082" s="28"/>
      <c r="I4082" s="28" t="str">
        <f aca="false">IF(A4082="","",D4082*E4082)</f>
        <v/>
      </c>
      <c r="J4082" s="28" t="str">
        <f aca="false">IF(A4082="","",D4082*F4082)</f>
        <v/>
      </c>
      <c r="K4082" s="0" t="str">
        <f aca="false">IF(A4082="","",YEAR(A4082))</f>
        <v/>
      </c>
      <c r="L4082" s="0" t="str">
        <f aca="false">IF(A4082="","",MONTH(A4082))</f>
        <v/>
      </c>
    </row>
    <row r="4083" customFormat="false" ht="15" hidden="false" customHeight="false" outlineLevel="0" collapsed="false">
      <c r="A4083" s="27"/>
      <c r="E4083" s="28"/>
      <c r="F4083" s="28"/>
      <c r="I4083" s="28" t="str">
        <f aca="false">IF(A4083="","",D4083*E4083)</f>
        <v/>
      </c>
      <c r="J4083" s="28" t="str">
        <f aca="false">IF(A4083="","",D4083*F4083)</f>
        <v/>
      </c>
      <c r="K4083" s="0" t="str">
        <f aca="false">IF(A4083="","",YEAR(A4083))</f>
        <v/>
      </c>
      <c r="L4083" s="0" t="str">
        <f aca="false">IF(A4083="","",MONTH(A4083))</f>
        <v/>
      </c>
    </row>
    <row r="4084" customFormat="false" ht="15" hidden="false" customHeight="false" outlineLevel="0" collapsed="false">
      <c r="A4084" s="27"/>
      <c r="E4084" s="28"/>
      <c r="F4084" s="28"/>
      <c r="I4084" s="28" t="str">
        <f aca="false">IF(A4084="","",D4084*E4084)</f>
        <v/>
      </c>
      <c r="J4084" s="28" t="str">
        <f aca="false">IF(A4084="","",D4084*F4084)</f>
        <v/>
      </c>
      <c r="K4084" s="0" t="str">
        <f aca="false">IF(A4084="","",YEAR(A4084))</f>
        <v/>
      </c>
      <c r="L4084" s="0" t="str">
        <f aca="false">IF(A4084="","",MONTH(A4084))</f>
        <v/>
      </c>
    </row>
    <row r="4085" customFormat="false" ht="15" hidden="false" customHeight="false" outlineLevel="0" collapsed="false">
      <c r="A4085" s="27"/>
      <c r="E4085" s="28"/>
      <c r="F4085" s="28"/>
      <c r="I4085" s="28" t="str">
        <f aca="false">IF(A4085="","",D4085*E4085)</f>
        <v/>
      </c>
      <c r="J4085" s="28" t="str">
        <f aca="false">IF(A4085="","",D4085*F4085)</f>
        <v/>
      </c>
      <c r="K4085" s="0" t="str">
        <f aca="false">IF(A4085="","",YEAR(A4085))</f>
        <v/>
      </c>
      <c r="L4085" s="0" t="str">
        <f aca="false">IF(A4085="","",MONTH(A4085))</f>
        <v/>
      </c>
    </row>
    <row r="4086" customFormat="false" ht="15" hidden="false" customHeight="false" outlineLevel="0" collapsed="false">
      <c r="A4086" s="27"/>
      <c r="E4086" s="28"/>
      <c r="F4086" s="28"/>
      <c r="I4086" s="28" t="str">
        <f aca="false">IF(A4086="","",D4086*E4086)</f>
        <v/>
      </c>
      <c r="J4086" s="28" t="str">
        <f aca="false">IF(A4086="","",D4086*F4086)</f>
        <v/>
      </c>
      <c r="K4086" s="0" t="str">
        <f aca="false">IF(A4086="","",YEAR(A4086))</f>
        <v/>
      </c>
      <c r="L4086" s="0" t="str">
        <f aca="false">IF(A4086="","",MONTH(A4086))</f>
        <v/>
      </c>
    </row>
    <row r="4087" customFormat="false" ht="15" hidden="false" customHeight="false" outlineLevel="0" collapsed="false">
      <c r="A4087" s="27"/>
      <c r="E4087" s="28"/>
      <c r="F4087" s="28"/>
      <c r="I4087" s="28" t="str">
        <f aca="false">IF(A4087="","",D4087*E4087)</f>
        <v/>
      </c>
      <c r="J4087" s="28" t="str">
        <f aca="false">IF(A4087="","",D4087*F4087)</f>
        <v/>
      </c>
      <c r="K4087" s="0" t="str">
        <f aca="false">IF(A4087="","",YEAR(A4087))</f>
        <v/>
      </c>
      <c r="L4087" s="0" t="str">
        <f aca="false">IF(A4087="","",MONTH(A4087))</f>
        <v/>
      </c>
    </row>
    <row r="4088" customFormat="false" ht="15" hidden="false" customHeight="false" outlineLevel="0" collapsed="false">
      <c r="A4088" s="27"/>
      <c r="E4088" s="28"/>
      <c r="F4088" s="28"/>
      <c r="I4088" s="28" t="str">
        <f aca="false">IF(A4088="","",D4088*E4088)</f>
        <v/>
      </c>
      <c r="J4088" s="28" t="str">
        <f aca="false">IF(A4088="","",D4088*F4088)</f>
        <v/>
      </c>
      <c r="K4088" s="0" t="str">
        <f aca="false">IF(A4088="","",YEAR(A4088))</f>
        <v/>
      </c>
      <c r="L4088" s="0" t="str">
        <f aca="false">IF(A4088="","",MONTH(A4088))</f>
        <v/>
      </c>
    </row>
    <row r="4089" customFormat="false" ht="15" hidden="false" customHeight="false" outlineLevel="0" collapsed="false">
      <c r="A4089" s="27"/>
      <c r="E4089" s="28"/>
      <c r="F4089" s="28"/>
      <c r="I4089" s="28" t="str">
        <f aca="false">IF(A4089="","",D4089*E4089)</f>
        <v/>
      </c>
      <c r="J4089" s="28" t="str">
        <f aca="false">IF(A4089="","",D4089*F4089)</f>
        <v/>
      </c>
      <c r="K4089" s="0" t="str">
        <f aca="false">IF(A4089="","",YEAR(A4089))</f>
        <v/>
      </c>
      <c r="L4089" s="0" t="str">
        <f aca="false">IF(A4089="","",MONTH(A4089))</f>
        <v/>
      </c>
    </row>
    <row r="4090" customFormat="false" ht="15" hidden="false" customHeight="false" outlineLevel="0" collapsed="false">
      <c r="A4090" s="27"/>
      <c r="E4090" s="28"/>
      <c r="F4090" s="28"/>
      <c r="I4090" s="28" t="str">
        <f aca="false">IF(A4090="","",D4090*E4090)</f>
        <v/>
      </c>
      <c r="J4090" s="28" t="str">
        <f aca="false">IF(A4090="","",D4090*F4090)</f>
        <v/>
      </c>
      <c r="K4090" s="0" t="str">
        <f aca="false">IF(A4090="","",YEAR(A4090))</f>
        <v/>
      </c>
      <c r="L4090" s="0" t="str">
        <f aca="false">IF(A4090="","",MONTH(A4090))</f>
        <v/>
      </c>
    </row>
    <row r="4091" customFormat="false" ht="15" hidden="false" customHeight="false" outlineLevel="0" collapsed="false">
      <c r="A4091" s="27"/>
      <c r="E4091" s="28"/>
      <c r="F4091" s="28"/>
      <c r="I4091" s="28" t="str">
        <f aca="false">IF(A4091="","",D4091*E4091)</f>
        <v/>
      </c>
      <c r="J4091" s="28" t="str">
        <f aca="false">IF(A4091="","",D4091*F4091)</f>
        <v/>
      </c>
      <c r="K4091" s="0" t="str">
        <f aca="false">IF(A4091="","",YEAR(A4091))</f>
        <v/>
      </c>
      <c r="L4091" s="0" t="str">
        <f aca="false">IF(A4091="","",MONTH(A4091))</f>
        <v/>
      </c>
    </row>
    <row r="4092" customFormat="false" ht="15" hidden="false" customHeight="false" outlineLevel="0" collapsed="false">
      <c r="A4092" s="27"/>
      <c r="E4092" s="28"/>
      <c r="F4092" s="28"/>
      <c r="I4092" s="28" t="str">
        <f aca="false">IF(A4092="","",D4092*E4092)</f>
        <v/>
      </c>
      <c r="J4092" s="28" t="str">
        <f aca="false">IF(A4092="","",D4092*F4092)</f>
        <v/>
      </c>
      <c r="K4092" s="0" t="str">
        <f aca="false">IF(A4092="","",YEAR(A4092))</f>
        <v/>
      </c>
      <c r="L4092" s="0" t="str">
        <f aca="false">IF(A4092="","",MONTH(A4092))</f>
        <v/>
      </c>
    </row>
    <row r="4093" customFormat="false" ht="15" hidden="false" customHeight="false" outlineLevel="0" collapsed="false">
      <c r="A4093" s="27"/>
      <c r="E4093" s="28"/>
      <c r="F4093" s="28"/>
      <c r="I4093" s="28" t="str">
        <f aca="false">IF(A4093="","",D4093*E4093)</f>
        <v/>
      </c>
      <c r="J4093" s="28" t="str">
        <f aca="false">IF(A4093="","",D4093*F4093)</f>
        <v/>
      </c>
      <c r="K4093" s="0" t="str">
        <f aca="false">IF(A4093="","",YEAR(A4093))</f>
        <v/>
      </c>
      <c r="L4093" s="0" t="str">
        <f aca="false">IF(A4093="","",MONTH(A4093))</f>
        <v/>
      </c>
    </row>
    <row r="4094" customFormat="false" ht="15" hidden="false" customHeight="false" outlineLevel="0" collapsed="false">
      <c r="A4094" s="27"/>
      <c r="E4094" s="28"/>
      <c r="F4094" s="28"/>
      <c r="I4094" s="28" t="str">
        <f aca="false">IF(A4094="","",D4094*E4094)</f>
        <v/>
      </c>
      <c r="J4094" s="28" t="str">
        <f aca="false">IF(A4094="","",D4094*F4094)</f>
        <v/>
      </c>
      <c r="K4094" s="0" t="str">
        <f aca="false">IF(A4094="","",YEAR(A4094))</f>
        <v/>
      </c>
      <c r="L4094" s="0" t="str">
        <f aca="false">IF(A4094="","",MONTH(A4094))</f>
        <v/>
      </c>
    </row>
    <row r="4095" customFormat="false" ht="15" hidden="false" customHeight="false" outlineLevel="0" collapsed="false">
      <c r="A4095" s="27"/>
      <c r="E4095" s="28"/>
      <c r="F4095" s="28"/>
      <c r="I4095" s="28" t="str">
        <f aca="false">IF(A4095="","",D4095*E4095)</f>
        <v/>
      </c>
      <c r="J4095" s="28" t="str">
        <f aca="false">IF(A4095="","",D4095*F4095)</f>
        <v/>
      </c>
      <c r="K4095" s="0" t="str">
        <f aca="false">IF(A4095="","",YEAR(A4095))</f>
        <v/>
      </c>
      <c r="L4095" s="0" t="str">
        <f aca="false">IF(A4095="","",MONTH(A4095))</f>
        <v/>
      </c>
    </row>
    <row r="4096" customFormat="false" ht="15" hidden="false" customHeight="false" outlineLevel="0" collapsed="false">
      <c r="A4096" s="27"/>
      <c r="E4096" s="28"/>
      <c r="F4096" s="28"/>
      <c r="I4096" s="28" t="str">
        <f aca="false">IF(A4096="","",D4096*E4096)</f>
        <v/>
      </c>
      <c r="J4096" s="28" t="str">
        <f aca="false">IF(A4096="","",D4096*F4096)</f>
        <v/>
      </c>
      <c r="K4096" s="0" t="str">
        <f aca="false">IF(A4096="","",YEAR(A4096))</f>
        <v/>
      </c>
      <c r="L4096" s="0" t="str">
        <f aca="false">IF(A4096="","",MONTH(A4096))</f>
        <v/>
      </c>
    </row>
    <row r="4097" customFormat="false" ht="15" hidden="false" customHeight="false" outlineLevel="0" collapsed="false">
      <c r="A4097" s="27"/>
      <c r="E4097" s="28"/>
      <c r="F4097" s="28"/>
      <c r="I4097" s="28" t="str">
        <f aca="false">IF(A4097="","",D4097*E4097)</f>
        <v/>
      </c>
      <c r="J4097" s="28" t="str">
        <f aca="false">IF(A4097="","",D4097*F4097)</f>
        <v/>
      </c>
      <c r="K4097" s="0" t="str">
        <f aca="false">IF(A4097="","",YEAR(A4097))</f>
        <v/>
      </c>
      <c r="L4097" s="0" t="str">
        <f aca="false">IF(A4097="","",MONTH(A4097))</f>
        <v/>
      </c>
    </row>
    <row r="4098" customFormat="false" ht="15" hidden="false" customHeight="false" outlineLevel="0" collapsed="false">
      <c r="A4098" s="27"/>
      <c r="E4098" s="28"/>
      <c r="F4098" s="28"/>
      <c r="I4098" s="28" t="str">
        <f aca="false">IF(A4098="","",D4098*E4098)</f>
        <v/>
      </c>
      <c r="J4098" s="28" t="str">
        <f aca="false">IF(A4098="","",D4098*F4098)</f>
        <v/>
      </c>
      <c r="K4098" s="0" t="str">
        <f aca="false">IF(A4098="","",YEAR(A4098))</f>
        <v/>
      </c>
      <c r="L4098" s="0" t="str">
        <f aca="false">IF(A4098="","",MONTH(A4098))</f>
        <v/>
      </c>
    </row>
    <row r="4099" customFormat="false" ht="15" hidden="false" customHeight="false" outlineLevel="0" collapsed="false">
      <c r="A4099" s="27"/>
      <c r="E4099" s="28"/>
      <c r="F4099" s="28"/>
      <c r="I4099" s="28" t="str">
        <f aca="false">IF(A4099="","",D4099*E4099)</f>
        <v/>
      </c>
      <c r="J4099" s="28" t="str">
        <f aca="false">IF(A4099="","",D4099*F4099)</f>
        <v/>
      </c>
      <c r="K4099" s="0" t="str">
        <f aca="false">IF(A4099="","",YEAR(A4099))</f>
        <v/>
      </c>
      <c r="L4099" s="0" t="str">
        <f aca="false">IF(A4099="","",MONTH(A4099))</f>
        <v/>
      </c>
    </row>
    <row r="4100" customFormat="false" ht="15" hidden="false" customHeight="false" outlineLevel="0" collapsed="false">
      <c r="A4100" s="27"/>
      <c r="E4100" s="28"/>
      <c r="F4100" s="28"/>
      <c r="I4100" s="28" t="str">
        <f aca="false">IF(A4100="","",D4100*E4100)</f>
        <v/>
      </c>
      <c r="J4100" s="28" t="str">
        <f aca="false">IF(A4100="","",D4100*F4100)</f>
        <v/>
      </c>
      <c r="K4100" s="0" t="str">
        <f aca="false">IF(A4100="","",YEAR(A4100))</f>
        <v/>
      </c>
      <c r="L4100" s="0" t="str">
        <f aca="false">IF(A4100="","",MONTH(A4100))</f>
        <v/>
      </c>
    </row>
    <row r="4101" customFormat="false" ht="15" hidden="false" customHeight="false" outlineLevel="0" collapsed="false">
      <c r="A4101" s="27"/>
      <c r="E4101" s="28"/>
      <c r="F4101" s="28"/>
      <c r="I4101" s="28" t="str">
        <f aca="false">IF(A4101="","",D4101*E4101)</f>
        <v/>
      </c>
      <c r="J4101" s="28" t="str">
        <f aca="false">IF(A4101="","",D4101*F4101)</f>
        <v/>
      </c>
      <c r="K4101" s="0" t="str">
        <f aca="false">IF(A4101="","",YEAR(A4101))</f>
        <v/>
      </c>
      <c r="L4101" s="0" t="str">
        <f aca="false">IF(A4101="","",MONTH(A4101))</f>
        <v/>
      </c>
    </row>
    <row r="4102" customFormat="false" ht="15" hidden="false" customHeight="false" outlineLevel="0" collapsed="false">
      <c r="A4102" s="27"/>
      <c r="E4102" s="28"/>
      <c r="F4102" s="28"/>
      <c r="I4102" s="28" t="str">
        <f aca="false">IF(A4102="","",D4102*E4102)</f>
        <v/>
      </c>
      <c r="J4102" s="28" t="str">
        <f aca="false">IF(A4102="","",D4102*F4102)</f>
        <v/>
      </c>
      <c r="K4102" s="0" t="str">
        <f aca="false">IF(A4102="","",YEAR(A4102))</f>
        <v/>
      </c>
      <c r="L4102" s="0" t="str">
        <f aca="false">IF(A4102="","",MONTH(A4102))</f>
        <v/>
      </c>
    </row>
    <row r="4103" customFormat="false" ht="15" hidden="false" customHeight="false" outlineLevel="0" collapsed="false">
      <c r="A4103" s="27"/>
      <c r="E4103" s="28"/>
      <c r="F4103" s="28"/>
      <c r="I4103" s="28" t="str">
        <f aca="false">IF(A4103="","",D4103*E4103)</f>
        <v/>
      </c>
      <c r="J4103" s="28" t="str">
        <f aca="false">IF(A4103="","",D4103*F4103)</f>
        <v/>
      </c>
      <c r="K4103" s="0" t="str">
        <f aca="false">IF(A4103="","",YEAR(A4103))</f>
        <v/>
      </c>
      <c r="L4103" s="0" t="str">
        <f aca="false">IF(A4103="","",MONTH(A4103))</f>
        <v/>
      </c>
    </row>
    <row r="4104" customFormat="false" ht="15" hidden="false" customHeight="false" outlineLevel="0" collapsed="false">
      <c r="A4104" s="27"/>
      <c r="E4104" s="28"/>
      <c r="F4104" s="28"/>
      <c r="I4104" s="28" t="str">
        <f aca="false">IF(A4104="","",D4104*E4104)</f>
        <v/>
      </c>
      <c r="J4104" s="28" t="str">
        <f aca="false">IF(A4104="","",D4104*F4104)</f>
        <v/>
      </c>
      <c r="K4104" s="0" t="str">
        <f aca="false">IF(A4104="","",YEAR(A4104))</f>
        <v/>
      </c>
      <c r="L4104" s="0" t="str">
        <f aca="false">IF(A4104="","",MONTH(A4104))</f>
        <v/>
      </c>
    </row>
    <row r="4105" customFormat="false" ht="15" hidden="false" customHeight="false" outlineLevel="0" collapsed="false">
      <c r="A4105" s="27"/>
      <c r="E4105" s="28"/>
      <c r="F4105" s="28"/>
      <c r="I4105" s="28" t="str">
        <f aca="false">IF(A4105="","",D4105*E4105)</f>
        <v/>
      </c>
      <c r="J4105" s="28" t="str">
        <f aca="false">IF(A4105="","",D4105*F4105)</f>
        <v/>
      </c>
      <c r="K4105" s="0" t="str">
        <f aca="false">IF(A4105="","",YEAR(A4105))</f>
        <v/>
      </c>
      <c r="L4105" s="0" t="str">
        <f aca="false">IF(A4105="","",MONTH(A4105))</f>
        <v/>
      </c>
    </row>
    <row r="4106" customFormat="false" ht="15" hidden="false" customHeight="false" outlineLevel="0" collapsed="false">
      <c r="A4106" s="27"/>
      <c r="E4106" s="28"/>
      <c r="F4106" s="28"/>
      <c r="I4106" s="28" t="str">
        <f aca="false">IF(A4106="","",D4106*E4106)</f>
        <v/>
      </c>
      <c r="J4106" s="28" t="str">
        <f aca="false">IF(A4106="","",D4106*F4106)</f>
        <v/>
      </c>
      <c r="K4106" s="0" t="str">
        <f aca="false">IF(A4106="","",YEAR(A4106))</f>
        <v/>
      </c>
      <c r="L4106" s="0" t="str">
        <f aca="false">IF(A4106="","",MONTH(A4106))</f>
        <v/>
      </c>
    </row>
    <row r="4107" customFormat="false" ht="15" hidden="false" customHeight="false" outlineLevel="0" collapsed="false">
      <c r="A4107" s="27"/>
      <c r="E4107" s="28"/>
      <c r="F4107" s="28"/>
      <c r="I4107" s="28" t="str">
        <f aca="false">IF(A4107="","",D4107*E4107)</f>
        <v/>
      </c>
      <c r="J4107" s="28" t="str">
        <f aca="false">IF(A4107="","",D4107*F4107)</f>
        <v/>
      </c>
      <c r="K4107" s="0" t="str">
        <f aca="false">IF(A4107="","",YEAR(A4107))</f>
        <v/>
      </c>
      <c r="L4107" s="0" t="str">
        <f aca="false">IF(A4107="","",MONTH(A4107))</f>
        <v/>
      </c>
    </row>
    <row r="4108" customFormat="false" ht="15" hidden="false" customHeight="false" outlineLevel="0" collapsed="false">
      <c r="A4108" s="27"/>
      <c r="E4108" s="28"/>
      <c r="F4108" s="28"/>
      <c r="I4108" s="28" t="str">
        <f aca="false">IF(A4108="","",D4108*E4108)</f>
        <v/>
      </c>
      <c r="J4108" s="28" t="str">
        <f aca="false">IF(A4108="","",D4108*F4108)</f>
        <v/>
      </c>
      <c r="K4108" s="0" t="str">
        <f aca="false">IF(A4108="","",YEAR(A4108))</f>
        <v/>
      </c>
      <c r="L4108" s="0" t="str">
        <f aca="false">IF(A4108="","",MONTH(A4108))</f>
        <v/>
      </c>
    </row>
    <row r="4109" customFormat="false" ht="15" hidden="false" customHeight="false" outlineLevel="0" collapsed="false">
      <c r="A4109" s="27"/>
      <c r="E4109" s="28"/>
      <c r="F4109" s="28"/>
      <c r="I4109" s="28" t="str">
        <f aca="false">IF(A4109="","",D4109*E4109)</f>
        <v/>
      </c>
      <c r="J4109" s="28" t="str">
        <f aca="false">IF(A4109="","",D4109*F4109)</f>
        <v/>
      </c>
      <c r="K4109" s="0" t="str">
        <f aca="false">IF(A4109="","",YEAR(A4109))</f>
        <v/>
      </c>
      <c r="L4109" s="0" t="str">
        <f aca="false">IF(A4109="","",MONTH(A4109))</f>
        <v/>
      </c>
    </row>
    <row r="4110" customFormat="false" ht="15" hidden="false" customHeight="false" outlineLevel="0" collapsed="false">
      <c r="A4110" s="27"/>
      <c r="E4110" s="28"/>
      <c r="F4110" s="28"/>
      <c r="I4110" s="28" t="str">
        <f aca="false">IF(A4110="","",D4110*E4110)</f>
        <v/>
      </c>
      <c r="J4110" s="28" t="str">
        <f aca="false">IF(A4110="","",D4110*F4110)</f>
        <v/>
      </c>
      <c r="K4110" s="0" t="str">
        <f aca="false">IF(A4110="","",YEAR(A4110))</f>
        <v/>
      </c>
      <c r="L4110" s="0" t="str">
        <f aca="false">IF(A4110="","",MONTH(A4110))</f>
        <v/>
      </c>
    </row>
    <row r="4111" customFormat="false" ht="15" hidden="false" customHeight="false" outlineLevel="0" collapsed="false">
      <c r="A4111" s="27"/>
      <c r="E4111" s="28"/>
      <c r="F4111" s="28"/>
      <c r="I4111" s="28" t="str">
        <f aca="false">IF(A4111="","",D4111*E4111)</f>
        <v/>
      </c>
      <c r="J4111" s="28" t="str">
        <f aca="false">IF(A4111="","",D4111*F4111)</f>
        <v/>
      </c>
      <c r="K4111" s="0" t="str">
        <f aca="false">IF(A4111="","",YEAR(A4111))</f>
        <v/>
      </c>
      <c r="L4111" s="0" t="str">
        <f aca="false">IF(A4111="","",MONTH(A4111))</f>
        <v/>
      </c>
    </row>
    <row r="4112" customFormat="false" ht="15" hidden="false" customHeight="false" outlineLevel="0" collapsed="false">
      <c r="A4112" s="27"/>
      <c r="E4112" s="28"/>
      <c r="F4112" s="28"/>
      <c r="I4112" s="28" t="str">
        <f aca="false">IF(A4112="","",D4112*E4112)</f>
        <v/>
      </c>
      <c r="J4112" s="28" t="str">
        <f aca="false">IF(A4112="","",D4112*F4112)</f>
        <v/>
      </c>
      <c r="K4112" s="0" t="str">
        <f aca="false">IF(A4112="","",YEAR(A4112))</f>
        <v/>
      </c>
      <c r="L4112" s="0" t="str">
        <f aca="false">IF(A4112="","",MONTH(A4112))</f>
        <v/>
      </c>
    </row>
    <row r="4113" customFormat="false" ht="15" hidden="false" customHeight="false" outlineLevel="0" collapsed="false">
      <c r="A4113" s="27"/>
      <c r="E4113" s="28"/>
      <c r="F4113" s="28"/>
      <c r="I4113" s="28" t="str">
        <f aca="false">IF(A4113="","",D4113*E4113)</f>
        <v/>
      </c>
      <c r="J4113" s="28" t="str">
        <f aca="false">IF(A4113="","",D4113*F4113)</f>
        <v/>
      </c>
      <c r="K4113" s="0" t="str">
        <f aca="false">IF(A4113="","",YEAR(A4113))</f>
        <v/>
      </c>
      <c r="L4113" s="0" t="str">
        <f aca="false">IF(A4113="","",MONTH(A4113))</f>
        <v/>
      </c>
    </row>
    <row r="4114" customFormat="false" ht="15" hidden="false" customHeight="false" outlineLevel="0" collapsed="false">
      <c r="A4114" s="27"/>
      <c r="E4114" s="28"/>
      <c r="F4114" s="28"/>
      <c r="I4114" s="28" t="str">
        <f aca="false">IF(A4114="","",D4114*E4114)</f>
        <v/>
      </c>
      <c r="J4114" s="28" t="str">
        <f aca="false">IF(A4114="","",D4114*F4114)</f>
        <v/>
      </c>
      <c r="K4114" s="0" t="str">
        <f aca="false">IF(A4114="","",YEAR(A4114))</f>
        <v/>
      </c>
      <c r="L4114" s="0" t="str">
        <f aca="false">IF(A4114="","",MONTH(A4114))</f>
        <v/>
      </c>
    </row>
    <row r="4115" customFormat="false" ht="15" hidden="false" customHeight="false" outlineLevel="0" collapsed="false">
      <c r="A4115" s="27"/>
      <c r="E4115" s="28"/>
      <c r="F4115" s="28"/>
      <c r="I4115" s="28" t="str">
        <f aca="false">IF(A4115="","",D4115*E4115)</f>
        <v/>
      </c>
      <c r="J4115" s="28" t="str">
        <f aca="false">IF(A4115="","",D4115*F4115)</f>
        <v/>
      </c>
      <c r="K4115" s="0" t="str">
        <f aca="false">IF(A4115="","",YEAR(A4115))</f>
        <v/>
      </c>
      <c r="L4115" s="0" t="str">
        <f aca="false">IF(A4115="","",MONTH(A4115))</f>
        <v/>
      </c>
    </row>
    <row r="4116" customFormat="false" ht="15" hidden="false" customHeight="false" outlineLevel="0" collapsed="false">
      <c r="A4116" s="27"/>
      <c r="E4116" s="28"/>
      <c r="F4116" s="28"/>
      <c r="I4116" s="28" t="str">
        <f aca="false">IF(A4116="","",D4116*E4116)</f>
        <v/>
      </c>
      <c r="J4116" s="28" t="str">
        <f aca="false">IF(A4116="","",D4116*F4116)</f>
        <v/>
      </c>
      <c r="K4116" s="0" t="str">
        <f aca="false">IF(A4116="","",YEAR(A4116))</f>
        <v/>
      </c>
      <c r="L4116" s="0" t="str">
        <f aca="false">IF(A4116="","",MONTH(A4116))</f>
        <v/>
      </c>
    </row>
    <row r="4117" customFormat="false" ht="15" hidden="false" customHeight="false" outlineLevel="0" collapsed="false">
      <c r="A4117" s="27"/>
      <c r="E4117" s="28"/>
      <c r="F4117" s="28"/>
      <c r="I4117" s="28" t="str">
        <f aca="false">IF(A4117="","",D4117*E4117)</f>
        <v/>
      </c>
      <c r="J4117" s="28" t="str">
        <f aca="false">IF(A4117="","",D4117*F4117)</f>
        <v/>
      </c>
      <c r="K4117" s="0" t="str">
        <f aca="false">IF(A4117="","",YEAR(A4117))</f>
        <v/>
      </c>
      <c r="L4117" s="0" t="str">
        <f aca="false">IF(A4117="","",MONTH(A4117))</f>
        <v/>
      </c>
    </row>
    <row r="4118" customFormat="false" ht="15" hidden="false" customHeight="false" outlineLevel="0" collapsed="false">
      <c r="A4118" s="27"/>
      <c r="E4118" s="28"/>
      <c r="F4118" s="28"/>
      <c r="I4118" s="28" t="str">
        <f aca="false">IF(A4118="","",D4118*E4118)</f>
        <v/>
      </c>
      <c r="J4118" s="28" t="str">
        <f aca="false">IF(A4118="","",D4118*F4118)</f>
        <v/>
      </c>
      <c r="K4118" s="0" t="str">
        <f aca="false">IF(A4118="","",YEAR(A4118))</f>
        <v/>
      </c>
      <c r="L4118" s="0" t="str">
        <f aca="false">IF(A4118="","",MONTH(A4118))</f>
        <v/>
      </c>
    </row>
    <row r="4119" customFormat="false" ht="15" hidden="false" customHeight="false" outlineLevel="0" collapsed="false">
      <c r="A4119" s="27"/>
      <c r="E4119" s="28"/>
      <c r="F4119" s="28"/>
      <c r="I4119" s="28" t="str">
        <f aca="false">IF(A4119="","",D4119*E4119)</f>
        <v/>
      </c>
      <c r="J4119" s="28" t="str">
        <f aca="false">IF(A4119="","",D4119*F4119)</f>
        <v/>
      </c>
      <c r="K4119" s="0" t="str">
        <f aca="false">IF(A4119="","",YEAR(A4119))</f>
        <v/>
      </c>
      <c r="L4119" s="0" t="str">
        <f aca="false">IF(A4119="","",MONTH(A4119))</f>
        <v/>
      </c>
    </row>
    <row r="4120" customFormat="false" ht="15" hidden="false" customHeight="false" outlineLevel="0" collapsed="false">
      <c r="A4120" s="27"/>
      <c r="E4120" s="28"/>
      <c r="F4120" s="28"/>
      <c r="I4120" s="28" t="str">
        <f aca="false">IF(A4120="","",D4120*E4120)</f>
        <v/>
      </c>
      <c r="J4120" s="28" t="str">
        <f aca="false">IF(A4120="","",D4120*F4120)</f>
        <v/>
      </c>
      <c r="K4120" s="0" t="str">
        <f aca="false">IF(A4120="","",YEAR(A4120))</f>
        <v/>
      </c>
      <c r="L4120" s="0" t="str">
        <f aca="false">IF(A4120="","",MONTH(A4120))</f>
        <v/>
      </c>
    </row>
    <row r="4121" customFormat="false" ht="15" hidden="false" customHeight="false" outlineLevel="0" collapsed="false">
      <c r="A4121" s="27"/>
      <c r="E4121" s="28"/>
      <c r="F4121" s="28"/>
      <c r="I4121" s="28" t="str">
        <f aca="false">IF(A4121="","",D4121*E4121)</f>
        <v/>
      </c>
      <c r="J4121" s="28" t="str">
        <f aca="false">IF(A4121="","",D4121*F4121)</f>
        <v/>
      </c>
      <c r="K4121" s="0" t="str">
        <f aca="false">IF(A4121="","",YEAR(A4121))</f>
        <v/>
      </c>
      <c r="L4121" s="0" t="str">
        <f aca="false">IF(A4121="","",MONTH(A4121))</f>
        <v/>
      </c>
    </row>
    <row r="4122" customFormat="false" ht="15" hidden="false" customHeight="false" outlineLevel="0" collapsed="false">
      <c r="A4122" s="27"/>
      <c r="E4122" s="28"/>
      <c r="F4122" s="28"/>
      <c r="I4122" s="28" t="str">
        <f aca="false">IF(A4122="","",D4122*E4122)</f>
        <v/>
      </c>
      <c r="J4122" s="28" t="str">
        <f aca="false">IF(A4122="","",D4122*F4122)</f>
        <v/>
      </c>
      <c r="K4122" s="0" t="str">
        <f aca="false">IF(A4122="","",YEAR(A4122))</f>
        <v/>
      </c>
      <c r="L4122" s="0" t="str">
        <f aca="false">IF(A4122="","",MONTH(A4122))</f>
        <v/>
      </c>
    </row>
    <row r="4123" customFormat="false" ht="15" hidden="false" customHeight="false" outlineLevel="0" collapsed="false">
      <c r="A4123" s="27"/>
      <c r="E4123" s="28"/>
      <c r="F4123" s="28"/>
      <c r="I4123" s="28" t="str">
        <f aca="false">IF(A4123="","",D4123*E4123)</f>
        <v/>
      </c>
      <c r="J4123" s="28" t="str">
        <f aca="false">IF(A4123="","",D4123*F4123)</f>
        <v/>
      </c>
      <c r="K4123" s="0" t="str">
        <f aca="false">IF(A4123="","",YEAR(A4123))</f>
        <v/>
      </c>
      <c r="L4123" s="0" t="str">
        <f aca="false">IF(A4123="","",MONTH(A4123))</f>
        <v/>
      </c>
    </row>
    <row r="4124" customFormat="false" ht="15" hidden="false" customHeight="false" outlineLevel="0" collapsed="false">
      <c r="A4124" s="27"/>
      <c r="E4124" s="28"/>
      <c r="F4124" s="28"/>
      <c r="I4124" s="28" t="str">
        <f aca="false">IF(A4124="","",D4124*E4124)</f>
        <v/>
      </c>
      <c r="J4124" s="28" t="str">
        <f aca="false">IF(A4124="","",D4124*F4124)</f>
        <v/>
      </c>
      <c r="K4124" s="0" t="str">
        <f aca="false">IF(A4124="","",YEAR(A4124))</f>
        <v/>
      </c>
      <c r="L4124" s="0" t="str">
        <f aca="false">IF(A4124="","",MONTH(A4124))</f>
        <v/>
      </c>
    </row>
    <row r="4125" customFormat="false" ht="15" hidden="false" customHeight="false" outlineLevel="0" collapsed="false">
      <c r="A4125" s="27"/>
      <c r="E4125" s="28"/>
      <c r="F4125" s="28"/>
      <c r="I4125" s="28" t="str">
        <f aca="false">IF(A4125="","",D4125*E4125)</f>
        <v/>
      </c>
      <c r="J4125" s="28" t="str">
        <f aca="false">IF(A4125="","",D4125*F4125)</f>
        <v/>
      </c>
      <c r="K4125" s="0" t="str">
        <f aca="false">IF(A4125="","",YEAR(A4125))</f>
        <v/>
      </c>
      <c r="L4125" s="0" t="str">
        <f aca="false">IF(A4125="","",MONTH(A4125))</f>
        <v/>
      </c>
    </row>
    <row r="4126" customFormat="false" ht="15" hidden="false" customHeight="false" outlineLevel="0" collapsed="false">
      <c r="A4126" s="27"/>
      <c r="E4126" s="28"/>
      <c r="F4126" s="28"/>
      <c r="I4126" s="28" t="str">
        <f aca="false">IF(A4126="","",D4126*E4126)</f>
        <v/>
      </c>
      <c r="J4126" s="28" t="str">
        <f aca="false">IF(A4126="","",D4126*F4126)</f>
        <v/>
      </c>
      <c r="K4126" s="0" t="str">
        <f aca="false">IF(A4126="","",YEAR(A4126))</f>
        <v/>
      </c>
      <c r="L4126" s="0" t="str">
        <f aca="false">IF(A4126="","",MONTH(A4126))</f>
        <v/>
      </c>
    </row>
    <row r="4127" customFormat="false" ht="15" hidden="false" customHeight="false" outlineLevel="0" collapsed="false">
      <c r="A4127" s="27"/>
      <c r="E4127" s="28"/>
      <c r="F4127" s="28"/>
      <c r="I4127" s="28" t="str">
        <f aca="false">IF(A4127="","",D4127*E4127)</f>
        <v/>
      </c>
      <c r="J4127" s="28" t="str">
        <f aca="false">IF(A4127="","",D4127*F4127)</f>
        <v/>
      </c>
      <c r="K4127" s="0" t="str">
        <f aca="false">IF(A4127="","",YEAR(A4127))</f>
        <v/>
      </c>
      <c r="L4127" s="0" t="str">
        <f aca="false">IF(A4127="","",MONTH(A4127))</f>
        <v/>
      </c>
    </row>
    <row r="4128" customFormat="false" ht="15" hidden="false" customHeight="false" outlineLevel="0" collapsed="false">
      <c r="A4128" s="27"/>
      <c r="E4128" s="28"/>
      <c r="F4128" s="28"/>
      <c r="I4128" s="28" t="str">
        <f aca="false">IF(A4128="","",D4128*E4128)</f>
        <v/>
      </c>
      <c r="J4128" s="28" t="str">
        <f aca="false">IF(A4128="","",D4128*F4128)</f>
        <v/>
      </c>
      <c r="K4128" s="0" t="str">
        <f aca="false">IF(A4128="","",YEAR(A4128))</f>
        <v/>
      </c>
      <c r="L4128" s="0" t="str">
        <f aca="false">IF(A4128="","",MONTH(A4128))</f>
        <v/>
      </c>
    </row>
    <row r="4129" customFormat="false" ht="15" hidden="false" customHeight="false" outlineLevel="0" collapsed="false">
      <c r="A4129" s="27"/>
      <c r="E4129" s="28"/>
      <c r="F4129" s="28"/>
      <c r="I4129" s="28" t="str">
        <f aca="false">IF(A4129="","",D4129*E4129)</f>
        <v/>
      </c>
      <c r="J4129" s="28" t="str">
        <f aca="false">IF(A4129="","",D4129*F4129)</f>
        <v/>
      </c>
      <c r="K4129" s="0" t="str">
        <f aca="false">IF(A4129="","",YEAR(A4129))</f>
        <v/>
      </c>
      <c r="L4129" s="0" t="str">
        <f aca="false">IF(A4129="","",MONTH(A4129))</f>
        <v/>
      </c>
    </row>
    <row r="4130" customFormat="false" ht="15" hidden="false" customHeight="false" outlineLevel="0" collapsed="false">
      <c r="A4130" s="27"/>
      <c r="E4130" s="28"/>
      <c r="F4130" s="28"/>
      <c r="I4130" s="28" t="str">
        <f aca="false">IF(A4130="","",D4130*E4130)</f>
        <v/>
      </c>
      <c r="J4130" s="28" t="str">
        <f aca="false">IF(A4130="","",D4130*F4130)</f>
        <v/>
      </c>
      <c r="K4130" s="0" t="str">
        <f aca="false">IF(A4130="","",YEAR(A4130))</f>
        <v/>
      </c>
      <c r="L4130" s="0" t="str">
        <f aca="false">IF(A4130="","",MONTH(A4130))</f>
        <v/>
      </c>
    </row>
    <row r="4131" customFormat="false" ht="15" hidden="false" customHeight="false" outlineLevel="0" collapsed="false">
      <c r="A4131" s="27"/>
      <c r="E4131" s="28"/>
      <c r="F4131" s="28"/>
      <c r="I4131" s="28" t="str">
        <f aca="false">IF(A4131="","",D4131*E4131)</f>
        <v/>
      </c>
      <c r="J4131" s="28" t="str">
        <f aca="false">IF(A4131="","",D4131*F4131)</f>
        <v/>
      </c>
      <c r="K4131" s="0" t="str">
        <f aca="false">IF(A4131="","",YEAR(A4131))</f>
        <v/>
      </c>
      <c r="L4131" s="0" t="str">
        <f aca="false">IF(A4131="","",MONTH(A4131))</f>
        <v/>
      </c>
    </row>
    <row r="4132" customFormat="false" ht="15" hidden="false" customHeight="false" outlineLevel="0" collapsed="false">
      <c r="A4132" s="27"/>
      <c r="E4132" s="28"/>
      <c r="F4132" s="28"/>
      <c r="I4132" s="28" t="str">
        <f aca="false">IF(A4132="","",D4132*E4132)</f>
        <v/>
      </c>
      <c r="J4132" s="28" t="str">
        <f aca="false">IF(A4132="","",D4132*F4132)</f>
        <v/>
      </c>
      <c r="K4132" s="0" t="str">
        <f aca="false">IF(A4132="","",YEAR(A4132))</f>
        <v/>
      </c>
      <c r="L4132" s="0" t="str">
        <f aca="false">IF(A4132="","",MONTH(A4132))</f>
        <v/>
      </c>
    </row>
    <row r="4133" customFormat="false" ht="15" hidden="false" customHeight="false" outlineLevel="0" collapsed="false">
      <c r="A4133" s="27"/>
      <c r="E4133" s="28"/>
      <c r="F4133" s="28"/>
      <c r="I4133" s="28" t="str">
        <f aca="false">IF(A4133="","",D4133*E4133)</f>
        <v/>
      </c>
      <c r="J4133" s="28" t="str">
        <f aca="false">IF(A4133="","",D4133*F4133)</f>
        <v/>
      </c>
      <c r="K4133" s="0" t="str">
        <f aca="false">IF(A4133="","",YEAR(A4133))</f>
        <v/>
      </c>
      <c r="L4133" s="0" t="str">
        <f aca="false">IF(A4133="","",MONTH(A4133))</f>
        <v/>
      </c>
    </row>
    <row r="4134" customFormat="false" ht="15" hidden="false" customHeight="false" outlineLevel="0" collapsed="false">
      <c r="A4134" s="27"/>
      <c r="E4134" s="28"/>
      <c r="F4134" s="28"/>
      <c r="I4134" s="28" t="str">
        <f aca="false">IF(A4134="","",D4134*E4134)</f>
        <v/>
      </c>
      <c r="J4134" s="28" t="str">
        <f aca="false">IF(A4134="","",D4134*F4134)</f>
        <v/>
      </c>
      <c r="K4134" s="0" t="str">
        <f aca="false">IF(A4134="","",YEAR(A4134))</f>
        <v/>
      </c>
      <c r="L4134" s="0" t="str">
        <f aca="false">IF(A4134="","",MONTH(A4134))</f>
        <v/>
      </c>
    </row>
    <row r="4135" customFormat="false" ht="15" hidden="false" customHeight="false" outlineLevel="0" collapsed="false">
      <c r="A4135" s="27"/>
      <c r="E4135" s="28"/>
      <c r="F4135" s="28"/>
      <c r="I4135" s="28" t="str">
        <f aca="false">IF(A4135="","",D4135*E4135)</f>
        <v/>
      </c>
      <c r="J4135" s="28" t="str">
        <f aca="false">IF(A4135="","",D4135*F4135)</f>
        <v/>
      </c>
      <c r="K4135" s="0" t="str">
        <f aca="false">IF(A4135="","",YEAR(A4135))</f>
        <v/>
      </c>
      <c r="L4135" s="0" t="str">
        <f aca="false">IF(A4135="","",MONTH(A4135))</f>
        <v/>
      </c>
    </row>
    <row r="4136" customFormat="false" ht="15" hidden="false" customHeight="false" outlineLevel="0" collapsed="false">
      <c r="A4136" s="27"/>
      <c r="E4136" s="28"/>
      <c r="F4136" s="28"/>
      <c r="I4136" s="28" t="str">
        <f aca="false">IF(A4136="","",D4136*E4136)</f>
        <v/>
      </c>
      <c r="J4136" s="28" t="str">
        <f aca="false">IF(A4136="","",D4136*F4136)</f>
        <v/>
      </c>
      <c r="K4136" s="0" t="str">
        <f aca="false">IF(A4136="","",YEAR(A4136))</f>
        <v/>
      </c>
      <c r="L4136" s="0" t="str">
        <f aca="false">IF(A4136="","",MONTH(A4136))</f>
        <v/>
      </c>
    </row>
    <row r="4137" customFormat="false" ht="15" hidden="false" customHeight="false" outlineLevel="0" collapsed="false">
      <c r="A4137" s="27"/>
      <c r="E4137" s="28"/>
      <c r="F4137" s="28"/>
      <c r="I4137" s="28" t="str">
        <f aca="false">IF(A4137="","",D4137*E4137)</f>
        <v/>
      </c>
      <c r="J4137" s="28" t="str">
        <f aca="false">IF(A4137="","",D4137*F4137)</f>
        <v/>
      </c>
      <c r="K4137" s="0" t="str">
        <f aca="false">IF(A4137="","",YEAR(A4137))</f>
        <v/>
      </c>
      <c r="L4137" s="0" t="str">
        <f aca="false">IF(A4137="","",MONTH(A4137))</f>
        <v/>
      </c>
    </row>
    <row r="4138" customFormat="false" ht="15" hidden="false" customHeight="false" outlineLevel="0" collapsed="false">
      <c r="A4138" s="27"/>
      <c r="E4138" s="28"/>
      <c r="F4138" s="28"/>
      <c r="I4138" s="28" t="str">
        <f aca="false">IF(A4138="","",D4138*E4138)</f>
        <v/>
      </c>
      <c r="J4138" s="28" t="str">
        <f aca="false">IF(A4138="","",D4138*F4138)</f>
        <v/>
      </c>
      <c r="K4138" s="0" t="str">
        <f aca="false">IF(A4138="","",YEAR(A4138))</f>
        <v/>
      </c>
      <c r="L4138" s="0" t="str">
        <f aca="false">IF(A4138="","",MONTH(A4138))</f>
        <v/>
      </c>
    </row>
    <row r="4139" customFormat="false" ht="15" hidden="false" customHeight="false" outlineLevel="0" collapsed="false">
      <c r="A4139" s="27"/>
      <c r="E4139" s="28"/>
      <c r="F4139" s="28"/>
      <c r="I4139" s="28" t="str">
        <f aca="false">IF(A4139="","",D4139*E4139)</f>
        <v/>
      </c>
      <c r="J4139" s="28" t="str">
        <f aca="false">IF(A4139="","",D4139*F4139)</f>
        <v/>
      </c>
      <c r="K4139" s="0" t="str">
        <f aca="false">IF(A4139="","",YEAR(A4139))</f>
        <v/>
      </c>
      <c r="L4139" s="0" t="str">
        <f aca="false">IF(A4139="","",MONTH(A4139))</f>
        <v/>
      </c>
    </row>
    <row r="4140" customFormat="false" ht="15" hidden="false" customHeight="false" outlineLevel="0" collapsed="false">
      <c r="A4140" s="27"/>
      <c r="E4140" s="28"/>
      <c r="F4140" s="28"/>
      <c r="I4140" s="28" t="str">
        <f aca="false">IF(A4140="","",D4140*E4140)</f>
        <v/>
      </c>
      <c r="J4140" s="28" t="str">
        <f aca="false">IF(A4140="","",D4140*F4140)</f>
        <v/>
      </c>
      <c r="K4140" s="0" t="str">
        <f aca="false">IF(A4140="","",YEAR(A4140))</f>
        <v/>
      </c>
      <c r="L4140" s="0" t="str">
        <f aca="false">IF(A4140="","",MONTH(A4140))</f>
        <v/>
      </c>
    </row>
    <row r="4141" customFormat="false" ht="15" hidden="false" customHeight="false" outlineLevel="0" collapsed="false">
      <c r="A4141" s="27"/>
      <c r="E4141" s="28"/>
      <c r="F4141" s="28"/>
      <c r="I4141" s="28" t="str">
        <f aca="false">IF(A4141="","",D4141*E4141)</f>
        <v/>
      </c>
      <c r="J4141" s="28" t="str">
        <f aca="false">IF(A4141="","",D4141*F4141)</f>
        <v/>
      </c>
      <c r="K4141" s="0" t="str">
        <f aca="false">IF(A4141="","",YEAR(A4141))</f>
        <v/>
      </c>
      <c r="L4141" s="0" t="str">
        <f aca="false">IF(A4141="","",MONTH(A4141))</f>
        <v/>
      </c>
    </row>
    <row r="4142" customFormat="false" ht="15" hidden="false" customHeight="false" outlineLevel="0" collapsed="false">
      <c r="A4142" s="27"/>
      <c r="E4142" s="28"/>
      <c r="F4142" s="28"/>
      <c r="I4142" s="28" t="str">
        <f aca="false">IF(A4142="","",D4142*E4142)</f>
        <v/>
      </c>
      <c r="J4142" s="28" t="str">
        <f aca="false">IF(A4142="","",D4142*F4142)</f>
        <v/>
      </c>
      <c r="K4142" s="0" t="str">
        <f aca="false">IF(A4142="","",YEAR(A4142))</f>
        <v/>
      </c>
      <c r="L4142" s="0" t="str">
        <f aca="false">IF(A4142="","",MONTH(A4142))</f>
        <v/>
      </c>
    </row>
    <row r="4143" customFormat="false" ht="15" hidden="false" customHeight="false" outlineLevel="0" collapsed="false">
      <c r="A4143" s="27"/>
      <c r="E4143" s="28"/>
      <c r="F4143" s="28"/>
      <c r="I4143" s="28" t="str">
        <f aca="false">IF(A4143="","",D4143*E4143)</f>
        <v/>
      </c>
      <c r="J4143" s="28" t="str">
        <f aca="false">IF(A4143="","",D4143*F4143)</f>
        <v/>
      </c>
      <c r="K4143" s="0" t="str">
        <f aca="false">IF(A4143="","",YEAR(A4143))</f>
        <v/>
      </c>
      <c r="L4143" s="0" t="str">
        <f aca="false">IF(A4143="","",MONTH(A4143))</f>
        <v/>
      </c>
    </row>
    <row r="4144" customFormat="false" ht="15" hidden="false" customHeight="false" outlineLevel="0" collapsed="false">
      <c r="A4144" s="27"/>
      <c r="E4144" s="28"/>
      <c r="F4144" s="28"/>
      <c r="I4144" s="28" t="str">
        <f aca="false">IF(A4144="","",D4144*E4144)</f>
        <v/>
      </c>
      <c r="J4144" s="28" t="str">
        <f aca="false">IF(A4144="","",D4144*F4144)</f>
        <v/>
      </c>
      <c r="K4144" s="0" t="str">
        <f aca="false">IF(A4144="","",YEAR(A4144))</f>
        <v/>
      </c>
      <c r="L4144" s="0" t="str">
        <f aca="false">IF(A4144="","",MONTH(A4144))</f>
        <v/>
      </c>
    </row>
    <row r="4145" customFormat="false" ht="15" hidden="false" customHeight="false" outlineLevel="0" collapsed="false">
      <c r="A4145" s="27"/>
      <c r="E4145" s="28"/>
      <c r="F4145" s="28"/>
      <c r="I4145" s="28" t="str">
        <f aca="false">IF(A4145="","",D4145*E4145)</f>
        <v/>
      </c>
      <c r="J4145" s="28" t="str">
        <f aca="false">IF(A4145="","",D4145*F4145)</f>
        <v/>
      </c>
      <c r="K4145" s="0" t="str">
        <f aca="false">IF(A4145="","",YEAR(A4145))</f>
        <v/>
      </c>
      <c r="L4145" s="0" t="str">
        <f aca="false">IF(A4145="","",MONTH(A4145))</f>
        <v/>
      </c>
    </row>
    <row r="4146" customFormat="false" ht="15" hidden="false" customHeight="false" outlineLevel="0" collapsed="false">
      <c r="A4146" s="27"/>
      <c r="E4146" s="28"/>
      <c r="F4146" s="28"/>
      <c r="I4146" s="28" t="str">
        <f aca="false">IF(A4146="","",D4146*E4146)</f>
        <v/>
      </c>
      <c r="J4146" s="28" t="str">
        <f aca="false">IF(A4146="","",D4146*F4146)</f>
        <v/>
      </c>
      <c r="K4146" s="0" t="str">
        <f aca="false">IF(A4146="","",YEAR(A4146))</f>
        <v/>
      </c>
      <c r="L4146" s="0" t="str">
        <f aca="false">IF(A4146="","",MONTH(A4146))</f>
        <v/>
      </c>
    </row>
    <row r="4147" customFormat="false" ht="15" hidden="false" customHeight="false" outlineLevel="0" collapsed="false">
      <c r="A4147" s="27"/>
      <c r="E4147" s="28"/>
      <c r="F4147" s="28"/>
      <c r="I4147" s="28" t="str">
        <f aca="false">IF(A4147="","",D4147*E4147)</f>
        <v/>
      </c>
      <c r="J4147" s="28" t="str">
        <f aca="false">IF(A4147="","",D4147*F4147)</f>
        <v/>
      </c>
      <c r="K4147" s="0" t="str">
        <f aca="false">IF(A4147="","",YEAR(A4147))</f>
        <v/>
      </c>
      <c r="L4147" s="0" t="str">
        <f aca="false">IF(A4147="","",MONTH(A4147))</f>
        <v/>
      </c>
    </row>
    <row r="4148" customFormat="false" ht="15" hidden="false" customHeight="false" outlineLevel="0" collapsed="false">
      <c r="A4148" s="27"/>
      <c r="E4148" s="28"/>
      <c r="F4148" s="28"/>
      <c r="I4148" s="28" t="str">
        <f aca="false">IF(A4148="","",D4148*E4148)</f>
        <v/>
      </c>
      <c r="J4148" s="28" t="str">
        <f aca="false">IF(A4148="","",D4148*F4148)</f>
        <v/>
      </c>
      <c r="K4148" s="0" t="str">
        <f aca="false">IF(A4148="","",YEAR(A4148))</f>
        <v/>
      </c>
      <c r="L4148" s="0" t="str">
        <f aca="false">IF(A4148="","",MONTH(A4148))</f>
        <v/>
      </c>
    </row>
    <row r="4149" customFormat="false" ht="15" hidden="false" customHeight="false" outlineLevel="0" collapsed="false">
      <c r="A4149" s="27"/>
      <c r="E4149" s="28"/>
      <c r="F4149" s="28"/>
      <c r="I4149" s="28" t="str">
        <f aca="false">IF(A4149="","",D4149*E4149)</f>
        <v/>
      </c>
      <c r="J4149" s="28" t="str">
        <f aca="false">IF(A4149="","",D4149*F4149)</f>
        <v/>
      </c>
      <c r="K4149" s="0" t="str">
        <f aca="false">IF(A4149="","",YEAR(A4149))</f>
        <v/>
      </c>
      <c r="L4149" s="0" t="str">
        <f aca="false">IF(A4149="","",MONTH(A4149))</f>
        <v/>
      </c>
    </row>
    <row r="4150" customFormat="false" ht="15" hidden="false" customHeight="false" outlineLevel="0" collapsed="false">
      <c r="A4150" s="27"/>
      <c r="E4150" s="28"/>
      <c r="F4150" s="28"/>
      <c r="I4150" s="28" t="str">
        <f aca="false">IF(A4150="","",D4150*E4150)</f>
        <v/>
      </c>
      <c r="J4150" s="28" t="str">
        <f aca="false">IF(A4150="","",D4150*F4150)</f>
        <v/>
      </c>
      <c r="K4150" s="0" t="str">
        <f aca="false">IF(A4150="","",YEAR(A4150))</f>
        <v/>
      </c>
      <c r="L4150" s="0" t="str">
        <f aca="false">IF(A4150="","",MONTH(A4150))</f>
        <v/>
      </c>
    </row>
    <row r="4151" customFormat="false" ht="15" hidden="false" customHeight="false" outlineLevel="0" collapsed="false">
      <c r="A4151" s="27"/>
      <c r="E4151" s="28"/>
      <c r="F4151" s="28"/>
      <c r="I4151" s="28" t="str">
        <f aca="false">IF(A4151="","",D4151*E4151)</f>
        <v/>
      </c>
      <c r="J4151" s="28" t="str">
        <f aca="false">IF(A4151="","",D4151*F4151)</f>
        <v/>
      </c>
      <c r="K4151" s="0" t="str">
        <f aca="false">IF(A4151="","",YEAR(A4151))</f>
        <v/>
      </c>
      <c r="L4151" s="0" t="str">
        <f aca="false">IF(A4151="","",MONTH(A4151))</f>
        <v/>
      </c>
    </row>
    <row r="4152" customFormat="false" ht="15" hidden="false" customHeight="false" outlineLevel="0" collapsed="false">
      <c r="A4152" s="27"/>
      <c r="E4152" s="28"/>
      <c r="F4152" s="28"/>
      <c r="I4152" s="28" t="str">
        <f aca="false">IF(A4152="","",D4152*E4152)</f>
        <v/>
      </c>
      <c r="J4152" s="28" t="str">
        <f aca="false">IF(A4152="","",D4152*F4152)</f>
        <v/>
      </c>
      <c r="K4152" s="0" t="str">
        <f aca="false">IF(A4152="","",YEAR(A4152))</f>
        <v/>
      </c>
      <c r="L4152" s="0" t="str">
        <f aca="false">IF(A4152="","",MONTH(A4152))</f>
        <v/>
      </c>
    </row>
    <row r="4153" customFormat="false" ht="15" hidden="false" customHeight="false" outlineLevel="0" collapsed="false">
      <c r="A4153" s="27"/>
      <c r="E4153" s="28"/>
      <c r="F4153" s="28"/>
      <c r="I4153" s="28" t="str">
        <f aca="false">IF(A4153="","",D4153*E4153)</f>
        <v/>
      </c>
      <c r="J4153" s="28" t="str">
        <f aca="false">IF(A4153="","",D4153*F4153)</f>
        <v/>
      </c>
      <c r="K4153" s="0" t="str">
        <f aca="false">IF(A4153="","",YEAR(A4153))</f>
        <v/>
      </c>
      <c r="L4153" s="0" t="str">
        <f aca="false">IF(A4153="","",MONTH(A4153))</f>
        <v/>
      </c>
    </row>
    <row r="4154" customFormat="false" ht="15" hidden="false" customHeight="false" outlineLevel="0" collapsed="false">
      <c r="A4154" s="27"/>
      <c r="E4154" s="28"/>
      <c r="F4154" s="28"/>
      <c r="I4154" s="28" t="str">
        <f aca="false">IF(A4154="","",D4154*E4154)</f>
        <v/>
      </c>
      <c r="J4154" s="28" t="str">
        <f aca="false">IF(A4154="","",D4154*F4154)</f>
        <v/>
      </c>
      <c r="K4154" s="0" t="str">
        <f aca="false">IF(A4154="","",YEAR(A4154))</f>
        <v/>
      </c>
      <c r="L4154" s="0" t="str">
        <f aca="false">IF(A4154="","",MONTH(A4154))</f>
        <v/>
      </c>
    </row>
    <row r="4155" customFormat="false" ht="15" hidden="false" customHeight="false" outlineLevel="0" collapsed="false">
      <c r="A4155" s="27"/>
      <c r="E4155" s="28"/>
      <c r="F4155" s="28"/>
      <c r="I4155" s="28" t="str">
        <f aca="false">IF(A4155="","",D4155*E4155)</f>
        <v/>
      </c>
      <c r="J4155" s="28" t="str">
        <f aca="false">IF(A4155="","",D4155*F4155)</f>
        <v/>
      </c>
      <c r="K4155" s="0" t="str">
        <f aca="false">IF(A4155="","",YEAR(A4155))</f>
        <v/>
      </c>
      <c r="L4155" s="0" t="str">
        <f aca="false">IF(A4155="","",MONTH(A4155))</f>
        <v/>
      </c>
    </row>
    <row r="4156" customFormat="false" ht="15" hidden="false" customHeight="false" outlineLevel="0" collapsed="false">
      <c r="A4156" s="27"/>
      <c r="E4156" s="28"/>
      <c r="F4156" s="28"/>
      <c r="I4156" s="28" t="str">
        <f aca="false">IF(A4156="","",D4156*E4156)</f>
        <v/>
      </c>
      <c r="J4156" s="28" t="str">
        <f aca="false">IF(A4156="","",D4156*F4156)</f>
        <v/>
      </c>
      <c r="K4156" s="0" t="str">
        <f aca="false">IF(A4156="","",YEAR(A4156))</f>
        <v/>
      </c>
      <c r="L4156" s="0" t="str">
        <f aca="false">IF(A4156="","",MONTH(A4156))</f>
        <v/>
      </c>
    </row>
    <row r="4157" customFormat="false" ht="15" hidden="false" customHeight="false" outlineLevel="0" collapsed="false">
      <c r="A4157" s="27"/>
      <c r="E4157" s="28"/>
      <c r="F4157" s="28"/>
      <c r="I4157" s="28" t="str">
        <f aca="false">IF(A4157="","",D4157*E4157)</f>
        <v/>
      </c>
      <c r="J4157" s="28" t="str">
        <f aca="false">IF(A4157="","",D4157*F4157)</f>
        <v/>
      </c>
      <c r="K4157" s="0" t="str">
        <f aca="false">IF(A4157="","",YEAR(A4157))</f>
        <v/>
      </c>
      <c r="L4157" s="0" t="str">
        <f aca="false">IF(A4157="","",MONTH(A4157))</f>
        <v/>
      </c>
    </row>
    <row r="4158" customFormat="false" ht="15" hidden="false" customHeight="false" outlineLevel="0" collapsed="false">
      <c r="A4158" s="27"/>
      <c r="E4158" s="28"/>
      <c r="F4158" s="28"/>
      <c r="I4158" s="28" t="str">
        <f aca="false">IF(A4158="","",D4158*E4158)</f>
        <v/>
      </c>
      <c r="J4158" s="28" t="str">
        <f aca="false">IF(A4158="","",D4158*F4158)</f>
        <v/>
      </c>
      <c r="K4158" s="0" t="str">
        <f aca="false">IF(A4158="","",YEAR(A4158))</f>
        <v/>
      </c>
      <c r="L4158" s="0" t="str">
        <f aca="false">IF(A4158="","",MONTH(A4158))</f>
        <v/>
      </c>
    </row>
    <row r="4159" customFormat="false" ht="15" hidden="false" customHeight="false" outlineLevel="0" collapsed="false">
      <c r="A4159" s="27"/>
      <c r="E4159" s="28"/>
      <c r="F4159" s="28"/>
      <c r="I4159" s="28" t="str">
        <f aca="false">IF(A4159="","",D4159*E4159)</f>
        <v/>
      </c>
      <c r="J4159" s="28" t="str">
        <f aca="false">IF(A4159="","",D4159*F4159)</f>
        <v/>
      </c>
      <c r="K4159" s="0" t="str">
        <f aca="false">IF(A4159="","",YEAR(A4159))</f>
        <v/>
      </c>
      <c r="L4159" s="0" t="str">
        <f aca="false">IF(A4159="","",MONTH(A4159))</f>
        <v/>
      </c>
    </row>
    <row r="4160" customFormat="false" ht="15" hidden="false" customHeight="false" outlineLevel="0" collapsed="false">
      <c r="A4160" s="27"/>
      <c r="E4160" s="28"/>
      <c r="F4160" s="28"/>
      <c r="I4160" s="28" t="str">
        <f aca="false">IF(A4160="","",D4160*E4160)</f>
        <v/>
      </c>
      <c r="J4160" s="28" t="str">
        <f aca="false">IF(A4160="","",D4160*F4160)</f>
        <v/>
      </c>
      <c r="K4160" s="0" t="str">
        <f aca="false">IF(A4160="","",YEAR(A4160))</f>
        <v/>
      </c>
      <c r="L4160" s="0" t="str">
        <f aca="false">IF(A4160="","",MONTH(A4160))</f>
        <v/>
      </c>
    </row>
    <row r="4161" customFormat="false" ht="15" hidden="false" customHeight="false" outlineLevel="0" collapsed="false">
      <c r="A4161" s="27"/>
      <c r="E4161" s="28"/>
      <c r="F4161" s="28"/>
      <c r="I4161" s="28" t="str">
        <f aca="false">IF(A4161="","",D4161*E4161)</f>
        <v/>
      </c>
      <c r="J4161" s="28" t="str">
        <f aca="false">IF(A4161="","",D4161*F4161)</f>
        <v/>
      </c>
      <c r="K4161" s="0" t="str">
        <f aca="false">IF(A4161="","",YEAR(A4161))</f>
        <v/>
      </c>
      <c r="L4161" s="0" t="str">
        <f aca="false">IF(A4161="","",MONTH(A4161))</f>
        <v/>
      </c>
    </row>
    <row r="4162" customFormat="false" ht="15" hidden="false" customHeight="false" outlineLevel="0" collapsed="false">
      <c r="A4162" s="27"/>
      <c r="E4162" s="28"/>
      <c r="F4162" s="28"/>
      <c r="I4162" s="28" t="str">
        <f aca="false">IF(A4162="","",D4162*E4162)</f>
        <v/>
      </c>
      <c r="J4162" s="28" t="str">
        <f aca="false">IF(A4162="","",D4162*F4162)</f>
        <v/>
      </c>
      <c r="K4162" s="0" t="str">
        <f aca="false">IF(A4162="","",YEAR(A4162))</f>
        <v/>
      </c>
      <c r="L4162" s="0" t="str">
        <f aca="false">IF(A4162="","",MONTH(A4162))</f>
        <v/>
      </c>
    </row>
    <row r="4163" customFormat="false" ht="15" hidden="false" customHeight="false" outlineLevel="0" collapsed="false">
      <c r="A4163" s="27"/>
      <c r="E4163" s="28"/>
      <c r="F4163" s="28"/>
      <c r="I4163" s="28" t="str">
        <f aca="false">IF(A4163="","",D4163*E4163)</f>
        <v/>
      </c>
      <c r="J4163" s="28" t="str">
        <f aca="false">IF(A4163="","",D4163*F4163)</f>
        <v/>
      </c>
      <c r="K4163" s="0" t="str">
        <f aca="false">IF(A4163="","",YEAR(A4163))</f>
        <v/>
      </c>
      <c r="L4163" s="0" t="str">
        <f aca="false">IF(A4163="","",MONTH(A4163))</f>
        <v/>
      </c>
    </row>
    <row r="4164" customFormat="false" ht="15" hidden="false" customHeight="false" outlineLevel="0" collapsed="false">
      <c r="A4164" s="27"/>
      <c r="E4164" s="28"/>
      <c r="F4164" s="28"/>
      <c r="I4164" s="28" t="str">
        <f aca="false">IF(A4164="","",D4164*E4164)</f>
        <v/>
      </c>
      <c r="J4164" s="28" t="str">
        <f aca="false">IF(A4164="","",D4164*F4164)</f>
        <v/>
      </c>
      <c r="K4164" s="0" t="str">
        <f aca="false">IF(A4164="","",YEAR(A4164))</f>
        <v/>
      </c>
      <c r="L4164" s="0" t="str">
        <f aca="false">IF(A4164="","",MONTH(A4164))</f>
        <v/>
      </c>
    </row>
    <row r="4165" customFormat="false" ht="15" hidden="false" customHeight="false" outlineLevel="0" collapsed="false">
      <c r="A4165" s="27"/>
      <c r="E4165" s="28"/>
      <c r="F4165" s="28"/>
      <c r="I4165" s="28" t="str">
        <f aca="false">IF(A4165="","",D4165*E4165)</f>
        <v/>
      </c>
      <c r="J4165" s="28" t="str">
        <f aca="false">IF(A4165="","",D4165*F4165)</f>
        <v/>
      </c>
      <c r="K4165" s="0" t="str">
        <f aca="false">IF(A4165="","",YEAR(A4165))</f>
        <v/>
      </c>
      <c r="L4165" s="0" t="str">
        <f aca="false">IF(A4165="","",MONTH(A4165))</f>
        <v/>
      </c>
    </row>
    <row r="4166" customFormat="false" ht="15" hidden="false" customHeight="false" outlineLevel="0" collapsed="false">
      <c r="A4166" s="27"/>
      <c r="E4166" s="28"/>
      <c r="F4166" s="28"/>
      <c r="I4166" s="28" t="str">
        <f aca="false">IF(A4166="","",D4166*E4166)</f>
        <v/>
      </c>
      <c r="J4166" s="28" t="str">
        <f aca="false">IF(A4166="","",D4166*F4166)</f>
        <v/>
      </c>
      <c r="K4166" s="0" t="str">
        <f aca="false">IF(A4166="","",YEAR(A4166))</f>
        <v/>
      </c>
      <c r="L4166" s="0" t="str">
        <f aca="false">IF(A4166="","",MONTH(A4166))</f>
        <v/>
      </c>
    </row>
    <row r="4167" customFormat="false" ht="15" hidden="false" customHeight="false" outlineLevel="0" collapsed="false">
      <c r="A4167" s="27"/>
      <c r="E4167" s="28"/>
      <c r="F4167" s="28"/>
      <c r="I4167" s="28" t="str">
        <f aca="false">IF(A4167="","",D4167*E4167)</f>
        <v/>
      </c>
      <c r="J4167" s="28" t="str">
        <f aca="false">IF(A4167="","",D4167*F4167)</f>
        <v/>
      </c>
      <c r="K4167" s="0" t="str">
        <f aca="false">IF(A4167="","",YEAR(A4167))</f>
        <v/>
      </c>
      <c r="L4167" s="0" t="str">
        <f aca="false">IF(A4167="","",MONTH(A4167))</f>
        <v/>
      </c>
    </row>
    <row r="4168" customFormat="false" ht="15" hidden="false" customHeight="false" outlineLevel="0" collapsed="false">
      <c r="A4168" s="27"/>
      <c r="E4168" s="28"/>
      <c r="F4168" s="28"/>
      <c r="I4168" s="28" t="str">
        <f aca="false">IF(A4168="","",D4168*E4168)</f>
        <v/>
      </c>
      <c r="J4168" s="28" t="str">
        <f aca="false">IF(A4168="","",D4168*F4168)</f>
        <v/>
      </c>
      <c r="K4168" s="0" t="str">
        <f aca="false">IF(A4168="","",YEAR(A4168))</f>
        <v/>
      </c>
      <c r="L4168" s="0" t="str">
        <f aca="false">IF(A4168="","",MONTH(A4168))</f>
        <v/>
      </c>
    </row>
    <row r="4169" customFormat="false" ht="15" hidden="false" customHeight="false" outlineLevel="0" collapsed="false">
      <c r="A4169" s="27"/>
      <c r="E4169" s="28"/>
      <c r="F4169" s="28"/>
      <c r="I4169" s="28" t="str">
        <f aca="false">IF(A4169="","",D4169*E4169)</f>
        <v/>
      </c>
      <c r="J4169" s="28" t="str">
        <f aca="false">IF(A4169="","",D4169*F4169)</f>
        <v/>
      </c>
      <c r="K4169" s="0" t="str">
        <f aca="false">IF(A4169="","",YEAR(A4169))</f>
        <v/>
      </c>
      <c r="L4169" s="0" t="str">
        <f aca="false">IF(A4169="","",MONTH(A4169))</f>
        <v/>
      </c>
    </row>
    <row r="4170" customFormat="false" ht="15" hidden="false" customHeight="false" outlineLevel="0" collapsed="false">
      <c r="A4170" s="27"/>
      <c r="E4170" s="28"/>
      <c r="F4170" s="28"/>
      <c r="I4170" s="28" t="str">
        <f aca="false">IF(A4170="","",D4170*E4170)</f>
        <v/>
      </c>
      <c r="J4170" s="28" t="str">
        <f aca="false">IF(A4170="","",D4170*F4170)</f>
        <v/>
      </c>
      <c r="K4170" s="0" t="str">
        <f aca="false">IF(A4170="","",YEAR(A4170))</f>
        <v/>
      </c>
      <c r="L4170" s="0" t="str">
        <f aca="false">IF(A4170="","",MONTH(A4170))</f>
        <v/>
      </c>
    </row>
    <row r="4171" customFormat="false" ht="15" hidden="false" customHeight="false" outlineLevel="0" collapsed="false">
      <c r="A4171" s="27"/>
      <c r="E4171" s="28"/>
      <c r="F4171" s="28"/>
      <c r="I4171" s="28" t="str">
        <f aca="false">IF(A4171="","",D4171*E4171)</f>
        <v/>
      </c>
      <c r="J4171" s="28" t="str">
        <f aca="false">IF(A4171="","",D4171*F4171)</f>
        <v/>
      </c>
      <c r="K4171" s="0" t="str">
        <f aca="false">IF(A4171="","",YEAR(A4171))</f>
        <v/>
      </c>
      <c r="L4171" s="0" t="str">
        <f aca="false">IF(A4171="","",MONTH(A4171))</f>
        <v/>
      </c>
    </row>
    <row r="4172" customFormat="false" ht="15" hidden="false" customHeight="false" outlineLevel="0" collapsed="false">
      <c r="A4172" s="27"/>
      <c r="E4172" s="28"/>
      <c r="F4172" s="28"/>
      <c r="I4172" s="28" t="str">
        <f aca="false">IF(A4172="","",D4172*E4172)</f>
        <v/>
      </c>
      <c r="J4172" s="28" t="str">
        <f aca="false">IF(A4172="","",D4172*F4172)</f>
        <v/>
      </c>
      <c r="K4172" s="0" t="str">
        <f aca="false">IF(A4172="","",YEAR(A4172))</f>
        <v/>
      </c>
      <c r="L4172" s="0" t="str">
        <f aca="false">IF(A4172="","",MONTH(A4172))</f>
        <v/>
      </c>
    </row>
    <row r="4173" customFormat="false" ht="15" hidden="false" customHeight="false" outlineLevel="0" collapsed="false">
      <c r="A4173" s="27"/>
      <c r="E4173" s="28"/>
      <c r="F4173" s="28"/>
      <c r="I4173" s="28" t="str">
        <f aca="false">IF(A4173="","",D4173*E4173)</f>
        <v/>
      </c>
      <c r="J4173" s="28" t="str">
        <f aca="false">IF(A4173="","",D4173*F4173)</f>
        <v/>
      </c>
      <c r="K4173" s="0" t="str">
        <f aca="false">IF(A4173="","",YEAR(A4173))</f>
        <v/>
      </c>
      <c r="L4173" s="0" t="str">
        <f aca="false">IF(A4173="","",MONTH(A4173))</f>
        <v/>
      </c>
    </row>
    <row r="4174" customFormat="false" ht="15" hidden="false" customHeight="false" outlineLevel="0" collapsed="false">
      <c r="A4174" s="27"/>
      <c r="E4174" s="28"/>
      <c r="F4174" s="28"/>
      <c r="I4174" s="28" t="str">
        <f aca="false">IF(A4174="","",D4174*E4174)</f>
        <v/>
      </c>
      <c r="J4174" s="28" t="str">
        <f aca="false">IF(A4174="","",D4174*F4174)</f>
        <v/>
      </c>
      <c r="K4174" s="0" t="str">
        <f aca="false">IF(A4174="","",YEAR(A4174))</f>
        <v/>
      </c>
      <c r="L4174" s="0" t="str">
        <f aca="false">IF(A4174="","",MONTH(A4174))</f>
        <v/>
      </c>
    </row>
    <row r="4175" customFormat="false" ht="15" hidden="false" customHeight="false" outlineLevel="0" collapsed="false">
      <c r="A4175" s="27"/>
      <c r="E4175" s="28"/>
      <c r="F4175" s="28"/>
      <c r="I4175" s="28" t="str">
        <f aca="false">IF(A4175="","",D4175*E4175)</f>
        <v/>
      </c>
      <c r="J4175" s="28" t="str">
        <f aca="false">IF(A4175="","",D4175*F4175)</f>
        <v/>
      </c>
      <c r="K4175" s="0" t="str">
        <f aca="false">IF(A4175="","",YEAR(A4175))</f>
        <v/>
      </c>
      <c r="L4175" s="0" t="str">
        <f aca="false">IF(A4175="","",MONTH(A4175))</f>
        <v/>
      </c>
    </row>
    <row r="4176" customFormat="false" ht="15" hidden="false" customHeight="false" outlineLevel="0" collapsed="false">
      <c r="A4176" s="27"/>
      <c r="E4176" s="28"/>
      <c r="F4176" s="28"/>
      <c r="I4176" s="28" t="str">
        <f aca="false">IF(A4176="","",D4176*E4176)</f>
        <v/>
      </c>
      <c r="J4176" s="28" t="str">
        <f aca="false">IF(A4176="","",D4176*F4176)</f>
        <v/>
      </c>
      <c r="K4176" s="0" t="str">
        <f aca="false">IF(A4176="","",YEAR(A4176))</f>
        <v/>
      </c>
      <c r="L4176" s="0" t="str">
        <f aca="false">IF(A4176="","",MONTH(A4176))</f>
        <v/>
      </c>
    </row>
    <row r="4177" customFormat="false" ht="15" hidden="false" customHeight="false" outlineLevel="0" collapsed="false">
      <c r="A4177" s="27"/>
      <c r="E4177" s="28"/>
      <c r="F4177" s="28"/>
      <c r="I4177" s="28" t="str">
        <f aca="false">IF(A4177="","",D4177*E4177)</f>
        <v/>
      </c>
      <c r="J4177" s="28" t="str">
        <f aca="false">IF(A4177="","",D4177*F4177)</f>
        <v/>
      </c>
      <c r="K4177" s="0" t="str">
        <f aca="false">IF(A4177="","",YEAR(A4177))</f>
        <v/>
      </c>
      <c r="L4177" s="0" t="str">
        <f aca="false">IF(A4177="","",MONTH(A4177))</f>
        <v/>
      </c>
    </row>
    <row r="4178" customFormat="false" ht="15" hidden="false" customHeight="false" outlineLevel="0" collapsed="false">
      <c r="A4178" s="27"/>
      <c r="E4178" s="28"/>
      <c r="F4178" s="28"/>
      <c r="I4178" s="28" t="str">
        <f aca="false">IF(A4178="","",D4178*E4178)</f>
        <v/>
      </c>
      <c r="J4178" s="28" t="str">
        <f aca="false">IF(A4178="","",D4178*F4178)</f>
        <v/>
      </c>
      <c r="K4178" s="0" t="str">
        <f aca="false">IF(A4178="","",YEAR(A4178))</f>
        <v/>
      </c>
      <c r="L4178" s="0" t="str">
        <f aca="false">IF(A4178="","",MONTH(A4178))</f>
        <v/>
      </c>
    </row>
    <row r="4179" customFormat="false" ht="15" hidden="false" customHeight="false" outlineLevel="0" collapsed="false">
      <c r="A4179" s="27"/>
      <c r="E4179" s="28"/>
      <c r="F4179" s="28"/>
      <c r="I4179" s="28" t="str">
        <f aca="false">IF(A4179="","",D4179*E4179)</f>
        <v/>
      </c>
      <c r="J4179" s="28" t="str">
        <f aca="false">IF(A4179="","",D4179*F4179)</f>
        <v/>
      </c>
      <c r="K4179" s="0" t="str">
        <f aca="false">IF(A4179="","",YEAR(A4179))</f>
        <v/>
      </c>
      <c r="L4179" s="0" t="str">
        <f aca="false">IF(A4179="","",MONTH(A4179))</f>
        <v/>
      </c>
    </row>
    <row r="4180" customFormat="false" ht="15" hidden="false" customHeight="false" outlineLevel="0" collapsed="false">
      <c r="A4180" s="27"/>
      <c r="E4180" s="28"/>
      <c r="F4180" s="28"/>
      <c r="I4180" s="28" t="str">
        <f aca="false">IF(A4180="","",D4180*E4180)</f>
        <v/>
      </c>
      <c r="J4180" s="28" t="str">
        <f aca="false">IF(A4180="","",D4180*F4180)</f>
        <v/>
      </c>
      <c r="K4180" s="0" t="str">
        <f aca="false">IF(A4180="","",YEAR(A4180))</f>
        <v/>
      </c>
      <c r="L4180" s="0" t="str">
        <f aca="false">IF(A4180="","",MONTH(A4180))</f>
        <v/>
      </c>
    </row>
    <row r="4181" customFormat="false" ht="15" hidden="false" customHeight="false" outlineLevel="0" collapsed="false">
      <c r="A4181" s="27"/>
      <c r="E4181" s="28"/>
      <c r="F4181" s="28"/>
      <c r="I4181" s="28" t="str">
        <f aca="false">IF(A4181="","",D4181*E4181)</f>
        <v/>
      </c>
      <c r="J4181" s="28" t="str">
        <f aca="false">IF(A4181="","",D4181*F4181)</f>
        <v/>
      </c>
      <c r="K4181" s="0" t="str">
        <f aca="false">IF(A4181="","",YEAR(A4181))</f>
        <v/>
      </c>
      <c r="L4181" s="0" t="str">
        <f aca="false">IF(A4181="","",MONTH(A4181))</f>
        <v/>
      </c>
    </row>
    <row r="4182" customFormat="false" ht="15" hidden="false" customHeight="false" outlineLevel="0" collapsed="false">
      <c r="A4182" s="27"/>
      <c r="E4182" s="28"/>
      <c r="F4182" s="28"/>
      <c r="I4182" s="28" t="str">
        <f aca="false">IF(A4182="","",D4182*E4182)</f>
        <v/>
      </c>
      <c r="J4182" s="28" t="str">
        <f aca="false">IF(A4182="","",D4182*F4182)</f>
        <v/>
      </c>
      <c r="K4182" s="0" t="str">
        <f aca="false">IF(A4182="","",YEAR(A4182))</f>
        <v/>
      </c>
      <c r="L4182" s="0" t="str">
        <f aca="false">IF(A4182="","",MONTH(A4182))</f>
        <v/>
      </c>
    </row>
    <row r="4183" customFormat="false" ht="15" hidden="false" customHeight="false" outlineLevel="0" collapsed="false">
      <c r="A4183" s="27"/>
      <c r="E4183" s="28"/>
      <c r="F4183" s="28"/>
      <c r="I4183" s="28" t="str">
        <f aca="false">IF(A4183="","",D4183*E4183)</f>
        <v/>
      </c>
      <c r="J4183" s="28" t="str">
        <f aca="false">IF(A4183="","",D4183*F4183)</f>
        <v/>
      </c>
      <c r="K4183" s="0" t="str">
        <f aca="false">IF(A4183="","",YEAR(A4183))</f>
        <v/>
      </c>
      <c r="L4183" s="0" t="str">
        <f aca="false">IF(A4183="","",MONTH(A4183))</f>
        <v/>
      </c>
    </row>
    <row r="4184" customFormat="false" ht="15" hidden="false" customHeight="false" outlineLevel="0" collapsed="false">
      <c r="A4184" s="27"/>
      <c r="E4184" s="28"/>
      <c r="F4184" s="28"/>
      <c r="I4184" s="28" t="str">
        <f aca="false">IF(A4184="","",D4184*E4184)</f>
        <v/>
      </c>
      <c r="J4184" s="28" t="str">
        <f aca="false">IF(A4184="","",D4184*F4184)</f>
        <v/>
      </c>
      <c r="K4184" s="0" t="str">
        <f aca="false">IF(A4184="","",YEAR(A4184))</f>
        <v/>
      </c>
      <c r="L4184" s="0" t="str">
        <f aca="false">IF(A4184="","",MONTH(A4184))</f>
        <v/>
      </c>
    </row>
    <row r="4185" customFormat="false" ht="15" hidden="false" customHeight="false" outlineLevel="0" collapsed="false">
      <c r="A4185" s="27"/>
      <c r="E4185" s="28"/>
      <c r="F4185" s="28"/>
      <c r="I4185" s="28" t="str">
        <f aca="false">IF(A4185="","",D4185*E4185)</f>
        <v/>
      </c>
      <c r="J4185" s="28" t="str">
        <f aca="false">IF(A4185="","",D4185*F4185)</f>
        <v/>
      </c>
      <c r="K4185" s="0" t="str">
        <f aca="false">IF(A4185="","",YEAR(A4185))</f>
        <v/>
      </c>
      <c r="L4185" s="0" t="str">
        <f aca="false">IF(A4185="","",MONTH(A4185))</f>
        <v/>
      </c>
    </row>
    <row r="4186" customFormat="false" ht="15" hidden="false" customHeight="false" outlineLevel="0" collapsed="false">
      <c r="A4186" s="27"/>
      <c r="E4186" s="28"/>
      <c r="F4186" s="28"/>
      <c r="I4186" s="28" t="str">
        <f aca="false">IF(A4186="","",D4186*E4186)</f>
        <v/>
      </c>
      <c r="J4186" s="28" t="str">
        <f aca="false">IF(A4186="","",D4186*F4186)</f>
        <v/>
      </c>
      <c r="K4186" s="0" t="str">
        <f aca="false">IF(A4186="","",YEAR(A4186))</f>
        <v/>
      </c>
      <c r="L4186" s="0" t="str">
        <f aca="false">IF(A4186="","",MONTH(A4186))</f>
        <v/>
      </c>
    </row>
    <row r="4187" customFormat="false" ht="15" hidden="false" customHeight="false" outlineLevel="0" collapsed="false">
      <c r="A4187" s="27"/>
      <c r="E4187" s="28"/>
      <c r="F4187" s="28"/>
      <c r="I4187" s="28" t="str">
        <f aca="false">IF(A4187="","",D4187*E4187)</f>
        <v/>
      </c>
      <c r="J4187" s="28" t="str">
        <f aca="false">IF(A4187="","",D4187*F4187)</f>
        <v/>
      </c>
      <c r="K4187" s="0" t="str">
        <f aca="false">IF(A4187="","",YEAR(A4187))</f>
        <v/>
      </c>
      <c r="L4187" s="0" t="str">
        <f aca="false">IF(A4187="","",MONTH(A4187))</f>
        <v/>
      </c>
    </row>
    <row r="4188" customFormat="false" ht="15" hidden="false" customHeight="false" outlineLevel="0" collapsed="false">
      <c r="A4188" s="27"/>
      <c r="E4188" s="28"/>
      <c r="F4188" s="28"/>
      <c r="I4188" s="28" t="str">
        <f aca="false">IF(A4188="","",D4188*E4188)</f>
        <v/>
      </c>
      <c r="J4188" s="28" t="str">
        <f aca="false">IF(A4188="","",D4188*F4188)</f>
        <v/>
      </c>
      <c r="K4188" s="0" t="str">
        <f aca="false">IF(A4188="","",YEAR(A4188))</f>
        <v/>
      </c>
      <c r="L4188" s="0" t="str">
        <f aca="false">IF(A4188="","",MONTH(A4188))</f>
        <v/>
      </c>
    </row>
    <row r="4189" customFormat="false" ht="15" hidden="false" customHeight="false" outlineLevel="0" collapsed="false">
      <c r="A4189" s="27"/>
      <c r="E4189" s="28"/>
      <c r="F4189" s="28"/>
      <c r="I4189" s="28" t="str">
        <f aca="false">IF(A4189="","",D4189*E4189)</f>
        <v/>
      </c>
      <c r="J4189" s="28" t="str">
        <f aca="false">IF(A4189="","",D4189*F4189)</f>
        <v/>
      </c>
      <c r="K4189" s="0" t="str">
        <f aca="false">IF(A4189="","",YEAR(A4189))</f>
        <v/>
      </c>
      <c r="L4189" s="0" t="str">
        <f aca="false">IF(A4189="","",MONTH(A4189))</f>
        <v/>
      </c>
    </row>
    <row r="4190" customFormat="false" ht="15" hidden="false" customHeight="false" outlineLevel="0" collapsed="false">
      <c r="A4190" s="27"/>
      <c r="E4190" s="28"/>
      <c r="F4190" s="28"/>
      <c r="I4190" s="28" t="str">
        <f aca="false">IF(A4190="","",D4190*E4190)</f>
        <v/>
      </c>
      <c r="J4190" s="28" t="str">
        <f aca="false">IF(A4190="","",D4190*F4190)</f>
        <v/>
      </c>
      <c r="K4190" s="0" t="str">
        <f aca="false">IF(A4190="","",YEAR(A4190))</f>
        <v/>
      </c>
      <c r="L4190" s="0" t="str">
        <f aca="false">IF(A4190="","",MONTH(A4190))</f>
        <v/>
      </c>
    </row>
    <row r="4191" customFormat="false" ht="15" hidden="false" customHeight="false" outlineLevel="0" collapsed="false">
      <c r="A4191" s="27"/>
      <c r="E4191" s="28"/>
      <c r="F4191" s="28"/>
      <c r="I4191" s="28" t="str">
        <f aca="false">IF(A4191="","",D4191*E4191)</f>
        <v/>
      </c>
      <c r="J4191" s="28" t="str">
        <f aca="false">IF(A4191="","",D4191*F4191)</f>
        <v/>
      </c>
      <c r="K4191" s="0" t="str">
        <f aca="false">IF(A4191="","",YEAR(A4191))</f>
        <v/>
      </c>
      <c r="L4191" s="0" t="str">
        <f aca="false">IF(A4191="","",MONTH(A4191))</f>
        <v/>
      </c>
    </row>
    <row r="4192" customFormat="false" ht="15" hidden="false" customHeight="false" outlineLevel="0" collapsed="false">
      <c r="A4192" s="27"/>
      <c r="E4192" s="28"/>
      <c r="F4192" s="28"/>
      <c r="I4192" s="28" t="str">
        <f aca="false">IF(A4192="","",D4192*E4192)</f>
        <v/>
      </c>
      <c r="J4192" s="28" t="str">
        <f aca="false">IF(A4192="","",D4192*F4192)</f>
        <v/>
      </c>
      <c r="K4192" s="0" t="str">
        <f aca="false">IF(A4192="","",YEAR(A4192))</f>
        <v/>
      </c>
      <c r="L4192" s="0" t="str">
        <f aca="false">IF(A4192="","",MONTH(A4192))</f>
        <v/>
      </c>
    </row>
    <row r="4193" customFormat="false" ht="15" hidden="false" customHeight="false" outlineLevel="0" collapsed="false">
      <c r="A4193" s="27"/>
      <c r="E4193" s="28"/>
      <c r="F4193" s="28"/>
      <c r="I4193" s="28" t="str">
        <f aca="false">IF(A4193="","",D4193*E4193)</f>
        <v/>
      </c>
      <c r="J4193" s="28" t="str">
        <f aca="false">IF(A4193="","",D4193*F4193)</f>
        <v/>
      </c>
      <c r="K4193" s="0" t="str">
        <f aca="false">IF(A4193="","",YEAR(A4193))</f>
        <v/>
      </c>
      <c r="L4193" s="0" t="str">
        <f aca="false">IF(A4193="","",MONTH(A4193))</f>
        <v/>
      </c>
    </row>
    <row r="4194" customFormat="false" ht="15" hidden="false" customHeight="false" outlineLevel="0" collapsed="false">
      <c r="A4194" s="27"/>
      <c r="E4194" s="28"/>
      <c r="F4194" s="28"/>
      <c r="I4194" s="28" t="str">
        <f aca="false">IF(A4194="","",D4194*E4194)</f>
        <v/>
      </c>
      <c r="J4194" s="28" t="str">
        <f aca="false">IF(A4194="","",D4194*F4194)</f>
        <v/>
      </c>
      <c r="K4194" s="0" t="str">
        <f aca="false">IF(A4194="","",YEAR(A4194))</f>
        <v/>
      </c>
      <c r="L4194" s="0" t="str">
        <f aca="false">IF(A4194="","",MONTH(A4194))</f>
        <v/>
      </c>
    </row>
    <row r="4195" customFormat="false" ht="15" hidden="false" customHeight="false" outlineLevel="0" collapsed="false">
      <c r="A4195" s="27"/>
      <c r="E4195" s="28"/>
      <c r="F4195" s="28"/>
      <c r="I4195" s="28" t="str">
        <f aca="false">IF(A4195="","",D4195*E4195)</f>
        <v/>
      </c>
      <c r="J4195" s="28" t="str">
        <f aca="false">IF(A4195="","",D4195*F4195)</f>
        <v/>
      </c>
      <c r="K4195" s="0" t="str">
        <f aca="false">IF(A4195="","",YEAR(A4195))</f>
        <v/>
      </c>
      <c r="L4195" s="0" t="str">
        <f aca="false">IF(A4195="","",MONTH(A4195))</f>
        <v/>
      </c>
    </row>
    <row r="4196" customFormat="false" ht="15" hidden="false" customHeight="false" outlineLevel="0" collapsed="false">
      <c r="A4196" s="27"/>
      <c r="E4196" s="28"/>
      <c r="F4196" s="28"/>
      <c r="I4196" s="28" t="str">
        <f aca="false">IF(A4196="","",D4196*E4196)</f>
        <v/>
      </c>
      <c r="J4196" s="28" t="str">
        <f aca="false">IF(A4196="","",D4196*F4196)</f>
        <v/>
      </c>
      <c r="K4196" s="0" t="str">
        <f aca="false">IF(A4196="","",YEAR(A4196))</f>
        <v/>
      </c>
      <c r="L4196" s="0" t="str">
        <f aca="false">IF(A4196="","",MONTH(A4196))</f>
        <v/>
      </c>
    </row>
    <row r="4197" customFormat="false" ht="15" hidden="false" customHeight="false" outlineLevel="0" collapsed="false">
      <c r="A4197" s="27"/>
      <c r="E4197" s="28"/>
      <c r="F4197" s="28"/>
      <c r="I4197" s="28" t="str">
        <f aca="false">IF(A4197="","",D4197*E4197)</f>
        <v/>
      </c>
      <c r="J4197" s="28" t="str">
        <f aca="false">IF(A4197="","",D4197*F4197)</f>
        <v/>
      </c>
      <c r="K4197" s="0" t="str">
        <f aca="false">IF(A4197="","",YEAR(A4197))</f>
        <v/>
      </c>
      <c r="L4197" s="0" t="str">
        <f aca="false">IF(A4197="","",MONTH(A4197))</f>
        <v/>
      </c>
    </row>
    <row r="4198" customFormat="false" ht="15" hidden="false" customHeight="false" outlineLevel="0" collapsed="false">
      <c r="A4198" s="27"/>
      <c r="E4198" s="28"/>
      <c r="F4198" s="28"/>
      <c r="I4198" s="28" t="str">
        <f aca="false">IF(A4198="","",D4198*E4198)</f>
        <v/>
      </c>
      <c r="J4198" s="28" t="str">
        <f aca="false">IF(A4198="","",D4198*F4198)</f>
        <v/>
      </c>
      <c r="K4198" s="0" t="str">
        <f aca="false">IF(A4198="","",YEAR(A4198))</f>
        <v/>
      </c>
      <c r="L4198" s="0" t="str">
        <f aca="false">IF(A4198="","",MONTH(A4198))</f>
        <v/>
      </c>
    </row>
    <row r="4199" customFormat="false" ht="15" hidden="false" customHeight="false" outlineLevel="0" collapsed="false">
      <c r="A4199" s="27"/>
      <c r="E4199" s="28"/>
      <c r="F4199" s="28"/>
      <c r="I4199" s="28" t="str">
        <f aca="false">IF(A4199="","",D4199*E4199)</f>
        <v/>
      </c>
      <c r="J4199" s="28" t="str">
        <f aca="false">IF(A4199="","",D4199*F4199)</f>
        <v/>
      </c>
      <c r="K4199" s="0" t="str">
        <f aca="false">IF(A4199="","",YEAR(A4199))</f>
        <v/>
      </c>
      <c r="L4199" s="0" t="str">
        <f aca="false">IF(A4199="","",MONTH(A4199))</f>
        <v/>
      </c>
    </row>
    <row r="4200" customFormat="false" ht="15" hidden="false" customHeight="false" outlineLevel="0" collapsed="false">
      <c r="A4200" s="27"/>
      <c r="E4200" s="28"/>
      <c r="F4200" s="28"/>
      <c r="I4200" s="28" t="str">
        <f aca="false">IF(A4200="","",D4200*E4200)</f>
        <v/>
      </c>
      <c r="J4200" s="28" t="str">
        <f aca="false">IF(A4200="","",D4200*F4200)</f>
        <v/>
      </c>
      <c r="K4200" s="0" t="str">
        <f aca="false">IF(A4200="","",YEAR(A4200))</f>
        <v/>
      </c>
      <c r="L4200" s="0" t="str">
        <f aca="false">IF(A4200="","",MONTH(A4200))</f>
        <v/>
      </c>
    </row>
    <row r="4201" customFormat="false" ht="15" hidden="false" customHeight="false" outlineLevel="0" collapsed="false">
      <c r="A4201" s="27"/>
      <c r="E4201" s="28"/>
      <c r="F4201" s="28"/>
      <c r="I4201" s="28" t="str">
        <f aca="false">IF(A4201="","",D4201*E4201)</f>
        <v/>
      </c>
      <c r="J4201" s="28" t="str">
        <f aca="false">IF(A4201="","",D4201*F4201)</f>
        <v/>
      </c>
      <c r="K4201" s="0" t="str">
        <f aca="false">IF(A4201="","",YEAR(A4201))</f>
        <v/>
      </c>
      <c r="L4201" s="0" t="str">
        <f aca="false">IF(A4201="","",MONTH(A4201))</f>
        <v/>
      </c>
    </row>
    <row r="4202" customFormat="false" ht="15" hidden="false" customHeight="false" outlineLevel="0" collapsed="false">
      <c r="A4202" s="27"/>
      <c r="E4202" s="28"/>
      <c r="F4202" s="28"/>
      <c r="I4202" s="28" t="str">
        <f aca="false">IF(A4202="","",D4202*E4202)</f>
        <v/>
      </c>
      <c r="J4202" s="28" t="str">
        <f aca="false">IF(A4202="","",D4202*F4202)</f>
        <v/>
      </c>
      <c r="K4202" s="0" t="str">
        <f aca="false">IF(A4202="","",YEAR(A4202))</f>
        <v/>
      </c>
      <c r="L4202" s="0" t="str">
        <f aca="false">IF(A4202="","",MONTH(A4202))</f>
        <v/>
      </c>
    </row>
    <row r="4203" customFormat="false" ht="15" hidden="false" customHeight="false" outlineLevel="0" collapsed="false">
      <c r="A4203" s="27"/>
      <c r="E4203" s="28"/>
      <c r="F4203" s="28"/>
      <c r="I4203" s="28" t="str">
        <f aca="false">IF(A4203="","",D4203*E4203)</f>
        <v/>
      </c>
      <c r="J4203" s="28" t="str">
        <f aca="false">IF(A4203="","",D4203*F4203)</f>
        <v/>
      </c>
      <c r="K4203" s="0" t="str">
        <f aca="false">IF(A4203="","",YEAR(A4203))</f>
        <v/>
      </c>
      <c r="L4203" s="0" t="str">
        <f aca="false">IF(A4203="","",MONTH(A4203))</f>
        <v/>
      </c>
    </row>
    <row r="4204" customFormat="false" ht="15" hidden="false" customHeight="false" outlineLevel="0" collapsed="false">
      <c r="A4204" s="27"/>
      <c r="E4204" s="28"/>
      <c r="F4204" s="28"/>
      <c r="I4204" s="28" t="str">
        <f aca="false">IF(A4204="","",D4204*E4204)</f>
        <v/>
      </c>
      <c r="J4204" s="28" t="str">
        <f aca="false">IF(A4204="","",D4204*F4204)</f>
        <v/>
      </c>
      <c r="K4204" s="0" t="str">
        <f aca="false">IF(A4204="","",YEAR(A4204))</f>
        <v/>
      </c>
      <c r="L4204" s="0" t="str">
        <f aca="false">IF(A4204="","",MONTH(A4204))</f>
        <v/>
      </c>
    </row>
    <row r="4205" customFormat="false" ht="15" hidden="false" customHeight="false" outlineLevel="0" collapsed="false">
      <c r="A4205" s="27"/>
      <c r="E4205" s="28"/>
      <c r="F4205" s="28"/>
      <c r="I4205" s="28" t="str">
        <f aca="false">IF(A4205="","",D4205*E4205)</f>
        <v/>
      </c>
      <c r="J4205" s="28" t="str">
        <f aca="false">IF(A4205="","",D4205*F4205)</f>
        <v/>
      </c>
      <c r="K4205" s="0" t="str">
        <f aca="false">IF(A4205="","",YEAR(A4205))</f>
        <v/>
      </c>
      <c r="L4205" s="0" t="str">
        <f aca="false">IF(A4205="","",MONTH(A4205))</f>
        <v/>
      </c>
    </row>
    <row r="4206" customFormat="false" ht="15" hidden="false" customHeight="false" outlineLevel="0" collapsed="false">
      <c r="A4206" s="27"/>
      <c r="E4206" s="28"/>
      <c r="F4206" s="28"/>
      <c r="I4206" s="28" t="str">
        <f aca="false">IF(A4206="","",D4206*E4206)</f>
        <v/>
      </c>
      <c r="J4206" s="28" t="str">
        <f aca="false">IF(A4206="","",D4206*F4206)</f>
        <v/>
      </c>
      <c r="K4206" s="0" t="str">
        <f aca="false">IF(A4206="","",YEAR(A4206))</f>
        <v/>
      </c>
      <c r="L4206" s="0" t="str">
        <f aca="false">IF(A4206="","",MONTH(A4206))</f>
        <v/>
      </c>
    </row>
    <row r="4207" customFormat="false" ht="15" hidden="false" customHeight="false" outlineLevel="0" collapsed="false">
      <c r="A4207" s="27"/>
      <c r="E4207" s="28"/>
      <c r="F4207" s="28"/>
      <c r="I4207" s="28" t="str">
        <f aca="false">IF(A4207="","",D4207*E4207)</f>
        <v/>
      </c>
      <c r="J4207" s="28" t="str">
        <f aca="false">IF(A4207="","",D4207*F4207)</f>
        <v/>
      </c>
      <c r="K4207" s="0" t="str">
        <f aca="false">IF(A4207="","",YEAR(A4207))</f>
        <v/>
      </c>
      <c r="L4207" s="0" t="str">
        <f aca="false">IF(A4207="","",MONTH(A4207))</f>
        <v/>
      </c>
    </row>
    <row r="4208" customFormat="false" ht="15" hidden="false" customHeight="false" outlineLevel="0" collapsed="false">
      <c r="A4208" s="27"/>
      <c r="E4208" s="28"/>
      <c r="F4208" s="28"/>
      <c r="I4208" s="28" t="str">
        <f aca="false">IF(A4208="","",D4208*E4208)</f>
        <v/>
      </c>
      <c r="J4208" s="28" t="str">
        <f aca="false">IF(A4208="","",D4208*F4208)</f>
        <v/>
      </c>
      <c r="K4208" s="0" t="str">
        <f aca="false">IF(A4208="","",YEAR(A4208))</f>
        <v/>
      </c>
      <c r="L4208" s="0" t="str">
        <f aca="false">IF(A4208="","",MONTH(A4208))</f>
        <v/>
      </c>
    </row>
    <row r="4209" customFormat="false" ht="15" hidden="false" customHeight="false" outlineLevel="0" collapsed="false">
      <c r="A4209" s="27"/>
      <c r="E4209" s="28"/>
      <c r="F4209" s="28"/>
      <c r="I4209" s="28" t="str">
        <f aca="false">IF(A4209="","",D4209*E4209)</f>
        <v/>
      </c>
      <c r="J4209" s="28" t="str">
        <f aca="false">IF(A4209="","",D4209*F4209)</f>
        <v/>
      </c>
      <c r="K4209" s="0" t="str">
        <f aca="false">IF(A4209="","",YEAR(A4209))</f>
        <v/>
      </c>
      <c r="L4209" s="0" t="str">
        <f aca="false">IF(A4209="","",MONTH(A4209))</f>
        <v/>
      </c>
    </row>
    <row r="4210" customFormat="false" ht="15" hidden="false" customHeight="false" outlineLevel="0" collapsed="false">
      <c r="A4210" s="27"/>
      <c r="E4210" s="28"/>
      <c r="F4210" s="28"/>
      <c r="I4210" s="28" t="str">
        <f aca="false">IF(A4210="","",D4210*E4210)</f>
        <v/>
      </c>
      <c r="J4210" s="28" t="str">
        <f aca="false">IF(A4210="","",D4210*F4210)</f>
        <v/>
      </c>
      <c r="K4210" s="0" t="str">
        <f aca="false">IF(A4210="","",YEAR(A4210))</f>
        <v/>
      </c>
      <c r="L4210" s="0" t="str">
        <f aca="false">IF(A4210="","",MONTH(A4210))</f>
        <v/>
      </c>
    </row>
    <row r="4211" customFormat="false" ht="15" hidden="false" customHeight="false" outlineLevel="0" collapsed="false">
      <c r="A4211" s="27"/>
      <c r="E4211" s="28"/>
      <c r="F4211" s="28"/>
      <c r="I4211" s="28" t="str">
        <f aca="false">IF(A4211="","",D4211*E4211)</f>
        <v/>
      </c>
      <c r="J4211" s="28" t="str">
        <f aca="false">IF(A4211="","",D4211*F4211)</f>
        <v/>
      </c>
      <c r="K4211" s="0" t="str">
        <f aca="false">IF(A4211="","",YEAR(A4211))</f>
        <v/>
      </c>
      <c r="L4211" s="0" t="str">
        <f aca="false">IF(A4211="","",MONTH(A4211))</f>
        <v/>
      </c>
    </row>
    <row r="4212" customFormat="false" ht="15" hidden="false" customHeight="false" outlineLevel="0" collapsed="false">
      <c r="A4212" s="27"/>
      <c r="E4212" s="28"/>
      <c r="F4212" s="28"/>
      <c r="I4212" s="28" t="str">
        <f aca="false">IF(A4212="","",D4212*E4212)</f>
        <v/>
      </c>
      <c r="J4212" s="28" t="str">
        <f aca="false">IF(A4212="","",D4212*F4212)</f>
        <v/>
      </c>
      <c r="K4212" s="0" t="str">
        <f aca="false">IF(A4212="","",YEAR(A4212))</f>
        <v/>
      </c>
      <c r="L4212" s="0" t="str">
        <f aca="false">IF(A4212="","",MONTH(A4212))</f>
        <v/>
      </c>
    </row>
    <row r="4213" customFormat="false" ht="15" hidden="false" customHeight="false" outlineLevel="0" collapsed="false">
      <c r="A4213" s="27"/>
      <c r="E4213" s="28"/>
      <c r="F4213" s="28"/>
      <c r="I4213" s="28" t="str">
        <f aca="false">IF(A4213="","",D4213*E4213)</f>
        <v/>
      </c>
      <c r="J4213" s="28" t="str">
        <f aca="false">IF(A4213="","",D4213*F4213)</f>
        <v/>
      </c>
      <c r="K4213" s="0" t="str">
        <f aca="false">IF(A4213="","",YEAR(A4213))</f>
        <v/>
      </c>
      <c r="L4213" s="0" t="str">
        <f aca="false">IF(A4213="","",MONTH(A4213))</f>
        <v/>
      </c>
    </row>
    <row r="4214" customFormat="false" ht="15" hidden="false" customHeight="false" outlineLevel="0" collapsed="false">
      <c r="A4214" s="27"/>
      <c r="E4214" s="28"/>
      <c r="F4214" s="28"/>
      <c r="I4214" s="28" t="str">
        <f aca="false">IF(A4214="","",D4214*E4214)</f>
        <v/>
      </c>
      <c r="J4214" s="28" t="str">
        <f aca="false">IF(A4214="","",D4214*F4214)</f>
        <v/>
      </c>
      <c r="K4214" s="0" t="str">
        <f aca="false">IF(A4214="","",YEAR(A4214))</f>
        <v/>
      </c>
      <c r="L4214" s="0" t="str">
        <f aca="false">IF(A4214="","",MONTH(A4214))</f>
        <v/>
      </c>
    </row>
    <row r="4215" customFormat="false" ht="15" hidden="false" customHeight="false" outlineLevel="0" collapsed="false">
      <c r="A4215" s="27"/>
      <c r="E4215" s="28"/>
      <c r="F4215" s="28"/>
      <c r="I4215" s="28" t="str">
        <f aca="false">IF(A4215="","",D4215*E4215)</f>
        <v/>
      </c>
      <c r="J4215" s="28" t="str">
        <f aca="false">IF(A4215="","",D4215*F4215)</f>
        <v/>
      </c>
      <c r="K4215" s="0" t="str">
        <f aca="false">IF(A4215="","",YEAR(A4215))</f>
        <v/>
      </c>
      <c r="L4215" s="0" t="str">
        <f aca="false">IF(A4215="","",MONTH(A4215))</f>
        <v/>
      </c>
    </row>
    <row r="4216" customFormat="false" ht="15" hidden="false" customHeight="false" outlineLevel="0" collapsed="false">
      <c r="A4216" s="27"/>
      <c r="E4216" s="28"/>
      <c r="F4216" s="28"/>
      <c r="I4216" s="28" t="str">
        <f aca="false">IF(A4216="","",D4216*E4216)</f>
        <v/>
      </c>
      <c r="J4216" s="28" t="str">
        <f aca="false">IF(A4216="","",D4216*F4216)</f>
        <v/>
      </c>
      <c r="K4216" s="0" t="str">
        <f aca="false">IF(A4216="","",YEAR(A4216))</f>
        <v/>
      </c>
      <c r="L4216" s="0" t="str">
        <f aca="false">IF(A4216="","",MONTH(A4216))</f>
        <v/>
      </c>
    </row>
    <row r="4217" customFormat="false" ht="15" hidden="false" customHeight="false" outlineLevel="0" collapsed="false">
      <c r="A4217" s="27"/>
      <c r="E4217" s="28"/>
      <c r="F4217" s="28"/>
      <c r="I4217" s="28" t="str">
        <f aca="false">IF(A4217="","",D4217*E4217)</f>
        <v/>
      </c>
      <c r="J4217" s="28" t="str">
        <f aca="false">IF(A4217="","",D4217*F4217)</f>
        <v/>
      </c>
      <c r="K4217" s="0" t="str">
        <f aca="false">IF(A4217="","",YEAR(A4217))</f>
        <v/>
      </c>
      <c r="L4217" s="0" t="str">
        <f aca="false">IF(A4217="","",MONTH(A4217))</f>
        <v/>
      </c>
    </row>
    <row r="4218" customFormat="false" ht="15" hidden="false" customHeight="false" outlineLevel="0" collapsed="false">
      <c r="A4218" s="27"/>
      <c r="E4218" s="28"/>
      <c r="F4218" s="28"/>
      <c r="I4218" s="28" t="str">
        <f aca="false">IF(A4218="","",D4218*E4218)</f>
        <v/>
      </c>
      <c r="J4218" s="28" t="str">
        <f aca="false">IF(A4218="","",D4218*F4218)</f>
        <v/>
      </c>
      <c r="K4218" s="0" t="str">
        <f aca="false">IF(A4218="","",YEAR(A4218))</f>
        <v/>
      </c>
      <c r="L4218" s="0" t="str">
        <f aca="false">IF(A4218="","",MONTH(A4218))</f>
        <v/>
      </c>
    </row>
    <row r="4219" customFormat="false" ht="15" hidden="false" customHeight="false" outlineLevel="0" collapsed="false">
      <c r="A4219" s="27"/>
      <c r="E4219" s="28"/>
      <c r="F4219" s="28"/>
      <c r="I4219" s="28" t="str">
        <f aca="false">IF(A4219="","",D4219*E4219)</f>
        <v/>
      </c>
      <c r="J4219" s="28" t="str">
        <f aca="false">IF(A4219="","",D4219*F4219)</f>
        <v/>
      </c>
      <c r="K4219" s="0" t="str">
        <f aca="false">IF(A4219="","",YEAR(A4219))</f>
        <v/>
      </c>
      <c r="L4219" s="0" t="str">
        <f aca="false">IF(A4219="","",MONTH(A4219))</f>
        <v/>
      </c>
    </row>
    <row r="4220" customFormat="false" ht="15" hidden="false" customHeight="false" outlineLevel="0" collapsed="false">
      <c r="A4220" s="27"/>
      <c r="E4220" s="28"/>
      <c r="F4220" s="28"/>
      <c r="I4220" s="28" t="str">
        <f aca="false">IF(A4220="","",D4220*E4220)</f>
        <v/>
      </c>
      <c r="J4220" s="28" t="str">
        <f aca="false">IF(A4220="","",D4220*F4220)</f>
        <v/>
      </c>
      <c r="K4220" s="0" t="str">
        <f aca="false">IF(A4220="","",YEAR(A4220))</f>
        <v/>
      </c>
      <c r="L4220" s="0" t="str">
        <f aca="false">IF(A4220="","",MONTH(A4220))</f>
        <v/>
      </c>
    </row>
    <row r="4221" customFormat="false" ht="15" hidden="false" customHeight="false" outlineLevel="0" collapsed="false">
      <c r="A4221" s="27"/>
      <c r="E4221" s="28"/>
      <c r="F4221" s="28"/>
      <c r="I4221" s="28" t="str">
        <f aca="false">IF(A4221="","",D4221*E4221)</f>
        <v/>
      </c>
      <c r="J4221" s="28" t="str">
        <f aca="false">IF(A4221="","",D4221*F4221)</f>
        <v/>
      </c>
      <c r="K4221" s="0" t="str">
        <f aca="false">IF(A4221="","",YEAR(A4221))</f>
        <v/>
      </c>
      <c r="L4221" s="0" t="str">
        <f aca="false">IF(A4221="","",MONTH(A4221))</f>
        <v/>
      </c>
    </row>
    <row r="4222" customFormat="false" ht="15" hidden="false" customHeight="false" outlineLevel="0" collapsed="false">
      <c r="A4222" s="27"/>
      <c r="E4222" s="28"/>
      <c r="F4222" s="28"/>
      <c r="I4222" s="28" t="str">
        <f aca="false">IF(A4222="","",D4222*E4222)</f>
        <v/>
      </c>
      <c r="J4222" s="28" t="str">
        <f aca="false">IF(A4222="","",D4222*F4222)</f>
        <v/>
      </c>
      <c r="K4222" s="0" t="str">
        <f aca="false">IF(A4222="","",YEAR(A4222))</f>
        <v/>
      </c>
      <c r="L4222" s="0" t="str">
        <f aca="false">IF(A4222="","",MONTH(A4222))</f>
        <v/>
      </c>
    </row>
    <row r="4223" customFormat="false" ht="15" hidden="false" customHeight="false" outlineLevel="0" collapsed="false">
      <c r="A4223" s="27"/>
      <c r="E4223" s="28"/>
      <c r="F4223" s="28"/>
      <c r="I4223" s="28" t="str">
        <f aca="false">IF(A4223="","",D4223*E4223)</f>
        <v/>
      </c>
      <c r="J4223" s="28" t="str">
        <f aca="false">IF(A4223="","",D4223*F4223)</f>
        <v/>
      </c>
      <c r="K4223" s="0" t="str">
        <f aca="false">IF(A4223="","",YEAR(A4223))</f>
        <v/>
      </c>
      <c r="L4223" s="0" t="str">
        <f aca="false">IF(A4223="","",MONTH(A4223))</f>
        <v/>
      </c>
    </row>
    <row r="4224" customFormat="false" ht="15" hidden="false" customHeight="false" outlineLevel="0" collapsed="false">
      <c r="A4224" s="27"/>
      <c r="E4224" s="28"/>
      <c r="F4224" s="28"/>
      <c r="I4224" s="28" t="str">
        <f aca="false">IF(A4224="","",D4224*E4224)</f>
        <v/>
      </c>
      <c r="J4224" s="28" t="str">
        <f aca="false">IF(A4224="","",D4224*F4224)</f>
        <v/>
      </c>
      <c r="K4224" s="0" t="str">
        <f aca="false">IF(A4224="","",YEAR(A4224))</f>
        <v/>
      </c>
      <c r="L4224" s="0" t="str">
        <f aca="false">IF(A4224="","",MONTH(A4224))</f>
        <v/>
      </c>
    </row>
    <row r="4225" customFormat="false" ht="15" hidden="false" customHeight="false" outlineLevel="0" collapsed="false">
      <c r="A4225" s="27"/>
      <c r="E4225" s="28"/>
      <c r="F4225" s="28"/>
      <c r="I4225" s="28" t="str">
        <f aca="false">IF(A4225="","",D4225*E4225)</f>
        <v/>
      </c>
      <c r="J4225" s="28" t="str">
        <f aca="false">IF(A4225="","",D4225*F4225)</f>
        <v/>
      </c>
      <c r="K4225" s="0" t="str">
        <f aca="false">IF(A4225="","",YEAR(A4225))</f>
        <v/>
      </c>
      <c r="L4225" s="0" t="str">
        <f aca="false">IF(A4225="","",MONTH(A4225))</f>
        <v/>
      </c>
    </row>
    <row r="4226" customFormat="false" ht="15" hidden="false" customHeight="false" outlineLevel="0" collapsed="false">
      <c r="A4226" s="27"/>
      <c r="E4226" s="28"/>
      <c r="F4226" s="28"/>
      <c r="I4226" s="28" t="str">
        <f aca="false">IF(A4226="","",D4226*E4226)</f>
        <v/>
      </c>
      <c r="J4226" s="28" t="str">
        <f aca="false">IF(A4226="","",D4226*F4226)</f>
        <v/>
      </c>
      <c r="K4226" s="0" t="str">
        <f aca="false">IF(A4226="","",YEAR(A4226))</f>
        <v/>
      </c>
      <c r="L4226" s="0" t="str">
        <f aca="false">IF(A4226="","",MONTH(A4226))</f>
        <v/>
      </c>
    </row>
    <row r="4227" customFormat="false" ht="15" hidden="false" customHeight="false" outlineLevel="0" collapsed="false">
      <c r="A4227" s="27"/>
      <c r="E4227" s="28"/>
      <c r="F4227" s="28"/>
      <c r="I4227" s="28" t="str">
        <f aca="false">IF(A4227="","",D4227*E4227)</f>
        <v/>
      </c>
      <c r="J4227" s="28" t="str">
        <f aca="false">IF(A4227="","",D4227*F4227)</f>
        <v/>
      </c>
      <c r="K4227" s="0" t="str">
        <f aca="false">IF(A4227="","",YEAR(A4227))</f>
        <v/>
      </c>
      <c r="L4227" s="0" t="str">
        <f aca="false">IF(A4227="","",MONTH(A4227))</f>
        <v/>
      </c>
    </row>
    <row r="4228" customFormat="false" ht="15" hidden="false" customHeight="false" outlineLevel="0" collapsed="false">
      <c r="A4228" s="27"/>
      <c r="E4228" s="28"/>
      <c r="F4228" s="28"/>
      <c r="I4228" s="28" t="str">
        <f aca="false">IF(A4228="","",D4228*E4228)</f>
        <v/>
      </c>
      <c r="J4228" s="28" t="str">
        <f aca="false">IF(A4228="","",D4228*F4228)</f>
        <v/>
      </c>
      <c r="K4228" s="0" t="str">
        <f aca="false">IF(A4228="","",YEAR(A4228))</f>
        <v/>
      </c>
      <c r="L4228" s="0" t="str">
        <f aca="false">IF(A4228="","",MONTH(A4228))</f>
        <v/>
      </c>
    </row>
    <row r="4229" customFormat="false" ht="15" hidden="false" customHeight="false" outlineLevel="0" collapsed="false">
      <c r="A4229" s="27"/>
      <c r="E4229" s="28"/>
      <c r="F4229" s="28"/>
      <c r="I4229" s="28" t="str">
        <f aca="false">IF(A4229="","",D4229*E4229)</f>
        <v/>
      </c>
      <c r="J4229" s="28" t="str">
        <f aca="false">IF(A4229="","",D4229*F4229)</f>
        <v/>
      </c>
      <c r="K4229" s="0" t="str">
        <f aca="false">IF(A4229="","",YEAR(A4229))</f>
        <v/>
      </c>
      <c r="L4229" s="0" t="str">
        <f aca="false">IF(A4229="","",MONTH(A4229))</f>
        <v/>
      </c>
    </row>
    <row r="4230" customFormat="false" ht="15" hidden="false" customHeight="false" outlineLevel="0" collapsed="false">
      <c r="A4230" s="27"/>
      <c r="E4230" s="28"/>
      <c r="F4230" s="28"/>
      <c r="I4230" s="28" t="str">
        <f aca="false">IF(A4230="","",D4230*E4230)</f>
        <v/>
      </c>
      <c r="J4230" s="28" t="str">
        <f aca="false">IF(A4230="","",D4230*F4230)</f>
        <v/>
      </c>
      <c r="K4230" s="0" t="str">
        <f aca="false">IF(A4230="","",YEAR(A4230))</f>
        <v/>
      </c>
      <c r="L4230" s="0" t="str">
        <f aca="false">IF(A4230="","",MONTH(A4230))</f>
        <v/>
      </c>
    </row>
    <row r="4231" customFormat="false" ht="15" hidden="false" customHeight="false" outlineLevel="0" collapsed="false">
      <c r="A4231" s="27"/>
      <c r="E4231" s="28"/>
      <c r="F4231" s="28"/>
      <c r="I4231" s="28" t="str">
        <f aca="false">IF(A4231="","",D4231*E4231)</f>
        <v/>
      </c>
      <c r="J4231" s="28" t="str">
        <f aca="false">IF(A4231="","",D4231*F4231)</f>
        <v/>
      </c>
      <c r="K4231" s="0" t="str">
        <f aca="false">IF(A4231="","",YEAR(A4231))</f>
        <v/>
      </c>
      <c r="L4231" s="0" t="str">
        <f aca="false">IF(A4231="","",MONTH(A4231))</f>
        <v/>
      </c>
    </row>
    <row r="4232" customFormat="false" ht="15" hidden="false" customHeight="false" outlineLevel="0" collapsed="false">
      <c r="A4232" s="27"/>
      <c r="E4232" s="28"/>
      <c r="F4232" s="28"/>
      <c r="I4232" s="28" t="str">
        <f aca="false">IF(A4232="","",D4232*E4232)</f>
        <v/>
      </c>
      <c r="J4232" s="28" t="str">
        <f aca="false">IF(A4232="","",D4232*F4232)</f>
        <v/>
      </c>
      <c r="K4232" s="0" t="str">
        <f aca="false">IF(A4232="","",YEAR(A4232))</f>
        <v/>
      </c>
      <c r="L4232" s="0" t="str">
        <f aca="false">IF(A4232="","",MONTH(A4232))</f>
        <v/>
      </c>
    </row>
    <row r="4233" customFormat="false" ht="15" hidden="false" customHeight="false" outlineLevel="0" collapsed="false">
      <c r="A4233" s="27"/>
      <c r="E4233" s="28"/>
      <c r="F4233" s="28"/>
      <c r="I4233" s="28" t="str">
        <f aca="false">IF(A4233="","",D4233*E4233)</f>
        <v/>
      </c>
      <c r="J4233" s="28" t="str">
        <f aca="false">IF(A4233="","",D4233*F4233)</f>
        <v/>
      </c>
      <c r="K4233" s="0" t="str">
        <f aca="false">IF(A4233="","",YEAR(A4233))</f>
        <v/>
      </c>
      <c r="L4233" s="0" t="str">
        <f aca="false">IF(A4233="","",MONTH(A4233))</f>
        <v/>
      </c>
    </row>
    <row r="4234" customFormat="false" ht="15" hidden="false" customHeight="false" outlineLevel="0" collapsed="false">
      <c r="A4234" s="27"/>
      <c r="E4234" s="28"/>
      <c r="F4234" s="28"/>
      <c r="I4234" s="28" t="str">
        <f aca="false">IF(A4234="","",D4234*E4234)</f>
        <v/>
      </c>
      <c r="J4234" s="28" t="str">
        <f aca="false">IF(A4234="","",D4234*F4234)</f>
        <v/>
      </c>
      <c r="K4234" s="0" t="str">
        <f aca="false">IF(A4234="","",YEAR(A4234))</f>
        <v/>
      </c>
      <c r="L4234" s="0" t="str">
        <f aca="false">IF(A4234="","",MONTH(A4234))</f>
        <v/>
      </c>
    </row>
    <row r="4235" customFormat="false" ht="15" hidden="false" customHeight="false" outlineLevel="0" collapsed="false">
      <c r="A4235" s="27"/>
      <c r="E4235" s="28"/>
      <c r="F4235" s="28"/>
      <c r="I4235" s="28" t="str">
        <f aca="false">IF(A4235="","",D4235*E4235)</f>
        <v/>
      </c>
      <c r="J4235" s="28" t="str">
        <f aca="false">IF(A4235="","",D4235*F4235)</f>
        <v/>
      </c>
      <c r="K4235" s="0" t="str">
        <f aca="false">IF(A4235="","",YEAR(A4235))</f>
        <v/>
      </c>
      <c r="L4235" s="0" t="str">
        <f aca="false">IF(A4235="","",MONTH(A4235))</f>
        <v/>
      </c>
    </row>
    <row r="4236" customFormat="false" ht="15" hidden="false" customHeight="false" outlineLevel="0" collapsed="false">
      <c r="A4236" s="27"/>
      <c r="E4236" s="28"/>
      <c r="F4236" s="28"/>
      <c r="I4236" s="28" t="str">
        <f aca="false">IF(A4236="","",D4236*E4236)</f>
        <v/>
      </c>
      <c r="J4236" s="28" t="str">
        <f aca="false">IF(A4236="","",D4236*F4236)</f>
        <v/>
      </c>
      <c r="K4236" s="0" t="str">
        <f aca="false">IF(A4236="","",YEAR(A4236))</f>
        <v/>
      </c>
      <c r="L4236" s="0" t="str">
        <f aca="false">IF(A4236="","",MONTH(A4236))</f>
        <v/>
      </c>
    </row>
    <row r="4237" customFormat="false" ht="15" hidden="false" customHeight="false" outlineLevel="0" collapsed="false">
      <c r="A4237" s="27"/>
      <c r="E4237" s="28"/>
      <c r="F4237" s="28"/>
      <c r="I4237" s="28" t="str">
        <f aca="false">IF(A4237="","",D4237*E4237)</f>
        <v/>
      </c>
      <c r="J4237" s="28" t="str">
        <f aca="false">IF(A4237="","",D4237*F4237)</f>
        <v/>
      </c>
      <c r="K4237" s="0" t="str">
        <f aca="false">IF(A4237="","",YEAR(A4237))</f>
        <v/>
      </c>
      <c r="L4237" s="0" t="str">
        <f aca="false">IF(A4237="","",MONTH(A4237))</f>
        <v/>
      </c>
    </row>
    <row r="4238" customFormat="false" ht="15" hidden="false" customHeight="false" outlineLevel="0" collapsed="false">
      <c r="A4238" s="27"/>
      <c r="E4238" s="28"/>
      <c r="F4238" s="28"/>
      <c r="I4238" s="28" t="str">
        <f aca="false">IF(A4238="","",D4238*E4238)</f>
        <v/>
      </c>
      <c r="J4238" s="28" t="str">
        <f aca="false">IF(A4238="","",D4238*F4238)</f>
        <v/>
      </c>
      <c r="K4238" s="0" t="str">
        <f aca="false">IF(A4238="","",YEAR(A4238))</f>
        <v/>
      </c>
      <c r="L4238" s="0" t="str">
        <f aca="false">IF(A4238="","",MONTH(A4238))</f>
        <v/>
      </c>
    </row>
    <row r="4239" customFormat="false" ht="15" hidden="false" customHeight="false" outlineLevel="0" collapsed="false">
      <c r="A4239" s="27"/>
      <c r="E4239" s="28"/>
      <c r="F4239" s="28"/>
      <c r="I4239" s="28" t="str">
        <f aca="false">IF(A4239="","",D4239*E4239)</f>
        <v/>
      </c>
      <c r="J4239" s="28" t="str">
        <f aca="false">IF(A4239="","",D4239*F4239)</f>
        <v/>
      </c>
      <c r="K4239" s="0" t="str">
        <f aca="false">IF(A4239="","",YEAR(A4239))</f>
        <v/>
      </c>
      <c r="L4239" s="0" t="str">
        <f aca="false">IF(A4239="","",MONTH(A4239))</f>
        <v/>
      </c>
    </row>
    <row r="4240" customFormat="false" ht="15" hidden="false" customHeight="false" outlineLevel="0" collapsed="false">
      <c r="A4240" s="27"/>
      <c r="E4240" s="28"/>
      <c r="F4240" s="28"/>
      <c r="I4240" s="28" t="str">
        <f aca="false">IF(A4240="","",D4240*E4240)</f>
        <v/>
      </c>
      <c r="J4240" s="28" t="str">
        <f aca="false">IF(A4240="","",D4240*F4240)</f>
        <v/>
      </c>
      <c r="K4240" s="0" t="str">
        <f aca="false">IF(A4240="","",YEAR(A4240))</f>
        <v/>
      </c>
      <c r="L4240" s="0" t="str">
        <f aca="false">IF(A4240="","",MONTH(A4240))</f>
        <v/>
      </c>
    </row>
    <row r="4241" customFormat="false" ht="15" hidden="false" customHeight="false" outlineLevel="0" collapsed="false">
      <c r="A4241" s="27"/>
      <c r="E4241" s="28"/>
      <c r="F4241" s="28"/>
      <c r="I4241" s="28" t="str">
        <f aca="false">IF(A4241="","",D4241*E4241)</f>
        <v/>
      </c>
      <c r="J4241" s="28" t="str">
        <f aca="false">IF(A4241="","",D4241*F4241)</f>
        <v/>
      </c>
      <c r="K4241" s="0" t="str">
        <f aca="false">IF(A4241="","",YEAR(A4241))</f>
        <v/>
      </c>
      <c r="L4241" s="0" t="str">
        <f aca="false">IF(A4241="","",MONTH(A4241))</f>
        <v/>
      </c>
    </row>
    <row r="4242" customFormat="false" ht="15" hidden="false" customHeight="false" outlineLevel="0" collapsed="false">
      <c r="A4242" s="27"/>
      <c r="E4242" s="28"/>
      <c r="F4242" s="28"/>
      <c r="I4242" s="28" t="str">
        <f aca="false">IF(A4242="","",D4242*E4242)</f>
        <v/>
      </c>
      <c r="J4242" s="28" t="str">
        <f aca="false">IF(A4242="","",D4242*F4242)</f>
        <v/>
      </c>
      <c r="K4242" s="0" t="str">
        <f aca="false">IF(A4242="","",YEAR(A4242))</f>
        <v/>
      </c>
      <c r="L4242" s="0" t="str">
        <f aca="false">IF(A4242="","",MONTH(A4242))</f>
        <v/>
      </c>
    </row>
    <row r="4243" customFormat="false" ht="15" hidden="false" customHeight="false" outlineLevel="0" collapsed="false">
      <c r="A4243" s="27"/>
      <c r="E4243" s="28"/>
      <c r="F4243" s="28"/>
      <c r="I4243" s="28" t="str">
        <f aca="false">IF(A4243="","",D4243*E4243)</f>
        <v/>
      </c>
      <c r="J4243" s="28" t="str">
        <f aca="false">IF(A4243="","",D4243*F4243)</f>
        <v/>
      </c>
      <c r="K4243" s="0" t="str">
        <f aca="false">IF(A4243="","",YEAR(A4243))</f>
        <v/>
      </c>
      <c r="L4243" s="0" t="str">
        <f aca="false">IF(A4243="","",MONTH(A4243))</f>
        <v/>
      </c>
    </row>
    <row r="4244" customFormat="false" ht="15" hidden="false" customHeight="false" outlineLevel="0" collapsed="false">
      <c r="A4244" s="27"/>
      <c r="E4244" s="28"/>
      <c r="F4244" s="28"/>
      <c r="I4244" s="28" t="str">
        <f aca="false">IF(A4244="","",D4244*E4244)</f>
        <v/>
      </c>
      <c r="J4244" s="28" t="str">
        <f aca="false">IF(A4244="","",D4244*F4244)</f>
        <v/>
      </c>
      <c r="K4244" s="0" t="str">
        <f aca="false">IF(A4244="","",YEAR(A4244))</f>
        <v/>
      </c>
      <c r="L4244" s="0" t="str">
        <f aca="false">IF(A4244="","",MONTH(A4244))</f>
        <v/>
      </c>
    </row>
    <row r="4245" customFormat="false" ht="15" hidden="false" customHeight="false" outlineLevel="0" collapsed="false">
      <c r="A4245" s="27"/>
      <c r="E4245" s="28"/>
      <c r="F4245" s="28"/>
      <c r="I4245" s="28" t="str">
        <f aca="false">IF(A4245="","",D4245*E4245)</f>
        <v/>
      </c>
      <c r="J4245" s="28" t="str">
        <f aca="false">IF(A4245="","",D4245*F4245)</f>
        <v/>
      </c>
      <c r="K4245" s="0" t="str">
        <f aca="false">IF(A4245="","",YEAR(A4245))</f>
        <v/>
      </c>
      <c r="L4245" s="0" t="str">
        <f aca="false">IF(A4245="","",MONTH(A4245))</f>
        <v/>
      </c>
    </row>
    <row r="4246" customFormat="false" ht="15" hidden="false" customHeight="false" outlineLevel="0" collapsed="false">
      <c r="A4246" s="27"/>
      <c r="E4246" s="28"/>
      <c r="F4246" s="28"/>
      <c r="I4246" s="28" t="str">
        <f aca="false">IF(A4246="","",D4246*E4246)</f>
        <v/>
      </c>
      <c r="J4246" s="28" t="str">
        <f aca="false">IF(A4246="","",D4246*F4246)</f>
        <v/>
      </c>
      <c r="K4246" s="0" t="str">
        <f aca="false">IF(A4246="","",YEAR(A4246))</f>
        <v/>
      </c>
      <c r="L4246" s="0" t="str">
        <f aca="false">IF(A4246="","",MONTH(A4246))</f>
        <v/>
      </c>
    </row>
    <row r="4247" customFormat="false" ht="15" hidden="false" customHeight="false" outlineLevel="0" collapsed="false">
      <c r="A4247" s="27"/>
      <c r="E4247" s="28"/>
      <c r="F4247" s="28"/>
      <c r="I4247" s="28" t="str">
        <f aca="false">IF(A4247="","",D4247*E4247)</f>
        <v/>
      </c>
      <c r="J4247" s="28" t="str">
        <f aca="false">IF(A4247="","",D4247*F4247)</f>
        <v/>
      </c>
      <c r="K4247" s="0" t="str">
        <f aca="false">IF(A4247="","",YEAR(A4247))</f>
        <v/>
      </c>
      <c r="L4247" s="0" t="str">
        <f aca="false">IF(A4247="","",MONTH(A4247))</f>
        <v/>
      </c>
    </row>
    <row r="4248" customFormat="false" ht="15" hidden="false" customHeight="false" outlineLevel="0" collapsed="false">
      <c r="A4248" s="27"/>
      <c r="E4248" s="28"/>
      <c r="F4248" s="28"/>
      <c r="I4248" s="28" t="str">
        <f aca="false">IF(A4248="","",D4248*E4248)</f>
        <v/>
      </c>
      <c r="J4248" s="28" t="str">
        <f aca="false">IF(A4248="","",D4248*F4248)</f>
        <v/>
      </c>
      <c r="K4248" s="0" t="str">
        <f aca="false">IF(A4248="","",YEAR(A4248))</f>
        <v/>
      </c>
      <c r="L4248" s="0" t="str">
        <f aca="false">IF(A4248="","",MONTH(A4248))</f>
        <v/>
      </c>
    </row>
    <row r="4249" customFormat="false" ht="15" hidden="false" customHeight="false" outlineLevel="0" collapsed="false">
      <c r="A4249" s="27"/>
      <c r="E4249" s="28"/>
      <c r="F4249" s="28"/>
      <c r="I4249" s="28" t="str">
        <f aca="false">IF(A4249="","",D4249*E4249)</f>
        <v/>
      </c>
      <c r="J4249" s="28" t="str">
        <f aca="false">IF(A4249="","",D4249*F4249)</f>
        <v/>
      </c>
      <c r="K4249" s="0" t="str">
        <f aca="false">IF(A4249="","",YEAR(A4249))</f>
        <v/>
      </c>
      <c r="L4249" s="0" t="str">
        <f aca="false">IF(A4249="","",MONTH(A4249))</f>
        <v/>
      </c>
    </row>
    <row r="4250" customFormat="false" ht="15" hidden="false" customHeight="false" outlineLevel="0" collapsed="false">
      <c r="A4250" s="27"/>
      <c r="E4250" s="28"/>
      <c r="F4250" s="28"/>
      <c r="I4250" s="28" t="str">
        <f aca="false">IF(A4250="","",D4250*E4250)</f>
        <v/>
      </c>
      <c r="J4250" s="28" t="str">
        <f aca="false">IF(A4250="","",D4250*F4250)</f>
        <v/>
      </c>
      <c r="K4250" s="0" t="str">
        <f aca="false">IF(A4250="","",YEAR(A4250))</f>
        <v/>
      </c>
      <c r="L4250" s="0" t="str">
        <f aca="false">IF(A4250="","",MONTH(A4250))</f>
        <v/>
      </c>
    </row>
    <row r="4251" customFormat="false" ht="15" hidden="false" customHeight="false" outlineLevel="0" collapsed="false">
      <c r="A4251" s="27"/>
      <c r="E4251" s="28"/>
      <c r="F4251" s="28"/>
      <c r="I4251" s="28" t="str">
        <f aca="false">IF(A4251="","",D4251*E4251)</f>
        <v/>
      </c>
      <c r="J4251" s="28" t="str">
        <f aca="false">IF(A4251="","",D4251*F4251)</f>
        <v/>
      </c>
      <c r="K4251" s="0" t="str">
        <f aca="false">IF(A4251="","",YEAR(A4251))</f>
        <v/>
      </c>
      <c r="L4251" s="0" t="str">
        <f aca="false">IF(A4251="","",MONTH(A4251))</f>
        <v/>
      </c>
    </row>
    <row r="4252" customFormat="false" ht="15" hidden="false" customHeight="false" outlineLevel="0" collapsed="false">
      <c r="A4252" s="27"/>
      <c r="E4252" s="28"/>
      <c r="F4252" s="28"/>
      <c r="I4252" s="28" t="str">
        <f aca="false">IF(A4252="","",D4252*E4252)</f>
        <v/>
      </c>
      <c r="J4252" s="28" t="str">
        <f aca="false">IF(A4252="","",D4252*F4252)</f>
        <v/>
      </c>
      <c r="K4252" s="0" t="str">
        <f aca="false">IF(A4252="","",YEAR(A4252))</f>
        <v/>
      </c>
      <c r="L4252" s="0" t="str">
        <f aca="false">IF(A4252="","",MONTH(A4252))</f>
        <v/>
      </c>
    </row>
    <row r="4253" customFormat="false" ht="15" hidden="false" customHeight="false" outlineLevel="0" collapsed="false">
      <c r="A4253" s="27"/>
      <c r="E4253" s="28"/>
      <c r="F4253" s="28"/>
      <c r="I4253" s="28" t="str">
        <f aca="false">IF(A4253="","",D4253*E4253)</f>
        <v/>
      </c>
      <c r="J4253" s="28" t="str">
        <f aca="false">IF(A4253="","",D4253*F4253)</f>
        <v/>
      </c>
      <c r="K4253" s="0" t="str">
        <f aca="false">IF(A4253="","",YEAR(A4253))</f>
        <v/>
      </c>
      <c r="L4253" s="0" t="str">
        <f aca="false">IF(A4253="","",MONTH(A4253))</f>
        <v/>
      </c>
    </row>
    <row r="4254" customFormat="false" ht="15" hidden="false" customHeight="false" outlineLevel="0" collapsed="false">
      <c r="A4254" s="27"/>
      <c r="E4254" s="28"/>
      <c r="F4254" s="28"/>
      <c r="I4254" s="28" t="str">
        <f aca="false">IF(A4254="","",D4254*E4254)</f>
        <v/>
      </c>
      <c r="J4254" s="28" t="str">
        <f aca="false">IF(A4254="","",D4254*F4254)</f>
        <v/>
      </c>
      <c r="K4254" s="0" t="str">
        <f aca="false">IF(A4254="","",YEAR(A4254))</f>
        <v/>
      </c>
      <c r="L4254" s="0" t="str">
        <f aca="false">IF(A4254="","",MONTH(A4254))</f>
        <v/>
      </c>
    </row>
    <row r="4255" customFormat="false" ht="15" hidden="false" customHeight="false" outlineLevel="0" collapsed="false">
      <c r="A4255" s="27"/>
      <c r="E4255" s="28"/>
      <c r="F4255" s="28"/>
      <c r="I4255" s="28" t="str">
        <f aca="false">IF(A4255="","",D4255*E4255)</f>
        <v/>
      </c>
      <c r="J4255" s="28" t="str">
        <f aca="false">IF(A4255="","",D4255*F4255)</f>
        <v/>
      </c>
      <c r="K4255" s="0" t="str">
        <f aca="false">IF(A4255="","",YEAR(A4255))</f>
        <v/>
      </c>
      <c r="L4255" s="0" t="str">
        <f aca="false">IF(A4255="","",MONTH(A4255))</f>
        <v/>
      </c>
    </row>
    <row r="4256" customFormat="false" ht="15" hidden="false" customHeight="false" outlineLevel="0" collapsed="false">
      <c r="A4256" s="27"/>
      <c r="E4256" s="28"/>
      <c r="F4256" s="28"/>
      <c r="I4256" s="28" t="str">
        <f aca="false">IF(A4256="","",D4256*E4256)</f>
        <v/>
      </c>
      <c r="J4256" s="28" t="str">
        <f aca="false">IF(A4256="","",D4256*F4256)</f>
        <v/>
      </c>
      <c r="K4256" s="0" t="str">
        <f aca="false">IF(A4256="","",YEAR(A4256))</f>
        <v/>
      </c>
      <c r="L4256" s="0" t="str">
        <f aca="false">IF(A4256="","",MONTH(A4256))</f>
        <v/>
      </c>
    </row>
    <row r="4257" customFormat="false" ht="15" hidden="false" customHeight="false" outlineLevel="0" collapsed="false">
      <c r="A4257" s="27"/>
      <c r="E4257" s="28"/>
      <c r="F4257" s="28"/>
      <c r="I4257" s="28" t="str">
        <f aca="false">IF(A4257="","",D4257*E4257)</f>
        <v/>
      </c>
      <c r="J4257" s="28" t="str">
        <f aca="false">IF(A4257="","",D4257*F4257)</f>
        <v/>
      </c>
      <c r="K4257" s="0" t="str">
        <f aca="false">IF(A4257="","",YEAR(A4257))</f>
        <v/>
      </c>
      <c r="L4257" s="0" t="str">
        <f aca="false">IF(A4257="","",MONTH(A4257))</f>
        <v/>
      </c>
    </row>
    <row r="4258" customFormat="false" ht="15" hidden="false" customHeight="false" outlineLevel="0" collapsed="false">
      <c r="A4258" s="27"/>
      <c r="E4258" s="28"/>
      <c r="F4258" s="28"/>
      <c r="I4258" s="28" t="str">
        <f aca="false">IF(A4258="","",D4258*E4258)</f>
        <v/>
      </c>
      <c r="J4258" s="28" t="str">
        <f aca="false">IF(A4258="","",D4258*F4258)</f>
        <v/>
      </c>
      <c r="K4258" s="0" t="str">
        <f aca="false">IF(A4258="","",YEAR(A4258))</f>
        <v/>
      </c>
      <c r="L4258" s="0" t="str">
        <f aca="false">IF(A4258="","",MONTH(A4258))</f>
        <v/>
      </c>
    </row>
    <row r="4259" customFormat="false" ht="15" hidden="false" customHeight="false" outlineLevel="0" collapsed="false">
      <c r="A4259" s="27"/>
      <c r="E4259" s="28"/>
      <c r="F4259" s="28"/>
      <c r="I4259" s="28" t="str">
        <f aca="false">IF(A4259="","",D4259*E4259)</f>
        <v/>
      </c>
      <c r="J4259" s="28" t="str">
        <f aca="false">IF(A4259="","",D4259*F4259)</f>
        <v/>
      </c>
      <c r="K4259" s="0" t="str">
        <f aca="false">IF(A4259="","",YEAR(A4259))</f>
        <v/>
      </c>
      <c r="L4259" s="0" t="str">
        <f aca="false">IF(A4259="","",MONTH(A4259))</f>
        <v/>
      </c>
    </row>
    <row r="4260" customFormat="false" ht="15" hidden="false" customHeight="false" outlineLevel="0" collapsed="false">
      <c r="A4260" s="27"/>
      <c r="E4260" s="28"/>
      <c r="F4260" s="28"/>
      <c r="I4260" s="28" t="str">
        <f aca="false">IF(A4260="","",D4260*E4260)</f>
        <v/>
      </c>
      <c r="J4260" s="28" t="str">
        <f aca="false">IF(A4260="","",D4260*F4260)</f>
        <v/>
      </c>
      <c r="K4260" s="0" t="str">
        <f aca="false">IF(A4260="","",YEAR(A4260))</f>
        <v/>
      </c>
      <c r="L4260" s="0" t="str">
        <f aca="false">IF(A4260="","",MONTH(A4260))</f>
        <v/>
      </c>
    </row>
    <row r="4261" customFormat="false" ht="15" hidden="false" customHeight="false" outlineLevel="0" collapsed="false">
      <c r="A4261" s="27"/>
      <c r="E4261" s="28"/>
      <c r="F4261" s="28"/>
      <c r="I4261" s="28" t="str">
        <f aca="false">IF(A4261="","",D4261*E4261)</f>
        <v/>
      </c>
      <c r="J4261" s="28" t="str">
        <f aca="false">IF(A4261="","",D4261*F4261)</f>
        <v/>
      </c>
      <c r="K4261" s="0" t="str">
        <f aca="false">IF(A4261="","",YEAR(A4261))</f>
        <v/>
      </c>
      <c r="L4261" s="0" t="str">
        <f aca="false">IF(A4261="","",MONTH(A4261))</f>
        <v/>
      </c>
    </row>
    <row r="4262" customFormat="false" ht="15" hidden="false" customHeight="false" outlineLevel="0" collapsed="false">
      <c r="A4262" s="27"/>
      <c r="E4262" s="28"/>
      <c r="F4262" s="28"/>
      <c r="I4262" s="28" t="str">
        <f aca="false">IF(A4262="","",D4262*E4262)</f>
        <v/>
      </c>
      <c r="J4262" s="28" t="str">
        <f aca="false">IF(A4262="","",D4262*F4262)</f>
        <v/>
      </c>
      <c r="K4262" s="0" t="str">
        <f aca="false">IF(A4262="","",YEAR(A4262))</f>
        <v/>
      </c>
      <c r="L4262" s="0" t="str">
        <f aca="false">IF(A4262="","",MONTH(A4262))</f>
        <v/>
      </c>
    </row>
    <row r="4263" customFormat="false" ht="15" hidden="false" customHeight="false" outlineLevel="0" collapsed="false">
      <c r="A4263" s="27"/>
      <c r="E4263" s="28"/>
      <c r="F4263" s="28"/>
      <c r="I4263" s="28" t="str">
        <f aca="false">IF(A4263="","",D4263*E4263)</f>
        <v/>
      </c>
      <c r="J4263" s="28" t="str">
        <f aca="false">IF(A4263="","",D4263*F4263)</f>
        <v/>
      </c>
      <c r="K4263" s="0" t="str">
        <f aca="false">IF(A4263="","",YEAR(A4263))</f>
        <v/>
      </c>
      <c r="L4263" s="0" t="str">
        <f aca="false">IF(A4263="","",MONTH(A4263))</f>
        <v/>
      </c>
    </row>
    <row r="4264" customFormat="false" ht="15" hidden="false" customHeight="false" outlineLevel="0" collapsed="false">
      <c r="A4264" s="27"/>
      <c r="E4264" s="28"/>
      <c r="F4264" s="28"/>
      <c r="I4264" s="28" t="str">
        <f aca="false">IF(A4264="","",D4264*E4264)</f>
        <v/>
      </c>
      <c r="J4264" s="28" t="str">
        <f aca="false">IF(A4264="","",D4264*F4264)</f>
        <v/>
      </c>
      <c r="K4264" s="0" t="str">
        <f aca="false">IF(A4264="","",YEAR(A4264))</f>
        <v/>
      </c>
      <c r="L4264" s="0" t="str">
        <f aca="false">IF(A4264="","",MONTH(A4264))</f>
        <v/>
      </c>
    </row>
    <row r="4265" customFormat="false" ht="15" hidden="false" customHeight="false" outlineLevel="0" collapsed="false">
      <c r="A4265" s="27"/>
      <c r="E4265" s="28"/>
      <c r="F4265" s="28"/>
      <c r="I4265" s="28" t="str">
        <f aca="false">IF(A4265="","",D4265*E4265)</f>
        <v/>
      </c>
      <c r="J4265" s="28" t="str">
        <f aca="false">IF(A4265="","",D4265*F4265)</f>
        <v/>
      </c>
      <c r="K4265" s="0" t="str">
        <f aca="false">IF(A4265="","",YEAR(A4265))</f>
        <v/>
      </c>
      <c r="L4265" s="0" t="str">
        <f aca="false">IF(A4265="","",MONTH(A4265))</f>
        <v/>
      </c>
    </row>
    <row r="4266" customFormat="false" ht="15" hidden="false" customHeight="false" outlineLevel="0" collapsed="false">
      <c r="A4266" s="27"/>
      <c r="E4266" s="28"/>
      <c r="F4266" s="28"/>
      <c r="I4266" s="28" t="str">
        <f aca="false">IF(A4266="","",D4266*E4266)</f>
        <v/>
      </c>
      <c r="J4266" s="28" t="str">
        <f aca="false">IF(A4266="","",D4266*F4266)</f>
        <v/>
      </c>
      <c r="K4266" s="0" t="str">
        <f aca="false">IF(A4266="","",YEAR(A4266))</f>
        <v/>
      </c>
      <c r="L4266" s="0" t="str">
        <f aca="false">IF(A4266="","",MONTH(A4266))</f>
        <v/>
      </c>
    </row>
    <row r="4267" customFormat="false" ht="15" hidden="false" customHeight="false" outlineLevel="0" collapsed="false">
      <c r="A4267" s="27"/>
      <c r="E4267" s="28"/>
      <c r="F4267" s="28"/>
      <c r="I4267" s="28" t="str">
        <f aca="false">IF(A4267="","",D4267*E4267)</f>
        <v/>
      </c>
      <c r="J4267" s="28" t="str">
        <f aca="false">IF(A4267="","",D4267*F4267)</f>
        <v/>
      </c>
      <c r="K4267" s="0" t="str">
        <f aca="false">IF(A4267="","",YEAR(A4267))</f>
        <v/>
      </c>
      <c r="L4267" s="0" t="str">
        <f aca="false">IF(A4267="","",MONTH(A4267))</f>
        <v/>
      </c>
    </row>
    <row r="4268" customFormat="false" ht="15" hidden="false" customHeight="false" outlineLevel="0" collapsed="false">
      <c r="A4268" s="27"/>
      <c r="E4268" s="28"/>
      <c r="F4268" s="28"/>
      <c r="I4268" s="28" t="str">
        <f aca="false">IF(A4268="","",D4268*E4268)</f>
        <v/>
      </c>
      <c r="J4268" s="28" t="str">
        <f aca="false">IF(A4268="","",D4268*F4268)</f>
        <v/>
      </c>
      <c r="K4268" s="0" t="str">
        <f aca="false">IF(A4268="","",YEAR(A4268))</f>
        <v/>
      </c>
      <c r="L4268" s="0" t="str">
        <f aca="false">IF(A4268="","",MONTH(A4268))</f>
        <v/>
      </c>
    </row>
    <row r="4269" customFormat="false" ht="15" hidden="false" customHeight="false" outlineLevel="0" collapsed="false">
      <c r="A4269" s="27"/>
      <c r="E4269" s="28"/>
      <c r="F4269" s="28"/>
      <c r="I4269" s="28" t="str">
        <f aca="false">IF(A4269="","",D4269*E4269)</f>
        <v/>
      </c>
      <c r="J4269" s="28" t="str">
        <f aca="false">IF(A4269="","",D4269*F4269)</f>
        <v/>
      </c>
      <c r="K4269" s="0" t="str">
        <f aca="false">IF(A4269="","",YEAR(A4269))</f>
        <v/>
      </c>
      <c r="L4269" s="0" t="str">
        <f aca="false">IF(A4269="","",MONTH(A4269))</f>
        <v/>
      </c>
    </row>
    <row r="4270" customFormat="false" ht="15" hidden="false" customHeight="false" outlineLevel="0" collapsed="false">
      <c r="A4270" s="27"/>
      <c r="E4270" s="28"/>
      <c r="F4270" s="28"/>
      <c r="I4270" s="28" t="str">
        <f aca="false">IF(A4270="","",D4270*E4270)</f>
        <v/>
      </c>
      <c r="J4270" s="28" t="str">
        <f aca="false">IF(A4270="","",D4270*F4270)</f>
        <v/>
      </c>
      <c r="K4270" s="0" t="str">
        <f aca="false">IF(A4270="","",YEAR(A4270))</f>
        <v/>
      </c>
      <c r="L4270" s="0" t="str">
        <f aca="false">IF(A4270="","",MONTH(A4270))</f>
        <v/>
      </c>
    </row>
    <row r="4271" customFormat="false" ht="15" hidden="false" customHeight="false" outlineLevel="0" collapsed="false">
      <c r="A4271" s="27"/>
      <c r="E4271" s="28"/>
      <c r="F4271" s="28"/>
      <c r="I4271" s="28" t="str">
        <f aca="false">IF(A4271="","",D4271*E4271)</f>
        <v/>
      </c>
      <c r="J4271" s="28" t="str">
        <f aca="false">IF(A4271="","",D4271*F4271)</f>
        <v/>
      </c>
      <c r="K4271" s="0" t="str">
        <f aca="false">IF(A4271="","",YEAR(A4271))</f>
        <v/>
      </c>
      <c r="L4271" s="0" t="str">
        <f aca="false">IF(A4271="","",MONTH(A4271))</f>
        <v/>
      </c>
    </row>
    <row r="4272" customFormat="false" ht="15" hidden="false" customHeight="false" outlineLevel="0" collapsed="false">
      <c r="A4272" s="27"/>
      <c r="E4272" s="28"/>
      <c r="F4272" s="28"/>
      <c r="I4272" s="28" t="str">
        <f aca="false">IF(A4272="","",D4272*E4272)</f>
        <v/>
      </c>
      <c r="J4272" s="28" t="str">
        <f aca="false">IF(A4272="","",D4272*F4272)</f>
        <v/>
      </c>
      <c r="K4272" s="0" t="str">
        <f aca="false">IF(A4272="","",YEAR(A4272))</f>
        <v/>
      </c>
      <c r="L4272" s="0" t="str">
        <f aca="false">IF(A4272="","",MONTH(A4272))</f>
        <v/>
      </c>
    </row>
    <row r="4273" customFormat="false" ht="15" hidden="false" customHeight="false" outlineLevel="0" collapsed="false">
      <c r="A4273" s="27"/>
      <c r="E4273" s="28"/>
      <c r="F4273" s="28"/>
      <c r="I4273" s="28" t="str">
        <f aca="false">IF(A4273="","",D4273*E4273)</f>
        <v/>
      </c>
      <c r="J4273" s="28" t="str">
        <f aca="false">IF(A4273="","",D4273*F4273)</f>
        <v/>
      </c>
      <c r="K4273" s="0" t="str">
        <f aca="false">IF(A4273="","",YEAR(A4273))</f>
        <v/>
      </c>
      <c r="L4273" s="0" t="str">
        <f aca="false">IF(A4273="","",MONTH(A4273))</f>
        <v/>
      </c>
    </row>
    <row r="4274" customFormat="false" ht="15" hidden="false" customHeight="false" outlineLevel="0" collapsed="false">
      <c r="A4274" s="27"/>
      <c r="E4274" s="28"/>
      <c r="F4274" s="28"/>
      <c r="I4274" s="28" t="str">
        <f aca="false">IF(A4274="","",D4274*E4274)</f>
        <v/>
      </c>
      <c r="J4274" s="28" t="str">
        <f aca="false">IF(A4274="","",D4274*F4274)</f>
        <v/>
      </c>
      <c r="K4274" s="0" t="str">
        <f aca="false">IF(A4274="","",YEAR(A4274))</f>
        <v/>
      </c>
      <c r="L4274" s="0" t="str">
        <f aca="false">IF(A4274="","",MONTH(A4274))</f>
        <v/>
      </c>
    </row>
    <row r="4275" customFormat="false" ht="15" hidden="false" customHeight="false" outlineLevel="0" collapsed="false">
      <c r="A4275" s="27"/>
      <c r="E4275" s="28"/>
      <c r="F4275" s="28"/>
      <c r="I4275" s="28" t="str">
        <f aca="false">IF(A4275="","",D4275*E4275)</f>
        <v/>
      </c>
      <c r="J4275" s="28" t="str">
        <f aca="false">IF(A4275="","",D4275*F4275)</f>
        <v/>
      </c>
      <c r="K4275" s="0" t="str">
        <f aca="false">IF(A4275="","",YEAR(A4275))</f>
        <v/>
      </c>
      <c r="L4275" s="0" t="str">
        <f aca="false">IF(A4275="","",MONTH(A4275))</f>
        <v/>
      </c>
    </row>
    <row r="4276" customFormat="false" ht="15" hidden="false" customHeight="false" outlineLevel="0" collapsed="false">
      <c r="A4276" s="27"/>
      <c r="E4276" s="28"/>
      <c r="F4276" s="28"/>
      <c r="I4276" s="28" t="str">
        <f aca="false">IF(A4276="","",D4276*E4276)</f>
        <v/>
      </c>
      <c r="J4276" s="28" t="str">
        <f aca="false">IF(A4276="","",D4276*F4276)</f>
        <v/>
      </c>
      <c r="K4276" s="0" t="str">
        <f aca="false">IF(A4276="","",YEAR(A4276))</f>
        <v/>
      </c>
      <c r="L4276" s="0" t="str">
        <f aca="false">IF(A4276="","",MONTH(A4276))</f>
        <v/>
      </c>
    </row>
    <row r="4277" customFormat="false" ht="15" hidden="false" customHeight="false" outlineLevel="0" collapsed="false">
      <c r="A4277" s="27"/>
      <c r="E4277" s="28"/>
      <c r="F4277" s="28"/>
      <c r="I4277" s="28" t="str">
        <f aca="false">IF(A4277="","",D4277*E4277)</f>
        <v/>
      </c>
      <c r="J4277" s="28" t="str">
        <f aca="false">IF(A4277="","",D4277*F4277)</f>
        <v/>
      </c>
      <c r="K4277" s="0" t="str">
        <f aca="false">IF(A4277="","",YEAR(A4277))</f>
        <v/>
      </c>
      <c r="L4277" s="0" t="str">
        <f aca="false">IF(A4277="","",MONTH(A4277))</f>
        <v/>
      </c>
    </row>
    <row r="4278" customFormat="false" ht="15" hidden="false" customHeight="false" outlineLevel="0" collapsed="false">
      <c r="A4278" s="27"/>
      <c r="E4278" s="28"/>
      <c r="F4278" s="28"/>
      <c r="I4278" s="28" t="str">
        <f aca="false">IF(A4278="","",D4278*E4278)</f>
        <v/>
      </c>
      <c r="J4278" s="28" t="str">
        <f aca="false">IF(A4278="","",D4278*F4278)</f>
        <v/>
      </c>
      <c r="K4278" s="0" t="str">
        <f aca="false">IF(A4278="","",YEAR(A4278))</f>
        <v/>
      </c>
      <c r="L4278" s="0" t="str">
        <f aca="false">IF(A4278="","",MONTH(A4278))</f>
        <v/>
      </c>
    </row>
    <row r="4279" customFormat="false" ht="15" hidden="false" customHeight="false" outlineLevel="0" collapsed="false">
      <c r="A4279" s="27"/>
      <c r="E4279" s="28"/>
      <c r="F4279" s="28"/>
      <c r="I4279" s="28" t="str">
        <f aca="false">IF(A4279="","",D4279*E4279)</f>
        <v/>
      </c>
      <c r="J4279" s="28" t="str">
        <f aca="false">IF(A4279="","",D4279*F4279)</f>
        <v/>
      </c>
      <c r="K4279" s="0" t="str">
        <f aca="false">IF(A4279="","",YEAR(A4279))</f>
        <v/>
      </c>
      <c r="L4279" s="0" t="str">
        <f aca="false">IF(A4279="","",MONTH(A4279))</f>
        <v/>
      </c>
    </row>
    <row r="4280" customFormat="false" ht="15" hidden="false" customHeight="false" outlineLevel="0" collapsed="false">
      <c r="A4280" s="27"/>
      <c r="E4280" s="28"/>
      <c r="F4280" s="28"/>
      <c r="I4280" s="28" t="str">
        <f aca="false">IF(A4280="","",D4280*E4280)</f>
        <v/>
      </c>
      <c r="J4280" s="28" t="str">
        <f aca="false">IF(A4280="","",D4280*F4280)</f>
        <v/>
      </c>
      <c r="K4280" s="0" t="str">
        <f aca="false">IF(A4280="","",YEAR(A4280))</f>
        <v/>
      </c>
      <c r="L4280" s="0" t="str">
        <f aca="false">IF(A4280="","",MONTH(A4280))</f>
        <v/>
      </c>
    </row>
    <row r="4281" customFormat="false" ht="15" hidden="false" customHeight="false" outlineLevel="0" collapsed="false">
      <c r="A4281" s="27"/>
      <c r="E4281" s="28"/>
      <c r="F4281" s="28"/>
      <c r="I4281" s="28" t="str">
        <f aca="false">IF(A4281="","",D4281*E4281)</f>
        <v/>
      </c>
      <c r="J4281" s="28" t="str">
        <f aca="false">IF(A4281="","",D4281*F4281)</f>
        <v/>
      </c>
      <c r="K4281" s="0" t="str">
        <f aca="false">IF(A4281="","",YEAR(A4281))</f>
        <v/>
      </c>
      <c r="L4281" s="0" t="str">
        <f aca="false">IF(A4281="","",MONTH(A4281))</f>
        <v/>
      </c>
    </row>
    <row r="4282" customFormat="false" ht="15" hidden="false" customHeight="false" outlineLevel="0" collapsed="false">
      <c r="A4282" s="27"/>
      <c r="E4282" s="28"/>
      <c r="F4282" s="28"/>
      <c r="I4282" s="28" t="str">
        <f aca="false">IF(A4282="","",D4282*E4282)</f>
        <v/>
      </c>
      <c r="J4282" s="28" t="str">
        <f aca="false">IF(A4282="","",D4282*F4282)</f>
        <v/>
      </c>
      <c r="K4282" s="0" t="str">
        <f aca="false">IF(A4282="","",YEAR(A4282))</f>
        <v/>
      </c>
      <c r="L4282" s="0" t="str">
        <f aca="false">IF(A4282="","",MONTH(A4282))</f>
        <v/>
      </c>
    </row>
    <row r="4283" customFormat="false" ht="15" hidden="false" customHeight="false" outlineLevel="0" collapsed="false">
      <c r="A4283" s="27"/>
      <c r="E4283" s="28"/>
      <c r="F4283" s="28"/>
      <c r="I4283" s="28" t="str">
        <f aca="false">IF(A4283="","",D4283*E4283)</f>
        <v/>
      </c>
      <c r="J4283" s="28" t="str">
        <f aca="false">IF(A4283="","",D4283*F4283)</f>
        <v/>
      </c>
      <c r="K4283" s="0" t="str">
        <f aca="false">IF(A4283="","",YEAR(A4283))</f>
        <v/>
      </c>
      <c r="L4283" s="0" t="str">
        <f aca="false">IF(A4283="","",MONTH(A4283))</f>
        <v/>
      </c>
    </row>
    <row r="4284" customFormat="false" ht="15" hidden="false" customHeight="false" outlineLevel="0" collapsed="false">
      <c r="A4284" s="27"/>
      <c r="E4284" s="28"/>
      <c r="F4284" s="28"/>
      <c r="I4284" s="28" t="str">
        <f aca="false">IF(A4284="","",D4284*E4284)</f>
        <v/>
      </c>
      <c r="J4284" s="28" t="str">
        <f aca="false">IF(A4284="","",D4284*F4284)</f>
        <v/>
      </c>
      <c r="K4284" s="0" t="str">
        <f aca="false">IF(A4284="","",YEAR(A4284))</f>
        <v/>
      </c>
      <c r="L4284" s="0" t="str">
        <f aca="false">IF(A4284="","",MONTH(A4284))</f>
        <v/>
      </c>
    </row>
    <row r="4285" customFormat="false" ht="15" hidden="false" customHeight="false" outlineLevel="0" collapsed="false">
      <c r="A4285" s="27"/>
      <c r="E4285" s="28"/>
      <c r="F4285" s="28"/>
      <c r="I4285" s="28" t="str">
        <f aca="false">IF(A4285="","",D4285*E4285)</f>
        <v/>
      </c>
      <c r="J4285" s="28" t="str">
        <f aca="false">IF(A4285="","",D4285*F4285)</f>
        <v/>
      </c>
      <c r="K4285" s="0" t="str">
        <f aca="false">IF(A4285="","",YEAR(A4285))</f>
        <v/>
      </c>
      <c r="L4285" s="0" t="str">
        <f aca="false">IF(A4285="","",MONTH(A4285))</f>
        <v/>
      </c>
    </row>
    <row r="4286" customFormat="false" ht="15" hidden="false" customHeight="false" outlineLevel="0" collapsed="false">
      <c r="A4286" s="27"/>
      <c r="E4286" s="28"/>
      <c r="F4286" s="28"/>
      <c r="I4286" s="28" t="str">
        <f aca="false">IF(A4286="","",D4286*E4286)</f>
        <v/>
      </c>
      <c r="J4286" s="28" t="str">
        <f aca="false">IF(A4286="","",D4286*F4286)</f>
        <v/>
      </c>
      <c r="K4286" s="0" t="str">
        <f aca="false">IF(A4286="","",YEAR(A4286))</f>
        <v/>
      </c>
      <c r="L4286" s="0" t="str">
        <f aca="false">IF(A4286="","",MONTH(A4286))</f>
        <v/>
      </c>
    </row>
    <row r="4287" customFormat="false" ht="15" hidden="false" customHeight="false" outlineLevel="0" collapsed="false">
      <c r="A4287" s="27"/>
      <c r="E4287" s="28"/>
      <c r="F4287" s="28"/>
      <c r="I4287" s="28" t="str">
        <f aca="false">IF(A4287="","",D4287*E4287)</f>
        <v/>
      </c>
      <c r="J4287" s="28" t="str">
        <f aca="false">IF(A4287="","",D4287*F4287)</f>
        <v/>
      </c>
      <c r="K4287" s="0" t="str">
        <f aca="false">IF(A4287="","",YEAR(A4287))</f>
        <v/>
      </c>
      <c r="L4287" s="0" t="str">
        <f aca="false">IF(A4287="","",MONTH(A4287))</f>
        <v/>
      </c>
    </row>
    <row r="4288" customFormat="false" ht="15" hidden="false" customHeight="false" outlineLevel="0" collapsed="false">
      <c r="A4288" s="27"/>
      <c r="E4288" s="28"/>
      <c r="F4288" s="28"/>
      <c r="I4288" s="28" t="str">
        <f aca="false">IF(A4288="","",D4288*E4288)</f>
        <v/>
      </c>
      <c r="J4288" s="28" t="str">
        <f aca="false">IF(A4288="","",D4288*F4288)</f>
        <v/>
      </c>
      <c r="K4288" s="0" t="str">
        <f aca="false">IF(A4288="","",YEAR(A4288))</f>
        <v/>
      </c>
      <c r="L4288" s="0" t="str">
        <f aca="false">IF(A4288="","",MONTH(A4288))</f>
        <v/>
      </c>
    </row>
    <row r="4289" customFormat="false" ht="15" hidden="false" customHeight="false" outlineLevel="0" collapsed="false">
      <c r="A4289" s="27"/>
      <c r="E4289" s="28"/>
      <c r="F4289" s="28"/>
      <c r="I4289" s="28" t="str">
        <f aca="false">IF(A4289="","",D4289*E4289)</f>
        <v/>
      </c>
      <c r="J4289" s="28" t="str">
        <f aca="false">IF(A4289="","",D4289*F4289)</f>
        <v/>
      </c>
      <c r="K4289" s="0" t="str">
        <f aca="false">IF(A4289="","",YEAR(A4289))</f>
        <v/>
      </c>
      <c r="L4289" s="0" t="str">
        <f aca="false">IF(A4289="","",MONTH(A4289))</f>
        <v/>
      </c>
    </row>
    <row r="4290" customFormat="false" ht="15" hidden="false" customHeight="false" outlineLevel="0" collapsed="false">
      <c r="A4290" s="27"/>
      <c r="E4290" s="28"/>
      <c r="F4290" s="28"/>
      <c r="I4290" s="28" t="str">
        <f aca="false">IF(A4290="","",D4290*E4290)</f>
        <v/>
      </c>
      <c r="J4290" s="28" t="str">
        <f aca="false">IF(A4290="","",D4290*F4290)</f>
        <v/>
      </c>
      <c r="K4290" s="0" t="str">
        <f aca="false">IF(A4290="","",YEAR(A4290))</f>
        <v/>
      </c>
      <c r="L4290" s="0" t="str">
        <f aca="false">IF(A4290="","",MONTH(A4290))</f>
        <v/>
      </c>
    </row>
    <row r="4291" customFormat="false" ht="15" hidden="false" customHeight="false" outlineLevel="0" collapsed="false">
      <c r="A4291" s="27"/>
      <c r="E4291" s="28"/>
      <c r="F4291" s="28"/>
      <c r="I4291" s="28" t="str">
        <f aca="false">IF(A4291="","",D4291*E4291)</f>
        <v/>
      </c>
      <c r="J4291" s="28" t="str">
        <f aca="false">IF(A4291="","",D4291*F4291)</f>
        <v/>
      </c>
      <c r="K4291" s="0" t="str">
        <f aca="false">IF(A4291="","",YEAR(A4291))</f>
        <v/>
      </c>
      <c r="L4291" s="0" t="str">
        <f aca="false">IF(A4291="","",MONTH(A4291))</f>
        <v/>
      </c>
    </row>
    <row r="4292" customFormat="false" ht="15" hidden="false" customHeight="false" outlineLevel="0" collapsed="false">
      <c r="A4292" s="27"/>
      <c r="E4292" s="28"/>
      <c r="F4292" s="28"/>
      <c r="I4292" s="28" t="str">
        <f aca="false">IF(A4292="","",D4292*E4292)</f>
        <v/>
      </c>
      <c r="J4292" s="28" t="str">
        <f aca="false">IF(A4292="","",D4292*F4292)</f>
        <v/>
      </c>
      <c r="K4292" s="0" t="str">
        <f aca="false">IF(A4292="","",YEAR(A4292))</f>
        <v/>
      </c>
      <c r="L4292" s="0" t="str">
        <f aca="false">IF(A4292="","",MONTH(A4292))</f>
        <v/>
      </c>
    </row>
    <row r="4293" customFormat="false" ht="15" hidden="false" customHeight="false" outlineLevel="0" collapsed="false">
      <c r="A4293" s="27"/>
      <c r="E4293" s="28"/>
      <c r="F4293" s="28"/>
      <c r="I4293" s="28" t="str">
        <f aca="false">IF(A4293="","",D4293*E4293)</f>
        <v/>
      </c>
      <c r="J4293" s="28" t="str">
        <f aca="false">IF(A4293="","",D4293*F4293)</f>
        <v/>
      </c>
      <c r="K4293" s="0" t="str">
        <f aca="false">IF(A4293="","",YEAR(A4293))</f>
        <v/>
      </c>
      <c r="L4293" s="0" t="str">
        <f aca="false">IF(A4293="","",MONTH(A4293))</f>
        <v/>
      </c>
    </row>
    <row r="4294" customFormat="false" ht="15" hidden="false" customHeight="false" outlineLevel="0" collapsed="false">
      <c r="A4294" s="27"/>
      <c r="E4294" s="28"/>
      <c r="F4294" s="28"/>
      <c r="I4294" s="28" t="str">
        <f aca="false">IF(A4294="","",D4294*E4294)</f>
        <v/>
      </c>
      <c r="J4294" s="28" t="str">
        <f aca="false">IF(A4294="","",D4294*F4294)</f>
        <v/>
      </c>
      <c r="K4294" s="0" t="str">
        <f aca="false">IF(A4294="","",YEAR(A4294))</f>
        <v/>
      </c>
      <c r="L4294" s="0" t="str">
        <f aca="false">IF(A4294="","",MONTH(A4294))</f>
        <v/>
      </c>
    </row>
    <row r="4295" customFormat="false" ht="15" hidden="false" customHeight="false" outlineLevel="0" collapsed="false">
      <c r="A4295" s="27"/>
      <c r="E4295" s="28"/>
      <c r="F4295" s="28"/>
      <c r="I4295" s="28" t="str">
        <f aca="false">IF(A4295="","",D4295*E4295)</f>
        <v/>
      </c>
      <c r="J4295" s="28" t="str">
        <f aca="false">IF(A4295="","",D4295*F4295)</f>
        <v/>
      </c>
      <c r="K4295" s="0" t="str">
        <f aca="false">IF(A4295="","",YEAR(A4295))</f>
        <v/>
      </c>
      <c r="L4295" s="0" t="str">
        <f aca="false">IF(A4295="","",MONTH(A4295))</f>
        <v/>
      </c>
    </row>
    <row r="4296" customFormat="false" ht="15" hidden="false" customHeight="false" outlineLevel="0" collapsed="false">
      <c r="A4296" s="27"/>
      <c r="E4296" s="28"/>
      <c r="F4296" s="28"/>
      <c r="I4296" s="28" t="str">
        <f aca="false">IF(A4296="","",D4296*E4296)</f>
        <v/>
      </c>
      <c r="J4296" s="28" t="str">
        <f aca="false">IF(A4296="","",D4296*F4296)</f>
        <v/>
      </c>
      <c r="K4296" s="0" t="str">
        <f aca="false">IF(A4296="","",YEAR(A4296))</f>
        <v/>
      </c>
      <c r="L4296" s="0" t="str">
        <f aca="false">IF(A4296="","",MONTH(A4296))</f>
        <v/>
      </c>
    </row>
    <row r="4297" customFormat="false" ht="15" hidden="false" customHeight="false" outlineLevel="0" collapsed="false">
      <c r="A4297" s="27"/>
      <c r="E4297" s="28"/>
      <c r="F4297" s="28"/>
      <c r="I4297" s="28" t="str">
        <f aca="false">IF(A4297="","",D4297*E4297)</f>
        <v/>
      </c>
      <c r="J4297" s="28" t="str">
        <f aca="false">IF(A4297="","",D4297*F4297)</f>
        <v/>
      </c>
      <c r="K4297" s="0" t="str">
        <f aca="false">IF(A4297="","",YEAR(A4297))</f>
        <v/>
      </c>
      <c r="L4297" s="0" t="str">
        <f aca="false">IF(A4297="","",MONTH(A4297))</f>
        <v/>
      </c>
    </row>
    <row r="4298" customFormat="false" ht="15" hidden="false" customHeight="false" outlineLevel="0" collapsed="false">
      <c r="A4298" s="27"/>
      <c r="E4298" s="28"/>
      <c r="F4298" s="28"/>
      <c r="I4298" s="28" t="str">
        <f aca="false">IF(A4298="","",D4298*E4298)</f>
        <v/>
      </c>
      <c r="J4298" s="28" t="str">
        <f aca="false">IF(A4298="","",D4298*F4298)</f>
        <v/>
      </c>
      <c r="K4298" s="0" t="str">
        <f aca="false">IF(A4298="","",YEAR(A4298))</f>
        <v/>
      </c>
      <c r="L4298" s="0" t="str">
        <f aca="false">IF(A4298="","",MONTH(A4298))</f>
        <v/>
      </c>
    </row>
    <row r="4299" customFormat="false" ht="15" hidden="false" customHeight="false" outlineLevel="0" collapsed="false">
      <c r="A4299" s="27"/>
      <c r="E4299" s="28"/>
      <c r="F4299" s="28"/>
      <c r="I4299" s="28" t="str">
        <f aca="false">IF(A4299="","",D4299*E4299)</f>
        <v/>
      </c>
      <c r="J4299" s="28" t="str">
        <f aca="false">IF(A4299="","",D4299*F4299)</f>
        <v/>
      </c>
      <c r="K4299" s="0" t="str">
        <f aca="false">IF(A4299="","",YEAR(A4299))</f>
        <v/>
      </c>
      <c r="L4299" s="0" t="str">
        <f aca="false">IF(A4299="","",MONTH(A4299))</f>
        <v/>
      </c>
    </row>
    <row r="4300" customFormat="false" ht="15" hidden="false" customHeight="false" outlineLevel="0" collapsed="false">
      <c r="A4300" s="27"/>
      <c r="E4300" s="28"/>
      <c r="F4300" s="28"/>
      <c r="I4300" s="28" t="str">
        <f aca="false">IF(A4300="","",D4300*E4300)</f>
        <v/>
      </c>
      <c r="J4300" s="28" t="str">
        <f aca="false">IF(A4300="","",D4300*F4300)</f>
        <v/>
      </c>
      <c r="K4300" s="0" t="str">
        <f aca="false">IF(A4300="","",YEAR(A4300))</f>
        <v/>
      </c>
      <c r="L4300" s="0" t="str">
        <f aca="false">IF(A4300="","",MONTH(A4300))</f>
        <v/>
      </c>
    </row>
    <row r="4301" customFormat="false" ht="15" hidden="false" customHeight="false" outlineLevel="0" collapsed="false">
      <c r="A4301" s="27"/>
      <c r="E4301" s="28"/>
      <c r="F4301" s="28"/>
      <c r="I4301" s="28" t="str">
        <f aca="false">IF(A4301="","",D4301*E4301)</f>
        <v/>
      </c>
      <c r="J4301" s="28" t="str">
        <f aca="false">IF(A4301="","",D4301*F4301)</f>
        <v/>
      </c>
      <c r="K4301" s="0" t="str">
        <f aca="false">IF(A4301="","",YEAR(A4301))</f>
        <v/>
      </c>
      <c r="L4301" s="0" t="str">
        <f aca="false">IF(A4301="","",MONTH(A4301))</f>
        <v/>
      </c>
    </row>
    <row r="4302" customFormat="false" ht="15" hidden="false" customHeight="false" outlineLevel="0" collapsed="false">
      <c r="A4302" s="27"/>
      <c r="E4302" s="28"/>
      <c r="F4302" s="28"/>
      <c r="I4302" s="28" t="str">
        <f aca="false">IF(A4302="","",D4302*E4302)</f>
        <v/>
      </c>
      <c r="J4302" s="28" t="str">
        <f aca="false">IF(A4302="","",D4302*F4302)</f>
        <v/>
      </c>
      <c r="K4302" s="0" t="str">
        <f aca="false">IF(A4302="","",YEAR(A4302))</f>
        <v/>
      </c>
      <c r="L4302" s="0" t="str">
        <f aca="false">IF(A4302="","",MONTH(A4302))</f>
        <v/>
      </c>
    </row>
    <row r="4303" customFormat="false" ht="15" hidden="false" customHeight="false" outlineLevel="0" collapsed="false">
      <c r="A4303" s="27"/>
      <c r="E4303" s="28"/>
      <c r="F4303" s="28"/>
      <c r="I4303" s="28" t="str">
        <f aca="false">IF(A4303="","",D4303*E4303)</f>
        <v/>
      </c>
      <c r="J4303" s="28" t="str">
        <f aca="false">IF(A4303="","",D4303*F4303)</f>
        <v/>
      </c>
      <c r="K4303" s="0" t="str">
        <f aca="false">IF(A4303="","",YEAR(A4303))</f>
        <v/>
      </c>
      <c r="L4303" s="0" t="str">
        <f aca="false">IF(A4303="","",MONTH(A4303))</f>
        <v/>
      </c>
    </row>
    <row r="4304" customFormat="false" ht="15" hidden="false" customHeight="false" outlineLevel="0" collapsed="false">
      <c r="A4304" s="27"/>
      <c r="E4304" s="28"/>
      <c r="F4304" s="28"/>
      <c r="I4304" s="28" t="str">
        <f aca="false">IF(A4304="","",D4304*E4304)</f>
        <v/>
      </c>
      <c r="J4304" s="28" t="str">
        <f aca="false">IF(A4304="","",D4304*F4304)</f>
        <v/>
      </c>
      <c r="K4304" s="0" t="str">
        <f aca="false">IF(A4304="","",YEAR(A4304))</f>
        <v/>
      </c>
      <c r="L4304" s="0" t="str">
        <f aca="false">IF(A4304="","",MONTH(A4304))</f>
        <v/>
      </c>
    </row>
    <row r="4305" customFormat="false" ht="15" hidden="false" customHeight="false" outlineLevel="0" collapsed="false">
      <c r="A4305" s="27"/>
      <c r="E4305" s="28"/>
      <c r="F4305" s="28"/>
      <c r="I4305" s="28" t="str">
        <f aca="false">IF(A4305="","",D4305*E4305)</f>
        <v/>
      </c>
      <c r="J4305" s="28" t="str">
        <f aca="false">IF(A4305="","",D4305*F4305)</f>
        <v/>
      </c>
      <c r="K4305" s="0" t="str">
        <f aca="false">IF(A4305="","",YEAR(A4305))</f>
        <v/>
      </c>
      <c r="L4305" s="0" t="str">
        <f aca="false">IF(A4305="","",MONTH(A4305))</f>
        <v/>
      </c>
    </row>
    <row r="4306" customFormat="false" ht="15" hidden="false" customHeight="false" outlineLevel="0" collapsed="false">
      <c r="A4306" s="27"/>
      <c r="E4306" s="28"/>
      <c r="F4306" s="28"/>
      <c r="I4306" s="28" t="str">
        <f aca="false">IF(A4306="","",D4306*E4306)</f>
        <v/>
      </c>
      <c r="J4306" s="28" t="str">
        <f aca="false">IF(A4306="","",D4306*F4306)</f>
        <v/>
      </c>
      <c r="K4306" s="0" t="str">
        <f aca="false">IF(A4306="","",YEAR(A4306))</f>
        <v/>
      </c>
      <c r="L4306" s="0" t="str">
        <f aca="false">IF(A4306="","",MONTH(A4306))</f>
        <v/>
      </c>
    </row>
    <row r="4307" customFormat="false" ht="15" hidden="false" customHeight="false" outlineLevel="0" collapsed="false">
      <c r="A4307" s="27"/>
      <c r="E4307" s="28"/>
      <c r="F4307" s="28"/>
      <c r="I4307" s="28" t="str">
        <f aca="false">IF(A4307="","",D4307*E4307)</f>
        <v/>
      </c>
      <c r="J4307" s="28" t="str">
        <f aca="false">IF(A4307="","",D4307*F4307)</f>
        <v/>
      </c>
      <c r="K4307" s="0" t="str">
        <f aca="false">IF(A4307="","",YEAR(A4307))</f>
        <v/>
      </c>
      <c r="L4307" s="0" t="str">
        <f aca="false">IF(A4307="","",MONTH(A4307))</f>
        <v/>
      </c>
    </row>
    <row r="4308" customFormat="false" ht="15" hidden="false" customHeight="false" outlineLevel="0" collapsed="false">
      <c r="A4308" s="27"/>
      <c r="E4308" s="28"/>
      <c r="F4308" s="28"/>
      <c r="I4308" s="28" t="str">
        <f aca="false">IF(A4308="","",D4308*E4308)</f>
        <v/>
      </c>
      <c r="J4308" s="28" t="str">
        <f aca="false">IF(A4308="","",D4308*F4308)</f>
        <v/>
      </c>
      <c r="K4308" s="0" t="str">
        <f aca="false">IF(A4308="","",YEAR(A4308))</f>
        <v/>
      </c>
      <c r="L4308" s="0" t="str">
        <f aca="false">IF(A4308="","",MONTH(A4308))</f>
        <v/>
      </c>
    </row>
    <row r="4309" customFormat="false" ht="15" hidden="false" customHeight="false" outlineLevel="0" collapsed="false">
      <c r="A4309" s="27"/>
      <c r="E4309" s="28"/>
      <c r="F4309" s="28"/>
      <c r="I4309" s="28" t="str">
        <f aca="false">IF(A4309="","",D4309*E4309)</f>
        <v/>
      </c>
      <c r="J4309" s="28" t="str">
        <f aca="false">IF(A4309="","",D4309*F4309)</f>
        <v/>
      </c>
      <c r="K4309" s="0" t="str">
        <f aca="false">IF(A4309="","",YEAR(A4309))</f>
        <v/>
      </c>
      <c r="L4309" s="0" t="str">
        <f aca="false">IF(A4309="","",MONTH(A4309))</f>
        <v/>
      </c>
    </row>
    <row r="4310" customFormat="false" ht="15" hidden="false" customHeight="false" outlineLevel="0" collapsed="false">
      <c r="A4310" s="27"/>
      <c r="E4310" s="28"/>
      <c r="F4310" s="28"/>
      <c r="I4310" s="28" t="str">
        <f aca="false">IF(A4310="","",D4310*E4310)</f>
        <v/>
      </c>
      <c r="J4310" s="28" t="str">
        <f aca="false">IF(A4310="","",D4310*F4310)</f>
        <v/>
      </c>
      <c r="K4310" s="0" t="str">
        <f aca="false">IF(A4310="","",YEAR(A4310))</f>
        <v/>
      </c>
      <c r="L4310" s="0" t="str">
        <f aca="false">IF(A4310="","",MONTH(A4310))</f>
        <v/>
      </c>
    </row>
    <row r="4311" customFormat="false" ht="15" hidden="false" customHeight="false" outlineLevel="0" collapsed="false">
      <c r="A4311" s="27"/>
      <c r="E4311" s="28"/>
      <c r="F4311" s="28"/>
      <c r="I4311" s="28" t="str">
        <f aca="false">IF(A4311="","",D4311*E4311)</f>
        <v/>
      </c>
      <c r="J4311" s="28" t="str">
        <f aca="false">IF(A4311="","",D4311*F4311)</f>
        <v/>
      </c>
      <c r="K4311" s="0" t="str">
        <f aca="false">IF(A4311="","",YEAR(A4311))</f>
        <v/>
      </c>
      <c r="L4311" s="0" t="str">
        <f aca="false">IF(A4311="","",MONTH(A4311))</f>
        <v/>
      </c>
    </row>
    <row r="4312" customFormat="false" ht="15" hidden="false" customHeight="false" outlineLevel="0" collapsed="false">
      <c r="A4312" s="27"/>
      <c r="E4312" s="28"/>
      <c r="F4312" s="28"/>
      <c r="I4312" s="28" t="str">
        <f aca="false">IF(A4312="","",D4312*E4312)</f>
        <v/>
      </c>
      <c r="J4312" s="28" t="str">
        <f aca="false">IF(A4312="","",D4312*F4312)</f>
        <v/>
      </c>
      <c r="K4312" s="0" t="str">
        <f aca="false">IF(A4312="","",YEAR(A4312))</f>
        <v/>
      </c>
      <c r="L4312" s="0" t="str">
        <f aca="false">IF(A4312="","",MONTH(A4312))</f>
        <v/>
      </c>
    </row>
    <row r="4313" customFormat="false" ht="15" hidden="false" customHeight="false" outlineLevel="0" collapsed="false">
      <c r="A4313" s="27"/>
      <c r="E4313" s="28"/>
      <c r="F4313" s="28"/>
      <c r="I4313" s="28" t="str">
        <f aca="false">IF(A4313="","",D4313*E4313)</f>
        <v/>
      </c>
      <c r="J4313" s="28" t="str">
        <f aca="false">IF(A4313="","",D4313*F4313)</f>
        <v/>
      </c>
      <c r="K4313" s="0" t="str">
        <f aca="false">IF(A4313="","",YEAR(A4313))</f>
        <v/>
      </c>
      <c r="L4313" s="0" t="str">
        <f aca="false">IF(A4313="","",MONTH(A4313))</f>
        <v/>
      </c>
    </row>
    <row r="4314" customFormat="false" ht="15" hidden="false" customHeight="false" outlineLevel="0" collapsed="false">
      <c r="A4314" s="27"/>
      <c r="E4314" s="28"/>
      <c r="F4314" s="28"/>
      <c r="I4314" s="28" t="str">
        <f aca="false">IF(A4314="","",D4314*E4314)</f>
        <v/>
      </c>
      <c r="J4314" s="28" t="str">
        <f aca="false">IF(A4314="","",D4314*F4314)</f>
        <v/>
      </c>
      <c r="K4314" s="0" t="str">
        <f aca="false">IF(A4314="","",YEAR(A4314))</f>
        <v/>
      </c>
      <c r="L4314" s="0" t="str">
        <f aca="false">IF(A4314="","",MONTH(A4314))</f>
        <v/>
      </c>
    </row>
    <row r="4315" customFormat="false" ht="15" hidden="false" customHeight="false" outlineLevel="0" collapsed="false">
      <c r="A4315" s="27"/>
      <c r="E4315" s="28"/>
      <c r="F4315" s="28"/>
      <c r="I4315" s="28" t="str">
        <f aca="false">IF(A4315="","",D4315*E4315)</f>
        <v/>
      </c>
      <c r="J4315" s="28" t="str">
        <f aca="false">IF(A4315="","",D4315*F4315)</f>
        <v/>
      </c>
      <c r="K4315" s="0" t="str">
        <f aca="false">IF(A4315="","",YEAR(A4315))</f>
        <v/>
      </c>
      <c r="L4315" s="0" t="str">
        <f aca="false">IF(A4315="","",MONTH(A4315))</f>
        <v/>
      </c>
    </row>
    <row r="4316" customFormat="false" ht="15" hidden="false" customHeight="false" outlineLevel="0" collapsed="false">
      <c r="A4316" s="27"/>
      <c r="E4316" s="28"/>
      <c r="F4316" s="28"/>
      <c r="I4316" s="28" t="str">
        <f aca="false">IF(A4316="","",D4316*E4316)</f>
        <v/>
      </c>
      <c r="J4316" s="28" t="str">
        <f aca="false">IF(A4316="","",D4316*F4316)</f>
        <v/>
      </c>
      <c r="K4316" s="0" t="str">
        <f aca="false">IF(A4316="","",YEAR(A4316))</f>
        <v/>
      </c>
      <c r="L4316" s="0" t="str">
        <f aca="false">IF(A4316="","",MONTH(A4316))</f>
        <v/>
      </c>
    </row>
    <row r="4317" customFormat="false" ht="15" hidden="false" customHeight="false" outlineLevel="0" collapsed="false">
      <c r="A4317" s="27"/>
      <c r="E4317" s="28"/>
      <c r="F4317" s="28"/>
      <c r="I4317" s="28" t="str">
        <f aca="false">IF(A4317="","",D4317*E4317)</f>
        <v/>
      </c>
      <c r="J4317" s="28" t="str">
        <f aca="false">IF(A4317="","",D4317*F4317)</f>
        <v/>
      </c>
      <c r="K4317" s="0" t="str">
        <f aca="false">IF(A4317="","",YEAR(A4317))</f>
        <v/>
      </c>
      <c r="L4317" s="0" t="str">
        <f aca="false">IF(A4317="","",MONTH(A4317))</f>
        <v/>
      </c>
    </row>
    <row r="4318" customFormat="false" ht="15" hidden="false" customHeight="false" outlineLevel="0" collapsed="false">
      <c r="A4318" s="27"/>
      <c r="E4318" s="28"/>
      <c r="F4318" s="28"/>
      <c r="I4318" s="28" t="str">
        <f aca="false">IF(A4318="","",D4318*E4318)</f>
        <v/>
      </c>
      <c r="J4318" s="28" t="str">
        <f aca="false">IF(A4318="","",D4318*F4318)</f>
        <v/>
      </c>
      <c r="K4318" s="0" t="str">
        <f aca="false">IF(A4318="","",YEAR(A4318))</f>
        <v/>
      </c>
      <c r="L4318" s="0" t="str">
        <f aca="false">IF(A4318="","",MONTH(A4318))</f>
        <v/>
      </c>
    </row>
    <row r="4319" customFormat="false" ht="15" hidden="false" customHeight="false" outlineLevel="0" collapsed="false">
      <c r="A4319" s="27"/>
      <c r="E4319" s="28"/>
      <c r="F4319" s="28"/>
      <c r="I4319" s="28" t="str">
        <f aca="false">IF(A4319="","",D4319*E4319)</f>
        <v/>
      </c>
      <c r="J4319" s="28" t="str">
        <f aca="false">IF(A4319="","",D4319*F4319)</f>
        <v/>
      </c>
      <c r="K4319" s="0" t="str">
        <f aca="false">IF(A4319="","",YEAR(A4319))</f>
        <v/>
      </c>
      <c r="L4319" s="0" t="str">
        <f aca="false">IF(A4319="","",MONTH(A4319))</f>
        <v/>
      </c>
    </row>
    <row r="4320" customFormat="false" ht="15" hidden="false" customHeight="false" outlineLevel="0" collapsed="false">
      <c r="A4320" s="27"/>
      <c r="E4320" s="28"/>
      <c r="F4320" s="28"/>
      <c r="I4320" s="28" t="str">
        <f aca="false">IF(A4320="","",D4320*E4320)</f>
        <v/>
      </c>
      <c r="J4320" s="28" t="str">
        <f aca="false">IF(A4320="","",D4320*F4320)</f>
        <v/>
      </c>
      <c r="K4320" s="0" t="str">
        <f aca="false">IF(A4320="","",YEAR(A4320))</f>
        <v/>
      </c>
      <c r="L4320" s="0" t="str">
        <f aca="false">IF(A4320="","",MONTH(A4320))</f>
        <v/>
      </c>
    </row>
    <row r="4321" customFormat="false" ht="15" hidden="false" customHeight="false" outlineLevel="0" collapsed="false">
      <c r="A4321" s="27"/>
      <c r="E4321" s="28"/>
      <c r="F4321" s="28"/>
      <c r="I4321" s="28" t="str">
        <f aca="false">IF(A4321="","",D4321*E4321)</f>
        <v/>
      </c>
      <c r="J4321" s="28" t="str">
        <f aca="false">IF(A4321="","",D4321*F4321)</f>
        <v/>
      </c>
      <c r="K4321" s="0" t="str">
        <f aca="false">IF(A4321="","",YEAR(A4321))</f>
        <v/>
      </c>
      <c r="L4321" s="0" t="str">
        <f aca="false">IF(A4321="","",MONTH(A4321))</f>
        <v/>
      </c>
    </row>
    <row r="4322" customFormat="false" ht="15" hidden="false" customHeight="false" outlineLevel="0" collapsed="false">
      <c r="A4322" s="27"/>
      <c r="E4322" s="28"/>
      <c r="F4322" s="28"/>
      <c r="I4322" s="28" t="str">
        <f aca="false">IF(A4322="","",D4322*E4322)</f>
        <v/>
      </c>
      <c r="J4322" s="28" t="str">
        <f aca="false">IF(A4322="","",D4322*F4322)</f>
        <v/>
      </c>
      <c r="K4322" s="0" t="str">
        <f aca="false">IF(A4322="","",YEAR(A4322))</f>
        <v/>
      </c>
      <c r="L4322" s="0" t="str">
        <f aca="false">IF(A4322="","",MONTH(A4322))</f>
        <v/>
      </c>
    </row>
    <row r="4323" customFormat="false" ht="15" hidden="false" customHeight="false" outlineLevel="0" collapsed="false">
      <c r="A4323" s="27"/>
      <c r="E4323" s="28"/>
      <c r="F4323" s="28"/>
      <c r="I4323" s="28" t="str">
        <f aca="false">IF(A4323="","",D4323*E4323)</f>
        <v/>
      </c>
      <c r="J4323" s="28" t="str">
        <f aca="false">IF(A4323="","",D4323*F4323)</f>
        <v/>
      </c>
      <c r="K4323" s="0" t="str">
        <f aca="false">IF(A4323="","",YEAR(A4323))</f>
        <v/>
      </c>
      <c r="L4323" s="0" t="str">
        <f aca="false">IF(A4323="","",MONTH(A4323))</f>
        <v/>
      </c>
    </row>
    <row r="4324" customFormat="false" ht="15" hidden="false" customHeight="false" outlineLevel="0" collapsed="false">
      <c r="A4324" s="27"/>
      <c r="E4324" s="28"/>
      <c r="F4324" s="28"/>
      <c r="I4324" s="28" t="str">
        <f aca="false">IF(A4324="","",D4324*E4324)</f>
        <v/>
      </c>
      <c r="J4324" s="28" t="str">
        <f aca="false">IF(A4324="","",D4324*F4324)</f>
        <v/>
      </c>
      <c r="K4324" s="0" t="str">
        <f aca="false">IF(A4324="","",YEAR(A4324))</f>
        <v/>
      </c>
      <c r="L4324" s="0" t="str">
        <f aca="false">IF(A4324="","",MONTH(A4324))</f>
        <v/>
      </c>
    </row>
    <row r="4325" customFormat="false" ht="15" hidden="false" customHeight="false" outlineLevel="0" collapsed="false">
      <c r="A4325" s="27"/>
      <c r="E4325" s="28"/>
      <c r="F4325" s="28"/>
      <c r="I4325" s="28" t="str">
        <f aca="false">IF(A4325="","",D4325*E4325)</f>
        <v/>
      </c>
      <c r="J4325" s="28" t="str">
        <f aca="false">IF(A4325="","",D4325*F4325)</f>
        <v/>
      </c>
      <c r="K4325" s="0" t="str">
        <f aca="false">IF(A4325="","",YEAR(A4325))</f>
        <v/>
      </c>
      <c r="L4325" s="0" t="str">
        <f aca="false">IF(A4325="","",MONTH(A4325))</f>
        <v/>
      </c>
    </row>
    <row r="4326" customFormat="false" ht="15" hidden="false" customHeight="false" outlineLevel="0" collapsed="false">
      <c r="A4326" s="27"/>
      <c r="E4326" s="28"/>
      <c r="F4326" s="28"/>
      <c r="I4326" s="28" t="str">
        <f aca="false">IF(A4326="","",D4326*E4326)</f>
        <v/>
      </c>
      <c r="J4326" s="28" t="str">
        <f aca="false">IF(A4326="","",D4326*F4326)</f>
        <v/>
      </c>
      <c r="K4326" s="0" t="str">
        <f aca="false">IF(A4326="","",YEAR(A4326))</f>
        <v/>
      </c>
      <c r="L4326" s="0" t="str">
        <f aca="false">IF(A4326="","",MONTH(A4326))</f>
        <v/>
      </c>
    </row>
    <row r="4327" customFormat="false" ht="15" hidden="false" customHeight="false" outlineLevel="0" collapsed="false">
      <c r="A4327" s="27"/>
      <c r="E4327" s="28"/>
      <c r="F4327" s="28"/>
      <c r="I4327" s="28" t="str">
        <f aca="false">IF(A4327="","",D4327*E4327)</f>
        <v/>
      </c>
      <c r="J4327" s="28" t="str">
        <f aca="false">IF(A4327="","",D4327*F4327)</f>
        <v/>
      </c>
      <c r="K4327" s="0" t="str">
        <f aca="false">IF(A4327="","",YEAR(A4327))</f>
        <v/>
      </c>
      <c r="L4327" s="0" t="str">
        <f aca="false">IF(A4327="","",MONTH(A4327))</f>
        <v/>
      </c>
    </row>
    <row r="4328" customFormat="false" ht="15" hidden="false" customHeight="false" outlineLevel="0" collapsed="false">
      <c r="A4328" s="27"/>
      <c r="E4328" s="28"/>
      <c r="F4328" s="28"/>
      <c r="I4328" s="28" t="str">
        <f aca="false">IF(A4328="","",D4328*E4328)</f>
        <v/>
      </c>
      <c r="J4328" s="28" t="str">
        <f aca="false">IF(A4328="","",D4328*F4328)</f>
        <v/>
      </c>
      <c r="K4328" s="0" t="str">
        <f aca="false">IF(A4328="","",YEAR(A4328))</f>
        <v/>
      </c>
      <c r="L4328" s="0" t="str">
        <f aca="false">IF(A4328="","",MONTH(A4328))</f>
        <v/>
      </c>
    </row>
    <row r="4329" customFormat="false" ht="15" hidden="false" customHeight="false" outlineLevel="0" collapsed="false">
      <c r="A4329" s="27"/>
      <c r="E4329" s="28"/>
      <c r="F4329" s="28"/>
      <c r="I4329" s="28" t="str">
        <f aca="false">IF(A4329="","",D4329*E4329)</f>
        <v/>
      </c>
      <c r="J4329" s="28" t="str">
        <f aca="false">IF(A4329="","",D4329*F4329)</f>
        <v/>
      </c>
      <c r="K4329" s="0" t="str">
        <f aca="false">IF(A4329="","",YEAR(A4329))</f>
        <v/>
      </c>
      <c r="L4329" s="0" t="str">
        <f aca="false">IF(A4329="","",MONTH(A4329))</f>
        <v/>
      </c>
    </row>
    <row r="4330" customFormat="false" ht="15" hidden="false" customHeight="false" outlineLevel="0" collapsed="false">
      <c r="A4330" s="27"/>
      <c r="E4330" s="28"/>
      <c r="F4330" s="28"/>
      <c r="I4330" s="28" t="str">
        <f aca="false">IF(A4330="","",D4330*E4330)</f>
        <v/>
      </c>
      <c r="J4330" s="28" t="str">
        <f aca="false">IF(A4330="","",D4330*F4330)</f>
        <v/>
      </c>
      <c r="K4330" s="0" t="str">
        <f aca="false">IF(A4330="","",YEAR(A4330))</f>
        <v/>
      </c>
      <c r="L4330" s="0" t="str">
        <f aca="false">IF(A4330="","",MONTH(A4330))</f>
        <v/>
      </c>
    </row>
    <row r="4331" customFormat="false" ht="15" hidden="false" customHeight="false" outlineLevel="0" collapsed="false">
      <c r="A4331" s="27"/>
      <c r="E4331" s="28"/>
      <c r="F4331" s="28"/>
      <c r="I4331" s="28" t="str">
        <f aca="false">IF(A4331="","",D4331*E4331)</f>
        <v/>
      </c>
      <c r="J4331" s="28" t="str">
        <f aca="false">IF(A4331="","",D4331*F4331)</f>
        <v/>
      </c>
      <c r="K4331" s="0" t="str">
        <f aca="false">IF(A4331="","",YEAR(A4331))</f>
        <v/>
      </c>
      <c r="L4331" s="0" t="str">
        <f aca="false">IF(A4331="","",MONTH(A4331))</f>
        <v/>
      </c>
    </row>
    <row r="4332" customFormat="false" ht="15" hidden="false" customHeight="false" outlineLevel="0" collapsed="false">
      <c r="A4332" s="27"/>
      <c r="E4332" s="28"/>
      <c r="F4332" s="28"/>
      <c r="I4332" s="28" t="str">
        <f aca="false">IF(A4332="","",D4332*E4332)</f>
        <v/>
      </c>
      <c r="J4332" s="28" t="str">
        <f aca="false">IF(A4332="","",D4332*F4332)</f>
        <v/>
      </c>
      <c r="K4332" s="0" t="str">
        <f aca="false">IF(A4332="","",YEAR(A4332))</f>
        <v/>
      </c>
      <c r="L4332" s="0" t="str">
        <f aca="false">IF(A4332="","",MONTH(A4332))</f>
        <v/>
      </c>
    </row>
    <row r="4333" customFormat="false" ht="15" hidden="false" customHeight="false" outlineLevel="0" collapsed="false">
      <c r="A4333" s="27"/>
      <c r="E4333" s="28"/>
      <c r="F4333" s="28"/>
      <c r="I4333" s="28" t="str">
        <f aca="false">IF(A4333="","",D4333*E4333)</f>
        <v/>
      </c>
      <c r="J4333" s="28" t="str">
        <f aca="false">IF(A4333="","",D4333*F4333)</f>
        <v/>
      </c>
      <c r="K4333" s="0" t="str">
        <f aca="false">IF(A4333="","",YEAR(A4333))</f>
        <v/>
      </c>
      <c r="L4333" s="0" t="str">
        <f aca="false">IF(A4333="","",MONTH(A4333))</f>
        <v/>
      </c>
    </row>
    <row r="4334" customFormat="false" ht="15" hidden="false" customHeight="false" outlineLevel="0" collapsed="false">
      <c r="A4334" s="27"/>
      <c r="E4334" s="28"/>
      <c r="F4334" s="28"/>
      <c r="I4334" s="28" t="str">
        <f aca="false">IF(A4334="","",D4334*E4334)</f>
        <v/>
      </c>
      <c r="J4334" s="28" t="str">
        <f aca="false">IF(A4334="","",D4334*F4334)</f>
        <v/>
      </c>
      <c r="K4334" s="0" t="str">
        <f aca="false">IF(A4334="","",YEAR(A4334))</f>
        <v/>
      </c>
      <c r="L4334" s="0" t="str">
        <f aca="false">IF(A4334="","",MONTH(A4334))</f>
        <v/>
      </c>
    </row>
    <row r="4335" customFormat="false" ht="15" hidden="false" customHeight="false" outlineLevel="0" collapsed="false">
      <c r="A4335" s="27"/>
      <c r="E4335" s="28"/>
      <c r="F4335" s="28"/>
      <c r="I4335" s="28" t="str">
        <f aca="false">IF(A4335="","",D4335*E4335)</f>
        <v/>
      </c>
      <c r="J4335" s="28" t="str">
        <f aca="false">IF(A4335="","",D4335*F4335)</f>
        <v/>
      </c>
      <c r="K4335" s="0" t="str">
        <f aca="false">IF(A4335="","",YEAR(A4335))</f>
        <v/>
      </c>
      <c r="L4335" s="0" t="str">
        <f aca="false">IF(A4335="","",MONTH(A4335))</f>
        <v/>
      </c>
    </row>
    <row r="4336" customFormat="false" ht="15" hidden="false" customHeight="false" outlineLevel="0" collapsed="false">
      <c r="A4336" s="27"/>
      <c r="E4336" s="28"/>
      <c r="F4336" s="28"/>
      <c r="I4336" s="28" t="str">
        <f aca="false">IF(A4336="","",D4336*E4336)</f>
        <v/>
      </c>
      <c r="J4336" s="28" t="str">
        <f aca="false">IF(A4336="","",D4336*F4336)</f>
        <v/>
      </c>
      <c r="K4336" s="0" t="str">
        <f aca="false">IF(A4336="","",YEAR(A4336))</f>
        <v/>
      </c>
      <c r="L4336" s="0" t="str">
        <f aca="false">IF(A4336="","",MONTH(A4336))</f>
        <v/>
      </c>
    </row>
    <row r="4337" customFormat="false" ht="15" hidden="false" customHeight="false" outlineLevel="0" collapsed="false">
      <c r="A4337" s="27"/>
      <c r="E4337" s="28"/>
      <c r="F4337" s="28"/>
      <c r="I4337" s="28" t="str">
        <f aca="false">IF(A4337="","",D4337*E4337)</f>
        <v/>
      </c>
      <c r="J4337" s="28" t="str">
        <f aca="false">IF(A4337="","",D4337*F4337)</f>
        <v/>
      </c>
      <c r="K4337" s="0" t="str">
        <f aca="false">IF(A4337="","",YEAR(A4337))</f>
        <v/>
      </c>
      <c r="L4337" s="0" t="str">
        <f aca="false">IF(A4337="","",MONTH(A4337))</f>
        <v/>
      </c>
    </row>
    <row r="4338" customFormat="false" ht="15" hidden="false" customHeight="false" outlineLevel="0" collapsed="false">
      <c r="A4338" s="27"/>
      <c r="E4338" s="28"/>
      <c r="F4338" s="28"/>
      <c r="I4338" s="28" t="str">
        <f aca="false">IF(A4338="","",D4338*E4338)</f>
        <v/>
      </c>
      <c r="J4338" s="28" t="str">
        <f aca="false">IF(A4338="","",D4338*F4338)</f>
        <v/>
      </c>
      <c r="K4338" s="0" t="str">
        <f aca="false">IF(A4338="","",YEAR(A4338))</f>
        <v/>
      </c>
      <c r="L4338" s="0" t="str">
        <f aca="false">IF(A4338="","",MONTH(A4338))</f>
        <v/>
      </c>
    </row>
    <row r="4339" customFormat="false" ht="15" hidden="false" customHeight="false" outlineLevel="0" collapsed="false">
      <c r="A4339" s="27"/>
      <c r="E4339" s="28"/>
      <c r="F4339" s="28"/>
      <c r="I4339" s="28" t="str">
        <f aca="false">IF(A4339="","",D4339*E4339)</f>
        <v/>
      </c>
      <c r="J4339" s="28" t="str">
        <f aca="false">IF(A4339="","",D4339*F4339)</f>
        <v/>
      </c>
      <c r="K4339" s="0" t="str">
        <f aca="false">IF(A4339="","",YEAR(A4339))</f>
        <v/>
      </c>
      <c r="L4339" s="0" t="str">
        <f aca="false">IF(A4339="","",MONTH(A4339))</f>
        <v/>
      </c>
    </row>
    <row r="4340" customFormat="false" ht="15" hidden="false" customHeight="false" outlineLevel="0" collapsed="false">
      <c r="A4340" s="27"/>
      <c r="E4340" s="28"/>
      <c r="F4340" s="28"/>
      <c r="I4340" s="28" t="str">
        <f aca="false">IF(A4340="","",D4340*E4340)</f>
        <v/>
      </c>
      <c r="J4340" s="28" t="str">
        <f aca="false">IF(A4340="","",D4340*F4340)</f>
        <v/>
      </c>
      <c r="K4340" s="0" t="str">
        <f aca="false">IF(A4340="","",YEAR(A4340))</f>
        <v/>
      </c>
      <c r="L4340" s="0" t="str">
        <f aca="false">IF(A4340="","",MONTH(A4340))</f>
        <v/>
      </c>
    </row>
    <row r="4341" customFormat="false" ht="15" hidden="false" customHeight="false" outlineLevel="0" collapsed="false">
      <c r="A4341" s="27"/>
      <c r="E4341" s="28"/>
      <c r="F4341" s="28"/>
      <c r="I4341" s="28" t="str">
        <f aca="false">IF(A4341="","",D4341*E4341)</f>
        <v/>
      </c>
      <c r="J4341" s="28" t="str">
        <f aca="false">IF(A4341="","",D4341*F4341)</f>
        <v/>
      </c>
      <c r="K4341" s="0" t="str">
        <f aca="false">IF(A4341="","",YEAR(A4341))</f>
        <v/>
      </c>
      <c r="L4341" s="0" t="str">
        <f aca="false">IF(A4341="","",MONTH(A4341))</f>
        <v/>
      </c>
    </row>
    <row r="4342" customFormat="false" ht="15" hidden="false" customHeight="false" outlineLevel="0" collapsed="false">
      <c r="A4342" s="27"/>
      <c r="E4342" s="28"/>
      <c r="F4342" s="28"/>
      <c r="I4342" s="28" t="str">
        <f aca="false">IF(A4342="","",D4342*E4342)</f>
        <v/>
      </c>
      <c r="J4342" s="28" t="str">
        <f aca="false">IF(A4342="","",D4342*F4342)</f>
        <v/>
      </c>
      <c r="K4342" s="0" t="str">
        <f aca="false">IF(A4342="","",YEAR(A4342))</f>
        <v/>
      </c>
      <c r="L4342" s="0" t="str">
        <f aca="false">IF(A4342="","",MONTH(A4342))</f>
        <v/>
      </c>
    </row>
    <row r="4343" customFormat="false" ht="15" hidden="false" customHeight="false" outlineLevel="0" collapsed="false">
      <c r="A4343" s="27"/>
      <c r="E4343" s="28"/>
      <c r="F4343" s="28"/>
      <c r="I4343" s="28" t="str">
        <f aca="false">IF(A4343="","",D4343*E4343)</f>
        <v/>
      </c>
      <c r="J4343" s="28" t="str">
        <f aca="false">IF(A4343="","",D4343*F4343)</f>
        <v/>
      </c>
      <c r="K4343" s="0" t="str">
        <f aca="false">IF(A4343="","",YEAR(A4343))</f>
        <v/>
      </c>
      <c r="L4343" s="0" t="str">
        <f aca="false">IF(A4343="","",MONTH(A4343))</f>
        <v/>
      </c>
    </row>
    <row r="4344" customFormat="false" ht="15" hidden="false" customHeight="false" outlineLevel="0" collapsed="false">
      <c r="A4344" s="27"/>
      <c r="E4344" s="28"/>
      <c r="F4344" s="28"/>
      <c r="I4344" s="28" t="str">
        <f aca="false">IF(A4344="","",D4344*E4344)</f>
        <v/>
      </c>
      <c r="J4344" s="28" t="str">
        <f aca="false">IF(A4344="","",D4344*F4344)</f>
        <v/>
      </c>
      <c r="K4344" s="0" t="str">
        <f aca="false">IF(A4344="","",YEAR(A4344))</f>
        <v/>
      </c>
      <c r="L4344" s="0" t="str">
        <f aca="false">IF(A4344="","",MONTH(A4344))</f>
        <v/>
      </c>
    </row>
    <row r="4345" customFormat="false" ht="15" hidden="false" customHeight="false" outlineLevel="0" collapsed="false">
      <c r="A4345" s="27"/>
      <c r="E4345" s="28"/>
      <c r="F4345" s="28"/>
      <c r="I4345" s="28" t="str">
        <f aca="false">IF(A4345="","",D4345*E4345)</f>
        <v/>
      </c>
      <c r="J4345" s="28" t="str">
        <f aca="false">IF(A4345="","",D4345*F4345)</f>
        <v/>
      </c>
      <c r="K4345" s="0" t="str">
        <f aca="false">IF(A4345="","",YEAR(A4345))</f>
        <v/>
      </c>
      <c r="L4345" s="0" t="str">
        <f aca="false">IF(A4345="","",MONTH(A4345))</f>
        <v/>
      </c>
    </row>
    <row r="4346" customFormat="false" ht="15" hidden="false" customHeight="false" outlineLevel="0" collapsed="false">
      <c r="A4346" s="27"/>
      <c r="E4346" s="28"/>
      <c r="F4346" s="28"/>
      <c r="I4346" s="28" t="str">
        <f aca="false">IF(A4346="","",D4346*E4346)</f>
        <v/>
      </c>
      <c r="J4346" s="28" t="str">
        <f aca="false">IF(A4346="","",D4346*F4346)</f>
        <v/>
      </c>
      <c r="K4346" s="0" t="str">
        <f aca="false">IF(A4346="","",YEAR(A4346))</f>
        <v/>
      </c>
      <c r="L4346" s="0" t="str">
        <f aca="false">IF(A4346="","",MONTH(A4346))</f>
        <v/>
      </c>
    </row>
    <row r="4347" customFormat="false" ht="15" hidden="false" customHeight="false" outlineLevel="0" collapsed="false">
      <c r="A4347" s="27"/>
      <c r="E4347" s="28"/>
      <c r="F4347" s="28"/>
      <c r="I4347" s="28" t="str">
        <f aca="false">IF(A4347="","",D4347*E4347)</f>
        <v/>
      </c>
      <c r="J4347" s="28" t="str">
        <f aca="false">IF(A4347="","",D4347*F4347)</f>
        <v/>
      </c>
      <c r="K4347" s="0" t="str">
        <f aca="false">IF(A4347="","",YEAR(A4347))</f>
        <v/>
      </c>
      <c r="L4347" s="0" t="str">
        <f aca="false">IF(A4347="","",MONTH(A4347))</f>
        <v/>
      </c>
    </row>
    <row r="4348" customFormat="false" ht="15" hidden="false" customHeight="false" outlineLevel="0" collapsed="false">
      <c r="A4348" s="27"/>
      <c r="E4348" s="28"/>
      <c r="F4348" s="28"/>
      <c r="I4348" s="28" t="str">
        <f aca="false">IF(A4348="","",D4348*E4348)</f>
        <v/>
      </c>
      <c r="J4348" s="28" t="str">
        <f aca="false">IF(A4348="","",D4348*F4348)</f>
        <v/>
      </c>
      <c r="K4348" s="0" t="str">
        <f aca="false">IF(A4348="","",YEAR(A4348))</f>
        <v/>
      </c>
      <c r="L4348" s="0" t="str">
        <f aca="false">IF(A4348="","",MONTH(A4348))</f>
        <v/>
      </c>
    </row>
    <row r="4349" customFormat="false" ht="15" hidden="false" customHeight="false" outlineLevel="0" collapsed="false">
      <c r="A4349" s="27"/>
      <c r="E4349" s="28"/>
      <c r="F4349" s="28"/>
      <c r="I4349" s="28" t="str">
        <f aca="false">IF(A4349="","",D4349*E4349)</f>
        <v/>
      </c>
      <c r="J4349" s="28" t="str">
        <f aca="false">IF(A4349="","",D4349*F4349)</f>
        <v/>
      </c>
      <c r="K4349" s="0" t="str">
        <f aca="false">IF(A4349="","",YEAR(A4349))</f>
        <v/>
      </c>
      <c r="L4349" s="0" t="str">
        <f aca="false">IF(A4349="","",MONTH(A4349))</f>
        <v/>
      </c>
    </row>
    <row r="4350" customFormat="false" ht="15" hidden="false" customHeight="false" outlineLevel="0" collapsed="false">
      <c r="A4350" s="27"/>
      <c r="E4350" s="28"/>
      <c r="F4350" s="28"/>
      <c r="I4350" s="28" t="str">
        <f aca="false">IF(A4350="","",D4350*E4350)</f>
        <v/>
      </c>
      <c r="J4350" s="28" t="str">
        <f aca="false">IF(A4350="","",D4350*F4350)</f>
        <v/>
      </c>
      <c r="K4350" s="0" t="str">
        <f aca="false">IF(A4350="","",YEAR(A4350))</f>
        <v/>
      </c>
      <c r="L4350" s="0" t="str">
        <f aca="false">IF(A4350="","",MONTH(A4350))</f>
        <v/>
      </c>
    </row>
    <row r="4351" customFormat="false" ht="15" hidden="false" customHeight="false" outlineLevel="0" collapsed="false">
      <c r="A4351" s="27"/>
      <c r="E4351" s="28"/>
      <c r="F4351" s="28"/>
      <c r="I4351" s="28" t="str">
        <f aca="false">IF(A4351="","",D4351*E4351)</f>
        <v/>
      </c>
      <c r="J4351" s="28" t="str">
        <f aca="false">IF(A4351="","",D4351*F4351)</f>
        <v/>
      </c>
      <c r="K4351" s="0" t="str">
        <f aca="false">IF(A4351="","",YEAR(A4351))</f>
        <v/>
      </c>
      <c r="L4351" s="0" t="str">
        <f aca="false">IF(A4351="","",MONTH(A4351))</f>
        <v/>
      </c>
    </row>
    <row r="4352" customFormat="false" ht="15" hidden="false" customHeight="false" outlineLevel="0" collapsed="false">
      <c r="A4352" s="27"/>
      <c r="E4352" s="28"/>
      <c r="F4352" s="28"/>
      <c r="I4352" s="28" t="str">
        <f aca="false">IF(A4352="","",D4352*E4352)</f>
        <v/>
      </c>
      <c r="J4352" s="28" t="str">
        <f aca="false">IF(A4352="","",D4352*F4352)</f>
        <v/>
      </c>
      <c r="K4352" s="0" t="str">
        <f aca="false">IF(A4352="","",YEAR(A4352))</f>
        <v/>
      </c>
      <c r="L4352" s="0" t="str">
        <f aca="false">IF(A4352="","",MONTH(A4352))</f>
        <v/>
      </c>
    </row>
    <row r="4353" customFormat="false" ht="15" hidden="false" customHeight="false" outlineLevel="0" collapsed="false">
      <c r="A4353" s="27"/>
      <c r="E4353" s="28"/>
      <c r="F4353" s="28"/>
      <c r="I4353" s="28" t="str">
        <f aca="false">IF(A4353="","",D4353*E4353)</f>
        <v/>
      </c>
      <c r="J4353" s="28" t="str">
        <f aca="false">IF(A4353="","",D4353*F4353)</f>
        <v/>
      </c>
      <c r="K4353" s="0" t="str">
        <f aca="false">IF(A4353="","",YEAR(A4353))</f>
        <v/>
      </c>
      <c r="L4353" s="0" t="str">
        <f aca="false">IF(A4353="","",MONTH(A4353))</f>
        <v/>
      </c>
    </row>
    <row r="4354" customFormat="false" ht="15" hidden="false" customHeight="false" outlineLevel="0" collapsed="false">
      <c r="A4354" s="27"/>
      <c r="E4354" s="28"/>
      <c r="F4354" s="28"/>
      <c r="I4354" s="28" t="str">
        <f aca="false">IF(A4354="","",D4354*E4354)</f>
        <v/>
      </c>
      <c r="J4354" s="28" t="str">
        <f aca="false">IF(A4354="","",D4354*F4354)</f>
        <v/>
      </c>
      <c r="K4354" s="0" t="str">
        <f aca="false">IF(A4354="","",YEAR(A4354))</f>
        <v/>
      </c>
      <c r="L4354" s="0" t="str">
        <f aca="false">IF(A4354="","",MONTH(A4354))</f>
        <v/>
      </c>
    </row>
    <row r="4355" customFormat="false" ht="15" hidden="false" customHeight="false" outlineLevel="0" collapsed="false">
      <c r="A4355" s="27"/>
      <c r="E4355" s="28"/>
      <c r="F4355" s="28"/>
      <c r="I4355" s="28" t="str">
        <f aca="false">IF(A4355="","",D4355*E4355)</f>
        <v/>
      </c>
      <c r="J4355" s="28" t="str">
        <f aca="false">IF(A4355="","",D4355*F4355)</f>
        <v/>
      </c>
      <c r="K4355" s="0" t="str">
        <f aca="false">IF(A4355="","",YEAR(A4355))</f>
        <v/>
      </c>
      <c r="L4355" s="0" t="str">
        <f aca="false">IF(A4355="","",MONTH(A4355))</f>
        <v/>
      </c>
    </row>
    <row r="4356" customFormat="false" ht="15" hidden="false" customHeight="false" outlineLevel="0" collapsed="false">
      <c r="A4356" s="27"/>
      <c r="E4356" s="28"/>
      <c r="F4356" s="28"/>
      <c r="I4356" s="28" t="str">
        <f aca="false">IF(A4356="","",D4356*E4356)</f>
        <v/>
      </c>
      <c r="J4356" s="28" t="str">
        <f aca="false">IF(A4356="","",D4356*F4356)</f>
        <v/>
      </c>
      <c r="K4356" s="0" t="str">
        <f aca="false">IF(A4356="","",YEAR(A4356))</f>
        <v/>
      </c>
      <c r="L4356" s="0" t="str">
        <f aca="false">IF(A4356="","",MONTH(A4356))</f>
        <v/>
      </c>
    </row>
    <row r="4357" customFormat="false" ht="15" hidden="false" customHeight="false" outlineLevel="0" collapsed="false">
      <c r="A4357" s="27"/>
      <c r="E4357" s="28"/>
      <c r="F4357" s="28"/>
      <c r="I4357" s="28" t="str">
        <f aca="false">IF(A4357="","",D4357*E4357)</f>
        <v/>
      </c>
      <c r="J4357" s="28" t="str">
        <f aca="false">IF(A4357="","",D4357*F4357)</f>
        <v/>
      </c>
      <c r="K4357" s="0" t="str">
        <f aca="false">IF(A4357="","",YEAR(A4357))</f>
        <v/>
      </c>
      <c r="L4357" s="0" t="str">
        <f aca="false">IF(A4357="","",MONTH(A4357))</f>
        <v/>
      </c>
    </row>
    <row r="4358" customFormat="false" ht="15" hidden="false" customHeight="false" outlineLevel="0" collapsed="false">
      <c r="A4358" s="27"/>
      <c r="E4358" s="28"/>
      <c r="F4358" s="28"/>
      <c r="I4358" s="28" t="str">
        <f aca="false">IF(A4358="","",D4358*E4358)</f>
        <v/>
      </c>
      <c r="J4358" s="28" t="str">
        <f aca="false">IF(A4358="","",D4358*F4358)</f>
        <v/>
      </c>
      <c r="K4358" s="0" t="str">
        <f aca="false">IF(A4358="","",YEAR(A4358))</f>
        <v/>
      </c>
      <c r="L4358" s="0" t="str">
        <f aca="false">IF(A4358="","",MONTH(A4358))</f>
        <v/>
      </c>
    </row>
    <row r="4359" customFormat="false" ht="15" hidden="false" customHeight="false" outlineLevel="0" collapsed="false">
      <c r="A4359" s="27"/>
      <c r="E4359" s="28"/>
      <c r="F4359" s="28"/>
      <c r="I4359" s="28" t="str">
        <f aca="false">IF(A4359="","",D4359*E4359)</f>
        <v/>
      </c>
      <c r="J4359" s="28" t="str">
        <f aca="false">IF(A4359="","",D4359*F4359)</f>
        <v/>
      </c>
      <c r="K4359" s="0" t="str">
        <f aca="false">IF(A4359="","",YEAR(A4359))</f>
        <v/>
      </c>
      <c r="L4359" s="0" t="str">
        <f aca="false">IF(A4359="","",MONTH(A4359))</f>
        <v/>
      </c>
    </row>
    <row r="4360" customFormat="false" ht="15" hidden="false" customHeight="false" outlineLevel="0" collapsed="false">
      <c r="A4360" s="27"/>
      <c r="E4360" s="28"/>
      <c r="F4360" s="28"/>
      <c r="I4360" s="28" t="str">
        <f aca="false">IF(A4360="","",D4360*E4360)</f>
        <v/>
      </c>
      <c r="J4360" s="28" t="str">
        <f aca="false">IF(A4360="","",D4360*F4360)</f>
        <v/>
      </c>
      <c r="K4360" s="0" t="str">
        <f aca="false">IF(A4360="","",YEAR(A4360))</f>
        <v/>
      </c>
      <c r="L4360" s="0" t="str">
        <f aca="false">IF(A4360="","",MONTH(A4360))</f>
        <v/>
      </c>
    </row>
    <row r="4361" customFormat="false" ht="15" hidden="false" customHeight="false" outlineLevel="0" collapsed="false">
      <c r="A4361" s="27"/>
      <c r="E4361" s="28"/>
      <c r="F4361" s="28"/>
      <c r="I4361" s="28" t="str">
        <f aca="false">IF(A4361="","",D4361*E4361)</f>
        <v/>
      </c>
      <c r="J4361" s="28" t="str">
        <f aca="false">IF(A4361="","",D4361*F4361)</f>
        <v/>
      </c>
      <c r="K4361" s="0" t="str">
        <f aca="false">IF(A4361="","",YEAR(A4361))</f>
        <v/>
      </c>
      <c r="L4361" s="0" t="str">
        <f aca="false">IF(A4361="","",MONTH(A4361))</f>
        <v/>
      </c>
    </row>
    <row r="4362" customFormat="false" ht="15" hidden="false" customHeight="false" outlineLevel="0" collapsed="false">
      <c r="A4362" s="27"/>
      <c r="E4362" s="28"/>
      <c r="F4362" s="28"/>
      <c r="I4362" s="28" t="str">
        <f aca="false">IF(A4362="","",D4362*E4362)</f>
        <v/>
      </c>
      <c r="J4362" s="28" t="str">
        <f aca="false">IF(A4362="","",D4362*F4362)</f>
        <v/>
      </c>
      <c r="K4362" s="0" t="str">
        <f aca="false">IF(A4362="","",YEAR(A4362))</f>
        <v/>
      </c>
      <c r="L4362" s="0" t="str">
        <f aca="false">IF(A4362="","",MONTH(A4362))</f>
        <v/>
      </c>
    </row>
    <row r="4363" customFormat="false" ht="15" hidden="false" customHeight="false" outlineLevel="0" collapsed="false">
      <c r="A4363" s="27"/>
      <c r="E4363" s="28"/>
      <c r="F4363" s="28"/>
      <c r="I4363" s="28" t="str">
        <f aca="false">IF(A4363="","",D4363*E4363)</f>
        <v/>
      </c>
      <c r="J4363" s="28" t="str">
        <f aca="false">IF(A4363="","",D4363*F4363)</f>
        <v/>
      </c>
      <c r="K4363" s="0" t="str">
        <f aca="false">IF(A4363="","",YEAR(A4363))</f>
        <v/>
      </c>
      <c r="L4363" s="0" t="str">
        <f aca="false">IF(A4363="","",MONTH(A4363))</f>
        <v/>
      </c>
    </row>
    <row r="4364" customFormat="false" ht="15" hidden="false" customHeight="false" outlineLevel="0" collapsed="false">
      <c r="A4364" s="27"/>
      <c r="E4364" s="28"/>
      <c r="F4364" s="28"/>
      <c r="I4364" s="28" t="str">
        <f aca="false">IF(A4364="","",D4364*E4364)</f>
        <v/>
      </c>
      <c r="J4364" s="28" t="str">
        <f aca="false">IF(A4364="","",D4364*F4364)</f>
        <v/>
      </c>
      <c r="K4364" s="0" t="str">
        <f aca="false">IF(A4364="","",YEAR(A4364))</f>
        <v/>
      </c>
      <c r="L4364" s="0" t="str">
        <f aca="false">IF(A4364="","",MONTH(A4364))</f>
        <v/>
      </c>
    </row>
    <row r="4365" customFormat="false" ht="15" hidden="false" customHeight="false" outlineLevel="0" collapsed="false">
      <c r="A4365" s="27"/>
      <c r="E4365" s="28"/>
      <c r="F4365" s="28"/>
      <c r="I4365" s="28" t="str">
        <f aca="false">IF(A4365="","",D4365*E4365)</f>
        <v/>
      </c>
      <c r="J4365" s="28" t="str">
        <f aca="false">IF(A4365="","",D4365*F4365)</f>
        <v/>
      </c>
      <c r="K4365" s="0" t="str">
        <f aca="false">IF(A4365="","",YEAR(A4365))</f>
        <v/>
      </c>
      <c r="L4365" s="0" t="str">
        <f aca="false">IF(A4365="","",MONTH(A4365))</f>
        <v/>
      </c>
    </row>
    <row r="4366" customFormat="false" ht="15" hidden="false" customHeight="false" outlineLevel="0" collapsed="false">
      <c r="A4366" s="27"/>
      <c r="E4366" s="28"/>
      <c r="F4366" s="28"/>
      <c r="I4366" s="28" t="str">
        <f aca="false">IF(A4366="","",D4366*E4366)</f>
        <v/>
      </c>
      <c r="J4366" s="28" t="str">
        <f aca="false">IF(A4366="","",D4366*F4366)</f>
        <v/>
      </c>
      <c r="K4366" s="0" t="str">
        <f aca="false">IF(A4366="","",YEAR(A4366))</f>
        <v/>
      </c>
      <c r="L4366" s="0" t="str">
        <f aca="false">IF(A4366="","",MONTH(A4366))</f>
        <v/>
      </c>
    </row>
    <row r="4367" customFormat="false" ht="15" hidden="false" customHeight="false" outlineLevel="0" collapsed="false">
      <c r="A4367" s="27"/>
      <c r="E4367" s="28"/>
      <c r="F4367" s="28"/>
      <c r="I4367" s="28" t="str">
        <f aca="false">IF(A4367="","",D4367*E4367)</f>
        <v/>
      </c>
      <c r="J4367" s="28" t="str">
        <f aca="false">IF(A4367="","",D4367*F4367)</f>
        <v/>
      </c>
      <c r="K4367" s="0" t="str">
        <f aca="false">IF(A4367="","",YEAR(A4367))</f>
        <v/>
      </c>
      <c r="L4367" s="0" t="str">
        <f aca="false">IF(A4367="","",MONTH(A4367))</f>
        <v/>
      </c>
    </row>
    <row r="4368" customFormat="false" ht="15" hidden="false" customHeight="false" outlineLevel="0" collapsed="false">
      <c r="A4368" s="27"/>
      <c r="E4368" s="28"/>
      <c r="F4368" s="28"/>
      <c r="I4368" s="28" t="str">
        <f aca="false">IF(A4368="","",D4368*E4368)</f>
        <v/>
      </c>
      <c r="J4368" s="28" t="str">
        <f aca="false">IF(A4368="","",D4368*F4368)</f>
        <v/>
      </c>
      <c r="K4368" s="0" t="str">
        <f aca="false">IF(A4368="","",YEAR(A4368))</f>
        <v/>
      </c>
      <c r="L4368" s="0" t="str">
        <f aca="false">IF(A4368="","",MONTH(A4368))</f>
        <v/>
      </c>
    </row>
    <row r="4369" customFormat="false" ht="15" hidden="false" customHeight="false" outlineLevel="0" collapsed="false">
      <c r="A4369" s="27"/>
      <c r="E4369" s="28"/>
      <c r="F4369" s="28"/>
      <c r="I4369" s="28" t="str">
        <f aca="false">IF(A4369="","",D4369*E4369)</f>
        <v/>
      </c>
      <c r="J4369" s="28" t="str">
        <f aca="false">IF(A4369="","",D4369*F4369)</f>
        <v/>
      </c>
      <c r="K4369" s="0" t="str">
        <f aca="false">IF(A4369="","",YEAR(A4369))</f>
        <v/>
      </c>
      <c r="L4369" s="0" t="str">
        <f aca="false">IF(A4369="","",MONTH(A4369))</f>
        <v/>
      </c>
    </row>
    <row r="4370" customFormat="false" ht="15" hidden="false" customHeight="false" outlineLevel="0" collapsed="false">
      <c r="A4370" s="27"/>
      <c r="E4370" s="28"/>
      <c r="F4370" s="28"/>
      <c r="I4370" s="28" t="str">
        <f aca="false">IF(A4370="","",D4370*E4370)</f>
        <v/>
      </c>
      <c r="J4370" s="28" t="str">
        <f aca="false">IF(A4370="","",D4370*F4370)</f>
        <v/>
      </c>
      <c r="K4370" s="0" t="str">
        <f aca="false">IF(A4370="","",YEAR(A4370))</f>
        <v/>
      </c>
      <c r="L4370" s="0" t="str">
        <f aca="false">IF(A4370="","",MONTH(A4370))</f>
        <v/>
      </c>
    </row>
    <row r="4371" customFormat="false" ht="15" hidden="false" customHeight="false" outlineLevel="0" collapsed="false">
      <c r="A4371" s="27"/>
      <c r="E4371" s="28"/>
      <c r="F4371" s="28"/>
      <c r="I4371" s="28" t="str">
        <f aca="false">IF(A4371="","",D4371*E4371)</f>
        <v/>
      </c>
      <c r="J4371" s="28" t="str">
        <f aca="false">IF(A4371="","",D4371*F4371)</f>
        <v/>
      </c>
      <c r="K4371" s="0" t="str">
        <f aca="false">IF(A4371="","",YEAR(A4371))</f>
        <v/>
      </c>
      <c r="L4371" s="0" t="str">
        <f aca="false">IF(A4371="","",MONTH(A4371))</f>
        <v/>
      </c>
    </row>
    <row r="4372" customFormat="false" ht="15" hidden="false" customHeight="false" outlineLevel="0" collapsed="false">
      <c r="A4372" s="27"/>
      <c r="E4372" s="28"/>
      <c r="F4372" s="28"/>
      <c r="I4372" s="28" t="str">
        <f aca="false">IF(A4372="","",D4372*E4372)</f>
        <v/>
      </c>
      <c r="J4372" s="28" t="str">
        <f aca="false">IF(A4372="","",D4372*F4372)</f>
        <v/>
      </c>
      <c r="K4372" s="0" t="str">
        <f aca="false">IF(A4372="","",YEAR(A4372))</f>
        <v/>
      </c>
      <c r="L4372" s="0" t="str">
        <f aca="false">IF(A4372="","",MONTH(A4372))</f>
        <v/>
      </c>
    </row>
    <row r="4373" customFormat="false" ht="15" hidden="false" customHeight="false" outlineLevel="0" collapsed="false">
      <c r="A4373" s="27"/>
      <c r="E4373" s="28"/>
      <c r="F4373" s="28"/>
      <c r="I4373" s="28" t="str">
        <f aca="false">IF(A4373="","",D4373*E4373)</f>
        <v/>
      </c>
      <c r="J4373" s="28" t="str">
        <f aca="false">IF(A4373="","",D4373*F4373)</f>
        <v/>
      </c>
      <c r="K4373" s="0" t="str">
        <f aca="false">IF(A4373="","",YEAR(A4373))</f>
        <v/>
      </c>
      <c r="L4373" s="0" t="str">
        <f aca="false">IF(A4373="","",MONTH(A4373))</f>
        <v/>
      </c>
    </row>
    <row r="4374" customFormat="false" ht="15" hidden="false" customHeight="false" outlineLevel="0" collapsed="false">
      <c r="A4374" s="27"/>
      <c r="E4374" s="28"/>
      <c r="F4374" s="28"/>
      <c r="I4374" s="28" t="str">
        <f aca="false">IF(A4374="","",D4374*E4374)</f>
        <v/>
      </c>
      <c r="J4374" s="28" t="str">
        <f aca="false">IF(A4374="","",D4374*F4374)</f>
        <v/>
      </c>
      <c r="K4374" s="0" t="str">
        <f aca="false">IF(A4374="","",YEAR(A4374))</f>
        <v/>
      </c>
      <c r="L4374" s="0" t="str">
        <f aca="false">IF(A4374="","",MONTH(A4374))</f>
        <v/>
      </c>
    </row>
    <row r="4375" customFormat="false" ht="15" hidden="false" customHeight="false" outlineLevel="0" collapsed="false">
      <c r="A4375" s="27"/>
      <c r="E4375" s="28"/>
      <c r="F4375" s="28"/>
      <c r="I4375" s="28" t="str">
        <f aca="false">IF(A4375="","",D4375*E4375)</f>
        <v/>
      </c>
      <c r="J4375" s="28" t="str">
        <f aca="false">IF(A4375="","",D4375*F4375)</f>
        <v/>
      </c>
      <c r="K4375" s="0" t="str">
        <f aca="false">IF(A4375="","",YEAR(A4375))</f>
        <v/>
      </c>
      <c r="L4375" s="0" t="str">
        <f aca="false">IF(A4375="","",MONTH(A4375))</f>
        <v/>
      </c>
    </row>
    <row r="4376" customFormat="false" ht="15" hidden="false" customHeight="false" outlineLevel="0" collapsed="false">
      <c r="A4376" s="27"/>
      <c r="E4376" s="28"/>
      <c r="F4376" s="28"/>
      <c r="I4376" s="28" t="str">
        <f aca="false">IF(A4376="","",D4376*E4376)</f>
        <v/>
      </c>
      <c r="J4376" s="28" t="str">
        <f aca="false">IF(A4376="","",D4376*F4376)</f>
        <v/>
      </c>
      <c r="K4376" s="0" t="str">
        <f aca="false">IF(A4376="","",YEAR(A4376))</f>
        <v/>
      </c>
      <c r="L4376" s="0" t="str">
        <f aca="false">IF(A4376="","",MONTH(A4376))</f>
        <v/>
      </c>
    </row>
    <row r="4377" customFormat="false" ht="15" hidden="false" customHeight="false" outlineLevel="0" collapsed="false">
      <c r="A4377" s="27"/>
      <c r="E4377" s="28"/>
      <c r="F4377" s="28"/>
      <c r="I4377" s="28" t="str">
        <f aca="false">IF(A4377="","",D4377*E4377)</f>
        <v/>
      </c>
      <c r="J4377" s="28" t="str">
        <f aca="false">IF(A4377="","",D4377*F4377)</f>
        <v/>
      </c>
      <c r="K4377" s="0" t="str">
        <f aca="false">IF(A4377="","",YEAR(A4377))</f>
        <v/>
      </c>
      <c r="L4377" s="0" t="str">
        <f aca="false">IF(A4377="","",MONTH(A4377))</f>
        <v/>
      </c>
    </row>
    <row r="4378" customFormat="false" ht="15" hidden="false" customHeight="false" outlineLevel="0" collapsed="false">
      <c r="A4378" s="27"/>
      <c r="E4378" s="28"/>
      <c r="F4378" s="28"/>
      <c r="I4378" s="28" t="str">
        <f aca="false">IF(A4378="","",D4378*E4378)</f>
        <v/>
      </c>
      <c r="J4378" s="28" t="str">
        <f aca="false">IF(A4378="","",D4378*F4378)</f>
        <v/>
      </c>
      <c r="K4378" s="0" t="str">
        <f aca="false">IF(A4378="","",YEAR(A4378))</f>
        <v/>
      </c>
      <c r="L4378" s="0" t="str">
        <f aca="false">IF(A4378="","",MONTH(A4378))</f>
        <v/>
      </c>
    </row>
    <row r="4379" customFormat="false" ht="15" hidden="false" customHeight="false" outlineLevel="0" collapsed="false">
      <c r="A4379" s="27"/>
      <c r="E4379" s="28"/>
      <c r="F4379" s="28"/>
      <c r="I4379" s="28" t="str">
        <f aca="false">IF(A4379="","",D4379*E4379)</f>
        <v/>
      </c>
      <c r="J4379" s="28" t="str">
        <f aca="false">IF(A4379="","",D4379*F4379)</f>
        <v/>
      </c>
      <c r="K4379" s="0" t="str">
        <f aca="false">IF(A4379="","",YEAR(A4379))</f>
        <v/>
      </c>
      <c r="L4379" s="0" t="str">
        <f aca="false">IF(A4379="","",MONTH(A4379))</f>
        <v/>
      </c>
    </row>
    <row r="4380" customFormat="false" ht="15" hidden="false" customHeight="false" outlineLevel="0" collapsed="false">
      <c r="A4380" s="27"/>
      <c r="E4380" s="28"/>
      <c r="F4380" s="28"/>
      <c r="I4380" s="28" t="str">
        <f aca="false">IF(A4380="","",D4380*E4380)</f>
        <v/>
      </c>
      <c r="J4380" s="28" t="str">
        <f aca="false">IF(A4380="","",D4380*F4380)</f>
        <v/>
      </c>
      <c r="K4380" s="0" t="str">
        <f aca="false">IF(A4380="","",YEAR(A4380))</f>
        <v/>
      </c>
      <c r="L4380" s="0" t="str">
        <f aca="false">IF(A4380="","",MONTH(A4380))</f>
        <v/>
      </c>
    </row>
    <row r="4381" customFormat="false" ht="15" hidden="false" customHeight="false" outlineLevel="0" collapsed="false">
      <c r="A4381" s="27"/>
      <c r="E4381" s="28"/>
      <c r="F4381" s="28"/>
      <c r="I4381" s="28" t="str">
        <f aca="false">IF(A4381="","",D4381*E4381)</f>
        <v/>
      </c>
      <c r="J4381" s="28" t="str">
        <f aca="false">IF(A4381="","",D4381*F4381)</f>
        <v/>
      </c>
      <c r="K4381" s="0" t="str">
        <f aca="false">IF(A4381="","",YEAR(A4381))</f>
        <v/>
      </c>
      <c r="L4381" s="0" t="str">
        <f aca="false">IF(A4381="","",MONTH(A4381))</f>
        <v/>
      </c>
    </row>
    <row r="4382" customFormat="false" ht="15" hidden="false" customHeight="false" outlineLevel="0" collapsed="false">
      <c r="A4382" s="27"/>
      <c r="E4382" s="28"/>
      <c r="F4382" s="28"/>
      <c r="I4382" s="28" t="str">
        <f aca="false">IF(A4382="","",D4382*E4382)</f>
        <v/>
      </c>
      <c r="J4382" s="28" t="str">
        <f aca="false">IF(A4382="","",D4382*F4382)</f>
        <v/>
      </c>
      <c r="K4382" s="0" t="str">
        <f aca="false">IF(A4382="","",YEAR(A4382))</f>
        <v/>
      </c>
      <c r="L4382" s="0" t="str">
        <f aca="false">IF(A4382="","",MONTH(A4382))</f>
        <v/>
      </c>
    </row>
    <row r="4383" customFormat="false" ht="15" hidden="false" customHeight="false" outlineLevel="0" collapsed="false">
      <c r="A4383" s="27"/>
      <c r="E4383" s="28"/>
      <c r="F4383" s="28"/>
      <c r="I4383" s="28" t="str">
        <f aca="false">IF(A4383="","",D4383*E4383)</f>
        <v/>
      </c>
      <c r="J4383" s="28" t="str">
        <f aca="false">IF(A4383="","",D4383*F4383)</f>
        <v/>
      </c>
      <c r="K4383" s="0" t="str">
        <f aca="false">IF(A4383="","",YEAR(A4383))</f>
        <v/>
      </c>
      <c r="L4383" s="0" t="str">
        <f aca="false">IF(A4383="","",MONTH(A4383))</f>
        <v/>
      </c>
    </row>
    <row r="4384" customFormat="false" ht="15" hidden="false" customHeight="false" outlineLevel="0" collapsed="false">
      <c r="A4384" s="27"/>
      <c r="E4384" s="28"/>
      <c r="F4384" s="28"/>
      <c r="I4384" s="28" t="str">
        <f aca="false">IF(A4384="","",D4384*E4384)</f>
        <v/>
      </c>
      <c r="J4384" s="28" t="str">
        <f aca="false">IF(A4384="","",D4384*F4384)</f>
        <v/>
      </c>
      <c r="K4384" s="0" t="str">
        <f aca="false">IF(A4384="","",YEAR(A4384))</f>
        <v/>
      </c>
      <c r="L4384" s="0" t="str">
        <f aca="false">IF(A4384="","",MONTH(A4384))</f>
        <v/>
      </c>
    </row>
    <row r="4385" customFormat="false" ht="15" hidden="false" customHeight="false" outlineLevel="0" collapsed="false">
      <c r="A4385" s="27"/>
      <c r="E4385" s="28"/>
      <c r="F4385" s="28"/>
      <c r="I4385" s="28" t="str">
        <f aca="false">IF(A4385="","",D4385*E4385)</f>
        <v/>
      </c>
      <c r="J4385" s="28" t="str">
        <f aca="false">IF(A4385="","",D4385*F4385)</f>
        <v/>
      </c>
      <c r="K4385" s="0" t="str">
        <f aca="false">IF(A4385="","",YEAR(A4385))</f>
        <v/>
      </c>
      <c r="L4385" s="0" t="str">
        <f aca="false">IF(A4385="","",MONTH(A4385))</f>
        <v/>
      </c>
    </row>
    <row r="4386" customFormat="false" ht="15" hidden="false" customHeight="false" outlineLevel="0" collapsed="false">
      <c r="A4386" s="27"/>
      <c r="E4386" s="28"/>
      <c r="F4386" s="28"/>
      <c r="I4386" s="28" t="str">
        <f aca="false">IF(A4386="","",D4386*E4386)</f>
        <v/>
      </c>
      <c r="J4386" s="28" t="str">
        <f aca="false">IF(A4386="","",D4386*F4386)</f>
        <v/>
      </c>
      <c r="K4386" s="0" t="str">
        <f aca="false">IF(A4386="","",YEAR(A4386))</f>
        <v/>
      </c>
      <c r="L4386" s="0" t="str">
        <f aca="false">IF(A4386="","",MONTH(A4386))</f>
        <v/>
      </c>
    </row>
    <row r="4387" customFormat="false" ht="15" hidden="false" customHeight="false" outlineLevel="0" collapsed="false">
      <c r="A4387" s="27"/>
      <c r="E4387" s="28"/>
      <c r="F4387" s="28"/>
      <c r="I4387" s="28" t="str">
        <f aca="false">IF(A4387="","",D4387*E4387)</f>
        <v/>
      </c>
      <c r="J4387" s="28" t="str">
        <f aca="false">IF(A4387="","",D4387*F4387)</f>
        <v/>
      </c>
      <c r="K4387" s="0" t="str">
        <f aca="false">IF(A4387="","",YEAR(A4387))</f>
        <v/>
      </c>
      <c r="L4387" s="0" t="str">
        <f aca="false">IF(A4387="","",MONTH(A4387))</f>
        <v/>
      </c>
    </row>
    <row r="4388" customFormat="false" ht="15" hidden="false" customHeight="false" outlineLevel="0" collapsed="false">
      <c r="A4388" s="27"/>
      <c r="E4388" s="28"/>
      <c r="F4388" s="28"/>
      <c r="I4388" s="28" t="str">
        <f aca="false">IF(A4388="","",D4388*E4388)</f>
        <v/>
      </c>
      <c r="J4388" s="28" t="str">
        <f aca="false">IF(A4388="","",D4388*F4388)</f>
        <v/>
      </c>
      <c r="K4388" s="0" t="str">
        <f aca="false">IF(A4388="","",YEAR(A4388))</f>
        <v/>
      </c>
      <c r="L4388" s="0" t="str">
        <f aca="false">IF(A4388="","",MONTH(A4388))</f>
        <v/>
      </c>
    </row>
    <row r="4389" customFormat="false" ht="15" hidden="false" customHeight="false" outlineLevel="0" collapsed="false">
      <c r="A4389" s="27"/>
      <c r="E4389" s="28"/>
      <c r="F4389" s="28"/>
      <c r="I4389" s="28" t="str">
        <f aca="false">IF(A4389="","",D4389*E4389)</f>
        <v/>
      </c>
      <c r="J4389" s="28" t="str">
        <f aca="false">IF(A4389="","",D4389*F4389)</f>
        <v/>
      </c>
      <c r="K4389" s="0" t="str">
        <f aca="false">IF(A4389="","",YEAR(A4389))</f>
        <v/>
      </c>
      <c r="L4389" s="0" t="str">
        <f aca="false">IF(A4389="","",MONTH(A4389))</f>
        <v/>
      </c>
    </row>
    <row r="4390" customFormat="false" ht="15" hidden="false" customHeight="false" outlineLevel="0" collapsed="false">
      <c r="A4390" s="27"/>
      <c r="E4390" s="28"/>
      <c r="F4390" s="28"/>
      <c r="I4390" s="28" t="str">
        <f aca="false">IF(A4390="","",D4390*E4390)</f>
        <v/>
      </c>
      <c r="J4390" s="28" t="str">
        <f aca="false">IF(A4390="","",D4390*F4390)</f>
        <v/>
      </c>
      <c r="K4390" s="0" t="str">
        <f aca="false">IF(A4390="","",YEAR(A4390))</f>
        <v/>
      </c>
      <c r="L4390" s="0" t="str">
        <f aca="false">IF(A4390="","",MONTH(A4390))</f>
        <v/>
      </c>
    </row>
    <row r="4391" customFormat="false" ht="15" hidden="false" customHeight="false" outlineLevel="0" collapsed="false">
      <c r="A4391" s="27"/>
      <c r="E4391" s="28"/>
      <c r="F4391" s="28"/>
      <c r="I4391" s="28" t="str">
        <f aca="false">IF(A4391="","",D4391*E4391)</f>
        <v/>
      </c>
      <c r="J4391" s="28" t="str">
        <f aca="false">IF(A4391="","",D4391*F4391)</f>
        <v/>
      </c>
      <c r="K4391" s="0" t="str">
        <f aca="false">IF(A4391="","",YEAR(A4391))</f>
        <v/>
      </c>
      <c r="L4391" s="0" t="str">
        <f aca="false">IF(A4391="","",MONTH(A4391))</f>
        <v/>
      </c>
    </row>
    <row r="4392" customFormat="false" ht="15" hidden="false" customHeight="false" outlineLevel="0" collapsed="false">
      <c r="A4392" s="27"/>
      <c r="E4392" s="28"/>
      <c r="F4392" s="28"/>
      <c r="I4392" s="28" t="str">
        <f aca="false">IF(A4392="","",D4392*E4392)</f>
        <v/>
      </c>
      <c r="J4392" s="28" t="str">
        <f aca="false">IF(A4392="","",D4392*F4392)</f>
        <v/>
      </c>
      <c r="K4392" s="0" t="str">
        <f aca="false">IF(A4392="","",YEAR(A4392))</f>
        <v/>
      </c>
      <c r="L4392" s="0" t="str">
        <f aca="false">IF(A4392="","",MONTH(A4392))</f>
        <v/>
      </c>
    </row>
    <row r="4393" customFormat="false" ht="15" hidden="false" customHeight="false" outlineLevel="0" collapsed="false">
      <c r="A4393" s="27"/>
      <c r="E4393" s="28"/>
      <c r="F4393" s="28"/>
      <c r="I4393" s="28" t="str">
        <f aca="false">IF(A4393="","",D4393*E4393)</f>
        <v/>
      </c>
      <c r="J4393" s="28" t="str">
        <f aca="false">IF(A4393="","",D4393*F4393)</f>
        <v/>
      </c>
      <c r="K4393" s="0" t="str">
        <f aca="false">IF(A4393="","",YEAR(A4393))</f>
        <v/>
      </c>
      <c r="L4393" s="0" t="str">
        <f aca="false">IF(A4393="","",MONTH(A4393))</f>
        <v/>
      </c>
    </row>
    <row r="4394" customFormat="false" ht="15" hidden="false" customHeight="false" outlineLevel="0" collapsed="false">
      <c r="A4394" s="27"/>
      <c r="E4394" s="28"/>
      <c r="F4394" s="28"/>
      <c r="I4394" s="28" t="str">
        <f aca="false">IF(A4394="","",D4394*E4394)</f>
        <v/>
      </c>
      <c r="J4394" s="28" t="str">
        <f aca="false">IF(A4394="","",D4394*F4394)</f>
        <v/>
      </c>
      <c r="K4394" s="0" t="str">
        <f aca="false">IF(A4394="","",YEAR(A4394))</f>
        <v/>
      </c>
      <c r="L4394" s="0" t="str">
        <f aca="false">IF(A4394="","",MONTH(A4394))</f>
        <v/>
      </c>
    </row>
    <row r="4395" customFormat="false" ht="15" hidden="false" customHeight="false" outlineLevel="0" collapsed="false">
      <c r="A4395" s="27"/>
      <c r="E4395" s="28"/>
      <c r="F4395" s="28"/>
      <c r="I4395" s="28" t="str">
        <f aca="false">IF(A4395="","",D4395*E4395)</f>
        <v/>
      </c>
      <c r="J4395" s="28" t="str">
        <f aca="false">IF(A4395="","",D4395*F4395)</f>
        <v/>
      </c>
      <c r="K4395" s="0" t="str">
        <f aca="false">IF(A4395="","",YEAR(A4395))</f>
        <v/>
      </c>
      <c r="L4395" s="0" t="str">
        <f aca="false">IF(A4395="","",MONTH(A4395))</f>
        <v/>
      </c>
    </row>
    <row r="4396" customFormat="false" ht="15" hidden="false" customHeight="false" outlineLevel="0" collapsed="false">
      <c r="A4396" s="27"/>
      <c r="E4396" s="28"/>
      <c r="F4396" s="28"/>
      <c r="I4396" s="28" t="str">
        <f aca="false">IF(A4396="","",D4396*E4396)</f>
        <v/>
      </c>
      <c r="J4396" s="28" t="str">
        <f aca="false">IF(A4396="","",D4396*F4396)</f>
        <v/>
      </c>
      <c r="K4396" s="0" t="str">
        <f aca="false">IF(A4396="","",YEAR(A4396))</f>
        <v/>
      </c>
      <c r="L4396" s="0" t="str">
        <f aca="false">IF(A4396="","",MONTH(A4396))</f>
        <v/>
      </c>
    </row>
    <row r="4397" customFormat="false" ht="15" hidden="false" customHeight="false" outlineLevel="0" collapsed="false">
      <c r="A4397" s="27"/>
      <c r="E4397" s="28"/>
      <c r="F4397" s="28"/>
      <c r="I4397" s="28" t="str">
        <f aca="false">IF(A4397="","",D4397*E4397)</f>
        <v/>
      </c>
      <c r="J4397" s="28" t="str">
        <f aca="false">IF(A4397="","",D4397*F4397)</f>
        <v/>
      </c>
      <c r="K4397" s="0" t="str">
        <f aca="false">IF(A4397="","",YEAR(A4397))</f>
        <v/>
      </c>
      <c r="L4397" s="0" t="str">
        <f aca="false">IF(A4397="","",MONTH(A4397))</f>
        <v/>
      </c>
    </row>
    <row r="4398" customFormat="false" ht="15" hidden="false" customHeight="false" outlineLevel="0" collapsed="false">
      <c r="A4398" s="27"/>
      <c r="E4398" s="28"/>
      <c r="F4398" s="28"/>
      <c r="I4398" s="28" t="str">
        <f aca="false">IF(A4398="","",D4398*E4398)</f>
        <v/>
      </c>
      <c r="J4398" s="28" t="str">
        <f aca="false">IF(A4398="","",D4398*F4398)</f>
        <v/>
      </c>
      <c r="K4398" s="0" t="str">
        <f aca="false">IF(A4398="","",YEAR(A4398))</f>
        <v/>
      </c>
      <c r="L4398" s="0" t="str">
        <f aca="false">IF(A4398="","",MONTH(A4398))</f>
        <v/>
      </c>
    </row>
    <row r="4399" customFormat="false" ht="15" hidden="false" customHeight="false" outlineLevel="0" collapsed="false">
      <c r="A4399" s="27"/>
      <c r="E4399" s="28"/>
      <c r="F4399" s="28"/>
      <c r="I4399" s="28" t="str">
        <f aca="false">IF(A4399="","",D4399*E4399)</f>
        <v/>
      </c>
      <c r="J4399" s="28" t="str">
        <f aca="false">IF(A4399="","",D4399*F4399)</f>
        <v/>
      </c>
      <c r="K4399" s="0" t="str">
        <f aca="false">IF(A4399="","",YEAR(A4399))</f>
        <v/>
      </c>
      <c r="L4399" s="0" t="str">
        <f aca="false">IF(A4399="","",MONTH(A4399))</f>
        <v/>
      </c>
    </row>
    <row r="4400" customFormat="false" ht="15" hidden="false" customHeight="false" outlineLevel="0" collapsed="false">
      <c r="A4400" s="27"/>
      <c r="E4400" s="28"/>
      <c r="F4400" s="28"/>
      <c r="I4400" s="28" t="str">
        <f aca="false">IF(A4400="","",D4400*E4400)</f>
        <v/>
      </c>
      <c r="J4400" s="28" t="str">
        <f aca="false">IF(A4400="","",D4400*F4400)</f>
        <v/>
      </c>
      <c r="K4400" s="0" t="str">
        <f aca="false">IF(A4400="","",YEAR(A4400))</f>
        <v/>
      </c>
      <c r="L4400" s="0" t="str">
        <f aca="false">IF(A4400="","",MONTH(A4400))</f>
        <v/>
      </c>
    </row>
    <row r="4401" customFormat="false" ht="15" hidden="false" customHeight="false" outlineLevel="0" collapsed="false">
      <c r="A4401" s="27"/>
      <c r="E4401" s="28"/>
      <c r="F4401" s="28"/>
      <c r="I4401" s="28" t="str">
        <f aca="false">IF(A4401="","",D4401*E4401)</f>
        <v/>
      </c>
      <c r="J4401" s="28" t="str">
        <f aca="false">IF(A4401="","",D4401*F4401)</f>
        <v/>
      </c>
      <c r="K4401" s="0" t="str">
        <f aca="false">IF(A4401="","",YEAR(A4401))</f>
        <v/>
      </c>
      <c r="L4401" s="0" t="str">
        <f aca="false">IF(A4401="","",MONTH(A4401))</f>
        <v/>
      </c>
    </row>
    <row r="4402" customFormat="false" ht="15" hidden="false" customHeight="false" outlineLevel="0" collapsed="false">
      <c r="A4402" s="27"/>
      <c r="E4402" s="28"/>
      <c r="F4402" s="28"/>
      <c r="I4402" s="28" t="str">
        <f aca="false">IF(A4402="","",D4402*E4402)</f>
        <v/>
      </c>
      <c r="J4402" s="28" t="str">
        <f aca="false">IF(A4402="","",D4402*F4402)</f>
        <v/>
      </c>
      <c r="K4402" s="0" t="str">
        <f aca="false">IF(A4402="","",YEAR(A4402))</f>
        <v/>
      </c>
      <c r="L4402" s="0" t="str">
        <f aca="false">IF(A4402="","",MONTH(A4402))</f>
        <v/>
      </c>
    </row>
    <row r="4403" customFormat="false" ht="15" hidden="false" customHeight="false" outlineLevel="0" collapsed="false">
      <c r="A4403" s="27"/>
      <c r="E4403" s="28"/>
      <c r="F4403" s="28"/>
      <c r="I4403" s="28" t="str">
        <f aca="false">IF(A4403="","",D4403*E4403)</f>
        <v/>
      </c>
      <c r="J4403" s="28" t="str">
        <f aca="false">IF(A4403="","",D4403*F4403)</f>
        <v/>
      </c>
      <c r="K4403" s="0" t="str">
        <f aca="false">IF(A4403="","",YEAR(A4403))</f>
        <v/>
      </c>
      <c r="L4403" s="0" t="str">
        <f aca="false">IF(A4403="","",MONTH(A4403))</f>
        <v/>
      </c>
    </row>
    <row r="4404" customFormat="false" ht="15" hidden="false" customHeight="false" outlineLevel="0" collapsed="false">
      <c r="A4404" s="27"/>
      <c r="E4404" s="28"/>
      <c r="F4404" s="28"/>
      <c r="I4404" s="28" t="str">
        <f aca="false">IF(A4404="","",D4404*E4404)</f>
        <v/>
      </c>
      <c r="J4404" s="28" t="str">
        <f aca="false">IF(A4404="","",D4404*F4404)</f>
        <v/>
      </c>
      <c r="K4404" s="0" t="str">
        <f aca="false">IF(A4404="","",YEAR(A4404))</f>
        <v/>
      </c>
      <c r="L4404" s="0" t="str">
        <f aca="false">IF(A4404="","",MONTH(A4404))</f>
        <v/>
      </c>
    </row>
    <row r="4405" customFormat="false" ht="15" hidden="false" customHeight="false" outlineLevel="0" collapsed="false">
      <c r="A4405" s="27"/>
      <c r="E4405" s="28"/>
      <c r="F4405" s="28"/>
      <c r="I4405" s="28" t="str">
        <f aca="false">IF(A4405="","",D4405*E4405)</f>
        <v/>
      </c>
      <c r="J4405" s="28" t="str">
        <f aca="false">IF(A4405="","",D4405*F4405)</f>
        <v/>
      </c>
      <c r="K4405" s="0" t="str">
        <f aca="false">IF(A4405="","",YEAR(A4405))</f>
        <v/>
      </c>
      <c r="L4405" s="0" t="str">
        <f aca="false">IF(A4405="","",MONTH(A4405))</f>
        <v/>
      </c>
    </row>
    <row r="4406" customFormat="false" ht="15" hidden="false" customHeight="false" outlineLevel="0" collapsed="false">
      <c r="A4406" s="27"/>
      <c r="E4406" s="28"/>
      <c r="F4406" s="28"/>
      <c r="I4406" s="28" t="str">
        <f aca="false">IF(A4406="","",D4406*E4406)</f>
        <v/>
      </c>
      <c r="J4406" s="28" t="str">
        <f aca="false">IF(A4406="","",D4406*F4406)</f>
        <v/>
      </c>
      <c r="K4406" s="0" t="str">
        <f aca="false">IF(A4406="","",YEAR(A4406))</f>
        <v/>
      </c>
      <c r="L4406" s="0" t="str">
        <f aca="false">IF(A4406="","",MONTH(A4406))</f>
        <v/>
      </c>
    </row>
    <row r="4407" customFormat="false" ht="15" hidden="false" customHeight="false" outlineLevel="0" collapsed="false">
      <c r="A4407" s="27"/>
      <c r="E4407" s="28"/>
      <c r="F4407" s="28"/>
      <c r="I4407" s="28" t="str">
        <f aca="false">IF(A4407="","",D4407*E4407)</f>
        <v/>
      </c>
      <c r="J4407" s="28" t="str">
        <f aca="false">IF(A4407="","",D4407*F4407)</f>
        <v/>
      </c>
      <c r="K4407" s="0" t="str">
        <f aca="false">IF(A4407="","",YEAR(A4407))</f>
        <v/>
      </c>
      <c r="L4407" s="0" t="str">
        <f aca="false">IF(A4407="","",MONTH(A4407))</f>
        <v/>
      </c>
    </row>
    <row r="4408" customFormat="false" ht="15" hidden="false" customHeight="false" outlineLevel="0" collapsed="false">
      <c r="A4408" s="27"/>
      <c r="E4408" s="28"/>
      <c r="F4408" s="28"/>
      <c r="I4408" s="28" t="str">
        <f aca="false">IF(A4408="","",D4408*E4408)</f>
        <v/>
      </c>
      <c r="J4408" s="28" t="str">
        <f aca="false">IF(A4408="","",D4408*F4408)</f>
        <v/>
      </c>
      <c r="K4408" s="0" t="str">
        <f aca="false">IF(A4408="","",YEAR(A4408))</f>
        <v/>
      </c>
      <c r="L4408" s="0" t="str">
        <f aca="false">IF(A4408="","",MONTH(A4408))</f>
        <v/>
      </c>
    </row>
    <row r="4409" customFormat="false" ht="15" hidden="false" customHeight="false" outlineLevel="0" collapsed="false">
      <c r="A4409" s="27"/>
      <c r="E4409" s="28"/>
      <c r="F4409" s="28"/>
      <c r="I4409" s="28" t="str">
        <f aca="false">IF(A4409="","",D4409*E4409)</f>
        <v/>
      </c>
      <c r="J4409" s="28" t="str">
        <f aca="false">IF(A4409="","",D4409*F4409)</f>
        <v/>
      </c>
      <c r="K4409" s="0" t="str">
        <f aca="false">IF(A4409="","",YEAR(A4409))</f>
        <v/>
      </c>
      <c r="L4409" s="0" t="str">
        <f aca="false">IF(A4409="","",MONTH(A4409))</f>
        <v/>
      </c>
    </row>
    <row r="4410" customFormat="false" ht="15" hidden="false" customHeight="false" outlineLevel="0" collapsed="false">
      <c r="A4410" s="27"/>
      <c r="E4410" s="28"/>
      <c r="F4410" s="28"/>
      <c r="I4410" s="28" t="str">
        <f aca="false">IF(A4410="","",D4410*E4410)</f>
        <v/>
      </c>
      <c r="J4410" s="28" t="str">
        <f aca="false">IF(A4410="","",D4410*F4410)</f>
        <v/>
      </c>
      <c r="K4410" s="0" t="str">
        <f aca="false">IF(A4410="","",YEAR(A4410))</f>
        <v/>
      </c>
      <c r="L4410" s="0" t="str">
        <f aca="false">IF(A4410="","",MONTH(A4410))</f>
        <v/>
      </c>
    </row>
    <row r="4411" customFormat="false" ht="15" hidden="false" customHeight="false" outlineLevel="0" collapsed="false">
      <c r="A4411" s="27"/>
      <c r="E4411" s="28"/>
      <c r="F4411" s="28"/>
      <c r="I4411" s="28" t="str">
        <f aca="false">IF(A4411="","",D4411*E4411)</f>
        <v/>
      </c>
      <c r="J4411" s="28" t="str">
        <f aca="false">IF(A4411="","",D4411*F4411)</f>
        <v/>
      </c>
      <c r="K4411" s="0" t="str">
        <f aca="false">IF(A4411="","",YEAR(A4411))</f>
        <v/>
      </c>
      <c r="L4411" s="0" t="str">
        <f aca="false">IF(A4411="","",MONTH(A4411))</f>
        <v/>
      </c>
    </row>
    <row r="4412" customFormat="false" ht="15" hidden="false" customHeight="false" outlineLevel="0" collapsed="false">
      <c r="A4412" s="27"/>
      <c r="E4412" s="28"/>
      <c r="F4412" s="28"/>
      <c r="I4412" s="28" t="str">
        <f aca="false">IF(A4412="","",D4412*E4412)</f>
        <v/>
      </c>
      <c r="J4412" s="28" t="str">
        <f aca="false">IF(A4412="","",D4412*F4412)</f>
        <v/>
      </c>
      <c r="K4412" s="0" t="str">
        <f aca="false">IF(A4412="","",YEAR(A4412))</f>
        <v/>
      </c>
      <c r="L4412" s="0" t="str">
        <f aca="false">IF(A4412="","",MONTH(A4412))</f>
        <v/>
      </c>
    </row>
    <row r="4413" customFormat="false" ht="15" hidden="false" customHeight="false" outlineLevel="0" collapsed="false">
      <c r="A4413" s="27"/>
      <c r="E4413" s="28"/>
      <c r="F4413" s="28"/>
      <c r="I4413" s="28" t="str">
        <f aca="false">IF(A4413="","",D4413*E4413)</f>
        <v/>
      </c>
      <c r="J4413" s="28" t="str">
        <f aca="false">IF(A4413="","",D4413*F4413)</f>
        <v/>
      </c>
      <c r="K4413" s="0" t="str">
        <f aca="false">IF(A4413="","",YEAR(A4413))</f>
        <v/>
      </c>
      <c r="L4413" s="0" t="str">
        <f aca="false">IF(A4413="","",MONTH(A4413))</f>
        <v/>
      </c>
    </row>
    <row r="4414" customFormat="false" ht="15" hidden="false" customHeight="false" outlineLevel="0" collapsed="false">
      <c r="A4414" s="27"/>
      <c r="E4414" s="28"/>
      <c r="F4414" s="28"/>
      <c r="I4414" s="28" t="str">
        <f aca="false">IF(A4414="","",D4414*E4414)</f>
        <v/>
      </c>
      <c r="J4414" s="28" t="str">
        <f aca="false">IF(A4414="","",D4414*F4414)</f>
        <v/>
      </c>
      <c r="K4414" s="0" t="str">
        <f aca="false">IF(A4414="","",YEAR(A4414))</f>
        <v/>
      </c>
      <c r="L4414" s="0" t="str">
        <f aca="false">IF(A4414="","",MONTH(A4414))</f>
        <v/>
      </c>
    </row>
    <row r="4415" customFormat="false" ht="15" hidden="false" customHeight="false" outlineLevel="0" collapsed="false">
      <c r="A4415" s="27"/>
      <c r="E4415" s="28"/>
      <c r="F4415" s="28"/>
      <c r="I4415" s="28" t="str">
        <f aca="false">IF(A4415="","",D4415*E4415)</f>
        <v/>
      </c>
      <c r="J4415" s="28" t="str">
        <f aca="false">IF(A4415="","",D4415*F4415)</f>
        <v/>
      </c>
      <c r="K4415" s="0" t="str">
        <f aca="false">IF(A4415="","",YEAR(A4415))</f>
        <v/>
      </c>
      <c r="L4415" s="0" t="str">
        <f aca="false">IF(A4415="","",MONTH(A4415))</f>
        <v/>
      </c>
    </row>
    <row r="4416" customFormat="false" ht="15" hidden="false" customHeight="false" outlineLevel="0" collapsed="false">
      <c r="A4416" s="27"/>
      <c r="E4416" s="28"/>
      <c r="F4416" s="28"/>
      <c r="I4416" s="28" t="str">
        <f aca="false">IF(A4416="","",D4416*E4416)</f>
        <v/>
      </c>
      <c r="J4416" s="28" t="str">
        <f aca="false">IF(A4416="","",D4416*F4416)</f>
        <v/>
      </c>
      <c r="K4416" s="0" t="str">
        <f aca="false">IF(A4416="","",YEAR(A4416))</f>
        <v/>
      </c>
      <c r="L4416" s="0" t="str">
        <f aca="false">IF(A4416="","",MONTH(A4416))</f>
        <v/>
      </c>
    </row>
    <row r="4417" customFormat="false" ht="15" hidden="false" customHeight="false" outlineLevel="0" collapsed="false">
      <c r="A4417" s="27"/>
      <c r="E4417" s="28"/>
      <c r="F4417" s="28"/>
      <c r="I4417" s="28" t="str">
        <f aca="false">IF(A4417="","",D4417*E4417)</f>
        <v/>
      </c>
      <c r="J4417" s="28" t="str">
        <f aca="false">IF(A4417="","",D4417*F4417)</f>
        <v/>
      </c>
      <c r="K4417" s="0" t="str">
        <f aca="false">IF(A4417="","",YEAR(A4417))</f>
        <v/>
      </c>
      <c r="L4417" s="0" t="str">
        <f aca="false">IF(A4417="","",MONTH(A4417))</f>
        <v/>
      </c>
    </row>
    <row r="4418" customFormat="false" ht="15" hidden="false" customHeight="false" outlineLevel="0" collapsed="false">
      <c r="A4418" s="27"/>
      <c r="E4418" s="28"/>
      <c r="F4418" s="28"/>
      <c r="I4418" s="28" t="str">
        <f aca="false">IF(A4418="","",D4418*E4418)</f>
        <v/>
      </c>
      <c r="J4418" s="28" t="str">
        <f aca="false">IF(A4418="","",D4418*F4418)</f>
        <v/>
      </c>
      <c r="K4418" s="0" t="str">
        <f aca="false">IF(A4418="","",YEAR(A4418))</f>
        <v/>
      </c>
      <c r="L4418" s="0" t="str">
        <f aca="false">IF(A4418="","",MONTH(A4418))</f>
        <v/>
      </c>
    </row>
    <row r="4419" customFormat="false" ht="15" hidden="false" customHeight="false" outlineLevel="0" collapsed="false">
      <c r="A4419" s="27"/>
      <c r="E4419" s="28"/>
      <c r="F4419" s="28"/>
      <c r="I4419" s="28" t="str">
        <f aca="false">IF(A4419="","",D4419*E4419)</f>
        <v/>
      </c>
      <c r="J4419" s="28" t="str">
        <f aca="false">IF(A4419="","",D4419*F4419)</f>
        <v/>
      </c>
      <c r="K4419" s="0" t="str">
        <f aca="false">IF(A4419="","",YEAR(A4419))</f>
        <v/>
      </c>
      <c r="L4419" s="0" t="str">
        <f aca="false">IF(A4419="","",MONTH(A4419))</f>
        <v/>
      </c>
    </row>
    <row r="4420" customFormat="false" ht="15" hidden="false" customHeight="false" outlineLevel="0" collapsed="false">
      <c r="A4420" s="27"/>
      <c r="E4420" s="28"/>
      <c r="F4420" s="28"/>
      <c r="I4420" s="28" t="str">
        <f aca="false">IF(A4420="","",D4420*E4420)</f>
        <v/>
      </c>
      <c r="J4420" s="28" t="str">
        <f aca="false">IF(A4420="","",D4420*F4420)</f>
        <v/>
      </c>
      <c r="K4420" s="0" t="str">
        <f aca="false">IF(A4420="","",YEAR(A4420))</f>
        <v/>
      </c>
      <c r="L4420" s="0" t="str">
        <f aca="false">IF(A4420="","",MONTH(A4420))</f>
        <v/>
      </c>
    </row>
    <row r="4421" customFormat="false" ht="15" hidden="false" customHeight="false" outlineLevel="0" collapsed="false">
      <c r="A4421" s="27"/>
      <c r="E4421" s="28"/>
      <c r="F4421" s="28"/>
      <c r="I4421" s="28" t="str">
        <f aca="false">IF(A4421="","",D4421*E4421)</f>
        <v/>
      </c>
      <c r="J4421" s="28" t="str">
        <f aca="false">IF(A4421="","",D4421*F4421)</f>
        <v/>
      </c>
      <c r="K4421" s="0" t="str">
        <f aca="false">IF(A4421="","",YEAR(A4421))</f>
        <v/>
      </c>
      <c r="L4421" s="0" t="str">
        <f aca="false">IF(A4421="","",MONTH(A4421))</f>
        <v/>
      </c>
    </row>
    <row r="4422" customFormat="false" ht="15" hidden="false" customHeight="false" outlineLevel="0" collapsed="false">
      <c r="A4422" s="27"/>
      <c r="E4422" s="28"/>
      <c r="F4422" s="28"/>
      <c r="I4422" s="28" t="str">
        <f aca="false">IF(A4422="","",D4422*E4422)</f>
        <v/>
      </c>
      <c r="J4422" s="28" t="str">
        <f aca="false">IF(A4422="","",D4422*F4422)</f>
        <v/>
      </c>
      <c r="K4422" s="0" t="str">
        <f aca="false">IF(A4422="","",YEAR(A4422))</f>
        <v/>
      </c>
      <c r="L4422" s="0" t="str">
        <f aca="false">IF(A4422="","",MONTH(A4422))</f>
        <v/>
      </c>
    </row>
    <row r="4423" customFormat="false" ht="15" hidden="false" customHeight="false" outlineLevel="0" collapsed="false">
      <c r="A4423" s="27"/>
      <c r="E4423" s="28"/>
      <c r="F4423" s="28"/>
      <c r="I4423" s="28" t="str">
        <f aca="false">IF(A4423="","",D4423*E4423)</f>
        <v/>
      </c>
      <c r="J4423" s="28" t="str">
        <f aca="false">IF(A4423="","",D4423*F4423)</f>
        <v/>
      </c>
      <c r="K4423" s="0" t="str">
        <f aca="false">IF(A4423="","",YEAR(A4423))</f>
        <v/>
      </c>
      <c r="L4423" s="0" t="str">
        <f aca="false">IF(A4423="","",MONTH(A4423))</f>
        <v/>
      </c>
    </row>
    <row r="4424" customFormat="false" ht="15" hidden="false" customHeight="false" outlineLevel="0" collapsed="false">
      <c r="A4424" s="27"/>
      <c r="E4424" s="28"/>
      <c r="F4424" s="28"/>
      <c r="I4424" s="28" t="str">
        <f aca="false">IF(A4424="","",D4424*E4424)</f>
        <v/>
      </c>
      <c r="J4424" s="28" t="str">
        <f aca="false">IF(A4424="","",D4424*F4424)</f>
        <v/>
      </c>
      <c r="K4424" s="0" t="str">
        <f aca="false">IF(A4424="","",YEAR(A4424))</f>
        <v/>
      </c>
      <c r="L4424" s="0" t="str">
        <f aca="false">IF(A4424="","",MONTH(A4424))</f>
        <v/>
      </c>
    </row>
    <row r="4425" customFormat="false" ht="15" hidden="false" customHeight="false" outlineLevel="0" collapsed="false">
      <c r="A4425" s="27"/>
      <c r="E4425" s="28"/>
      <c r="F4425" s="28"/>
      <c r="I4425" s="28" t="str">
        <f aca="false">IF(A4425="","",D4425*E4425)</f>
        <v/>
      </c>
      <c r="J4425" s="28" t="str">
        <f aca="false">IF(A4425="","",D4425*F4425)</f>
        <v/>
      </c>
      <c r="K4425" s="0" t="str">
        <f aca="false">IF(A4425="","",YEAR(A4425))</f>
        <v/>
      </c>
      <c r="L4425" s="0" t="str">
        <f aca="false">IF(A4425="","",MONTH(A4425))</f>
        <v/>
      </c>
    </row>
    <row r="4426" customFormat="false" ht="15" hidden="false" customHeight="false" outlineLevel="0" collapsed="false">
      <c r="A4426" s="27"/>
      <c r="E4426" s="28"/>
      <c r="F4426" s="28"/>
      <c r="I4426" s="28" t="str">
        <f aca="false">IF(A4426="","",D4426*E4426)</f>
        <v/>
      </c>
      <c r="J4426" s="28" t="str">
        <f aca="false">IF(A4426="","",D4426*F4426)</f>
        <v/>
      </c>
      <c r="K4426" s="0" t="str">
        <f aca="false">IF(A4426="","",YEAR(A4426))</f>
        <v/>
      </c>
      <c r="L4426" s="0" t="str">
        <f aca="false">IF(A4426="","",MONTH(A4426))</f>
        <v/>
      </c>
    </row>
    <row r="4427" customFormat="false" ht="15" hidden="false" customHeight="false" outlineLevel="0" collapsed="false">
      <c r="A4427" s="27"/>
      <c r="E4427" s="28"/>
      <c r="F4427" s="28"/>
      <c r="I4427" s="28" t="str">
        <f aca="false">IF(A4427="","",D4427*E4427)</f>
        <v/>
      </c>
      <c r="J4427" s="28" t="str">
        <f aca="false">IF(A4427="","",D4427*F4427)</f>
        <v/>
      </c>
      <c r="K4427" s="0" t="str">
        <f aca="false">IF(A4427="","",YEAR(A4427))</f>
        <v/>
      </c>
      <c r="L4427" s="0" t="str">
        <f aca="false">IF(A4427="","",MONTH(A4427))</f>
        <v/>
      </c>
    </row>
    <row r="4428" customFormat="false" ht="15" hidden="false" customHeight="false" outlineLevel="0" collapsed="false">
      <c r="A4428" s="27"/>
      <c r="E4428" s="28"/>
      <c r="F4428" s="28"/>
      <c r="I4428" s="28" t="str">
        <f aca="false">IF(A4428="","",D4428*E4428)</f>
        <v/>
      </c>
      <c r="J4428" s="28" t="str">
        <f aca="false">IF(A4428="","",D4428*F4428)</f>
        <v/>
      </c>
      <c r="K4428" s="0" t="str">
        <f aca="false">IF(A4428="","",YEAR(A4428))</f>
        <v/>
      </c>
      <c r="L4428" s="0" t="str">
        <f aca="false">IF(A4428="","",MONTH(A4428))</f>
        <v/>
      </c>
    </row>
    <row r="4429" customFormat="false" ht="15" hidden="false" customHeight="false" outlineLevel="0" collapsed="false">
      <c r="A4429" s="27"/>
      <c r="E4429" s="28"/>
      <c r="F4429" s="28"/>
      <c r="I4429" s="28" t="str">
        <f aca="false">IF(A4429="","",D4429*E4429)</f>
        <v/>
      </c>
      <c r="J4429" s="28" t="str">
        <f aca="false">IF(A4429="","",D4429*F4429)</f>
        <v/>
      </c>
      <c r="K4429" s="0" t="str">
        <f aca="false">IF(A4429="","",YEAR(A4429))</f>
        <v/>
      </c>
      <c r="L4429" s="0" t="str">
        <f aca="false">IF(A4429="","",MONTH(A4429))</f>
        <v/>
      </c>
    </row>
    <row r="4430" customFormat="false" ht="15" hidden="false" customHeight="false" outlineLevel="0" collapsed="false">
      <c r="A4430" s="27"/>
      <c r="E4430" s="28"/>
      <c r="F4430" s="28"/>
      <c r="I4430" s="28" t="str">
        <f aca="false">IF(A4430="","",D4430*E4430)</f>
        <v/>
      </c>
      <c r="J4430" s="28" t="str">
        <f aca="false">IF(A4430="","",D4430*F4430)</f>
        <v/>
      </c>
      <c r="K4430" s="0" t="str">
        <f aca="false">IF(A4430="","",YEAR(A4430))</f>
        <v/>
      </c>
      <c r="L4430" s="0" t="str">
        <f aca="false">IF(A4430="","",MONTH(A4430))</f>
        <v/>
      </c>
    </row>
    <row r="4431" customFormat="false" ht="15" hidden="false" customHeight="false" outlineLevel="0" collapsed="false">
      <c r="A4431" s="27"/>
      <c r="E4431" s="28"/>
      <c r="F4431" s="28"/>
      <c r="I4431" s="28" t="str">
        <f aca="false">IF(A4431="","",D4431*E4431)</f>
        <v/>
      </c>
      <c r="J4431" s="28" t="str">
        <f aca="false">IF(A4431="","",D4431*F4431)</f>
        <v/>
      </c>
      <c r="K4431" s="0" t="str">
        <f aca="false">IF(A4431="","",YEAR(A4431))</f>
        <v/>
      </c>
      <c r="L4431" s="0" t="str">
        <f aca="false">IF(A4431="","",MONTH(A4431))</f>
        <v/>
      </c>
    </row>
    <row r="4432" customFormat="false" ht="15" hidden="false" customHeight="false" outlineLevel="0" collapsed="false">
      <c r="A4432" s="27"/>
      <c r="E4432" s="28"/>
      <c r="F4432" s="28"/>
      <c r="I4432" s="28" t="str">
        <f aca="false">IF(A4432="","",D4432*E4432)</f>
        <v/>
      </c>
      <c r="J4432" s="28" t="str">
        <f aca="false">IF(A4432="","",D4432*F4432)</f>
        <v/>
      </c>
      <c r="K4432" s="0" t="str">
        <f aca="false">IF(A4432="","",YEAR(A4432))</f>
        <v/>
      </c>
      <c r="L4432" s="0" t="str">
        <f aca="false">IF(A4432="","",MONTH(A4432))</f>
        <v/>
      </c>
    </row>
    <row r="4433" customFormat="false" ht="15" hidden="false" customHeight="false" outlineLevel="0" collapsed="false">
      <c r="A4433" s="27"/>
      <c r="E4433" s="28"/>
      <c r="F4433" s="28"/>
      <c r="I4433" s="28" t="str">
        <f aca="false">IF(A4433="","",D4433*E4433)</f>
        <v/>
      </c>
      <c r="J4433" s="28" t="str">
        <f aca="false">IF(A4433="","",D4433*F4433)</f>
        <v/>
      </c>
      <c r="K4433" s="0" t="str">
        <f aca="false">IF(A4433="","",YEAR(A4433))</f>
        <v/>
      </c>
      <c r="L4433" s="0" t="str">
        <f aca="false">IF(A4433="","",MONTH(A4433))</f>
        <v/>
      </c>
    </row>
    <row r="4434" customFormat="false" ht="15" hidden="false" customHeight="false" outlineLevel="0" collapsed="false">
      <c r="A4434" s="27"/>
      <c r="E4434" s="28"/>
      <c r="F4434" s="28"/>
      <c r="I4434" s="28" t="str">
        <f aca="false">IF(A4434="","",D4434*E4434)</f>
        <v/>
      </c>
      <c r="J4434" s="28" t="str">
        <f aca="false">IF(A4434="","",D4434*F4434)</f>
        <v/>
      </c>
      <c r="K4434" s="0" t="str">
        <f aca="false">IF(A4434="","",YEAR(A4434))</f>
        <v/>
      </c>
      <c r="L4434" s="0" t="str">
        <f aca="false">IF(A4434="","",MONTH(A4434))</f>
        <v/>
      </c>
    </row>
    <row r="4435" customFormat="false" ht="15" hidden="false" customHeight="false" outlineLevel="0" collapsed="false">
      <c r="A4435" s="27"/>
      <c r="E4435" s="28"/>
      <c r="F4435" s="28"/>
      <c r="I4435" s="28" t="str">
        <f aca="false">IF(A4435="","",D4435*E4435)</f>
        <v/>
      </c>
      <c r="J4435" s="28" t="str">
        <f aca="false">IF(A4435="","",D4435*F4435)</f>
        <v/>
      </c>
      <c r="K4435" s="0" t="str">
        <f aca="false">IF(A4435="","",YEAR(A4435))</f>
        <v/>
      </c>
      <c r="L4435" s="0" t="str">
        <f aca="false">IF(A4435="","",MONTH(A4435))</f>
        <v/>
      </c>
    </row>
    <row r="4436" customFormat="false" ht="15" hidden="false" customHeight="false" outlineLevel="0" collapsed="false">
      <c r="A4436" s="27"/>
      <c r="E4436" s="28"/>
      <c r="F4436" s="28"/>
      <c r="I4436" s="28" t="str">
        <f aca="false">IF(A4436="","",D4436*E4436)</f>
        <v/>
      </c>
      <c r="J4436" s="28" t="str">
        <f aca="false">IF(A4436="","",D4436*F4436)</f>
        <v/>
      </c>
      <c r="K4436" s="0" t="str">
        <f aca="false">IF(A4436="","",YEAR(A4436))</f>
        <v/>
      </c>
      <c r="L4436" s="0" t="str">
        <f aca="false">IF(A4436="","",MONTH(A4436))</f>
        <v/>
      </c>
    </row>
    <row r="4437" customFormat="false" ht="15" hidden="false" customHeight="false" outlineLevel="0" collapsed="false">
      <c r="A4437" s="27"/>
      <c r="E4437" s="28"/>
      <c r="F4437" s="28"/>
      <c r="I4437" s="28" t="str">
        <f aca="false">IF(A4437="","",D4437*E4437)</f>
        <v/>
      </c>
      <c r="J4437" s="28" t="str">
        <f aca="false">IF(A4437="","",D4437*F4437)</f>
        <v/>
      </c>
      <c r="K4437" s="0" t="str">
        <f aca="false">IF(A4437="","",YEAR(A4437))</f>
        <v/>
      </c>
      <c r="L4437" s="0" t="str">
        <f aca="false">IF(A4437="","",MONTH(A4437))</f>
        <v/>
      </c>
    </row>
    <row r="4438" customFormat="false" ht="15" hidden="false" customHeight="false" outlineLevel="0" collapsed="false">
      <c r="A4438" s="27"/>
      <c r="E4438" s="28"/>
      <c r="F4438" s="28"/>
      <c r="I4438" s="28" t="str">
        <f aca="false">IF(A4438="","",D4438*E4438)</f>
        <v/>
      </c>
      <c r="J4438" s="28" t="str">
        <f aca="false">IF(A4438="","",D4438*F4438)</f>
        <v/>
      </c>
      <c r="K4438" s="0" t="str">
        <f aca="false">IF(A4438="","",YEAR(A4438))</f>
        <v/>
      </c>
      <c r="L4438" s="0" t="str">
        <f aca="false">IF(A4438="","",MONTH(A4438))</f>
        <v/>
      </c>
    </row>
    <row r="4439" customFormat="false" ht="15" hidden="false" customHeight="false" outlineLevel="0" collapsed="false">
      <c r="A4439" s="27"/>
      <c r="E4439" s="28"/>
      <c r="F4439" s="28"/>
      <c r="I4439" s="28" t="str">
        <f aca="false">IF(A4439="","",D4439*E4439)</f>
        <v/>
      </c>
      <c r="J4439" s="28" t="str">
        <f aca="false">IF(A4439="","",D4439*F4439)</f>
        <v/>
      </c>
      <c r="K4439" s="0" t="str">
        <f aca="false">IF(A4439="","",YEAR(A4439))</f>
        <v/>
      </c>
      <c r="L4439" s="0" t="str">
        <f aca="false">IF(A4439="","",MONTH(A4439))</f>
        <v/>
      </c>
    </row>
    <row r="4440" customFormat="false" ht="15" hidden="false" customHeight="false" outlineLevel="0" collapsed="false">
      <c r="A4440" s="27"/>
      <c r="E4440" s="28"/>
      <c r="F4440" s="28"/>
      <c r="I4440" s="28" t="str">
        <f aca="false">IF(A4440="","",D4440*E4440)</f>
        <v/>
      </c>
      <c r="J4440" s="28" t="str">
        <f aca="false">IF(A4440="","",D4440*F4440)</f>
        <v/>
      </c>
      <c r="K4440" s="0" t="str">
        <f aca="false">IF(A4440="","",YEAR(A4440))</f>
        <v/>
      </c>
      <c r="L4440" s="0" t="str">
        <f aca="false">IF(A4440="","",MONTH(A4440))</f>
        <v/>
      </c>
    </row>
    <row r="4441" customFormat="false" ht="15" hidden="false" customHeight="false" outlineLevel="0" collapsed="false">
      <c r="A4441" s="27"/>
      <c r="E4441" s="28"/>
      <c r="F4441" s="28"/>
      <c r="I4441" s="28" t="str">
        <f aca="false">IF(A4441="","",D4441*E4441)</f>
        <v/>
      </c>
      <c r="J4441" s="28" t="str">
        <f aca="false">IF(A4441="","",D4441*F4441)</f>
        <v/>
      </c>
      <c r="K4441" s="0" t="str">
        <f aca="false">IF(A4441="","",YEAR(A4441))</f>
        <v/>
      </c>
      <c r="L4441" s="0" t="str">
        <f aca="false">IF(A4441="","",MONTH(A4441))</f>
        <v/>
      </c>
    </row>
    <row r="4442" customFormat="false" ht="15" hidden="false" customHeight="false" outlineLevel="0" collapsed="false">
      <c r="A4442" s="27"/>
      <c r="E4442" s="28"/>
      <c r="F4442" s="28"/>
      <c r="I4442" s="28" t="str">
        <f aca="false">IF(A4442="","",D4442*E4442)</f>
        <v/>
      </c>
      <c r="J4442" s="28" t="str">
        <f aca="false">IF(A4442="","",D4442*F4442)</f>
        <v/>
      </c>
      <c r="K4442" s="0" t="str">
        <f aca="false">IF(A4442="","",YEAR(A4442))</f>
        <v/>
      </c>
      <c r="L4442" s="0" t="str">
        <f aca="false">IF(A4442="","",MONTH(A4442))</f>
        <v/>
      </c>
    </row>
    <row r="4443" customFormat="false" ht="15" hidden="false" customHeight="false" outlineLevel="0" collapsed="false">
      <c r="A4443" s="27"/>
      <c r="E4443" s="28"/>
      <c r="F4443" s="28"/>
      <c r="I4443" s="28" t="str">
        <f aca="false">IF(A4443="","",D4443*E4443)</f>
        <v/>
      </c>
      <c r="J4443" s="28" t="str">
        <f aca="false">IF(A4443="","",D4443*F4443)</f>
        <v/>
      </c>
      <c r="K4443" s="0" t="str">
        <f aca="false">IF(A4443="","",YEAR(A4443))</f>
        <v/>
      </c>
      <c r="L4443" s="0" t="str">
        <f aca="false">IF(A4443="","",MONTH(A4443))</f>
        <v/>
      </c>
    </row>
    <row r="4444" customFormat="false" ht="15" hidden="false" customHeight="false" outlineLevel="0" collapsed="false">
      <c r="A4444" s="27"/>
      <c r="E4444" s="28"/>
      <c r="F4444" s="28"/>
      <c r="I4444" s="28" t="str">
        <f aca="false">IF(A4444="","",D4444*E4444)</f>
        <v/>
      </c>
      <c r="J4444" s="28" t="str">
        <f aca="false">IF(A4444="","",D4444*F4444)</f>
        <v/>
      </c>
      <c r="K4444" s="0" t="str">
        <f aca="false">IF(A4444="","",YEAR(A4444))</f>
        <v/>
      </c>
      <c r="L4444" s="0" t="str">
        <f aca="false">IF(A4444="","",MONTH(A4444))</f>
        <v/>
      </c>
    </row>
    <row r="4445" customFormat="false" ht="15" hidden="false" customHeight="false" outlineLevel="0" collapsed="false">
      <c r="A4445" s="27"/>
      <c r="E4445" s="28"/>
      <c r="F4445" s="28"/>
      <c r="I4445" s="28" t="str">
        <f aca="false">IF(A4445="","",D4445*E4445)</f>
        <v/>
      </c>
      <c r="J4445" s="28" t="str">
        <f aca="false">IF(A4445="","",D4445*F4445)</f>
        <v/>
      </c>
      <c r="K4445" s="0" t="str">
        <f aca="false">IF(A4445="","",YEAR(A4445))</f>
        <v/>
      </c>
      <c r="L4445" s="0" t="str">
        <f aca="false">IF(A4445="","",MONTH(A4445))</f>
        <v/>
      </c>
    </row>
    <row r="4446" customFormat="false" ht="15" hidden="false" customHeight="false" outlineLevel="0" collapsed="false">
      <c r="A4446" s="27"/>
      <c r="E4446" s="28"/>
      <c r="F4446" s="28"/>
      <c r="I4446" s="28" t="str">
        <f aca="false">IF(A4446="","",D4446*E4446)</f>
        <v/>
      </c>
      <c r="J4446" s="28" t="str">
        <f aca="false">IF(A4446="","",D4446*F4446)</f>
        <v/>
      </c>
      <c r="K4446" s="0" t="str">
        <f aca="false">IF(A4446="","",YEAR(A4446))</f>
        <v/>
      </c>
      <c r="L4446" s="0" t="str">
        <f aca="false">IF(A4446="","",MONTH(A4446))</f>
        <v/>
      </c>
    </row>
    <row r="4447" customFormat="false" ht="15" hidden="false" customHeight="false" outlineLevel="0" collapsed="false">
      <c r="A4447" s="27"/>
      <c r="E4447" s="28"/>
      <c r="F4447" s="28"/>
      <c r="I4447" s="28" t="str">
        <f aca="false">IF(A4447="","",D4447*E4447)</f>
        <v/>
      </c>
      <c r="J4447" s="28" t="str">
        <f aca="false">IF(A4447="","",D4447*F4447)</f>
        <v/>
      </c>
      <c r="K4447" s="0" t="str">
        <f aca="false">IF(A4447="","",YEAR(A4447))</f>
        <v/>
      </c>
      <c r="L4447" s="0" t="str">
        <f aca="false">IF(A4447="","",MONTH(A4447))</f>
        <v/>
      </c>
    </row>
    <row r="4448" customFormat="false" ht="15" hidden="false" customHeight="false" outlineLevel="0" collapsed="false">
      <c r="A4448" s="27"/>
      <c r="E4448" s="28"/>
      <c r="F4448" s="28"/>
      <c r="I4448" s="28" t="str">
        <f aca="false">IF(A4448="","",D4448*E4448)</f>
        <v/>
      </c>
      <c r="J4448" s="28" t="str">
        <f aca="false">IF(A4448="","",D4448*F4448)</f>
        <v/>
      </c>
      <c r="K4448" s="0" t="str">
        <f aca="false">IF(A4448="","",YEAR(A4448))</f>
        <v/>
      </c>
      <c r="L4448" s="0" t="str">
        <f aca="false">IF(A4448="","",MONTH(A4448))</f>
        <v/>
      </c>
    </row>
    <row r="4449" customFormat="false" ht="15" hidden="false" customHeight="false" outlineLevel="0" collapsed="false">
      <c r="A4449" s="27"/>
      <c r="E4449" s="28"/>
      <c r="F4449" s="28"/>
      <c r="I4449" s="28" t="str">
        <f aca="false">IF(A4449="","",D4449*E4449)</f>
        <v/>
      </c>
      <c r="J4449" s="28" t="str">
        <f aca="false">IF(A4449="","",D4449*F4449)</f>
        <v/>
      </c>
      <c r="K4449" s="0" t="str">
        <f aca="false">IF(A4449="","",YEAR(A4449))</f>
        <v/>
      </c>
      <c r="L4449" s="0" t="str">
        <f aca="false">IF(A4449="","",MONTH(A4449))</f>
        <v/>
      </c>
    </row>
    <row r="4450" customFormat="false" ht="15" hidden="false" customHeight="false" outlineLevel="0" collapsed="false">
      <c r="A4450" s="27"/>
      <c r="E4450" s="28"/>
      <c r="F4450" s="28"/>
      <c r="I4450" s="28" t="str">
        <f aca="false">IF(A4450="","",D4450*E4450)</f>
        <v/>
      </c>
      <c r="J4450" s="28" t="str">
        <f aca="false">IF(A4450="","",D4450*F4450)</f>
        <v/>
      </c>
      <c r="K4450" s="0" t="str">
        <f aca="false">IF(A4450="","",YEAR(A4450))</f>
        <v/>
      </c>
      <c r="L4450" s="0" t="str">
        <f aca="false">IF(A4450="","",MONTH(A4450))</f>
        <v/>
      </c>
    </row>
    <row r="4451" customFormat="false" ht="15" hidden="false" customHeight="false" outlineLevel="0" collapsed="false">
      <c r="A4451" s="27"/>
      <c r="E4451" s="28"/>
      <c r="F4451" s="28"/>
      <c r="I4451" s="28" t="str">
        <f aca="false">IF(A4451="","",D4451*E4451)</f>
        <v/>
      </c>
      <c r="J4451" s="28" t="str">
        <f aca="false">IF(A4451="","",D4451*F4451)</f>
        <v/>
      </c>
      <c r="K4451" s="0" t="str">
        <f aca="false">IF(A4451="","",YEAR(A4451))</f>
        <v/>
      </c>
      <c r="L4451" s="0" t="str">
        <f aca="false">IF(A4451="","",MONTH(A4451))</f>
        <v/>
      </c>
    </row>
    <row r="4452" customFormat="false" ht="15" hidden="false" customHeight="false" outlineLevel="0" collapsed="false">
      <c r="A4452" s="27"/>
      <c r="E4452" s="28"/>
      <c r="F4452" s="28"/>
      <c r="I4452" s="28" t="str">
        <f aca="false">IF(A4452="","",D4452*E4452)</f>
        <v/>
      </c>
      <c r="J4452" s="28" t="str">
        <f aca="false">IF(A4452="","",D4452*F4452)</f>
        <v/>
      </c>
      <c r="K4452" s="0" t="str">
        <f aca="false">IF(A4452="","",YEAR(A4452))</f>
        <v/>
      </c>
      <c r="L4452" s="0" t="str">
        <f aca="false">IF(A4452="","",MONTH(A4452))</f>
        <v/>
      </c>
    </row>
    <row r="4453" customFormat="false" ht="15" hidden="false" customHeight="false" outlineLevel="0" collapsed="false">
      <c r="A4453" s="27"/>
      <c r="E4453" s="28"/>
      <c r="F4453" s="28"/>
      <c r="I4453" s="28" t="str">
        <f aca="false">IF(A4453="","",D4453*E4453)</f>
        <v/>
      </c>
      <c r="J4453" s="28" t="str">
        <f aca="false">IF(A4453="","",D4453*F4453)</f>
        <v/>
      </c>
      <c r="K4453" s="0" t="str">
        <f aca="false">IF(A4453="","",YEAR(A4453))</f>
        <v/>
      </c>
      <c r="L4453" s="0" t="str">
        <f aca="false">IF(A4453="","",MONTH(A4453))</f>
        <v/>
      </c>
    </row>
    <row r="4454" customFormat="false" ht="15" hidden="false" customHeight="false" outlineLevel="0" collapsed="false">
      <c r="A4454" s="27"/>
      <c r="E4454" s="28"/>
      <c r="F4454" s="28"/>
      <c r="I4454" s="28" t="str">
        <f aca="false">IF(A4454="","",D4454*E4454)</f>
        <v/>
      </c>
      <c r="J4454" s="28" t="str">
        <f aca="false">IF(A4454="","",D4454*F4454)</f>
        <v/>
      </c>
      <c r="K4454" s="0" t="str">
        <f aca="false">IF(A4454="","",YEAR(A4454))</f>
        <v/>
      </c>
      <c r="L4454" s="0" t="str">
        <f aca="false">IF(A4454="","",MONTH(A4454))</f>
        <v/>
      </c>
    </row>
    <row r="4455" customFormat="false" ht="15" hidden="false" customHeight="false" outlineLevel="0" collapsed="false">
      <c r="A4455" s="27"/>
      <c r="E4455" s="28"/>
      <c r="F4455" s="28"/>
      <c r="I4455" s="28" t="str">
        <f aca="false">IF(A4455="","",D4455*E4455)</f>
        <v/>
      </c>
      <c r="J4455" s="28" t="str">
        <f aca="false">IF(A4455="","",D4455*F4455)</f>
        <v/>
      </c>
      <c r="K4455" s="0" t="str">
        <f aca="false">IF(A4455="","",YEAR(A4455))</f>
        <v/>
      </c>
      <c r="L4455" s="0" t="str">
        <f aca="false">IF(A4455="","",MONTH(A4455))</f>
        <v/>
      </c>
    </row>
    <row r="4456" customFormat="false" ht="15" hidden="false" customHeight="false" outlineLevel="0" collapsed="false">
      <c r="A4456" s="27"/>
      <c r="E4456" s="28"/>
      <c r="F4456" s="28"/>
      <c r="I4456" s="28" t="str">
        <f aca="false">IF(A4456="","",D4456*E4456)</f>
        <v/>
      </c>
      <c r="J4456" s="28" t="str">
        <f aca="false">IF(A4456="","",D4456*F4456)</f>
        <v/>
      </c>
      <c r="K4456" s="0" t="str">
        <f aca="false">IF(A4456="","",YEAR(A4456))</f>
        <v/>
      </c>
      <c r="L4456" s="0" t="str">
        <f aca="false">IF(A4456="","",MONTH(A4456))</f>
        <v/>
      </c>
    </row>
    <row r="4457" customFormat="false" ht="15" hidden="false" customHeight="false" outlineLevel="0" collapsed="false">
      <c r="A4457" s="27"/>
      <c r="E4457" s="28"/>
      <c r="F4457" s="28"/>
      <c r="I4457" s="28" t="str">
        <f aca="false">IF(A4457="","",D4457*E4457)</f>
        <v/>
      </c>
      <c r="J4457" s="28" t="str">
        <f aca="false">IF(A4457="","",D4457*F4457)</f>
        <v/>
      </c>
      <c r="K4457" s="0" t="str">
        <f aca="false">IF(A4457="","",YEAR(A4457))</f>
        <v/>
      </c>
      <c r="L4457" s="0" t="str">
        <f aca="false">IF(A4457="","",MONTH(A4457))</f>
        <v/>
      </c>
    </row>
    <row r="4458" customFormat="false" ht="15" hidden="false" customHeight="false" outlineLevel="0" collapsed="false">
      <c r="A4458" s="27"/>
      <c r="E4458" s="28"/>
      <c r="F4458" s="28"/>
      <c r="I4458" s="28" t="str">
        <f aca="false">IF(A4458="","",D4458*E4458)</f>
        <v/>
      </c>
      <c r="J4458" s="28" t="str">
        <f aca="false">IF(A4458="","",D4458*F4458)</f>
        <v/>
      </c>
      <c r="K4458" s="0" t="str">
        <f aca="false">IF(A4458="","",YEAR(A4458))</f>
        <v/>
      </c>
      <c r="L4458" s="0" t="str">
        <f aca="false">IF(A4458="","",MONTH(A4458))</f>
        <v/>
      </c>
    </row>
    <row r="4459" customFormat="false" ht="15" hidden="false" customHeight="false" outlineLevel="0" collapsed="false">
      <c r="A4459" s="27"/>
      <c r="E4459" s="28"/>
      <c r="F4459" s="28"/>
      <c r="I4459" s="28" t="str">
        <f aca="false">IF(A4459="","",D4459*E4459)</f>
        <v/>
      </c>
      <c r="J4459" s="28" t="str">
        <f aca="false">IF(A4459="","",D4459*F4459)</f>
        <v/>
      </c>
      <c r="K4459" s="0" t="str">
        <f aca="false">IF(A4459="","",YEAR(A4459))</f>
        <v/>
      </c>
      <c r="L4459" s="0" t="str">
        <f aca="false">IF(A4459="","",MONTH(A4459))</f>
        <v/>
      </c>
    </row>
    <row r="4460" customFormat="false" ht="15" hidden="false" customHeight="false" outlineLevel="0" collapsed="false">
      <c r="A4460" s="27"/>
      <c r="E4460" s="28"/>
      <c r="F4460" s="28"/>
      <c r="I4460" s="28" t="str">
        <f aca="false">IF(A4460="","",D4460*E4460)</f>
        <v/>
      </c>
      <c r="J4460" s="28" t="str">
        <f aca="false">IF(A4460="","",D4460*F4460)</f>
        <v/>
      </c>
      <c r="K4460" s="0" t="str">
        <f aca="false">IF(A4460="","",YEAR(A4460))</f>
        <v/>
      </c>
      <c r="L4460" s="0" t="str">
        <f aca="false">IF(A4460="","",MONTH(A4460))</f>
        <v/>
      </c>
    </row>
    <row r="4461" customFormat="false" ht="15" hidden="false" customHeight="false" outlineLevel="0" collapsed="false">
      <c r="A4461" s="27"/>
      <c r="E4461" s="28"/>
      <c r="F4461" s="28"/>
      <c r="I4461" s="28" t="str">
        <f aca="false">IF(A4461="","",D4461*E4461)</f>
        <v/>
      </c>
      <c r="J4461" s="28" t="str">
        <f aca="false">IF(A4461="","",D4461*F4461)</f>
        <v/>
      </c>
      <c r="K4461" s="0" t="str">
        <f aca="false">IF(A4461="","",YEAR(A4461))</f>
        <v/>
      </c>
      <c r="L4461" s="0" t="str">
        <f aca="false">IF(A4461="","",MONTH(A4461))</f>
        <v/>
      </c>
    </row>
    <row r="4462" customFormat="false" ht="15" hidden="false" customHeight="false" outlineLevel="0" collapsed="false">
      <c r="A4462" s="27"/>
      <c r="E4462" s="28"/>
      <c r="F4462" s="28"/>
      <c r="I4462" s="28" t="str">
        <f aca="false">IF(A4462="","",D4462*E4462)</f>
        <v/>
      </c>
      <c r="J4462" s="28" t="str">
        <f aca="false">IF(A4462="","",D4462*F4462)</f>
        <v/>
      </c>
      <c r="K4462" s="0" t="str">
        <f aca="false">IF(A4462="","",YEAR(A4462))</f>
        <v/>
      </c>
      <c r="L4462" s="0" t="str">
        <f aca="false">IF(A4462="","",MONTH(A4462))</f>
        <v/>
      </c>
    </row>
    <row r="4463" customFormat="false" ht="15" hidden="false" customHeight="false" outlineLevel="0" collapsed="false">
      <c r="A4463" s="27"/>
      <c r="E4463" s="28"/>
      <c r="F4463" s="28"/>
      <c r="I4463" s="28" t="str">
        <f aca="false">IF(A4463="","",D4463*E4463)</f>
        <v/>
      </c>
      <c r="J4463" s="28" t="str">
        <f aca="false">IF(A4463="","",D4463*F4463)</f>
        <v/>
      </c>
      <c r="K4463" s="0" t="str">
        <f aca="false">IF(A4463="","",YEAR(A4463))</f>
        <v/>
      </c>
      <c r="L4463" s="0" t="str">
        <f aca="false">IF(A4463="","",MONTH(A4463))</f>
        <v/>
      </c>
    </row>
    <row r="4464" customFormat="false" ht="15" hidden="false" customHeight="false" outlineLevel="0" collapsed="false">
      <c r="A4464" s="27"/>
      <c r="E4464" s="28"/>
      <c r="F4464" s="28"/>
      <c r="I4464" s="28" t="str">
        <f aca="false">IF(A4464="","",D4464*E4464)</f>
        <v/>
      </c>
      <c r="J4464" s="28" t="str">
        <f aca="false">IF(A4464="","",D4464*F4464)</f>
        <v/>
      </c>
      <c r="K4464" s="0" t="str">
        <f aca="false">IF(A4464="","",YEAR(A4464))</f>
        <v/>
      </c>
      <c r="L4464" s="0" t="str">
        <f aca="false">IF(A4464="","",MONTH(A4464))</f>
        <v/>
      </c>
    </row>
    <row r="4465" customFormat="false" ht="15" hidden="false" customHeight="false" outlineLevel="0" collapsed="false">
      <c r="A4465" s="27"/>
      <c r="E4465" s="28"/>
      <c r="F4465" s="28"/>
      <c r="I4465" s="28" t="str">
        <f aca="false">IF(A4465="","",D4465*E4465)</f>
        <v/>
      </c>
      <c r="J4465" s="28" t="str">
        <f aca="false">IF(A4465="","",D4465*F4465)</f>
        <v/>
      </c>
      <c r="K4465" s="0" t="str">
        <f aca="false">IF(A4465="","",YEAR(A4465))</f>
        <v/>
      </c>
      <c r="L4465" s="0" t="str">
        <f aca="false">IF(A4465="","",MONTH(A4465))</f>
        <v/>
      </c>
    </row>
    <row r="4466" customFormat="false" ht="15" hidden="false" customHeight="false" outlineLevel="0" collapsed="false">
      <c r="A4466" s="27"/>
      <c r="E4466" s="28"/>
      <c r="F4466" s="28"/>
      <c r="I4466" s="28" t="str">
        <f aca="false">IF(A4466="","",D4466*E4466)</f>
        <v/>
      </c>
      <c r="J4466" s="28" t="str">
        <f aca="false">IF(A4466="","",D4466*F4466)</f>
        <v/>
      </c>
      <c r="K4466" s="0" t="str">
        <f aca="false">IF(A4466="","",YEAR(A4466))</f>
        <v/>
      </c>
      <c r="L4466" s="0" t="str">
        <f aca="false">IF(A4466="","",MONTH(A4466))</f>
        <v/>
      </c>
    </row>
    <row r="4467" customFormat="false" ht="15" hidden="false" customHeight="false" outlineLevel="0" collapsed="false">
      <c r="A4467" s="27"/>
      <c r="E4467" s="28"/>
      <c r="F4467" s="28"/>
      <c r="I4467" s="28" t="str">
        <f aca="false">IF(A4467="","",D4467*E4467)</f>
        <v/>
      </c>
      <c r="J4467" s="28" t="str">
        <f aca="false">IF(A4467="","",D4467*F4467)</f>
        <v/>
      </c>
      <c r="K4467" s="0" t="str">
        <f aca="false">IF(A4467="","",YEAR(A4467))</f>
        <v/>
      </c>
      <c r="L4467" s="0" t="str">
        <f aca="false">IF(A4467="","",MONTH(A4467))</f>
        <v/>
      </c>
    </row>
    <row r="4468" customFormat="false" ht="15" hidden="false" customHeight="false" outlineLevel="0" collapsed="false">
      <c r="A4468" s="27"/>
      <c r="E4468" s="28"/>
      <c r="F4468" s="28"/>
      <c r="I4468" s="28" t="str">
        <f aca="false">IF(A4468="","",D4468*E4468)</f>
        <v/>
      </c>
      <c r="J4468" s="28" t="str">
        <f aca="false">IF(A4468="","",D4468*F4468)</f>
        <v/>
      </c>
      <c r="K4468" s="0" t="str">
        <f aca="false">IF(A4468="","",YEAR(A4468))</f>
        <v/>
      </c>
      <c r="L4468" s="0" t="str">
        <f aca="false">IF(A4468="","",MONTH(A4468))</f>
        <v/>
      </c>
    </row>
    <row r="4469" customFormat="false" ht="15" hidden="false" customHeight="false" outlineLevel="0" collapsed="false">
      <c r="A4469" s="27"/>
      <c r="E4469" s="28"/>
      <c r="F4469" s="28"/>
      <c r="I4469" s="28" t="str">
        <f aca="false">IF(A4469="","",D4469*E4469)</f>
        <v/>
      </c>
      <c r="J4469" s="28" t="str">
        <f aca="false">IF(A4469="","",D4469*F4469)</f>
        <v/>
      </c>
      <c r="K4469" s="0" t="str">
        <f aca="false">IF(A4469="","",YEAR(A4469))</f>
        <v/>
      </c>
      <c r="L4469" s="0" t="str">
        <f aca="false">IF(A4469="","",MONTH(A4469))</f>
        <v/>
      </c>
    </row>
    <row r="4470" customFormat="false" ht="15" hidden="false" customHeight="false" outlineLevel="0" collapsed="false">
      <c r="A4470" s="27"/>
      <c r="E4470" s="28"/>
      <c r="F4470" s="28"/>
      <c r="I4470" s="28" t="str">
        <f aca="false">IF(A4470="","",D4470*E4470)</f>
        <v/>
      </c>
      <c r="J4470" s="28" t="str">
        <f aca="false">IF(A4470="","",D4470*F4470)</f>
        <v/>
      </c>
      <c r="K4470" s="0" t="str">
        <f aca="false">IF(A4470="","",YEAR(A4470))</f>
        <v/>
      </c>
      <c r="L4470" s="0" t="str">
        <f aca="false">IF(A4470="","",MONTH(A4470))</f>
        <v/>
      </c>
    </row>
    <row r="4471" customFormat="false" ht="15" hidden="false" customHeight="false" outlineLevel="0" collapsed="false">
      <c r="A4471" s="27"/>
      <c r="E4471" s="28"/>
      <c r="F4471" s="28"/>
      <c r="I4471" s="28" t="str">
        <f aca="false">IF(A4471="","",D4471*E4471)</f>
        <v/>
      </c>
      <c r="J4471" s="28" t="str">
        <f aca="false">IF(A4471="","",D4471*F4471)</f>
        <v/>
      </c>
      <c r="K4471" s="0" t="str">
        <f aca="false">IF(A4471="","",YEAR(A4471))</f>
        <v/>
      </c>
      <c r="L4471" s="0" t="str">
        <f aca="false">IF(A4471="","",MONTH(A4471))</f>
        <v/>
      </c>
    </row>
    <row r="4472" customFormat="false" ht="15" hidden="false" customHeight="false" outlineLevel="0" collapsed="false">
      <c r="A4472" s="27"/>
      <c r="E4472" s="28"/>
      <c r="F4472" s="28"/>
      <c r="I4472" s="28" t="str">
        <f aca="false">IF(A4472="","",D4472*E4472)</f>
        <v/>
      </c>
      <c r="J4472" s="28" t="str">
        <f aca="false">IF(A4472="","",D4472*F4472)</f>
        <v/>
      </c>
      <c r="K4472" s="0" t="str">
        <f aca="false">IF(A4472="","",YEAR(A4472))</f>
        <v/>
      </c>
      <c r="L4472" s="0" t="str">
        <f aca="false">IF(A4472="","",MONTH(A4472))</f>
        <v/>
      </c>
    </row>
    <row r="4473" customFormat="false" ht="15" hidden="false" customHeight="false" outlineLevel="0" collapsed="false">
      <c r="A4473" s="27"/>
      <c r="E4473" s="28"/>
      <c r="F4473" s="28"/>
      <c r="I4473" s="28" t="str">
        <f aca="false">IF(A4473="","",D4473*E4473)</f>
        <v/>
      </c>
      <c r="J4473" s="28" t="str">
        <f aca="false">IF(A4473="","",D4473*F4473)</f>
        <v/>
      </c>
      <c r="K4473" s="0" t="str">
        <f aca="false">IF(A4473="","",YEAR(A4473))</f>
        <v/>
      </c>
      <c r="L4473" s="0" t="str">
        <f aca="false">IF(A4473="","",MONTH(A4473))</f>
        <v/>
      </c>
    </row>
    <row r="4474" customFormat="false" ht="15" hidden="false" customHeight="false" outlineLevel="0" collapsed="false">
      <c r="A4474" s="27"/>
      <c r="E4474" s="28"/>
      <c r="F4474" s="28"/>
      <c r="I4474" s="28" t="str">
        <f aca="false">IF(A4474="","",D4474*E4474)</f>
        <v/>
      </c>
      <c r="J4474" s="28" t="str">
        <f aca="false">IF(A4474="","",D4474*F4474)</f>
        <v/>
      </c>
      <c r="K4474" s="0" t="str">
        <f aca="false">IF(A4474="","",YEAR(A4474))</f>
        <v/>
      </c>
      <c r="L4474" s="0" t="str">
        <f aca="false">IF(A4474="","",MONTH(A4474))</f>
        <v/>
      </c>
    </row>
    <row r="4475" customFormat="false" ht="15" hidden="false" customHeight="false" outlineLevel="0" collapsed="false">
      <c r="A4475" s="27"/>
      <c r="E4475" s="28"/>
      <c r="F4475" s="28"/>
      <c r="I4475" s="28" t="str">
        <f aca="false">IF(A4475="","",D4475*E4475)</f>
        <v/>
      </c>
      <c r="J4475" s="28" t="str">
        <f aca="false">IF(A4475="","",D4475*F4475)</f>
        <v/>
      </c>
      <c r="K4475" s="0" t="str">
        <f aca="false">IF(A4475="","",YEAR(A4475))</f>
        <v/>
      </c>
      <c r="L4475" s="0" t="str">
        <f aca="false">IF(A4475="","",MONTH(A4475))</f>
        <v/>
      </c>
    </row>
    <row r="4476" customFormat="false" ht="15" hidden="false" customHeight="false" outlineLevel="0" collapsed="false">
      <c r="A4476" s="27"/>
      <c r="E4476" s="28"/>
      <c r="F4476" s="28"/>
      <c r="I4476" s="28" t="str">
        <f aca="false">IF(A4476="","",D4476*E4476)</f>
        <v/>
      </c>
      <c r="J4476" s="28" t="str">
        <f aca="false">IF(A4476="","",D4476*F4476)</f>
        <v/>
      </c>
      <c r="K4476" s="0" t="str">
        <f aca="false">IF(A4476="","",YEAR(A4476))</f>
        <v/>
      </c>
      <c r="L4476" s="0" t="str">
        <f aca="false">IF(A4476="","",MONTH(A4476))</f>
        <v/>
      </c>
    </row>
    <row r="4477" customFormat="false" ht="15" hidden="false" customHeight="false" outlineLevel="0" collapsed="false">
      <c r="A4477" s="27"/>
      <c r="E4477" s="28"/>
      <c r="F4477" s="28"/>
      <c r="I4477" s="28" t="str">
        <f aca="false">IF(A4477="","",D4477*E4477)</f>
        <v/>
      </c>
      <c r="J4477" s="28" t="str">
        <f aca="false">IF(A4477="","",D4477*F4477)</f>
        <v/>
      </c>
      <c r="K4477" s="0" t="str">
        <f aca="false">IF(A4477="","",YEAR(A4477))</f>
        <v/>
      </c>
      <c r="L4477" s="0" t="str">
        <f aca="false">IF(A4477="","",MONTH(A4477))</f>
        <v/>
      </c>
    </row>
    <row r="4478" customFormat="false" ht="15" hidden="false" customHeight="false" outlineLevel="0" collapsed="false">
      <c r="A4478" s="27"/>
      <c r="E4478" s="28"/>
      <c r="F4478" s="28"/>
      <c r="I4478" s="28" t="str">
        <f aca="false">IF(A4478="","",D4478*E4478)</f>
        <v/>
      </c>
      <c r="J4478" s="28" t="str">
        <f aca="false">IF(A4478="","",D4478*F4478)</f>
        <v/>
      </c>
      <c r="K4478" s="0" t="str">
        <f aca="false">IF(A4478="","",YEAR(A4478))</f>
        <v/>
      </c>
      <c r="L4478" s="0" t="str">
        <f aca="false">IF(A4478="","",MONTH(A4478))</f>
        <v/>
      </c>
    </row>
    <row r="4479" customFormat="false" ht="15" hidden="false" customHeight="false" outlineLevel="0" collapsed="false">
      <c r="A4479" s="27"/>
      <c r="E4479" s="28"/>
      <c r="F4479" s="28"/>
      <c r="I4479" s="28" t="str">
        <f aca="false">IF(A4479="","",D4479*E4479)</f>
        <v/>
      </c>
      <c r="J4479" s="28" t="str">
        <f aca="false">IF(A4479="","",D4479*F4479)</f>
        <v/>
      </c>
      <c r="K4479" s="0" t="str">
        <f aca="false">IF(A4479="","",YEAR(A4479))</f>
        <v/>
      </c>
      <c r="L4479" s="0" t="str">
        <f aca="false">IF(A4479="","",MONTH(A4479))</f>
        <v/>
      </c>
    </row>
    <row r="4480" customFormat="false" ht="15" hidden="false" customHeight="false" outlineLevel="0" collapsed="false">
      <c r="A4480" s="27"/>
      <c r="E4480" s="28"/>
      <c r="F4480" s="28"/>
      <c r="I4480" s="28" t="str">
        <f aca="false">IF(A4480="","",D4480*E4480)</f>
        <v/>
      </c>
      <c r="J4480" s="28" t="str">
        <f aca="false">IF(A4480="","",D4480*F4480)</f>
        <v/>
      </c>
      <c r="K4480" s="0" t="str">
        <f aca="false">IF(A4480="","",YEAR(A4480))</f>
        <v/>
      </c>
      <c r="L4480" s="0" t="str">
        <f aca="false">IF(A4480="","",MONTH(A4480))</f>
        <v/>
      </c>
    </row>
    <row r="4481" customFormat="false" ht="15" hidden="false" customHeight="false" outlineLevel="0" collapsed="false">
      <c r="A4481" s="27"/>
      <c r="E4481" s="28"/>
      <c r="F4481" s="28"/>
      <c r="I4481" s="28" t="str">
        <f aca="false">IF(A4481="","",D4481*E4481)</f>
        <v/>
      </c>
      <c r="J4481" s="28" t="str">
        <f aca="false">IF(A4481="","",D4481*F4481)</f>
        <v/>
      </c>
      <c r="K4481" s="0" t="str">
        <f aca="false">IF(A4481="","",YEAR(A4481))</f>
        <v/>
      </c>
      <c r="L4481" s="0" t="str">
        <f aca="false">IF(A4481="","",MONTH(A4481))</f>
        <v/>
      </c>
    </row>
    <row r="4482" customFormat="false" ht="15" hidden="false" customHeight="false" outlineLevel="0" collapsed="false">
      <c r="A4482" s="27"/>
      <c r="E4482" s="28"/>
      <c r="F4482" s="28"/>
      <c r="I4482" s="28" t="str">
        <f aca="false">IF(A4482="","",D4482*E4482)</f>
        <v/>
      </c>
      <c r="J4482" s="28" t="str">
        <f aca="false">IF(A4482="","",D4482*F4482)</f>
        <v/>
      </c>
      <c r="K4482" s="0" t="str">
        <f aca="false">IF(A4482="","",YEAR(A4482))</f>
        <v/>
      </c>
      <c r="L4482" s="0" t="str">
        <f aca="false">IF(A4482="","",MONTH(A4482))</f>
        <v/>
      </c>
    </row>
    <row r="4483" customFormat="false" ht="15" hidden="false" customHeight="false" outlineLevel="0" collapsed="false">
      <c r="A4483" s="27"/>
      <c r="E4483" s="28"/>
      <c r="F4483" s="28"/>
      <c r="I4483" s="28" t="str">
        <f aca="false">IF(A4483="","",D4483*E4483)</f>
        <v/>
      </c>
      <c r="J4483" s="28" t="str">
        <f aca="false">IF(A4483="","",D4483*F4483)</f>
        <v/>
      </c>
      <c r="K4483" s="0" t="str">
        <f aca="false">IF(A4483="","",YEAR(A4483))</f>
        <v/>
      </c>
      <c r="L4483" s="0" t="str">
        <f aca="false">IF(A4483="","",MONTH(A4483))</f>
        <v/>
      </c>
    </row>
    <row r="4484" customFormat="false" ht="15" hidden="false" customHeight="false" outlineLevel="0" collapsed="false">
      <c r="A4484" s="27"/>
      <c r="E4484" s="28"/>
      <c r="F4484" s="28"/>
      <c r="I4484" s="28" t="str">
        <f aca="false">IF(A4484="","",D4484*E4484)</f>
        <v/>
      </c>
      <c r="J4484" s="28" t="str">
        <f aca="false">IF(A4484="","",D4484*F4484)</f>
        <v/>
      </c>
      <c r="K4484" s="0" t="str">
        <f aca="false">IF(A4484="","",YEAR(A4484))</f>
        <v/>
      </c>
      <c r="L4484" s="0" t="str">
        <f aca="false">IF(A4484="","",MONTH(A4484))</f>
        <v/>
      </c>
    </row>
    <row r="4485" customFormat="false" ht="15" hidden="false" customHeight="false" outlineLevel="0" collapsed="false">
      <c r="A4485" s="27"/>
      <c r="E4485" s="28"/>
      <c r="F4485" s="28"/>
      <c r="I4485" s="28" t="str">
        <f aca="false">IF(A4485="","",D4485*E4485)</f>
        <v/>
      </c>
      <c r="J4485" s="28" t="str">
        <f aca="false">IF(A4485="","",D4485*F4485)</f>
        <v/>
      </c>
      <c r="K4485" s="0" t="str">
        <f aca="false">IF(A4485="","",YEAR(A4485))</f>
        <v/>
      </c>
      <c r="L4485" s="0" t="str">
        <f aca="false">IF(A4485="","",MONTH(A4485))</f>
        <v/>
      </c>
    </row>
    <row r="4486" customFormat="false" ht="15" hidden="false" customHeight="false" outlineLevel="0" collapsed="false">
      <c r="A4486" s="27"/>
      <c r="E4486" s="28"/>
      <c r="F4486" s="28"/>
      <c r="I4486" s="28" t="str">
        <f aca="false">IF(A4486="","",D4486*E4486)</f>
        <v/>
      </c>
      <c r="J4486" s="28" t="str">
        <f aca="false">IF(A4486="","",D4486*F4486)</f>
        <v/>
      </c>
      <c r="K4486" s="0" t="str">
        <f aca="false">IF(A4486="","",YEAR(A4486))</f>
        <v/>
      </c>
      <c r="L4486" s="0" t="str">
        <f aca="false">IF(A4486="","",MONTH(A4486))</f>
        <v/>
      </c>
    </row>
    <row r="4487" customFormat="false" ht="15" hidden="false" customHeight="false" outlineLevel="0" collapsed="false">
      <c r="A4487" s="27"/>
      <c r="E4487" s="28"/>
      <c r="F4487" s="28"/>
      <c r="I4487" s="28" t="str">
        <f aca="false">IF(A4487="","",D4487*E4487)</f>
        <v/>
      </c>
      <c r="J4487" s="28" t="str">
        <f aca="false">IF(A4487="","",D4487*F4487)</f>
        <v/>
      </c>
      <c r="K4487" s="0" t="str">
        <f aca="false">IF(A4487="","",YEAR(A4487))</f>
        <v/>
      </c>
      <c r="L4487" s="0" t="str">
        <f aca="false">IF(A4487="","",MONTH(A4487))</f>
        <v/>
      </c>
    </row>
    <row r="4488" customFormat="false" ht="15" hidden="false" customHeight="false" outlineLevel="0" collapsed="false">
      <c r="A4488" s="27"/>
      <c r="E4488" s="28"/>
      <c r="F4488" s="28"/>
      <c r="I4488" s="28" t="str">
        <f aca="false">IF(A4488="","",D4488*E4488)</f>
        <v/>
      </c>
      <c r="J4488" s="28" t="str">
        <f aca="false">IF(A4488="","",D4488*F4488)</f>
        <v/>
      </c>
      <c r="K4488" s="0" t="str">
        <f aca="false">IF(A4488="","",YEAR(A4488))</f>
        <v/>
      </c>
      <c r="L4488" s="0" t="str">
        <f aca="false">IF(A4488="","",MONTH(A4488))</f>
        <v/>
      </c>
    </row>
    <row r="4489" customFormat="false" ht="15" hidden="false" customHeight="false" outlineLevel="0" collapsed="false">
      <c r="A4489" s="27"/>
      <c r="E4489" s="28"/>
      <c r="F4489" s="28"/>
      <c r="I4489" s="28" t="str">
        <f aca="false">IF(A4489="","",D4489*E4489)</f>
        <v/>
      </c>
      <c r="J4489" s="28" t="str">
        <f aca="false">IF(A4489="","",D4489*F4489)</f>
        <v/>
      </c>
      <c r="K4489" s="0" t="str">
        <f aca="false">IF(A4489="","",YEAR(A4489))</f>
        <v/>
      </c>
      <c r="L4489" s="0" t="str">
        <f aca="false">IF(A4489="","",MONTH(A4489))</f>
        <v/>
      </c>
    </row>
    <row r="4490" customFormat="false" ht="15" hidden="false" customHeight="false" outlineLevel="0" collapsed="false">
      <c r="A4490" s="27"/>
      <c r="E4490" s="28"/>
      <c r="F4490" s="28"/>
      <c r="I4490" s="28" t="str">
        <f aca="false">IF(A4490="","",D4490*E4490)</f>
        <v/>
      </c>
      <c r="J4490" s="28" t="str">
        <f aca="false">IF(A4490="","",D4490*F4490)</f>
        <v/>
      </c>
      <c r="K4490" s="0" t="str">
        <f aca="false">IF(A4490="","",YEAR(A4490))</f>
        <v/>
      </c>
      <c r="L4490" s="0" t="str">
        <f aca="false">IF(A4490="","",MONTH(A4490))</f>
        <v/>
      </c>
    </row>
    <row r="4491" customFormat="false" ht="15" hidden="false" customHeight="false" outlineLevel="0" collapsed="false">
      <c r="A4491" s="27"/>
      <c r="E4491" s="28"/>
      <c r="F4491" s="28"/>
      <c r="I4491" s="28" t="str">
        <f aca="false">IF(A4491="","",D4491*E4491)</f>
        <v/>
      </c>
      <c r="J4491" s="28" t="str">
        <f aca="false">IF(A4491="","",D4491*F4491)</f>
        <v/>
      </c>
      <c r="K4491" s="0" t="str">
        <f aca="false">IF(A4491="","",YEAR(A4491))</f>
        <v/>
      </c>
      <c r="L4491" s="0" t="str">
        <f aca="false">IF(A4491="","",MONTH(A4491))</f>
        <v/>
      </c>
    </row>
    <row r="4492" customFormat="false" ht="15" hidden="false" customHeight="false" outlineLevel="0" collapsed="false">
      <c r="A4492" s="27"/>
      <c r="E4492" s="28"/>
      <c r="F4492" s="28"/>
      <c r="I4492" s="28" t="str">
        <f aca="false">IF(A4492="","",D4492*E4492)</f>
        <v/>
      </c>
      <c r="J4492" s="28" t="str">
        <f aca="false">IF(A4492="","",D4492*F4492)</f>
        <v/>
      </c>
      <c r="K4492" s="0" t="str">
        <f aca="false">IF(A4492="","",YEAR(A4492))</f>
        <v/>
      </c>
      <c r="L4492" s="0" t="str">
        <f aca="false">IF(A4492="","",MONTH(A4492))</f>
        <v/>
      </c>
    </row>
    <row r="4493" customFormat="false" ht="15" hidden="false" customHeight="false" outlineLevel="0" collapsed="false">
      <c r="A4493" s="27"/>
      <c r="E4493" s="28"/>
      <c r="F4493" s="28"/>
      <c r="I4493" s="28" t="str">
        <f aca="false">IF(A4493="","",D4493*E4493)</f>
        <v/>
      </c>
      <c r="J4493" s="28" t="str">
        <f aca="false">IF(A4493="","",D4493*F4493)</f>
        <v/>
      </c>
      <c r="K4493" s="0" t="str">
        <f aca="false">IF(A4493="","",YEAR(A4493))</f>
        <v/>
      </c>
      <c r="L4493" s="0" t="str">
        <f aca="false">IF(A4493="","",MONTH(A4493))</f>
        <v/>
      </c>
    </row>
    <row r="4494" customFormat="false" ht="15" hidden="false" customHeight="false" outlineLevel="0" collapsed="false">
      <c r="A4494" s="27"/>
      <c r="E4494" s="28"/>
      <c r="F4494" s="28"/>
      <c r="I4494" s="28" t="str">
        <f aca="false">IF(A4494="","",D4494*E4494)</f>
        <v/>
      </c>
      <c r="J4494" s="28" t="str">
        <f aca="false">IF(A4494="","",D4494*F4494)</f>
        <v/>
      </c>
      <c r="K4494" s="0" t="str">
        <f aca="false">IF(A4494="","",YEAR(A4494))</f>
        <v/>
      </c>
      <c r="L4494" s="0" t="str">
        <f aca="false">IF(A4494="","",MONTH(A4494))</f>
        <v/>
      </c>
    </row>
    <row r="4495" customFormat="false" ht="15" hidden="false" customHeight="false" outlineLevel="0" collapsed="false">
      <c r="A4495" s="27"/>
      <c r="E4495" s="28"/>
      <c r="F4495" s="28"/>
      <c r="I4495" s="28" t="str">
        <f aca="false">IF(A4495="","",D4495*E4495)</f>
        <v/>
      </c>
      <c r="J4495" s="28" t="str">
        <f aca="false">IF(A4495="","",D4495*F4495)</f>
        <v/>
      </c>
      <c r="K4495" s="0" t="str">
        <f aca="false">IF(A4495="","",YEAR(A4495))</f>
        <v/>
      </c>
      <c r="L4495" s="0" t="str">
        <f aca="false">IF(A4495="","",MONTH(A4495))</f>
        <v/>
      </c>
    </row>
    <row r="4496" customFormat="false" ht="15" hidden="false" customHeight="false" outlineLevel="0" collapsed="false">
      <c r="A4496" s="27"/>
      <c r="E4496" s="28"/>
      <c r="F4496" s="28"/>
      <c r="I4496" s="28" t="str">
        <f aca="false">IF(A4496="","",D4496*E4496)</f>
        <v/>
      </c>
      <c r="J4496" s="28" t="str">
        <f aca="false">IF(A4496="","",D4496*F4496)</f>
        <v/>
      </c>
      <c r="K4496" s="0" t="str">
        <f aca="false">IF(A4496="","",YEAR(A4496))</f>
        <v/>
      </c>
      <c r="L4496" s="0" t="str">
        <f aca="false">IF(A4496="","",MONTH(A4496))</f>
        <v/>
      </c>
    </row>
    <row r="4497" customFormat="false" ht="15" hidden="false" customHeight="false" outlineLevel="0" collapsed="false">
      <c r="A4497" s="27"/>
      <c r="E4497" s="28"/>
      <c r="F4497" s="28"/>
      <c r="I4497" s="28" t="str">
        <f aca="false">IF(A4497="","",D4497*E4497)</f>
        <v/>
      </c>
      <c r="J4497" s="28" t="str">
        <f aca="false">IF(A4497="","",D4497*F4497)</f>
        <v/>
      </c>
      <c r="K4497" s="0" t="str">
        <f aca="false">IF(A4497="","",YEAR(A4497))</f>
        <v/>
      </c>
      <c r="L4497" s="0" t="str">
        <f aca="false">IF(A4497="","",MONTH(A4497))</f>
        <v/>
      </c>
    </row>
    <row r="4498" customFormat="false" ht="15" hidden="false" customHeight="false" outlineLevel="0" collapsed="false">
      <c r="A4498" s="27"/>
      <c r="E4498" s="28"/>
      <c r="F4498" s="28"/>
      <c r="I4498" s="28" t="str">
        <f aca="false">IF(A4498="","",D4498*E4498)</f>
        <v/>
      </c>
      <c r="J4498" s="28" t="str">
        <f aca="false">IF(A4498="","",D4498*F4498)</f>
        <v/>
      </c>
      <c r="K4498" s="0" t="str">
        <f aca="false">IF(A4498="","",YEAR(A4498))</f>
        <v/>
      </c>
      <c r="L4498" s="0" t="str">
        <f aca="false">IF(A4498="","",MONTH(A4498))</f>
        <v/>
      </c>
    </row>
    <row r="4499" customFormat="false" ht="15" hidden="false" customHeight="false" outlineLevel="0" collapsed="false">
      <c r="A4499" s="27"/>
      <c r="E4499" s="28"/>
      <c r="F4499" s="28"/>
      <c r="I4499" s="28" t="str">
        <f aca="false">IF(A4499="","",D4499*E4499)</f>
        <v/>
      </c>
      <c r="J4499" s="28" t="str">
        <f aca="false">IF(A4499="","",D4499*F4499)</f>
        <v/>
      </c>
      <c r="K4499" s="0" t="str">
        <f aca="false">IF(A4499="","",YEAR(A4499))</f>
        <v/>
      </c>
      <c r="L4499" s="0" t="str">
        <f aca="false">IF(A4499="","",MONTH(A4499))</f>
        <v/>
      </c>
    </row>
    <row r="4500" customFormat="false" ht="15" hidden="false" customHeight="false" outlineLevel="0" collapsed="false">
      <c r="A4500" s="27"/>
      <c r="E4500" s="28"/>
      <c r="F4500" s="28"/>
      <c r="I4500" s="28" t="str">
        <f aca="false">IF(A4500="","",D4500*E4500)</f>
        <v/>
      </c>
      <c r="J4500" s="28" t="str">
        <f aca="false">IF(A4500="","",D4500*F4500)</f>
        <v/>
      </c>
      <c r="K4500" s="0" t="str">
        <f aca="false">IF(A4500="","",YEAR(A4500))</f>
        <v/>
      </c>
      <c r="L4500" s="0" t="str">
        <f aca="false">IF(A4500="","",MONTH(A4500))</f>
        <v/>
      </c>
    </row>
    <row r="4501" customFormat="false" ht="15" hidden="false" customHeight="false" outlineLevel="0" collapsed="false">
      <c r="A4501" s="27"/>
      <c r="E4501" s="28"/>
      <c r="F4501" s="28"/>
      <c r="I4501" s="28" t="str">
        <f aca="false">IF(A4501="","",D4501*E4501)</f>
        <v/>
      </c>
      <c r="J4501" s="28" t="str">
        <f aca="false">IF(A4501="","",D4501*F4501)</f>
        <v/>
      </c>
      <c r="K4501" s="0" t="str">
        <f aca="false">IF(A4501="","",YEAR(A4501))</f>
        <v/>
      </c>
      <c r="L4501" s="0" t="str">
        <f aca="false">IF(A4501="","",MONTH(A4501))</f>
        <v/>
      </c>
    </row>
    <row r="4502" customFormat="false" ht="15" hidden="false" customHeight="false" outlineLevel="0" collapsed="false">
      <c r="A4502" s="27"/>
      <c r="E4502" s="28"/>
      <c r="F4502" s="28"/>
      <c r="I4502" s="28" t="str">
        <f aca="false">IF(A4502="","",D4502*E4502)</f>
        <v/>
      </c>
      <c r="J4502" s="28" t="str">
        <f aca="false">IF(A4502="","",D4502*F4502)</f>
        <v/>
      </c>
      <c r="K4502" s="0" t="str">
        <f aca="false">IF(A4502="","",YEAR(A4502))</f>
        <v/>
      </c>
      <c r="L4502" s="0" t="str">
        <f aca="false">IF(A4502="","",MONTH(A4502))</f>
        <v/>
      </c>
    </row>
    <row r="4503" customFormat="false" ht="15" hidden="false" customHeight="false" outlineLevel="0" collapsed="false">
      <c r="A4503" s="27"/>
      <c r="E4503" s="28"/>
      <c r="F4503" s="28"/>
      <c r="I4503" s="28" t="str">
        <f aca="false">IF(A4503="","",D4503*E4503)</f>
        <v/>
      </c>
      <c r="J4503" s="28" t="str">
        <f aca="false">IF(A4503="","",D4503*F4503)</f>
        <v/>
      </c>
      <c r="K4503" s="0" t="str">
        <f aca="false">IF(A4503="","",YEAR(A4503))</f>
        <v/>
      </c>
      <c r="L4503" s="0" t="str">
        <f aca="false">IF(A4503="","",MONTH(A4503))</f>
        <v/>
      </c>
    </row>
    <row r="4504" customFormat="false" ht="15" hidden="false" customHeight="false" outlineLevel="0" collapsed="false">
      <c r="A4504" s="27"/>
      <c r="E4504" s="28"/>
      <c r="F4504" s="28"/>
      <c r="I4504" s="28" t="str">
        <f aca="false">IF(A4504="","",D4504*E4504)</f>
        <v/>
      </c>
      <c r="J4504" s="28" t="str">
        <f aca="false">IF(A4504="","",D4504*F4504)</f>
        <v/>
      </c>
      <c r="K4504" s="0" t="str">
        <f aca="false">IF(A4504="","",YEAR(A4504))</f>
        <v/>
      </c>
      <c r="L4504" s="0" t="str">
        <f aca="false">IF(A4504="","",MONTH(A4504))</f>
        <v/>
      </c>
    </row>
    <row r="4505" customFormat="false" ht="15" hidden="false" customHeight="false" outlineLevel="0" collapsed="false">
      <c r="A4505" s="27"/>
      <c r="E4505" s="28"/>
      <c r="F4505" s="28"/>
      <c r="I4505" s="28" t="str">
        <f aca="false">IF(A4505="","",D4505*E4505)</f>
        <v/>
      </c>
      <c r="J4505" s="28" t="str">
        <f aca="false">IF(A4505="","",D4505*F4505)</f>
        <v/>
      </c>
      <c r="K4505" s="0" t="str">
        <f aca="false">IF(A4505="","",YEAR(A4505))</f>
        <v/>
      </c>
      <c r="L4505" s="0" t="str">
        <f aca="false">IF(A4505="","",MONTH(A4505))</f>
        <v/>
      </c>
    </row>
    <row r="4506" customFormat="false" ht="15" hidden="false" customHeight="false" outlineLevel="0" collapsed="false">
      <c r="A4506" s="27"/>
      <c r="E4506" s="28"/>
      <c r="F4506" s="28"/>
      <c r="I4506" s="28" t="str">
        <f aca="false">IF(A4506="","",D4506*E4506)</f>
        <v/>
      </c>
      <c r="J4506" s="28" t="str">
        <f aca="false">IF(A4506="","",D4506*F4506)</f>
        <v/>
      </c>
      <c r="K4506" s="0" t="str">
        <f aca="false">IF(A4506="","",YEAR(A4506))</f>
        <v/>
      </c>
      <c r="L4506" s="0" t="str">
        <f aca="false">IF(A4506="","",MONTH(A4506))</f>
        <v/>
      </c>
    </row>
    <row r="4507" customFormat="false" ht="15" hidden="false" customHeight="false" outlineLevel="0" collapsed="false">
      <c r="A4507" s="27"/>
      <c r="E4507" s="28"/>
      <c r="F4507" s="28"/>
      <c r="I4507" s="28" t="str">
        <f aca="false">IF(A4507="","",D4507*E4507)</f>
        <v/>
      </c>
      <c r="J4507" s="28" t="str">
        <f aca="false">IF(A4507="","",D4507*F4507)</f>
        <v/>
      </c>
      <c r="K4507" s="0" t="str">
        <f aca="false">IF(A4507="","",YEAR(A4507))</f>
        <v/>
      </c>
      <c r="L4507" s="0" t="str">
        <f aca="false">IF(A4507="","",MONTH(A4507))</f>
        <v/>
      </c>
    </row>
    <row r="4508" customFormat="false" ht="15" hidden="false" customHeight="false" outlineLevel="0" collapsed="false">
      <c r="A4508" s="27"/>
      <c r="E4508" s="28"/>
      <c r="F4508" s="28"/>
      <c r="I4508" s="28" t="str">
        <f aca="false">IF(A4508="","",D4508*E4508)</f>
        <v/>
      </c>
      <c r="J4508" s="28" t="str">
        <f aca="false">IF(A4508="","",D4508*F4508)</f>
        <v/>
      </c>
      <c r="K4508" s="0" t="str">
        <f aca="false">IF(A4508="","",YEAR(A4508))</f>
        <v/>
      </c>
      <c r="L4508" s="0" t="str">
        <f aca="false">IF(A4508="","",MONTH(A4508))</f>
        <v/>
      </c>
    </row>
    <row r="4509" customFormat="false" ht="15" hidden="false" customHeight="false" outlineLevel="0" collapsed="false">
      <c r="A4509" s="27"/>
      <c r="E4509" s="28"/>
      <c r="F4509" s="28"/>
      <c r="I4509" s="28" t="str">
        <f aca="false">IF(A4509="","",D4509*E4509)</f>
        <v/>
      </c>
      <c r="J4509" s="28" t="str">
        <f aca="false">IF(A4509="","",D4509*F4509)</f>
        <v/>
      </c>
      <c r="K4509" s="0" t="str">
        <f aca="false">IF(A4509="","",YEAR(A4509))</f>
        <v/>
      </c>
      <c r="L4509" s="0" t="str">
        <f aca="false">IF(A4509="","",MONTH(A4509))</f>
        <v/>
      </c>
    </row>
    <row r="4510" customFormat="false" ht="15" hidden="false" customHeight="false" outlineLevel="0" collapsed="false">
      <c r="A4510" s="27"/>
      <c r="E4510" s="28"/>
      <c r="F4510" s="28"/>
      <c r="I4510" s="28" t="str">
        <f aca="false">IF(A4510="","",D4510*E4510)</f>
        <v/>
      </c>
      <c r="J4510" s="28" t="str">
        <f aca="false">IF(A4510="","",D4510*F4510)</f>
        <v/>
      </c>
      <c r="K4510" s="0" t="str">
        <f aca="false">IF(A4510="","",YEAR(A4510))</f>
        <v/>
      </c>
      <c r="L4510" s="0" t="str">
        <f aca="false">IF(A4510="","",MONTH(A4510))</f>
        <v/>
      </c>
    </row>
    <row r="4511" customFormat="false" ht="15" hidden="false" customHeight="false" outlineLevel="0" collapsed="false">
      <c r="A4511" s="27"/>
      <c r="E4511" s="28"/>
      <c r="F4511" s="28"/>
      <c r="I4511" s="28" t="str">
        <f aca="false">IF(A4511="","",D4511*E4511)</f>
        <v/>
      </c>
      <c r="J4511" s="28" t="str">
        <f aca="false">IF(A4511="","",D4511*F4511)</f>
        <v/>
      </c>
      <c r="K4511" s="0" t="str">
        <f aca="false">IF(A4511="","",YEAR(A4511))</f>
        <v/>
      </c>
      <c r="L4511" s="0" t="str">
        <f aca="false">IF(A4511="","",MONTH(A4511))</f>
        <v/>
      </c>
    </row>
    <row r="4512" customFormat="false" ht="15" hidden="false" customHeight="false" outlineLevel="0" collapsed="false">
      <c r="A4512" s="27"/>
      <c r="E4512" s="28"/>
      <c r="F4512" s="28"/>
      <c r="I4512" s="28" t="str">
        <f aca="false">IF(A4512="","",D4512*E4512)</f>
        <v/>
      </c>
      <c r="J4512" s="28" t="str">
        <f aca="false">IF(A4512="","",D4512*F4512)</f>
        <v/>
      </c>
      <c r="K4512" s="0" t="str">
        <f aca="false">IF(A4512="","",YEAR(A4512))</f>
        <v/>
      </c>
      <c r="L4512" s="0" t="str">
        <f aca="false">IF(A4512="","",MONTH(A4512))</f>
        <v/>
      </c>
    </row>
    <row r="4513" customFormat="false" ht="15" hidden="false" customHeight="false" outlineLevel="0" collapsed="false">
      <c r="A4513" s="27"/>
      <c r="E4513" s="28"/>
      <c r="F4513" s="28"/>
      <c r="I4513" s="28" t="str">
        <f aca="false">IF(A4513="","",D4513*E4513)</f>
        <v/>
      </c>
      <c r="J4513" s="28" t="str">
        <f aca="false">IF(A4513="","",D4513*F4513)</f>
        <v/>
      </c>
      <c r="K4513" s="0" t="str">
        <f aca="false">IF(A4513="","",YEAR(A4513))</f>
        <v/>
      </c>
      <c r="L4513" s="0" t="str">
        <f aca="false">IF(A4513="","",MONTH(A4513))</f>
        <v/>
      </c>
    </row>
    <row r="4514" customFormat="false" ht="15" hidden="false" customHeight="false" outlineLevel="0" collapsed="false">
      <c r="A4514" s="27"/>
      <c r="E4514" s="28"/>
      <c r="F4514" s="28"/>
      <c r="I4514" s="28" t="str">
        <f aca="false">IF(A4514="","",D4514*E4514)</f>
        <v/>
      </c>
      <c r="J4514" s="28" t="str">
        <f aca="false">IF(A4514="","",D4514*F4514)</f>
        <v/>
      </c>
      <c r="K4514" s="0" t="str">
        <f aca="false">IF(A4514="","",YEAR(A4514))</f>
        <v/>
      </c>
      <c r="L4514" s="0" t="str">
        <f aca="false">IF(A4514="","",MONTH(A4514))</f>
        <v/>
      </c>
    </row>
    <row r="4515" customFormat="false" ht="15" hidden="false" customHeight="false" outlineLevel="0" collapsed="false">
      <c r="A4515" s="27"/>
      <c r="E4515" s="28"/>
      <c r="F4515" s="28"/>
      <c r="I4515" s="28" t="str">
        <f aca="false">IF(A4515="","",D4515*E4515)</f>
        <v/>
      </c>
      <c r="J4515" s="28" t="str">
        <f aca="false">IF(A4515="","",D4515*F4515)</f>
        <v/>
      </c>
      <c r="K4515" s="0" t="str">
        <f aca="false">IF(A4515="","",YEAR(A4515))</f>
        <v/>
      </c>
      <c r="L4515" s="0" t="str">
        <f aca="false">IF(A4515="","",MONTH(A4515))</f>
        <v/>
      </c>
    </row>
    <row r="4516" customFormat="false" ht="15" hidden="false" customHeight="false" outlineLevel="0" collapsed="false">
      <c r="A4516" s="27"/>
      <c r="E4516" s="28"/>
      <c r="F4516" s="28"/>
      <c r="I4516" s="28" t="str">
        <f aca="false">IF(A4516="","",D4516*E4516)</f>
        <v/>
      </c>
      <c r="J4516" s="28" t="str">
        <f aca="false">IF(A4516="","",D4516*F4516)</f>
        <v/>
      </c>
      <c r="K4516" s="0" t="str">
        <f aca="false">IF(A4516="","",YEAR(A4516))</f>
        <v/>
      </c>
      <c r="L4516" s="0" t="str">
        <f aca="false">IF(A4516="","",MONTH(A4516))</f>
        <v/>
      </c>
    </row>
    <row r="4517" customFormat="false" ht="15" hidden="false" customHeight="false" outlineLevel="0" collapsed="false">
      <c r="A4517" s="27"/>
      <c r="E4517" s="28"/>
      <c r="F4517" s="28"/>
      <c r="I4517" s="28" t="str">
        <f aca="false">IF(A4517="","",D4517*E4517)</f>
        <v/>
      </c>
      <c r="J4517" s="28" t="str">
        <f aca="false">IF(A4517="","",D4517*F4517)</f>
        <v/>
      </c>
      <c r="K4517" s="0" t="str">
        <f aca="false">IF(A4517="","",YEAR(A4517))</f>
        <v/>
      </c>
      <c r="L4517" s="0" t="str">
        <f aca="false">IF(A4517="","",MONTH(A4517))</f>
        <v/>
      </c>
    </row>
    <row r="4518" customFormat="false" ht="15" hidden="false" customHeight="false" outlineLevel="0" collapsed="false">
      <c r="A4518" s="27"/>
      <c r="E4518" s="28"/>
      <c r="F4518" s="28"/>
      <c r="I4518" s="28" t="str">
        <f aca="false">IF(A4518="","",D4518*E4518)</f>
        <v/>
      </c>
      <c r="J4518" s="28" t="str">
        <f aca="false">IF(A4518="","",D4518*F4518)</f>
        <v/>
      </c>
      <c r="K4518" s="0" t="str">
        <f aca="false">IF(A4518="","",YEAR(A4518))</f>
        <v/>
      </c>
      <c r="L4518" s="0" t="str">
        <f aca="false">IF(A4518="","",MONTH(A4518))</f>
        <v/>
      </c>
    </row>
    <row r="4519" customFormat="false" ht="15" hidden="false" customHeight="false" outlineLevel="0" collapsed="false">
      <c r="A4519" s="27"/>
      <c r="E4519" s="28"/>
      <c r="F4519" s="28"/>
      <c r="I4519" s="28" t="str">
        <f aca="false">IF(A4519="","",D4519*E4519)</f>
        <v/>
      </c>
      <c r="J4519" s="28" t="str">
        <f aca="false">IF(A4519="","",D4519*F4519)</f>
        <v/>
      </c>
      <c r="K4519" s="0" t="str">
        <f aca="false">IF(A4519="","",YEAR(A4519))</f>
        <v/>
      </c>
      <c r="L4519" s="0" t="str">
        <f aca="false">IF(A4519="","",MONTH(A4519))</f>
        <v/>
      </c>
    </row>
    <row r="4520" customFormat="false" ht="15" hidden="false" customHeight="false" outlineLevel="0" collapsed="false">
      <c r="A4520" s="27"/>
      <c r="E4520" s="28"/>
      <c r="F4520" s="28"/>
      <c r="I4520" s="28" t="str">
        <f aca="false">IF(A4520="","",D4520*E4520)</f>
        <v/>
      </c>
      <c r="J4520" s="28" t="str">
        <f aca="false">IF(A4520="","",D4520*F4520)</f>
        <v/>
      </c>
      <c r="K4520" s="0" t="str">
        <f aca="false">IF(A4520="","",YEAR(A4520))</f>
        <v/>
      </c>
      <c r="L4520" s="0" t="str">
        <f aca="false">IF(A4520="","",MONTH(A4520))</f>
        <v/>
      </c>
    </row>
    <row r="4521" customFormat="false" ht="15" hidden="false" customHeight="false" outlineLevel="0" collapsed="false">
      <c r="A4521" s="27"/>
      <c r="E4521" s="28"/>
      <c r="F4521" s="28"/>
      <c r="I4521" s="28" t="str">
        <f aca="false">IF(A4521="","",D4521*E4521)</f>
        <v/>
      </c>
      <c r="J4521" s="28" t="str">
        <f aca="false">IF(A4521="","",D4521*F4521)</f>
        <v/>
      </c>
      <c r="K4521" s="0" t="str">
        <f aca="false">IF(A4521="","",YEAR(A4521))</f>
        <v/>
      </c>
      <c r="L4521" s="0" t="str">
        <f aca="false">IF(A4521="","",MONTH(A4521))</f>
        <v/>
      </c>
    </row>
    <row r="4522" customFormat="false" ht="15" hidden="false" customHeight="false" outlineLevel="0" collapsed="false">
      <c r="A4522" s="27"/>
      <c r="E4522" s="28"/>
      <c r="F4522" s="28"/>
      <c r="I4522" s="28" t="str">
        <f aca="false">IF(A4522="","",D4522*E4522)</f>
        <v/>
      </c>
      <c r="J4522" s="28" t="str">
        <f aca="false">IF(A4522="","",D4522*F4522)</f>
        <v/>
      </c>
      <c r="K4522" s="0" t="str">
        <f aca="false">IF(A4522="","",YEAR(A4522))</f>
        <v/>
      </c>
      <c r="L4522" s="0" t="str">
        <f aca="false">IF(A4522="","",MONTH(A4522))</f>
        <v/>
      </c>
    </row>
    <row r="4523" customFormat="false" ht="15" hidden="false" customHeight="false" outlineLevel="0" collapsed="false">
      <c r="A4523" s="27"/>
      <c r="E4523" s="28"/>
      <c r="F4523" s="28"/>
      <c r="I4523" s="28" t="str">
        <f aca="false">IF(A4523="","",D4523*E4523)</f>
        <v/>
      </c>
      <c r="J4523" s="28" t="str">
        <f aca="false">IF(A4523="","",D4523*F4523)</f>
        <v/>
      </c>
      <c r="K4523" s="0" t="str">
        <f aca="false">IF(A4523="","",YEAR(A4523))</f>
        <v/>
      </c>
      <c r="L4523" s="0" t="str">
        <f aca="false">IF(A4523="","",MONTH(A4523))</f>
        <v/>
      </c>
    </row>
    <row r="4524" customFormat="false" ht="15" hidden="false" customHeight="false" outlineLevel="0" collapsed="false">
      <c r="A4524" s="27"/>
      <c r="E4524" s="28"/>
      <c r="F4524" s="28"/>
      <c r="I4524" s="28" t="str">
        <f aca="false">IF(A4524="","",D4524*E4524)</f>
        <v/>
      </c>
      <c r="J4524" s="28" t="str">
        <f aca="false">IF(A4524="","",D4524*F4524)</f>
        <v/>
      </c>
      <c r="K4524" s="0" t="str">
        <f aca="false">IF(A4524="","",YEAR(A4524))</f>
        <v/>
      </c>
      <c r="L4524" s="0" t="str">
        <f aca="false">IF(A4524="","",MONTH(A4524))</f>
        <v/>
      </c>
    </row>
    <row r="4525" customFormat="false" ht="15" hidden="false" customHeight="false" outlineLevel="0" collapsed="false">
      <c r="A4525" s="27"/>
      <c r="E4525" s="28"/>
      <c r="F4525" s="28"/>
      <c r="I4525" s="28" t="str">
        <f aca="false">IF(A4525="","",D4525*E4525)</f>
        <v/>
      </c>
      <c r="J4525" s="28" t="str">
        <f aca="false">IF(A4525="","",D4525*F4525)</f>
        <v/>
      </c>
      <c r="K4525" s="0" t="str">
        <f aca="false">IF(A4525="","",YEAR(A4525))</f>
        <v/>
      </c>
      <c r="L4525" s="0" t="str">
        <f aca="false">IF(A4525="","",MONTH(A4525))</f>
        <v/>
      </c>
    </row>
    <row r="4526" customFormat="false" ht="15" hidden="false" customHeight="false" outlineLevel="0" collapsed="false">
      <c r="A4526" s="27"/>
      <c r="E4526" s="28"/>
      <c r="F4526" s="28"/>
      <c r="I4526" s="28" t="str">
        <f aca="false">IF(A4526="","",D4526*E4526)</f>
        <v/>
      </c>
      <c r="J4526" s="28" t="str">
        <f aca="false">IF(A4526="","",D4526*F4526)</f>
        <v/>
      </c>
      <c r="K4526" s="0" t="str">
        <f aca="false">IF(A4526="","",YEAR(A4526))</f>
        <v/>
      </c>
      <c r="L4526" s="0" t="str">
        <f aca="false">IF(A4526="","",MONTH(A4526))</f>
        <v/>
      </c>
    </row>
    <row r="4527" customFormat="false" ht="15" hidden="false" customHeight="false" outlineLevel="0" collapsed="false">
      <c r="A4527" s="27"/>
      <c r="E4527" s="28"/>
      <c r="F4527" s="28"/>
      <c r="I4527" s="28" t="str">
        <f aca="false">IF(A4527="","",D4527*E4527)</f>
        <v/>
      </c>
      <c r="J4527" s="28" t="str">
        <f aca="false">IF(A4527="","",D4527*F4527)</f>
        <v/>
      </c>
      <c r="K4527" s="0" t="str">
        <f aca="false">IF(A4527="","",YEAR(A4527))</f>
        <v/>
      </c>
      <c r="L4527" s="0" t="str">
        <f aca="false">IF(A4527="","",MONTH(A4527))</f>
        <v/>
      </c>
    </row>
    <row r="4528" customFormat="false" ht="15" hidden="false" customHeight="false" outlineLevel="0" collapsed="false">
      <c r="A4528" s="27"/>
      <c r="E4528" s="28"/>
      <c r="F4528" s="28"/>
      <c r="I4528" s="28" t="str">
        <f aca="false">IF(A4528="","",D4528*E4528)</f>
        <v/>
      </c>
      <c r="J4528" s="28" t="str">
        <f aca="false">IF(A4528="","",D4528*F4528)</f>
        <v/>
      </c>
      <c r="K4528" s="0" t="str">
        <f aca="false">IF(A4528="","",YEAR(A4528))</f>
        <v/>
      </c>
      <c r="L4528" s="0" t="str">
        <f aca="false">IF(A4528="","",MONTH(A4528))</f>
        <v/>
      </c>
    </row>
    <row r="4529" customFormat="false" ht="15" hidden="false" customHeight="false" outlineLevel="0" collapsed="false">
      <c r="A4529" s="27"/>
      <c r="E4529" s="28"/>
      <c r="F4529" s="28"/>
      <c r="I4529" s="28" t="str">
        <f aca="false">IF(A4529="","",D4529*E4529)</f>
        <v/>
      </c>
      <c r="J4529" s="28" t="str">
        <f aca="false">IF(A4529="","",D4529*F4529)</f>
        <v/>
      </c>
      <c r="K4529" s="0" t="str">
        <f aca="false">IF(A4529="","",YEAR(A4529))</f>
        <v/>
      </c>
      <c r="L4529" s="0" t="str">
        <f aca="false">IF(A4529="","",MONTH(A4529))</f>
        <v/>
      </c>
    </row>
    <row r="4530" customFormat="false" ht="15" hidden="false" customHeight="false" outlineLevel="0" collapsed="false">
      <c r="A4530" s="27"/>
      <c r="E4530" s="28"/>
      <c r="F4530" s="28"/>
      <c r="I4530" s="28" t="str">
        <f aca="false">IF(A4530="","",D4530*E4530)</f>
        <v/>
      </c>
      <c r="J4530" s="28" t="str">
        <f aca="false">IF(A4530="","",D4530*F4530)</f>
        <v/>
      </c>
      <c r="K4530" s="0" t="str">
        <f aca="false">IF(A4530="","",YEAR(A4530))</f>
        <v/>
      </c>
      <c r="L4530" s="0" t="str">
        <f aca="false">IF(A4530="","",MONTH(A4530))</f>
        <v/>
      </c>
    </row>
    <row r="4531" customFormat="false" ht="15" hidden="false" customHeight="false" outlineLevel="0" collapsed="false">
      <c r="A4531" s="27"/>
      <c r="E4531" s="28"/>
      <c r="F4531" s="28"/>
      <c r="I4531" s="28" t="str">
        <f aca="false">IF(A4531="","",D4531*E4531)</f>
        <v/>
      </c>
      <c r="J4531" s="28" t="str">
        <f aca="false">IF(A4531="","",D4531*F4531)</f>
        <v/>
      </c>
      <c r="K4531" s="0" t="str">
        <f aca="false">IF(A4531="","",YEAR(A4531))</f>
        <v/>
      </c>
      <c r="L4531" s="0" t="str">
        <f aca="false">IF(A4531="","",MONTH(A4531))</f>
        <v/>
      </c>
    </row>
    <row r="4532" customFormat="false" ht="15" hidden="false" customHeight="false" outlineLevel="0" collapsed="false">
      <c r="A4532" s="27"/>
      <c r="E4532" s="28"/>
      <c r="F4532" s="28"/>
      <c r="I4532" s="28" t="str">
        <f aca="false">IF(A4532="","",D4532*E4532)</f>
        <v/>
      </c>
      <c r="J4532" s="28" t="str">
        <f aca="false">IF(A4532="","",D4532*F4532)</f>
        <v/>
      </c>
      <c r="K4532" s="0" t="str">
        <f aca="false">IF(A4532="","",YEAR(A4532))</f>
        <v/>
      </c>
      <c r="L4532" s="0" t="str">
        <f aca="false">IF(A4532="","",MONTH(A4532))</f>
        <v/>
      </c>
    </row>
    <row r="4533" customFormat="false" ht="15" hidden="false" customHeight="false" outlineLevel="0" collapsed="false">
      <c r="A4533" s="27"/>
      <c r="E4533" s="28"/>
      <c r="F4533" s="28"/>
      <c r="I4533" s="28" t="str">
        <f aca="false">IF(A4533="","",D4533*E4533)</f>
        <v/>
      </c>
      <c r="J4533" s="28" t="str">
        <f aca="false">IF(A4533="","",D4533*F4533)</f>
        <v/>
      </c>
      <c r="K4533" s="0" t="str">
        <f aca="false">IF(A4533="","",YEAR(A4533))</f>
        <v/>
      </c>
      <c r="L4533" s="0" t="str">
        <f aca="false">IF(A4533="","",MONTH(A4533))</f>
        <v/>
      </c>
    </row>
    <row r="4534" customFormat="false" ht="15" hidden="false" customHeight="false" outlineLevel="0" collapsed="false">
      <c r="A4534" s="27"/>
      <c r="E4534" s="28"/>
      <c r="F4534" s="28"/>
      <c r="I4534" s="28" t="str">
        <f aca="false">IF(A4534="","",D4534*E4534)</f>
        <v/>
      </c>
      <c r="J4534" s="28" t="str">
        <f aca="false">IF(A4534="","",D4534*F4534)</f>
        <v/>
      </c>
      <c r="K4534" s="0" t="str">
        <f aca="false">IF(A4534="","",YEAR(A4534))</f>
        <v/>
      </c>
      <c r="L4534" s="0" t="str">
        <f aca="false">IF(A4534="","",MONTH(A4534))</f>
        <v/>
      </c>
    </row>
    <row r="4535" customFormat="false" ht="15" hidden="false" customHeight="false" outlineLevel="0" collapsed="false">
      <c r="A4535" s="27"/>
      <c r="E4535" s="28"/>
      <c r="F4535" s="28"/>
      <c r="I4535" s="28" t="str">
        <f aca="false">IF(A4535="","",D4535*E4535)</f>
        <v/>
      </c>
      <c r="J4535" s="28" t="str">
        <f aca="false">IF(A4535="","",D4535*F4535)</f>
        <v/>
      </c>
      <c r="K4535" s="0" t="str">
        <f aca="false">IF(A4535="","",YEAR(A4535))</f>
        <v/>
      </c>
      <c r="L4535" s="0" t="str">
        <f aca="false">IF(A4535="","",MONTH(A4535))</f>
        <v/>
      </c>
    </row>
    <row r="4536" customFormat="false" ht="15" hidden="false" customHeight="false" outlineLevel="0" collapsed="false">
      <c r="A4536" s="27"/>
      <c r="E4536" s="28"/>
      <c r="F4536" s="28"/>
      <c r="I4536" s="28" t="str">
        <f aca="false">IF(A4536="","",D4536*E4536)</f>
        <v/>
      </c>
      <c r="J4536" s="28" t="str">
        <f aca="false">IF(A4536="","",D4536*F4536)</f>
        <v/>
      </c>
      <c r="K4536" s="0" t="str">
        <f aca="false">IF(A4536="","",YEAR(A4536))</f>
        <v/>
      </c>
      <c r="L4536" s="0" t="str">
        <f aca="false">IF(A4536="","",MONTH(A4536))</f>
        <v/>
      </c>
    </row>
    <row r="4537" customFormat="false" ht="15" hidden="false" customHeight="false" outlineLevel="0" collapsed="false">
      <c r="A4537" s="27"/>
      <c r="E4537" s="28"/>
      <c r="F4537" s="28"/>
      <c r="I4537" s="28" t="str">
        <f aca="false">IF(A4537="","",D4537*E4537)</f>
        <v/>
      </c>
      <c r="J4537" s="28" t="str">
        <f aca="false">IF(A4537="","",D4537*F4537)</f>
        <v/>
      </c>
      <c r="K4537" s="0" t="str">
        <f aca="false">IF(A4537="","",YEAR(A4537))</f>
        <v/>
      </c>
      <c r="L4537" s="0" t="str">
        <f aca="false">IF(A4537="","",MONTH(A4537))</f>
        <v/>
      </c>
    </row>
    <row r="4538" customFormat="false" ht="15" hidden="false" customHeight="false" outlineLevel="0" collapsed="false">
      <c r="A4538" s="27"/>
      <c r="E4538" s="28"/>
      <c r="F4538" s="28"/>
      <c r="I4538" s="28" t="str">
        <f aca="false">IF(A4538="","",D4538*E4538)</f>
        <v/>
      </c>
      <c r="J4538" s="28" t="str">
        <f aca="false">IF(A4538="","",D4538*F4538)</f>
        <v/>
      </c>
      <c r="K4538" s="0" t="str">
        <f aca="false">IF(A4538="","",YEAR(A4538))</f>
        <v/>
      </c>
      <c r="L4538" s="0" t="str">
        <f aca="false">IF(A4538="","",MONTH(A4538))</f>
        <v/>
      </c>
    </row>
    <row r="4539" customFormat="false" ht="15" hidden="false" customHeight="false" outlineLevel="0" collapsed="false">
      <c r="A4539" s="27"/>
      <c r="E4539" s="28"/>
      <c r="F4539" s="28"/>
      <c r="I4539" s="28" t="str">
        <f aca="false">IF(A4539="","",D4539*E4539)</f>
        <v/>
      </c>
      <c r="J4539" s="28" t="str">
        <f aca="false">IF(A4539="","",D4539*F4539)</f>
        <v/>
      </c>
      <c r="K4539" s="0" t="str">
        <f aca="false">IF(A4539="","",YEAR(A4539))</f>
        <v/>
      </c>
      <c r="L4539" s="0" t="str">
        <f aca="false">IF(A4539="","",MONTH(A4539))</f>
        <v/>
      </c>
    </row>
    <row r="4540" customFormat="false" ht="15" hidden="false" customHeight="false" outlineLevel="0" collapsed="false">
      <c r="A4540" s="27"/>
      <c r="E4540" s="28"/>
      <c r="F4540" s="28"/>
      <c r="I4540" s="28" t="str">
        <f aca="false">IF(A4540="","",D4540*E4540)</f>
        <v/>
      </c>
      <c r="J4540" s="28" t="str">
        <f aca="false">IF(A4540="","",D4540*F4540)</f>
        <v/>
      </c>
      <c r="K4540" s="0" t="str">
        <f aca="false">IF(A4540="","",YEAR(A4540))</f>
        <v/>
      </c>
      <c r="L4540" s="0" t="str">
        <f aca="false">IF(A4540="","",MONTH(A4540))</f>
        <v/>
      </c>
    </row>
    <row r="4541" customFormat="false" ht="15" hidden="false" customHeight="false" outlineLevel="0" collapsed="false">
      <c r="A4541" s="27"/>
      <c r="E4541" s="28"/>
      <c r="F4541" s="28"/>
      <c r="I4541" s="28" t="str">
        <f aca="false">IF(A4541="","",D4541*E4541)</f>
        <v/>
      </c>
      <c r="J4541" s="28" t="str">
        <f aca="false">IF(A4541="","",D4541*F4541)</f>
        <v/>
      </c>
      <c r="K4541" s="0" t="str">
        <f aca="false">IF(A4541="","",YEAR(A4541))</f>
        <v/>
      </c>
      <c r="L4541" s="0" t="str">
        <f aca="false">IF(A4541="","",MONTH(A4541))</f>
        <v/>
      </c>
    </row>
    <row r="4542" customFormat="false" ht="15" hidden="false" customHeight="false" outlineLevel="0" collapsed="false">
      <c r="A4542" s="27"/>
      <c r="E4542" s="28"/>
      <c r="F4542" s="28"/>
      <c r="I4542" s="28" t="str">
        <f aca="false">IF(A4542="","",D4542*E4542)</f>
        <v/>
      </c>
      <c r="J4542" s="28" t="str">
        <f aca="false">IF(A4542="","",D4542*F4542)</f>
        <v/>
      </c>
      <c r="K4542" s="0" t="str">
        <f aca="false">IF(A4542="","",YEAR(A4542))</f>
        <v/>
      </c>
      <c r="L4542" s="0" t="str">
        <f aca="false">IF(A4542="","",MONTH(A4542))</f>
        <v/>
      </c>
    </row>
    <row r="4543" customFormat="false" ht="15" hidden="false" customHeight="false" outlineLevel="0" collapsed="false">
      <c r="A4543" s="27"/>
      <c r="E4543" s="28"/>
      <c r="F4543" s="28"/>
      <c r="I4543" s="28" t="str">
        <f aca="false">IF(A4543="","",D4543*E4543)</f>
        <v/>
      </c>
      <c r="J4543" s="28" t="str">
        <f aca="false">IF(A4543="","",D4543*F4543)</f>
        <v/>
      </c>
      <c r="K4543" s="0" t="str">
        <f aca="false">IF(A4543="","",YEAR(A4543))</f>
        <v/>
      </c>
      <c r="L4543" s="0" t="str">
        <f aca="false">IF(A4543="","",MONTH(A4543))</f>
        <v/>
      </c>
    </row>
    <row r="4544" customFormat="false" ht="15" hidden="false" customHeight="false" outlineLevel="0" collapsed="false">
      <c r="A4544" s="27"/>
      <c r="E4544" s="28"/>
      <c r="F4544" s="28"/>
      <c r="I4544" s="28" t="str">
        <f aca="false">IF(A4544="","",D4544*E4544)</f>
        <v/>
      </c>
      <c r="J4544" s="28" t="str">
        <f aca="false">IF(A4544="","",D4544*F4544)</f>
        <v/>
      </c>
      <c r="K4544" s="0" t="str">
        <f aca="false">IF(A4544="","",YEAR(A4544))</f>
        <v/>
      </c>
      <c r="L4544" s="0" t="str">
        <f aca="false">IF(A4544="","",MONTH(A4544))</f>
        <v/>
      </c>
    </row>
    <row r="4545" customFormat="false" ht="15" hidden="false" customHeight="false" outlineLevel="0" collapsed="false">
      <c r="A4545" s="27"/>
      <c r="E4545" s="28"/>
      <c r="F4545" s="28"/>
      <c r="I4545" s="28" t="str">
        <f aca="false">IF(A4545="","",D4545*E4545)</f>
        <v/>
      </c>
      <c r="J4545" s="28" t="str">
        <f aca="false">IF(A4545="","",D4545*F4545)</f>
        <v/>
      </c>
      <c r="K4545" s="0" t="str">
        <f aca="false">IF(A4545="","",YEAR(A4545))</f>
        <v/>
      </c>
      <c r="L4545" s="0" t="str">
        <f aca="false">IF(A4545="","",MONTH(A4545))</f>
        <v/>
      </c>
    </row>
    <row r="4546" customFormat="false" ht="15" hidden="false" customHeight="false" outlineLevel="0" collapsed="false">
      <c r="A4546" s="27"/>
      <c r="E4546" s="28"/>
      <c r="F4546" s="28"/>
      <c r="I4546" s="28" t="str">
        <f aca="false">IF(A4546="","",D4546*E4546)</f>
        <v/>
      </c>
      <c r="J4546" s="28" t="str">
        <f aca="false">IF(A4546="","",D4546*F4546)</f>
        <v/>
      </c>
      <c r="K4546" s="0" t="str">
        <f aca="false">IF(A4546="","",YEAR(A4546))</f>
        <v/>
      </c>
      <c r="L4546" s="0" t="str">
        <f aca="false">IF(A4546="","",MONTH(A4546))</f>
        <v/>
      </c>
    </row>
    <row r="4547" customFormat="false" ht="15" hidden="false" customHeight="false" outlineLevel="0" collapsed="false">
      <c r="A4547" s="27"/>
      <c r="E4547" s="28"/>
      <c r="F4547" s="28"/>
      <c r="I4547" s="28" t="str">
        <f aca="false">IF(A4547="","",D4547*E4547)</f>
        <v/>
      </c>
      <c r="J4547" s="28" t="str">
        <f aca="false">IF(A4547="","",D4547*F4547)</f>
        <v/>
      </c>
      <c r="K4547" s="0" t="str">
        <f aca="false">IF(A4547="","",YEAR(A4547))</f>
        <v/>
      </c>
      <c r="L4547" s="0" t="str">
        <f aca="false">IF(A4547="","",MONTH(A4547))</f>
        <v/>
      </c>
    </row>
    <row r="4548" customFormat="false" ht="15" hidden="false" customHeight="false" outlineLevel="0" collapsed="false">
      <c r="A4548" s="27"/>
      <c r="E4548" s="28"/>
      <c r="F4548" s="28"/>
      <c r="I4548" s="28" t="str">
        <f aca="false">IF(A4548="","",D4548*E4548)</f>
        <v/>
      </c>
      <c r="J4548" s="28" t="str">
        <f aca="false">IF(A4548="","",D4548*F4548)</f>
        <v/>
      </c>
      <c r="K4548" s="0" t="str">
        <f aca="false">IF(A4548="","",YEAR(A4548))</f>
        <v/>
      </c>
      <c r="L4548" s="0" t="str">
        <f aca="false">IF(A4548="","",MONTH(A4548))</f>
        <v/>
      </c>
    </row>
    <row r="4549" customFormat="false" ht="15" hidden="false" customHeight="false" outlineLevel="0" collapsed="false">
      <c r="A4549" s="27"/>
      <c r="E4549" s="28"/>
      <c r="F4549" s="28"/>
      <c r="I4549" s="28" t="str">
        <f aca="false">IF(A4549="","",D4549*E4549)</f>
        <v/>
      </c>
      <c r="J4549" s="28" t="str">
        <f aca="false">IF(A4549="","",D4549*F4549)</f>
        <v/>
      </c>
      <c r="K4549" s="0" t="str">
        <f aca="false">IF(A4549="","",YEAR(A4549))</f>
        <v/>
      </c>
      <c r="L4549" s="0" t="str">
        <f aca="false">IF(A4549="","",MONTH(A4549))</f>
        <v/>
      </c>
    </row>
    <row r="4550" customFormat="false" ht="15" hidden="false" customHeight="false" outlineLevel="0" collapsed="false">
      <c r="A4550" s="27"/>
      <c r="E4550" s="28"/>
      <c r="F4550" s="28"/>
      <c r="I4550" s="28" t="str">
        <f aca="false">IF(A4550="","",D4550*E4550)</f>
        <v/>
      </c>
      <c r="J4550" s="28" t="str">
        <f aca="false">IF(A4550="","",D4550*F4550)</f>
        <v/>
      </c>
      <c r="K4550" s="0" t="str">
        <f aca="false">IF(A4550="","",YEAR(A4550))</f>
        <v/>
      </c>
      <c r="L4550" s="0" t="str">
        <f aca="false">IF(A4550="","",MONTH(A4550))</f>
        <v/>
      </c>
    </row>
    <row r="4551" customFormat="false" ht="15" hidden="false" customHeight="false" outlineLevel="0" collapsed="false">
      <c r="A4551" s="27"/>
      <c r="E4551" s="28"/>
      <c r="F4551" s="28"/>
      <c r="I4551" s="28" t="str">
        <f aca="false">IF(A4551="","",D4551*E4551)</f>
        <v/>
      </c>
      <c r="J4551" s="28" t="str">
        <f aca="false">IF(A4551="","",D4551*F4551)</f>
        <v/>
      </c>
      <c r="K4551" s="0" t="str">
        <f aca="false">IF(A4551="","",YEAR(A4551))</f>
        <v/>
      </c>
      <c r="L4551" s="0" t="str">
        <f aca="false">IF(A4551="","",MONTH(A4551))</f>
        <v/>
      </c>
    </row>
    <row r="4552" customFormat="false" ht="15" hidden="false" customHeight="false" outlineLevel="0" collapsed="false">
      <c r="A4552" s="27"/>
      <c r="E4552" s="28"/>
      <c r="F4552" s="28"/>
      <c r="I4552" s="28" t="str">
        <f aca="false">IF(A4552="","",D4552*E4552)</f>
        <v/>
      </c>
      <c r="J4552" s="28" t="str">
        <f aca="false">IF(A4552="","",D4552*F4552)</f>
        <v/>
      </c>
      <c r="K4552" s="0" t="str">
        <f aca="false">IF(A4552="","",YEAR(A4552))</f>
        <v/>
      </c>
      <c r="L4552" s="0" t="str">
        <f aca="false">IF(A4552="","",MONTH(A4552))</f>
        <v/>
      </c>
    </row>
    <row r="4553" customFormat="false" ht="15" hidden="false" customHeight="false" outlineLevel="0" collapsed="false">
      <c r="A4553" s="27"/>
      <c r="E4553" s="28"/>
      <c r="F4553" s="28"/>
      <c r="I4553" s="28" t="str">
        <f aca="false">IF(A4553="","",D4553*E4553)</f>
        <v/>
      </c>
      <c r="J4553" s="28" t="str">
        <f aca="false">IF(A4553="","",D4553*F4553)</f>
        <v/>
      </c>
      <c r="K4553" s="0" t="str">
        <f aca="false">IF(A4553="","",YEAR(A4553))</f>
        <v/>
      </c>
      <c r="L4553" s="0" t="str">
        <f aca="false">IF(A4553="","",MONTH(A4553))</f>
        <v/>
      </c>
    </row>
    <row r="4554" customFormat="false" ht="15" hidden="false" customHeight="false" outlineLevel="0" collapsed="false">
      <c r="A4554" s="27"/>
      <c r="E4554" s="28"/>
      <c r="F4554" s="28"/>
      <c r="I4554" s="28" t="str">
        <f aca="false">IF(A4554="","",D4554*E4554)</f>
        <v/>
      </c>
      <c r="J4554" s="28" t="str">
        <f aca="false">IF(A4554="","",D4554*F4554)</f>
        <v/>
      </c>
      <c r="K4554" s="0" t="str">
        <f aca="false">IF(A4554="","",YEAR(A4554))</f>
        <v/>
      </c>
      <c r="L4554" s="0" t="str">
        <f aca="false">IF(A4554="","",MONTH(A4554))</f>
        <v/>
      </c>
    </row>
    <row r="4555" customFormat="false" ht="15" hidden="false" customHeight="false" outlineLevel="0" collapsed="false">
      <c r="A4555" s="27"/>
      <c r="E4555" s="28"/>
      <c r="F4555" s="28"/>
      <c r="I4555" s="28" t="str">
        <f aca="false">IF(A4555="","",D4555*E4555)</f>
        <v/>
      </c>
      <c r="J4555" s="28" t="str">
        <f aca="false">IF(A4555="","",D4555*F4555)</f>
        <v/>
      </c>
      <c r="K4555" s="0" t="str">
        <f aca="false">IF(A4555="","",YEAR(A4555))</f>
        <v/>
      </c>
      <c r="L4555" s="0" t="str">
        <f aca="false">IF(A4555="","",MONTH(A4555))</f>
        <v/>
      </c>
    </row>
    <row r="4556" customFormat="false" ht="15" hidden="false" customHeight="false" outlineLevel="0" collapsed="false">
      <c r="A4556" s="27"/>
      <c r="E4556" s="28"/>
      <c r="F4556" s="28"/>
      <c r="I4556" s="28" t="str">
        <f aca="false">IF(A4556="","",D4556*E4556)</f>
        <v/>
      </c>
      <c r="J4556" s="28" t="str">
        <f aca="false">IF(A4556="","",D4556*F4556)</f>
        <v/>
      </c>
      <c r="K4556" s="0" t="str">
        <f aca="false">IF(A4556="","",YEAR(A4556))</f>
        <v/>
      </c>
      <c r="L4556" s="0" t="str">
        <f aca="false">IF(A4556="","",MONTH(A4556))</f>
        <v/>
      </c>
    </row>
    <row r="4557" customFormat="false" ht="15" hidden="false" customHeight="false" outlineLevel="0" collapsed="false">
      <c r="A4557" s="27"/>
      <c r="E4557" s="28"/>
      <c r="F4557" s="28"/>
      <c r="I4557" s="28" t="str">
        <f aca="false">IF(A4557="","",D4557*E4557)</f>
        <v/>
      </c>
      <c r="J4557" s="28" t="str">
        <f aca="false">IF(A4557="","",D4557*F4557)</f>
        <v/>
      </c>
      <c r="K4557" s="0" t="str">
        <f aca="false">IF(A4557="","",YEAR(A4557))</f>
        <v/>
      </c>
      <c r="L4557" s="0" t="str">
        <f aca="false">IF(A4557="","",MONTH(A4557))</f>
        <v/>
      </c>
    </row>
    <row r="4558" customFormat="false" ht="15" hidden="false" customHeight="false" outlineLevel="0" collapsed="false">
      <c r="A4558" s="27"/>
      <c r="E4558" s="28"/>
      <c r="F4558" s="28"/>
      <c r="I4558" s="28" t="str">
        <f aca="false">IF(A4558="","",D4558*E4558)</f>
        <v/>
      </c>
      <c r="J4558" s="28" t="str">
        <f aca="false">IF(A4558="","",D4558*F4558)</f>
        <v/>
      </c>
      <c r="K4558" s="0" t="str">
        <f aca="false">IF(A4558="","",YEAR(A4558))</f>
        <v/>
      </c>
      <c r="L4558" s="0" t="str">
        <f aca="false">IF(A4558="","",MONTH(A4558))</f>
        <v/>
      </c>
    </row>
    <row r="4559" customFormat="false" ht="15" hidden="false" customHeight="false" outlineLevel="0" collapsed="false">
      <c r="A4559" s="27"/>
      <c r="E4559" s="28"/>
      <c r="F4559" s="28"/>
      <c r="I4559" s="28" t="str">
        <f aca="false">IF(A4559="","",D4559*E4559)</f>
        <v/>
      </c>
      <c r="J4559" s="28" t="str">
        <f aca="false">IF(A4559="","",D4559*F4559)</f>
        <v/>
      </c>
      <c r="K4559" s="0" t="str">
        <f aca="false">IF(A4559="","",YEAR(A4559))</f>
        <v/>
      </c>
      <c r="L4559" s="0" t="str">
        <f aca="false">IF(A4559="","",MONTH(A4559))</f>
        <v/>
      </c>
    </row>
    <row r="4560" customFormat="false" ht="15" hidden="false" customHeight="false" outlineLevel="0" collapsed="false">
      <c r="A4560" s="27"/>
      <c r="E4560" s="28"/>
      <c r="F4560" s="28"/>
      <c r="I4560" s="28" t="str">
        <f aca="false">IF(A4560="","",D4560*E4560)</f>
        <v/>
      </c>
      <c r="J4560" s="28" t="str">
        <f aca="false">IF(A4560="","",D4560*F4560)</f>
        <v/>
      </c>
      <c r="K4560" s="0" t="str">
        <f aca="false">IF(A4560="","",YEAR(A4560))</f>
        <v/>
      </c>
      <c r="L4560" s="0" t="str">
        <f aca="false">IF(A4560="","",MONTH(A4560))</f>
        <v/>
      </c>
    </row>
    <row r="4561" customFormat="false" ht="15" hidden="false" customHeight="false" outlineLevel="0" collapsed="false">
      <c r="A4561" s="27"/>
      <c r="E4561" s="28"/>
      <c r="F4561" s="28"/>
      <c r="I4561" s="28" t="str">
        <f aca="false">IF(A4561="","",D4561*E4561)</f>
        <v/>
      </c>
      <c r="J4561" s="28" t="str">
        <f aca="false">IF(A4561="","",D4561*F4561)</f>
        <v/>
      </c>
      <c r="K4561" s="0" t="str">
        <f aca="false">IF(A4561="","",YEAR(A4561))</f>
        <v/>
      </c>
      <c r="L4561" s="0" t="str">
        <f aca="false">IF(A4561="","",MONTH(A4561))</f>
        <v/>
      </c>
    </row>
    <row r="4562" customFormat="false" ht="15" hidden="false" customHeight="false" outlineLevel="0" collapsed="false">
      <c r="A4562" s="27"/>
      <c r="E4562" s="28"/>
      <c r="F4562" s="28"/>
      <c r="I4562" s="28" t="str">
        <f aca="false">IF(A4562="","",D4562*E4562)</f>
        <v/>
      </c>
      <c r="J4562" s="28" t="str">
        <f aca="false">IF(A4562="","",D4562*F4562)</f>
        <v/>
      </c>
      <c r="K4562" s="0" t="str">
        <f aca="false">IF(A4562="","",YEAR(A4562))</f>
        <v/>
      </c>
      <c r="L4562" s="0" t="str">
        <f aca="false">IF(A4562="","",MONTH(A4562))</f>
        <v/>
      </c>
    </row>
    <row r="4563" customFormat="false" ht="15" hidden="false" customHeight="false" outlineLevel="0" collapsed="false">
      <c r="A4563" s="27"/>
      <c r="E4563" s="28"/>
      <c r="F4563" s="28"/>
      <c r="I4563" s="28" t="str">
        <f aca="false">IF(A4563="","",D4563*E4563)</f>
        <v/>
      </c>
      <c r="J4563" s="28" t="str">
        <f aca="false">IF(A4563="","",D4563*F4563)</f>
        <v/>
      </c>
      <c r="K4563" s="0" t="str">
        <f aca="false">IF(A4563="","",YEAR(A4563))</f>
        <v/>
      </c>
      <c r="L4563" s="0" t="str">
        <f aca="false">IF(A4563="","",MONTH(A4563))</f>
        <v/>
      </c>
    </row>
    <row r="4564" customFormat="false" ht="15" hidden="false" customHeight="false" outlineLevel="0" collapsed="false">
      <c r="A4564" s="27"/>
      <c r="E4564" s="28"/>
      <c r="F4564" s="28"/>
      <c r="I4564" s="28" t="str">
        <f aca="false">IF(A4564="","",D4564*E4564)</f>
        <v/>
      </c>
      <c r="J4564" s="28" t="str">
        <f aca="false">IF(A4564="","",D4564*F4564)</f>
        <v/>
      </c>
      <c r="K4564" s="0" t="str">
        <f aca="false">IF(A4564="","",YEAR(A4564))</f>
        <v/>
      </c>
      <c r="L4564" s="0" t="str">
        <f aca="false">IF(A4564="","",MONTH(A4564))</f>
        <v/>
      </c>
    </row>
    <row r="4565" customFormat="false" ht="15" hidden="false" customHeight="false" outlineLevel="0" collapsed="false">
      <c r="A4565" s="27"/>
      <c r="E4565" s="28"/>
      <c r="F4565" s="28"/>
      <c r="I4565" s="28" t="str">
        <f aca="false">IF(A4565="","",D4565*E4565)</f>
        <v/>
      </c>
      <c r="J4565" s="28" t="str">
        <f aca="false">IF(A4565="","",D4565*F4565)</f>
        <v/>
      </c>
      <c r="K4565" s="0" t="str">
        <f aca="false">IF(A4565="","",YEAR(A4565))</f>
        <v/>
      </c>
      <c r="L4565" s="0" t="str">
        <f aca="false">IF(A4565="","",MONTH(A4565))</f>
        <v/>
      </c>
    </row>
    <row r="4566" customFormat="false" ht="15" hidden="false" customHeight="false" outlineLevel="0" collapsed="false">
      <c r="A4566" s="27"/>
      <c r="E4566" s="28"/>
      <c r="F4566" s="28"/>
      <c r="I4566" s="28" t="str">
        <f aca="false">IF(A4566="","",D4566*E4566)</f>
        <v/>
      </c>
      <c r="J4566" s="28" t="str">
        <f aca="false">IF(A4566="","",D4566*F4566)</f>
        <v/>
      </c>
      <c r="K4566" s="0" t="str">
        <f aca="false">IF(A4566="","",YEAR(A4566))</f>
        <v/>
      </c>
      <c r="L4566" s="0" t="str">
        <f aca="false">IF(A4566="","",MONTH(A4566))</f>
        <v/>
      </c>
    </row>
    <row r="4567" customFormat="false" ht="15" hidden="false" customHeight="false" outlineLevel="0" collapsed="false">
      <c r="A4567" s="27"/>
      <c r="E4567" s="28"/>
      <c r="F4567" s="28"/>
      <c r="I4567" s="28" t="str">
        <f aca="false">IF(A4567="","",D4567*E4567)</f>
        <v/>
      </c>
      <c r="J4567" s="28" t="str">
        <f aca="false">IF(A4567="","",D4567*F4567)</f>
        <v/>
      </c>
      <c r="K4567" s="0" t="str">
        <f aca="false">IF(A4567="","",YEAR(A4567))</f>
        <v/>
      </c>
      <c r="L4567" s="0" t="str">
        <f aca="false">IF(A4567="","",MONTH(A4567))</f>
        <v/>
      </c>
    </row>
    <row r="4568" customFormat="false" ht="15" hidden="false" customHeight="false" outlineLevel="0" collapsed="false">
      <c r="A4568" s="27"/>
      <c r="E4568" s="28"/>
      <c r="F4568" s="28"/>
      <c r="I4568" s="28" t="str">
        <f aca="false">IF(A4568="","",D4568*E4568)</f>
        <v/>
      </c>
      <c r="J4568" s="28" t="str">
        <f aca="false">IF(A4568="","",D4568*F4568)</f>
        <v/>
      </c>
      <c r="K4568" s="0" t="str">
        <f aca="false">IF(A4568="","",YEAR(A4568))</f>
        <v/>
      </c>
      <c r="L4568" s="0" t="str">
        <f aca="false">IF(A4568="","",MONTH(A4568))</f>
        <v/>
      </c>
    </row>
    <row r="4569" customFormat="false" ht="15" hidden="false" customHeight="false" outlineLevel="0" collapsed="false">
      <c r="A4569" s="27"/>
      <c r="E4569" s="28"/>
      <c r="F4569" s="28"/>
      <c r="I4569" s="28" t="str">
        <f aca="false">IF(A4569="","",D4569*E4569)</f>
        <v/>
      </c>
      <c r="J4569" s="28" t="str">
        <f aca="false">IF(A4569="","",D4569*F4569)</f>
        <v/>
      </c>
      <c r="K4569" s="0" t="str">
        <f aca="false">IF(A4569="","",YEAR(A4569))</f>
        <v/>
      </c>
      <c r="L4569" s="0" t="str">
        <f aca="false">IF(A4569="","",MONTH(A4569))</f>
        <v/>
      </c>
    </row>
    <row r="4570" customFormat="false" ht="15" hidden="false" customHeight="false" outlineLevel="0" collapsed="false">
      <c r="A4570" s="27"/>
      <c r="E4570" s="28"/>
      <c r="F4570" s="28"/>
      <c r="I4570" s="28" t="str">
        <f aca="false">IF(A4570="","",D4570*E4570)</f>
        <v/>
      </c>
      <c r="J4570" s="28" t="str">
        <f aca="false">IF(A4570="","",D4570*F4570)</f>
        <v/>
      </c>
      <c r="K4570" s="0" t="str">
        <f aca="false">IF(A4570="","",YEAR(A4570))</f>
        <v/>
      </c>
      <c r="L4570" s="0" t="str">
        <f aca="false">IF(A4570="","",MONTH(A4570))</f>
        <v/>
      </c>
    </row>
    <row r="4571" customFormat="false" ht="15" hidden="false" customHeight="false" outlineLevel="0" collapsed="false">
      <c r="A4571" s="27"/>
      <c r="E4571" s="28"/>
      <c r="F4571" s="28"/>
      <c r="I4571" s="28" t="str">
        <f aca="false">IF(A4571="","",D4571*E4571)</f>
        <v/>
      </c>
      <c r="J4571" s="28" t="str">
        <f aca="false">IF(A4571="","",D4571*F4571)</f>
        <v/>
      </c>
      <c r="K4571" s="0" t="str">
        <f aca="false">IF(A4571="","",YEAR(A4571))</f>
        <v/>
      </c>
      <c r="L4571" s="0" t="str">
        <f aca="false">IF(A4571="","",MONTH(A4571))</f>
        <v/>
      </c>
    </row>
    <row r="4572" customFormat="false" ht="15" hidden="false" customHeight="false" outlineLevel="0" collapsed="false">
      <c r="A4572" s="27"/>
      <c r="E4572" s="28"/>
      <c r="F4572" s="28"/>
      <c r="I4572" s="28" t="str">
        <f aca="false">IF(A4572="","",D4572*E4572)</f>
        <v/>
      </c>
      <c r="J4572" s="28" t="str">
        <f aca="false">IF(A4572="","",D4572*F4572)</f>
        <v/>
      </c>
      <c r="K4572" s="0" t="str">
        <f aca="false">IF(A4572="","",YEAR(A4572))</f>
        <v/>
      </c>
      <c r="L4572" s="0" t="str">
        <f aca="false">IF(A4572="","",MONTH(A4572))</f>
        <v/>
      </c>
    </row>
    <row r="4573" customFormat="false" ht="15" hidden="false" customHeight="false" outlineLevel="0" collapsed="false">
      <c r="A4573" s="27"/>
      <c r="E4573" s="28"/>
      <c r="F4573" s="28"/>
      <c r="I4573" s="28" t="str">
        <f aca="false">IF(A4573="","",D4573*E4573)</f>
        <v/>
      </c>
      <c r="J4573" s="28" t="str">
        <f aca="false">IF(A4573="","",D4573*F4573)</f>
        <v/>
      </c>
      <c r="K4573" s="0" t="str">
        <f aca="false">IF(A4573="","",YEAR(A4573))</f>
        <v/>
      </c>
      <c r="L4573" s="0" t="str">
        <f aca="false">IF(A4573="","",MONTH(A4573))</f>
        <v/>
      </c>
    </row>
    <row r="4574" customFormat="false" ht="15" hidden="false" customHeight="false" outlineLevel="0" collapsed="false">
      <c r="A4574" s="27"/>
      <c r="E4574" s="28"/>
      <c r="F4574" s="28"/>
      <c r="I4574" s="28" t="str">
        <f aca="false">IF(A4574="","",D4574*E4574)</f>
        <v/>
      </c>
      <c r="J4574" s="28" t="str">
        <f aca="false">IF(A4574="","",D4574*F4574)</f>
        <v/>
      </c>
      <c r="K4574" s="0" t="str">
        <f aca="false">IF(A4574="","",YEAR(A4574))</f>
        <v/>
      </c>
      <c r="L4574" s="0" t="str">
        <f aca="false">IF(A4574="","",MONTH(A4574))</f>
        <v/>
      </c>
    </row>
    <row r="4575" customFormat="false" ht="15" hidden="false" customHeight="false" outlineLevel="0" collapsed="false">
      <c r="A4575" s="27"/>
      <c r="E4575" s="28"/>
      <c r="F4575" s="28"/>
      <c r="I4575" s="28" t="str">
        <f aca="false">IF(A4575="","",D4575*E4575)</f>
        <v/>
      </c>
      <c r="J4575" s="28" t="str">
        <f aca="false">IF(A4575="","",D4575*F4575)</f>
        <v/>
      </c>
      <c r="K4575" s="0" t="str">
        <f aca="false">IF(A4575="","",YEAR(A4575))</f>
        <v/>
      </c>
      <c r="L4575" s="0" t="str">
        <f aca="false">IF(A4575="","",MONTH(A4575))</f>
        <v/>
      </c>
    </row>
    <row r="4576" customFormat="false" ht="15" hidden="false" customHeight="false" outlineLevel="0" collapsed="false">
      <c r="A4576" s="27"/>
      <c r="E4576" s="28"/>
      <c r="F4576" s="28"/>
      <c r="I4576" s="28" t="str">
        <f aca="false">IF(A4576="","",D4576*E4576)</f>
        <v/>
      </c>
      <c r="J4576" s="28" t="str">
        <f aca="false">IF(A4576="","",D4576*F4576)</f>
        <v/>
      </c>
      <c r="K4576" s="0" t="str">
        <f aca="false">IF(A4576="","",YEAR(A4576))</f>
        <v/>
      </c>
      <c r="L4576" s="0" t="str">
        <f aca="false">IF(A4576="","",MONTH(A4576))</f>
        <v/>
      </c>
    </row>
    <row r="4577" customFormat="false" ht="15" hidden="false" customHeight="false" outlineLevel="0" collapsed="false">
      <c r="A4577" s="27"/>
      <c r="E4577" s="28"/>
      <c r="F4577" s="28"/>
      <c r="I4577" s="28" t="str">
        <f aca="false">IF(A4577="","",D4577*E4577)</f>
        <v/>
      </c>
      <c r="J4577" s="28" t="str">
        <f aca="false">IF(A4577="","",D4577*F4577)</f>
        <v/>
      </c>
      <c r="K4577" s="0" t="str">
        <f aca="false">IF(A4577="","",YEAR(A4577))</f>
        <v/>
      </c>
      <c r="L4577" s="0" t="str">
        <f aca="false">IF(A4577="","",MONTH(A4577))</f>
        <v/>
      </c>
    </row>
    <row r="4578" customFormat="false" ht="15" hidden="false" customHeight="false" outlineLevel="0" collapsed="false">
      <c r="A4578" s="27"/>
      <c r="E4578" s="28"/>
      <c r="F4578" s="28"/>
      <c r="I4578" s="28" t="str">
        <f aca="false">IF(A4578="","",D4578*E4578)</f>
        <v/>
      </c>
      <c r="J4578" s="28" t="str">
        <f aca="false">IF(A4578="","",D4578*F4578)</f>
        <v/>
      </c>
      <c r="K4578" s="0" t="str">
        <f aca="false">IF(A4578="","",YEAR(A4578))</f>
        <v/>
      </c>
      <c r="L4578" s="0" t="str">
        <f aca="false">IF(A4578="","",MONTH(A4578))</f>
        <v/>
      </c>
    </row>
    <row r="4579" customFormat="false" ht="15" hidden="false" customHeight="false" outlineLevel="0" collapsed="false">
      <c r="A4579" s="27"/>
      <c r="E4579" s="28"/>
      <c r="F4579" s="28"/>
      <c r="I4579" s="28" t="str">
        <f aca="false">IF(A4579="","",D4579*E4579)</f>
        <v/>
      </c>
      <c r="J4579" s="28" t="str">
        <f aca="false">IF(A4579="","",D4579*F4579)</f>
        <v/>
      </c>
      <c r="K4579" s="0" t="str">
        <f aca="false">IF(A4579="","",YEAR(A4579))</f>
        <v/>
      </c>
      <c r="L4579" s="0" t="str">
        <f aca="false">IF(A4579="","",MONTH(A4579))</f>
        <v/>
      </c>
    </row>
    <row r="4580" customFormat="false" ht="15" hidden="false" customHeight="false" outlineLevel="0" collapsed="false">
      <c r="A4580" s="27"/>
      <c r="E4580" s="28"/>
      <c r="F4580" s="28"/>
      <c r="I4580" s="28" t="str">
        <f aca="false">IF(A4580="","",D4580*E4580)</f>
        <v/>
      </c>
      <c r="J4580" s="28" t="str">
        <f aca="false">IF(A4580="","",D4580*F4580)</f>
        <v/>
      </c>
      <c r="K4580" s="0" t="str">
        <f aca="false">IF(A4580="","",YEAR(A4580))</f>
        <v/>
      </c>
      <c r="L4580" s="0" t="str">
        <f aca="false">IF(A4580="","",MONTH(A4580))</f>
        <v/>
      </c>
    </row>
    <row r="4581" customFormat="false" ht="15" hidden="false" customHeight="false" outlineLevel="0" collapsed="false">
      <c r="A4581" s="27"/>
      <c r="E4581" s="28"/>
      <c r="F4581" s="28"/>
      <c r="I4581" s="28" t="str">
        <f aca="false">IF(A4581="","",D4581*E4581)</f>
        <v/>
      </c>
      <c r="J4581" s="28" t="str">
        <f aca="false">IF(A4581="","",D4581*F4581)</f>
        <v/>
      </c>
      <c r="K4581" s="0" t="str">
        <f aca="false">IF(A4581="","",YEAR(A4581))</f>
        <v/>
      </c>
      <c r="L4581" s="0" t="str">
        <f aca="false">IF(A4581="","",MONTH(A4581))</f>
        <v/>
      </c>
    </row>
    <row r="4582" customFormat="false" ht="15" hidden="false" customHeight="false" outlineLevel="0" collapsed="false">
      <c r="A4582" s="27"/>
      <c r="E4582" s="28"/>
      <c r="F4582" s="28"/>
      <c r="I4582" s="28" t="str">
        <f aca="false">IF(A4582="","",D4582*E4582)</f>
        <v/>
      </c>
      <c r="J4582" s="28" t="str">
        <f aca="false">IF(A4582="","",D4582*F4582)</f>
        <v/>
      </c>
      <c r="K4582" s="0" t="str">
        <f aca="false">IF(A4582="","",YEAR(A4582))</f>
        <v/>
      </c>
      <c r="L4582" s="0" t="str">
        <f aca="false">IF(A4582="","",MONTH(A4582))</f>
        <v/>
      </c>
    </row>
    <row r="4583" customFormat="false" ht="15" hidden="false" customHeight="false" outlineLevel="0" collapsed="false">
      <c r="A4583" s="27"/>
      <c r="E4583" s="28"/>
      <c r="F4583" s="28"/>
      <c r="I4583" s="28" t="str">
        <f aca="false">IF(A4583="","",D4583*E4583)</f>
        <v/>
      </c>
      <c r="J4583" s="28" t="str">
        <f aca="false">IF(A4583="","",D4583*F4583)</f>
        <v/>
      </c>
      <c r="K4583" s="0" t="str">
        <f aca="false">IF(A4583="","",YEAR(A4583))</f>
        <v/>
      </c>
      <c r="L4583" s="0" t="str">
        <f aca="false">IF(A4583="","",MONTH(A4583))</f>
        <v/>
      </c>
    </row>
    <row r="4584" customFormat="false" ht="15" hidden="false" customHeight="false" outlineLevel="0" collapsed="false">
      <c r="A4584" s="27"/>
      <c r="E4584" s="28"/>
      <c r="F4584" s="28"/>
      <c r="I4584" s="28" t="str">
        <f aca="false">IF(A4584="","",D4584*E4584)</f>
        <v/>
      </c>
      <c r="J4584" s="28" t="str">
        <f aca="false">IF(A4584="","",D4584*F4584)</f>
        <v/>
      </c>
      <c r="K4584" s="0" t="str">
        <f aca="false">IF(A4584="","",YEAR(A4584))</f>
        <v/>
      </c>
      <c r="L4584" s="0" t="str">
        <f aca="false">IF(A4584="","",MONTH(A4584))</f>
        <v/>
      </c>
    </row>
    <row r="4585" customFormat="false" ht="15" hidden="false" customHeight="false" outlineLevel="0" collapsed="false">
      <c r="A4585" s="27"/>
      <c r="E4585" s="28"/>
      <c r="F4585" s="28"/>
      <c r="I4585" s="28" t="str">
        <f aca="false">IF(A4585="","",D4585*E4585)</f>
        <v/>
      </c>
      <c r="J4585" s="28" t="str">
        <f aca="false">IF(A4585="","",D4585*F4585)</f>
        <v/>
      </c>
      <c r="K4585" s="0" t="str">
        <f aca="false">IF(A4585="","",YEAR(A4585))</f>
        <v/>
      </c>
      <c r="L4585" s="0" t="str">
        <f aca="false">IF(A4585="","",MONTH(A4585))</f>
        <v/>
      </c>
    </row>
    <row r="4586" customFormat="false" ht="15" hidden="false" customHeight="false" outlineLevel="0" collapsed="false">
      <c r="A4586" s="27"/>
      <c r="E4586" s="28"/>
      <c r="F4586" s="28"/>
      <c r="I4586" s="28" t="str">
        <f aca="false">IF(A4586="","",D4586*E4586)</f>
        <v/>
      </c>
      <c r="J4586" s="28" t="str">
        <f aca="false">IF(A4586="","",D4586*F4586)</f>
        <v/>
      </c>
      <c r="K4586" s="0" t="str">
        <f aca="false">IF(A4586="","",YEAR(A4586))</f>
        <v/>
      </c>
      <c r="L4586" s="0" t="str">
        <f aca="false">IF(A4586="","",MONTH(A4586))</f>
        <v/>
      </c>
    </row>
    <row r="4587" customFormat="false" ht="15" hidden="false" customHeight="false" outlineLevel="0" collapsed="false">
      <c r="A4587" s="27"/>
      <c r="E4587" s="28"/>
      <c r="F4587" s="28"/>
      <c r="I4587" s="28" t="str">
        <f aca="false">IF(A4587="","",D4587*E4587)</f>
        <v/>
      </c>
      <c r="J4587" s="28" t="str">
        <f aca="false">IF(A4587="","",D4587*F4587)</f>
        <v/>
      </c>
      <c r="K4587" s="0" t="str">
        <f aca="false">IF(A4587="","",YEAR(A4587))</f>
        <v/>
      </c>
      <c r="L4587" s="0" t="str">
        <f aca="false">IF(A4587="","",MONTH(A4587))</f>
        <v/>
      </c>
    </row>
    <row r="4588" customFormat="false" ht="15" hidden="false" customHeight="false" outlineLevel="0" collapsed="false">
      <c r="A4588" s="27"/>
      <c r="E4588" s="28"/>
      <c r="F4588" s="28"/>
      <c r="I4588" s="28" t="str">
        <f aca="false">IF(A4588="","",D4588*E4588)</f>
        <v/>
      </c>
      <c r="J4588" s="28" t="str">
        <f aca="false">IF(A4588="","",D4588*F4588)</f>
        <v/>
      </c>
      <c r="K4588" s="0" t="str">
        <f aca="false">IF(A4588="","",YEAR(A4588))</f>
        <v/>
      </c>
      <c r="L4588" s="0" t="str">
        <f aca="false">IF(A4588="","",MONTH(A4588))</f>
        <v/>
      </c>
    </row>
    <row r="4589" customFormat="false" ht="15" hidden="false" customHeight="false" outlineLevel="0" collapsed="false">
      <c r="A4589" s="27"/>
      <c r="E4589" s="28"/>
      <c r="F4589" s="28"/>
      <c r="I4589" s="28" t="str">
        <f aca="false">IF(A4589="","",D4589*E4589)</f>
        <v/>
      </c>
      <c r="J4589" s="28" t="str">
        <f aca="false">IF(A4589="","",D4589*F4589)</f>
        <v/>
      </c>
      <c r="K4589" s="0" t="str">
        <f aca="false">IF(A4589="","",YEAR(A4589))</f>
        <v/>
      </c>
      <c r="L4589" s="0" t="str">
        <f aca="false">IF(A4589="","",MONTH(A4589))</f>
        <v/>
      </c>
    </row>
    <row r="4590" customFormat="false" ht="15" hidden="false" customHeight="false" outlineLevel="0" collapsed="false">
      <c r="A4590" s="27"/>
      <c r="E4590" s="28"/>
      <c r="F4590" s="28"/>
      <c r="I4590" s="28" t="str">
        <f aca="false">IF(A4590="","",D4590*E4590)</f>
        <v/>
      </c>
      <c r="J4590" s="28" t="str">
        <f aca="false">IF(A4590="","",D4590*F4590)</f>
        <v/>
      </c>
      <c r="K4590" s="0" t="str">
        <f aca="false">IF(A4590="","",YEAR(A4590))</f>
        <v/>
      </c>
      <c r="L4590" s="0" t="str">
        <f aca="false">IF(A4590="","",MONTH(A4590))</f>
        <v/>
      </c>
    </row>
    <row r="4591" customFormat="false" ht="15" hidden="false" customHeight="false" outlineLevel="0" collapsed="false">
      <c r="A4591" s="27"/>
      <c r="E4591" s="28"/>
      <c r="F4591" s="28"/>
      <c r="I4591" s="28" t="str">
        <f aca="false">IF(A4591="","",D4591*E4591)</f>
        <v/>
      </c>
      <c r="J4591" s="28" t="str">
        <f aca="false">IF(A4591="","",D4591*F4591)</f>
        <v/>
      </c>
      <c r="K4591" s="0" t="str">
        <f aca="false">IF(A4591="","",YEAR(A4591))</f>
        <v/>
      </c>
      <c r="L4591" s="0" t="str">
        <f aca="false">IF(A4591="","",MONTH(A4591))</f>
        <v/>
      </c>
    </row>
    <row r="4592" customFormat="false" ht="15" hidden="false" customHeight="false" outlineLevel="0" collapsed="false">
      <c r="A4592" s="27"/>
      <c r="E4592" s="28"/>
      <c r="F4592" s="28"/>
      <c r="I4592" s="28" t="str">
        <f aca="false">IF(A4592="","",D4592*E4592)</f>
        <v/>
      </c>
      <c r="J4592" s="28" t="str">
        <f aca="false">IF(A4592="","",D4592*F4592)</f>
        <v/>
      </c>
      <c r="K4592" s="0" t="str">
        <f aca="false">IF(A4592="","",YEAR(A4592))</f>
        <v/>
      </c>
      <c r="L4592" s="0" t="str">
        <f aca="false">IF(A4592="","",MONTH(A4592))</f>
        <v/>
      </c>
    </row>
    <row r="4593" customFormat="false" ht="15" hidden="false" customHeight="false" outlineLevel="0" collapsed="false">
      <c r="A4593" s="27"/>
      <c r="E4593" s="28"/>
      <c r="F4593" s="28"/>
      <c r="I4593" s="28" t="str">
        <f aca="false">IF(A4593="","",D4593*E4593)</f>
        <v/>
      </c>
      <c r="J4593" s="28" t="str">
        <f aca="false">IF(A4593="","",D4593*F4593)</f>
        <v/>
      </c>
      <c r="K4593" s="0" t="str">
        <f aca="false">IF(A4593="","",YEAR(A4593))</f>
        <v/>
      </c>
      <c r="L4593" s="0" t="str">
        <f aca="false">IF(A4593="","",MONTH(A4593))</f>
        <v/>
      </c>
    </row>
    <row r="4594" customFormat="false" ht="15" hidden="false" customHeight="false" outlineLevel="0" collapsed="false">
      <c r="A4594" s="27"/>
      <c r="E4594" s="28"/>
      <c r="F4594" s="28"/>
      <c r="I4594" s="28" t="str">
        <f aca="false">IF(A4594="","",D4594*E4594)</f>
        <v/>
      </c>
      <c r="J4594" s="28" t="str">
        <f aca="false">IF(A4594="","",D4594*F4594)</f>
        <v/>
      </c>
      <c r="K4594" s="0" t="str">
        <f aca="false">IF(A4594="","",YEAR(A4594))</f>
        <v/>
      </c>
      <c r="L4594" s="0" t="str">
        <f aca="false">IF(A4594="","",MONTH(A4594))</f>
        <v/>
      </c>
    </row>
    <row r="4595" customFormat="false" ht="15" hidden="false" customHeight="false" outlineLevel="0" collapsed="false">
      <c r="A4595" s="27"/>
      <c r="E4595" s="28"/>
      <c r="F4595" s="28"/>
      <c r="I4595" s="28" t="str">
        <f aca="false">IF(A4595="","",D4595*E4595)</f>
        <v/>
      </c>
      <c r="J4595" s="28" t="str">
        <f aca="false">IF(A4595="","",D4595*F4595)</f>
        <v/>
      </c>
      <c r="K4595" s="0" t="str">
        <f aca="false">IF(A4595="","",YEAR(A4595))</f>
        <v/>
      </c>
      <c r="L4595" s="0" t="str">
        <f aca="false">IF(A4595="","",MONTH(A4595))</f>
        <v/>
      </c>
    </row>
    <row r="4596" customFormat="false" ht="15" hidden="false" customHeight="false" outlineLevel="0" collapsed="false">
      <c r="A4596" s="27"/>
      <c r="E4596" s="28"/>
      <c r="F4596" s="28"/>
      <c r="I4596" s="28" t="str">
        <f aca="false">IF(A4596="","",D4596*E4596)</f>
        <v/>
      </c>
      <c r="J4596" s="28" t="str">
        <f aca="false">IF(A4596="","",D4596*F4596)</f>
        <v/>
      </c>
      <c r="K4596" s="0" t="str">
        <f aca="false">IF(A4596="","",YEAR(A4596))</f>
        <v/>
      </c>
      <c r="L4596" s="0" t="str">
        <f aca="false">IF(A4596="","",MONTH(A4596))</f>
        <v/>
      </c>
    </row>
    <row r="4597" customFormat="false" ht="15" hidden="false" customHeight="false" outlineLevel="0" collapsed="false">
      <c r="A4597" s="27"/>
      <c r="E4597" s="28"/>
      <c r="F4597" s="28"/>
      <c r="I4597" s="28" t="str">
        <f aca="false">IF(A4597="","",D4597*E4597)</f>
        <v/>
      </c>
      <c r="J4597" s="28" t="str">
        <f aca="false">IF(A4597="","",D4597*F4597)</f>
        <v/>
      </c>
      <c r="K4597" s="0" t="str">
        <f aca="false">IF(A4597="","",YEAR(A4597))</f>
        <v/>
      </c>
      <c r="L4597" s="0" t="str">
        <f aca="false">IF(A4597="","",MONTH(A4597))</f>
        <v/>
      </c>
    </row>
    <row r="4598" customFormat="false" ht="15" hidden="false" customHeight="false" outlineLevel="0" collapsed="false">
      <c r="A4598" s="27"/>
      <c r="E4598" s="28"/>
      <c r="F4598" s="28"/>
      <c r="I4598" s="28" t="str">
        <f aca="false">IF(A4598="","",D4598*E4598)</f>
        <v/>
      </c>
      <c r="J4598" s="28" t="str">
        <f aca="false">IF(A4598="","",D4598*F4598)</f>
        <v/>
      </c>
      <c r="K4598" s="0" t="str">
        <f aca="false">IF(A4598="","",YEAR(A4598))</f>
        <v/>
      </c>
      <c r="L4598" s="0" t="str">
        <f aca="false">IF(A4598="","",MONTH(A4598))</f>
        <v/>
      </c>
    </row>
    <row r="4599" customFormat="false" ht="15" hidden="false" customHeight="false" outlineLevel="0" collapsed="false">
      <c r="A4599" s="27"/>
      <c r="E4599" s="28"/>
      <c r="F4599" s="28"/>
      <c r="I4599" s="28" t="str">
        <f aca="false">IF(A4599="","",D4599*E4599)</f>
        <v/>
      </c>
      <c r="J4599" s="28" t="str">
        <f aca="false">IF(A4599="","",D4599*F4599)</f>
        <v/>
      </c>
      <c r="K4599" s="0" t="str">
        <f aca="false">IF(A4599="","",YEAR(A4599))</f>
        <v/>
      </c>
      <c r="L4599" s="0" t="str">
        <f aca="false">IF(A4599="","",MONTH(A4599))</f>
        <v/>
      </c>
    </row>
    <row r="4600" customFormat="false" ht="15" hidden="false" customHeight="false" outlineLevel="0" collapsed="false">
      <c r="A4600" s="27"/>
      <c r="E4600" s="28"/>
      <c r="F4600" s="28"/>
      <c r="I4600" s="28" t="str">
        <f aca="false">IF(A4600="","",D4600*E4600)</f>
        <v/>
      </c>
      <c r="J4600" s="28" t="str">
        <f aca="false">IF(A4600="","",D4600*F4600)</f>
        <v/>
      </c>
      <c r="K4600" s="0" t="str">
        <f aca="false">IF(A4600="","",YEAR(A4600))</f>
        <v/>
      </c>
      <c r="L4600" s="0" t="str">
        <f aca="false">IF(A4600="","",MONTH(A4600))</f>
        <v/>
      </c>
    </row>
    <row r="4601" customFormat="false" ht="15" hidden="false" customHeight="false" outlineLevel="0" collapsed="false">
      <c r="A4601" s="27"/>
      <c r="E4601" s="28"/>
      <c r="F4601" s="28"/>
      <c r="I4601" s="28" t="str">
        <f aca="false">IF(A4601="","",D4601*E4601)</f>
        <v/>
      </c>
      <c r="J4601" s="28" t="str">
        <f aca="false">IF(A4601="","",D4601*F4601)</f>
        <v/>
      </c>
      <c r="K4601" s="0" t="str">
        <f aca="false">IF(A4601="","",YEAR(A4601))</f>
        <v/>
      </c>
      <c r="L4601" s="0" t="str">
        <f aca="false">IF(A4601="","",MONTH(A4601))</f>
        <v/>
      </c>
    </row>
    <row r="4602" customFormat="false" ht="15" hidden="false" customHeight="false" outlineLevel="0" collapsed="false">
      <c r="A4602" s="27"/>
      <c r="E4602" s="28"/>
      <c r="F4602" s="28"/>
      <c r="I4602" s="28" t="str">
        <f aca="false">IF(A4602="","",D4602*E4602)</f>
        <v/>
      </c>
      <c r="J4602" s="28" t="str">
        <f aca="false">IF(A4602="","",D4602*F4602)</f>
        <v/>
      </c>
      <c r="K4602" s="0" t="str">
        <f aca="false">IF(A4602="","",YEAR(A4602))</f>
        <v/>
      </c>
      <c r="L4602" s="0" t="str">
        <f aca="false">IF(A4602="","",MONTH(A4602))</f>
        <v/>
      </c>
    </row>
    <row r="4603" customFormat="false" ht="15" hidden="false" customHeight="false" outlineLevel="0" collapsed="false">
      <c r="A4603" s="27"/>
      <c r="E4603" s="28"/>
      <c r="F4603" s="28"/>
      <c r="I4603" s="28" t="str">
        <f aca="false">IF(A4603="","",D4603*E4603)</f>
        <v/>
      </c>
      <c r="J4603" s="28" t="str">
        <f aca="false">IF(A4603="","",D4603*F4603)</f>
        <v/>
      </c>
      <c r="K4603" s="0" t="str">
        <f aca="false">IF(A4603="","",YEAR(A4603))</f>
        <v/>
      </c>
      <c r="L4603" s="0" t="str">
        <f aca="false">IF(A4603="","",MONTH(A4603))</f>
        <v/>
      </c>
    </row>
    <row r="4604" customFormat="false" ht="15" hidden="false" customHeight="false" outlineLevel="0" collapsed="false">
      <c r="A4604" s="27"/>
      <c r="E4604" s="28"/>
      <c r="F4604" s="28"/>
      <c r="I4604" s="28" t="str">
        <f aca="false">IF(A4604="","",D4604*E4604)</f>
        <v/>
      </c>
      <c r="J4604" s="28" t="str">
        <f aca="false">IF(A4604="","",D4604*F4604)</f>
        <v/>
      </c>
      <c r="K4604" s="0" t="str">
        <f aca="false">IF(A4604="","",YEAR(A4604))</f>
        <v/>
      </c>
      <c r="L4604" s="0" t="str">
        <f aca="false">IF(A4604="","",MONTH(A4604))</f>
        <v/>
      </c>
    </row>
    <row r="4605" customFormat="false" ht="15" hidden="false" customHeight="false" outlineLevel="0" collapsed="false">
      <c r="A4605" s="27"/>
      <c r="E4605" s="28"/>
      <c r="F4605" s="28"/>
      <c r="I4605" s="28" t="str">
        <f aca="false">IF(A4605="","",D4605*E4605)</f>
        <v/>
      </c>
      <c r="J4605" s="28" t="str">
        <f aca="false">IF(A4605="","",D4605*F4605)</f>
        <v/>
      </c>
      <c r="K4605" s="0" t="str">
        <f aca="false">IF(A4605="","",YEAR(A4605))</f>
        <v/>
      </c>
      <c r="L4605" s="0" t="str">
        <f aca="false">IF(A4605="","",MONTH(A4605))</f>
        <v/>
      </c>
    </row>
    <row r="4606" customFormat="false" ht="15" hidden="false" customHeight="false" outlineLevel="0" collapsed="false">
      <c r="A4606" s="27"/>
      <c r="E4606" s="28"/>
      <c r="F4606" s="28"/>
      <c r="I4606" s="28" t="str">
        <f aca="false">IF(A4606="","",D4606*E4606)</f>
        <v/>
      </c>
      <c r="J4606" s="28" t="str">
        <f aca="false">IF(A4606="","",D4606*F4606)</f>
        <v/>
      </c>
      <c r="K4606" s="0" t="str">
        <f aca="false">IF(A4606="","",YEAR(A4606))</f>
        <v/>
      </c>
      <c r="L4606" s="0" t="str">
        <f aca="false">IF(A4606="","",MONTH(A4606))</f>
        <v/>
      </c>
    </row>
    <row r="4607" customFormat="false" ht="15" hidden="false" customHeight="false" outlineLevel="0" collapsed="false">
      <c r="A4607" s="27"/>
      <c r="E4607" s="28"/>
      <c r="F4607" s="28"/>
      <c r="I4607" s="28" t="str">
        <f aca="false">IF(A4607="","",D4607*E4607)</f>
        <v/>
      </c>
      <c r="J4607" s="28" t="str">
        <f aca="false">IF(A4607="","",D4607*F4607)</f>
        <v/>
      </c>
      <c r="K4607" s="0" t="str">
        <f aca="false">IF(A4607="","",YEAR(A4607))</f>
        <v/>
      </c>
      <c r="L4607" s="0" t="str">
        <f aca="false">IF(A4607="","",MONTH(A4607))</f>
        <v/>
      </c>
    </row>
    <row r="4608" customFormat="false" ht="15" hidden="false" customHeight="false" outlineLevel="0" collapsed="false">
      <c r="A4608" s="27"/>
      <c r="E4608" s="28"/>
      <c r="F4608" s="28"/>
      <c r="I4608" s="28" t="str">
        <f aca="false">IF(A4608="","",D4608*E4608)</f>
        <v/>
      </c>
      <c r="J4608" s="28" t="str">
        <f aca="false">IF(A4608="","",D4608*F4608)</f>
        <v/>
      </c>
      <c r="K4608" s="0" t="str">
        <f aca="false">IF(A4608="","",YEAR(A4608))</f>
        <v/>
      </c>
      <c r="L4608" s="0" t="str">
        <f aca="false">IF(A4608="","",MONTH(A4608))</f>
        <v/>
      </c>
    </row>
    <row r="4609" customFormat="false" ht="15" hidden="false" customHeight="false" outlineLevel="0" collapsed="false">
      <c r="A4609" s="27"/>
      <c r="E4609" s="28"/>
      <c r="F4609" s="28"/>
      <c r="I4609" s="28" t="str">
        <f aca="false">IF(A4609="","",D4609*E4609)</f>
        <v/>
      </c>
      <c r="J4609" s="28" t="str">
        <f aca="false">IF(A4609="","",D4609*F4609)</f>
        <v/>
      </c>
      <c r="K4609" s="0" t="str">
        <f aca="false">IF(A4609="","",YEAR(A4609))</f>
        <v/>
      </c>
      <c r="L4609" s="0" t="str">
        <f aca="false">IF(A4609="","",MONTH(A4609))</f>
        <v/>
      </c>
    </row>
    <row r="4610" customFormat="false" ht="15" hidden="false" customHeight="false" outlineLevel="0" collapsed="false">
      <c r="A4610" s="27"/>
      <c r="E4610" s="28"/>
      <c r="F4610" s="28"/>
      <c r="I4610" s="28" t="str">
        <f aca="false">IF(A4610="","",D4610*E4610)</f>
        <v/>
      </c>
      <c r="J4610" s="28" t="str">
        <f aca="false">IF(A4610="","",D4610*F4610)</f>
        <v/>
      </c>
      <c r="K4610" s="0" t="str">
        <f aca="false">IF(A4610="","",YEAR(A4610))</f>
        <v/>
      </c>
      <c r="L4610" s="0" t="str">
        <f aca="false">IF(A4610="","",MONTH(A4610))</f>
        <v/>
      </c>
    </row>
    <row r="4611" customFormat="false" ht="15" hidden="false" customHeight="false" outlineLevel="0" collapsed="false">
      <c r="A4611" s="27"/>
      <c r="E4611" s="28"/>
      <c r="F4611" s="28"/>
      <c r="I4611" s="28" t="str">
        <f aca="false">IF(A4611="","",D4611*E4611)</f>
        <v/>
      </c>
      <c r="J4611" s="28" t="str">
        <f aca="false">IF(A4611="","",D4611*F4611)</f>
        <v/>
      </c>
      <c r="K4611" s="0" t="str">
        <f aca="false">IF(A4611="","",YEAR(A4611))</f>
        <v/>
      </c>
      <c r="L4611" s="0" t="str">
        <f aca="false">IF(A4611="","",MONTH(A4611))</f>
        <v/>
      </c>
    </row>
    <row r="4612" customFormat="false" ht="15" hidden="false" customHeight="false" outlineLevel="0" collapsed="false">
      <c r="A4612" s="27"/>
      <c r="E4612" s="28"/>
      <c r="F4612" s="28"/>
      <c r="I4612" s="28" t="str">
        <f aca="false">IF(A4612="","",D4612*E4612)</f>
        <v/>
      </c>
      <c r="J4612" s="28" t="str">
        <f aca="false">IF(A4612="","",D4612*F4612)</f>
        <v/>
      </c>
      <c r="K4612" s="0" t="str">
        <f aca="false">IF(A4612="","",YEAR(A4612))</f>
        <v/>
      </c>
      <c r="L4612" s="0" t="str">
        <f aca="false">IF(A4612="","",MONTH(A4612))</f>
        <v/>
      </c>
    </row>
    <row r="4613" customFormat="false" ht="15" hidden="false" customHeight="false" outlineLevel="0" collapsed="false">
      <c r="A4613" s="27"/>
      <c r="E4613" s="28"/>
      <c r="F4613" s="28"/>
      <c r="I4613" s="28" t="str">
        <f aca="false">IF(A4613="","",D4613*E4613)</f>
        <v/>
      </c>
      <c r="J4613" s="28" t="str">
        <f aca="false">IF(A4613="","",D4613*F4613)</f>
        <v/>
      </c>
      <c r="K4613" s="0" t="str">
        <f aca="false">IF(A4613="","",YEAR(A4613))</f>
        <v/>
      </c>
      <c r="L4613" s="0" t="str">
        <f aca="false">IF(A4613="","",MONTH(A4613))</f>
        <v/>
      </c>
    </row>
    <row r="4614" customFormat="false" ht="15" hidden="false" customHeight="false" outlineLevel="0" collapsed="false">
      <c r="A4614" s="27"/>
      <c r="E4614" s="28"/>
      <c r="F4614" s="28"/>
      <c r="I4614" s="28" t="str">
        <f aca="false">IF(A4614="","",D4614*E4614)</f>
        <v/>
      </c>
      <c r="J4614" s="28" t="str">
        <f aca="false">IF(A4614="","",D4614*F4614)</f>
        <v/>
      </c>
      <c r="K4614" s="0" t="str">
        <f aca="false">IF(A4614="","",YEAR(A4614))</f>
        <v/>
      </c>
      <c r="L4614" s="0" t="str">
        <f aca="false">IF(A4614="","",MONTH(A4614))</f>
        <v/>
      </c>
    </row>
    <row r="4615" customFormat="false" ht="15" hidden="false" customHeight="false" outlineLevel="0" collapsed="false">
      <c r="A4615" s="27"/>
      <c r="E4615" s="28"/>
      <c r="F4615" s="28"/>
      <c r="I4615" s="28" t="str">
        <f aca="false">IF(A4615="","",D4615*E4615)</f>
        <v/>
      </c>
      <c r="J4615" s="28" t="str">
        <f aca="false">IF(A4615="","",D4615*F4615)</f>
        <v/>
      </c>
      <c r="K4615" s="0" t="str">
        <f aca="false">IF(A4615="","",YEAR(A4615))</f>
        <v/>
      </c>
      <c r="L4615" s="0" t="str">
        <f aca="false">IF(A4615="","",MONTH(A4615))</f>
        <v/>
      </c>
    </row>
    <row r="4616" customFormat="false" ht="15" hidden="false" customHeight="false" outlineLevel="0" collapsed="false">
      <c r="A4616" s="27"/>
      <c r="E4616" s="28"/>
      <c r="F4616" s="28"/>
      <c r="I4616" s="28" t="str">
        <f aca="false">IF(A4616="","",D4616*E4616)</f>
        <v/>
      </c>
      <c r="J4616" s="28" t="str">
        <f aca="false">IF(A4616="","",D4616*F4616)</f>
        <v/>
      </c>
      <c r="K4616" s="0" t="str">
        <f aca="false">IF(A4616="","",YEAR(A4616))</f>
        <v/>
      </c>
      <c r="L4616" s="0" t="str">
        <f aca="false">IF(A4616="","",MONTH(A4616))</f>
        <v/>
      </c>
    </row>
    <row r="4617" customFormat="false" ht="15" hidden="false" customHeight="false" outlineLevel="0" collapsed="false">
      <c r="A4617" s="27"/>
      <c r="E4617" s="28"/>
      <c r="F4617" s="28"/>
      <c r="I4617" s="28" t="str">
        <f aca="false">IF(A4617="","",D4617*E4617)</f>
        <v/>
      </c>
      <c r="J4617" s="28" t="str">
        <f aca="false">IF(A4617="","",D4617*F4617)</f>
        <v/>
      </c>
      <c r="K4617" s="0" t="str">
        <f aca="false">IF(A4617="","",YEAR(A4617))</f>
        <v/>
      </c>
      <c r="L4617" s="0" t="str">
        <f aca="false">IF(A4617="","",MONTH(A4617))</f>
        <v/>
      </c>
    </row>
    <row r="4618" customFormat="false" ht="15" hidden="false" customHeight="false" outlineLevel="0" collapsed="false">
      <c r="A4618" s="27"/>
      <c r="E4618" s="28"/>
      <c r="F4618" s="28"/>
      <c r="I4618" s="28" t="str">
        <f aca="false">IF(A4618="","",D4618*E4618)</f>
        <v/>
      </c>
      <c r="J4618" s="28" t="str">
        <f aca="false">IF(A4618="","",D4618*F4618)</f>
        <v/>
      </c>
      <c r="K4618" s="0" t="str">
        <f aca="false">IF(A4618="","",YEAR(A4618))</f>
        <v/>
      </c>
      <c r="L4618" s="0" t="str">
        <f aca="false">IF(A4618="","",MONTH(A4618))</f>
        <v/>
      </c>
    </row>
    <row r="4619" customFormat="false" ht="15" hidden="false" customHeight="false" outlineLevel="0" collapsed="false">
      <c r="A4619" s="27"/>
      <c r="E4619" s="28"/>
      <c r="F4619" s="28"/>
      <c r="I4619" s="28" t="str">
        <f aca="false">IF(A4619="","",D4619*E4619)</f>
        <v/>
      </c>
      <c r="J4619" s="28" t="str">
        <f aca="false">IF(A4619="","",D4619*F4619)</f>
        <v/>
      </c>
      <c r="K4619" s="0" t="str">
        <f aca="false">IF(A4619="","",YEAR(A4619))</f>
        <v/>
      </c>
      <c r="L4619" s="0" t="str">
        <f aca="false">IF(A4619="","",MONTH(A4619))</f>
        <v/>
      </c>
    </row>
    <row r="4620" customFormat="false" ht="15" hidden="false" customHeight="false" outlineLevel="0" collapsed="false">
      <c r="A4620" s="27"/>
      <c r="E4620" s="28"/>
      <c r="F4620" s="28"/>
      <c r="I4620" s="28" t="str">
        <f aca="false">IF(A4620="","",D4620*E4620)</f>
        <v/>
      </c>
      <c r="J4620" s="28" t="str">
        <f aca="false">IF(A4620="","",D4620*F4620)</f>
        <v/>
      </c>
      <c r="K4620" s="0" t="str">
        <f aca="false">IF(A4620="","",YEAR(A4620))</f>
        <v/>
      </c>
      <c r="L4620" s="0" t="str">
        <f aca="false">IF(A4620="","",MONTH(A4620))</f>
        <v/>
      </c>
    </row>
    <row r="4621" customFormat="false" ht="15" hidden="false" customHeight="false" outlineLevel="0" collapsed="false">
      <c r="A4621" s="27"/>
      <c r="E4621" s="28"/>
      <c r="F4621" s="28"/>
      <c r="I4621" s="28" t="str">
        <f aca="false">IF(A4621="","",D4621*E4621)</f>
        <v/>
      </c>
      <c r="J4621" s="28" t="str">
        <f aca="false">IF(A4621="","",D4621*F4621)</f>
        <v/>
      </c>
      <c r="K4621" s="0" t="str">
        <f aca="false">IF(A4621="","",YEAR(A4621))</f>
        <v/>
      </c>
      <c r="L4621" s="0" t="str">
        <f aca="false">IF(A4621="","",MONTH(A4621))</f>
        <v/>
      </c>
    </row>
    <row r="4622" customFormat="false" ht="15" hidden="false" customHeight="false" outlineLevel="0" collapsed="false">
      <c r="A4622" s="27"/>
      <c r="E4622" s="28"/>
      <c r="F4622" s="28"/>
      <c r="I4622" s="28" t="str">
        <f aca="false">IF(A4622="","",D4622*E4622)</f>
        <v/>
      </c>
      <c r="J4622" s="28" t="str">
        <f aca="false">IF(A4622="","",D4622*F4622)</f>
        <v/>
      </c>
      <c r="K4622" s="0" t="str">
        <f aca="false">IF(A4622="","",YEAR(A4622))</f>
        <v/>
      </c>
      <c r="L4622" s="0" t="str">
        <f aca="false">IF(A4622="","",MONTH(A4622))</f>
        <v/>
      </c>
    </row>
    <row r="4623" customFormat="false" ht="15" hidden="false" customHeight="false" outlineLevel="0" collapsed="false">
      <c r="A4623" s="27"/>
      <c r="E4623" s="28"/>
      <c r="F4623" s="28"/>
      <c r="I4623" s="28" t="str">
        <f aca="false">IF(A4623="","",D4623*E4623)</f>
        <v/>
      </c>
      <c r="J4623" s="28" t="str">
        <f aca="false">IF(A4623="","",D4623*F4623)</f>
        <v/>
      </c>
      <c r="K4623" s="0" t="str">
        <f aca="false">IF(A4623="","",YEAR(A4623))</f>
        <v/>
      </c>
      <c r="L4623" s="0" t="str">
        <f aca="false">IF(A4623="","",MONTH(A4623))</f>
        <v/>
      </c>
    </row>
    <row r="4624" customFormat="false" ht="15" hidden="false" customHeight="false" outlineLevel="0" collapsed="false">
      <c r="A4624" s="27"/>
      <c r="E4624" s="28"/>
      <c r="F4624" s="28"/>
      <c r="I4624" s="28" t="str">
        <f aca="false">IF(A4624="","",D4624*E4624)</f>
        <v/>
      </c>
      <c r="J4624" s="28" t="str">
        <f aca="false">IF(A4624="","",D4624*F4624)</f>
        <v/>
      </c>
      <c r="K4624" s="0" t="str">
        <f aca="false">IF(A4624="","",YEAR(A4624))</f>
        <v/>
      </c>
      <c r="L4624" s="0" t="str">
        <f aca="false">IF(A4624="","",MONTH(A4624))</f>
        <v/>
      </c>
    </row>
    <row r="4625" customFormat="false" ht="15" hidden="false" customHeight="false" outlineLevel="0" collapsed="false">
      <c r="A4625" s="27"/>
      <c r="E4625" s="28"/>
      <c r="F4625" s="28"/>
      <c r="I4625" s="28" t="str">
        <f aca="false">IF(A4625="","",D4625*E4625)</f>
        <v/>
      </c>
      <c r="J4625" s="28" t="str">
        <f aca="false">IF(A4625="","",D4625*F4625)</f>
        <v/>
      </c>
      <c r="K4625" s="0" t="str">
        <f aca="false">IF(A4625="","",YEAR(A4625))</f>
        <v/>
      </c>
      <c r="L4625" s="0" t="str">
        <f aca="false">IF(A4625="","",MONTH(A4625))</f>
        <v/>
      </c>
    </row>
    <row r="4626" customFormat="false" ht="15" hidden="false" customHeight="false" outlineLevel="0" collapsed="false">
      <c r="A4626" s="27"/>
      <c r="E4626" s="28"/>
      <c r="F4626" s="28"/>
      <c r="I4626" s="28" t="str">
        <f aca="false">IF(A4626="","",D4626*E4626)</f>
        <v/>
      </c>
      <c r="J4626" s="28" t="str">
        <f aca="false">IF(A4626="","",D4626*F4626)</f>
        <v/>
      </c>
      <c r="K4626" s="0" t="str">
        <f aca="false">IF(A4626="","",YEAR(A4626))</f>
        <v/>
      </c>
      <c r="L4626" s="0" t="str">
        <f aca="false">IF(A4626="","",MONTH(A4626))</f>
        <v/>
      </c>
    </row>
    <row r="4627" customFormat="false" ht="15" hidden="false" customHeight="false" outlineLevel="0" collapsed="false">
      <c r="A4627" s="27"/>
      <c r="E4627" s="28"/>
      <c r="F4627" s="28"/>
      <c r="I4627" s="28" t="str">
        <f aca="false">IF(A4627="","",D4627*E4627)</f>
        <v/>
      </c>
      <c r="J4627" s="28" t="str">
        <f aca="false">IF(A4627="","",D4627*F4627)</f>
        <v/>
      </c>
      <c r="K4627" s="0" t="str">
        <f aca="false">IF(A4627="","",YEAR(A4627))</f>
        <v/>
      </c>
      <c r="L4627" s="0" t="str">
        <f aca="false">IF(A4627="","",MONTH(A4627))</f>
        <v/>
      </c>
    </row>
    <row r="4628" customFormat="false" ht="15" hidden="false" customHeight="false" outlineLevel="0" collapsed="false">
      <c r="A4628" s="27"/>
      <c r="E4628" s="28"/>
      <c r="F4628" s="28"/>
      <c r="I4628" s="28" t="str">
        <f aca="false">IF(A4628="","",D4628*E4628)</f>
        <v/>
      </c>
      <c r="J4628" s="28" t="str">
        <f aca="false">IF(A4628="","",D4628*F4628)</f>
        <v/>
      </c>
      <c r="K4628" s="0" t="str">
        <f aca="false">IF(A4628="","",YEAR(A4628))</f>
        <v/>
      </c>
      <c r="L4628" s="0" t="str">
        <f aca="false">IF(A4628="","",MONTH(A4628))</f>
        <v/>
      </c>
    </row>
    <row r="4629" customFormat="false" ht="15" hidden="false" customHeight="false" outlineLevel="0" collapsed="false">
      <c r="A4629" s="27"/>
      <c r="E4629" s="28"/>
      <c r="F4629" s="28"/>
      <c r="I4629" s="28" t="str">
        <f aca="false">IF(A4629="","",D4629*E4629)</f>
        <v/>
      </c>
      <c r="J4629" s="28" t="str">
        <f aca="false">IF(A4629="","",D4629*F4629)</f>
        <v/>
      </c>
      <c r="K4629" s="0" t="str">
        <f aca="false">IF(A4629="","",YEAR(A4629))</f>
        <v/>
      </c>
      <c r="L4629" s="0" t="str">
        <f aca="false">IF(A4629="","",MONTH(A4629))</f>
        <v/>
      </c>
    </row>
    <row r="4630" customFormat="false" ht="15" hidden="false" customHeight="false" outlineLevel="0" collapsed="false">
      <c r="A4630" s="27"/>
      <c r="E4630" s="28"/>
      <c r="F4630" s="28"/>
      <c r="I4630" s="28" t="str">
        <f aca="false">IF(A4630="","",D4630*E4630)</f>
        <v/>
      </c>
      <c r="J4630" s="28" t="str">
        <f aca="false">IF(A4630="","",D4630*F4630)</f>
        <v/>
      </c>
      <c r="K4630" s="0" t="str">
        <f aca="false">IF(A4630="","",YEAR(A4630))</f>
        <v/>
      </c>
      <c r="L4630" s="0" t="str">
        <f aca="false">IF(A4630="","",MONTH(A4630))</f>
        <v/>
      </c>
    </row>
    <row r="4631" customFormat="false" ht="15" hidden="false" customHeight="false" outlineLevel="0" collapsed="false">
      <c r="A4631" s="27"/>
      <c r="E4631" s="28"/>
      <c r="F4631" s="28"/>
      <c r="I4631" s="28" t="str">
        <f aca="false">IF(A4631="","",D4631*E4631)</f>
        <v/>
      </c>
      <c r="J4631" s="28" t="str">
        <f aca="false">IF(A4631="","",D4631*F4631)</f>
        <v/>
      </c>
      <c r="K4631" s="0" t="str">
        <f aca="false">IF(A4631="","",YEAR(A4631))</f>
        <v/>
      </c>
      <c r="L4631" s="0" t="str">
        <f aca="false">IF(A4631="","",MONTH(A4631))</f>
        <v/>
      </c>
    </row>
    <row r="4632" customFormat="false" ht="15" hidden="false" customHeight="false" outlineLevel="0" collapsed="false">
      <c r="A4632" s="27"/>
      <c r="E4632" s="28"/>
      <c r="F4632" s="28"/>
      <c r="I4632" s="28" t="str">
        <f aca="false">IF(A4632="","",D4632*E4632)</f>
        <v/>
      </c>
      <c r="J4632" s="28" t="str">
        <f aca="false">IF(A4632="","",D4632*F4632)</f>
        <v/>
      </c>
      <c r="K4632" s="0" t="str">
        <f aca="false">IF(A4632="","",YEAR(A4632))</f>
        <v/>
      </c>
      <c r="L4632" s="0" t="str">
        <f aca="false">IF(A4632="","",MONTH(A4632))</f>
        <v/>
      </c>
    </row>
    <row r="4633" customFormat="false" ht="15" hidden="false" customHeight="false" outlineLevel="0" collapsed="false">
      <c r="A4633" s="27"/>
      <c r="E4633" s="28"/>
      <c r="F4633" s="28"/>
      <c r="I4633" s="28" t="str">
        <f aca="false">IF(A4633="","",D4633*E4633)</f>
        <v/>
      </c>
      <c r="J4633" s="28" t="str">
        <f aca="false">IF(A4633="","",D4633*F4633)</f>
        <v/>
      </c>
      <c r="K4633" s="0" t="str">
        <f aca="false">IF(A4633="","",YEAR(A4633))</f>
        <v/>
      </c>
      <c r="L4633" s="0" t="str">
        <f aca="false">IF(A4633="","",MONTH(A4633))</f>
        <v/>
      </c>
    </row>
    <row r="4634" customFormat="false" ht="15" hidden="false" customHeight="false" outlineLevel="0" collapsed="false">
      <c r="A4634" s="27"/>
      <c r="E4634" s="28"/>
      <c r="F4634" s="28"/>
      <c r="I4634" s="28" t="str">
        <f aca="false">IF(A4634="","",D4634*E4634)</f>
        <v/>
      </c>
      <c r="J4634" s="28" t="str">
        <f aca="false">IF(A4634="","",D4634*F4634)</f>
        <v/>
      </c>
      <c r="K4634" s="0" t="str">
        <f aca="false">IF(A4634="","",YEAR(A4634))</f>
        <v/>
      </c>
      <c r="L4634" s="0" t="str">
        <f aca="false">IF(A4634="","",MONTH(A4634))</f>
        <v/>
      </c>
    </row>
    <row r="4635" customFormat="false" ht="15" hidden="false" customHeight="false" outlineLevel="0" collapsed="false">
      <c r="A4635" s="27"/>
      <c r="E4635" s="28"/>
      <c r="F4635" s="28"/>
      <c r="I4635" s="28" t="str">
        <f aca="false">IF(A4635="","",D4635*E4635)</f>
        <v/>
      </c>
      <c r="J4635" s="28" t="str">
        <f aca="false">IF(A4635="","",D4635*F4635)</f>
        <v/>
      </c>
      <c r="K4635" s="0" t="str">
        <f aca="false">IF(A4635="","",YEAR(A4635))</f>
        <v/>
      </c>
      <c r="L4635" s="0" t="str">
        <f aca="false">IF(A4635="","",MONTH(A4635))</f>
        <v/>
      </c>
    </row>
    <row r="4636" customFormat="false" ht="15" hidden="false" customHeight="false" outlineLevel="0" collapsed="false">
      <c r="A4636" s="27"/>
      <c r="E4636" s="28"/>
      <c r="F4636" s="28"/>
      <c r="I4636" s="28" t="str">
        <f aca="false">IF(A4636="","",D4636*E4636)</f>
        <v/>
      </c>
      <c r="J4636" s="28" t="str">
        <f aca="false">IF(A4636="","",D4636*F4636)</f>
        <v/>
      </c>
      <c r="K4636" s="0" t="str">
        <f aca="false">IF(A4636="","",YEAR(A4636))</f>
        <v/>
      </c>
      <c r="L4636" s="0" t="str">
        <f aca="false">IF(A4636="","",MONTH(A4636))</f>
        <v/>
      </c>
    </row>
    <row r="4637" customFormat="false" ht="15" hidden="false" customHeight="false" outlineLevel="0" collapsed="false">
      <c r="A4637" s="27"/>
      <c r="E4637" s="28"/>
      <c r="F4637" s="28"/>
      <c r="I4637" s="28" t="str">
        <f aca="false">IF(A4637="","",D4637*E4637)</f>
        <v/>
      </c>
      <c r="J4637" s="28" t="str">
        <f aca="false">IF(A4637="","",D4637*F4637)</f>
        <v/>
      </c>
      <c r="K4637" s="0" t="str">
        <f aca="false">IF(A4637="","",YEAR(A4637))</f>
        <v/>
      </c>
      <c r="L4637" s="0" t="str">
        <f aca="false">IF(A4637="","",MONTH(A4637))</f>
        <v/>
      </c>
    </row>
    <row r="4638" customFormat="false" ht="15" hidden="false" customHeight="false" outlineLevel="0" collapsed="false">
      <c r="A4638" s="27"/>
      <c r="E4638" s="28"/>
      <c r="F4638" s="28"/>
      <c r="I4638" s="28" t="str">
        <f aca="false">IF(A4638="","",D4638*E4638)</f>
        <v/>
      </c>
      <c r="J4638" s="28" t="str">
        <f aca="false">IF(A4638="","",D4638*F4638)</f>
        <v/>
      </c>
      <c r="K4638" s="0" t="str">
        <f aca="false">IF(A4638="","",YEAR(A4638))</f>
        <v/>
      </c>
      <c r="L4638" s="0" t="str">
        <f aca="false">IF(A4638="","",MONTH(A4638))</f>
        <v/>
      </c>
    </row>
    <row r="4639" customFormat="false" ht="15" hidden="false" customHeight="false" outlineLevel="0" collapsed="false">
      <c r="A4639" s="27"/>
      <c r="E4639" s="28"/>
      <c r="F4639" s="28"/>
      <c r="I4639" s="28" t="str">
        <f aca="false">IF(A4639="","",D4639*E4639)</f>
        <v/>
      </c>
      <c r="J4639" s="28" t="str">
        <f aca="false">IF(A4639="","",D4639*F4639)</f>
        <v/>
      </c>
      <c r="K4639" s="0" t="str">
        <f aca="false">IF(A4639="","",YEAR(A4639))</f>
        <v/>
      </c>
      <c r="L4639" s="0" t="str">
        <f aca="false">IF(A4639="","",MONTH(A4639))</f>
        <v/>
      </c>
    </row>
    <row r="4640" customFormat="false" ht="15" hidden="false" customHeight="false" outlineLevel="0" collapsed="false">
      <c r="A4640" s="27"/>
      <c r="E4640" s="28"/>
      <c r="F4640" s="28"/>
      <c r="I4640" s="28" t="str">
        <f aca="false">IF(A4640="","",D4640*E4640)</f>
        <v/>
      </c>
      <c r="J4640" s="28" t="str">
        <f aca="false">IF(A4640="","",D4640*F4640)</f>
        <v/>
      </c>
      <c r="K4640" s="0" t="str">
        <f aca="false">IF(A4640="","",YEAR(A4640))</f>
        <v/>
      </c>
      <c r="L4640" s="0" t="str">
        <f aca="false">IF(A4640="","",MONTH(A4640))</f>
        <v/>
      </c>
    </row>
    <row r="4641" customFormat="false" ht="15" hidden="false" customHeight="false" outlineLevel="0" collapsed="false">
      <c r="A4641" s="27"/>
      <c r="E4641" s="28"/>
      <c r="F4641" s="28"/>
      <c r="I4641" s="28" t="str">
        <f aca="false">IF(A4641="","",D4641*E4641)</f>
        <v/>
      </c>
      <c r="J4641" s="28" t="str">
        <f aca="false">IF(A4641="","",D4641*F4641)</f>
        <v/>
      </c>
      <c r="K4641" s="0" t="str">
        <f aca="false">IF(A4641="","",YEAR(A4641))</f>
        <v/>
      </c>
      <c r="L4641" s="0" t="str">
        <f aca="false">IF(A4641="","",MONTH(A4641))</f>
        <v/>
      </c>
    </row>
    <row r="4642" customFormat="false" ht="15" hidden="false" customHeight="false" outlineLevel="0" collapsed="false">
      <c r="A4642" s="27"/>
      <c r="E4642" s="28"/>
      <c r="F4642" s="28"/>
      <c r="I4642" s="28" t="str">
        <f aca="false">IF(A4642="","",D4642*E4642)</f>
        <v/>
      </c>
      <c r="J4642" s="28" t="str">
        <f aca="false">IF(A4642="","",D4642*F4642)</f>
        <v/>
      </c>
      <c r="K4642" s="0" t="str">
        <f aca="false">IF(A4642="","",YEAR(A4642))</f>
        <v/>
      </c>
      <c r="L4642" s="0" t="str">
        <f aca="false">IF(A4642="","",MONTH(A4642))</f>
        <v/>
      </c>
    </row>
    <row r="4643" customFormat="false" ht="15" hidden="false" customHeight="false" outlineLevel="0" collapsed="false">
      <c r="A4643" s="27"/>
      <c r="E4643" s="28"/>
      <c r="F4643" s="28"/>
      <c r="I4643" s="28" t="str">
        <f aca="false">IF(A4643="","",D4643*E4643)</f>
        <v/>
      </c>
      <c r="J4643" s="28" t="str">
        <f aca="false">IF(A4643="","",D4643*F4643)</f>
        <v/>
      </c>
      <c r="K4643" s="0" t="str">
        <f aca="false">IF(A4643="","",YEAR(A4643))</f>
        <v/>
      </c>
      <c r="L4643" s="0" t="str">
        <f aca="false">IF(A4643="","",MONTH(A4643))</f>
        <v/>
      </c>
    </row>
    <row r="4644" customFormat="false" ht="15" hidden="false" customHeight="false" outlineLevel="0" collapsed="false">
      <c r="A4644" s="27"/>
      <c r="E4644" s="28"/>
      <c r="F4644" s="28"/>
      <c r="I4644" s="28" t="str">
        <f aca="false">IF(A4644="","",D4644*E4644)</f>
        <v/>
      </c>
      <c r="J4644" s="28" t="str">
        <f aca="false">IF(A4644="","",D4644*F4644)</f>
        <v/>
      </c>
      <c r="K4644" s="0" t="str">
        <f aca="false">IF(A4644="","",YEAR(A4644))</f>
        <v/>
      </c>
      <c r="L4644" s="0" t="str">
        <f aca="false">IF(A4644="","",MONTH(A4644))</f>
        <v/>
      </c>
    </row>
    <row r="4645" customFormat="false" ht="15" hidden="false" customHeight="false" outlineLevel="0" collapsed="false">
      <c r="A4645" s="27"/>
      <c r="E4645" s="28"/>
      <c r="F4645" s="28"/>
      <c r="I4645" s="28" t="str">
        <f aca="false">IF(A4645="","",D4645*E4645)</f>
        <v/>
      </c>
      <c r="J4645" s="28" t="str">
        <f aca="false">IF(A4645="","",D4645*F4645)</f>
        <v/>
      </c>
      <c r="K4645" s="0" t="str">
        <f aca="false">IF(A4645="","",YEAR(A4645))</f>
        <v/>
      </c>
      <c r="L4645" s="0" t="str">
        <f aca="false">IF(A4645="","",MONTH(A4645))</f>
        <v/>
      </c>
    </row>
    <row r="4646" customFormat="false" ht="15" hidden="false" customHeight="false" outlineLevel="0" collapsed="false">
      <c r="A4646" s="27"/>
      <c r="E4646" s="28"/>
      <c r="F4646" s="28"/>
      <c r="I4646" s="28" t="str">
        <f aca="false">IF(A4646="","",D4646*E4646)</f>
        <v/>
      </c>
      <c r="J4646" s="28" t="str">
        <f aca="false">IF(A4646="","",D4646*F4646)</f>
        <v/>
      </c>
      <c r="K4646" s="0" t="str">
        <f aca="false">IF(A4646="","",YEAR(A4646))</f>
        <v/>
      </c>
      <c r="L4646" s="0" t="str">
        <f aca="false">IF(A4646="","",MONTH(A4646))</f>
        <v/>
      </c>
    </row>
    <row r="4647" customFormat="false" ht="15" hidden="false" customHeight="false" outlineLevel="0" collapsed="false">
      <c r="A4647" s="27"/>
      <c r="E4647" s="28"/>
      <c r="F4647" s="28"/>
      <c r="I4647" s="28" t="str">
        <f aca="false">IF(A4647="","",D4647*E4647)</f>
        <v/>
      </c>
      <c r="J4647" s="28" t="str">
        <f aca="false">IF(A4647="","",D4647*F4647)</f>
        <v/>
      </c>
      <c r="K4647" s="0" t="str">
        <f aca="false">IF(A4647="","",YEAR(A4647))</f>
        <v/>
      </c>
      <c r="L4647" s="0" t="str">
        <f aca="false">IF(A4647="","",MONTH(A4647))</f>
        <v/>
      </c>
    </row>
    <row r="4648" customFormat="false" ht="15" hidden="false" customHeight="false" outlineLevel="0" collapsed="false">
      <c r="A4648" s="27"/>
      <c r="E4648" s="28"/>
      <c r="F4648" s="28"/>
      <c r="I4648" s="28" t="str">
        <f aca="false">IF(A4648="","",D4648*E4648)</f>
        <v/>
      </c>
      <c r="J4648" s="28" t="str">
        <f aca="false">IF(A4648="","",D4648*F4648)</f>
        <v/>
      </c>
      <c r="K4648" s="0" t="str">
        <f aca="false">IF(A4648="","",YEAR(A4648))</f>
        <v/>
      </c>
      <c r="L4648" s="0" t="str">
        <f aca="false">IF(A4648="","",MONTH(A4648))</f>
        <v/>
      </c>
    </row>
    <row r="4649" customFormat="false" ht="15" hidden="false" customHeight="false" outlineLevel="0" collapsed="false">
      <c r="A4649" s="27"/>
      <c r="E4649" s="28"/>
      <c r="F4649" s="28"/>
      <c r="I4649" s="28" t="str">
        <f aca="false">IF(A4649="","",D4649*E4649)</f>
        <v/>
      </c>
      <c r="J4649" s="28" t="str">
        <f aca="false">IF(A4649="","",D4649*F4649)</f>
        <v/>
      </c>
      <c r="K4649" s="0" t="str">
        <f aca="false">IF(A4649="","",YEAR(A4649))</f>
        <v/>
      </c>
      <c r="L4649" s="0" t="str">
        <f aca="false">IF(A4649="","",MONTH(A4649))</f>
        <v/>
      </c>
    </row>
    <row r="4650" customFormat="false" ht="15" hidden="false" customHeight="false" outlineLevel="0" collapsed="false">
      <c r="A4650" s="27"/>
      <c r="E4650" s="28"/>
      <c r="F4650" s="28"/>
      <c r="I4650" s="28" t="str">
        <f aca="false">IF(A4650="","",D4650*E4650)</f>
        <v/>
      </c>
      <c r="J4650" s="28" t="str">
        <f aca="false">IF(A4650="","",D4650*F4650)</f>
        <v/>
      </c>
      <c r="K4650" s="0" t="str">
        <f aca="false">IF(A4650="","",YEAR(A4650))</f>
        <v/>
      </c>
      <c r="L4650" s="0" t="str">
        <f aca="false">IF(A4650="","",MONTH(A4650))</f>
        <v/>
      </c>
    </row>
    <row r="4651" customFormat="false" ht="15" hidden="false" customHeight="false" outlineLevel="0" collapsed="false">
      <c r="A4651" s="27"/>
      <c r="E4651" s="28"/>
      <c r="F4651" s="28"/>
      <c r="I4651" s="28" t="str">
        <f aca="false">IF(A4651="","",D4651*E4651)</f>
        <v/>
      </c>
      <c r="J4651" s="28" t="str">
        <f aca="false">IF(A4651="","",D4651*F4651)</f>
        <v/>
      </c>
      <c r="K4651" s="0" t="str">
        <f aca="false">IF(A4651="","",YEAR(A4651))</f>
        <v/>
      </c>
      <c r="L4651" s="0" t="str">
        <f aca="false">IF(A4651="","",MONTH(A4651))</f>
        <v/>
      </c>
    </row>
    <row r="4652" customFormat="false" ht="15" hidden="false" customHeight="false" outlineLevel="0" collapsed="false">
      <c r="A4652" s="27"/>
      <c r="E4652" s="28"/>
      <c r="F4652" s="28"/>
      <c r="I4652" s="28" t="str">
        <f aca="false">IF(A4652="","",D4652*E4652)</f>
        <v/>
      </c>
      <c r="J4652" s="28" t="str">
        <f aca="false">IF(A4652="","",D4652*F4652)</f>
        <v/>
      </c>
      <c r="K4652" s="0" t="str">
        <f aca="false">IF(A4652="","",YEAR(A4652))</f>
        <v/>
      </c>
      <c r="L4652" s="0" t="str">
        <f aca="false">IF(A4652="","",MONTH(A4652))</f>
        <v/>
      </c>
    </row>
    <row r="4653" customFormat="false" ht="15" hidden="false" customHeight="false" outlineLevel="0" collapsed="false">
      <c r="A4653" s="27"/>
      <c r="E4653" s="28"/>
      <c r="F4653" s="28"/>
      <c r="I4653" s="28" t="str">
        <f aca="false">IF(A4653="","",D4653*E4653)</f>
        <v/>
      </c>
      <c r="J4653" s="28" t="str">
        <f aca="false">IF(A4653="","",D4653*F4653)</f>
        <v/>
      </c>
      <c r="K4653" s="0" t="str">
        <f aca="false">IF(A4653="","",YEAR(A4653))</f>
        <v/>
      </c>
      <c r="L4653" s="0" t="str">
        <f aca="false">IF(A4653="","",MONTH(A4653))</f>
        <v/>
      </c>
    </row>
    <row r="4654" customFormat="false" ht="15" hidden="false" customHeight="false" outlineLevel="0" collapsed="false">
      <c r="A4654" s="27"/>
      <c r="E4654" s="28"/>
      <c r="F4654" s="28"/>
      <c r="I4654" s="28" t="str">
        <f aca="false">IF(A4654="","",D4654*E4654)</f>
        <v/>
      </c>
      <c r="J4654" s="28" t="str">
        <f aca="false">IF(A4654="","",D4654*F4654)</f>
        <v/>
      </c>
      <c r="K4654" s="0" t="str">
        <f aca="false">IF(A4654="","",YEAR(A4654))</f>
        <v/>
      </c>
      <c r="L4654" s="0" t="str">
        <f aca="false">IF(A4654="","",MONTH(A4654))</f>
        <v/>
      </c>
    </row>
    <row r="4655" customFormat="false" ht="15" hidden="false" customHeight="false" outlineLevel="0" collapsed="false">
      <c r="A4655" s="27"/>
      <c r="E4655" s="28"/>
      <c r="F4655" s="28"/>
      <c r="I4655" s="28" t="str">
        <f aca="false">IF(A4655="","",D4655*E4655)</f>
        <v/>
      </c>
      <c r="J4655" s="28" t="str">
        <f aca="false">IF(A4655="","",D4655*F4655)</f>
        <v/>
      </c>
      <c r="K4655" s="0" t="str">
        <f aca="false">IF(A4655="","",YEAR(A4655))</f>
        <v/>
      </c>
      <c r="L4655" s="0" t="str">
        <f aca="false">IF(A4655="","",MONTH(A4655))</f>
        <v/>
      </c>
    </row>
    <row r="4656" customFormat="false" ht="15" hidden="false" customHeight="false" outlineLevel="0" collapsed="false">
      <c r="A4656" s="27"/>
      <c r="E4656" s="28"/>
      <c r="F4656" s="28"/>
      <c r="I4656" s="28" t="str">
        <f aca="false">IF(A4656="","",D4656*E4656)</f>
        <v/>
      </c>
      <c r="J4656" s="28" t="str">
        <f aca="false">IF(A4656="","",D4656*F4656)</f>
        <v/>
      </c>
      <c r="K4656" s="0" t="str">
        <f aca="false">IF(A4656="","",YEAR(A4656))</f>
        <v/>
      </c>
      <c r="L4656" s="0" t="str">
        <f aca="false">IF(A4656="","",MONTH(A4656))</f>
        <v/>
      </c>
    </row>
    <row r="4657" customFormat="false" ht="15" hidden="false" customHeight="false" outlineLevel="0" collapsed="false">
      <c r="A4657" s="27"/>
      <c r="E4657" s="28"/>
      <c r="F4657" s="28"/>
      <c r="I4657" s="28" t="str">
        <f aca="false">IF(A4657="","",D4657*E4657)</f>
        <v/>
      </c>
      <c r="J4657" s="28" t="str">
        <f aca="false">IF(A4657="","",D4657*F4657)</f>
        <v/>
      </c>
      <c r="K4657" s="0" t="str">
        <f aca="false">IF(A4657="","",YEAR(A4657))</f>
        <v/>
      </c>
      <c r="L4657" s="0" t="str">
        <f aca="false">IF(A4657="","",MONTH(A4657))</f>
        <v/>
      </c>
    </row>
    <row r="4658" customFormat="false" ht="15" hidden="false" customHeight="false" outlineLevel="0" collapsed="false">
      <c r="A4658" s="27"/>
      <c r="E4658" s="28"/>
      <c r="F4658" s="28"/>
      <c r="I4658" s="28" t="str">
        <f aca="false">IF(A4658="","",D4658*E4658)</f>
        <v/>
      </c>
      <c r="J4658" s="28" t="str">
        <f aca="false">IF(A4658="","",D4658*F4658)</f>
        <v/>
      </c>
      <c r="K4658" s="0" t="str">
        <f aca="false">IF(A4658="","",YEAR(A4658))</f>
        <v/>
      </c>
      <c r="L4658" s="0" t="str">
        <f aca="false">IF(A4658="","",MONTH(A4658))</f>
        <v/>
      </c>
    </row>
    <row r="4659" customFormat="false" ht="15" hidden="false" customHeight="false" outlineLevel="0" collapsed="false">
      <c r="A4659" s="27"/>
      <c r="E4659" s="28"/>
      <c r="F4659" s="28"/>
      <c r="I4659" s="28" t="str">
        <f aca="false">IF(A4659="","",D4659*E4659)</f>
        <v/>
      </c>
      <c r="J4659" s="28" t="str">
        <f aca="false">IF(A4659="","",D4659*F4659)</f>
        <v/>
      </c>
      <c r="K4659" s="0" t="str">
        <f aca="false">IF(A4659="","",YEAR(A4659))</f>
        <v/>
      </c>
      <c r="L4659" s="0" t="str">
        <f aca="false">IF(A4659="","",MONTH(A4659))</f>
        <v/>
      </c>
    </row>
    <row r="4660" customFormat="false" ht="15" hidden="false" customHeight="false" outlineLevel="0" collapsed="false">
      <c r="A4660" s="27"/>
      <c r="E4660" s="28"/>
      <c r="F4660" s="28"/>
      <c r="I4660" s="28" t="str">
        <f aca="false">IF(A4660="","",D4660*E4660)</f>
        <v/>
      </c>
      <c r="J4660" s="28" t="str">
        <f aca="false">IF(A4660="","",D4660*F4660)</f>
        <v/>
      </c>
      <c r="K4660" s="0" t="str">
        <f aca="false">IF(A4660="","",YEAR(A4660))</f>
        <v/>
      </c>
      <c r="L4660" s="0" t="str">
        <f aca="false">IF(A4660="","",MONTH(A4660))</f>
        <v/>
      </c>
    </row>
    <row r="4661" customFormat="false" ht="15" hidden="false" customHeight="false" outlineLevel="0" collapsed="false">
      <c r="A4661" s="27"/>
      <c r="E4661" s="28"/>
      <c r="F4661" s="28"/>
      <c r="I4661" s="28" t="str">
        <f aca="false">IF(A4661="","",D4661*E4661)</f>
        <v/>
      </c>
      <c r="J4661" s="28" t="str">
        <f aca="false">IF(A4661="","",D4661*F4661)</f>
        <v/>
      </c>
      <c r="K4661" s="0" t="str">
        <f aca="false">IF(A4661="","",YEAR(A4661))</f>
        <v/>
      </c>
      <c r="L4661" s="0" t="str">
        <f aca="false">IF(A4661="","",MONTH(A4661))</f>
        <v/>
      </c>
    </row>
    <row r="4662" customFormat="false" ht="15" hidden="false" customHeight="false" outlineLevel="0" collapsed="false">
      <c r="A4662" s="27"/>
      <c r="E4662" s="28"/>
      <c r="F4662" s="28"/>
      <c r="I4662" s="28" t="str">
        <f aca="false">IF(A4662="","",D4662*E4662)</f>
        <v/>
      </c>
      <c r="J4662" s="28" t="str">
        <f aca="false">IF(A4662="","",D4662*F4662)</f>
        <v/>
      </c>
      <c r="K4662" s="0" t="str">
        <f aca="false">IF(A4662="","",YEAR(A4662))</f>
        <v/>
      </c>
      <c r="L4662" s="0" t="str">
        <f aca="false">IF(A4662="","",MONTH(A4662))</f>
        <v/>
      </c>
    </row>
    <row r="4663" customFormat="false" ht="15" hidden="false" customHeight="false" outlineLevel="0" collapsed="false">
      <c r="A4663" s="27"/>
      <c r="E4663" s="28"/>
      <c r="F4663" s="28"/>
      <c r="I4663" s="28" t="str">
        <f aca="false">IF(A4663="","",D4663*E4663)</f>
        <v/>
      </c>
      <c r="J4663" s="28" t="str">
        <f aca="false">IF(A4663="","",D4663*F4663)</f>
        <v/>
      </c>
      <c r="K4663" s="0" t="str">
        <f aca="false">IF(A4663="","",YEAR(A4663))</f>
        <v/>
      </c>
      <c r="L4663" s="0" t="str">
        <f aca="false">IF(A4663="","",MONTH(A4663))</f>
        <v/>
      </c>
    </row>
    <row r="4664" customFormat="false" ht="15" hidden="false" customHeight="false" outlineLevel="0" collapsed="false">
      <c r="A4664" s="27"/>
      <c r="E4664" s="28"/>
      <c r="F4664" s="28"/>
      <c r="I4664" s="28" t="str">
        <f aca="false">IF(A4664="","",D4664*E4664)</f>
        <v/>
      </c>
      <c r="J4664" s="28" t="str">
        <f aca="false">IF(A4664="","",D4664*F4664)</f>
        <v/>
      </c>
      <c r="K4664" s="0" t="str">
        <f aca="false">IF(A4664="","",YEAR(A4664))</f>
        <v/>
      </c>
      <c r="L4664" s="0" t="str">
        <f aca="false">IF(A4664="","",MONTH(A4664))</f>
        <v/>
      </c>
    </row>
    <row r="4665" customFormat="false" ht="15" hidden="false" customHeight="false" outlineLevel="0" collapsed="false">
      <c r="A4665" s="27"/>
      <c r="E4665" s="28"/>
      <c r="F4665" s="28"/>
      <c r="I4665" s="28" t="str">
        <f aca="false">IF(A4665="","",D4665*E4665)</f>
        <v/>
      </c>
      <c r="J4665" s="28" t="str">
        <f aca="false">IF(A4665="","",D4665*F4665)</f>
        <v/>
      </c>
      <c r="K4665" s="0" t="str">
        <f aca="false">IF(A4665="","",YEAR(A4665))</f>
        <v/>
      </c>
      <c r="L4665" s="0" t="str">
        <f aca="false">IF(A4665="","",MONTH(A4665))</f>
        <v/>
      </c>
    </row>
    <row r="4666" customFormat="false" ht="15" hidden="false" customHeight="false" outlineLevel="0" collapsed="false">
      <c r="A4666" s="27"/>
      <c r="E4666" s="28"/>
      <c r="F4666" s="28"/>
      <c r="I4666" s="28" t="str">
        <f aca="false">IF(A4666="","",D4666*E4666)</f>
        <v/>
      </c>
      <c r="J4666" s="28" t="str">
        <f aca="false">IF(A4666="","",D4666*F4666)</f>
        <v/>
      </c>
      <c r="K4666" s="0" t="str">
        <f aca="false">IF(A4666="","",YEAR(A4666))</f>
        <v/>
      </c>
      <c r="L4666" s="0" t="str">
        <f aca="false">IF(A4666="","",MONTH(A4666))</f>
        <v/>
      </c>
    </row>
    <row r="4667" customFormat="false" ht="15" hidden="false" customHeight="false" outlineLevel="0" collapsed="false">
      <c r="A4667" s="27"/>
      <c r="E4667" s="28"/>
      <c r="F4667" s="28"/>
      <c r="I4667" s="28" t="str">
        <f aca="false">IF(A4667="","",D4667*E4667)</f>
        <v/>
      </c>
      <c r="J4667" s="28" t="str">
        <f aca="false">IF(A4667="","",D4667*F4667)</f>
        <v/>
      </c>
      <c r="K4667" s="0" t="str">
        <f aca="false">IF(A4667="","",YEAR(A4667))</f>
        <v/>
      </c>
      <c r="L4667" s="0" t="str">
        <f aca="false">IF(A4667="","",MONTH(A4667))</f>
        <v/>
      </c>
    </row>
    <row r="4668" customFormat="false" ht="15" hidden="false" customHeight="false" outlineLevel="0" collapsed="false">
      <c r="A4668" s="27"/>
      <c r="E4668" s="28"/>
      <c r="F4668" s="28"/>
      <c r="I4668" s="28" t="str">
        <f aca="false">IF(A4668="","",D4668*E4668)</f>
        <v/>
      </c>
      <c r="J4668" s="28" t="str">
        <f aca="false">IF(A4668="","",D4668*F4668)</f>
        <v/>
      </c>
      <c r="K4668" s="0" t="str">
        <f aca="false">IF(A4668="","",YEAR(A4668))</f>
        <v/>
      </c>
      <c r="L4668" s="0" t="str">
        <f aca="false">IF(A4668="","",MONTH(A4668))</f>
        <v/>
      </c>
    </row>
    <row r="4669" customFormat="false" ht="15" hidden="false" customHeight="false" outlineLevel="0" collapsed="false">
      <c r="A4669" s="27"/>
      <c r="E4669" s="28"/>
      <c r="F4669" s="28"/>
      <c r="I4669" s="28" t="str">
        <f aca="false">IF(A4669="","",D4669*E4669)</f>
        <v/>
      </c>
      <c r="J4669" s="28" t="str">
        <f aca="false">IF(A4669="","",D4669*F4669)</f>
        <v/>
      </c>
      <c r="K4669" s="0" t="str">
        <f aca="false">IF(A4669="","",YEAR(A4669))</f>
        <v/>
      </c>
      <c r="L4669" s="0" t="str">
        <f aca="false">IF(A4669="","",MONTH(A4669))</f>
        <v/>
      </c>
    </row>
    <row r="4670" customFormat="false" ht="15" hidden="false" customHeight="false" outlineLevel="0" collapsed="false">
      <c r="A4670" s="27"/>
      <c r="E4670" s="28"/>
      <c r="F4670" s="28"/>
      <c r="I4670" s="28" t="str">
        <f aca="false">IF(A4670="","",D4670*E4670)</f>
        <v/>
      </c>
      <c r="J4670" s="28" t="str">
        <f aca="false">IF(A4670="","",D4670*F4670)</f>
        <v/>
      </c>
      <c r="K4670" s="0" t="str">
        <f aca="false">IF(A4670="","",YEAR(A4670))</f>
        <v/>
      </c>
      <c r="L4670" s="0" t="str">
        <f aca="false">IF(A4670="","",MONTH(A4670))</f>
        <v/>
      </c>
    </row>
    <row r="4671" customFormat="false" ht="15" hidden="false" customHeight="false" outlineLevel="0" collapsed="false">
      <c r="A4671" s="27"/>
      <c r="E4671" s="28"/>
      <c r="F4671" s="28"/>
      <c r="I4671" s="28" t="str">
        <f aca="false">IF(A4671="","",D4671*E4671)</f>
        <v/>
      </c>
      <c r="J4671" s="28" t="str">
        <f aca="false">IF(A4671="","",D4671*F4671)</f>
        <v/>
      </c>
      <c r="K4671" s="0" t="str">
        <f aca="false">IF(A4671="","",YEAR(A4671))</f>
        <v/>
      </c>
      <c r="L4671" s="0" t="str">
        <f aca="false">IF(A4671="","",MONTH(A4671))</f>
        <v/>
      </c>
    </row>
    <row r="4672" customFormat="false" ht="15" hidden="false" customHeight="false" outlineLevel="0" collapsed="false">
      <c r="A4672" s="27"/>
      <c r="E4672" s="28"/>
      <c r="F4672" s="28"/>
      <c r="I4672" s="28" t="str">
        <f aca="false">IF(A4672="","",D4672*E4672)</f>
        <v/>
      </c>
      <c r="J4672" s="28" t="str">
        <f aca="false">IF(A4672="","",D4672*F4672)</f>
        <v/>
      </c>
      <c r="K4672" s="0" t="str">
        <f aca="false">IF(A4672="","",YEAR(A4672))</f>
        <v/>
      </c>
      <c r="L4672" s="0" t="str">
        <f aca="false">IF(A4672="","",MONTH(A4672))</f>
        <v/>
      </c>
    </row>
    <row r="4673" customFormat="false" ht="15" hidden="false" customHeight="false" outlineLevel="0" collapsed="false">
      <c r="A4673" s="27"/>
      <c r="E4673" s="28"/>
      <c r="F4673" s="28"/>
      <c r="I4673" s="28" t="str">
        <f aca="false">IF(A4673="","",D4673*E4673)</f>
        <v/>
      </c>
      <c r="J4673" s="28" t="str">
        <f aca="false">IF(A4673="","",D4673*F4673)</f>
        <v/>
      </c>
      <c r="K4673" s="0" t="str">
        <f aca="false">IF(A4673="","",YEAR(A4673))</f>
        <v/>
      </c>
      <c r="L4673" s="0" t="str">
        <f aca="false">IF(A4673="","",MONTH(A4673))</f>
        <v/>
      </c>
    </row>
    <row r="4674" customFormat="false" ht="15" hidden="false" customHeight="false" outlineLevel="0" collapsed="false">
      <c r="A4674" s="27"/>
      <c r="E4674" s="28"/>
      <c r="F4674" s="28"/>
      <c r="I4674" s="28" t="str">
        <f aca="false">IF(A4674="","",D4674*E4674)</f>
        <v/>
      </c>
      <c r="J4674" s="28" t="str">
        <f aca="false">IF(A4674="","",D4674*F4674)</f>
        <v/>
      </c>
      <c r="K4674" s="0" t="str">
        <f aca="false">IF(A4674="","",YEAR(A4674))</f>
        <v/>
      </c>
      <c r="L4674" s="0" t="str">
        <f aca="false">IF(A4674="","",MONTH(A4674))</f>
        <v/>
      </c>
    </row>
    <row r="4675" customFormat="false" ht="15" hidden="false" customHeight="false" outlineLevel="0" collapsed="false">
      <c r="A4675" s="27"/>
      <c r="E4675" s="28"/>
      <c r="F4675" s="28"/>
      <c r="I4675" s="28" t="str">
        <f aca="false">IF(A4675="","",D4675*E4675)</f>
        <v/>
      </c>
      <c r="J4675" s="28" t="str">
        <f aca="false">IF(A4675="","",D4675*F4675)</f>
        <v/>
      </c>
      <c r="K4675" s="0" t="str">
        <f aca="false">IF(A4675="","",YEAR(A4675))</f>
        <v/>
      </c>
      <c r="L4675" s="0" t="str">
        <f aca="false">IF(A4675="","",MONTH(A4675))</f>
        <v/>
      </c>
    </row>
    <row r="4676" customFormat="false" ht="15" hidden="false" customHeight="false" outlineLevel="0" collapsed="false">
      <c r="A4676" s="27"/>
      <c r="E4676" s="28"/>
      <c r="F4676" s="28"/>
      <c r="I4676" s="28" t="str">
        <f aca="false">IF(A4676="","",D4676*E4676)</f>
        <v/>
      </c>
      <c r="J4676" s="28" t="str">
        <f aca="false">IF(A4676="","",D4676*F4676)</f>
        <v/>
      </c>
      <c r="K4676" s="0" t="str">
        <f aca="false">IF(A4676="","",YEAR(A4676))</f>
        <v/>
      </c>
      <c r="L4676" s="0" t="str">
        <f aca="false">IF(A4676="","",MONTH(A4676))</f>
        <v/>
      </c>
    </row>
    <row r="4677" customFormat="false" ht="15" hidden="false" customHeight="false" outlineLevel="0" collapsed="false">
      <c r="A4677" s="27"/>
      <c r="E4677" s="28"/>
      <c r="F4677" s="28"/>
      <c r="I4677" s="28" t="str">
        <f aca="false">IF(A4677="","",D4677*E4677)</f>
        <v/>
      </c>
      <c r="J4677" s="28" t="str">
        <f aca="false">IF(A4677="","",D4677*F4677)</f>
        <v/>
      </c>
      <c r="K4677" s="0" t="str">
        <f aca="false">IF(A4677="","",YEAR(A4677))</f>
        <v/>
      </c>
      <c r="L4677" s="0" t="str">
        <f aca="false">IF(A4677="","",MONTH(A4677))</f>
        <v/>
      </c>
    </row>
    <row r="4678" customFormat="false" ht="15" hidden="false" customHeight="false" outlineLevel="0" collapsed="false">
      <c r="A4678" s="27"/>
      <c r="E4678" s="28"/>
      <c r="F4678" s="28"/>
      <c r="I4678" s="28" t="str">
        <f aca="false">IF(A4678="","",D4678*E4678)</f>
        <v/>
      </c>
      <c r="J4678" s="28" t="str">
        <f aca="false">IF(A4678="","",D4678*F4678)</f>
        <v/>
      </c>
      <c r="K4678" s="0" t="str">
        <f aca="false">IF(A4678="","",YEAR(A4678))</f>
        <v/>
      </c>
      <c r="L4678" s="0" t="str">
        <f aca="false">IF(A4678="","",MONTH(A4678))</f>
        <v/>
      </c>
    </row>
    <row r="4679" customFormat="false" ht="15" hidden="false" customHeight="false" outlineLevel="0" collapsed="false">
      <c r="A4679" s="27"/>
      <c r="E4679" s="28"/>
      <c r="F4679" s="28"/>
      <c r="I4679" s="28" t="str">
        <f aca="false">IF(A4679="","",D4679*E4679)</f>
        <v/>
      </c>
      <c r="J4679" s="28" t="str">
        <f aca="false">IF(A4679="","",D4679*F4679)</f>
        <v/>
      </c>
      <c r="K4679" s="0" t="str">
        <f aca="false">IF(A4679="","",YEAR(A4679))</f>
        <v/>
      </c>
      <c r="L4679" s="0" t="str">
        <f aca="false">IF(A4679="","",MONTH(A4679))</f>
        <v/>
      </c>
    </row>
    <row r="4680" customFormat="false" ht="15" hidden="false" customHeight="false" outlineLevel="0" collapsed="false">
      <c r="A4680" s="27"/>
      <c r="E4680" s="28"/>
      <c r="F4680" s="28"/>
      <c r="I4680" s="28" t="str">
        <f aca="false">IF(A4680="","",D4680*E4680)</f>
        <v/>
      </c>
      <c r="J4680" s="28" t="str">
        <f aca="false">IF(A4680="","",D4680*F4680)</f>
        <v/>
      </c>
      <c r="K4680" s="0" t="str">
        <f aca="false">IF(A4680="","",YEAR(A4680))</f>
        <v/>
      </c>
      <c r="L4680" s="0" t="str">
        <f aca="false">IF(A4680="","",MONTH(A4680))</f>
        <v/>
      </c>
    </row>
    <row r="4681" customFormat="false" ht="15" hidden="false" customHeight="false" outlineLevel="0" collapsed="false">
      <c r="A4681" s="27"/>
      <c r="E4681" s="28"/>
      <c r="F4681" s="28"/>
      <c r="I4681" s="28" t="str">
        <f aca="false">IF(A4681="","",D4681*E4681)</f>
        <v/>
      </c>
      <c r="J4681" s="28" t="str">
        <f aca="false">IF(A4681="","",D4681*F4681)</f>
        <v/>
      </c>
      <c r="K4681" s="0" t="str">
        <f aca="false">IF(A4681="","",YEAR(A4681))</f>
        <v/>
      </c>
      <c r="L4681" s="0" t="str">
        <f aca="false">IF(A4681="","",MONTH(A4681))</f>
        <v/>
      </c>
    </row>
    <row r="4682" customFormat="false" ht="15" hidden="false" customHeight="false" outlineLevel="0" collapsed="false">
      <c r="A4682" s="27"/>
      <c r="E4682" s="28"/>
      <c r="F4682" s="28"/>
      <c r="I4682" s="28" t="str">
        <f aca="false">IF(A4682="","",D4682*E4682)</f>
        <v/>
      </c>
      <c r="J4682" s="28" t="str">
        <f aca="false">IF(A4682="","",D4682*F4682)</f>
        <v/>
      </c>
      <c r="K4682" s="0" t="str">
        <f aca="false">IF(A4682="","",YEAR(A4682))</f>
        <v/>
      </c>
      <c r="L4682" s="0" t="str">
        <f aca="false">IF(A4682="","",MONTH(A4682))</f>
        <v/>
      </c>
    </row>
    <row r="4683" customFormat="false" ht="15" hidden="false" customHeight="false" outlineLevel="0" collapsed="false">
      <c r="A4683" s="27"/>
      <c r="E4683" s="28"/>
      <c r="F4683" s="28"/>
      <c r="I4683" s="28" t="str">
        <f aca="false">IF(A4683="","",D4683*E4683)</f>
        <v/>
      </c>
      <c r="J4683" s="28" t="str">
        <f aca="false">IF(A4683="","",D4683*F4683)</f>
        <v/>
      </c>
      <c r="K4683" s="0" t="str">
        <f aca="false">IF(A4683="","",YEAR(A4683))</f>
        <v/>
      </c>
      <c r="L4683" s="0" t="str">
        <f aca="false">IF(A4683="","",MONTH(A4683))</f>
        <v/>
      </c>
    </row>
    <row r="4684" customFormat="false" ht="15" hidden="false" customHeight="false" outlineLevel="0" collapsed="false">
      <c r="A4684" s="27"/>
      <c r="E4684" s="28"/>
      <c r="F4684" s="28"/>
      <c r="I4684" s="28" t="str">
        <f aca="false">IF(A4684="","",D4684*E4684)</f>
        <v/>
      </c>
      <c r="J4684" s="28" t="str">
        <f aca="false">IF(A4684="","",D4684*F4684)</f>
        <v/>
      </c>
      <c r="K4684" s="0" t="str">
        <f aca="false">IF(A4684="","",YEAR(A4684))</f>
        <v/>
      </c>
      <c r="L4684" s="0" t="str">
        <f aca="false">IF(A4684="","",MONTH(A4684))</f>
        <v/>
      </c>
    </row>
    <row r="4685" customFormat="false" ht="15" hidden="false" customHeight="false" outlineLevel="0" collapsed="false">
      <c r="A4685" s="27"/>
      <c r="E4685" s="28"/>
      <c r="F4685" s="28"/>
      <c r="I4685" s="28" t="str">
        <f aca="false">IF(A4685="","",D4685*E4685)</f>
        <v/>
      </c>
      <c r="J4685" s="28" t="str">
        <f aca="false">IF(A4685="","",D4685*F4685)</f>
        <v/>
      </c>
      <c r="K4685" s="0" t="str">
        <f aca="false">IF(A4685="","",YEAR(A4685))</f>
        <v/>
      </c>
      <c r="L4685" s="0" t="str">
        <f aca="false">IF(A4685="","",MONTH(A4685))</f>
        <v/>
      </c>
    </row>
    <row r="4686" customFormat="false" ht="15" hidden="false" customHeight="false" outlineLevel="0" collapsed="false">
      <c r="A4686" s="27"/>
      <c r="E4686" s="28"/>
      <c r="F4686" s="28"/>
      <c r="I4686" s="28" t="str">
        <f aca="false">IF(A4686="","",D4686*E4686)</f>
        <v/>
      </c>
      <c r="J4686" s="28" t="str">
        <f aca="false">IF(A4686="","",D4686*F4686)</f>
        <v/>
      </c>
      <c r="K4686" s="0" t="str">
        <f aca="false">IF(A4686="","",YEAR(A4686))</f>
        <v/>
      </c>
      <c r="L4686" s="0" t="str">
        <f aca="false">IF(A4686="","",MONTH(A4686))</f>
        <v/>
      </c>
    </row>
    <row r="4687" customFormat="false" ht="15" hidden="false" customHeight="false" outlineLevel="0" collapsed="false">
      <c r="A4687" s="27"/>
      <c r="E4687" s="28"/>
      <c r="F4687" s="28"/>
      <c r="I4687" s="28" t="str">
        <f aca="false">IF(A4687="","",D4687*E4687)</f>
        <v/>
      </c>
      <c r="J4687" s="28" t="str">
        <f aca="false">IF(A4687="","",D4687*F4687)</f>
        <v/>
      </c>
      <c r="K4687" s="0" t="str">
        <f aca="false">IF(A4687="","",YEAR(A4687))</f>
        <v/>
      </c>
      <c r="L4687" s="0" t="str">
        <f aca="false">IF(A4687="","",MONTH(A4687))</f>
        <v/>
      </c>
    </row>
    <row r="4688" customFormat="false" ht="15" hidden="false" customHeight="false" outlineLevel="0" collapsed="false">
      <c r="A4688" s="27"/>
      <c r="E4688" s="28"/>
      <c r="F4688" s="28"/>
      <c r="I4688" s="28" t="str">
        <f aca="false">IF(A4688="","",D4688*E4688)</f>
        <v/>
      </c>
      <c r="J4688" s="28" t="str">
        <f aca="false">IF(A4688="","",D4688*F4688)</f>
        <v/>
      </c>
      <c r="K4688" s="0" t="str">
        <f aca="false">IF(A4688="","",YEAR(A4688))</f>
        <v/>
      </c>
      <c r="L4688" s="0" t="str">
        <f aca="false">IF(A4688="","",MONTH(A4688))</f>
        <v/>
      </c>
    </row>
    <row r="4689" customFormat="false" ht="15" hidden="false" customHeight="false" outlineLevel="0" collapsed="false">
      <c r="A4689" s="27"/>
      <c r="E4689" s="28"/>
      <c r="F4689" s="28"/>
      <c r="I4689" s="28" t="str">
        <f aca="false">IF(A4689="","",D4689*E4689)</f>
        <v/>
      </c>
      <c r="J4689" s="28" t="str">
        <f aca="false">IF(A4689="","",D4689*F4689)</f>
        <v/>
      </c>
      <c r="K4689" s="0" t="str">
        <f aca="false">IF(A4689="","",YEAR(A4689))</f>
        <v/>
      </c>
      <c r="L4689" s="0" t="str">
        <f aca="false">IF(A4689="","",MONTH(A4689))</f>
        <v/>
      </c>
    </row>
    <row r="4690" customFormat="false" ht="15" hidden="false" customHeight="false" outlineLevel="0" collapsed="false">
      <c r="A4690" s="27"/>
      <c r="E4690" s="28"/>
      <c r="F4690" s="28"/>
      <c r="I4690" s="28" t="str">
        <f aca="false">IF(A4690="","",D4690*E4690)</f>
        <v/>
      </c>
      <c r="J4690" s="28" t="str">
        <f aca="false">IF(A4690="","",D4690*F4690)</f>
        <v/>
      </c>
      <c r="K4690" s="0" t="str">
        <f aca="false">IF(A4690="","",YEAR(A4690))</f>
        <v/>
      </c>
      <c r="L4690" s="0" t="str">
        <f aca="false">IF(A4690="","",MONTH(A4690))</f>
        <v/>
      </c>
    </row>
    <row r="4691" customFormat="false" ht="15" hidden="false" customHeight="false" outlineLevel="0" collapsed="false">
      <c r="A4691" s="27"/>
      <c r="E4691" s="28"/>
      <c r="F4691" s="28"/>
      <c r="I4691" s="28" t="str">
        <f aca="false">IF(A4691="","",D4691*E4691)</f>
        <v/>
      </c>
      <c r="J4691" s="28" t="str">
        <f aca="false">IF(A4691="","",D4691*F4691)</f>
        <v/>
      </c>
      <c r="K4691" s="0" t="str">
        <f aca="false">IF(A4691="","",YEAR(A4691))</f>
        <v/>
      </c>
      <c r="L4691" s="0" t="str">
        <f aca="false">IF(A4691="","",MONTH(A4691))</f>
        <v/>
      </c>
    </row>
    <row r="4692" customFormat="false" ht="15" hidden="false" customHeight="false" outlineLevel="0" collapsed="false">
      <c r="A4692" s="27"/>
      <c r="E4692" s="28"/>
      <c r="F4692" s="28"/>
      <c r="I4692" s="28" t="str">
        <f aca="false">IF(A4692="","",D4692*E4692)</f>
        <v/>
      </c>
      <c r="J4692" s="28" t="str">
        <f aca="false">IF(A4692="","",D4692*F4692)</f>
        <v/>
      </c>
      <c r="K4692" s="0" t="str">
        <f aca="false">IF(A4692="","",YEAR(A4692))</f>
        <v/>
      </c>
      <c r="L4692" s="0" t="str">
        <f aca="false">IF(A4692="","",MONTH(A4692))</f>
        <v/>
      </c>
    </row>
    <row r="4693" customFormat="false" ht="15" hidden="false" customHeight="false" outlineLevel="0" collapsed="false">
      <c r="A4693" s="27"/>
      <c r="E4693" s="28"/>
      <c r="F4693" s="28"/>
      <c r="I4693" s="28" t="str">
        <f aca="false">IF(A4693="","",D4693*E4693)</f>
        <v/>
      </c>
      <c r="J4693" s="28" t="str">
        <f aca="false">IF(A4693="","",D4693*F4693)</f>
        <v/>
      </c>
      <c r="K4693" s="0" t="str">
        <f aca="false">IF(A4693="","",YEAR(A4693))</f>
        <v/>
      </c>
      <c r="L4693" s="0" t="str">
        <f aca="false">IF(A4693="","",MONTH(A4693))</f>
        <v/>
      </c>
    </row>
    <row r="4694" customFormat="false" ht="15" hidden="false" customHeight="false" outlineLevel="0" collapsed="false">
      <c r="A4694" s="27"/>
      <c r="E4694" s="28"/>
      <c r="F4694" s="28"/>
      <c r="I4694" s="28" t="str">
        <f aca="false">IF(A4694="","",D4694*E4694)</f>
        <v/>
      </c>
      <c r="J4694" s="28" t="str">
        <f aca="false">IF(A4694="","",D4694*F4694)</f>
        <v/>
      </c>
      <c r="K4694" s="0" t="str">
        <f aca="false">IF(A4694="","",YEAR(A4694))</f>
        <v/>
      </c>
      <c r="L4694" s="0" t="str">
        <f aca="false">IF(A4694="","",MONTH(A4694))</f>
        <v/>
      </c>
    </row>
    <row r="4695" customFormat="false" ht="15" hidden="false" customHeight="false" outlineLevel="0" collapsed="false">
      <c r="A4695" s="27"/>
      <c r="E4695" s="28"/>
      <c r="F4695" s="28"/>
      <c r="I4695" s="28" t="str">
        <f aca="false">IF(A4695="","",D4695*E4695)</f>
        <v/>
      </c>
      <c r="J4695" s="28" t="str">
        <f aca="false">IF(A4695="","",D4695*F4695)</f>
        <v/>
      </c>
      <c r="K4695" s="0" t="str">
        <f aca="false">IF(A4695="","",YEAR(A4695))</f>
        <v/>
      </c>
      <c r="L4695" s="0" t="str">
        <f aca="false">IF(A4695="","",MONTH(A4695))</f>
        <v/>
      </c>
    </row>
    <row r="4696" customFormat="false" ht="15" hidden="false" customHeight="false" outlineLevel="0" collapsed="false">
      <c r="A4696" s="27"/>
      <c r="E4696" s="28"/>
      <c r="F4696" s="28"/>
      <c r="I4696" s="28" t="str">
        <f aca="false">IF(A4696="","",D4696*E4696)</f>
        <v/>
      </c>
      <c r="J4696" s="28" t="str">
        <f aca="false">IF(A4696="","",D4696*F4696)</f>
        <v/>
      </c>
      <c r="K4696" s="0" t="str">
        <f aca="false">IF(A4696="","",YEAR(A4696))</f>
        <v/>
      </c>
      <c r="L4696" s="0" t="str">
        <f aca="false">IF(A4696="","",MONTH(A4696))</f>
        <v/>
      </c>
    </row>
    <row r="4697" customFormat="false" ht="15" hidden="false" customHeight="false" outlineLevel="0" collapsed="false">
      <c r="A4697" s="27"/>
      <c r="E4697" s="28"/>
      <c r="F4697" s="28"/>
      <c r="I4697" s="28" t="str">
        <f aca="false">IF(A4697="","",D4697*E4697)</f>
        <v/>
      </c>
      <c r="J4697" s="28" t="str">
        <f aca="false">IF(A4697="","",D4697*F4697)</f>
        <v/>
      </c>
      <c r="K4697" s="0" t="str">
        <f aca="false">IF(A4697="","",YEAR(A4697))</f>
        <v/>
      </c>
      <c r="L4697" s="0" t="str">
        <f aca="false">IF(A4697="","",MONTH(A4697))</f>
        <v/>
      </c>
    </row>
    <row r="4698" customFormat="false" ht="15" hidden="false" customHeight="false" outlineLevel="0" collapsed="false">
      <c r="A4698" s="27"/>
      <c r="E4698" s="28"/>
      <c r="F4698" s="28"/>
      <c r="I4698" s="28" t="str">
        <f aca="false">IF(A4698="","",D4698*E4698)</f>
        <v/>
      </c>
      <c r="J4698" s="28" t="str">
        <f aca="false">IF(A4698="","",D4698*F4698)</f>
        <v/>
      </c>
      <c r="K4698" s="0" t="str">
        <f aca="false">IF(A4698="","",YEAR(A4698))</f>
        <v/>
      </c>
      <c r="L4698" s="0" t="str">
        <f aca="false">IF(A4698="","",MONTH(A4698))</f>
        <v/>
      </c>
    </row>
    <row r="4699" customFormat="false" ht="15" hidden="false" customHeight="false" outlineLevel="0" collapsed="false">
      <c r="A4699" s="27"/>
      <c r="E4699" s="28"/>
      <c r="F4699" s="28"/>
      <c r="I4699" s="28" t="str">
        <f aca="false">IF(A4699="","",D4699*E4699)</f>
        <v/>
      </c>
      <c r="J4699" s="28" t="str">
        <f aca="false">IF(A4699="","",D4699*F4699)</f>
        <v/>
      </c>
      <c r="K4699" s="0" t="str">
        <f aca="false">IF(A4699="","",YEAR(A4699))</f>
        <v/>
      </c>
      <c r="L4699" s="0" t="str">
        <f aca="false">IF(A4699="","",MONTH(A4699))</f>
        <v/>
      </c>
    </row>
    <row r="4700" customFormat="false" ht="15" hidden="false" customHeight="false" outlineLevel="0" collapsed="false">
      <c r="A4700" s="27"/>
      <c r="E4700" s="28"/>
      <c r="F4700" s="28"/>
      <c r="I4700" s="28" t="str">
        <f aca="false">IF(A4700="","",D4700*E4700)</f>
        <v/>
      </c>
      <c r="J4700" s="28" t="str">
        <f aca="false">IF(A4700="","",D4700*F4700)</f>
        <v/>
      </c>
      <c r="K4700" s="0" t="str">
        <f aca="false">IF(A4700="","",YEAR(A4700))</f>
        <v/>
      </c>
      <c r="L4700" s="0" t="str">
        <f aca="false">IF(A4700="","",MONTH(A4700))</f>
        <v/>
      </c>
    </row>
    <row r="4701" customFormat="false" ht="15" hidden="false" customHeight="false" outlineLevel="0" collapsed="false">
      <c r="A4701" s="27"/>
      <c r="E4701" s="28"/>
      <c r="F4701" s="28"/>
      <c r="I4701" s="28" t="str">
        <f aca="false">IF(A4701="","",D4701*E4701)</f>
        <v/>
      </c>
      <c r="J4701" s="28" t="str">
        <f aca="false">IF(A4701="","",D4701*F4701)</f>
        <v/>
      </c>
      <c r="K4701" s="0" t="str">
        <f aca="false">IF(A4701="","",YEAR(A4701))</f>
        <v/>
      </c>
      <c r="L4701" s="0" t="str">
        <f aca="false">IF(A4701="","",MONTH(A4701))</f>
        <v/>
      </c>
    </row>
    <row r="4702" customFormat="false" ht="15" hidden="false" customHeight="false" outlineLevel="0" collapsed="false">
      <c r="A4702" s="27"/>
      <c r="E4702" s="28"/>
      <c r="F4702" s="28"/>
      <c r="I4702" s="28" t="str">
        <f aca="false">IF(A4702="","",D4702*E4702)</f>
        <v/>
      </c>
      <c r="J4702" s="28" t="str">
        <f aca="false">IF(A4702="","",D4702*F4702)</f>
        <v/>
      </c>
      <c r="K4702" s="0" t="str">
        <f aca="false">IF(A4702="","",YEAR(A4702))</f>
        <v/>
      </c>
      <c r="L4702" s="0" t="str">
        <f aca="false">IF(A4702="","",MONTH(A4702))</f>
        <v/>
      </c>
    </row>
    <row r="4703" customFormat="false" ht="15" hidden="false" customHeight="false" outlineLevel="0" collapsed="false">
      <c r="A4703" s="27"/>
      <c r="E4703" s="28"/>
      <c r="F4703" s="28"/>
      <c r="I4703" s="28" t="str">
        <f aca="false">IF(A4703="","",D4703*E4703)</f>
        <v/>
      </c>
      <c r="J4703" s="28" t="str">
        <f aca="false">IF(A4703="","",D4703*F4703)</f>
        <v/>
      </c>
      <c r="K4703" s="0" t="str">
        <f aca="false">IF(A4703="","",YEAR(A4703))</f>
        <v/>
      </c>
      <c r="L4703" s="0" t="str">
        <f aca="false">IF(A4703="","",MONTH(A4703))</f>
        <v/>
      </c>
    </row>
    <row r="4704" customFormat="false" ht="15" hidden="false" customHeight="false" outlineLevel="0" collapsed="false">
      <c r="A4704" s="27"/>
      <c r="E4704" s="28"/>
      <c r="F4704" s="28"/>
      <c r="I4704" s="28" t="str">
        <f aca="false">IF(A4704="","",D4704*E4704)</f>
        <v/>
      </c>
      <c r="J4704" s="28" t="str">
        <f aca="false">IF(A4704="","",D4704*F4704)</f>
        <v/>
      </c>
      <c r="K4704" s="0" t="str">
        <f aca="false">IF(A4704="","",YEAR(A4704))</f>
        <v/>
      </c>
      <c r="L4704" s="0" t="str">
        <f aca="false">IF(A4704="","",MONTH(A4704))</f>
        <v/>
      </c>
    </row>
    <row r="4705" customFormat="false" ht="15" hidden="false" customHeight="false" outlineLevel="0" collapsed="false">
      <c r="A4705" s="27"/>
      <c r="E4705" s="28"/>
      <c r="F4705" s="28"/>
      <c r="I4705" s="28" t="str">
        <f aca="false">IF(A4705="","",D4705*E4705)</f>
        <v/>
      </c>
      <c r="J4705" s="28" t="str">
        <f aca="false">IF(A4705="","",D4705*F4705)</f>
        <v/>
      </c>
      <c r="K4705" s="0" t="str">
        <f aca="false">IF(A4705="","",YEAR(A4705))</f>
        <v/>
      </c>
      <c r="L4705" s="0" t="str">
        <f aca="false">IF(A4705="","",MONTH(A4705))</f>
        <v/>
      </c>
    </row>
    <row r="4706" customFormat="false" ht="15" hidden="false" customHeight="false" outlineLevel="0" collapsed="false">
      <c r="A4706" s="27"/>
      <c r="E4706" s="28"/>
      <c r="F4706" s="28"/>
      <c r="I4706" s="28" t="str">
        <f aca="false">IF(A4706="","",D4706*E4706)</f>
        <v/>
      </c>
      <c r="J4706" s="28" t="str">
        <f aca="false">IF(A4706="","",D4706*F4706)</f>
        <v/>
      </c>
      <c r="K4706" s="0" t="str">
        <f aca="false">IF(A4706="","",YEAR(A4706))</f>
        <v/>
      </c>
      <c r="L4706" s="0" t="str">
        <f aca="false">IF(A4706="","",MONTH(A4706))</f>
        <v/>
      </c>
    </row>
    <row r="4707" customFormat="false" ht="15" hidden="false" customHeight="false" outlineLevel="0" collapsed="false">
      <c r="A4707" s="27"/>
      <c r="E4707" s="28"/>
      <c r="F4707" s="28"/>
      <c r="I4707" s="28" t="str">
        <f aca="false">IF(A4707="","",D4707*E4707)</f>
        <v/>
      </c>
      <c r="J4707" s="28" t="str">
        <f aca="false">IF(A4707="","",D4707*F4707)</f>
        <v/>
      </c>
      <c r="K4707" s="0" t="str">
        <f aca="false">IF(A4707="","",YEAR(A4707))</f>
        <v/>
      </c>
      <c r="L4707" s="0" t="str">
        <f aca="false">IF(A4707="","",MONTH(A4707))</f>
        <v/>
      </c>
    </row>
    <row r="4708" customFormat="false" ht="15" hidden="false" customHeight="false" outlineLevel="0" collapsed="false">
      <c r="A4708" s="27"/>
      <c r="E4708" s="28"/>
      <c r="F4708" s="28"/>
      <c r="I4708" s="28" t="str">
        <f aca="false">IF(A4708="","",D4708*E4708)</f>
        <v/>
      </c>
      <c r="J4708" s="28" t="str">
        <f aca="false">IF(A4708="","",D4708*F4708)</f>
        <v/>
      </c>
      <c r="K4708" s="0" t="str">
        <f aca="false">IF(A4708="","",YEAR(A4708))</f>
        <v/>
      </c>
      <c r="L4708" s="0" t="str">
        <f aca="false">IF(A4708="","",MONTH(A4708))</f>
        <v/>
      </c>
    </row>
    <row r="4709" customFormat="false" ht="15" hidden="false" customHeight="false" outlineLevel="0" collapsed="false">
      <c r="A4709" s="27"/>
      <c r="E4709" s="28"/>
      <c r="F4709" s="28"/>
      <c r="I4709" s="28" t="str">
        <f aca="false">IF(A4709="","",D4709*E4709)</f>
        <v/>
      </c>
      <c r="J4709" s="28" t="str">
        <f aca="false">IF(A4709="","",D4709*F4709)</f>
        <v/>
      </c>
      <c r="K4709" s="0" t="str">
        <f aca="false">IF(A4709="","",YEAR(A4709))</f>
        <v/>
      </c>
      <c r="L4709" s="0" t="str">
        <f aca="false">IF(A4709="","",MONTH(A4709))</f>
        <v/>
      </c>
    </row>
    <row r="4710" customFormat="false" ht="15" hidden="false" customHeight="false" outlineLevel="0" collapsed="false">
      <c r="A4710" s="27"/>
      <c r="E4710" s="28"/>
      <c r="F4710" s="28"/>
      <c r="I4710" s="28" t="str">
        <f aca="false">IF(A4710="","",D4710*E4710)</f>
        <v/>
      </c>
      <c r="J4710" s="28" t="str">
        <f aca="false">IF(A4710="","",D4710*F4710)</f>
        <v/>
      </c>
      <c r="K4710" s="0" t="str">
        <f aca="false">IF(A4710="","",YEAR(A4710))</f>
        <v/>
      </c>
      <c r="L4710" s="0" t="str">
        <f aca="false">IF(A4710="","",MONTH(A4710))</f>
        <v/>
      </c>
    </row>
    <row r="4711" customFormat="false" ht="15" hidden="false" customHeight="false" outlineLevel="0" collapsed="false">
      <c r="A4711" s="27"/>
      <c r="E4711" s="28"/>
      <c r="F4711" s="28"/>
      <c r="I4711" s="28" t="str">
        <f aca="false">IF(A4711="","",D4711*E4711)</f>
        <v/>
      </c>
      <c r="J4711" s="28" t="str">
        <f aca="false">IF(A4711="","",D4711*F4711)</f>
        <v/>
      </c>
      <c r="K4711" s="0" t="str">
        <f aca="false">IF(A4711="","",YEAR(A4711))</f>
        <v/>
      </c>
      <c r="L4711" s="0" t="str">
        <f aca="false">IF(A4711="","",MONTH(A4711))</f>
        <v/>
      </c>
    </row>
    <row r="4712" customFormat="false" ht="15" hidden="false" customHeight="false" outlineLevel="0" collapsed="false">
      <c r="A4712" s="27"/>
      <c r="E4712" s="28"/>
      <c r="F4712" s="28"/>
      <c r="I4712" s="28" t="str">
        <f aca="false">IF(A4712="","",D4712*E4712)</f>
        <v/>
      </c>
      <c r="J4712" s="28" t="str">
        <f aca="false">IF(A4712="","",D4712*F4712)</f>
        <v/>
      </c>
      <c r="K4712" s="0" t="str">
        <f aca="false">IF(A4712="","",YEAR(A4712))</f>
        <v/>
      </c>
      <c r="L4712" s="0" t="str">
        <f aca="false">IF(A4712="","",MONTH(A4712))</f>
        <v/>
      </c>
    </row>
    <row r="4713" customFormat="false" ht="15" hidden="false" customHeight="false" outlineLevel="0" collapsed="false">
      <c r="A4713" s="27"/>
      <c r="E4713" s="28"/>
      <c r="F4713" s="28"/>
      <c r="I4713" s="28" t="str">
        <f aca="false">IF(A4713="","",D4713*E4713)</f>
        <v/>
      </c>
      <c r="J4713" s="28" t="str">
        <f aca="false">IF(A4713="","",D4713*F4713)</f>
        <v/>
      </c>
      <c r="K4713" s="0" t="str">
        <f aca="false">IF(A4713="","",YEAR(A4713))</f>
        <v/>
      </c>
      <c r="L4713" s="0" t="str">
        <f aca="false">IF(A4713="","",MONTH(A4713))</f>
        <v/>
      </c>
    </row>
    <row r="4714" customFormat="false" ht="15" hidden="false" customHeight="false" outlineLevel="0" collapsed="false">
      <c r="A4714" s="27"/>
      <c r="E4714" s="28"/>
      <c r="F4714" s="28"/>
      <c r="I4714" s="28" t="str">
        <f aca="false">IF(A4714="","",D4714*E4714)</f>
        <v/>
      </c>
      <c r="J4714" s="28" t="str">
        <f aca="false">IF(A4714="","",D4714*F4714)</f>
        <v/>
      </c>
      <c r="K4714" s="0" t="str">
        <f aca="false">IF(A4714="","",YEAR(A4714))</f>
        <v/>
      </c>
      <c r="L4714" s="0" t="str">
        <f aca="false">IF(A4714="","",MONTH(A4714))</f>
        <v/>
      </c>
    </row>
    <row r="4715" customFormat="false" ht="15" hidden="false" customHeight="false" outlineLevel="0" collapsed="false">
      <c r="A4715" s="27"/>
      <c r="E4715" s="28"/>
      <c r="F4715" s="28"/>
      <c r="I4715" s="28" t="str">
        <f aca="false">IF(A4715="","",D4715*E4715)</f>
        <v/>
      </c>
      <c r="J4715" s="28" t="str">
        <f aca="false">IF(A4715="","",D4715*F4715)</f>
        <v/>
      </c>
      <c r="K4715" s="0" t="str">
        <f aca="false">IF(A4715="","",YEAR(A4715))</f>
        <v/>
      </c>
      <c r="L4715" s="0" t="str">
        <f aca="false">IF(A4715="","",MONTH(A4715))</f>
        <v/>
      </c>
    </row>
    <row r="4716" customFormat="false" ht="15" hidden="false" customHeight="false" outlineLevel="0" collapsed="false">
      <c r="A4716" s="27"/>
      <c r="E4716" s="28"/>
      <c r="F4716" s="28"/>
      <c r="I4716" s="28" t="str">
        <f aca="false">IF(A4716="","",D4716*E4716)</f>
        <v/>
      </c>
      <c r="J4716" s="28" t="str">
        <f aca="false">IF(A4716="","",D4716*F4716)</f>
        <v/>
      </c>
      <c r="K4716" s="0" t="str">
        <f aca="false">IF(A4716="","",YEAR(A4716))</f>
        <v/>
      </c>
      <c r="L4716" s="0" t="str">
        <f aca="false">IF(A4716="","",MONTH(A4716))</f>
        <v/>
      </c>
    </row>
    <row r="4717" customFormat="false" ht="15" hidden="false" customHeight="false" outlineLevel="0" collapsed="false">
      <c r="A4717" s="27"/>
      <c r="E4717" s="28"/>
      <c r="F4717" s="28"/>
      <c r="I4717" s="28" t="str">
        <f aca="false">IF(A4717="","",D4717*E4717)</f>
        <v/>
      </c>
      <c r="J4717" s="28" t="str">
        <f aca="false">IF(A4717="","",D4717*F4717)</f>
        <v/>
      </c>
      <c r="K4717" s="0" t="str">
        <f aca="false">IF(A4717="","",YEAR(A4717))</f>
        <v/>
      </c>
      <c r="L4717" s="0" t="str">
        <f aca="false">IF(A4717="","",MONTH(A4717))</f>
        <v/>
      </c>
    </row>
    <row r="4718" customFormat="false" ht="15" hidden="false" customHeight="false" outlineLevel="0" collapsed="false">
      <c r="A4718" s="27"/>
      <c r="E4718" s="28"/>
      <c r="F4718" s="28"/>
      <c r="I4718" s="28" t="str">
        <f aca="false">IF(A4718="","",D4718*E4718)</f>
        <v/>
      </c>
      <c r="J4718" s="28" t="str">
        <f aca="false">IF(A4718="","",D4718*F4718)</f>
        <v/>
      </c>
      <c r="K4718" s="0" t="str">
        <f aca="false">IF(A4718="","",YEAR(A4718))</f>
        <v/>
      </c>
      <c r="L4718" s="0" t="str">
        <f aca="false">IF(A4718="","",MONTH(A4718))</f>
        <v/>
      </c>
    </row>
    <row r="4719" customFormat="false" ht="15" hidden="false" customHeight="false" outlineLevel="0" collapsed="false">
      <c r="A4719" s="27"/>
      <c r="E4719" s="28"/>
      <c r="F4719" s="28"/>
      <c r="I4719" s="28" t="str">
        <f aca="false">IF(A4719="","",D4719*E4719)</f>
        <v/>
      </c>
      <c r="J4719" s="28" t="str">
        <f aca="false">IF(A4719="","",D4719*F4719)</f>
        <v/>
      </c>
      <c r="K4719" s="0" t="str">
        <f aca="false">IF(A4719="","",YEAR(A4719))</f>
        <v/>
      </c>
      <c r="L4719" s="0" t="str">
        <f aca="false">IF(A4719="","",MONTH(A4719))</f>
        <v/>
      </c>
    </row>
    <row r="4720" customFormat="false" ht="15" hidden="false" customHeight="false" outlineLevel="0" collapsed="false">
      <c r="A4720" s="27"/>
      <c r="E4720" s="28"/>
      <c r="F4720" s="28"/>
      <c r="I4720" s="28" t="str">
        <f aca="false">IF(A4720="","",D4720*E4720)</f>
        <v/>
      </c>
      <c r="J4720" s="28" t="str">
        <f aca="false">IF(A4720="","",D4720*F4720)</f>
        <v/>
      </c>
      <c r="K4720" s="0" t="str">
        <f aca="false">IF(A4720="","",YEAR(A4720))</f>
        <v/>
      </c>
      <c r="L4720" s="0" t="str">
        <f aca="false">IF(A4720="","",MONTH(A4720))</f>
        <v/>
      </c>
    </row>
    <row r="4721" customFormat="false" ht="15" hidden="false" customHeight="false" outlineLevel="0" collapsed="false">
      <c r="A4721" s="27"/>
      <c r="E4721" s="28"/>
      <c r="F4721" s="28"/>
      <c r="I4721" s="28" t="str">
        <f aca="false">IF(A4721="","",D4721*E4721)</f>
        <v/>
      </c>
      <c r="J4721" s="28" t="str">
        <f aca="false">IF(A4721="","",D4721*F4721)</f>
        <v/>
      </c>
      <c r="K4721" s="0" t="str">
        <f aca="false">IF(A4721="","",YEAR(A4721))</f>
        <v/>
      </c>
      <c r="L4721" s="0" t="str">
        <f aca="false">IF(A4721="","",MONTH(A4721))</f>
        <v/>
      </c>
    </row>
    <row r="4722" customFormat="false" ht="15" hidden="false" customHeight="false" outlineLevel="0" collapsed="false">
      <c r="A4722" s="27"/>
      <c r="E4722" s="28"/>
      <c r="F4722" s="28"/>
      <c r="I4722" s="28" t="str">
        <f aca="false">IF(A4722="","",D4722*E4722)</f>
        <v/>
      </c>
      <c r="J4722" s="28" t="str">
        <f aca="false">IF(A4722="","",D4722*F4722)</f>
        <v/>
      </c>
      <c r="K4722" s="0" t="str">
        <f aca="false">IF(A4722="","",YEAR(A4722))</f>
        <v/>
      </c>
      <c r="L4722" s="0" t="str">
        <f aca="false">IF(A4722="","",MONTH(A4722))</f>
        <v/>
      </c>
    </row>
    <row r="4723" customFormat="false" ht="15" hidden="false" customHeight="false" outlineLevel="0" collapsed="false">
      <c r="A4723" s="27"/>
      <c r="E4723" s="28"/>
      <c r="F4723" s="28"/>
      <c r="I4723" s="28" t="str">
        <f aca="false">IF(A4723="","",D4723*E4723)</f>
        <v/>
      </c>
      <c r="J4723" s="28" t="str">
        <f aca="false">IF(A4723="","",D4723*F4723)</f>
        <v/>
      </c>
      <c r="K4723" s="0" t="str">
        <f aca="false">IF(A4723="","",YEAR(A4723))</f>
        <v/>
      </c>
      <c r="L4723" s="0" t="str">
        <f aca="false">IF(A4723="","",MONTH(A4723))</f>
        <v/>
      </c>
    </row>
    <row r="4724" customFormat="false" ht="15" hidden="false" customHeight="false" outlineLevel="0" collapsed="false">
      <c r="A4724" s="27"/>
      <c r="E4724" s="28"/>
      <c r="F4724" s="28"/>
      <c r="I4724" s="28" t="str">
        <f aca="false">IF(A4724="","",D4724*E4724)</f>
        <v/>
      </c>
      <c r="J4724" s="28" t="str">
        <f aca="false">IF(A4724="","",D4724*F4724)</f>
        <v/>
      </c>
      <c r="K4724" s="0" t="str">
        <f aca="false">IF(A4724="","",YEAR(A4724))</f>
        <v/>
      </c>
      <c r="L4724" s="0" t="str">
        <f aca="false">IF(A4724="","",MONTH(A4724))</f>
        <v/>
      </c>
    </row>
    <row r="4725" customFormat="false" ht="15" hidden="false" customHeight="false" outlineLevel="0" collapsed="false">
      <c r="A4725" s="27"/>
      <c r="E4725" s="28"/>
      <c r="F4725" s="28"/>
      <c r="I4725" s="28" t="str">
        <f aca="false">IF(A4725="","",D4725*E4725)</f>
        <v/>
      </c>
      <c r="J4725" s="28" t="str">
        <f aca="false">IF(A4725="","",D4725*F4725)</f>
        <v/>
      </c>
      <c r="K4725" s="0" t="str">
        <f aca="false">IF(A4725="","",YEAR(A4725))</f>
        <v/>
      </c>
      <c r="L4725" s="0" t="str">
        <f aca="false">IF(A4725="","",MONTH(A4725))</f>
        <v/>
      </c>
    </row>
    <row r="4726" customFormat="false" ht="15" hidden="false" customHeight="false" outlineLevel="0" collapsed="false">
      <c r="A4726" s="27"/>
      <c r="E4726" s="28"/>
      <c r="F4726" s="28"/>
      <c r="I4726" s="28" t="str">
        <f aca="false">IF(A4726="","",D4726*E4726)</f>
        <v/>
      </c>
      <c r="J4726" s="28" t="str">
        <f aca="false">IF(A4726="","",D4726*F4726)</f>
        <v/>
      </c>
      <c r="K4726" s="0" t="str">
        <f aca="false">IF(A4726="","",YEAR(A4726))</f>
        <v/>
      </c>
      <c r="L4726" s="0" t="str">
        <f aca="false">IF(A4726="","",MONTH(A4726))</f>
        <v/>
      </c>
    </row>
    <row r="4727" customFormat="false" ht="15" hidden="false" customHeight="false" outlineLevel="0" collapsed="false">
      <c r="A4727" s="27"/>
      <c r="E4727" s="28"/>
      <c r="F4727" s="28"/>
      <c r="I4727" s="28" t="str">
        <f aca="false">IF(A4727="","",D4727*E4727)</f>
        <v/>
      </c>
      <c r="J4727" s="28" t="str">
        <f aca="false">IF(A4727="","",D4727*F4727)</f>
        <v/>
      </c>
      <c r="K4727" s="0" t="str">
        <f aca="false">IF(A4727="","",YEAR(A4727))</f>
        <v/>
      </c>
      <c r="L4727" s="0" t="str">
        <f aca="false">IF(A4727="","",MONTH(A4727))</f>
        <v/>
      </c>
    </row>
    <row r="4728" customFormat="false" ht="15" hidden="false" customHeight="false" outlineLevel="0" collapsed="false">
      <c r="A4728" s="27"/>
      <c r="E4728" s="28"/>
      <c r="F4728" s="28"/>
      <c r="I4728" s="28" t="str">
        <f aca="false">IF(A4728="","",D4728*E4728)</f>
        <v/>
      </c>
      <c r="J4728" s="28" t="str">
        <f aca="false">IF(A4728="","",D4728*F4728)</f>
        <v/>
      </c>
      <c r="K4728" s="0" t="str">
        <f aca="false">IF(A4728="","",YEAR(A4728))</f>
        <v/>
      </c>
      <c r="L4728" s="0" t="str">
        <f aca="false">IF(A4728="","",MONTH(A4728))</f>
        <v/>
      </c>
    </row>
    <row r="4729" customFormat="false" ht="15" hidden="false" customHeight="false" outlineLevel="0" collapsed="false">
      <c r="A4729" s="27"/>
      <c r="E4729" s="28"/>
      <c r="F4729" s="28"/>
      <c r="I4729" s="28" t="str">
        <f aca="false">IF(A4729="","",D4729*E4729)</f>
        <v/>
      </c>
      <c r="J4729" s="28" t="str">
        <f aca="false">IF(A4729="","",D4729*F4729)</f>
        <v/>
      </c>
      <c r="K4729" s="0" t="str">
        <f aca="false">IF(A4729="","",YEAR(A4729))</f>
        <v/>
      </c>
      <c r="L4729" s="0" t="str">
        <f aca="false">IF(A4729="","",MONTH(A4729))</f>
        <v/>
      </c>
    </row>
    <row r="4730" customFormat="false" ht="15" hidden="false" customHeight="false" outlineLevel="0" collapsed="false">
      <c r="A4730" s="27"/>
      <c r="E4730" s="28"/>
      <c r="F4730" s="28"/>
      <c r="I4730" s="28" t="str">
        <f aca="false">IF(A4730="","",D4730*E4730)</f>
        <v/>
      </c>
      <c r="J4730" s="28" t="str">
        <f aca="false">IF(A4730="","",D4730*F4730)</f>
        <v/>
      </c>
      <c r="K4730" s="0" t="str">
        <f aca="false">IF(A4730="","",YEAR(A4730))</f>
        <v/>
      </c>
      <c r="L4730" s="0" t="str">
        <f aca="false">IF(A4730="","",MONTH(A4730))</f>
        <v/>
      </c>
    </row>
    <row r="4731" customFormat="false" ht="15" hidden="false" customHeight="false" outlineLevel="0" collapsed="false">
      <c r="A4731" s="27"/>
      <c r="E4731" s="28"/>
      <c r="F4731" s="28"/>
      <c r="I4731" s="28" t="str">
        <f aca="false">IF(A4731="","",D4731*E4731)</f>
        <v/>
      </c>
      <c r="J4731" s="28" t="str">
        <f aca="false">IF(A4731="","",D4731*F4731)</f>
        <v/>
      </c>
      <c r="K4731" s="0" t="str">
        <f aca="false">IF(A4731="","",YEAR(A4731))</f>
        <v/>
      </c>
      <c r="L4731" s="0" t="str">
        <f aca="false">IF(A4731="","",MONTH(A4731))</f>
        <v/>
      </c>
    </row>
    <row r="4732" customFormat="false" ht="15" hidden="false" customHeight="false" outlineLevel="0" collapsed="false">
      <c r="A4732" s="27"/>
      <c r="E4732" s="28"/>
      <c r="F4732" s="28"/>
      <c r="I4732" s="28" t="str">
        <f aca="false">IF(A4732="","",D4732*E4732)</f>
        <v/>
      </c>
      <c r="J4732" s="28" t="str">
        <f aca="false">IF(A4732="","",D4732*F4732)</f>
        <v/>
      </c>
      <c r="K4732" s="0" t="str">
        <f aca="false">IF(A4732="","",YEAR(A4732))</f>
        <v/>
      </c>
      <c r="L4732" s="0" t="str">
        <f aca="false">IF(A4732="","",MONTH(A4732))</f>
        <v/>
      </c>
    </row>
    <row r="4733" customFormat="false" ht="15" hidden="false" customHeight="false" outlineLevel="0" collapsed="false">
      <c r="A4733" s="27"/>
      <c r="E4733" s="28"/>
      <c r="F4733" s="28"/>
      <c r="I4733" s="28" t="str">
        <f aca="false">IF(A4733="","",D4733*E4733)</f>
        <v/>
      </c>
      <c r="J4733" s="28" t="str">
        <f aca="false">IF(A4733="","",D4733*F4733)</f>
        <v/>
      </c>
      <c r="K4733" s="0" t="str">
        <f aca="false">IF(A4733="","",YEAR(A4733))</f>
        <v/>
      </c>
      <c r="L4733" s="0" t="str">
        <f aca="false">IF(A4733="","",MONTH(A4733))</f>
        <v/>
      </c>
    </row>
    <row r="4734" customFormat="false" ht="15" hidden="false" customHeight="false" outlineLevel="0" collapsed="false">
      <c r="A4734" s="27"/>
      <c r="E4734" s="28"/>
      <c r="F4734" s="28"/>
      <c r="I4734" s="28" t="str">
        <f aca="false">IF(A4734="","",D4734*E4734)</f>
        <v/>
      </c>
      <c r="J4734" s="28" t="str">
        <f aca="false">IF(A4734="","",D4734*F4734)</f>
        <v/>
      </c>
      <c r="K4734" s="0" t="str">
        <f aca="false">IF(A4734="","",YEAR(A4734))</f>
        <v/>
      </c>
      <c r="L4734" s="0" t="str">
        <f aca="false">IF(A4734="","",MONTH(A4734))</f>
        <v/>
      </c>
    </row>
    <row r="4735" customFormat="false" ht="15" hidden="false" customHeight="false" outlineLevel="0" collapsed="false">
      <c r="A4735" s="27"/>
      <c r="E4735" s="28"/>
      <c r="F4735" s="28"/>
      <c r="I4735" s="28" t="str">
        <f aca="false">IF(A4735="","",D4735*E4735)</f>
        <v/>
      </c>
      <c r="J4735" s="28" t="str">
        <f aca="false">IF(A4735="","",D4735*F4735)</f>
        <v/>
      </c>
      <c r="K4735" s="0" t="str">
        <f aca="false">IF(A4735="","",YEAR(A4735))</f>
        <v/>
      </c>
      <c r="L4735" s="0" t="str">
        <f aca="false">IF(A4735="","",MONTH(A4735))</f>
        <v/>
      </c>
    </row>
    <row r="4736" customFormat="false" ht="15" hidden="false" customHeight="false" outlineLevel="0" collapsed="false">
      <c r="A4736" s="27"/>
      <c r="E4736" s="28"/>
      <c r="F4736" s="28"/>
      <c r="I4736" s="28" t="str">
        <f aca="false">IF(A4736="","",D4736*E4736)</f>
        <v/>
      </c>
      <c r="J4736" s="28" t="str">
        <f aca="false">IF(A4736="","",D4736*F4736)</f>
        <v/>
      </c>
      <c r="K4736" s="0" t="str">
        <f aca="false">IF(A4736="","",YEAR(A4736))</f>
        <v/>
      </c>
      <c r="L4736" s="0" t="str">
        <f aca="false">IF(A4736="","",MONTH(A4736))</f>
        <v/>
      </c>
    </row>
    <row r="4737" customFormat="false" ht="15" hidden="false" customHeight="false" outlineLevel="0" collapsed="false">
      <c r="A4737" s="27"/>
      <c r="E4737" s="28"/>
      <c r="F4737" s="28"/>
      <c r="I4737" s="28" t="str">
        <f aca="false">IF(A4737="","",D4737*E4737)</f>
        <v/>
      </c>
      <c r="J4737" s="28" t="str">
        <f aca="false">IF(A4737="","",D4737*F4737)</f>
        <v/>
      </c>
      <c r="K4737" s="0" t="str">
        <f aca="false">IF(A4737="","",YEAR(A4737))</f>
        <v/>
      </c>
      <c r="L4737" s="0" t="str">
        <f aca="false">IF(A4737="","",MONTH(A4737))</f>
        <v/>
      </c>
    </row>
    <row r="4738" customFormat="false" ht="15" hidden="false" customHeight="false" outlineLevel="0" collapsed="false">
      <c r="A4738" s="27"/>
      <c r="E4738" s="28"/>
      <c r="F4738" s="28"/>
      <c r="I4738" s="28" t="str">
        <f aca="false">IF(A4738="","",D4738*E4738)</f>
        <v/>
      </c>
      <c r="J4738" s="28" t="str">
        <f aca="false">IF(A4738="","",D4738*F4738)</f>
        <v/>
      </c>
      <c r="K4738" s="0" t="str">
        <f aca="false">IF(A4738="","",YEAR(A4738))</f>
        <v/>
      </c>
      <c r="L4738" s="0" t="str">
        <f aca="false">IF(A4738="","",MONTH(A4738))</f>
        <v/>
      </c>
    </row>
    <row r="4739" customFormat="false" ht="15" hidden="false" customHeight="false" outlineLevel="0" collapsed="false">
      <c r="A4739" s="27"/>
      <c r="E4739" s="28"/>
      <c r="F4739" s="28"/>
      <c r="I4739" s="28" t="str">
        <f aca="false">IF(A4739="","",D4739*E4739)</f>
        <v/>
      </c>
      <c r="J4739" s="28" t="str">
        <f aca="false">IF(A4739="","",D4739*F4739)</f>
        <v/>
      </c>
      <c r="K4739" s="0" t="str">
        <f aca="false">IF(A4739="","",YEAR(A4739))</f>
        <v/>
      </c>
      <c r="L4739" s="0" t="str">
        <f aca="false">IF(A4739="","",MONTH(A4739))</f>
        <v/>
      </c>
    </row>
    <row r="4740" customFormat="false" ht="15" hidden="false" customHeight="false" outlineLevel="0" collapsed="false">
      <c r="A4740" s="27"/>
      <c r="E4740" s="28"/>
      <c r="F4740" s="28"/>
      <c r="I4740" s="28" t="str">
        <f aca="false">IF(A4740="","",D4740*E4740)</f>
        <v/>
      </c>
      <c r="J4740" s="28" t="str">
        <f aca="false">IF(A4740="","",D4740*F4740)</f>
        <v/>
      </c>
      <c r="K4740" s="0" t="str">
        <f aca="false">IF(A4740="","",YEAR(A4740))</f>
        <v/>
      </c>
      <c r="L4740" s="0" t="str">
        <f aca="false">IF(A4740="","",MONTH(A4740))</f>
        <v/>
      </c>
    </row>
    <row r="4741" customFormat="false" ht="15" hidden="false" customHeight="false" outlineLevel="0" collapsed="false">
      <c r="A4741" s="27"/>
      <c r="E4741" s="28"/>
      <c r="F4741" s="28"/>
      <c r="I4741" s="28" t="str">
        <f aca="false">IF(A4741="","",D4741*E4741)</f>
        <v/>
      </c>
      <c r="J4741" s="28" t="str">
        <f aca="false">IF(A4741="","",D4741*F4741)</f>
        <v/>
      </c>
      <c r="K4741" s="0" t="str">
        <f aca="false">IF(A4741="","",YEAR(A4741))</f>
        <v/>
      </c>
      <c r="L4741" s="0" t="str">
        <f aca="false">IF(A4741="","",MONTH(A4741))</f>
        <v/>
      </c>
    </row>
    <row r="4742" customFormat="false" ht="15" hidden="false" customHeight="false" outlineLevel="0" collapsed="false">
      <c r="A4742" s="27"/>
      <c r="E4742" s="28"/>
      <c r="F4742" s="28"/>
      <c r="I4742" s="28" t="str">
        <f aca="false">IF(A4742="","",D4742*E4742)</f>
        <v/>
      </c>
      <c r="J4742" s="28" t="str">
        <f aca="false">IF(A4742="","",D4742*F4742)</f>
        <v/>
      </c>
      <c r="K4742" s="0" t="str">
        <f aca="false">IF(A4742="","",YEAR(A4742))</f>
        <v/>
      </c>
      <c r="L4742" s="0" t="str">
        <f aca="false">IF(A4742="","",MONTH(A4742))</f>
        <v/>
      </c>
    </row>
    <row r="4743" customFormat="false" ht="15" hidden="false" customHeight="false" outlineLevel="0" collapsed="false">
      <c r="A4743" s="27"/>
      <c r="E4743" s="28"/>
      <c r="F4743" s="28"/>
      <c r="I4743" s="28" t="str">
        <f aca="false">IF(A4743="","",D4743*E4743)</f>
        <v/>
      </c>
      <c r="J4743" s="28" t="str">
        <f aca="false">IF(A4743="","",D4743*F4743)</f>
        <v/>
      </c>
      <c r="K4743" s="0" t="str">
        <f aca="false">IF(A4743="","",YEAR(A4743))</f>
        <v/>
      </c>
      <c r="L4743" s="0" t="str">
        <f aca="false">IF(A4743="","",MONTH(A4743))</f>
        <v/>
      </c>
    </row>
    <row r="4744" customFormat="false" ht="15" hidden="false" customHeight="false" outlineLevel="0" collapsed="false">
      <c r="A4744" s="27"/>
      <c r="E4744" s="28"/>
      <c r="F4744" s="28"/>
      <c r="I4744" s="28" t="str">
        <f aca="false">IF(A4744="","",D4744*E4744)</f>
        <v/>
      </c>
      <c r="J4744" s="28" t="str">
        <f aca="false">IF(A4744="","",D4744*F4744)</f>
        <v/>
      </c>
      <c r="K4744" s="0" t="str">
        <f aca="false">IF(A4744="","",YEAR(A4744))</f>
        <v/>
      </c>
      <c r="L4744" s="0" t="str">
        <f aca="false">IF(A4744="","",MONTH(A4744))</f>
        <v/>
      </c>
    </row>
    <row r="4745" customFormat="false" ht="15" hidden="false" customHeight="false" outlineLevel="0" collapsed="false">
      <c r="A4745" s="27"/>
      <c r="E4745" s="28"/>
      <c r="F4745" s="28"/>
      <c r="I4745" s="28" t="str">
        <f aca="false">IF(A4745="","",D4745*E4745)</f>
        <v/>
      </c>
      <c r="J4745" s="28" t="str">
        <f aca="false">IF(A4745="","",D4745*F4745)</f>
        <v/>
      </c>
      <c r="K4745" s="0" t="str">
        <f aca="false">IF(A4745="","",YEAR(A4745))</f>
        <v/>
      </c>
      <c r="L4745" s="0" t="str">
        <f aca="false">IF(A4745="","",MONTH(A4745))</f>
        <v/>
      </c>
    </row>
    <row r="4746" customFormat="false" ht="15" hidden="false" customHeight="false" outlineLevel="0" collapsed="false">
      <c r="A4746" s="27"/>
      <c r="E4746" s="28"/>
      <c r="F4746" s="28"/>
      <c r="I4746" s="28" t="str">
        <f aca="false">IF(A4746="","",D4746*E4746)</f>
        <v/>
      </c>
      <c r="J4746" s="28" t="str">
        <f aca="false">IF(A4746="","",D4746*F4746)</f>
        <v/>
      </c>
      <c r="K4746" s="0" t="str">
        <f aca="false">IF(A4746="","",YEAR(A4746))</f>
        <v/>
      </c>
      <c r="L4746" s="0" t="str">
        <f aca="false">IF(A4746="","",MONTH(A4746))</f>
        <v/>
      </c>
    </row>
    <row r="4747" customFormat="false" ht="15" hidden="false" customHeight="false" outlineLevel="0" collapsed="false">
      <c r="A4747" s="27"/>
      <c r="E4747" s="28"/>
      <c r="F4747" s="28"/>
      <c r="I4747" s="28" t="str">
        <f aca="false">IF(A4747="","",D4747*E4747)</f>
        <v/>
      </c>
      <c r="J4747" s="28" t="str">
        <f aca="false">IF(A4747="","",D4747*F4747)</f>
        <v/>
      </c>
      <c r="K4747" s="0" t="str">
        <f aca="false">IF(A4747="","",YEAR(A4747))</f>
        <v/>
      </c>
      <c r="L4747" s="0" t="str">
        <f aca="false">IF(A4747="","",MONTH(A4747))</f>
        <v/>
      </c>
    </row>
    <row r="4748" customFormat="false" ht="15" hidden="false" customHeight="false" outlineLevel="0" collapsed="false">
      <c r="A4748" s="27"/>
      <c r="E4748" s="28"/>
      <c r="F4748" s="28"/>
      <c r="I4748" s="28" t="str">
        <f aca="false">IF(A4748="","",D4748*E4748)</f>
        <v/>
      </c>
      <c r="J4748" s="28" t="str">
        <f aca="false">IF(A4748="","",D4748*F4748)</f>
        <v/>
      </c>
      <c r="K4748" s="0" t="str">
        <f aca="false">IF(A4748="","",YEAR(A4748))</f>
        <v/>
      </c>
      <c r="L4748" s="0" t="str">
        <f aca="false">IF(A4748="","",MONTH(A4748))</f>
        <v/>
      </c>
    </row>
    <row r="4749" customFormat="false" ht="15" hidden="false" customHeight="false" outlineLevel="0" collapsed="false">
      <c r="A4749" s="27"/>
      <c r="E4749" s="28"/>
      <c r="F4749" s="28"/>
      <c r="I4749" s="28" t="str">
        <f aca="false">IF(A4749="","",D4749*E4749)</f>
        <v/>
      </c>
      <c r="J4749" s="28" t="str">
        <f aca="false">IF(A4749="","",D4749*F4749)</f>
        <v/>
      </c>
      <c r="K4749" s="0" t="str">
        <f aca="false">IF(A4749="","",YEAR(A4749))</f>
        <v/>
      </c>
      <c r="L4749" s="0" t="str">
        <f aca="false">IF(A4749="","",MONTH(A4749))</f>
        <v/>
      </c>
    </row>
    <row r="4750" customFormat="false" ht="15" hidden="false" customHeight="false" outlineLevel="0" collapsed="false">
      <c r="A4750" s="27"/>
      <c r="E4750" s="28"/>
      <c r="F4750" s="28"/>
      <c r="I4750" s="28" t="str">
        <f aca="false">IF(A4750="","",D4750*E4750)</f>
        <v/>
      </c>
      <c r="J4750" s="28" t="str">
        <f aca="false">IF(A4750="","",D4750*F4750)</f>
        <v/>
      </c>
      <c r="K4750" s="0" t="str">
        <f aca="false">IF(A4750="","",YEAR(A4750))</f>
        <v/>
      </c>
      <c r="L4750" s="0" t="str">
        <f aca="false">IF(A4750="","",MONTH(A4750))</f>
        <v/>
      </c>
    </row>
    <row r="4751" customFormat="false" ht="15" hidden="false" customHeight="false" outlineLevel="0" collapsed="false">
      <c r="A4751" s="27"/>
      <c r="E4751" s="28"/>
      <c r="F4751" s="28"/>
      <c r="I4751" s="28" t="str">
        <f aca="false">IF(A4751="","",D4751*E4751)</f>
        <v/>
      </c>
      <c r="J4751" s="28" t="str">
        <f aca="false">IF(A4751="","",D4751*F4751)</f>
        <v/>
      </c>
      <c r="K4751" s="0" t="str">
        <f aca="false">IF(A4751="","",YEAR(A4751))</f>
        <v/>
      </c>
      <c r="L4751" s="0" t="str">
        <f aca="false">IF(A4751="","",MONTH(A4751))</f>
        <v/>
      </c>
    </row>
    <row r="4752" customFormat="false" ht="15" hidden="false" customHeight="false" outlineLevel="0" collapsed="false">
      <c r="A4752" s="27"/>
      <c r="E4752" s="28"/>
      <c r="F4752" s="28"/>
      <c r="I4752" s="28" t="str">
        <f aca="false">IF(A4752="","",D4752*E4752)</f>
        <v/>
      </c>
      <c r="J4752" s="28" t="str">
        <f aca="false">IF(A4752="","",D4752*F4752)</f>
        <v/>
      </c>
      <c r="K4752" s="0" t="str">
        <f aca="false">IF(A4752="","",YEAR(A4752))</f>
        <v/>
      </c>
      <c r="L4752" s="0" t="str">
        <f aca="false">IF(A4752="","",MONTH(A4752))</f>
        <v/>
      </c>
    </row>
    <row r="4753" customFormat="false" ht="15" hidden="false" customHeight="false" outlineLevel="0" collapsed="false">
      <c r="A4753" s="27"/>
      <c r="E4753" s="28"/>
      <c r="F4753" s="28"/>
      <c r="I4753" s="28" t="str">
        <f aca="false">IF(A4753="","",D4753*E4753)</f>
        <v/>
      </c>
      <c r="J4753" s="28" t="str">
        <f aca="false">IF(A4753="","",D4753*F4753)</f>
        <v/>
      </c>
      <c r="K4753" s="0" t="str">
        <f aca="false">IF(A4753="","",YEAR(A4753))</f>
        <v/>
      </c>
      <c r="L4753" s="0" t="str">
        <f aca="false">IF(A4753="","",MONTH(A4753))</f>
        <v/>
      </c>
    </row>
    <row r="4754" customFormat="false" ht="15" hidden="false" customHeight="false" outlineLevel="0" collapsed="false">
      <c r="A4754" s="27"/>
      <c r="E4754" s="28"/>
      <c r="F4754" s="28"/>
      <c r="I4754" s="28" t="str">
        <f aca="false">IF(A4754="","",D4754*E4754)</f>
        <v/>
      </c>
      <c r="J4754" s="28" t="str">
        <f aca="false">IF(A4754="","",D4754*F4754)</f>
        <v/>
      </c>
      <c r="K4754" s="0" t="str">
        <f aca="false">IF(A4754="","",YEAR(A4754))</f>
        <v/>
      </c>
      <c r="L4754" s="0" t="str">
        <f aca="false">IF(A4754="","",MONTH(A4754))</f>
        <v/>
      </c>
    </row>
    <row r="4755" customFormat="false" ht="15" hidden="false" customHeight="false" outlineLevel="0" collapsed="false">
      <c r="A4755" s="27"/>
      <c r="E4755" s="28"/>
      <c r="F4755" s="28"/>
      <c r="I4755" s="28" t="str">
        <f aca="false">IF(A4755="","",D4755*E4755)</f>
        <v/>
      </c>
      <c r="J4755" s="28" t="str">
        <f aca="false">IF(A4755="","",D4755*F4755)</f>
        <v/>
      </c>
      <c r="K4755" s="0" t="str">
        <f aca="false">IF(A4755="","",YEAR(A4755))</f>
        <v/>
      </c>
      <c r="L4755" s="0" t="str">
        <f aca="false">IF(A4755="","",MONTH(A4755))</f>
        <v/>
      </c>
    </row>
    <row r="4756" customFormat="false" ht="15" hidden="false" customHeight="false" outlineLevel="0" collapsed="false">
      <c r="A4756" s="27"/>
      <c r="E4756" s="28"/>
      <c r="F4756" s="28"/>
      <c r="I4756" s="28" t="str">
        <f aca="false">IF(A4756="","",D4756*E4756)</f>
        <v/>
      </c>
      <c r="J4756" s="28" t="str">
        <f aca="false">IF(A4756="","",D4756*F4756)</f>
        <v/>
      </c>
      <c r="K4756" s="0" t="str">
        <f aca="false">IF(A4756="","",YEAR(A4756))</f>
        <v/>
      </c>
      <c r="L4756" s="0" t="str">
        <f aca="false">IF(A4756="","",MONTH(A4756))</f>
        <v/>
      </c>
    </row>
    <row r="4757" customFormat="false" ht="15" hidden="false" customHeight="false" outlineLevel="0" collapsed="false">
      <c r="A4757" s="27"/>
      <c r="E4757" s="28"/>
      <c r="F4757" s="28"/>
      <c r="I4757" s="28" t="str">
        <f aca="false">IF(A4757="","",D4757*E4757)</f>
        <v/>
      </c>
      <c r="J4757" s="28" t="str">
        <f aca="false">IF(A4757="","",D4757*F4757)</f>
        <v/>
      </c>
      <c r="K4757" s="0" t="str">
        <f aca="false">IF(A4757="","",YEAR(A4757))</f>
        <v/>
      </c>
      <c r="L4757" s="0" t="str">
        <f aca="false">IF(A4757="","",MONTH(A4757))</f>
        <v/>
      </c>
    </row>
    <row r="4758" customFormat="false" ht="15" hidden="false" customHeight="false" outlineLevel="0" collapsed="false">
      <c r="A4758" s="27"/>
      <c r="E4758" s="28"/>
      <c r="F4758" s="28"/>
      <c r="I4758" s="28" t="str">
        <f aca="false">IF(A4758="","",D4758*E4758)</f>
        <v/>
      </c>
      <c r="J4758" s="28" t="str">
        <f aca="false">IF(A4758="","",D4758*F4758)</f>
        <v/>
      </c>
      <c r="K4758" s="0" t="str">
        <f aca="false">IF(A4758="","",YEAR(A4758))</f>
        <v/>
      </c>
      <c r="L4758" s="0" t="str">
        <f aca="false">IF(A4758="","",MONTH(A4758))</f>
        <v/>
      </c>
    </row>
    <row r="4759" customFormat="false" ht="15" hidden="false" customHeight="false" outlineLevel="0" collapsed="false">
      <c r="A4759" s="27"/>
      <c r="E4759" s="28"/>
      <c r="F4759" s="28"/>
      <c r="I4759" s="28" t="str">
        <f aca="false">IF(A4759="","",D4759*E4759)</f>
        <v/>
      </c>
      <c r="J4759" s="28" t="str">
        <f aca="false">IF(A4759="","",D4759*F4759)</f>
        <v/>
      </c>
      <c r="K4759" s="0" t="str">
        <f aca="false">IF(A4759="","",YEAR(A4759))</f>
        <v/>
      </c>
      <c r="L4759" s="0" t="str">
        <f aca="false">IF(A4759="","",MONTH(A4759))</f>
        <v/>
      </c>
    </row>
    <row r="4760" customFormat="false" ht="15" hidden="false" customHeight="false" outlineLevel="0" collapsed="false">
      <c r="A4760" s="27"/>
      <c r="E4760" s="28"/>
      <c r="F4760" s="28"/>
      <c r="I4760" s="28" t="str">
        <f aca="false">IF(A4760="","",D4760*E4760)</f>
        <v/>
      </c>
      <c r="J4760" s="28" t="str">
        <f aca="false">IF(A4760="","",D4760*F4760)</f>
        <v/>
      </c>
      <c r="K4760" s="0" t="str">
        <f aca="false">IF(A4760="","",YEAR(A4760))</f>
        <v/>
      </c>
      <c r="L4760" s="0" t="str">
        <f aca="false">IF(A4760="","",MONTH(A4760))</f>
        <v/>
      </c>
    </row>
    <row r="4761" customFormat="false" ht="15" hidden="false" customHeight="false" outlineLevel="0" collapsed="false">
      <c r="A4761" s="27"/>
      <c r="E4761" s="28"/>
      <c r="F4761" s="28"/>
      <c r="I4761" s="28" t="str">
        <f aca="false">IF(A4761="","",D4761*E4761)</f>
        <v/>
      </c>
      <c r="J4761" s="28" t="str">
        <f aca="false">IF(A4761="","",D4761*F4761)</f>
        <v/>
      </c>
      <c r="K4761" s="0" t="str">
        <f aca="false">IF(A4761="","",YEAR(A4761))</f>
        <v/>
      </c>
      <c r="L4761" s="0" t="str">
        <f aca="false">IF(A4761="","",MONTH(A4761))</f>
        <v/>
      </c>
    </row>
    <row r="4762" customFormat="false" ht="15" hidden="false" customHeight="false" outlineLevel="0" collapsed="false">
      <c r="A4762" s="27"/>
      <c r="E4762" s="28"/>
      <c r="F4762" s="28"/>
      <c r="I4762" s="28" t="str">
        <f aca="false">IF(A4762="","",D4762*E4762)</f>
        <v/>
      </c>
      <c r="J4762" s="28" t="str">
        <f aca="false">IF(A4762="","",D4762*F4762)</f>
        <v/>
      </c>
      <c r="K4762" s="0" t="str">
        <f aca="false">IF(A4762="","",YEAR(A4762))</f>
        <v/>
      </c>
      <c r="L4762" s="0" t="str">
        <f aca="false">IF(A4762="","",MONTH(A4762))</f>
        <v/>
      </c>
    </row>
    <row r="4763" customFormat="false" ht="15" hidden="false" customHeight="false" outlineLevel="0" collapsed="false">
      <c r="A4763" s="27"/>
      <c r="E4763" s="28"/>
      <c r="F4763" s="28"/>
      <c r="I4763" s="28" t="str">
        <f aca="false">IF(A4763="","",D4763*E4763)</f>
        <v/>
      </c>
      <c r="J4763" s="28" t="str">
        <f aca="false">IF(A4763="","",D4763*F4763)</f>
        <v/>
      </c>
      <c r="K4763" s="0" t="str">
        <f aca="false">IF(A4763="","",YEAR(A4763))</f>
        <v/>
      </c>
      <c r="L4763" s="0" t="str">
        <f aca="false">IF(A4763="","",MONTH(A4763))</f>
        <v/>
      </c>
    </row>
    <row r="4764" customFormat="false" ht="15" hidden="false" customHeight="false" outlineLevel="0" collapsed="false">
      <c r="A4764" s="27"/>
      <c r="E4764" s="28"/>
      <c r="F4764" s="28"/>
      <c r="I4764" s="28" t="str">
        <f aca="false">IF(A4764="","",D4764*E4764)</f>
        <v/>
      </c>
      <c r="J4764" s="28" t="str">
        <f aca="false">IF(A4764="","",D4764*F4764)</f>
        <v/>
      </c>
      <c r="K4764" s="0" t="str">
        <f aca="false">IF(A4764="","",YEAR(A4764))</f>
        <v/>
      </c>
      <c r="L4764" s="0" t="str">
        <f aca="false">IF(A4764="","",MONTH(A4764))</f>
        <v/>
      </c>
    </row>
    <row r="4765" customFormat="false" ht="15" hidden="false" customHeight="false" outlineLevel="0" collapsed="false">
      <c r="A4765" s="27"/>
      <c r="E4765" s="28"/>
      <c r="F4765" s="28"/>
      <c r="I4765" s="28" t="str">
        <f aca="false">IF(A4765="","",D4765*E4765)</f>
        <v/>
      </c>
      <c r="J4765" s="28" t="str">
        <f aca="false">IF(A4765="","",D4765*F4765)</f>
        <v/>
      </c>
      <c r="K4765" s="0" t="str">
        <f aca="false">IF(A4765="","",YEAR(A4765))</f>
        <v/>
      </c>
      <c r="L4765" s="0" t="str">
        <f aca="false">IF(A4765="","",MONTH(A4765))</f>
        <v/>
      </c>
    </row>
    <row r="4766" customFormat="false" ht="15" hidden="false" customHeight="false" outlineLevel="0" collapsed="false">
      <c r="A4766" s="27"/>
      <c r="E4766" s="28"/>
      <c r="F4766" s="28"/>
      <c r="I4766" s="28" t="str">
        <f aca="false">IF(A4766="","",D4766*E4766)</f>
        <v/>
      </c>
      <c r="J4766" s="28" t="str">
        <f aca="false">IF(A4766="","",D4766*F4766)</f>
        <v/>
      </c>
      <c r="K4766" s="0" t="str">
        <f aca="false">IF(A4766="","",YEAR(A4766))</f>
        <v/>
      </c>
      <c r="L4766" s="0" t="str">
        <f aca="false">IF(A4766="","",MONTH(A4766))</f>
        <v/>
      </c>
    </row>
    <row r="4767" customFormat="false" ht="15" hidden="false" customHeight="false" outlineLevel="0" collapsed="false">
      <c r="A4767" s="27"/>
      <c r="E4767" s="28"/>
      <c r="F4767" s="28"/>
      <c r="I4767" s="28" t="str">
        <f aca="false">IF(A4767="","",D4767*E4767)</f>
        <v/>
      </c>
      <c r="J4767" s="28" t="str">
        <f aca="false">IF(A4767="","",D4767*F4767)</f>
        <v/>
      </c>
      <c r="K4767" s="0" t="str">
        <f aca="false">IF(A4767="","",YEAR(A4767))</f>
        <v/>
      </c>
      <c r="L4767" s="0" t="str">
        <f aca="false">IF(A4767="","",MONTH(A4767))</f>
        <v/>
      </c>
    </row>
    <row r="4768" customFormat="false" ht="15" hidden="false" customHeight="false" outlineLevel="0" collapsed="false">
      <c r="A4768" s="27"/>
      <c r="E4768" s="28"/>
      <c r="F4768" s="28"/>
      <c r="I4768" s="28" t="str">
        <f aca="false">IF(A4768="","",D4768*E4768)</f>
        <v/>
      </c>
      <c r="J4768" s="28" t="str">
        <f aca="false">IF(A4768="","",D4768*F4768)</f>
        <v/>
      </c>
      <c r="K4768" s="0" t="str">
        <f aca="false">IF(A4768="","",YEAR(A4768))</f>
        <v/>
      </c>
      <c r="L4768" s="0" t="str">
        <f aca="false">IF(A4768="","",MONTH(A4768))</f>
        <v/>
      </c>
    </row>
    <row r="4769" customFormat="false" ht="15" hidden="false" customHeight="false" outlineLevel="0" collapsed="false">
      <c r="A4769" s="27"/>
      <c r="E4769" s="28"/>
      <c r="F4769" s="28"/>
      <c r="I4769" s="28" t="str">
        <f aca="false">IF(A4769="","",D4769*E4769)</f>
        <v/>
      </c>
      <c r="J4769" s="28" t="str">
        <f aca="false">IF(A4769="","",D4769*F4769)</f>
        <v/>
      </c>
      <c r="K4769" s="0" t="str">
        <f aca="false">IF(A4769="","",YEAR(A4769))</f>
        <v/>
      </c>
      <c r="L4769" s="0" t="str">
        <f aca="false">IF(A4769="","",MONTH(A4769))</f>
        <v/>
      </c>
    </row>
    <row r="4770" customFormat="false" ht="15" hidden="false" customHeight="false" outlineLevel="0" collapsed="false">
      <c r="A4770" s="27"/>
      <c r="E4770" s="28"/>
      <c r="F4770" s="28"/>
      <c r="I4770" s="28" t="str">
        <f aca="false">IF(A4770="","",D4770*E4770)</f>
        <v/>
      </c>
      <c r="J4770" s="28" t="str">
        <f aca="false">IF(A4770="","",D4770*F4770)</f>
        <v/>
      </c>
      <c r="K4770" s="0" t="str">
        <f aca="false">IF(A4770="","",YEAR(A4770))</f>
        <v/>
      </c>
      <c r="L4770" s="0" t="str">
        <f aca="false">IF(A4770="","",MONTH(A4770))</f>
        <v/>
      </c>
    </row>
    <row r="4771" customFormat="false" ht="15" hidden="false" customHeight="false" outlineLevel="0" collapsed="false">
      <c r="A4771" s="27"/>
      <c r="E4771" s="28"/>
      <c r="F4771" s="28"/>
      <c r="I4771" s="28" t="str">
        <f aca="false">IF(A4771="","",D4771*E4771)</f>
        <v/>
      </c>
      <c r="J4771" s="28" t="str">
        <f aca="false">IF(A4771="","",D4771*F4771)</f>
        <v/>
      </c>
      <c r="K4771" s="0" t="str">
        <f aca="false">IF(A4771="","",YEAR(A4771))</f>
        <v/>
      </c>
      <c r="L4771" s="0" t="str">
        <f aca="false">IF(A4771="","",MONTH(A4771))</f>
        <v/>
      </c>
    </row>
    <row r="4772" customFormat="false" ht="15" hidden="false" customHeight="false" outlineLevel="0" collapsed="false">
      <c r="A4772" s="27"/>
      <c r="E4772" s="28"/>
      <c r="F4772" s="28"/>
      <c r="I4772" s="28" t="str">
        <f aca="false">IF(A4772="","",D4772*E4772)</f>
        <v/>
      </c>
      <c r="J4772" s="28" t="str">
        <f aca="false">IF(A4772="","",D4772*F4772)</f>
        <v/>
      </c>
      <c r="K4772" s="0" t="str">
        <f aca="false">IF(A4772="","",YEAR(A4772))</f>
        <v/>
      </c>
      <c r="L4772" s="0" t="str">
        <f aca="false">IF(A4772="","",MONTH(A4772))</f>
        <v/>
      </c>
    </row>
    <row r="4773" customFormat="false" ht="15" hidden="false" customHeight="false" outlineLevel="0" collapsed="false">
      <c r="A4773" s="27"/>
      <c r="E4773" s="28"/>
      <c r="F4773" s="28"/>
      <c r="I4773" s="28" t="str">
        <f aca="false">IF(A4773="","",D4773*E4773)</f>
        <v/>
      </c>
      <c r="J4773" s="28" t="str">
        <f aca="false">IF(A4773="","",D4773*F4773)</f>
        <v/>
      </c>
      <c r="K4773" s="0" t="str">
        <f aca="false">IF(A4773="","",YEAR(A4773))</f>
        <v/>
      </c>
      <c r="L4773" s="0" t="str">
        <f aca="false">IF(A4773="","",MONTH(A4773))</f>
        <v/>
      </c>
    </row>
    <row r="4774" customFormat="false" ht="15" hidden="false" customHeight="false" outlineLevel="0" collapsed="false">
      <c r="A4774" s="27"/>
      <c r="E4774" s="28"/>
      <c r="F4774" s="28"/>
      <c r="I4774" s="28" t="str">
        <f aca="false">IF(A4774="","",D4774*E4774)</f>
        <v/>
      </c>
      <c r="J4774" s="28" t="str">
        <f aca="false">IF(A4774="","",D4774*F4774)</f>
        <v/>
      </c>
      <c r="K4774" s="0" t="str">
        <f aca="false">IF(A4774="","",YEAR(A4774))</f>
        <v/>
      </c>
      <c r="L4774" s="0" t="str">
        <f aca="false">IF(A4774="","",MONTH(A4774))</f>
        <v/>
      </c>
    </row>
    <row r="4775" customFormat="false" ht="15" hidden="false" customHeight="false" outlineLevel="0" collapsed="false">
      <c r="A4775" s="27"/>
      <c r="E4775" s="28"/>
      <c r="F4775" s="28"/>
      <c r="I4775" s="28" t="str">
        <f aca="false">IF(A4775="","",D4775*E4775)</f>
        <v/>
      </c>
      <c r="J4775" s="28" t="str">
        <f aca="false">IF(A4775="","",D4775*F4775)</f>
        <v/>
      </c>
      <c r="K4775" s="0" t="str">
        <f aca="false">IF(A4775="","",YEAR(A4775))</f>
        <v/>
      </c>
      <c r="L4775" s="0" t="str">
        <f aca="false">IF(A4775="","",MONTH(A4775))</f>
        <v/>
      </c>
    </row>
    <row r="4776" customFormat="false" ht="15" hidden="false" customHeight="false" outlineLevel="0" collapsed="false">
      <c r="A4776" s="27"/>
      <c r="E4776" s="28"/>
      <c r="F4776" s="28"/>
      <c r="I4776" s="28" t="str">
        <f aca="false">IF(A4776="","",D4776*E4776)</f>
        <v/>
      </c>
      <c r="J4776" s="28" t="str">
        <f aca="false">IF(A4776="","",D4776*F4776)</f>
        <v/>
      </c>
      <c r="K4776" s="0" t="str">
        <f aca="false">IF(A4776="","",YEAR(A4776))</f>
        <v/>
      </c>
      <c r="L4776" s="0" t="str">
        <f aca="false">IF(A4776="","",MONTH(A4776))</f>
        <v/>
      </c>
    </row>
    <row r="4777" customFormat="false" ht="15" hidden="false" customHeight="false" outlineLevel="0" collapsed="false">
      <c r="A4777" s="27"/>
      <c r="E4777" s="28"/>
      <c r="F4777" s="28"/>
      <c r="I4777" s="28" t="str">
        <f aca="false">IF(A4777="","",D4777*E4777)</f>
        <v/>
      </c>
      <c r="J4777" s="28" t="str">
        <f aca="false">IF(A4777="","",D4777*F4777)</f>
        <v/>
      </c>
      <c r="K4777" s="0" t="str">
        <f aca="false">IF(A4777="","",YEAR(A4777))</f>
        <v/>
      </c>
      <c r="L4777" s="0" t="str">
        <f aca="false">IF(A4777="","",MONTH(A4777))</f>
        <v/>
      </c>
    </row>
    <row r="4778" customFormat="false" ht="15" hidden="false" customHeight="false" outlineLevel="0" collapsed="false">
      <c r="A4778" s="27"/>
      <c r="E4778" s="28"/>
      <c r="F4778" s="28"/>
      <c r="I4778" s="28" t="str">
        <f aca="false">IF(A4778="","",D4778*E4778)</f>
        <v/>
      </c>
      <c r="J4778" s="28" t="str">
        <f aca="false">IF(A4778="","",D4778*F4778)</f>
        <v/>
      </c>
      <c r="K4778" s="0" t="str">
        <f aca="false">IF(A4778="","",YEAR(A4778))</f>
        <v/>
      </c>
      <c r="L4778" s="0" t="str">
        <f aca="false">IF(A4778="","",MONTH(A4778))</f>
        <v/>
      </c>
    </row>
    <row r="4779" customFormat="false" ht="15" hidden="false" customHeight="false" outlineLevel="0" collapsed="false">
      <c r="A4779" s="27"/>
      <c r="E4779" s="28"/>
      <c r="F4779" s="28"/>
      <c r="I4779" s="28" t="str">
        <f aca="false">IF(A4779="","",D4779*E4779)</f>
        <v/>
      </c>
      <c r="J4779" s="28" t="str">
        <f aca="false">IF(A4779="","",D4779*F4779)</f>
        <v/>
      </c>
      <c r="K4779" s="0" t="str">
        <f aca="false">IF(A4779="","",YEAR(A4779))</f>
        <v/>
      </c>
      <c r="L4779" s="0" t="str">
        <f aca="false">IF(A4779="","",MONTH(A4779))</f>
        <v/>
      </c>
    </row>
    <row r="4780" customFormat="false" ht="15" hidden="false" customHeight="false" outlineLevel="0" collapsed="false">
      <c r="A4780" s="27"/>
      <c r="E4780" s="28"/>
      <c r="F4780" s="28"/>
      <c r="I4780" s="28" t="str">
        <f aca="false">IF(A4780="","",D4780*E4780)</f>
        <v/>
      </c>
      <c r="J4780" s="28" t="str">
        <f aca="false">IF(A4780="","",D4780*F4780)</f>
        <v/>
      </c>
      <c r="K4780" s="0" t="str">
        <f aca="false">IF(A4780="","",YEAR(A4780))</f>
        <v/>
      </c>
      <c r="L4780" s="0" t="str">
        <f aca="false">IF(A4780="","",MONTH(A4780))</f>
        <v/>
      </c>
    </row>
    <row r="4781" customFormat="false" ht="15" hidden="false" customHeight="false" outlineLevel="0" collapsed="false">
      <c r="A4781" s="27"/>
      <c r="E4781" s="28"/>
      <c r="F4781" s="28"/>
      <c r="I4781" s="28" t="str">
        <f aca="false">IF(A4781="","",D4781*E4781)</f>
        <v/>
      </c>
      <c r="J4781" s="28" t="str">
        <f aca="false">IF(A4781="","",D4781*F4781)</f>
        <v/>
      </c>
      <c r="K4781" s="0" t="str">
        <f aca="false">IF(A4781="","",YEAR(A4781))</f>
        <v/>
      </c>
      <c r="L4781" s="0" t="str">
        <f aca="false">IF(A4781="","",MONTH(A4781))</f>
        <v/>
      </c>
    </row>
    <row r="4782" customFormat="false" ht="15" hidden="false" customHeight="false" outlineLevel="0" collapsed="false">
      <c r="A4782" s="27"/>
      <c r="E4782" s="28"/>
      <c r="F4782" s="28"/>
      <c r="I4782" s="28" t="str">
        <f aca="false">IF(A4782="","",D4782*E4782)</f>
        <v/>
      </c>
      <c r="J4782" s="28" t="str">
        <f aca="false">IF(A4782="","",D4782*F4782)</f>
        <v/>
      </c>
      <c r="K4782" s="0" t="str">
        <f aca="false">IF(A4782="","",YEAR(A4782))</f>
        <v/>
      </c>
      <c r="L4782" s="0" t="str">
        <f aca="false">IF(A4782="","",MONTH(A4782))</f>
        <v/>
      </c>
    </row>
    <row r="4783" customFormat="false" ht="15" hidden="false" customHeight="false" outlineLevel="0" collapsed="false">
      <c r="A4783" s="27"/>
      <c r="E4783" s="28"/>
      <c r="F4783" s="28"/>
      <c r="I4783" s="28" t="str">
        <f aca="false">IF(A4783="","",D4783*E4783)</f>
        <v/>
      </c>
      <c r="J4783" s="28" t="str">
        <f aca="false">IF(A4783="","",D4783*F4783)</f>
        <v/>
      </c>
      <c r="K4783" s="0" t="str">
        <f aca="false">IF(A4783="","",YEAR(A4783))</f>
        <v/>
      </c>
      <c r="L4783" s="0" t="str">
        <f aca="false">IF(A4783="","",MONTH(A4783))</f>
        <v/>
      </c>
    </row>
    <row r="4784" customFormat="false" ht="15" hidden="false" customHeight="false" outlineLevel="0" collapsed="false">
      <c r="A4784" s="27"/>
      <c r="E4784" s="28"/>
      <c r="F4784" s="28"/>
      <c r="I4784" s="28" t="str">
        <f aca="false">IF(A4784="","",D4784*E4784)</f>
        <v/>
      </c>
      <c r="J4784" s="28" t="str">
        <f aca="false">IF(A4784="","",D4784*F4784)</f>
        <v/>
      </c>
      <c r="K4784" s="0" t="str">
        <f aca="false">IF(A4784="","",YEAR(A4784))</f>
        <v/>
      </c>
      <c r="L4784" s="0" t="str">
        <f aca="false">IF(A4784="","",MONTH(A4784))</f>
        <v/>
      </c>
    </row>
    <row r="4785" customFormat="false" ht="15" hidden="false" customHeight="false" outlineLevel="0" collapsed="false">
      <c r="A4785" s="27"/>
      <c r="E4785" s="28"/>
      <c r="F4785" s="28"/>
      <c r="I4785" s="28" t="str">
        <f aca="false">IF(A4785="","",D4785*E4785)</f>
        <v/>
      </c>
      <c r="J4785" s="28" t="str">
        <f aca="false">IF(A4785="","",D4785*F4785)</f>
        <v/>
      </c>
      <c r="K4785" s="0" t="str">
        <f aca="false">IF(A4785="","",YEAR(A4785))</f>
        <v/>
      </c>
      <c r="L4785" s="0" t="str">
        <f aca="false">IF(A4785="","",MONTH(A4785))</f>
        <v/>
      </c>
    </row>
    <row r="4786" customFormat="false" ht="15" hidden="false" customHeight="false" outlineLevel="0" collapsed="false">
      <c r="A4786" s="27"/>
      <c r="E4786" s="28"/>
      <c r="F4786" s="28"/>
      <c r="I4786" s="28" t="str">
        <f aca="false">IF(A4786="","",D4786*E4786)</f>
        <v/>
      </c>
      <c r="J4786" s="28" t="str">
        <f aca="false">IF(A4786="","",D4786*F4786)</f>
        <v/>
      </c>
      <c r="K4786" s="0" t="str">
        <f aca="false">IF(A4786="","",YEAR(A4786))</f>
        <v/>
      </c>
      <c r="L4786" s="0" t="str">
        <f aca="false">IF(A4786="","",MONTH(A4786))</f>
        <v/>
      </c>
    </row>
    <row r="4787" customFormat="false" ht="15" hidden="false" customHeight="false" outlineLevel="0" collapsed="false">
      <c r="A4787" s="27"/>
      <c r="E4787" s="28"/>
      <c r="F4787" s="28"/>
      <c r="I4787" s="28" t="str">
        <f aca="false">IF(A4787="","",D4787*E4787)</f>
        <v/>
      </c>
      <c r="J4787" s="28" t="str">
        <f aca="false">IF(A4787="","",D4787*F4787)</f>
        <v/>
      </c>
      <c r="K4787" s="0" t="str">
        <f aca="false">IF(A4787="","",YEAR(A4787))</f>
        <v/>
      </c>
      <c r="L4787" s="0" t="str">
        <f aca="false">IF(A4787="","",MONTH(A4787))</f>
        <v/>
      </c>
    </row>
    <row r="4788" customFormat="false" ht="15" hidden="false" customHeight="false" outlineLevel="0" collapsed="false">
      <c r="A4788" s="27"/>
      <c r="E4788" s="28"/>
      <c r="F4788" s="28"/>
      <c r="I4788" s="28" t="str">
        <f aca="false">IF(A4788="","",D4788*E4788)</f>
        <v/>
      </c>
      <c r="J4788" s="28" t="str">
        <f aca="false">IF(A4788="","",D4788*F4788)</f>
        <v/>
      </c>
      <c r="K4788" s="0" t="str">
        <f aca="false">IF(A4788="","",YEAR(A4788))</f>
        <v/>
      </c>
      <c r="L4788" s="0" t="str">
        <f aca="false">IF(A4788="","",MONTH(A4788))</f>
        <v/>
      </c>
    </row>
    <row r="4789" customFormat="false" ht="15" hidden="false" customHeight="false" outlineLevel="0" collapsed="false">
      <c r="A4789" s="27"/>
      <c r="E4789" s="28"/>
      <c r="F4789" s="28"/>
      <c r="I4789" s="28" t="str">
        <f aca="false">IF(A4789="","",D4789*E4789)</f>
        <v/>
      </c>
      <c r="J4789" s="28" t="str">
        <f aca="false">IF(A4789="","",D4789*F4789)</f>
        <v/>
      </c>
      <c r="K4789" s="0" t="str">
        <f aca="false">IF(A4789="","",YEAR(A4789))</f>
        <v/>
      </c>
      <c r="L4789" s="0" t="str">
        <f aca="false">IF(A4789="","",MONTH(A4789))</f>
        <v/>
      </c>
    </row>
    <row r="4790" customFormat="false" ht="15" hidden="false" customHeight="false" outlineLevel="0" collapsed="false">
      <c r="A4790" s="27"/>
      <c r="E4790" s="28"/>
      <c r="F4790" s="28"/>
      <c r="I4790" s="28" t="str">
        <f aca="false">IF(A4790="","",D4790*E4790)</f>
        <v/>
      </c>
      <c r="J4790" s="28" t="str">
        <f aca="false">IF(A4790="","",D4790*F4790)</f>
        <v/>
      </c>
      <c r="K4790" s="0" t="str">
        <f aca="false">IF(A4790="","",YEAR(A4790))</f>
        <v/>
      </c>
      <c r="L4790" s="0" t="str">
        <f aca="false">IF(A4790="","",MONTH(A4790))</f>
        <v/>
      </c>
    </row>
    <row r="4791" customFormat="false" ht="15" hidden="false" customHeight="false" outlineLevel="0" collapsed="false">
      <c r="A4791" s="27"/>
      <c r="E4791" s="28"/>
      <c r="F4791" s="28"/>
      <c r="I4791" s="28" t="str">
        <f aca="false">IF(A4791="","",D4791*E4791)</f>
        <v/>
      </c>
      <c r="J4791" s="28" t="str">
        <f aca="false">IF(A4791="","",D4791*F4791)</f>
        <v/>
      </c>
      <c r="K4791" s="0" t="str">
        <f aca="false">IF(A4791="","",YEAR(A4791))</f>
        <v/>
      </c>
      <c r="L4791" s="0" t="str">
        <f aca="false">IF(A4791="","",MONTH(A4791))</f>
        <v/>
      </c>
    </row>
    <row r="4792" customFormat="false" ht="15" hidden="false" customHeight="false" outlineLevel="0" collapsed="false">
      <c r="A4792" s="27"/>
      <c r="E4792" s="28"/>
      <c r="F4792" s="28"/>
      <c r="I4792" s="28" t="str">
        <f aca="false">IF(A4792="","",D4792*E4792)</f>
        <v/>
      </c>
      <c r="J4792" s="28" t="str">
        <f aca="false">IF(A4792="","",D4792*F4792)</f>
        <v/>
      </c>
      <c r="K4792" s="0" t="str">
        <f aca="false">IF(A4792="","",YEAR(A4792))</f>
        <v/>
      </c>
      <c r="L4792" s="0" t="str">
        <f aca="false">IF(A4792="","",MONTH(A4792))</f>
        <v/>
      </c>
    </row>
    <row r="4793" customFormat="false" ht="15" hidden="false" customHeight="false" outlineLevel="0" collapsed="false">
      <c r="A4793" s="27"/>
      <c r="E4793" s="28"/>
      <c r="F4793" s="28"/>
      <c r="I4793" s="28" t="str">
        <f aca="false">IF(A4793="","",D4793*E4793)</f>
        <v/>
      </c>
      <c r="J4793" s="28" t="str">
        <f aca="false">IF(A4793="","",D4793*F4793)</f>
        <v/>
      </c>
      <c r="K4793" s="0" t="str">
        <f aca="false">IF(A4793="","",YEAR(A4793))</f>
        <v/>
      </c>
      <c r="L4793" s="0" t="str">
        <f aca="false">IF(A4793="","",MONTH(A4793))</f>
        <v/>
      </c>
    </row>
    <row r="4794" customFormat="false" ht="15" hidden="false" customHeight="false" outlineLevel="0" collapsed="false">
      <c r="A4794" s="27"/>
      <c r="E4794" s="28"/>
      <c r="F4794" s="28"/>
      <c r="I4794" s="28" t="str">
        <f aca="false">IF(A4794="","",D4794*E4794)</f>
        <v/>
      </c>
      <c r="J4794" s="28" t="str">
        <f aca="false">IF(A4794="","",D4794*F4794)</f>
        <v/>
      </c>
      <c r="K4794" s="0" t="str">
        <f aca="false">IF(A4794="","",YEAR(A4794))</f>
        <v/>
      </c>
      <c r="L4794" s="0" t="str">
        <f aca="false">IF(A4794="","",MONTH(A4794))</f>
        <v/>
      </c>
    </row>
    <row r="4795" customFormat="false" ht="15" hidden="false" customHeight="false" outlineLevel="0" collapsed="false">
      <c r="A4795" s="27"/>
      <c r="E4795" s="28"/>
      <c r="F4795" s="28"/>
      <c r="I4795" s="28" t="str">
        <f aca="false">IF(A4795="","",D4795*E4795)</f>
        <v/>
      </c>
      <c r="J4795" s="28" t="str">
        <f aca="false">IF(A4795="","",D4795*F4795)</f>
        <v/>
      </c>
      <c r="K4795" s="0" t="str">
        <f aca="false">IF(A4795="","",YEAR(A4795))</f>
        <v/>
      </c>
      <c r="L4795" s="0" t="str">
        <f aca="false">IF(A4795="","",MONTH(A4795))</f>
        <v/>
      </c>
    </row>
    <row r="4796" customFormat="false" ht="15" hidden="false" customHeight="false" outlineLevel="0" collapsed="false">
      <c r="A4796" s="27"/>
      <c r="E4796" s="28"/>
      <c r="F4796" s="28"/>
      <c r="I4796" s="28" t="str">
        <f aca="false">IF(A4796="","",D4796*E4796)</f>
        <v/>
      </c>
      <c r="J4796" s="28" t="str">
        <f aca="false">IF(A4796="","",D4796*F4796)</f>
        <v/>
      </c>
      <c r="K4796" s="0" t="str">
        <f aca="false">IF(A4796="","",YEAR(A4796))</f>
        <v/>
      </c>
      <c r="L4796" s="0" t="str">
        <f aca="false">IF(A4796="","",MONTH(A4796))</f>
        <v/>
      </c>
    </row>
    <row r="4797" customFormat="false" ht="15" hidden="false" customHeight="false" outlineLevel="0" collapsed="false">
      <c r="A4797" s="27"/>
      <c r="E4797" s="28"/>
      <c r="F4797" s="28"/>
      <c r="I4797" s="28" t="str">
        <f aca="false">IF(A4797="","",D4797*E4797)</f>
        <v/>
      </c>
      <c r="J4797" s="28" t="str">
        <f aca="false">IF(A4797="","",D4797*F4797)</f>
        <v/>
      </c>
      <c r="K4797" s="0" t="str">
        <f aca="false">IF(A4797="","",YEAR(A4797))</f>
        <v/>
      </c>
      <c r="L4797" s="0" t="str">
        <f aca="false">IF(A4797="","",MONTH(A4797))</f>
        <v/>
      </c>
    </row>
    <row r="4798" customFormat="false" ht="15" hidden="false" customHeight="false" outlineLevel="0" collapsed="false">
      <c r="A4798" s="27"/>
      <c r="E4798" s="28"/>
      <c r="F4798" s="28"/>
      <c r="I4798" s="28" t="str">
        <f aca="false">IF(A4798="","",D4798*E4798)</f>
        <v/>
      </c>
      <c r="J4798" s="28" t="str">
        <f aca="false">IF(A4798="","",D4798*F4798)</f>
        <v/>
      </c>
      <c r="K4798" s="0" t="str">
        <f aca="false">IF(A4798="","",YEAR(A4798))</f>
        <v/>
      </c>
      <c r="L4798" s="0" t="str">
        <f aca="false">IF(A4798="","",MONTH(A4798))</f>
        <v/>
      </c>
    </row>
    <row r="4799" customFormat="false" ht="15" hidden="false" customHeight="false" outlineLevel="0" collapsed="false">
      <c r="A4799" s="27"/>
      <c r="E4799" s="28"/>
      <c r="F4799" s="28"/>
      <c r="I4799" s="28" t="str">
        <f aca="false">IF(A4799="","",D4799*E4799)</f>
        <v/>
      </c>
      <c r="J4799" s="28" t="str">
        <f aca="false">IF(A4799="","",D4799*F4799)</f>
        <v/>
      </c>
      <c r="K4799" s="0" t="str">
        <f aca="false">IF(A4799="","",YEAR(A4799))</f>
        <v/>
      </c>
      <c r="L4799" s="0" t="str">
        <f aca="false">IF(A4799="","",MONTH(A4799))</f>
        <v/>
      </c>
    </row>
    <row r="4800" customFormat="false" ht="15" hidden="false" customHeight="false" outlineLevel="0" collapsed="false">
      <c r="A4800" s="27"/>
      <c r="E4800" s="28"/>
      <c r="F4800" s="28"/>
      <c r="I4800" s="28" t="str">
        <f aca="false">IF(A4800="","",D4800*E4800)</f>
        <v/>
      </c>
      <c r="J4800" s="28" t="str">
        <f aca="false">IF(A4800="","",D4800*F4800)</f>
        <v/>
      </c>
      <c r="K4800" s="0" t="str">
        <f aca="false">IF(A4800="","",YEAR(A4800))</f>
        <v/>
      </c>
      <c r="L4800" s="0" t="str">
        <f aca="false">IF(A4800="","",MONTH(A4800))</f>
        <v/>
      </c>
    </row>
    <row r="4801" customFormat="false" ht="15" hidden="false" customHeight="false" outlineLevel="0" collapsed="false">
      <c r="A4801" s="27"/>
      <c r="E4801" s="28"/>
      <c r="F4801" s="28"/>
      <c r="I4801" s="28" t="str">
        <f aca="false">IF(A4801="","",D4801*E4801)</f>
        <v/>
      </c>
      <c r="J4801" s="28" t="str">
        <f aca="false">IF(A4801="","",D4801*F4801)</f>
        <v/>
      </c>
      <c r="K4801" s="0" t="str">
        <f aca="false">IF(A4801="","",YEAR(A4801))</f>
        <v/>
      </c>
      <c r="L4801" s="0" t="str">
        <f aca="false">IF(A4801="","",MONTH(A4801))</f>
        <v/>
      </c>
    </row>
    <row r="4802" customFormat="false" ht="15" hidden="false" customHeight="false" outlineLevel="0" collapsed="false">
      <c r="A4802" s="27"/>
      <c r="E4802" s="28"/>
      <c r="F4802" s="28"/>
      <c r="I4802" s="28" t="str">
        <f aca="false">IF(A4802="","",D4802*E4802)</f>
        <v/>
      </c>
      <c r="J4802" s="28" t="str">
        <f aca="false">IF(A4802="","",D4802*F4802)</f>
        <v/>
      </c>
      <c r="K4802" s="0" t="str">
        <f aca="false">IF(A4802="","",YEAR(A4802))</f>
        <v/>
      </c>
      <c r="L4802" s="0" t="str">
        <f aca="false">IF(A4802="","",MONTH(A4802))</f>
        <v/>
      </c>
    </row>
    <row r="4803" customFormat="false" ht="15" hidden="false" customHeight="false" outlineLevel="0" collapsed="false">
      <c r="A4803" s="27"/>
      <c r="E4803" s="28"/>
      <c r="F4803" s="28"/>
      <c r="I4803" s="28" t="str">
        <f aca="false">IF(A4803="","",D4803*E4803)</f>
        <v/>
      </c>
      <c r="J4803" s="28" t="str">
        <f aca="false">IF(A4803="","",D4803*F4803)</f>
        <v/>
      </c>
      <c r="K4803" s="0" t="str">
        <f aca="false">IF(A4803="","",YEAR(A4803))</f>
        <v/>
      </c>
      <c r="L4803" s="0" t="str">
        <f aca="false">IF(A4803="","",MONTH(A4803))</f>
        <v/>
      </c>
    </row>
    <row r="4804" customFormat="false" ht="15" hidden="false" customHeight="false" outlineLevel="0" collapsed="false">
      <c r="A4804" s="27"/>
      <c r="E4804" s="28"/>
      <c r="F4804" s="28"/>
      <c r="I4804" s="28" t="str">
        <f aca="false">IF(A4804="","",D4804*E4804)</f>
        <v/>
      </c>
      <c r="J4804" s="28" t="str">
        <f aca="false">IF(A4804="","",D4804*F4804)</f>
        <v/>
      </c>
      <c r="K4804" s="0" t="str">
        <f aca="false">IF(A4804="","",YEAR(A4804))</f>
        <v/>
      </c>
      <c r="L4804" s="0" t="str">
        <f aca="false">IF(A4804="","",MONTH(A4804))</f>
        <v/>
      </c>
    </row>
    <row r="4805" customFormat="false" ht="15" hidden="false" customHeight="false" outlineLevel="0" collapsed="false">
      <c r="A4805" s="27"/>
      <c r="E4805" s="28"/>
      <c r="F4805" s="28"/>
      <c r="I4805" s="28" t="str">
        <f aca="false">IF(A4805="","",D4805*E4805)</f>
        <v/>
      </c>
      <c r="J4805" s="28" t="str">
        <f aca="false">IF(A4805="","",D4805*F4805)</f>
        <v/>
      </c>
      <c r="K4805" s="0" t="str">
        <f aca="false">IF(A4805="","",YEAR(A4805))</f>
        <v/>
      </c>
      <c r="L4805" s="0" t="str">
        <f aca="false">IF(A4805="","",MONTH(A4805))</f>
        <v/>
      </c>
    </row>
    <row r="4806" customFormat="false" ht="15" hidden="false" customHeight="false" outlineLevel="0" collapsed="false">
      <c r="A4806" s="27"/>
      <c r="E4806" s="28"/>
      <c r="F4806" s="28"/>
      <c r="I4806" s="28" t="str">
        <f aca="false">IF(A4806="","",D4806*E4806)</f>
        <v/>
      </c>
      <c r="J4806" s="28" t="str">
        <f aca="false">IF(A4806="","",D4806*F4806)</f>
        <v/>
      </c>
      <c r="K4806" s="0" t="str">
        <f aca="false">IF(A4806="","",YEAR(A4806))</f>
        <v/>
      </c>
      <c r="L4806" s="0" t="str">
        <f aca="false">IF(A4806="","",MONTH(A4806))</f>
        <v/>
      </c>
    </row>
    <row r="4807" customFormat="false" ht="15" hidden="false" customHeight="false" outlineLevel="0" collapsed="false">
      <c r="A4807" s="27"/>
      <c r="E4807" s="28"/>
      <c r="F4807" s="28"/>
      <c r="I4807" s="28" t="str">
        <f aca="false">IF(A4807="","",D4807*E4807)</f>
        <v/>
      </c>
      <c r="J4807" s="28" t="str">
        <f aca="false">IF(A4807="","",D4807*F4807)</f>
        <v/>
      </c>
      <c r="K4807" s="0" t="str">
        <f aca="false">IF(A4807="","",YEAR(A4807))</f>
        <v/>
      </c>
      <c r="L4807" s="0" t="str">
        <f aca="false">IF(A4807="","",MONTH(A4807))</f>
        <v/>
      </c>
    </row>
    <row r="4808" customFormat="false" ht="15" hidden="false" customHeight="false" outlineLevel="0" collapsed="false">
      <c r="A4808" s="27"/>
      <c r="E4808" s="28"/>
      <c r="F4808" s="28"/>
      <c r="I4808" s="28" t="str">
        <f aca="false">IF(A4808="","",D4808*E4808)</f>
        <v/>
      </c>
      <c r="J4808" s="28" t="str">
        <f aca="false">IF(A4808="","",D4808*F4808)</f>
        <v/>
      </c>
      <c r="K4808" s="0" t="str">
        <f aca="false">IF(A4808="","",YEAR(A4808))</f>
        <v/>
      </c>
      <c r="L4808" s="0" t="str">
        <f aca="false">IF(A4808="","",MONTH(A4808))</f>
        <v/>
      </c>
    </row>
    <row r="4809" customFormat="false" ht="15" hidden="false" customHeight="false" outlineLevel="0" collapsed="false">
      <c r="A4809" s="27"/>
      <c r="E4809" s="28"/>
      <c r="F4809" s="28"/>
      <c r="I4809" s="28" t="str">
        <f aca="false">IF(A4809="","",D4809*E4809)</f>
        <v/>
      </c>
      <c r="J4809" s="28" t="str">
        <f aca="false">IF(A4809="","",D4809*F4809)</f>
        <v/>
      </c>
      <c r="K4809" s="0" t="str">
        <f aca="false">IF(A4809="","",YEAR(A4809))</f>
        <v/>
      </c>
      <c r="L4809" s="0" t="str">
        <f aca="false">IF(A4809="","",MONTH(A4809))</f>
        <v/>
      </c>
    </row>
    <row r="4810" customFormat="false" ht="15" hidden="false" customHeight="false" outlineLevel="0" collapsed="false">
      <c r="A4810" s="27"/>
      <c r="E4810" s="28"/>
      <c r="F4810" s="28"/>
      <c r="I4810" s="28" t="str">
        <f aca="false">IF(A4810="","",D4810*E4810)</f>
        <v/>
      </c>
      <c r="J4810" s="28" t="str">
        <f aca="false">IF(A4810="","",D4810*F4810)</f>
        <v/>
      </c>
      <c r="K4810" s="0" t="str">
        <f aca="false">IF(A4810="","",YEAR(A4810))</f>
        <v/>
      </c>
      <c r="L4810" s="0" t="str">
        <f aca="false">IF(A4810="","",MONTH(A4810))</f>
        <v/>
      </c>
    </row>
    <row r="4811" customFormat="false" ht="15" hidden="false" customHeight="false" outlineLevel="0" collapsed="false">
      <c r="A4811" s="27"/>
      <c r="E4811" s="28"/>
      <c r="F4811" s="28"/>
      <c r="I4811" s="28" t="str">
        <f aca="false">IF(A4811="","",D4811*E4811)</f>
        <v/>
      </c>
      <c r="J4811" s="28" t="str">
        <f aca="false">IF(A4811="","",D4811*F4811)</f>
        <v/>
      </c>
      <c r="K4811" s="0" t="str">
        <f aca="false">IF(A4811="","",YEAR(A4811))</f>
        <v/>
      </c>
      <c r="L4811" s="0" t="str">
        <f aca="false">IF(A4811="","",MONTH(A4811))</f>
        <v/>
      </c>
    </row>
    <row r="4812" customFormat="false" ht="15" hidden="false" customHeight="false" outlineLevel="0" collapsed="false">
      <c r="A4812" s="27"/>
      <c r="E4812" s="28"/>
      <c r="F4812" s="28"/>
      <c r="I4812" s="28" t="str">
        <f aca="false">IF(A4812="","",D4812*E4812)</f>
        <v/>
      </c>
      <c r="J4812" s="28" t="str">
        <f aca="false">IF(A4812="","",D4812*F4812)</f>
        <v/>
      </c>
      <c r="K4812" s="0" t="str">
        <f aca="false">IF(A4812="","",YEAR(A4812))</f>
        <v/>
      </c>
      <c r="L4812" s="0" t="str">
        <f aca="false">IF(A4812="","",MONTH(A4812))</f>
        <v/>
      </c>
    </row>
    <row r="4813" customFormat="false" ht="15" hidden="false" customHeight="false" outlineLevel="0" collapsed="false">
      <c r="A4813" s="27"/>
      <c r="E4813" s="28"/>
      <c r="F4813" s="28"/>
      <c r="I4813" s="28" t="str">
        <f aca="false">IF(A4813="","",D4813*E4813)</f>
        <v/>
      </c>
      <c r="J4813" s="28" t="str">
        <f aca="false">IF(A4813="","",D4813*F4813)</f>
        <v/>
      </c>
      <c r="K4813" s="0" t="str">
        <f aca="false">IF(A4813="","",YEAR(A4813))</f>
        <v/>
      </c>
      <c r="L4813" s="0" t="str">
        <f aca="false">IF(A4813="","",MONTH(A4813))</f>
        <v/>
      </c>
    </row>
    <row r="4814" customFormat="false" ht="15" hidden="false" customHeight="false" outlineLevel="0" collapsed="false">
      <c r="A4814" s="27"/>
      <c r="E4814" s="28"/>
      <c r="F4814" s="28"/>
      <c r="I4814" s="28" t="str">
        <f aca="false">IF(A4814="","",D4814*E4814)</f>
        <v/>
      </c>
      <c r="J4814" s="28" t="str">
        <f aca="false">IF(A4814="","",D4814*F4814)</f>
        <v/>
      </c>
      <c r="K4814" s="0" t="str">
        <f aca="false">IF(A4814="","",YEAR(A4814))</f>
        <v/>
      </c>
      <c r="L4814" s="0" t="str">
        <f aca="false">IF(A4814="","",MONTH(A4814))</f>
        <v/>
      </c>
    </row>
    <row r="4815" customFormat="false" ht="15" hidden="false" customHeight="false" outlineLevel="0" collapsed="false">
      <c r="A4815" s="27"/>
      <c r="E4815" s="28"/>
      <c r="F4815" s="28"/>
      <c r="I4815" s="28" t="str">
        <f aca="false">IF(A4815="","",D4815*E4815)</f>
        <v/>
      </c>
      <c r="J4815" s="28" t="str">
        <f aca="false">IF(A4815="","",D4815*F4815)</f>
        <v/>
      </c>
      <c r="K4815" s="0" t="str">
        <f aca="false">IF(A4815="","",YEAR(A4815))</f>
        <v/>
      </c>
      <c r="L4815" s="0" t="str">
        <f aca="false">IF(A4815="","",MONTH(A4815))</f>
        <v/>
      </c>
    </row>
    <row r="4816" customFormat="false" ht="15" hidden="false" customHeight="false" outlineLevel="0" collapsed="false">
      <c r="A4816" s="27"/>
      <c r="E4816" s="28"/>
      <c r="F4816" s="28"/>
      <c r="I4816" s="28" t="str">
        <f aca="false">IF(A4816="","",D4816*E4816)</f>
        <v/>
      </c>
      <c r="J4816" s="28" t="str">
        <f aca="false">IF(A4816="","",D4816*F4816)</f>
        <v/>
      </c>
      <c r="K4816" s="0" t="str">
        <f aca="false">IF(A4816="","",YEAR(A4816))</f>
        <v/>
      </c>
      <c r="L4816" s="0" t="str">
        <f aca="false">IF(A4816="","",MONTH(A4816))</f>
        <v/>
      </c>
    </row>
    <row r="4817" customFormat="false" ht="15" hidden="false" customHeight="false" outlineLevel="0" collapsed="false">
      <c r="A4817" s="27"/>
      <c r="E4817" s="28"/>
      <c r="F4817" s="28"/>
      <c r="I4817" s="28" t="str">
        <f aca="false">IF(A4817="","",D4817*E4817)</f>
        <v/>
      </c>
      <c r="J4817" s="28" t="str">
        <f aca="false">IF(A4817="","",D4817*F4817)</f>
        <v/>
      </c>
      <c r="K4817" s="0" t="str">
        <f aca="false">IF(A4817="","",YEAR(A4817))</f>
        <v/>
      </c>
      <c r="L4817" s="0" t="str">
        <f aca="false">IF(A4817="","",MONTH(A4817))</f>
        <v/>
      </c>
    </row>
    <row r="4818" customFormat="false" ht="15" hidden="false" customHeight="false" outlineLevel="0" collapsed="false">
      <c r="A4818" s="27"/>
      <c r="E4818" s="28"/>
      <c r="F4818" s="28"/>
      <c r="I4818" s="28" t="str">
        <f aca="false">IF(A4818="","",D4818*E4818)</f>
        <v/>
      </c>
      <c r="J4818" s="28" t="str">
        <f aca="false">IF(A4818="","",D4818*F4818)</f>
        <v/>
      </c>
      <c r="K4818" s="0" t="str">
        <f aca="false">IF(A4818="","",YEAR(A4818))</f>
        <v/>
      </c>
      <c r="L4818" s="0" t="str">
        <f aca="false">IF(A4818="","",MONTH(A4818))</f>
        <v/>
      </c>
    </row>
    <row r="4819" customFormat="false" ht="15" hidden="false" customHeight="false" outlineLevel="0" collapsed="false">
      <c r="A4819" s="27"/>
      <c r="E4819" s="28"/>
      <c r="F4819" s="28"/>
      <c r="I4819" s="28" t="str">
        <f aca="false">IF(A4819="","",D4819*E4819)</f>
        <v/>
      </c>
      <c r="J4819" s="28" t="str">
        <f aca="false">IF(A4819="","",D4819*F4819)</f>
        <v/>
      </c>
      <c r="K4819" s="0" t="str">
        <f aca="false">IF(A4819="","",YEAR(A4819))</f>
        <v/>
      </c>
      <c r="L4819" s="0" t="str">
        <f aca="false">IF(A4819="","",MONTH(A4819))</f>
        <v/>
      </c>
    </row>
    <row r="4820" customFormat="false" ht="15" hidden="false" customHeight="false" outlineLevel="0" collapsed="false">
      <c r="A4820" s="27"/>
      <c r="E4820" s="28"/>
      <c r="F4820" s="28"/>
      <c r="I4820" s="28" t="str">
        <f aca="false">IF(A4820="","",D4820*E4820)</f>
        <v/>
      </c>
      <c r="J4820" s="28" t="str">
        <f aca="false">IF(A4820="","",D4820*F4820)</f>
        <v/>
      </c>
      <c r="K4820" s="0" t="str">
        <f aca="false">IF(A4820="","",YEAR(A4820))</f>
        <v/>
      </c>
      <c r="L4820" s="0" t="str">
        <f aca="false">IF(A4820="","",MONTH(A4820))</f>
        <v/>
      </c>
    </row>
    <row r="4821" customFormat="false" ht="15" hidden="false" customHeight="false" outlineLevel="0" collapsed="false">
      <c r="A4821" s="27"/>
      <c r="E4821" s="28"/>
      <c r="F4821" s="28"/>
      <c r="I4821" s="28" t="str">
        <f aca="false">IF(A4821="","",D4821*E4821)</f>
        <v/>
      </c>
      <c r="J4821" s="28" t="str">
        <f aca="false">IF(A4821="","",D4821*F4821)</f>
        <v/>
      </c>
      <c r="K4821" s="0" t="str">
        <f aca="false">IF(A4821="","",YEAR(A4821))</f>
        <v/>
      </c>
      <c r="L4821" s="0" t="str">
        <f aca="false">IF(A4821="","",MONTH(A4821))</f>
        <v/>
      </c>
    </row>
    <row r="4822" customFormat="false" ht="15" hidden="false" customHeight="false" outlineLevel="0" collapsed="false">
      <c r="A4822" s="27"/>
      <c r="E4822" s="28"/>
      <c r="F4822" s="28"/>
      <c r="I4822" s="28" t="str">
        <f aca="false">IF(A4822="","",D4822*E4822)</f>
        <v/>
      </c>
      <c r="J4822" s="28" t="str">
        <f aca="false">IF(A4822="","",D4822*F4822)</f>
        <v/>
      </c>
      <c r="K4822" s="0" t="str">
        <f aca="false">IF(A4822="","",YEAR(A4822))</f>
        <v/>
      </c>
      <c r="L4822" s="0" t="str">
        <f aca="false">IF(A4822="","",MONTH(A4822))</f>
        <v/>
      </c>
    </row>
    <row r="4823" customFormat="false" ht="15" hidden="false" customHeight="false" outlineLevel="0" collapsed="false">
      <c r="A4823" s="27"/>
      <c r="E4823" s="28"/>
      <c r="F4823" s="28"/>
      <c r="I4823" s="28" t="str">
        <f aca="false">IF(A4823="","",D4823*E4823)</f>
        <v/>
      </c>
      <c r="J4823" s="28" t="str">
        <f aca="false">IF(A4823="","",D4823*F4823)</f>
        <v/>
      </c>
      <c r="K4823" s="0" t="str">
        <f aca="false">IF(A4823="","",YEAR(A4823))</f>
        <v/>
      </c>
      <c r="L4823" s="0" t="str">
        <f aca="false">IF(A4823="","",MONTH(A4823))</f>
        <v/>
      </c>
    </row>
    <row r="4824" customFormat="false" ht="15" hidden="false" customHeight="false" outlineLevel="0" collapsed="false">
      <c r="A4824" s="27"/>
      <c r="E4824" s="28"/>
      <c r="F4824" s="28"/>
      <c r="I4824" s="28" t="str">
        <f aca="false">IF(A4824="","",D4824*E4824)</f>
        <v/>
      </c>
      <c r="J4824" s="28" t="str">
        <f aca="false">IF(A4824="","",D4824*F4824)</f>
        <v/>
      </c>
      <c r="K4824" s="0" t="str">
        <f aca="false">IF(A4824="","",YEAR(A4824))</f>
        <v/>
      </c>
      <c r="L4824" s="0" t="str">
        <f aca="false">IF(A4824="","",MONTH(A4824))</f>
        <v/>
      </c>
    </row>
    <row r="4825" customFormat="false" ht="15" hidden="false" customHeight="false" outlineLevel="0" collapsed="false">
      <c r="A4825" s="27"/>
      <c r="E4825" s="28"/>
      <c r="F4825" s="28"/>
      <c r="I4825" s="28" t="str">
        <f aca="false">IF(A4825="","",D4825*E4825)</f>
        <v/>
      </c>
      <c r="J4825" s="28" t="str">
        <f aca="false">IF(A4825="","",D4825*F4825)</f>
        <v/>
      </c>
      <c r="K4825" s="0" t="str">
        <f aca="false">IF(A4825="","",YEAR(A4825))</f>
        <v/>
      </c>
      <c r="L4825" s="0" t="str">
        <f aca="false">IF(A4825="","",MONTH(A4825))</f>
        <v/>
      </c>
    </row>
    <row r="4826" customFormat="false" ht="15" hidden="false" customHeight="false" outlineLevel="0" collapsed="false">
      <c r="A4826" s="27"/>
      <c r="E4826" s="28"/>
      <c r="F4826" s="28"/>
      <c r="I4826" s="28" t="str">
        <f aca="false">IF(A4826="","",D4826*E4826)</f>
        <v/>
      </c>
      <c r="J4826" s="28" t="str">
        <f aca="false">IF(A4826="","",D4826*F4826)</f>
        <v/>
      </c>
      <c r="K4826" s="0" t="str">
        <f aca="false">IF(A4826="","",YEAR(A4826))</f>
        <v/>
      </c>
      <c r="L4826" s="0" t="str">
        <f aca="false">IF(A4826="","",MONTH(A4826))</f>
        <v/>
      </c>
    </row>
    <row r="4827" customFormat="false" ht="15" hidden="false" customHeight="false" outlineLevel="0" collapsed="false">
      <c r="A4827" s="27"/>
      <c r="E4827" s="28"/>
      <c r="F4827" s="28"/>
      <c r="I4827" s="28" t="str">
        <f aca="false">IF(A4827="","",D4827*E4827)</f>
        <v/>
      </c>
      <c r="J4827" s="28" t="str">
        <f aca="false">IF(A4827="","",D4827*F4827)</f>
        <v/>
      </c>
      <c r="K4827" s="0" t="str">
        <f aca="false">IF(A4827="","",YEAR(A4827))</f>
        <v/>
      </c>
      <c r="L4827" s="0" t="str">
        <f aca="false">IF(A4827="","",MONTH(A4827))</f>
        <v/>
      </c>
    </row>
    <row r="4828" customFormat="false" ht="15" hidden="false" customHeight="false" outlineLevel="0" collapsed="false">
      <c r="A4828" s="27"/>
      <c r="E4828" s="28"/>
      <c r="F4828" s="28"/>
      <c r="I4828" s="28" t="str">
        <f aca="false">IF(A4828="","",D4828*E4828)</f>
        <v/>
      </c>
      <c r="J4828" s="28" t="str">
        <f aca="false">IF(A4828="","",D4828*F4828)</f>
        <v/>
      </c>
      <c r="K4828" s="0" t="str">
        <f aca="false">IF(A4828="","",YEAR(A4828))</f>
        <v/>
      </c>
      <c r="L4828" s="0" t="str">
        <f aca="false">IF(A4828="","",MONTH(A4828))</f>
        <v/>
      </c>
    </row>
    <row r="4829" customFormat="false" ht="15" hidden="false" customHeight="false" outlineLevel="0" collapsed="false">
      <c r="A4829" s="27"/>
      <c r="E4829" s="28"/>
      <c r="F4829" s="28"/>
      <c r="I4829" s="28" t="str">
        <f aca="false">IF(A4829="","",D4829*E4829)</f>
        <v/>
      </c>
      <c r="J4829" s="28" t="str">
        <f aca="false">IF(A4829="","",D4829*F4829)</f>
        <v/>
      </c>
      <c r="K4829" s="0" t="str">
        <f aca="false">IF(A4829="","",YEAR(A4829))</f>
        <v/>
      </c>
      <c r="L4829" s="0" t="str">
        <f aca="false">IF(A4829="","",MONTH(A4829))</f>
        <v/>
      </c>
    </row>
    <row r="4830" customFormat="false" ht="15" hidden="false" customHeight="false" outlineLevel="0" collapsed="false">
      <c r="A4830" s="27"/>
      <c r="E4830" s="28"/>
      <c r="F4830" s="28"/>
      <c r="I4830" s="28" t="str">
        <f aca="false">IF(A4830="","",D4830*E4830)</f>
        <v/>
      </c>
      <c r="J4830" s="28" t="str">
        <f aca="false">IF(A4830="","",D4830*F4830)</f>
        <v/>
      </c>
      <c r="K4830" s="0" t="str">
        <f aca="false">IF(A4830="","",YEAR(A4830))</f>
        <v/>
      </c>
      <c r="L4830" s="0" t="str">
        <f aca="false">IF(A4830="","",MONTH(A4830))</f>
        <v/>
      </c>
    </row>
    <row r="4831" customFormat="false" ht="15" hidden="false" customHeight="false" outlineLevel="0" collapsed="false">
      <c r="A4831" s="27"/>
      <c r="E4831" s="28"/>
      <c r="F4831" s="28"/>
      <c r="I4831" s="28" t="str">
        <f aca="false">IF(A4831="","",D4831*E4831)</f>
        <v/>
      </c>
      <c r="J4831" s="28" t="str">
        <f aca="false">IF(A4831="","",D4831*F4831)</f>
        <v/>
      </c>
      <c r="K4831" s="0" t="str">
        <f aca="false">IF(A4831="","",YEAR(A4831))</f>
        <v/>
      </c>
      <c r="L4831" s="0" t="str">
        <f aca="false">IF(A4831="","",MONTH(A4831))</f>
        <v/>
      </c>
    </row>
    <row r="4832" customFormat="false" ht="15" hidden="false" customHeight="false" outlineLevel="0" collapsed="false">
      <c r="A4832" s="27"/>
      <c r="E4832" s="28"/>
      <c r="F4832" s="28"/>
      <c r="I4832" s="28" t="str">
        <f aca="false">IF(A4832="","",D4832*E4832)</f>
        <v/>
      </c>
      <c r="J4832" s="28" t="str">
        <f aca="false">IF(A4832="","",D4832*F4832)</f>
        <v/>
      </c>
      <c r="K4832" s="0" t="str">
        <f aca="false">IF(A4832="","",YEAR(A4832))</f>
        <v/>
      </c>
      <c r="L4832" s="0" t="str">
        <f aca="false">IF(A4832="","",MONTH(A4832))</f>
        <v/>
      </c>
    </row>
    <row r="4833" customFormat="false" ht="15" hidden="false" customHeight="false" outlineLevel="0" collapsed="false">
      <c r="A4833" s="27"/>
      <c r="E4833" s="28"/>
      <c r="F4833" s="28"/>
      <c r="I4833" s="28" t="str">
        <f aca="false">IF(A4833="","",D4833*E4833)</f>
        <v/>
      </c>
      <c r="J4833" s="28" t="str">
        <f aca="false">IF(A4833="","",D4833*F4833)</f>
        <v/>
      </c>
      <c r="K4833" s="0" t="str">
        <f aca="false">IF(A4833="","",YEAR(A4833))</f>
        <v/>
      </c>
      <c r="L4833" s="0" t="str">
        <f aca="false">IF(A4833="","",MONTH(A4833))</f>
        <v/>
      </c>
    </row>
    <row r="4834" customFormat="false" ht="15" hidden="false" customHeight="false" outlineLevel="0" collapsed="false">
      <c r="A4834" s="27"/>
      <c r="E4834" s="28"/>
      <c r="F4834" s="28"/>
      <c r="I4834" s="28" t="str">
        <f aca="false">IF(A4834="","",D4834*E4834)</f>
        <v/>
      </c>
      <c r="J4834" s="28" t="str">
        <f aca="false">IF(A4834="","",D4834*F4834)</f>
        <v/>
      </c>
      <c r="K4834" s="0" t="str">
        <f aca="false">IF(A4834="","",YEAR(A4834))</f>
        <v/>
      </c>
      <c r="L4834" s="0" t="str">
        <f aca="false">IF(A4834="","",MONTH(A4834))</f>
        <v/>
      </c>
    </row>
    <row r="4835" customFormat="false" ht="15" hidden="false" customHeight="false" outlineLevel="0" collapsed="false">
      <c r="A4835" s="27"/>
      <c r="E4835" s="28"/>
      <c r="F4835" s="28"/>
      <c r="I4835" s="28" t="str">
        <f aca="false">IF(A4835="","",D4835*E4835)</f>
        <v/>
      </c>
      <c r="J4835" s="28" t="str">
        <f aca="false">IF(A4835="","",D4835*F4835)</f>
        <v/>
      </c>
      <c r="K4835" s="0" t="str">
        <f aca="false">IF(A4835="","",YEAR(A4835))</f>
        <v/>
      </c>
      <c r="L4835" s="0" t="str">
        <f aca="false">IF(A4835="","",MONTH(A4835))</f>
        <v/>
      </c>
    </row>
    <row r="4836" customFormat="false" ht="15" hidden="false" customHeight="false" outlineLevel="0" collapsed="false">
      <c r="A4836" s="27"/>
      <c r="E4836" s="28"/>
      <c r="F4836" s="28"/>
      <c r="I4836" s="28" t="str">
        <f aca="false">IF(A4836="","",D4836*E4836)</f>
        <v/>
      </c>
      <c r="J4836" s="28" t="str">
        <f aca="false">IF(A4836="","",D4836*F4836)</f>
        <v/>
      </c>
      <c r="K4836" s="0" t="str">
        <f aca="false">IF(A4836="","",YEAR(A4836))</f>
        <v/>
      </c>
      <c r="L4836" s="0" t="str">
        <f aca="false">IF(A4836="","",MONTH(A4836))</f>
        <v/>
      </c>
    </row>
    <row r="4837" customFormat="false" ht="15" hidden="false" customHeight="false" outlineLevel="0" collapsed="false">
      <c r="A4837" s="27"/>
      <c r="E4837" s="28"/>
      <c r="F4837" s="28"/>
      <c r="I4837" s="28" t="str">
        <f aca="false">IF(A4837="","",D4837*E4837)</f>
        <v/>
      </c>
      <c r="J4837" s="28" t="str">
        <f aca="false">IF(A4837="","",D4837*F4837)</f>
        <v/>
      </c>
      <c r="K4837" s="0" t="str">
        <f aca="false">IF(A4837="","",YEAR(A4837))</f>
        <v/>
      </c>
      <c r="L4837" s="0" t="str">
        <f aca="false">IF(A4837="","",MONTH(A4837))</f>
        <v/>
      </c>
    </row>
    <row r="4838" customFormat="false" ht="15" hidden="false" customHeight="false" outlineLevel="0" collapsed="false">
      <c r="A4838" s="27"/>
      <c r="E4838" s="28"/>
      <c r="F4838" s="28"/>
      <c r="I4838" s="28" t="str">
        <f aca="false">IF(A4838="","",D4838*E4838)</f>
        <v/>
      </c>
      <c r="J4838" s="28" t="str">
        <f aca="false">IF(A4838="","",D4838*F4838)</f>
        <v/>
      </c>
      <c r="K4838" s="0" t="str">
        <f aca="false">IF(A4838="","",YEAR(A4838))</f>
        <v/>
      </c>
      <c r="L4838" s="0" t="str">
        <f aca="false">IF(A4838="","",MONTH(A4838))</f>
        <v/>
      </c>
    </row>
    <row r="4839" customFormat="false" ht="15" hidden="false" customHeight="false" outlineLevel="0" collapsed="false">
      <c r="A4839" s="27"/>
      <c r="E4839" s="28"/>
      <c r="F4839" s="28"/>
      <c r="I4839" s="28" t="str">
        <f aca="false">IF(A4839="","",D4839*E4839)</f>
        <v/>
      </c>
      <c r="J4839" s="28" t="str">
        <f aca="false">IF(A4839="","",D4839*F4839)</f>
        <v/>
      </c>
      <c r="K4839" s="0" t="str">
        <f aca="false">IF(A4839="","",YEAR(A4839))</f>
        <v/>
      </c>
      <c r="L4839" s="0" t="str">
        <f aca="false">IF(A4839="","",MONTH(A4839))</f>
        <v/>
      </c>
    </row>
    <row r="4840" customFormat="false" ht="15" hidden="false" customHeight="false" outlineLevel="0" collapsed="false">
      <c r="A4840" s="27"/>
      <c r="E4840" s="28"/>
      <c r="F4840" s="28"/>
      <c r="I4840" s="28" t="str">
        <f aca="false">IF(A4840="","",D4840*E4840)</f>
        <v/>
      </c>
      <c r="J4840" s="28" t="str">
        <f aca="false">IF(A4840="","",D4840*F4840)</f>
        <v/>
      </c>
      <c r="K4840" s="0" t="str">
        <f aca="false">IF(A4840="","",YEAR(A4840))</f>
        <v/>
      </c>
      <c r="L4840" s="0" t="str">
        <f aca="false">IF(A4840="","",MONTH(A4840))</f>
        <v/>
      </c>
    </row>
    <row r="4841" customFormat="false" ht="15" hidden="false" customHeight="false" outlineLevel="0" collapsed="false">
      <c r="A4841" s="27"/>
      <c r="E4841" s="28"/>
      <c r="F4841" s="28"/>
      <c r="I4841" s="28" t="str">
        <f aca="false">IF(A4841="","",D4841*E4841)</f>
        <v/>
      </c>
      <c r="J4841" s="28" t="str">
        <f aca="false">IF(A4841="","",D4841*F4841)</f>
        <v/>
      </c>
      <c r="K4841" s="0" t="str">
        <f aca="false">IF(A4841="","",YEAR(A4841))</f>
        <v/>
      </c>
      <c r="L4841" s="0" t="str">
        <f aca="false">IF(A4841="","",MONTH(A4841))</f>
        <v/>
      </c>
    </row>
    <row r="4842" customFormat="false" ht="15" hidden="false" customHeight="false" outlineLevel="0" collapsed="false">
      <c r="A4842" s="27"/>
      <c r="E4842" s="28"/>
      <c r="F4842" s="28"/>
      <c r="I4842" s="28" t="str">
        <f aca="false">IF(A4842="","",D4842*E4842)</f>
        <v/>
      </c>
      <c r="J4842" s="28" t="str">
        <f aca="false">IF(A4842="","",D4842*F4842)</f>
        <v/>
      </c>
      <c r="K4842" s="0" t="str">
        <f aca="false">IF(A4842="","",YEAR(A4842))</f>
        <v/>
      </c>
      <c r="L4842" s="0" t="str">
        <f aca="false">IF(A4842="","",MONTH(A4842))</f>
        <v/>
      </c>
    </row>
    <row r="4843" customFormat="false" ht="15" hidden="false" customHeight="false" outlineLevel="0" collapsed="false">
      <c r="A4843" s="27"/>
      <c r="E4843" s="28"/>
      <c r="F4843" s="28"/>
      <c r="I4843" s="28" t="str">
        <f aca="false">IF(A4843="","",D4843*E4843)</f>
        <v/>
      </c>
      <c r="J4843" s="28" t="str">
        <f aca="false">IF(A4843="","",D4843*F4843)</f>
        <v/>
      </c>
      <c r="K4843" s="0" t="str">
        <f aca="false">IF(A4843="","",YEAR(A4843))</f>
        <v/>
      </c>
      <c r="L4843" s="0" t="str">
        <f aca="false">IF(A4843="","",MONTH(A4843))</f>
        <v/>
      </c>
    </row>
    <row r="4844" customFormat="false" ht="15" hidden="false" customHeight="false" outlineLevel="0" collapsed="false">
      <c r="A4844" s="27"/>
      <c r="E4844" s="28"/>
      <c r="F4844" s="28"/>
      <c r="I4844" s="28" t="str">
        <f aca="false">IF(A4844="","",D4844*E4844)</f>
        <v/>
      </c>
      <c r="J4844" s="28" t="str">
        <f aca="false">IF(A4844="","",D4844*F4844)</f>
        <v/>
      </c>
      <c r="K4844" s="0" t="str">
        <f aca="false">IF(A4844="","",YEAR(A4844))</f>
        <v/>
      </c>
      <c r="L4844" s="0" t="str">
        <f aca="false">IF(A4844="","",MONTH(A4844))</f>
        <v/>
      </c>
    </row>
    <row r="4845" customFormat="false" ht="15" hidden="false" customHeight="false" outlineLevel="0" collapsed="false">
      <c r="A4845" s="27"/>
      <c r="E4845" s="28"/>
      <c r="F4845" s="28"/>
      <c r="I4845" s="28" t="str">
        <f aca="false">IF(A4845="","",D4845*E4845)</f>
        <v/>
      </c>
      <c r="J4845" s="28" t="str">
        <f aca="false">IF(A4845="","",D4845*F4845)</f>
        <v/>
      </c>
      <c r="K4845" s="0" t="str">
        <f aca="false">IF(A4845="","",YEAR(A4845))</f>
        <v/>
      </c>
      <c r="L4845" s="0" t="str">
        <f aca="false">IF(A4845="","",MONTH(A4845))</f>
        <v/>
      </c>
    </row>
    <row r="4846" customFormat="false" ht="15" hidden="false" customHeight="false" outlineLevel="0" collapsed="false">
      <c r="A4846" s="27"/>
      <c r="E4846" s="28"/>
      <c r="F4846" s="28"/>
      <c r="I4846" s="28" t="str">
        <f aca="false">IF(A4846="","",D4846*E4846)</f>
        <v/>
      </c>
      <c r="J4846" s="28" t="str">
        <f aca="false">IF(A4846="","",D4846*F4846)</f>
        <v/>
      </c>
      <c r="K4846" s="0" t="str">
        <f aca="false">IF(A4846="","",YEAR(A4846))</f>
        <v/>
      </c>
      <c r="L4846" s="0" t="str">
        <f aca="false">IF(A4846="","",MONTH(A4846))</f>
        <v/>
      </c>
    </row>
    <row r="4847" customFormat="false" ht="15" hidden="false" customHeight="false" outlineLevel="0" collapsed="false">
      <c r="A4847" s="27"/>
      <c r="E4847" s="28"/>
      <c r="F4847" s="28"/>
      <c r="I4847" s="28" t="str">
        <f aca="false">IF(A4847="","",D4847*E4847)</f>
        <v/>
      </c>
      <c r="J4847" s="28" t="str">
        <f aca="false">IF(A4847="","",D4847*F4847)</f>
        <v/>
      </c>
      <c r="K4847" s="0" t="str">
        <f aca="false">IF(A4847="","",YEAR(A4847))</f>
        <v/>
      </c>
      <c r="L4847" s="0" t="str">
        <f aca="false">IF(A4847="","",MONTH(A4847))</f>
        <v/>
      </c>
    </row>
    <row r="4848" customFormat="false" ht="15" hidden="false" customHeight="false" outlineLevel="0" collapsed="false">
      <c r="A4848" s="27"/>
      <c r="E4848" s="28"/>
      <c r="F4848" s="28"/>
      <c r="I4848" s="28" t="str">
        <f aca="false">IF(A4848="","",D4848*E4848)</f>
        <v/>
      </c>
      <c r="J4848" s="28" t="str">
        <f aca="false">IF(A4848="","",D4848*F4848)</f>
        <v/>
      </c>
      <c r="K4848" s="0" t="str">
        <f aca="false">IF(A4848="","",YEAR(A4848))</f>
        <v/>
      </c>
      <c r="L4848" s="0" t="str">
        <f aca="false">IF(A4848="","",MONTH(A4848))</f>
        <v/>
      </c>
    </row>
    <row r="4849" customFormat="false" ht="15" hidden="false" customHeight="false" outlineLevel="0" collapsed="false">
      <c r="A4849" s="27"/>
      <c r="E4849" s="28"/>
      <c r="F4849" s="28"/>
      <c r="I4849" s="28" t="str">
        <f aca="false">IF(A4849="","",D4849*E4849)</f>
        <v/>
      </c>
      <c r="J4849" s="28" t="str">
        <f aca="false">IF(A4849="","",D4849*F4849)</f>
        <v/>
      </c>
      <c r="K4849" s="0" t="str">
        <f aca="false">IF(A4849="","",YEAR(A4849))</f>
        <v/>
      </c>
      <c r="L4849" s="0" t="str">
        <f aca="false">IF(A4849="","",MONTH(A4849))</f>
        <v/>
      </c>
    </row>
    <row r="4850" customFormat="false" ht="15" hidden="false" customHeight="false" outlineLevel="0" collapsed="false">
      <c r="A4850" s="27"/>
      <c r="E4850" s="28"/>
      <c r="F4850" s="28"/>
      <c r="I4850" s="28" t="str">
        <f aca="false">IF(A4850="","",D4850*E4850)</f>
        <v/>
      </c>
      <c r="J4850" s="28" t="str">
        <f aca="false">IF(A4850="","",D4850*F4850)</f>
        <v/>
      </c>
      <c r="K4850" s="0" t="str">
        <f aca="false">IF(A4850="","",YEAR(A4850))</f>
        <v/>
      </c>
      <c r="L4850" s="0" t="str">
        <f aca="false">IF(A4850="","",MONTH(A4850))</f>
        <v/>
      </c>
    </row>
    <row r="4851" customFormat="false" ht="15" hidden="false" customHeight="false" outlineLevel="0" collapsed="false">
      <c r="A4851" s="27"/>
      <c r="E4851" s="28"/>
      <c r="F4851" s="28"/>
      <c r="I4851" s="28" t="str">
        <f aca="false">IF(A4851="","",D4851*E4851)</f>
        <v/>
      </c>
      <c r="J4851" s="28" t="str">
        <f aca="false">IF(A4851="","",D4851*F4851)</f>
        <v/>
      </c>
      <c r="K4851" s="0" t="str">
        <f aca="false">IF(A4851="","",YEAR(A4851))</f>
        <v/>
      </c>
      <c r="L4851" s="0" t="str">
        <f aca="false">IF(A4851="","",MONTH(A4851))</f>
        <v/>
      </c>
    </row>
    <row r="4852" customFormat="false" ht="15" hidden="false" customHeight="false" outlineLevel="0" collapsed="false">
      <c r="A4852" s="27"/>
      <c r="E4852" s="28"/>
      <c r="F4852" s="28"/>
      <c r="I4852" s="28" t="str">
        <f aca="false">IF(A4852="","",D4852*E4852)</f>
        <v/>
      </c>
      <c r="J4852" s="28" t="str">
        <f aca="false">IF(A4852="","",D4852*F4852)</f>
        <v/>
      </c>
      <c r="K4852" s="0" t="str">
        <f aca="false">IF(A4852="","",YEAR(A4852))</f>
        <v/>
      </c>
      <c r="L4852" s="0" t="str">
        <f aca="false">IF(A4852="","",MONTH(A4852))</f>
        <v/>
      </c>
    </row>
    <row r="4853" customFormat="false" ht="15" hidden="false" customHeight="false" outlineLevel="0" collapsed="false">
      <c r="A4853" s="27"/>
      <c r="E4853" s="28"/>
      <c r="F4853" s="28"/>
      <c r="I4853" s="28" t="str">
        <f aca="false">IF(A4853="","",D4853*E4853)</f>
        <v/>
      </c>
      <c r="J4853" s="28" t="str">
        <f aca="false">IF(A4853="","",D4853*F4853)</f>
        <v/>
      </c>
      <c r="K4853" s="0" t="str">
        <f aca="false">IF(A4853="","",YEAR(A4853))</f>
        <v/>
      </c>
      <c r="L4853" s="0" t="str">
        <f aca="false">IF(A4853="","",MONTH(A4853))</f>
        <v/>
      </c>
    </row>
    <row r="4854" customFormat="false" ht="15" hidden="false" customHeight="false" outlineLevel="0" collapsed="false">
      <c r="A4854" s="27"/>
      <c r="E4854" s="28"/>
      <c r="F4854" s="28"/>
      <c r="I4854" s="28" t="str">
        <f aca="false">IF(A4854="","",D4854*E4854)</f>
        <v/>
      </c>
      <c r="J4854" s="28" t="str">
        <f aca="false">IF(A4854="","",D4854*F4854)</f>
        <v/>
      </c>
      <c r="K4854" s="0" t="str">
        <f aca="false">IF(A4854="","",YEAR(A4854))</f>
        <v/>
      </c>
      <c r="L4854" s="0" t="str">
        <f aca="false">IF(A4854="","",MONTH(A4854))</f>
        <v/>
      </c>
    </row>
    <row r="4855" customFormat="false" ht="15" hidden="false" customHeight="false" outlineLevel="0" collapsed="false">
      <c r="A4855" s="27"/>
      <c r="E4855" s="28"/>
      <c r="F4855" s="28"/>
      <c r="I4855" s="28" t="str">
        <f aca="false">IF(A4855="","",D4855*E4855)</f>
        <v/>
      </c>
      <c r="J4855" s="28" t="str">
        <f aca="false">IF(A4855="","",D4855*F4855)</f>
        <v/>
      </c>
      <c r="K4855" s="0" t="str">
        <f aca="false">IF(A4855="","",YEAR(A4855))</f>
        <v/>
      </c>
      <c r="L4855" s="0" t="str">
        <f aca="false">IF(A4855="","",MONTH(A4855))</f>
        <v/>
      </c>
    </row>
    <row r="4856" customFormat="false" ht="15" hidden="false" customHeight="false" outlineLevel="0" collapsed="false">
      <c r="A4856" s="27"/>
      <c r="E4856" s="28"/>
      <c r="F4856" s="28"/>
      <c r="I4856" s="28" t="str">
        <f aca="false">IF(A4856="","",D4856*E4856)</f>
        <v/>
      </c>
      <c r="J4856" s="28" t="str">
        <f aca="false">IF(A4856="","",D4856*F4856)</f>
        <v/>
      </c>
      <c r="K4856" s="0" t="str">
        <f aca="false">IF(A4856="","",YEAR(A4856))</f>
        <v/>
      </c>
      <c r="L4856" s="0" t="str">
        <f aca="false">IF(A4856="","",MONTH(A4856))</f>
        <v/>
      </c>
    </row>
    <row r="4857" customFormat="false" ht="15" hidden="false" customHeight="false" outlineLevel="0" collapsed="false">
      <c r="A4857" s="27"/>
      <c r="E4857" s="28"/>
      <c r="F4857" s="28"/>
      <c r="I4857" s="28" t="str">
        <f aca="false">IF(A4857="","",D4857*E4857)</f>
        <v/>
      </c>
      <c r="J4857" s="28" t="str">
        <f aca="false">IF(A4857="","",D4857*F4857)</f>
        <v/>
      </c>
      <c r="K4857" s="0" t="str">
        <f aca="false">IF(A4857="","",YEAR(A4857))</f>
        <v/>
      </c>
      <c r="L4857" s="0" t="str">
        <f aca="false">IF(A4857="","",MONTH(A4857))</f>
        <v/>
      </c>
    </row>
    <row r="4858" customFormat="false" ht="15" hidden="false" customHeight="false" outlineLevel="0" collapsed="false">
      <c r="A4858" s="27"/>
      <c r="E4858" s="28"/>
      <c r="F4858" s="28"/>
      <c r="I4858" s="28" t="str">
        <f aca="false">IF(A4858="","",D4858*E4858)</f>
        <v/>
      </c>
      <c r="J4858" s="28" t="str">
        <f aca="false">IF(A4858="","",D4858*F4858)</f>
        <v/>
      </c>
      <c r="K4858" s="0" t="str">
        <f aca="false">IF(A4858="","",YEAR(A4858))</f>
        <v/>
      </c>
      <c r="L4858" s="0" t="str">
        <f aca="false">IF(A4858="","",MONTH(A4858))</f>
        <v/>
      </c>
    </row>
    <row r="4859" customFormat="false" ht="15" hidden="false" customHeight="false" outlineLevel="0" collapsed="false">
      <c r="A4859" s="27"/>
      <c r="E4859" s="28"/>
      <c r="F4859" s="28"/>
      <c r="I4859" s="28" t="str">
        <f aca="false">IF(A4859="","",D4859*E4859)</f>
        <v/>
      </c>
      <c r="J4859" s="28" t="str">
        <f aca="false">IF(A4859="","",D4859*F4859)</f>
        <v/>
      </c>
      <c r="K4859" s="0" t="str">
        <f aca="false">IF(A4859="","",YEAR(A4859))</f>
        <v/>
      </c>
      <c r="L4859" s="0" t="str">
        <f aca="false">IF(A4859="","",MONTH(A4859))</f>
        <v/>
      </c>
    </row>
    <row r="4860" customFormat="false" ht="15" hidden="false" customHeight="false" outlineLevel="0" collapsed="false">
      <c r="A4860" s="27"/>
      <c r="E4860" s="28"/>
      <c r="F4860" s="28"/>
      <c r="I4860" s="28" t="str">
        <f aca="false">IF(A4860="","",D4860*E4860)</f>
        <v/>
      </c>
      <c r="J4860" s="28" t="str">
        <f aca="false">IF(A4860="","",D4860*F4860)</f>
        <v/>
      </c>
      <c r="K4860" s="0" t="str">
        <f aca="false">IF(A4860="","",YEAR(A4860))</f>
        <v/>
      </c>
      <c r="L4860" s="0" t="str">
        <f aca="false">IF(A4860="","",MONTH(A4860))</f>
        <v/>
      </c>
    </row>
    <row r="4861" customFormat="false" ht="15" hidden="false" customHeight="false" outlineLevel="0" collapsed="false">
      <c r="A4861" s="27"/>
      <c r="E4861" s="28"/>
      <c r="F4861" s="28"/>
      <c r="I4861" s="28" t="str">
        <f aca="false">IF(A4861="","",D4861*E4861)</f>
        <v/>
      </c>
      <c r="J4861" s="28" t="str">
        <f aca="false">IF(A4861="","",D4861*F4861)</f>
        <v/>
      </c>
      <c r="K4861" s="0" t="str">
        <f aca="false">IF(A4861="","",YEAR(A4861))</f>
        <v/>
      </c>
      <c r="L4861" s="0" t="str">
        <f aca="false">IF(A4861="","",MONTH(A4861))</f>
        <v/>
      </c>
    </row>
    <row r="4862" customFormat="false" ht="15" hidden="false" customHeight="false" outlineLevel="0" collapsed="false">
      <c r="A4862" s="27"/>
      <c r="E4862" s="28"/>
      <c r="F4862" s="28"/>
      <c r="I4862" s="28" t="str">
        <f aca="false">IF(A4862="","",D4862*E4862)</f>
        <v/>
      </c>
      <c r="J4862" s="28" t="str">
        <f aca="false">IF(A4862="","",D4862*F4862)</f>
        <v/>
      </c>
      <c r="K4862" s="0" t="str">
        <f aca="false">IF(A4862="","",YEAR(A4862))</f>
        <v/>
      </c>
      <c r="L4862" s="0" t="str">
        <f aca="false">IF(A4862="","",MONTH(A4862))</f>
        <v/>
      </c>
    </row>
    <row r="4863" customFormat="false" ht="15" hidden="false" customHeight="false" outlineLevel="0" collapsed="false">
      <c r="A4863" s="27"/>
      <c r="E4863" s="28"/>
      <c r="F4863" s="28"/>
      <c r="I4863" s="28" t="str">
        <f aca="false">IF(A4863="","",D4863*E4863)</f>
        <v/>
      </c>
      <c r="J4863" s="28" t="str">
        <f aca="false">IF(A4863="","",D4863*F4863)</f>
        <v/>
      </c>
      <c r="K4863" s="0" t="str">
        <f aca="false">IF(A4863="","",YEAR(A4863))</f>
        <v/>
      </c>
      <c r="L4863" s="0" t="str">
        <f aca="false">IF(A4863="","",MONTH(A4863))</f>
        <v/>
      </c>
    </row>
    <row r="4864" customFormat="false" ht="15" hidden="false" customHeight="false" outlineLevel="0" collapsed="false">
      <c r="A4864" s="27"/>
      <c r="E4864" s="28"/>
      <c r="F4864" s="28"/>
      <c r="I4864" s="28" t="str">
        <f aca="false">IF(A4864="","",D4864*E4864)</f>
        <v/>
      </c>
      <c r="J4864" s="28" t="str">
        <f aca="false">IF(A4864="","",D4864*F4864)</f>
        <v/>
      </c>
      <c r="K4864" s="0" t="str">
        <f aca="false">IF(A4864="","",YEAR(A4864))</f>
        <v/>
      </c>
      <c r="L4864" s="0" t="str">
        <f aca="false">IF(A4864="","",MONTH(A4864))</f>
        <v/>
      </c>
    </row>
    <row r="4865" customFormat="false" ht="15" hidden="false" customHeight="false" outlineLevel="0" collapsed="false">
      <c r="A4865" s="27"/>
      <c r="E4865" s="28"/>
      <c r="F4865" s="28"/>
      <c r="I4865" s="28" t="str">
        <f aca="false">IF(A4865="","",D4865*E4865)</f>
        <v/>
      </c>
      <c r="J4865" s="28" t="str">
        <f aca="false">IF(A4865="","",D4865*F4865)</f>
        <v/>
      </c>
      <c r="K4865" s="0" t="str">
        <f aca="false">IF(A4865="","",YEAR(A4865))</f>
        <v/>
      </c>
      <c r="L4865" s="0" t="str">
        <f aca="false">IF(A4865="","",MONTH(A4865))</f>
        <v/>
      </c>
    </row>
    <row r="4866" customFormat="false" ht="15" hidden="false" customHeight="false" outlineLevel="0" collapsed="false">
      <c r="A4866" s="27"/>
      <c r="E4866" s="28"/>
      <c r="F4866" s="28"/>
      <c r="I4866" s="28" t="str">
        <f aca="false">IF(A4866="","",D4866*E4866)</f>
        <v/>
      </c>
      <c r="J4866" s="28" t="str">
        <f aca="false">IF(A4866="","",D4866*F4866)</f>
        <v/>
      </c>
      <c r="K4866" s="0" t="str">
        <f aca="false">IF(A4866="","",YEAR(A4866))</f>
        <v/>
      </c>
      <c r="L4866" s="0" t="str">
        <f aca="false">IF(A4866="","",MONTH(A4866))</f>
        <v/>
      </c>
    </row>
    <row r="4867" customFormat="false" ht="15" hidden="false" customHeight="false" outlineLevel="0" collapsed="false">
      <c r="A4867" s="27"/>
      <c r="E4867" s="28"/>
      <c r="F4867" s="28"/>
      <c r="I4867" s="28" t="str">
        <f aca="false">IF(A4867="","",D4867*E4867)</f>
        <v/>
      </c>
      <c r="J4867" s="28" t="str">
        <f aca="false">IF(A4867="","",D4867*F4867)</f>
        <v/>
      </c>
      <c r="K4867" s="0" t="str">
        <f aca="false">IF(A4867="","",YEAR(A4867))</f>
        <v/>
      </c>
      <c r="L4867" s="0" t="str">
        <f aca="false">IF(A4867="","",MONTH(A4867))</f>
        <v/>
      </c>
    </row>
    <row r="4868" customFormat="false" ht="15" hidden="false" customHeight="false" outlineLevel="0" collapsed="false">
      <c r="A4868" s="27"/>
      <c r="E4868" s="28"/>
      <c r="F4868" s="28"/>
      <c r="I4868" s="28" t="str">
        <f aca="false">IF(A4868="","",D4868*E4868)</f>
        <v/>
      </c>
      <c r="J4868" s="28" t="str">
        <f aca="false">IF(A4868="","",D4868*F4868)</f>
        <v/>
      </c>
      <c r="K4868" s="0" t="str">
        <f aca="false">IF(A4868="","",YEAR(A4868))</f>
        <v/>
      </c>
      <c r="L4868" s="0" t="str">
        <f aca="false">IF(A4868="","",MONTH(A4868))</f>
        <v/>
      </c>
    </row>
    <row r="4869" customFormat="false" ht="15" hidden="false" customHeight="false" outlineLevel="0" collapsed="false">
      <c r="A4869" s="27"/>
      <c r="E4869" s="28"/>
      <c r="F4869" s="28"/>
      <c r="I4869" s="28" t="str">
        <f aca="false">IF(A4869="","",D4869*E4869)</f>
        <v/>
      </c>
      <c r="J4869" s="28" t="str">
        <f aca="false">IF(A4869="","",D4869*F4869)</f>
        <v/>
      </c>
      <c r="K4869" s="0" t="str">
        <f aca="false">IF(A4869="","",YEAR(A4869))</f>
        <v/>
      </c>
      <c r="L4869" s="0" t="str">
        <f aca="false">IF(A4869="","",MONTH(A4869))</f>
        <v/>
      </c>
    </row>
    <row r="4870" customFormat="false" ht="15" hidden="false" customHeight="false" outlineLevel="0" collapsed="false">
      <c r="A4870" s="27"/>
      <c r="E4870" s="28"/>
      <c r="F4870" s="28"/>
      <c r="I4870" s="28" t="str">
        <f aca="false">IF(A4870="","",D4870*E4870)</f>
        <v/>
      </c>
      <c r="J4870" s="28" t="str">
        <f aca="false">IF(A4870="","",D4870*F4870)</f>
        <v/>
      </c>
      <c r="K4870" s="0" t="str">
        <f aca="false">IF(A4870="","",YEAR(A4870))</f>
        <v/>
      </c>
      <c r="L4870" s="0" t="str">
        <f aca="false">IF(A4870="","",MONTH(A4870))</f>
        <v/>
      </c>
    </row>
    <row r="4871" customFormat="false" ht="15" hidden="false" customHeight="false" outlineLevel="0" collapsed="false">
      <c r="A4871" s="27"/>
      <c r="E4871" s="28"/>
      <c r="F4871" s="28"/>
      <c r="I4871" s="28" t="str">
        <f aca="false">IF(A4871="","",D4871*E4871)</f>
        <v/>
      </c>
      <c r="J4871" s="28" t="str">
        <f aca="false">IF(A4871="","",D4871*F4871)</f>
        <v/>
      </c>
      <c r="K4871" s="0" t="str">
        <f aca="false">IF(A4871="","",YEAR(A4871))</f>
        <v/>
      </c>
      <c r="L4871" s="0" t="str">
        <f aca="false">IF(A4871="","",MONTH(A4871))</f>
        <v/>
      </c>
    </row>
    <row r="4872" customFormat="false" ht="15" hidden="false" customHeight="false" outlineLevel="0" collapsed="false">
      <c r="A4872" s="27"/>
      <c r="E4872" s="28"/>
      <c r="F4872" s="28"/>
      <c r="I4872" s="28" t="str">
        <f aca="false">IF(A4872="","",D4872*E4872)</f>
        <v/>
      </c>
      <c r="J4872" s="28" t="str">
        <f aca="false">IF(A4872="","",D4872*F4872)</f>
        <v/>
      </c>
      <c r="K4872" s="0" t="str">
        <f aca="false">IF(A4872="","",YEAR(A4872))</f>
        <v/>
      </c>
      <c r="L4872" s="0" t="str">
        <f aca="false">IF(A4872="","",MONTH(A4872))</f>
        <v/>
      </c>
    </row>
    <row r="4873" customFormat="false" ht="15" hidden="false" customHeight="false" outlineLevel="0" collapsed="false">
      <c r="A4873" s="27"/>
      <c r="E4873" s="28"/>
      <c r="F4873" s="28"/>
      <c r="I4873" s="28" t="str">
        <f aca="false">IF(A4873="","",D4873*E4873)</f>
        <v/>
      </c>
      <c r="J4873" s="28" t="str">
        <f aca="false">IF(A4873="","",D4873*F4873)</f>
        <v/>
      </c>
      <c r="K4873" s="0" t="str">
        <f aca="false">IF(A4873="","",YEAR(A4873))</f>
        <v/>
      </c>
      <c r="L4873" s="0" t="str">
        <f aca="false">IF(A4873="","",MONTH(A4873))</f>
        <v/>
      </c>
    </row>
    <row r="4874" customFormat="false" ht="15" hidden="false" customHeight="false" outlineLevel="0" collapsed="false">
      <c r="A4874" s="27"/>
      <c r="E4874" s="28"/>
      <c r="F4874" s="28"/>
      <c r="I4874" s="28" t="str">
        <f aca="false">IF(A4874="","",D4874*E4874)</f>
        <v/>
      </c>
      <c r="J4874" s="28" t="str">
        <f aca="false">IF(A4874="","",D4874*F4874)</f>
        <v/>
      </c>
      <c r="K4874" s="0" t="str">
        <f aca="false">IF(A4874="","",YEAR(A4874))</f>
        <v/>
      </c>
      <c r="L4874" s="0" t="str">
        <f aca="false">IF(A4874="","",MONTH(A4874))</f>
        <v/>
      </c>
    </row>
    <row r="4875" customFormat="false" ht="15" hidden="false" customHeight="false" outlineLevel="0" collapsed="false">
      <c r="A4875" s="27"/>
      <c r="E4875" s="28"/>
      <c r="F4875" s="28"/>
      <c r="I4875" s="28" t="str">
        <f aca="false">IF(A4875="","",D4875*E4875)</f>
        <v/>
      </c>
      <c r="J4875" s="28" t="str">
        <f aca="false">IF(A4875="","",D4875*F4875)</f>
        <v/>
      </c>
      <c r="K4875" s="0" t="str">
        <f aca="false">IF(A4875="","",YEAR(A4875))</f>
        <v/>
      </c>
      <c r="L4875" s="0" t="str">
        <f aca="false">IF(A4875="","",MONTH(A4875))</f>
        <v/>
      </c>
    </row>
    <row r="4876" customFormat="false" ht="15" hidden="false" customHeight="false" outlineLevel="0" collapsed="false">
      <c r="A4876" s="27"/>
      <c r="E4876" s="28"/>
      <c r="F4876" s="28"/>
      <c r="I4876" s="28" t="str">
        <f aca="false">IF(A4876="","",D4876*E4876)</f>
        <v/>
      </c>
      <c r="J4876" s="28" t="str">
        <f aca="false">IF(A4876="","",D4876*F4876)</f>
        <v/>
      </c>
      <c r="K4876" s="0" t="str">
        <f aca="false">IF(A4876="","",YEAR(A4876))</f>
        <v/>
      </c>
      <c r="L4876" s="0" t="str">
        <f aca="false">IF(A4876="","",MONTH(A4876))</f>
        <v/>
      </c>
    </row>
    <row r="4877" customFormat="false" ht="15" hidden="false" customHeight="false" outlineLevel="0" collapsed="false">
      <c r="A4877" s="27"/>
      <c r="E4877" s="28"/>
      <c r="F4877" s="28"/>
      <c r="I4877" s="28" t="str">
        <f aca="false">IF(A4877="","",D4877*E4877)</f>
        <v/>
      </c>
      <c r="J4877" s="28" t="str">
        <f aca="false">IF(A4877="","",D4877*F4877)</f>
        <v/>
      </c>
      <c r="K4877" s="0" t="str">
        <f aca="false">IF(A4877="","",YEAR(A4877))</f>
        <v/>
      </c>
      <c r="L4877" s="0" t="str">
        <f aca="false">IF(A4877="","",MONTH(A4877))</f>
        <v/>
      </c>
    </row>
    <row r="4878" customFormat="false" ht="15" hidden="false" customHeight="false" outlineLevel="0" collapsed="false">
      <c r="A4878" s="27"/>
      <c r="E4878" s="28"/>
      <c r="F4878" s="28"/>
      <c r="I4878" s="28" t="str">
        <f aca="false">IF(A4878="","",D4878*E4878)</f>
        <v/>
      </c>
      <c r="J4878" s="28" t="str">
        <f aca="false">IF(A4878="","",D4878*F4878)</f>
        <v/>
      </c>
      <c r="K4878" s="0" t="str">
        <f aca="false">IF(A4878="","",YEAR(A4878))</f>
        <v/>
      </c>
      <c r="L4878" s="0" t="str">
        <f aca="false">IF(A4878="","",MONTH(A4878))</f>
        <v/>
      </c>
    </row>
    <row r="4879" customFormat="false" ht="15" hidden="false" customHeight="false" outlineLevel="0" collapsed="false">
      <c r="A4879" s="27"/>
      <c r="E4879" s="28"/>
      <c r="F4879" s="28"/>
      <c r="I4879" s="28" t="str">
        <f aca="false">IF(A4879="","",D4879*E4879)</f>
        <v/>
      </c>
      <c r="J4879" s="28" t="str">
        <f aca="false">IF(A4879="","",D4879*F4879)</f>
        <v/>
      </c>
      <c r="K4879" s="0" t="str">
        <f aca="false">IF(A4879="","",YEAR(A4879))</f>
        <v/>
      </c>
      <c r="L4879" s="0" t="str">
        <f aca="false">IF(A4879="","",MONTH(A4879))</f>
        <v/>
      </c>
    </row>
    <row r="4880" customFormat="false" ht="15" hidden="false" customHeight="false" outlineLevel="0" collapsed="false">
      <c r="A4880" s="27"/>
      <c r="E4880" s="28"/>
      <c r="F4880" s="28"/>
      <c r="I4880" s="28" t="str">
        <f aca="false">IF(A4880="","",D4880*E4880)</f>
        <v/>
      </c>
      <c r="J4880" s="28" t="str">
        <f aca="false">IF(A4880="","",D4880*F4880)</f>
        <v/>
      </c>
      <c r="K4880" s="0" t="str">
        <f aca="false">IF(A4880="","",YEAR(A4880))</f>
        <v/>
      </c>
      <c r="L4880" s="0" t="str">
        <f aca="false">IF(A4880="","",MONTH(A4880))</f>
        <v/>
      </c>
    </row>
    <row r="4881" customFormat="false" ht="15" hidden="false" customHeight="false" outlineLevel="0" collapsed="false">
      <c r="A4881" s="27"/>
      <c r="E4881" s="28"/>
      <c r="F4881" s="28"/>
      <c r="I4881" s="28" t="str">
        <f aca="false">IF(A4881="","",D4881*E4881)</f>
        <v/>
      </c>
      <c r="J4881" s="28" t="str">
        <f aca="false">IF(A4881="","",D4881*F4881)</f>
        <v/>
      </c>
      <c r="K4881" s="0" t="str">
        <f aca="false">IF(A4881="","",YEAR(A4881))</f>
        <v/>
      </c>
      <c r="L4881" s="0" t="str">
        <f aca="false">IF(A4881="","",MONTH(A4881))</f>
        <v/>
      </c>
    </row>
    <row r="4882" customFormat="false" ht="15" hidden="false" customHeight="false" outlineLevel="0" collapsed="false">
      <c r="A4882" s="27"/>
      <c r="E4882" s="28"/>
      <c r="F4882" s="28"/>
      <c r="I4882" s="28" t="str">
        <f aca="false">IF(A4882="","",D4882*E4882)</f>
        <v/>
      </c>
      <c r="J4882" s="28" t="str">
        <f aca="false">IF(A4882="","",D4882*F4882)</f>
        <v/>
      </c>
      <c r="K4882" s="0" t="str">
        <f aca="false">IF(A4882="","",YEAR(A4882))</f>
        <v/>
      </c>
      <c r="L4882" s="0" t="str">
        <f aca="false">IF(A4882="","",MONTH(A4882))</f>
        <v/>
      </c>
    </row>
    <row r="4883" customFormat="false" ht="15" hidden="false" customHeight="false" outlineLevel="0" collapsed="false">
      <c r="A4883" s="27"/>
      <c r="E4883" s="28"/>
      <c r="F4883" s="28"/>
      <c r="I4883" s="28" t="str">
        <f aca="false">IF(A4883="","",D4883*E4883)</f>
        <v/>
      </c>
      <c r="J4883" s="28" t="str">
        <f aca="false">IF(A4883="","",D4883*F4883)</f>
        <v/>
      </c>
      <c r="K4883" s="0" t="str">
        <f aca="false">IF(A4883="","",YEAR(A4883))</f>
        <v/>
      </c>
      <c r="L4883" s="0" t="str">
        <f aca="false">IF(A4883="","",MONTH(A4883))</f>
        <v/>
      </c>
    </row>
    <row r="4884" customFormat="false" ht="15" hidden="false" customHeight="false" outlineLevel="0" collapsed="false">
      <c r="A4884" s="27"/>
      <c r="E4884" s="28"/>
      <c r="F4884" s="28"/>
      <c r="I4884" s="28" t="str">
        <f aca="false">IF(A4884="","",D4884*E4884)</f>
        <v/>
      </c>
      <c r="J4884" s="28" t="str">
        <f aca="false">IF(A4884="","",D4884*F4884)</f>
        <v/>
      </c>
      <c r="K4884" s="0" t="str">
        <f aca="false">IF(A4884="","",YEAR(A4884))</f>
        <v/>
      </c>
      <c r="L4884" s="0" t="str">
        <f aca="false">IF(A4884="","",MONTH(A4884))</f>
        <v/>
      </c>
    </row>
    <row r="4885" customFormat="false" ht="15" hidden="false" customHeight="false" outlineLevel="0" collapsed="false">
      <c r="A4885" s="27"/>
      <c r="E4885" s="28"/>
      <c r="F4885" s="28"/>
      <c r="I4885" s="28" t="str">
        <f aca="false">IF(A4885="","",D4885*E4885)</f>
        <v/>
      </c>
      <c r="J4885" s="28" t="str">
        <f aca="false">IF(A4885="","",D4885*F4885)</f>
        <v/>
      </c>
      <c r="K4885" s="0" t="str">
        <f aca="false">IF(A4885="","",YEAR(A4885))</f>
        <v/>
      </c>
      <c r="L4885" s="0" t="str">
        <f aca="false">IF(A4885="","",MONTH(A4885))</f>
        <v/>
      </c>
    </row>
    <row r="4886" customFormat="false" ht="15" hidden="false" customHeight="false" outlineLevel="0" collapsed="false">
      <c r="A4886" s="27"/>
      <c r="E4886" s="28"/>
      <c r="F4886" s="28"/>
      <c r="I4886" s="28" t="str">
        <f aca="false">IF(A4886="","",D4886*E4886)</f>
        <v/>
      </c>
      <c r="J4886" s="28" t="str">
        <f aca="false">IF(A4886="","",D4886*F4886)</f>
        <v/>
      </c>
      <c r="K4886" s="0" t="str">
        <f aca="false">IF(A4886="","",YEAR(A4886))</f>
        <v/>
      </c>
      <c r="L4886" s="0" t="str">
        <f aca="false">IF(A4886="","",MONTH(A4886))</f>
        <v/>
      </c>
    </row>
    <row r="4887" customFormat="false" ht="15" hidden="false" customHeight="false" outlineLevel="0" collapsed="false">
      <c r="A4887" s="27"/>
      <c r="E4887" s="28"/>
      <c r="F4887" s="28"/>
      <c r="I4887" s="28" t="str">
        <f aca="false">IF(A4887="","",D4887*E4887)</f>
        <v/>
      </c>
      <c r="J4887" s="28" t="str">
        <f aca="false">IF(A4887="","",D4887*F4887)</f>
        <v/>
      </c>
      <c r="K4887" s="0" t="str">
        <f aca="false">IF(A4887="","",YEAR(A4887))</f>
        <v/>
      </c>
      <c r="L4887" s="0" t="str">
        <f aca="false">IF(A4887="","",MONTH(A4887))</f>
        <v/>
      </c>
    </row>
    <row r="4888" customFormat="false" ht="15" hidden="false" customHeight="false" outlineLevel="0" collapsed="false">
      <c r="A4888" s="27"/>
      <c r="E4888" s="28"/>
      <c r="F4888" s="28"/>
      <c r="I4888" s="28" t="str">
        <f aca="false">IF(A4888="","",D4888*E4888)</f>
        <v/>
      </c>
      <c r="J4888" s="28" t="str">
        <f aca="false">IF(A4888="","",D4888*F4888)</f>
        <v/>
      </c>
      <c r="K4888" s="0" t="str">
        <f aca="false">IF(A4888="","",YEAR(A4888))</f>
        <v/>
      </c>
      <c r="L4888" s="0" t="str">
        <f aca="false">IF(A4888="","",MONTH(A4888))</f>
        <v/>
      </c>
    </row>
    <row r="4889" customFormat="false" ht="15" hidden="false" customHeight="false" outlineLevel="0" collapsed="false">
      <c r="A4889" s="27"/>
      <c r="E4889" s="28"/>
      <c r="F4889" s="28"/>
      <c r="I4889" s="28" t="str">
        <f aca="false">IF(A4889="","",D4889*E4889)</f>
        <v/>
      </c>
      <c r="J4889" s="28" t="str">
        <f aca="false">IF(A4889="","",D4889*F4889)</f>
        <v/>
      </c>
      <c r="K4889" s="0" t="str">
        <f aca="false">IF(A4889="","",YEAR(A4889))</f>
        <v/>
      </c>
      <c r="L4889" s="0" t="str">
        <f aca="false">IF(A4889="","",MONTH(A4889))</f>
        <v/>
      </c>
    </row>
    <row r="4890" customFormat="false" ht="15" hidden="false" customHeight="false" outlineLevel="0" collapsed="false">
      <c r="A4890" s="27"/>
      <c r="E4890" s="28"/>
      <c r="F4890" s="28"/>
      <c r="I4890" s="28" t="str">
        <f aca="false">IF(A4890="","",D4890*E4890)</f>
        <v/>
      </c>
      <c r="J4890" s="28" t="str">
        <f aca="false">IF(A4890="","",D4890*F4890)</f>
        <v/>
      </c>
      <c r="K4890" s="0" t="str">
        <f aca="false">IF(A4890="","",YEAR(A4890))</f>
        <v/>
      </c>
      <c r="L4890" s="0" t="str">
        <f aca="false">IF(A4890="","",MONTH(A4890))</f>
        <v/>
      </c>
    </row>
    <row r="4891" customFormat="false" ht="15" hidden="false" customHeight="false" outlineLevel="0" collapsed="false">
      <c r="A4891" s="27"/>
      <c r="E4891" s="28"/>
      <c r="F4891" s="28"/>
      <c r="I4891" s="28" t="str">
        <f aca="false">IF(A4891="","",D4891*E4891)</f>
        <v/>
      </c>
      <c r="J4891" s="28" t="str">
        <f aca="false">IF(A4891="","",D4891*F4891)</f>
        <v/>
      </c>
      <c r="K4891" s="0" t="str">
        <f aca="false">IF(A4891="","",YEAR(A4891))</f>
        <v/>
      </c>
      <c r="L4891" s="0" t="str">
        <f aca="false">IF(A4891="","",MONTH(A4891))</f>
        <v/>
      </c>
    </row>
    <row r="4892" customFormat="false" ht="15" hidden="false" customHeight="false" outlineLevel="0" collapsed="false">
      <c r="A4892" s="27"/>
      <c r="E4892" s="28"/>
      <c r="F4892" s="28"/>
      <c r="I4892" s="28" t="str">
        <f aca="false">IF(A4892="","",D4892*E4892)</f>
        <v/>
      </c>
      <c r="J4892" s="28" t="str">
        <f aca="false">IF(A4892="","",D4892*F4892)</f>
        <v/>
      </c>
      <c r="K4892" s="0" t="str">
        <f aca="false">IF(A4892="","",YEAR(A4892))</f>
        <v/>
      </c>
      <c r="L4892" s="0" t="str">
        <f aca="false">IF(A4892="","",MONTH(A4892))</f>
        <v/>
      </c>
    </row>
    <row r="4893" customFormat="false" ht="15" hidden="false" customHeight="false" outlineLevel="0" collapsed="false">
      <c r="A4893" s="27"/>
      <c r="E4893" s="28"/>
      <c r="F4893" s="28"/>
      <c r="I4893" s="28" t="str">
        <f aca="false">IF(A4893="","",D4893*E4893)</f>
        <v/>
      </c>
      <c r="J4893" s="28" t="str">
        <f aca="false">IF(A4893="","",D4893*F4893)</f>
        <v/>
      </c>
      <c r="K4893" s="0" t="str">
        <f aca="false">IF(A4893="","",YEAR(A4893))</f>
        <v/>
      </c>
      <c r="L4893" s="0" t="str">
        <f aca="false">IF(A4893="","",MONTH(A4893))</f>
        <v/>
      </c>
    </row>
    <row r="4894" customFormat="false" ht="15" hidden="false" customHeight="false" outlineLevel="0" collapsed="false">
      <c r="A4894" s="27"/>
      <c r="E4894" s="28"/>
      <c r="F4894" s="28"/>
      <c r="I4894" s="28" t="str">
        <f aca="false">IF(A4894="","",D4894*E4894)</f>
        <v/>
      </c>
      <c r="J4894" s="28" t="str">
        <f aca="false">IF(A4894="","",D4894*F4894)</f>
        <v/>
      </c>
      <c r="K4894" s="0" t="str">
        <f aca="false">IF(A4894="","",YEAR(A4894))</f>
        <v/>
      </c>
      <c r="L4894" s="0" t="str">
        <f aca="false">IF(A4894="","",MONTH(A4894))</f>
        <v/>
      </c>
    </row>
    <row r="4895" customFormat="false" ht="15" hidden="false" customHeight="false" outlineLevel="0" collapsed="false">
      <c r="A4895" s="27"/>
      <c r="E4895" s="28"/>
      <c r="F4895" s="28"/>
      <c r="I4895" s="28" t="str">
        <f aca="false">IF(A4895="","",D4895*E4895)</f>
        <v/>
      </c>
      <c r="J4895" s="28" t="str">
        <f aca="false">IF(A4895="","",D4895*F4895)</f>
        <v/>
      </c>
      <c r="K4895" s="0" t="str">
        <f aca="false">IF(A4895="","",YEAR(A4895))</f>
        <v/>
      </c>
      <c r="L4895" s="0" t="str">
        <f aca="false">IF(A4895="","",MONTH(A4895))</f>
        <v/>
      </c>
    </row>
    <row r="4896" customFormat="false" ht="15" hidden="false" customHeight="false" outlineLevel="0" collapsed="false">
      <c r="A4896" s="27"/>
      <c r="E4896" s="28"/>
      <c r="F4896" s="28"/>
      <c r="I4896" s="28" t="str">
        <f aca="false">IF(A4896="","",D4896*E4896)</f>
        <v/>
      </c>
      <c r="J4896" s="28" t="str">
        <f aca="false">IF(A4896="","",D4896*F4896)</f>
        <v/>
      </c>
      <c r="K4896" s="0" t="str">
        <f aca="false">IF(A4896="","",YEAR(A4896))</f>
        <v/>
      </c>
      <c r="L4896" s="0" t="str">
        <f aca="false">IF(A4896="","",MONTH(A4896))</f>
        <v/>
      </c>
    </row>
    <row r="4897" customFormat="false" ht="15" hidden="false" customHeight="false" outlineLevel="0" collapsed="false">
      <c r="A4897" s="27"/>
      <c r="E4897" s="28"/>
      <c r="F4897" s="28"/>
      <c r="I4897" s="28" t="str">
        <f aca="false">IF(A4897="","",D4897*E4897)</f>
        <v/>
      </c>
      <c r="J4897" s="28" t="str">
        <f aca="false">IF(A4897="","",D4897*F4897)</f>
        <v/>
      </c>
      <c r="K4897" s="0" t="str">
        <f aca="false">IF(A4897="","",YEAR(A4897))</f>
        <v/>
      </c>
      <c r="L4897" s="0" t="str">
        <f aca="false">IF(A4897="","",MONTH(A4897))</f>
        <v/>
      </c>
    </row>
    <row r="4898" customFormat="false" ht="15" hidden="false" customHeight="false" outlineLevel="0" collapsed="false">
      <c r="A4898" s="27"/>
      <c r="E4898" s="28"/>
      <c r="F4898" s="28"/>
      <c r="I4898" s="28" t="str">
        <f aca="false">IF(A4898="","",D4898*E4898)</f>
        <v/>
      </c>
      <c r="J4898" s="28" t="str">
        <f aca="false">IF(A4898="","",D4898*F4898)</f>
        <v/>
      </c>
      <c r="K4898" s="0" t="str">
        <f aca="false">IF(A4898="","",YEAR(A4898))</f>
        <v/>
      </c>
      <c r="L4898" s="0" t="str">
        <f aca="false">IF(A4898="","",MONTH(A4898))</f>
        <v/>
      </c>
    </row>
    <row r="4899" customFormat="false" ht="15" hidden="false" customHeight="false" outlineLevel="0" collapsed="false">
      <c r="A4899" s="27"/>
      <c r="E4899" s="28"/>
      <c r="F4899" s="28"/>
      <c r="I4899" s="28" t="str">
        <f aca="false">IF(A4899="","",D4899*E4899)</f>
        <v/>
      </c>
      <c r="J4899" s="28" t="str">
        <f aca="false">IF(A4899="","",D4899*F4899)</f>
        <v/>
      </c>
      <c r="K4899" s="0" t="str">
        <f aca="false">IF(A4899="","",YEAR(A4899))</f>
        <v/>
      </c>
      <c r="L4899" s="0" t="str">
        <f aca="false">IF(A4899="","",MONTH(A4899))</f>
        <v/>
      </c>
    </row>
    <row r="4900" customFormat="false" ht="15" hidden="false" customHeight="false" outlineLevel="0" collapsed="false">
      <c r="A4900" s="27"/>
      <c r="E4900" s="28"/>
      <c r="F4900" s="28"/>
      <c r="I4900" s="28" t="str">
        <f aca="false">IF(A4900="","",D4900*E4900)</f>
        <v/>
      </c>
      <c r="J4900" s="28" t="str">
        <f aca="false">IF(A4900="","",D4900*F4900)</f>
        <v/>
      </c>
      <c r="K4900" s="0" t="str">
        <f aca="false">IF(A4900="","",YEAR(A4900))</f>
        <v/>
      </c>
      <c r="L4900" s="0" t="str">
        <f aca="false">IF(A4900="","",MONTH(A4900))</f>
        <v/>
      </c>
    </row>
    <row r="4901" customFormat="false" ht="15" hidden="false" customHeight="false" outlineLevel="0" collapsed="false">
      <c r="A4901" s="27"/>
      <c r="E4901" s="28"/>
      <c r="F4901" s="28"/>
      <c r="I4901" s="28" t="str">
        <f aca="false">IF(A4901="","",D4901*E4901)</f>
        <v/>
      </c>
      <c r="J4901" s="28" t="str">
        <f aca="false">IF(A4901="","",D4901*F4901)</f>
        <v/>
      </c>
      <c r="K4901" s="0" t="str">
        <f aca="false">IF(A4901="","",YEAR(A4901))</f>
        <v/>
      </c>
      <c r="L4901" s="0" t="str">
        <f aca="false">IF(A4901="","",MONTH(A4901))</f>
        <v/>
      </c>
    </row>
    <row r="4902" customFormat="false" ht="15" hidden="false" customHeight="false" outlineLevel="0" collapsed="false">
      <c r="A4902" s="27"/>
      <c r="E4902" s="28"/>
      <c r="F4902" s="28"/>
      <c r="I4902" s="28" t="str">
        <f aca="false">IF(A4902="","",D4902*E4902)</f>
        <v/>
      </c>
      <c r="J4902" s="28" t="str">
        <f aca="false">IF(A4902="","",D4902*F4902)</f>
        <v/>
      </c>
      <c r="K4902" s="0" t="str">
        <f aca="false">IF(A4902="","",YEAR(A4902))</f>
        <v/>
      </c>
      <c r="L4902" s="0" t="str">
        <f aca="false">IF(A4902="","",MONTH(A4902))</f>
        <v/>
      </c>
    </row>
    <row r="4903" customFormat="false" ht="15" hidden="false" customHeight="false" outlineLevel="0" collapsed="false">
      <c r="A4903" s="27"/>
      <c r="E4903" s="28"/>
      <c r="F4903" s="28"/>
      <c r="I4903" s="28" t="str">
        <f aca="false">IF(A4903="","",D4903*E4903)</f>
        <v/>
      </c>
      <c r="J4903" s="28" t="str">
        <f aca="false">IF(A4903="","",D4903*F4903)</f>
        <v/>
      </c>
      <c r="K4903" s="0" t="str">
        <f aca="false">IF(A4903="","",YEAR(A4903))</f>
        <v/>
      </c>
      <c r="L4903" s="0" t="str">
        <f aca="false">IF(A4903="","",MONTH(A4903))</f>
        <v/>
      </c>
    </row>
    <row r="4904" customFormat="false" ht="15" hidden="false" customHeight="false" outlineLevel="0" collapsed="false">
      <c r="A4904" s="27"/>
      <c r="E4904" s="28"/>
      <c r="F4904" s="28"/>
      <c r="I4904" s="28" t="str">
        <f aca="false">IF(A4904="","",D4904*E4904)</f>
        <v/>
      </c>
      <c r="J4904" s="28" t="str">
        <f aca="false">IF(A4904="","",D4904*F4904)</f>
        <v/>
      </c>
      <c r="K4904" s="0" t="str">
        <f aca="false">IF(A4904="","",YEAR(A4904))</f>
        <v/>
      </c>
      <c r="L4904" s="0" t="str">
        <f aca="false">IF(A4904="","",MONTH(A4904))</f>
        <v/>
      </c>
    </row>
    <row r="4905" customFormat="false" ht="15" hidden="false" customHeight="false" outlineLevel="0" collapsed="false">
      <c r="A4905" s="27"/>
      <c r="E4905" s="28"/>
      <c r="F4905" s="28"/>
      <c r="I4905" s="28" t="str">
        <f aca="false">IF(A4905="","",D4905*E4905)</f>
        <v/>
      </c>
      <c r="J4905" s="28" t="str">
        <f aca="false">IF(A4905="","",D4905*F4905)</f>
        <v/>
      </c>
      <c r="K4905" s="0" t="str">
        <f aca="false">IF(A4905="","",YEAR(A4905))</f>
        <v/>
      </c>
      <c r="L4905" s="0" t="str">
        <f aca="false">IF(A4905="","",MONTH(A4905))</f>
        <v/>
      </c>
    </row>
    <row r="4906" customFormat="false" ht="15" hidden="false" customHeight="false" outlineLevel="0" collapsed="false">
      <c r="A4906" s="27"/>
      <c r="E4906" s="28"/>
      <c r="F4906" s="28"/>
      <c r="I4906" s="28" t="str">
        <f aca="false">IF(A4906="","",D4906*E4906)</f>
        <v/>
      </c>
      <c r="J4906" s="28" t="str">
        <f aca="false">IF(A4906="","",D4906*F4906)</f>
        <v/>
      </c>
      <c r="K4906" s="0" t="str">
        <f aca="false">IF(A4906="","",YEAR(A4906))</f>
        <v/>
      </c>
      <c r="L4906" s="0" t="str">
        <f aca="false">IF(A4906="","",MONTH(A4906))</f>
        <v/>
      </c>
    </row>
    <row r="4907" customFormat="false" ht="15" hidden="false" customHeight="false" outlineLevel="0" collapsed="false">
      <c r="A4907" s="27"/>
      <c r="E4907" s="28"/>
      <c r="F4907" s="28"/>
      <c r="I4907" s="28" t="str">
        <f aca="false">IF(A4907="","",D4907*E4907)</f>
        <v/>
      </c>
      <c r="J4907" s="28" t="str">
        <f aca="false">IF(A4907="","",D4907*F4907)</f>
        <v/>
      </c>
      <c r="K4907" s="0" t="str">
        <f aca="false">IF(A4907="","",YEAR(A4907))</f>
        <v/>
      </c>
      <c r="L4907" s="0" t="str">
        <f aca="false">IF(A4907="","",MONTH(A4907))</f>
        <v/>
      </c>
    </row>
    <row r="4908" customFormat="false" ht="15" hidden="false" customHeight="false" outlineLevel="0" collapsed="false">
      <c r="A4908" s="27"/>
      <c r="E4908" s="28"/>
      <c r="F4908" s="28"/>
      <c r="I4908" s="28" t="str">
        <f aca="false">IF(A4908="","",D4908*E4908)</f>
        <v/>
      </c>
      <c r="J4908" s="28" t="str">
        <f aca="false">IF(A4908="","",D4908*F4908)</f>
        <v/>
      </c>
      <c r="K4908" s="0" t="str">
        <f aca="false">IF(A4908="","",YEAR(A4908))</f>
        <v/>
      </c>
      <c r="L4908" s="0" t="str">
        <f aca="false">IF(A4908="","",MONTH(A4908))</f>
        <v/>
      </c>
    </row>
    <row r="4909" customFormat="false" ht="15" hidden="false" customHeight="false" outlineLevel="0" collapsed="false">
      <c r="A4909" s="27"/>
      <c r="E4909" s="28"/>
      <c r="F4909" s="28"/>
      <c r="I4909" s="28" t="str">
        <f aca="false">IF(A4909="","",D4909*E4909)</f>
        <v/>
      </c>
      <c r="J4909" s="28" t="str">
        <f aca="false">IF(A4909="","",D4909*F4909)</f>
        <v/>
      </c>
      <c r="K4909" s="0" t="str">
        <f aca="false">IF(A4909="","",YEAR(A4909))</f>
        <v/>
      </c>
      <c r="L4909" s="0" t="str">
        <f aca="false">IF(A4909="","",MONTH(A4909))</f>
        <v/>
      </c>
    </row>
    <row r="4910" customFormat="false" ht="15" hidden="false" customHeight="false" outlineLevel="0" collapsed="false">
      <c r="A4910" s="27"/>
      <c r="E4910" s="28"/>
      <c r="F4910" s="28"/>
      <c r="I4910" s="28" t="str">
        <f aca="false">IF(A4910="","",D4910*E4910)</f>
        <v/>
      </c>
      <c r="J4910" s="28" t="str">
        <f aca="false">IF(A4910="","",D4910*F4910)</f>
        <v/>
      </c>
      <c r="K4910" s="0" t="str">
        <f aca="false">IF(A4910="","",YEAR(A4910))</f>
        <v/>
      </c>
      <c r="L4910" s="0" t="str">
        <f aca="false">IF(A4910="","",MONTH(A4910))</f>
        <v/>
      </c>
    </row>
    <row r="4911" customFormat="false" ht="15" hidden="false" customHeight="false" outlineLevel="0" collapsed="false">
      <c r="A4911" s="27"/>
      <c r="E4911" s="28"/>
      <c r="F4911" s="28"/>
      <c r="I4911" s="28" t="str">
        <f aca="false">IF(A4911="","",D4911*E4911)</f>
        <v/>
      </c>
      <c r="J4911" s="28" t="str">
        <f aca="false">IF(A4911="","",D4911*F4911)</f>
        <v/>
      </c>
      <c r="K4911" s="0" t="str">
        <f aca="false">IF(A4911="","",YEAR(A4911))</f>
        <v/>
      </c>
      <c r="L4911" s="0" t="str">
        <f aca="false">IF(A4911="","",MONTH(A4911))</f>
        <v/>
      </c>
    </row>
    <row r="4912" customFormat="false" ht="15" hidden="false" customHeight="false" outlineLevel="0" collapsed="false">
      <c r="A4912" s="27"/>
      <c r="E4912" s="28"/>
      <c r="F4912" s="28"/>
      <c r="I4912" s="28" t="str">
        <f aca="false">IF(A4912="","",D4912*E4912)</f>
        <v/>
      </c>
      <c r="J4912" s="28" t="str">
        <f aca="false">IF(A4912="","",D4912*F4912)</f>
        <v/>
      </c>
      <c r="K4912" s="0" t="str">
        <f aca="false">IF(A4912="","",YEAR(A4912))</f>
        <v/>
      </c>
      <c r="L4912" s="0" t="str">
        <f aca="false">IF(A4912="","",MONTH(A4912))</f>
        <v/>
      </c>
    </row>
    <row r="4913" customFormat="false" ht="15" hidden="false" customHeight="false" outlineLevel="0" collapsed="false">
      <c r="A4913" s="27"/>
      <c r="E4913" s="28"/>
      <c r="F4913" s="28"/>
      <c r="I4913" s="28" t="str">
        <f aca="false">IF(A4913="","",D4913*E4913)</f>
        <v/>
      </c>
      <c r="J4913" s="28" t="str">
        <f aca="false">IF(A4913="","",D4913*F4913)</f>
        <v/>
      </c>
      <c r="K4913" s="0" t="str">
        <f aca="false">IF(A4913="","",YEAR(A4913))</f>
        <v/>
      </c>
      <c r="L4913" s="0" t="str">
        <f aca="false">IF(A4913="","",MONTH(A4913))</f>
        <v/>
      </c>
    </row>
    <row r="4914" customFormat="false" ht="15" hidden="false" customHeight="false" outlineLevel="0" collapsed="false">
      <c r="A4914" s="27"/>
      <c r="E4914" s="28"/>
      <c r="F4914" s="28"/>
      <c r="I4914" s="28" t="str">
        <f aca="false">IF(A4914="","",D4914*E4914)</f>
        <v/>
      </c>
      <c r="J4914" s="28" t="str">
        <f aca="false">IF(A4914="","",D4914*F4914)</f>
        <v/>
      </c>
      <c r="K4914" s="0" t="str">
        <f aca="false">IF(A4914="","",YEAR(A4914))</f>
        <v/>
      </c>
      <c r="L4914" s="0" t="str">
        <f aca="false">IF(A4914="","",MONTH(A4914))</f>
        <v/>
      </c>
    </row>
    <row r="4915" customFormat="false" ht="15" hidden="false" customHeight="false" outlineLevel="0" collapsed="false">
      <c r="A4915" s="27"/>
      <c r="E4915" s="28"/>
      <c r="F4915" s="28"/>
      <c r="I4915" s="28" t="str">
        <f aca="false">IF(A4915="","",D4915*E4915)</f>
        <v/>
      </c>
      <c r="J4915" s="28" t="str">
        <f aca="false">IF(A4915="","",D4915*F4915)</f>
        <v/>
      </c>
      <c r="K4915" s="0" t="str">
        <f aca="false">IF(A4915="","",YEAR(A4915))</f>
        <v/>
      </c>
      <c r="L4915" s="0" t="str">
        <f aca="false">IF(A4915="","",MONTH(A4915))</f>
        <v/>
      </c>
    </row>
    <row r="4916" customFormat="false" ht="15" hidden="false" customHeight="false" outlineLevel="0" collapsed="false">
      <c r="A4916" s="27"/>
      <c r="E4916" s="28"/>
      <c r="F4916" s="28"/>
      <c r="I4916" s="28" t="str">
        <f aca="false">IF(A4916="","",D4916*E4916)</f>
        <v/>
      </c>
      <c r="J4916" s="28" t="str">
        <f aca="false">IF(A4916="","",D4916*F4916)</f>
        <v/>
      </c>
      <c r="K4916" s="0" t="str">
        <f aca="false">IF(A4916="","",YEAR(A4916))</f>
        <v/>
      </c>
      <c r="L4916" s="0" t="str">
        <f aca="false">IF(A4916="","",MONTH(A4916))</f>
        <v/>
      </c>
    </row>
    <row r="4917" customFormat="false" ht="15" hidden="false" customHeight="false" outlineLevel="0" collapsed="false">
      <c r="A4917" s="27"/>
      <c r="E4917" s="28"/>
      <c r="F4917" s="28"/>
      <c r="I4917" s="28" t="str">
        <f aca="false">IF(A4917="","",D4917*E4917)</f>
        <v/>
      </c>
      <c r="J4917" s="28" t="str">
        <f aca="false">IF(A4917="","",D4917*F4917)</f>
        <v/>
      </c>
      <c r="K4917" s="0" t="str">
        <f aca="false">IF(A4917="","",YEAR(A4917))</f>
        <v/>
      </c>
      <c r="L4917" s="0" t="str">
        <f aca="false">IF(A4917="","",MONTH(A4917))</f>
        <v/>
      </c>
    </row>
    <row r="4918" customFormat="false" ht="15" hidden="false" customHeight="false" outlineLevel="0" collapsed="false">
      <c r="A4918" s="27"/>
      <c r="E4918" s="28"/>
      <c r="F4918" s="28"/>
      <c r="I4918" s="28" t="str">
        <f aca="false">IF(A4918="","",D4918*E4918)</f>
        <v/>
      </c>
      <c r="J4918" s="28" t="str">
        <f aca="false">IF(A4918="","",D4918*F4918)</f>
        <v/>
      </c>
      <c r="K4918" s="0" t="str">
        <f aca="false">IF(A4918="","",YEAR(A4918))</f>
        <v/>
      </c>
      <c r="L4918" s="0" t="str">
        <f aca="false">IF(A4918="","",MONTH(A4918))</f>
        <v/>
      </c>
    </row>
    <row r="4919" customFormat="false" ht="15" hidden="false" customHeight="false" outlineLevel="0" collapsed="false">
      <c r="A4919" s="27"/>
      <c r="E4919" s="28"/>
      <c r="F4919" s="28"/>
      <c r="I4919" s="28" t="str">
        <f aca="false">IF(A4919="","",D4919*E4919)</f>
        <v/>
      </c>
      <c r="J4919" s="28" t="str">
        <f aca="false">IF(A4919="","",D4919*F4919)</f>
        <v/>
      </c>
      <c r="K4919" s="0" t="str">
        <f aca="false">IF(A4919="","",YEAR(A4919))</f>
        <v/>
      </c>
      <c r="L4919" s="0" t="str">
        <f aca="false">IF(A4919="","",MONTH(A4919))</f>
        <v/>
      </c>
    </row>
    <row r="4920" customFormat="false" ht="15" hidden="false" customHeight="false" outlineLevel="0" collapsed="false">
      <c r="A4920" s="27"/>
      <c r="E4920" s="28"/>
      <c r="F4920" s="28"/>
      <c r="I4920" s="28" t="str">
        <f aca="false">IF(A4920="","",D4920*E4920)</f>
        <v/>
      </c>
      <c r="J4920" s="28" t="str">
        <f aca="false">IF(A4920="","",D4920*F4920)</f>
        <v/>
      </c>
      <c r="K4920" s="0" t="str">
        <f aca="false">IF(A4920="","",YEAR(A4920))</f>
        <v/>
      </c>
      <c r="L4920" s="0" t="str">
        <f aca="false">IF(A4920="","",MONTH(A4920))</f>
        <v/>
      </c>
    </row>
    <row r="4921" customFormat="false" ht="15" hidden="false" customHeight="false" outlineLevel="0" collapsed="false">
      <c r="A4921" s="27"/>
      <c r="E4921" s="28"/>
      <c r="F4921" s="28"/>
      <c r="I4921" s="28" t="str">
        <f aca="false">IF(A4921="","",D4921*E4921)</f>
        <v/>
      </c>
      <c r="J4921" s="28" t="str">
        <f aca="false">IF(A4921="","",D4921*F4921)</f>
        <v/>
      </c>
      <c r="K4921" s="0" t="str">
        <f aca="false">IF(A4921="","",YEAR(A4921))</f>
        <v/>
      </c>
      <c r="L4921" s="0" t="str">
        <f aca="false">IF(A4921="","",MONTH(A4921))</f>
        <v/>
      </c>
    </row>
    <row r="4922" customFormat="false" ht="15" hidden="false" customHeight="false" outlineLevel="0" collapsed="false">
      <c r="A4922" s="27"/>
      <c r="E4922" s="28"/>
      <c r="F4922" s="28"/>
      <c r="I4922" s="28" t="str">
        <f aca="false">IF(A4922="","",D4922*E4922)</f>
        <v/>
      </c>
      <c r="J4922" s="28" t="str">
        <f aca="false">IF(A4922="","",D4922*F4922)</f>
        <v/>
      </c>
      <c r="K4922" s="0" t="str">
        <f aca="false">IF(A4922="","",YEAR(A4922))</f>
        <v/>
      </c>
      <c r="L4922" s="0" t="str">
        <f aca="false">IF(A4922="","",MONTH(A4922))</f>
        <v/>
      </c>
    </row>
    <row r="4923" customFormat="false" ht="15" hidden="false" customHeight="false" outlineLevel="0" collapsed="false">
      <c r="A4923" s="27"/>
      <c r="E4923" s="28"/>
      <c r="F4923" s="28"/>
      <c r="I4923" s="28" t="str">
        <f aca="false">IF(A4923="","",D4923*E4923)</f>
        <v/>
      </c>
      <c r="J4923" s="28" t="str">
        <f aca="false">IF(A4923="","",D4923*F4923)</f>
        <v/>
      </c>
      <c r="K4923" s="0" t="str">
        <f aca="false">IF(A4923="","",YEAR(A4923))</f>
        <v/>
      </c>
      <c r="L4923" s="0" t="str">
        <f aca="false">IF(A4923="","",MONTH(A4923))</f>
        <v/>
      </c>
    </row>
    <row r="4924" customFormat="false" ht="15" hidden="false" customHeight="false" outlineLevel="0" collapsed="false">
      <c r="A4924" s="27"/>
      <c r="E4924" s="28"/>
      <c r="F4924" s="28"/>
      <c r="I4924" s="28" t="str">
        <f aca="false">IF(A4924="","",D4924*E4924)</f>
        <v/>
      </c>
      <c r="J4924" s="28" t="str">
        <f aca="false">IF(A4924="","",D4924*F4924)</f>
        <v/>
      </c>
      <c r="K4924" s="0" t="str">
        <f aca="false">IF(A4924="","",YEAR(A4924))</f>
        <v/>
      </c>
      <c r="L4924" s="0" t="str">
        <f aca="false">IF(A4924="","",MONTH(A4924))</f>
        <v/>
      </c>
    </row>
    <row r="4925" customFormat="false" ht="15" hidden="false" customHeight="false" outlineLevel="0" collapsed="false">
      <c r="A4925" s="27"/>
      <c r="E4925" s="28"/>
      <c r="F4925" s="28"/>
      <c r="I4925" s="28" t="str">
        <f aca="false">IF(A4925="","",D4925*E4925)</f>
        <v/>
      </c>
      <c r="J4925" s="28" t="str">
        <f aca="false">IF(A4925="","",D4925*F4925)</f>
        <v/>
      </c>
      <c r="K4925" s="0" t="str">
        <f aca="false">IF(A4925="","",YEAR(A4925))</f>
        <v/>
      </c>
      <c r="L4925" s="0" t="str">
        <f aca="false">IF(A4925="","",MONTH(A4925))</f>
        <v/>
      </c>
    </row>
    <row r="4926" customFormat="false" ht="15" hidden="false" customHeight="false" outlineLevel="0" collapsed="false">
      <c r="A4926" s="27"/>
      <c r="E4926" s="28"/>
      <c r="F4926" s="28"/>
      <c r="I4926" s="28" t="str">
        <f aca="false">IF(A4926="","",D4926*E4926)</f>
        <v/>
      </c>
      <c r="J4926" s="28" t="str">
        <f aca="false">IF(A4926="","",D4926*F4926)</f>
        <v/>
      </c>
      <c r="K4926" s="0" t="str">
        <f aca="false">IF(A4926="","",YEAR(A4926))</f>
        <v/>
      </c>
      <c r="L4926" s="0" t="str">
        <f aca="false">IF(A4926="","",MONTH(A4926))</f>
        <v/>
      </c>
    </row>
    <row r="4927" customFormat="false" ht="15" hidden="false" customHeight="false" outlineLevel="0" collapsed="false">
      <c r="A4927" s="27"/>
      <c r="E4927" s="28"/>
      <c r="F4927" s="28"/>
      <c r="I4927" s="28" t="str">
        <f aca="false">IF(A4927="","",D4927*E4927)</f>
        <v/>
      </c>
      <c r="J4927" s="28" t="str">
        <f aca="false">IF(A4927="","",D4927*F4927)</f>
        <v/>
      </c>
      <c r="K4927" s="0" t="str">
        <f aca="false">IF(A4927="","",YEAR(A4927))</f>
        <v/>
      </c>
      <c r="L4927" s="0" t="str">
        <f aca="false">IF(A4927="","",MONTH(A4927))</f>
        <v/>
      </c>
    </row>
    <row r="4928" customFormat="false" ht="15" hidden="false" customHeight="false" outlineLevel="0" collapsed="false">
      <c r="A4928" s="27"/>
      <c r="E4928" s="28"/>
      <c r="F4928" s="28"/>
      <c r="I4928" s="28" t="str">
        <f aca="false">IF(A4928="","",D4928*E4928)</f>
        <v/>
      </c>
      <c r="J4928" s="28" t="str">
        <f aca="false">IF(A4928="","",D4928*F4928)</f>
        <v/>
      </c>
      <c r="K4928" s="0" t="str">
        <f aca="false">IF(A4928="","",YEAR(A4928))</f>
        <v/>
      </c>
      <c r="L4928" s="0" t="str">
        <f aca="false">IF(A4928="","",MONTH(A4928))</f>
        <v/>
      </c>
    </row>
    <row r="4929" customFormat="false" ht="15" hidden="false" customHeight="false" outlineLevel="0" collapsed="false">
      <c r="A4929" s="27"/>
      <c r="E4929" s="28"/>
      <c r="F4929" s="28"/>
      <c r="I4929" s="28" t="str">
        <f aca="false">IF(A4929="","",D4929*E4929)</f>
        <v/>
      </c>
      <c r="J4929" s="28" t="str">
        <f aca="false">IF(A4929="","",D4929*F4929)</f>
        <v/>
      </c>
      <c r="K4929" s="0" t="str">
        <f aca="false">IF(A4929="","",YEAR(A4929))</f>
        <v/>
      </c>
      <c r="L4929" s="0" t="str">
        <f aca="false">IF(A4929="","",MONTH(A4929))</f>
        <v/>
      </c>
    </row>
    <row r="4930" customFormat="false" ht="15" hidden="false" customHeight="false" outlineLevel="0" collapsed="false">
      <c r="A4930" s="27"/>
      <c r="E4930" s="28"/>
      <c r="F4930" s="28"/>
      <c r="I4930" s="28" t="str">
        <f aca="false">IF(A4930="","",D4930*E4930)</f>
        <v/>
      </c>
      <c r="J4930" s="28" t="str">
        <f aca="false">IF(A4930="","",D4930*F4930)</f>
        <v/>
      </c>
      <c r="K4930" s="0" t="str">
        <f aca="false">IF(A4930="","",YEAR(A4930))</f>
        <v/>
      </c>
      <c r="L4930" s="0" t="str">
        <f aca="false">IF(A4930="","",MONTH(A4930))</f>
        <v/>
      </c>
    </row>
    <row r="4931" customFormat="false" ht="15" hidden="false" customHeight="false" outlineLevel="0" collapsed="false">
      <c r="A4931" s="27"/>
      <c r="E4931" s="28"/>
      <c r="F4931" s="28"/>
      <c r="I4931" s="28" t="str">
        <f aca="false">IF(A4931="","",D4931*E4931)</f>
        <v/>
      </c>
      <c r="J4931" s="28" t="str">
        <f aca="false">IF(A4931="","",D4931*F4931)</f>
        <v/>
      </c>
      <c r="K4931" s="0" t="str">
        <f aca="false">IF(A4931="","",YEAR(A4931))</f>
        <v/>
      </c>
      <c r="L4931" s="0" t="str">
        <f aca="false">IF(A4931="","",MONTH(A4931))</f>
        <v/>
      </c>
    </row>
    <row r="4932" customFormat="false" ht="15" hidden="false" customHeight="false" outlineLevel="0" collapsed="false">
      <c r="A4932" s="27"/>
      <c r="E4932" s="28"/>
      <c r="F4932" s="28"/>
      <c r="I4932" s="28" t="str">
        <f aca="false">IF(A4932="","",D4932*E4932)</f>
        <v/>
      </c>
      <c r="J4932" s="28" t="str">
        <f aca="false">IF(A4932="","",D4932*F4932)</f>
        <v/>
      </c>
      <c r="K4932" s="0" t="str">
        <f aca="false">IF(A4932="","",YEAR(A4932))</f>
        <v/>
      </c>
      <c r="L4932" s="0" t="str">
        <f aca="false">IF(A4932="","",MONTH(A4932))</f>
        <v/>
      </c>
    </row>
    <row r="4933" customFormat="false" ht="15" hidden="false" customHeight="false" outlineLevel="0" collapsed="false">
      <c r="A4933" s="27"/>
      <c r="E4933" s="28"/>
      <c r="F4933" s="28"/>
      <c r="I4933" s="28" t="str">
        <f aca="false">IF(A4933="","",D4933*E4933)</f>
        <v/>
      </c>
      <c r="J4933" s="28" t="str">
        <f aca="false">IF(A4933="","",D4933*F4933)</f>
        <v/>
      </c>
      <c r="K4933" s="0" t="str">
        <f aca="false">IF(A4933="","",YEAR(A4933))</f>
        <v/>
      </c>
      <c r="L4933" s="0" t="str">
        <f aca="false">IF(A4933="","",MONTH(A4933))</f>
        <v/>
      </c>
    </row>
    <row r="4934" customFormat="false" ht="15" hidden="false" customHeight="false" outlineLevel="0" collapsed="false">
      <c r="A4934" s="27"/>
      <c r="E4934" s="28"/>
      <c r="F4934" s="28"/>
      <c r="I4934" s="28" t="str">
        <f aca="false">IF(A4934="","",D4934*E4934)</f>
        <v/>
      </c>
      <c r="J4934" s="28" t="str">
        <f aca="false">IF(A4934="","",D4934*F4934)</f>
        <v/>
      </c>
      <c r="K4934" s="0" t="str">
        <f aca="false">IF(A4934="","",YEAR(A4934))</f>
        <v/>
      </c>
      <c r="L4934" s="0" t="str">
        <f aca="false">IF(A4934="","",MONTH(A4934))</f>
        <v/>
      </c>
    </row>
    <row r="4935" customFormat="false" ht="15" hidden="false" customHeight="false" outlineLevel="0" collapsed="false">
      <c r="A4935" s="27"/>
      <c r="E4935" s="28"/>
      <c r="F4935" s="28"/>
      <c r="I4935" s="28" t="str">
        <f aca="false">IF(A4935="","",D4935*E4935)</f>
        <v/>
      </c>
      <c r="J4935" s="28" t="str">
        <f aca="false">IF(A4935="","",D4935*F4935)</f>
        <v/>
      </c>
      <c r="K4935" s="0" t="str">
        <f aca="false">IF(A4935="","",YEAR(A4935))</f>
        <v/>
      </c>
      <c r="L4935" s="0" t="str">
        <f aca="false">IF(A4935="","",MONTH(A4935))</f>
        <v/>
      </c>
    </row>
    <row r="4936" customFormat="false" ht="15" hidden="false" customHeight="false" outlineLevel="0" collapsed="false">
      <c r="A4936" s="27"/>
      <c r="E4936" s="28"/>
      <c r="F4936" s="28"/>
      <c r="I4936" s="28" t="str">
        <f aca="false">IF(A4936="","",D4936*E4936)</f>
        <v/>
      </c>
      <c r="J4936" s="28" t="str">
        <f aca="false">IF(A4936="","",D4936*F4936)</f>
        <v/>
      </c>
      <c r="K4936" s="0" t="str">
        <f aca="false">IF(A4936="","",YEAR(A4936))</f>
        <v/>
      </c>
      <c r="L4936" s="0" t="str">
        <f aca="false">IF(A4936="","",MONTH(A4936))</f>
        <v/>
      </c>
    </row>
    <row r="4937" customFormat="false" ht="15" hidden="false" customHeight="false" outlineLevel="0" collapsed="false">
      <c r="A4937" s="27"/>
      <c r="E4937" s="28"/>
      <c r="F4937" s="28"/>
      <c r="I4937" s="28" t="str">
        <f aca="false">IF(A4937="","",D4937*E4937)</f>
        <v/>
      </c>
      <c r="J4937" s="28" t="str">
        <f aca="false">IF(A4937="","",D4937*F4937)</f>
        <v/>
      </c>
      <c r="K4937" s="0" t="str">
        <f aca="false">IF(A4937="","",YEAR(A4937))</f>
        <v/>
      </c>
      <c r="L4937" s="0" t="str">
        <f aca="false">IF(A4937="","",MONTH(A4937))</f>
        <v/>
      </c>
    </row>
    <row r="4938" customFormat="false" ht="15" hidden="false" customHeight="false" outlineLevel="0" collapsed="false">
      <c r="A4938" s="27"/>
      <c r="E4938" s="28"/>
      <c r="F4938" s="28"/>
      <c r="I4938" s="28" t="str">
        <f aca="false">IF(A4938="","",D4938*E4938)</f>
        <v/>
      </c>
      <c r="J4938" s="28" t="str">
        <f aca="false">IF(A4938="","",D4938*F4938)</f>
        <v/>
      </c>
      <c r="K4938" s="0" t="str">
        <f aca="false">IF(A4938="","",YEAR(A4938))</f>
        <v/>
      </c>
      <c r="L4938" s="0" t="str">
        <f aca="false">IF(A4938="","",MONTH(A4938))</f>
        <v/>
      </c>
    </row>
    <row r="4939" customFormat="false" ht="15" hidden="false" customHeight="false" outlineLevel="0" collapsed="false">
      <c r="A4939" s="27"/>
      <c r="E4939" s="28"/>
      <c r="F4939" s="28"/>
      <c r="I4939" s="28" t="str">
        <f aca="false">IF(A4939="","",D4939*E4939)</f>
        <v/>
      </c>
      <c r="J4939" s="28" t="str">
        <f aca="false">IF(A4939="","",D4939*F4939)</f>
        <v/>
      </c>
      <c r="K4939" s="0" t="str">
        <f aca="false">IF(A4939="","",YEAR(A4939))</f>
        <v/>
      </c>
      <c r="L4939" s="0" t="str">
        <f aca="false">IF(A4939="","",MONTH(A4939))</f>
        <v/>
      </c>
    </row>
    <row r="4940" customFormat="false" ht="15" hidden="false" customHeight="false" outlineLevel="0" collapsed="false">
      <c r="A4940" s="27"/>
      <c r="E4940" s="28"/>
      <c r="F4940" s="28"/>
      <c r="I4940" s="28" t="str">
        <f aca="false">IF(A4940="","",D4940*E4940)</f>
        <v/>
      </c>
      <c r="J4940" s="28" t="str">
        <f aca="false">IF(A4940="","",D4940*F4940)</f>
        <v/>
      </c>
      <c r="K4940" s="0" t="str">
        <f aca="false">IF(A4940="","",YEAR(A4940))</f>
        <v/>
      </c>
      <c r="L4940" s="0" t="str">
        <f aca="false">IF(A4940="","",MONTH(A4940))</f>
        <v/>
      </c>
    </row>
    <row r="4941" customFormat="false" ht="15" hidden="false" customHeight="false" outlineLevel="0" collapsed="false">
      <c r="A4941" s="27"/>
      <c r="E4941" s="28"/>
      <c r="F4941" s="28"/>
      <c r="I4941" s="28" t="str">
        <f aca="false">IF(A4941="","",D4941*E4941)</f>
        <v/>
      </c>
      <c r="J4941" s="28" t="str">
        <f aca="false">IF(A4941="","",D4941*F4941)</f>
        <v/>
      </c>
      <c r="K4941" s="0" t="str">
        <f aca="false">IF(A4941="","",YEAR(A4941))</f>
        <v/>
      </c>
      <c r="L4941" s="0" t="str">
        <f aca="false">IF(A4941="","",MONTH(A4941))</f>
        <v/>
      </c>
    </row>
    <row r="4942" customFormat="false" ht="15" hidden="false" customHeight="false" outlineLevel="0" collapsed="false">
      <c r="A4942" s="27"/>
      <c r="E4942" s="28"/>
      <c r="F4942" s="28"/>
      <c r="I4942" s="28" t="str">
        <f aca="false">IF(A4942="","",D4942*E4942)</f>
        <v/>
      </c>
      <c r="J4942" s="28" t="str">
        <f aca="false">IF(A4942="","",D4942*F4942)</f>
        <v/>
      </c>
      <c r="K4942" s="0" t="str">
        <f aca="false">IF(A4942="","",YEAR(A4942))</f>
        <v/>
      </c>
      <c r="L4942" s="0" t="str">
        <f aca="false">IF(A4942="","",MONTH(A4942))</f>
        <v/>
      </c>
    </row>
    <row r="4943" customFormat="false" ht="15" hidden="false" customHeight="false" outlineLevel="0" collapsed="false">
      <c r="A4943" s="27"/>
      <c r="E4943" s="28"/>
      <c r="F4943" s="28"/>
      <c r="I4943" s="28" t="str">
        <f aca="false">IF(A4943="","",D4943*E4943)</f>
        <v/>
      </c>
      <c r="J4943" s="28" t="str">
        <f aca="false">IF(A4943="","",D4943*F4943)</f>
        <v/>
      </c>
      <c r="K4943" s="0" t="str">
        <f aca="false">IF(A4943="","",YEAR(A4943))</f>
        <v/>
      </c>
      <c r="L4943" s="0" t="str">
        <f aca="false">IF(A4943="","",MONTH(A4943))</f>
        <v/>
      </c>
    </row>
    <row r="4944" customFormat="false" ht="15" hidden="false" customHeight="false" outlineLevel="0" collapsed="false">
      <c r="A4944" s="27"/>
      <c r="E4944" s="28"/>
      <c r="F4944" s="28"/>
      <c r="I4944" s="28" t="str">
        <f aca="false">IF(A4944="","",D4944*E4944)</f>
        <v/>
      </c>
      <c r="J4944" s="28" t="str">
        <f aca="false">IF(A4944="","",D4944*F4944)</f>
        <v/>
      </c>
      <c r="K4944" s="0" t="str">
        <f aca="false">IF(A4944="","",YEAR(A4944))</f>
        <v/>
      </c>
      <c r="L4944" s="0" t="str">
        <f aca="false">IF(A4944="","",MONTH(A4944))</f>
        <v/>
      </c>
    </row>
    <row r="4945" customFormat="false" ht="15" hidden="false" customHeight="false" outlineLevel="0" collapsed="false">
      <c r="A4945" s="27"/>
      <c r="E4945" s="28"/>
      <c r="F4945" s="28"/>
      <c r="I4945" s="28" t="str">
        <f aca="false">IF(A4945="","",D4945*E4945)</f>
        <v/>
      </c>
      <c r="J4945" s="28" t="str">
        <f aca="false">IF(A4945="","",D4945*F4945)</f>
        <v/>
      </c>
      <c r="K4945" s="0" t="str">
        <f aca="false">IF(A4945="","",YEAR(A4945))</f>
        <v/>
      </c>
      <c r="L4945" s="0" t="str">
        <f aca="false">IF(A4945="","",MONTH(A4945))</f>
        <v/>
      </c>
    </row>
    <row r="4946" customFormat="false" ht="15" hidden="false" customHeight="false" outlineLevel="0" collapsed="false">
      <c r="A4946" s="27"/>
      <c r="E4946" s="28"/>
      <c r="F4946" s="28"/>
      <c r="I4946" s="28" t="str">
        <f aca="false">IF(A4946="","",D4946*E4946)</f>
        <v/>
      </c>
      <c r="J4946" s="28" t="str">
        <f aca="false">IF(A4946="","",D4946*F4946)</f>
        <v/>
      </c>
      <c r="K4946" s="0" t="str">
        <f aca="false">IF(A4946="","",YEAR(A4946))</f>
        <v/>
      </c>
      <c r="L4946" s="0" t="str">
        <f aca="false">IF(A4946="","",MONTH(A4946))</f>
        <v/>
      </c>
    </row>
    <row r="4947" customFormat="false" ht="15" hidden="false" customHeight="false" outlineLevel="0" collapsed="false">
      <c r="A4947" s="27"/>
      <c r="E4947" s="28"/>
      <c r="F4947" s="28"/>
      <c r="I4947" s="28" t="str">
        <f aca="false">IF(A4947="","",D4947*E4947)</f>
        <v/>
      </c>
      <c r="J4947" s="28" t="str">
        <f aca="false">IF(A4947="","",D4947*F4947)</f>
        <v/>
      </c>
      <c r="K4947" s="0" t="str">
        <f aca="false">IF(A4947="","",YEAR(A4947))</f>
        <v/>
      </c>
      <c r="L4947" s="0" t="str">
        <f aca="false">IF(A4947="","",MONTH(A4947))</f>
        <v/>
      </c>
    </row>
    <row r="4948" customFormat="false" ht="15" hidden="false" customHeight="false" outlineLevel="0" collapsed="false">
      <c r="A4948" s="27"/>
      <c r="E4948" s="28"/>
      <c r="F4948" s="28"/>
      <c r="I4948" s="28" t="str">
        <f aca="false">IF(A4948="","",D4948*E4948)</f>
        <v/>
      </c>
      <c r="J4948" s="28" t="str">
        <f aca="false">IF(A4948="","",D4948*F4948)</f>
        <v/>
      </c>
      <c r="K4948" s="0" t="str">
        <f aca="false">IF(A4948="","",YEAR(A4948))</f>
        <v/>
      </c>
      <c r="L4948" s="0" t="str">
        <f aca="false">IF(A4948="","",MONTH(A4948))</f>
        <v/>
      </c>
    </row>
    <row r="4949" customFormat="false" ht="15" hidden="false" customHeight="false" outlineLevel="0" collapsed="false">
      <c r="A4949" s="27"/>
      <c r="E4949" s="28"/>
      <c r="F4949" s="28"/>
      <c r="I4949" s="28" t="str">
        <f aca="false">IF(A4949="","",D4949*E4949)</f>
        <v/>
      </c>
      <c r="J4949" s="28" t="str">
        <f aca="false">IF(A4949="","",D4949*F4949)</f>
        <v/>
      </c>
      <c r="K4949" s="0" t="str">
        <f aca="false">IF(A4949="","",YEAR(A4949))</f>
        <v/>
      </c>
      <c r="L4949" s="0" t="str">
        <f aca="false">IF(A4949="","",MONTH(A4949))</f>
        <v/>
      </c>
    </row>
    <row r="4950" customFormat="false" ht="15" hidden="false" customHeight="false" outlineLevel="0" collapsed="false">
      <c r="A4950" s="27"/>
      <c r="E4950" s="28"/>
      <c r="F4950" s="28"/>
      <c r="I4950" s="28" t="str">
        <f aca="false">IF(A4950="","",D4950*E4950)</f>
        <v/>
      </c>
      <c r="J4950" s="28" t="str">
        <f aca="false">IF(A4950="","",D4950*F4950)</f>
        <v/>
      </c>
      <c r="K4950" s="0" t="str">
        <f aca="false">IF(A4950="","",YEAR(A4950))</f>
        <v/>
      </c>
      <c r="L4950" s="0" t="str">
        <f aca="false">IF(A4950="","",MONTH(A4950))</f>
        <v/>
      </c>
    </row>
    <row r="4951" customFormat="false" ht="15" hidden="false" customHeight="false" outlineLevel="0" collapsed="false">
      <c r="A4951" s="27"/>
      <c r="E4951" s="28"/>
      <c r="F4951" s="28"/>
      <c r="I4951" s="28" t="str">
        <f aca="false">IF(A4951="","",D4951*E4951)</f>
        <v/>
      </c>
      <c r="J4951" s="28" t="str">
        <f aca="false">IF(A4951="","",D4951*F4951)</f>
        <v/>
      </c>
      <c r="K4951" s="0" t="str">
        <f aca="false">IF(A4951="","",YEAR(A4951))</f>
        <v/>
      </c>
      <c r="L4951" s="0" t="str">
        <f aca="false">IF(A4951="","",MONTH(A4951))</f>
        <v/>
      </c>
    </row>
    <row r="4952" customFormat="false" ht="15" hidden="false" customHeight="false" outlineLevel="0" collapsed="false">
      <c r="A4952" s="27"/>
      <c r="E4952" s="28"/>
      <c r="F4952" s="28"/>
      <c r="I4952" s="28" t="str">
        <f aca="false">IF(A4952="","",D4952*E4952)</f>
        <v/>
      </c>
      <c r="J4952" s="28" t="str">
        <f aca="false">IF(A4952="","",D4952*F4952)</f>
        <v/>
      </c>
      <c r="K4952" s="0" t="str">
        <f aca="false">IF(A4952="","",YEAR(A4952))</f>
        <v/>
      </c>
      <c r="L4952" s="0" t="str">
        <f aca="false">IF(A4952="","",MONTH(A4952))</f>
        <v/>
      </c>
    </row>
    <row r="4953" customFormat="false" ht="15" hidden="false" customHeight="false" outlineLevel="0" collapsed="false">
      <c r="A4953" s="27"/>
      <c r="E4953" s="28"/>
      <c r="F4953" s="28"/>
      <c r="I4953" s="28" t="str">
        <f aca="false">IF(A4953="","",D4953*E4953)</f>
        <v/>
      </c>
      <c r="J4953" s="28" t="str">
        <f aca="false">IF(A4953="","",D4953*F4953)</f>
        <v/>
      </c>
      <c r="K4953" s="0" t="str">
        <f aca="false">IF(A4953="","",YEAR(A4953))</f>
        <v/>
      </c>
      <c r="L4953" s="0" t="str">
        <f aca="false">IF(A4953="","",MONTH(A4953))</f>
        <v/>
      </c>
    </row>
    <row r="4954" customFormat="false" ht="15" hidden="false" customHeight="false" outlineLevel="0" collapsed="false">
      <c r="A4954" s="27"/>
      <c r="E4954" s="28"/>
      <c r="F4954" s="28"/>
      <c r="I4954" s="28" t="str">
        <f aca="false">IF(A4954="","",D4954*E4954)</f>
        <v/>
      </c>
      <c r="J4954" s="28" t="str">
        <f aca="false">IF(A4954="","",D4954*F4954)</f>
        <v/>
      </c>
      <c r="K4954" s="0" t="str">
        <f aca="false">IF(A4954="","",YEAR(A4954))</f>
        <v/>
      </c>
      <c r="L4954" s="0" t="str">
        <f aca="false">IF(A4954="","",MONTH(A4954))</f>
        <v/>
      </c>
    </row>
    <row r="4955" customFormat="false" ht="15" hidden="false" customHeight="false" outlineLevel="0" collapsed="false">
      <c r="A4955" s="27"/>
      <c r="E4955" s="28"/>
      <c r="F4955" s="28"/>
      <c r="I4955" s="28" t="str">
        <f aca="false">IF(A4955="","",D4955*E4955)</f>
        <v/>
      </c>
      <c r="J4955" s="28" t="str">
        <f aca="false">IF(A4955="","",D4955*F4955)</f>
        <v/>
      </c>
      <c r="K4955" s="0" t="str">
        <f aca="false">IF(A4955="","",YEAR(A4955))</f>
        <v/>
      </c>
      <c r="L4955" s="0" t="str">
        <f aca="false">IF(A4955="","",MONTH(A4955))</f>
        <v/>
      </c>
    </row>
    <row r="4956" customFormat="false" ht="15" hidden="false" customHeight="false" outlineLevel="0" collapsed="false">
      <c r="A4956" s="27"/>
      <c r="E4956" s="28"/>
      <c r="F4956" s="28"/>
      <c r="I4956" s="28" t="str">
        <f aca="false">IF(A4956="","",D4956*E4956)</f>
        <v/>
      </c>
      <c r="J4956" s="28" t="str">
        <f aca="false">IF(A4956="","",D4956*F4956)</f>
        <v/>
      </c>
      <c r="K4956" s="0" t="str">
        <f aca="false">IF(A4956="","",YEAR(A4956))</f>
        <v/>
      </c>
      <c r="L4956" s="0" t="str">
        <f aca="false">IF(A4956="","",MONTH(A4956))</f>
        <v/>
      </c>
    </row>
    <row r="4957" customFormat="false" ht="15" hidden="false" customHeight="false" outlineLevel="0" collapsed="false">
      <c r="A4957" s="27"/>
      <c r="E4957" s="28"/>
      <c r="F4957" s="28"/>
      <c r="I4957" s="28" t="str">
        <f aca="false">IF(A4957="","",D4957*E4957)</f>
        <v/>
      </c>
      <c r="J4957" s="28" t="str">
        <f aca="false">IF(A4957="","",D4957*F4957)</f>
        <v/>
      </c>
      <c r="K4957" s="0" t="str">
        <f aca="false">IF(A4957="","",YEAR(A4957))</f>
        <v/>
      </c>
      <c r="L4957" s="0" t="str">
        <f aca="false">IF(A4957="","",MONTH(A4957))</f>
        <v/>
      </c>
    </row>
    <row r="4958" customFormat="false" ht="15" hidden="false" customHeight="false" outlineLevel="0" collapsed="false">
      <c r="A4958" s="27"/>
      <c r="E4958" s="28"/>
      <c r="F4958" s="28"/>
      <c r="I4958" s="28" t="str">
        <f aca="false">IF(A4958="","",D4958*E4958)</f>
        <v/>
      </c>
      <c r="J4958" s="28" t="str">
        <f aca="false">IF(A4958="","",D4958*F4958)</f>
        <v/>
      </c>
      <c r="K4958" s="0" t="str">
        <f aca="false">IF(A4958="","",YEAR(A4958))</f>
        <v/>
      </c>
      <c r="L4958" s="0" t="str">
        <f aca="false">IF(A4958="","",MONTH(A4958))</f>
        <v/>
      </c>
    </row>
    <row r="4959" customFormat="false" ht="15" hidden="false" customHeight="false" outlineLevel="0" collapsed="false">
      <c r="A4959" s="27"/>
      <c r="E4959" s="28"/>
      <c r="F4959" s="28"/>
      <c r="I4959" s="28" t="str">
        <f aca="false">IF(A4959="","",D4959*E4959)</f>
        <v/>
      </c>
      <c r="J4959" s="28" t="str">
        <f aca="false">IF(A4959="","",D4959*F4959)</f>
        <v/>
      </c>
      <c r="K4959" s="0" t="str">
        <f aca="false">IF(A4959="","",YEAR(A4959))</f>
        <v/>
      </c>
      <c r="L4959" s="0" t="str">
        <f aca="false">IF(A4959="","",MONTH(A4959))</f>
        <v/>
      </c>
    </row>
    <row r="4960" customFormat="false" ht="15" hidden="false" customHeight="false" outlineLevel="0" collapsed="false">
      <c r="A4960" s="27"/>
      <c r="E4960" s="28"/>
      <c r="F4960" s="28"/>
      <c r="I4960" s="28" t="str">
        <f aca="false">IF(A4960="","",D4960*E4960)</f>
        <v/>
      </c>
      <c r="J4960" s="28" t="str">
        <f aca="false">IF(A4960="","",D4960*F4960)</f>
        <v/>
      </c>
      <c r="K4960" s="0" t="str">
        <f aca="false">IF(A4960="","",YEAR(A4960))</f>
        <v/>
      </c>
      <c r="L4960" s="0" t="str">
        <f aca="false">IF(A4960="","",MONTH(A4960))</f>
        <v/>
      </c>
    </row>
    <row r="4961" customFormat="false" ht="15" hidden="false" customHeight="false" outlineLevel="0" collapsed="false">
      <c r="A4961" s="27"/>
      <c r="E4961" s="28"/>
      <c r="F4961" s="28"/>
      <c r="I4961" s="28" t="str">
        <f aca="false">IF(A4961="","",D4961*E4961)</f>
        <v/>
      </c>
      <c r="J4961" s="28" t="str">
        <f aca="false">IF(A4961="","",D4961*F4961)</f>
        <v/>
      </c>
      <c r="K4961" s="0" t="str">
        <f aca="false">IF(A4961="","",YEAR(A4961))</f>
        <v/>
      </c>
      <c r="L4961" s="0" t="str">
        <f aca="false">IF(A4961="","",MONTH(A4961))</f>
        <v/>
      </c>
    </row>
    <row r="4962" customFormat="false" ht="15" hidden="false" customHeight="false" outlineLevel="0" collapsed="false">
      <c r="A4962" s="27"/>
      <c r="E4962" s="28"/>
      <c r="F4962" s="28"/>
      <c r="I4962" s="28" t="str">
        <f aca="false">IF(A4962="","",D4962*E4962)</f>
        <v/>
      </c>
      <c r="J4962" s="28" t="str">
        <f aca="false">IF(A4962="","",D4962*F4962)</f>
        <v/>
      </c>
      <c r="K4962" s="0" t="str">
        <f aca="false">IF(A4962="","",YEAR(A4962))</f>
        <v/>
      </c>
      <c r="L4962" s="0" t="str">
        <f aca="false">IF(A4962="","",MONTH(A4962))</f>
        <v/>
      </c>
    </row>
    <row r="4963" customFormat="false" ht="15" hidden="false" customHeight="false" outlineLevel="0" collapsed="false">
      <c r="A4963" s="27"/>
      <c r="E4963" s="28"/>
      <c r="F4963" s="28"/>
      <c r="I4963" s="28" t="str">
        <f aca="false">IF(A4963="","",D4963*E4963)</f>
        <v/>
      </c>
      <c r="J4963" s="28" t="str">
        <f aca="false">IF(A4963="","",D4963*F4963)</f>
        <v/>
      </c>
      <c r="K4963" s="0" t="str">
        <f aca="false">IF(A4963="","",YEAR(A4963))</f>
        <v/>
      </c>
      <c r="L4963" s="0" t="str">
        <f aca="false">IF(A4963="","",MONTH(A4963))</f>
        <v/>
      </c>
    </row>
    <row r="4964" customFormat="false" ht="15" hidden="false" customHeight="false" outlineLevel="0" collapsed="false">
      <c r="A4964" s="27"/>
      <c r="E4964" s="28"/>
      <c r="F4964" s="28"/>
      <c r="I4964" s="28" t="str">
        <f aca="false">IF(A4964="","",D4964*E4964)</f>
        <v/>
      </c>
      <c r="J4964" s="28" t="str">
        <f aca="false">IF(A4964="","",D4964*F4964)</f>
        <v/>
      </c>
      <c r="K4964" s="0" t="str">
        <f aca="false">IF(A4964="","",YEAR(A4964))</f>
        <v/>
      </c>
      <c r="L4964" s="0" t="str">
        <f aca="false">IF(A4964="","",MONTH(A4964))</f>
        <v/>
      </c>
    </row>
    <row r="4965" customFormat="false" ht="15" hidden="false" customHeight="false" outlineLevel="0" collapsed="false">
      <c r="A4965" s="27"/>
      <c r="E4965" s="28"/>
      <c r="F4965" s="28"/>
      <c r="I4965" s="28" t="str">
        <f aca="false">IF(A4965="","",D4965*E4965)</f>
        <v/>
      </c>
      <c r="J4965" s="28" t="str">
        <f aca="false">IF(A4965="","",D4965*F4965)</f>
        <v/>
      </c>
      <c r="K4965" s="0" t="str">
        <f aca="false">IF(A4965="","",YEAR(A4965))</f>
        <v/>
      </c>
      <c r="L4965" s="0" t="str">
        <f aca="false">IF(A4965="","",MONTH(A4965))</f>
        <v/>
      </c>
    </row>
    <row r="4966" customFormat="false" ht="15" hidden="false" customHeight="false" outlineLevel="0" collapsed="false">
      <c r="A4966" s="27"/>
      <c r="E4966" s="28"/>
      <c r="F4966" s="28"/>
      <c r="I4966" s="28" t="str">
        <f aca="false">IF(A4966="","",D4966*E4966)</f>
        <v/>
      </c>
      <c r="J4966" s="28" t="str">
        <f aca="false">IF(A4966="","",D4966*F4966)</f>
        <v/>
      </c>
      <c r="K4966" s="0" t="str">
        <f aca="false">IF(A4966="","",YEAR(A4966))</f>
        <v/>
      </c>
      <c r="L4966" s="0" t="str">
        <f aca="false">IF(A4966="","",MONTH(A4966))</f>
        <v/>
      </c>
    </row>
    <row r="4967" customFormat="false" ht="15" hidden="false" customHeight="false" outlineLevel="0" collapsed="false">
      <c r="A4967" s="27"/>
      <c r="E4967" s="28"/>
      <c r="F4967" s="28"/>
      <c r="I4967" s="28" t="str">
        <f aca="false">IF(A4967="","",D4967*E4967)</f>
        <v/>
      </c>
      <c r="J4967" s="28" t="str">
        <f aca="false">IF(A4967="","",D4967*F4967)</f>
        <v/>
      </c>
      <c r="K4967" s="0" t="str">
        <f aca="false">IF(A4967="","",YEAR(A4967))</f>
        <v/>
      </c>
      <c r="L4967" s="0" t="str">
        <f aca="false">IF(A4967="","",MONTH(A4967))</f>
        <v/>
      </c>
    </row>
    <row r="4968" customFormat="false" ht="15" hidden="false" customHeight="false" outlineLevel="0" collapsed="false">
      <c r="A4968" s="27"/>
      <c r="E4968" s="28"/>
      <c r="F4968" s="28"/>
      <c r="I4968" s="28" t="str">
        <f aca="false">IF(A4968="","",D4968*E4968)</f>
        <v/>
      </c>
      <c r="J4968" s="28" t="str">
        <f aca="false">IF(A4968="","",D4968*F4968)</f>
        <v/>
      </c>
      <c r="K4968" s="0" t="str">
        <f aca="false">IF(A4968="","",YEAR(A4968))</f>
        <v/>
      </c>
      <c r="L4968" s="0" t="str">
        <f aca="false">IF(A4968="","",MONTH(A4968))</f>
        <v/>
      </c>
    </row>
    <row r="4969" customFormat="false" ht="15" hidden="false" customHeight="false" outlineLevel="0" collapsed="false">
      <c r="A4969" s="27"/>
      <c r="E4969" s="28"/>
      <c r="F4969" s="28"/>
      <c r="I4969" s="28" t="str">
        <f aca="false">IF(A4969="","",D4969*E4969)</f>
        <v/>
      </c>
      <c r="J4969" s="28" t="str">
        <f aca="false">IF(A4969="","",D4969*F4969)</f>
        <v/>
      </c>
      <c r="K4969" s="0" t="str">
        <f aca="false">IF(A4969="","",YEAR(A4969))</f>
        <v/>
      </c>
      <c r="L4969" s="0" t="str">
        <f aca="false">IF(A4969="","",MONTH(A4969))</f>
        <v/>
      </c>
    </row>
    <row r="4970" customFormat="false" ht="15" hidden="false" customHeight="false" outlineLevel="0" collapsed="false">
      <c r="A4970" s="27"/>
      <c r="E4970" s="28"/>
      <c r="F4970" s="28"/>
      <c r="I4970" s="28" t="str">
        <f aca="false">IF(A4970="","",D4970*E4970)</f>
        <v/>
      </c>
      <c r="J4970" s="28" t="str">
        <f aca="false">IF(A4970="","",D4970*F4970)</f>
        <v/>
      </c>
      <c r="K4970" s="0" t="str">
        <f aca="false">IF(A4970="","",YEAR(A4970))</f>
        <v/>
      </c>
      <c r="L4970" s="0" t="str">
        <f aca="false">IF(A4970="","",MONTH(A4970))</f>
        <v/>
      </c>
    </row>
    <row r="4971" customFormat="false" ht="15" hidden="false" customHeight="false" outlineLevel="0" collapsed="false">
      <c r="A4971" s="27"/>
      <c r="E4971" s="28"/>
      <c r="F4971" s="28"/>
      <c r="I4971" s="28" t="str">
        <f aca="false">IF(A4971="","",D4971*E4971)</f>
        <v/>
      </c>
      <c r="J4971" s="28" t="str">
        <f aca="false">IF(A4971="","",D4971*F4971)</f>
        <v/>
      </c>
      <c r="K4971" s="0" t="str">
        <f aca="false">IF(A4971="","",YEAR(A4971))</f>
        <v/>
      </c>
      <c r="L4971" s="0" t="str">
        <f aca="false">IF(A4971="","",MONTH(A4971))</f>
        <v/>
      </c>
    </row>
    <row r="4972" customFormat="false" ht="15" hidden="false" customHeight="false" outlineLevel="0" collapsed="false">
      <c r="A4972" s="27"/>
      <c r="E4972" s="28"/>
      <c r="F4972" s="28"/>
      <c r="I4972" s="28" t="str">
        <f aca="false">IF(A4972="","",D4972*E4972)</f>
        <v/>
      </c>
      <c r="J4972" s="28" t="str">
        <f aca="false">IF(A4972="","",D4972*F4972)</f>
        <v/>
      </c>
      <c r="K4972" s="0" t="str">
        <f aca="false">IF(A4972="","",YEAR(A4972))</f>
        <v/>
      </c>
      <c r="L4972" s="0" t="str">
        <f aca="false">IF(A4972="","",MONTH(A4972))</f>
        <v/>
      </c>
    </row>
    <row r="4973" customFormat="false" ht="15" hidden="false" customHeight="false" outlineLevel="0" collapsed="false">
      <c r="A4973" s="27"/>
      <c r="E4973" s="28"/>
      <c r="F4973" s="28"/>
      <c r="I4973" s="28" t="str">
        <f aca="false">IF(A4973="","",D4973*E4973)</f>
        <v/>
      </c>
      <c r="J4973" s="28" t="str">
        <f aca="false">IF(A4973="","",D4973*F4973)</f>
        <v/>
      </c>
      <c r="K4973" s="0" t="str">
        <f aca="false">IF(A4973="","",YEAR(A4973))</f>
        <v/>
      </c>
      <c r="L4973" s="0" t="str">
        <f aca="false">IF(A4973="","",MONTH(A4973))</f>
        <v/>
      </c>
    </row>
    <row r="4974" customFormat="false" ht="15" hidden="false" customHeight="false" outlineLevel="0" collapsed="false">
      <c r="A4974" s="27"/>
      <c r="E4974" s="28"/>
      <c r="F4974" s="28"/>
      <c r="I4974" s="28" t="str">
        <f aca="false">IF(A4974="","",D4974*E4974)</f>
        <v/>
      </c>
      <c r="J4974" s="28" t="str">
        <f aca="false">IF(A4974="","",D4974*F4974)</f>
        <v/>
      </c>
      <c r="K4974" s="0" t="str">
        <f aca="false">IF(A4974="","",YEAR(A4974))</f>
        <v/>
      </c>
      <c r="L4974" s="0" t="str">
        <f aca="false">IF(A4974="","",MONTH(A4974))</f>
        <v/>
      </c>
    </row>
    <row r="4975" customFormat="false" ht="15" hidden="false" customHeight="false" outlineLevel="0" collapsed="false">
      <c r="A4975" s="27"/>
      <c r="E4975" s="28"/>
      <c r="F4975" s="28"/>
      <c r="I4975" s="28" t="str">
        <f aca="false">IF(A4975="","",D4975*E4975)</f>
        <v/>
      </c>
      <c r="J4975" s="28" t="str">
        <f aca="false">IF(A4975="","",D4975*F4975)</f>
        <v/>
      </c>
      <c r="K4975" s="0" t="str">
        <f aca="false">IF(A4975="","",YEAR(A4975))</f>
        <v/>
      </c>
      <c r="L4975" s="0" t="str">
        <f aca="false">IF(A4975="","",MONTH(A4975))</f>
        <v/>
      </c>
    </row>
    <row r="4976" customFormat="false" ht="15" hidden="false" customHeight="false" outlineLevel="0" collapsed="false">
      <c r="A4976" s="27"/>
      <c r="E4976" s="28"/>
      <c r="F4976" s="28"/>
      <c r="I4976" s="28" t="str">
        <f aca="false">IF(A4976="","",D4976*E4976)</f>
        <v/>
      </c>
      <c r="J4976" s="28" t="str">
        <f aca="false">IF(A4976="","",D4976*F4976)</f>
        <v/>
      </c>
      <c r="K4976" s="0" t="str">
        <f aca="false">IF(A4976="","",YEAR(A4976))</f>
        <v/>
      </c>
      <c r="L4976" s="0" t="str">
        <f aca="false">IF(A4976="","",MONTH(A4976))</f>
        <v/>
      </c>
    </row>
    <row r="4977" customFormat="false" ht="15" hidden="false" customHeight="false" outlineLevel="0" collapsed="false">
      <c r="A4977" s="27"/>
      <c r="E4977" s="28"/>
      <c r="F4977" s="28"/>
      <c r="I4977" s="28" t="str">
        <f aca="false">IF(A4977="","",D4977*E4977)</f>
        <v/>
      </c>
      <c r="J4977" s="28" t="str">
        <f aca="false">IF(A4977="","",D4977*F4977)</f>
        <v/>
      </c>
      <c r="K4977" s="0" t="str">
        <f aca="false">IF(A4977="","",YEAR(A4977))</f>
        <v/>
      </c>
      <c r="L4977" s="0" t="str">
        <f aca="false">IF(A4977="","",MONTH(A4977))</f>
        <v/>
      </c>
    </row>
    <row r="4978" customFormat="false" ht="15" hidden="false" customHeight="false" outlineLevel="0" collapsed="false">
      <c r="A4978" s="27"/>
      <c r="E4978" s="28"/>
      <c r="F4978" s="28"/>
      <c r="I4978" s="28" t="str">
        <f aca="false">IF(A4978="","",D4978*E4978)</f>
        <v/>
      </c>
      <c r="J4978" s="28" t="str">
        <f aca="false">IF(A4978="","",D4978*F4978)</f>
        <v/>
      </c>
      <c r="K4978" s="0" t="str">
        <f aca="false">IF(A4978="","",YEAR(A4978))</f>
        <v/>
      </c>
      <c r="L4978" s="0" t="str">
        <f aca="false">IF(A4978="","",MONTH(A4978))</f>
        <v/>
      </c>
    </row>
    <row r="4979" customFormat="false" ht="15" hidden="false" customHeight="false" outlineLevel="0" collapsed="false">
      <c r="A4979" s="27"/>
      <c r="E4979" s="28"/>
      <c r="F4979" s="28"/>
      <c r="I4979" s="28" t="str">
        <f aca="false">IF(A4979="","",D4979*E4979)</f>
        <v/>
      </c>
      <c r="J4979" s="28" t="str">
        <f aca="false">IF(A4979="","",D4979*F4979)</f>
        <v/>
      </c>
      <c r="K4979" s="0" t="str">
        <f aca="false">IF(A4979="","",YEAR(A4979))</f>
        <v/>
      </c>
      <c r="L4979" s="0" t="str">
        <f aca="false">IF(A4979="","",MONTH(A4979))</f>
        <v/>
      </c>
    </row>
    <row r="4980" customFormat="false" ht="15" hidden="false" customHeight="false" outlineLevel="0" collapsed="false">
      <c r="A4980" s="27"/>
      <c r="E4980" s="28"/>
      <c r="F4980" s="28"/>
      <c r="I4980" s="28" t="str">
        <f aca="false">IF(A4980="","",D4980*E4980)</f>
        <v/>
      </c>
      <c r="J4980" s="28" t="str">
        <f aca="false">IF(A4980="","",D4980*F4980)</f>
        <v/>
      </c>
      <c r="K4980" s="0" t="str">
        <f aca="false">IF(A4980="","",YEAR(A4980))</f>
        <v/>
      </c>
      <c r="L4980" s="0" t="str">
        <f aca="false">IF(A4980="","",MONTH(A4980))</f>
        <v/>
      </c>
    </row>
    <row r="4981" customFormat="false" ht="15" hidden="false" customHeight="false" outlineLevel="0" collapsed="false">
      <c r="A4981" s="27"/>
      <c r="E4981" s="28"/>
      <c r="F4981" s="28"/>
      <c r="I4981" s="28" t="str">
        <f aca="false">IF(A4981="","",D4981*E4981)</f>
        <v/>
      </c>
      <c r="J4981" s="28" t="str">
        <f aca="false">IF(A4981="","",D4981*F4981)</f>
        <v/>
      </c>
      <c r="K4981" s="0" t="str">
        <f aca="false">IF(A4981="","",YEAR(A4981))</f>
        <v/>
      </c>
      <c r="L4981" s="0" t="str">
        <f aca="false">IF(A4981="","",MONTH(A4981))</f>
        <v/>
      </c>
    </row>
    <row r="4982" customFormat="false" ht="15" hidden="false" customHeight="false" outlineLevel="0" collapsed="false">
      <c r="A4982" s="27"/>
      <c r="E4982" s="28"/>
      <c r="F4982" s="28"/>
      <c r="I4982" s="28" t="str">
        <f aca="false">IF(A4982="","",D4982*E4982)</f>
        <v/>
      </c>
      <c r="J4982" s="28" t="str">
        <f aca="false">IF(A4982="","",D4982*F4982)</f>
        <v/>
      </c>
      <c r="K4982" s="0" t="str">
        <f aca="false">IF(A4982="","",YEAR(A4982))</f>
        <v/>
      </c>
      <c r="L4982" s="0" t="str">
        <f aca="false">IF(A4982="","",MONTH(A4982))</f>
        <v/>
      </c>
    </row>
    <row r="4983" customFormat="false" ht="15" hidden="false" customHeight="false" outlineLevel="0" collapsed="false">
      <c r="A4983" s="27"/>
      <c r="E4983" s="28"/>
      <c r="F4983" s="28"/>
      <c r="I4983" s="28" t="str">
        <f aca="false">IF(A4983="","",D4983*E4983)</f>
        <v/>
      </c>
      <c r="J4983" s="28" t="str">
        <f aca="false">IF(A4983="","",D4983*F4983)</f>
        <v/>
      </c>
      <c r="K4983" s="0" t="str">
        <f aca="false">IF(A4983="","",YEAR(A4983))</f>
        <v/>
      </c>
      <c r="L4983" s="0" t="str">
        <f aca="false">IF(A4983="","",MONTH(A4983))</f>
        <v/>
      </c>
    </row>
    <row r="4984" customFormat="false" ht="15" hidden="false" customHeight="false" outlineLevel="0" collapsed="false">
      <c r="A4984" s="27"/>
      <c r="E4984" s="28"/>
      <c r="F4984" s="28"/>
      <c r="I4984" s="28" t="str">
        <f aca="false">IF(A4984="","",D4984*E4984)</f>
        <v/>
      </c>
      <c r="J4984" s="28" t="str">
        <f aca="false">IF(A4984="","",D4984*F4984)</f>
        <v/>
      </c>
      <c r="K4984" s="0" t="str">
        <f aca="false">IF(A4984="","",YEAR(A4984))</f>
        <v/>
      </c>
      <c r="L4984" s="0" t="str">
        <f aca="false">IF(A4984="","",MONTH(A4984))</f>
        <v/>
      </c>
    </row>
    <row r="4985" customFormat="false" ht="15" hidden="false" customHeight="false" outlineLevel="0" collapsed="false">
      <c r="A4985" s="27"/>
      <c r="E4985" s="28"/>
      <c r="F4985" s="28"/>
      <c r="I4985" s="28" t="str">
        <f aca="false">IF(A4985="","",D4985*E4985)</f>
        <v/>
      </c>
      <c r="J4985" s="28" t="str">
        <f aca="false">IF(A4985="","",D4985*F4985)</f>
        <v/>
      </c>
      <c r="K4985" s="0" t="str">
        <f aca="false">IF(A4985="","",YEAR(A4985))</f>
        <v/>
      </c>
      <c r="L4985" s="0" t="str">
        <f aca="false">IF(A4985="","",MONTH(A4985))</f>
        <v/>
      </c>
    </row>
    <row r="4986" customFormat="false" ht="15" hidden="false" customHeight="false" outlineLevel="0" collapsed="false">
      <c r="A4986" s="27"/>
      <c r="E4986" s="28"/>
      <c r="F4986" s="28"/>
      <c r="I4986" s="28" t="str">
        <f aca="false">IF(A4986="","",D4986*E4986)</f>
        <v/>
      </c>
      <c r="J4986" s="28" t="str">
        <f aca="false">IF(A4986="","",D4986*F4986)</f>
        <v/>
      </c>
      <c r="K4986" s="0" t="str">
        <f aca="false">IF(A4986="","",YEAR(A4986))</f>
        <v/>
      </c>
      <c r="L4986" s="0" t="str">
        <f aca="false">IF(A4986="","",MONTH(A4986))</f>
        <v/>
      </c>
    </row>
    <row r="4987" customFormat="false" ht="15" hidden="false" customHeight="false" outlineLevel="0" collapsed="false">
      <c r="A4987" s="27"/>
      <c r="E4987" s="28"/>
      <c r="F4987" s="28"/>
      <c r="I4987" s="28" t="str">
        <f aca="false">IF(A4987="","",D4987*E4987)</f>
        <v/>
      </c>
      <c r="J4987" s="28" t="str">
        <f aca="false">IF(A4987="","",D4987*F4987)</f>
        <v/>
      </c>
      <c r="K4987" s="0" t="str">
        <f aca="false">IF(A4987="","",YEAR(A4987))</f>
        <v/>
      </c>
      <c r="L4987" s="0" t="str">
        <f aca="false">IF(A4987="","",MONTH(A4987))</f>
        <v/>
      </c>
    </row>
    <row r="4988" customFormat="false" ht="15" hidden="false" customHeight="false" outlineLevel="0" collapsed="false">
      <c r="A4988" s="27"/>
      <c r="E4988" s="28"/>
      <c r="F4988" s="28"/>
      <c r="I4988" s="28" t="str">
        <f aca="false">IF(A4988="","",D4988*E4988)</f>
        <v/>
      </c>
      <c r="J4988" s="28" t="str">
        <f aca="false">IF(A4988="","",D4988*F4988)</f>
        <v/>
      </c>
      <c r="K4988" s="0" t="str">
        <f aca="false">IF(A4988="","",YEAR(A4988))</f>
        <v/>
      </c>
      <c r="L4988" s="0" t="str">
        <f aca="false">IF(A4988="","",MONTH(A4988))</f>
        <v/>
      </c>
    </row>
    <row r="4989" customFormat="false" ht="15" hidden="false" customHeight="false" outlineLevel="0" collapsed="false">
      <c r="A4989" s="27"/>
      <c r="E4989" s="28"/>
      <c r="F4989" s="28"/>
      <c r="I4989" s="28" t="str">
        <f aca="false">IF(A4989="","",D4989*E4989)</f>
        <v/>
      </c>
      <c r="J4989" s="28" t="str">
        <f aca="false">IF(A4989="","",D4989*F4989)</f>
        <v/>
      </c>
      <c r="K4989" s="0" t="str">
        <f aca="false">IF(A4989="","",YEAR(A4989))</f>
        <v/>
      </c>
      <c r="L4989" s="0" t="str">
        <f aca="false">IF(A4989="","",MONTH(A4989))</f>
        <v/>
      </c>
    </row>
    <row r="4990" customFormat="false" ht="15" hidden="false" customHeight="false" outlineLevel="0" collapsed="false">
      <c r="A4990" s="27"/>
      <c r="E4990" s="28"/>
      <c r="F4990" s="28"/>
      <c r="I4990" s="28" t="str">
        <f aca="false">IF(A4990="","",D4990*E4990)</f>
        <v/>
      </c>
      <c r="J4990" s="28" t="str">
        <f aca="false">IF(A4990="","",D4990*F4990)</f>
        <v/>
      </c>
      <c r="K4990" s="0" t="str">
        <f aca="false">IF(A4990="","",YEAR(A4990))</f>
        <v/>
      </c>
      <c r="L4990" s="0" t="str">
        <f aca="false">IF(A4990="","",MONTH(A4990))</f>
        <v/>
      </c>
    </row>
    <row r="4991" customFormat="false" ht="15" hidden="false" customHeight="false" outlineLevel="0" collapsed="false">
      <c r="A4991" s="27"/>
      <c r="E4991" s="28"/>
      <c r="F4991" s="28"/>
      <c r="I4991" s="28" t="str">
        <f aca="false">IF(A4991="","",D4991*E4991)</f>
        <v/>
      </c>
      <c r="J4991" s="28" t="str">
        <f aca="false">IF(A4991="","",D4991*F4991)</f>
        <v/>
      </c>
      <c r="K4991" s="0" t="str">
        <f aca="false">IF(A4991="","",YEAR(A4991))</f>
        <v/>
      </c>
      <c r="L4991" s="0" t="str">
        <f aca="false">IF(A4991="","",MONTH(A4991))</f>
        <v/>
      </c>
    </row>
    <row r="4992" customFormat="false" ht="15" hidden="false" customHeight="false" outlineLevel="0" collapsed="false">
      <c r="A4992" s="27"/>
      <c r="E4992" s="28"/>
      <c r="F4992" s="28"/>
      <c r="I4992" s="28" t="str">
        <f aca="false">IF(A4992="","",D4992*E4992)</f>
        <v/>
      </c>
      <c r="J4992" s="28" t="str">
        <f aca="false">IF(A4992="","",D4992*F4992)</f>
        <v/>
      </c>
      <c r="K4992" s="0" t="str">
        <f aca="false">IF(A4992="","",YEAR(A4992))</f>
        <v/>
      </c>
      <c r="L4992" s="0" t="str">
        <f aca="false">IF(A4992="","",MONTH(A4992))</f>
        <v/>
      </c>
    </row>
    <row r="4993" customFormat="false" ht="15" hidden="false" customHeight="false" outlineLevel="0" collapsed="false">
      <c r="A4993" s="27"/>
      <c r="E4993" s="28"/>
      <c r="F4993" s="28"/>
      <c r="I4993" s="28" t="str">
        <f aca="false">IF(A4993="","",D4993*E4993)</f>
        <v/>
      </c>
      <c r="J4993" s="28" t="str">
        <f aca="false">IF(A4993="","",D4993*F4993)</f>
        <v/>
      </c>
      <c r="K4993" s="0" t="str">
        <f aca="false">IF(A4993="","",YEAR(A4993))</f>
        <v/>
      </c>
      <c r="L4993" s="0" t="str">
        <f aca="false">IF(A4993="","",MONTH(A4993))</f>
        <v/>
      </c>
    </row>
    <row r="4994" customFormat="false" ht="15" hidden="false" customHeight="false" outlineLevel="0" collapsed="false">
      <c r="A4994" s="27"/>
      <c r="E4994" s="28"/>
      <c r="F4994" s="28"/>
      <c r="I4994" s="28" t="str">
        <f aca="false">IF(A4994="","",D4994*E4994)</f>
        <v/>
      </c>
      <c r="J4994" s="28" t="str">
        <f aca="false">IF(A4994="","",D4994*F4994)</f>
        <v/>
      </c>
      <c r="K4994" s="0" t="str">
        <f aca="false">IF(A4994="","",YEAR(A4994))</f>
        <v/>
      </c>
      <c r="L4994" s="0" t="str">
        <f aca="false">IF(A4994="","",MONTH(A4994))</f>
        <v/>
      </c>
    </row>
    <row r="4995" customFormat="false" ht="15" hidden="false" customHeight="false" outlineLevel="0" collapsed="false">
      <c r="A4995" s="27"/>
      <c r="E4995" s="28"/>
      <c r="F4995" s="28"/>
      <c r="I4995" s="28" t="str">
        <f aca="false">IF(A4995="","",D4995*E4995)</f>
        <v/>
      </c>
      <c r="J4995" s="28" t="str">
        <f aca="false">IF(A4995="","",D4995*F4995)</f>
        <v/>
      </c>
      <c r="K4995" s="0" t="str">
        <f aca="false">IF(A4995="","",YEAR(A4995))</f>
        <v/>
      </c>
      <c r="L4995" s="0" t="str">
        <f aca="false">IF(A4995="","",MONTH(A4995))</f>
        <v/>
      </c>
    </row>
    <row r="4996" customFormat="false" ht="15" hidden="false" customHeight="false" outlineLevel="0" collapsed="false">
      <c r="A4996" s="27"/>
      <c r="E4996" s="28"/>
      <c r="F4996" s="28"/>
      <c r="I4996" s="28" t="str">
        <f aca="false">IF(A4996="","",D4996*E4996)</f>
        <v/>
      </c>
      <c r="J4996" s="28" t="str">
        <f aca="false">IF(A4996="","",D4996*F4996)</f>
        <v/>
      </c>
      <c r="K4996" s="0" t="str">
        <f aca="false">IF(A4996="","",YEAR(A4996))</f>
        <v/>
      </c>
      <c r="L4996" s="0" t="str">
        <f aca="false">IF(A4996="","",MONTH(A4996))</f>
        <v/>
      </c>
    </row>
    <row r="4997" customFormat="false" ht="15" hidden="false" customHeight="false" outlineLevel="0" collapsed="false">
      <c r="A4997" s="27"/>
      <c r="E4997" s="28"/>
      <c r="F4997" s="28"/>
      <c r="I4997" s="28" t="str">
        <f aca="false">IF(A4997="","",D4997*E4997)</f>
        <v/>
      </c>
      <c r="J4997" s="28" t="str">
        <f aca="false">IF(A4997="","",D4997*F4997)</f>
        <v/>
      </c>
      <c r="K4997" s="0" t="str">
        <f aca="false">IF(A4997="","",YEAR(A4997))</f>
        <v/>
      </c>
      <c r="L4997" s="0" t="str">
        <f aca="false">IF(A4997="","",MONTH(A4997))</f>
        <v/>
      </c>
    </row>
    <row r="4998" customFormat="false" ht="15" hidden="false" customHeight="false" outlineLevel="0" collapsed="false">
      <c r="A4998" s="27"/>
      <c r="E4998" s="28"/>
      <c r="F4998" s="28"/>
      <c r="I4998" s="28" t="str">
        <f aca="false">IF(A4998="","",D4998*E4998)</f>
        <v/>
      </c>
      <c r="J4998" s="28" t="str">
        <f aca="false">IF(A4998="","",D4998*F4998)</f>
        <v/>
      </c>
      <c r="K4998" s="0" t="str">
        <f aca="false">IF(A4998="","",YEAR(A4998))</f>
        <v/>
      </c>
      <c r="L4998" s="0" t="str">
        <f aca="false">IF(A4998="","",MONTH(A4998))</f>
        <v/>
      </c>
    </row>
    <row r="4999" customFormat="false" ht="15" hidden="false" customHeight="false" outlineLevel="0" collapsed="false">
      <c r="A4999" s="27"/>
      <c r="E4999" s="28"/>
      <c r="F4999" s="28"/>
      <c r="I4999" s="28" t="str">
        <f aca="false">IF(A4999="","",D4999*E4999)</f>
        <v/>
      </c>
      <c r="J4999" s="28" t="str">
        <f aca="false">IF(A4999="","",D4999*F4999)</f>
        <v/>
      </c>
      <c r="K4999" s="0" t="str">
        <f aca="false">IF(A4999="","",YEAR(A4999))</f>
        <v/>
      </c>
      <c r="L4999" s="0" t="str">
        <f aca="false">IF(A4999="","",MONTH(A4999))</f>
        <v/>
      </c>
    </row>
    <row r="5000" customFormat="false" ht="15" hidden="false" customHeight="false" outlineLevel="0" collapsed="false">
      <c r="A5000" s="27"/>
      <c r="E5000" s="28"/>
      <c r="F5000" s="28"/>
      <c r="I5000" s="28" t="str">
        <f aca="false">IF(A5000="","",D5000*E5000)</f>
        <v/>
      </c>
      <c r="J5000" s="28" t="str">
        <f aca="false">IF(A5000="","",D5000*F5000)</f>
        <v/>
      </c>
      <c r="K5000" s="0" t="str">
        <f aca="false">IF(A5000="","",YEAR(A5000))</f>
        <v/>
      </c>
      <c r="L5000" s="0" t="str">
        <f aca="false">IF(A5000="","",MONTH(A5000))</f>
        <v/>
      </c>
    </row>
    <row r="5001" customFormat="false" ht="15" hidden="false" customHeight="false" outlineLevel="0" collapsed="false">
      <c r="A5001" s="27"/>
      <c r="E5001" s="28"/>
      <c r="F5001" s="28"/>
      <c r="I5001" s="28" t="str">
        <f aca="false">IF(A5001="","",D5001*E5001)</f>
        <v/>
      </c>
      <c r="J5001" s="28" t="str">
        <f aca="false">IF(A5001="","",D5001*F5001)</f>
        <v/>
      </c>
      <c r="K5001" s="0" t="str">
        <f aca="false">IF(A5001="","",YEAR(A5001))</f>
        <v/>
      </c>
      <c r="L5001" s="0" t="str">
        <f aca="false">IF(A5001="","",MONTH(A5001))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6"/>
  </cols>
  <sheetData>
    <row r="1" customFormat="false" ht="30" hidden="false" customHeight="true" outlineLevel="0" collapsed="false">
      <c r="A1" s="21" t="s">
        <v>1083</v>
      </c>
      <c r="B1" s="21" t="s">
        <v>1084</v>
      </c>
      <c r="C1" s="21" t="s">
        <v>1085</v>
      </c>
      <c r="D1" s="21" t="s">
        <v>46</v>
      </c>
      <c r="E1" s="21" t="s">
        <v>47</v>
      </c>
      <c r="G1" s="22" t="s">
        <v>1086</v>
      </c>
    </row>
    <row r="2" customFormat="false" ht="15" hidden="false" customHeight="false" outlineLevel="0" collapsed="false">
      <c r="A2" s="29" t="n">
        <v>45672</v>
      </c>
      <c r="B2" s="24" t="s">
        <v>1087</v>
      </c>
      <c r="C2" s="25" t="n">
        <v>187000</v>
      </c>
      <c r="D2" s="26" t="n">
        <f aca="false">IF(A2="","",YEAR(A2))</f>
        <v>2025</v>
      </c>
      <c r="E2" s="26" t="n">
        <f aca="false">IF(A2="","",MONTH(A2))</f>
        <v>1</v>
      </c>
    </row>
    <row r="3" customFormat="false" ht="15" hidden="false" customHeight="false" outlineLevel="0" collapsed="false">
      <c r="A3" s="29" t="n">
        <v>45658</v>
      </c>
      <c r="B3" s="24" t="s">
        <v>1088</v>
      </c>
      <c r="C3" s="25" t="n">
        <v>900000</v>
      </c>
      <c r="D3" s="26" t="n">
        <f aca="false">IF(A3="","",YEAR(A3))</f>
        <v>2025</v>
      </c>
      <c r="E3" s="26" t="n">
        <f aca="false">IF(A3="","",MONTH(A3))</f>
        <v>1</v>
      </c>
    </row>
    <row r="4" customFormat="false" ht="15" hidden="false" customHeight="false" outlineLevel="0" collapsed="false">
      <c r="A4" s="29" t="n">
        <v>45703</v>
      </c>
      <c r="B4" s="24" t="s">
        <v>1087</v>
      </c>
      <c r="C4" s="25" t="n">
        <v>194000</v>
      </c>
      <c r="D4" s="26" t="n">
        <f aca="false">IF(A4="","",YEAR(A4))</f>
        <v>2025</v>
      </c>
      <c r="E4" s="26" t="n">
        <f aca="false">IF(A4="","",MONTH(A4))</f>
        <v>2</v>
      </c>
    </row>
    <row r="5" customFormat="false" ht="15" hidden="false" customHeight="false" outlineLevel="0" collapsed="false">
      <c r="A5" s="29" t="n">
        <v>45689</v>
      </c>
      <c r="B5" s="24" t="s">
        <v>1088</v>
      </c>
      <c r="C5" s="25" t="n">
        <v>900000</v>
      </c>
      <c r="D5" s="26" t="n">
        <f aca="false">IF(A5="","",YEAR(A5))</f>
        <v>2025</v>
      </c>
      <c r="E5" s="26" t="n">
        <f aca="false">IF(A5="","",MONTH(A5))</f>
        <v>2</v>
      </c>
    </row>
    <row r="6" customFormat="false" ht="15" hidden="false" customHeight="false" outlineLevel="0" collapsed="false">
      <c r="A6" s="29" t="n">
        <v>45731</v>
      </c>
      <c r="B6" s="24" t="s">
        <v>1087</v>
      </c>
      <c r="C6" s="25" t="n">
        <v>201000</v>
      </c>
      <c r="D6" s="26" t="n">
        <f aca="false">IF(A6="","",YEAR(A6))</f>
        <v>2025</v>
      </c>
      <c r="E6" s="26" t="n">
        <f aca="false">IF(A6="","",MONTH(A6))</f>
        <v>3</v>
      </c>
    </row>
    <row r="7" customFormat="false" ht="15" hidden="false" customHeight="false" outlineLevel="0" collapsed="false">
      <c r="A7" s="29" t="n">
        <v>45717</v>
      </c>
      <c r="B7" s="24" t="s">
        <v>1088</v>
      </c>
      <c r="C7" s="25" t="n">
        <v>900000</v>
      </c>
      <c r="D7" s="26" t="n">
        <f aca="false">IF(A7="","",YEAR(A7))</f>
        <v>2025</v>
      </c>
      <c r="E7" s="26" t="n">
        <f aca="false">IF(A7="","",MONTH(A7))</f>
        <v>3</v>
      </c>
    </row>
    <row r="8" customFormat="false" ht="15" hidden="false" customHeight="false" outlineLevel="0" collapsed="false">
      <c r="A8" s="29" t="n">
        <v>45762</v>
      </c>
      <c r="B8" s="24" t="s">
        <v>1087</v>
      </c>
      <c r="C8" s="25" t="n">
        <v>208000</v>
      </c>
      <c r="D8" s="26" t="n">
        <f aca="false">IF(A8="","",YEAR(A8))</f>
        <v>2025</v>
      </c>
      <c r="E8" s="26" t="n">
        <f aca="false">IF(A8="","",MONTH(A8))</f>
        <v>4</v>
      </c>
    </row>
    <row r="9" customFormat="false" ht="15" hidden="false" customHeight="false" outlineLevel="0" collapsed="false">
      <c r="A9" s="29" t="n">
        <v>45748</v>
      </c>
      <c r="B9" s="24" t="s">
        <v>1088</v>
      </c>
      <c r="C9" s="25" t="n">
        <v>900000</v>
      </c>
      <c r="D9" s="26" t="n">
        <f aca="false">IF(A9="","",YEAR(A9))</f>
        <v>2025</v>
      </c>
      <c r="E9" s="26" t="n">
        <f aca="false">IF(A9="","",MONTH(A9))</f>
        <v>4</v>
      </c>
    </row>
    <row r="10" customFormat="false" ht="15" hidden="false" customHeight="false" outlineLevel="0" collapsed="false">
      <c r="A10" s="29" t="n">
        <v>45792</v>
      </c>
      <c r="B10" s="24" t="s">
        <v>1087</v>
      </c>
      <c r="C10" s="25" t="n">
        <v>215000</v>
      </c>
      <c r="D10" s="26" t="n">
        <f aca="false">IF(A10="","",YEAR(A10))</f>
        <v>2025</v>
      </c>
      <c r="E10" s="26" t="n">
        <f aca="false">IF(A10="","",MONTH(A10))</f>
        <v>5</v>
      </c>
    </row>
    <row r="11" customFormat="false" ht="15" hidden="false" customHeight="false" outlineLevel="0" collapsed="false">
      <c r="A11" s="29" t="n">
        <v>45778</v>
      </c>
      <c r="B11" s="24" t="s">
        <v>1088</v>
      </c>
      <c r="C11" s="25" t="n">
        <v>900000</v>
      </c>
      <c r="D11" s="26" t="n">
        <f aca="false">IF(A11="","",YEAR(A11))</f>
        <v>2025</v>
      </c>
      <c r="E11" s="26" t="n">
        <f aca="false">IF(A11="","",MONTH(A11))</f>
        <v>5</v>
      </c>
    </row>
    <row r="12" customFormat="false" ht="15" hidden="false" customHeight="false" outlineLevel="0" collapsed="false">
      <c r="A12" s="29" t="n">
        <v>45823</v>
      </c>
      <c r="B12" s="24" t="s">
        <v>1087</v>
      </c>
      <c r="C12" s="25" t="n">
        <v>222000</v>
      </c>
      <c r="D12" s="26" t="n">
        <f aca="false">IF(A12="","",YEAR(A12))</f>
        <v>2025</v>
      </c>
      <c r="E12" s="26" t="n">
        <f aca="false">IF(A12="","",MONTH(A12))</f>
        <v>6</v>
      </c>
    </row>
    <row r="13" customFormat="false" ht="15" hidden="false" customHeight="false" outlineLevel="0" collapsed="false">
      <c r="A13" s="29" t="n">
        <v>45809</v>
      </c>
      <c r="B13" s="24" t="s">
        <v>1088</v>
      </c>
      <c r="C13" s="25" t="n">
        <v>900000</v>
      </c>
      <c r="D13" s="26" t="n">
        <f aca="false">IF(A13="","",YEAR(A13))</f>
        <v>2025</v>
      </c>
      <c r="E13" s="26" t="n">
        <f aca="false">IF(A13="","",MONTH(A13))</f>
        <v>6</v>
      </c>
    </row>
    <row r="14" customFormat="false" ht="15" hidden="false" customHeight="false" outlineLevel="0" collapsed="false">
      <c r="A14" s="29" t="n">
        <v>45853</v>
      </c>
      <c r="B14" s="24" t="s">
        <v>1087</v>
      </c>
      <c r="C14" s="25" t="n">
        <v>229000</v>
      </c>
      <c r="D14" s="26" t="n">
        <f aca="false">IF(A14="","",YEAR(A14))</f>
        <v>2025</v>
      </c>
      <c r="E14" s="26" t="n">
        <f aca="false">IF(A14="","",MONTH(A14))</f>
        <v>7</v>
      </c>
    </row>
    <row r="15" customFormat="false" ht="15" hidden="false" customHeight="false" outlineLevel="0" collapsed="false">
      <c r="A15" s="29" t="n">
        <v>45839</v>
      </c>
      <c r="B15" s="24" t="s">
        <v>1088</v>
      </c>
      <c r="C15" s="25" t="n">
        <v>900000</v>
      </c>
      <c r="D15" s="26" t="n">
        <f aca="false">IF(A15="","",YEAR(A15))</f>
        <v>2025</v>
      </c>
      <c r="E15" s="26" t="n">
        <f aca="false">IF(A15="","",MONTH(A15))</f>
        <v>7</v>
      </c>
    </row>
    <row r="16" customFormat="false" ht="15" hidden="false" customHeight="false" outlineLevel="0" collapsed="false">
      <c r="A16" s="29" t="n">
        <v>45884</v>
      </c>
      <c r="B16" s="24" t="s">
        <v>1087</v>
      </c>
      <c r="C16" s="25" t="n">
        <v>236000</v>
      </c>
      <c r="D16" s="26" t="n">
        <f aca="false">IF(A16="","",YEAR(A16))</f>
        <v>2025</v>
      </c>
      <c r="E16" s="26" t="n">
        <f aca="false">IF(A16="","",MONTH(A16))</f>
        <v>8</v>
      </c>
    </row>
    <row r="17" customFormat="false" ht="15" hidden="false" customHeight="false" outlineLevel="0" collapsed="false">
      <c r="A17" s="29" t="n">
        <v>45870</v>
      </c>
      <c r="B17" s="24" t="s">
        <v>1088</v>
      </c>
      <c r="C17" s="25" t="n">
        <v>900000</v>
      </c>
      <c r="D17" s="26" t="n">
        <f aca="false">IF(A17="","",YEAR(A17))</f>
        <v>2025</v>
      </c>
      <c r="E17" s="26" t="n">
        <f aca="false">IF(A17="","",MONTH(A17))</f>
        <v>8</v>
      </c>
    </row>
    <row r="18" customFormat="false" ht="15" hidden="false" customHeight="false" outlineLevel="0" collapsed="false">
      <c r="A18" s="29" t="n">
        <v>45915</v>
      </c>
      <c r="B18" s="24" t="s">
        <v>1087</v>
      </c>
      <c r="C18" s="25" t="n">
        <v>243000</v>
      </c>
      <c r="D18" s="26" t="n">
        <f aca="false">IF(A18="","",YEAR(A18))</f>
        <v>2025</v>
      </c>
      <c r="E18" s="26" t="n">
        <f aca="false">IF(A18="","",MONTH(A18))</f>
        <v>9</v>
      </c>
    </row>
    <row r="19" customFormat="false" ht="15" hidden="false" customHeight="false" outlineLevel="0" collapsed="false">
      <c r="A19" s="29" t="n">
        <v>45901</v>
      </c>
      <c r="B19" s="24" t="s">
        <v>1088</v>
      </c>
      <c r="C19" s="25" t="n">
        <v>900000</v>
      </c>
      <c r="D19" s="26" t="n">
        <f aca="false">IF(A19="","",YEAR(A19))</f>
        <v>2025</v>
      </c>
      <c r="E19" s="26" t="n">
        <f aca="false">IF(A19="","",MONTH(A19))</f>
        <v>9</v>
      </c>
    </row>
    <row r="20" customFormat="false" ht="15" hidden="false" customHeight="false" outlineLevel="0" collapsed="false">
      <c r="A20" s="29" t="n">
        <v>45945</v>
      </c>
      <c r="B20" s="24" t="s">
        <v>1087</v>
      </c>
      <c r="C20" s="25" t="n">
        <v>250000</v>
      </c>
      <c r="D20" s="26" t="n">
        <f aca="false">IF(A20="","",YEAR(A20))</f>
        <v>2025</v>
      </c>
      <c r="E20" s="26" t="n">
        <f aca="false">IF(A20="","",MONTH(A20))</f>
        <v>10</v>
      </c>
    </row>
    <row r="21" customFormat="false" ht="15" hidden="false" customHeight="false" outlineLevel="0" collapsed="false">
      <c r="A21" s="29" t="n">
        <v>45931</v>
      </c>
      <c r="B21" s="24" t="s">
        <v>1088</v>
      </c>
      <c r="C21" s="25" t="n">
        <v>900000</v>
      </c>
      <c r="D21" s="26" t="n">
        <f aca="false">IF(A21="","",YEAR(A21))</f>
        <v>2025</v>
      </c>
      <c r="E21" s="26" t="n">
        <f aca="false">IF(A21="","",MONTH(A21))</f>
        <v>10</v>
      </c>
    </row>
    <row r="22" customFormat="false" ht="15" hidden="false" customHeight="false" outlineLevel="0" collapsed="false">
      <c r="A22" s="29" t="n">
        <v>45976</v>
      </c>
      <c r="B22" s="24" t="s">
        <v>1087</v>
      </c>
      <c r="C22" s="25" t="n">
        <v>257000</v>
      </c>
      <c r="D22" s="26" t="n">
        <f aca="false">IF(A22="","",YEAR(A22))</f>
        <v>2025</v>
      </c>
      <c r="E22" s="26" t="n">
        <f aca="false">IF(A22="","",MONTH(A22))</f>
        <v>11</v>
      </c>
    </row>
    <row r="23" customFormat="false" ht="15" hidden="false" customHeight="false" outlineLevel="0" collapsed="false">
      <c r="A23" s="29" t="n">
        <v>45962</v>
      </c>
      <c r="B23" s="24" t="s">
        <v>1088</v>
      </c>
      <c r="C23" s="25" t="n">
        <v>900000</v>
      </c>
      <c r="D23" s="26" t="n">
        <f aca="false">IF(A23="","",YEAR(A23))</f>
        <v>2025</v>
      </c>
      <c r="E23" s="26" t="n">
        <f aca="false">IF(A23="","",MONTH(A23))</f>
        <v>11</v>
      </c>
    </row>
    <row r="24" customFormat="false" ht="15" hidden="false" customHeight="false" outlineLevel="0" collapsed="false">
      <c r="A24" s="29" t="n">
        <v>46006</v>
      </c>
      <c r="B24" s="24" t="s">
        <v>1087</v>
      </c>
      <c r="C24" s="25" t="n">
        <v>264000</v>
      </c>
      <c r="D24" s="26" t="n">
        <f aca="false">IF(A24="","",YEAR(A24))</f>
        <v>2025</v>
      </c>
      <c r="E24" s="26" t="n">
        <f aca="false">IF(A24="","",MONTH(A24))</f>
        <v>12</v>
      </c>
    </row>
    <row r="25" customFormat="false" ht="15" hidden="false" customHeight="false" outlineLevel="0" collapsed="false">
      <c r="A25" s="29" t="n">
        <v>45992</v>
      </c>
      <c r="B25" s="24" t="s">
        <v>1088</v>
      </c>
      <c r="C25" s="25" t="n">
        <v>900000</v>
      </c>
      <c r="D25" s="26" t="n">
        <f aca="false">IF(A25="","",YEAR(A25))</f>
        <v>2025</v>
      </c>
      <c r="E25" s="26" t="n">
        <f aca="false">IF(A25="","",MONTH(A25))</f>
        <v>12</v>
      </c>
    </row>
    <row r="26" customFormat="false" ht="15" hidden="false" customHeight="false" outlineLevel="0" collapsed="false">
      <c r="A26" s="29" t="n">
        <v>46037</v>
      </c>
      <c r="B26" s="24" t="s">
        <v>1087</v>
      </c>
      <c r="C26" s="25" t="n">
        <v>187000</v>
      </c>
      <c r="D26" s="26" t="n">
        <f aca="false">IF(A26="","",YEAR(A26))</f>
        <v>2026</v>
      </c>
      <c r="E26" s="26" t="n">
        <f aca="false">IF(A26="","",MONTH(A26))</f>
        <v>1</v>
      </c>
    </row>
    <row r="27" customFormat="false" ht="15" hidden="false" customHeight="false" outlineLevel="0" collapsed="false">
      <c r="A27" s="29" t="n">
        <v>46023</v>
      </c>
      <c r="B27" s="24" t="s">
        <v>1088</v>
      </c>
      <c r="C27" s="25" t="n">
        <v>900000</v>
      </c>
      <c r="D27" s="26" t="n">
        <f aca="false">IF(A27="","",YEAR(A27))</f>
        <v>2026</v>
      </c>
      <c r="E27" s="26" t="n">
        <f aca="false">IF(A27="","",MONTH(A27))</f>
        <v>1</v>
      </c>
    </row>
    <row r="28" customFormat="false" ht="15" hidden="false" customHeight="false" outlineLevel="0" collapsed="false">
      <c r="A28" s="29" t="n">
        <v>46068</v>
      </c>
      <c r="B28" s="24" t="s">
        <v>1087</v>
      </c>
      <c r="C28" s="25" t="n">
        <v>194000</v>
      </c>
      <c r="D28" s="26" t="n">
        <f aca="false">IF(A28="","",YEAR(A28))</f>
        <v>2026</v>
      </c>
      <c r="E28" s="26" t="n">
        <f aca="false">IF(A28="","",MONTH(A28))</f>
        <v>2</v>
      </c>
    </row>
    <row r="29" customFormat="false" ht="15" hidden="false" customHeight="false" outlineLevel="0" collapsed="false">
      <c r="A29" s="29" t="n">
        <v>46054</v>
      </c>
      <c r="B29" s="24" t="s">
        <v>1088</v>
      </c>
      <c r="C29" s="25" t="n">
        <v>900000</v>
      </c>
      <c r="D29" s="26" t="n">
        <f aca="false">IF(A29="","",YEAR(A29))</f>
        <v>2026</v>
      </c>
      <c r="E29" s="26" t="n">
        <f aca="false">IF(A29="","",MONTH(A29))</f>
        <v>2</v>
      </c>
    </row>
    <row r="30" customFormat="false" ht="15" hidden="false" customHeight="false" outlineLevel="0" collapsed="false">
      <c r="A30" s="29" t="n">
        <v>46096</v>
      </c>
      <c r="B30" s="24" t="s">
        <v>1087</v>
      </c>
      <c r="C30" s="25" t="n">
        <v>201000</v>
      </c>
      <c r="D30" s="26" t="n">
        <f aca="false">IF(A30="","",YEAR(A30))</f>
        <v>2026</v>
      </c>
      <c r="E30" s="26" t="n">
        <f aca="false">IF(A30="","",MONTH(A30))</f>
        <v>3</v>
      </c>
    </row>
    <row r="31" customFormat="false" ht="15" hidden="false" customHeight="false" outlineLevel="0" collapsed="false">
      <c r="A31" s="29" t="n">
        <v>46082</v>
      </c>
      <c r="B31" s="24" t="s">
        <v>1088</v>
      </c>
      <c r="C31" s="25" t="n">
        <v>900000</v>
      </c>
      <c r="D31" s="26" t="n">
        <f aca="false">IF(A31="","",YEAR(A31))</f>
        <v>2026</v>
      </c>
      <c r="E31" s="26" t="n">
        <f aca="false">IF(A31="","",MONTH(A31))</f>
        <v>3</v>
      </c>
    </row>
    <row r="32" customFormat="false" ht="15" hidden="false" customHeight="false" outlineLevel="0" collapsed="false">
      <c r="A32" s="29" t="n">
        <v>46127</v>
      </c>
      <c r="B32" s="24" t="s">
        <v>1087</v>
      </c>
      <c r="C32" s="25" t="n">
        <v>208000</v>
      </c>
      <c r="D32" s="26" t="n">
        <f aca="false">IF(A32="","",YEAR(A32))</f>
        <v>2026</v>
      </c>
      <c r="E32" s="26" t="n">
        <f aca="false">IF(A32="","",MONTH(A32))</f>
        <v>4</v>
      </c>
    </row>
    <row r="33" customFormat="false" ht="15" hidden="false" customHeight="false" outlineLevel="0" collapsed="false">
      <c r="A33" s="29" t="n">
        <v>46113</v>
      </c>
      <c r="B33" s="24" t="s">
        <v>1088</v>
      </c>
      <c r="C33" s="25" t="n">
        <v>900000</v>
      </c>
      <c r="D33" s="26" t="n">
        <f aca="false">IF(A33="","",YEAR(A33))</f>
        <v>2026</v>
      </c>
      <c r="E33" s="26" t="n">
        <f aca="false">IF(A33="","",MONTH(A33))</f>
        <v>4</v>
      </c>
    </row>
    <row r="34" customFormat="false" ht="15" hidden="false" customHeight="false" outlineLevel="0" collapsed="false">
      <c r="A34" s="29" t="n">
        <v>46157</v>
      </c>
      <c r="B34" s="24" t="s">
        <v>1087</v>
      </c>
      <c r="C34" s="25" t="n">
        <v>215000</v>
      </c>
      <c r="D34" s="26" t="n">
        <f aca="false">IF(A34="","",YEAR(A34))</f>
        <v>2026</v>
      </c>
      <c r="E34" s="26" t="n">
        <f aca="false">IF(A34="","",MONTH(A34))</f>
        <v>5</v>
      </c>
    </row>
    <row r="35" customFormat="false" ht="15" hidden="false" customHeight="false" outlineLevel="0" collapsed="false">
      <c r="A35" s="29" t="n">
        <v>46143</v>
      </c>
      <c r="B35" s="24" t="s">
        <v>1088</v>
      </c>
      <c r="C35" s="25" t="n">
        <v>900000</v>
      </c>
      <c r="D35" s="26" t="n">
        <f aca="false">IF(A35="","",YEAR(A35))</f>
        <v>2026</v>
      </c>
      <c r="E35" s="26" t="n">
        <f aca="false">IF(A35="","",MONTH(A35))</f>
        <v>5</v>
      </c>
    </row>
    <row r="36" customFormat="false" ht="15" hidden="false" customHeight="false" outlineLevel="0" collapsed="false">
      <c r="A36" s="29" t="n">
        <v>46188</v>
      </c>
      <c r="B36" s="24" t="s">
        <v>1087</v>
      </c>
      <c r="C36" s="25" t="n">
        <v>222000</v>
      </c>
      <c r="D36" s="26" t="n">
        <f aca="false">IF(A36="","",YEAR(A36))</f>
        <v>2026</v>
      </c>
      <c r="E36" s="26" t="n">
        <f aca="false">IF(A36="","",MONTH(A36))</f>
        <v>6</v>
      </c>
    </row>
    <row r="37" customFormat="false" ht="15" hidden="false" customHeight="false" outlineLevel="0" collapsed="false">
      <c r="A37" s="29" t="n">
        <v>46174</v>
      </c>
      <c r="B37" s="24" t="s">
        <v>1088</v>
      </c>
      <c r="C37" s="25" t="n">
        <v>900000</v>
      </c>
      <c r="D37" s="26" t="n">
        <f aca="false">IF(A37="","",YEAR(A37))</f>
        <v>2026</v>
      </c>
      <c r="E37" s="26" t="n">
        <f aca="false">IF(A37="","",MONTH(A37))</f>
        <v>6</v>
      </c>
    </row>
    <row r="38" customFormat="false" ht="15" hidden="false" customHeight="false" outlineLevel="0" collapsed="false">
      <c r="A38" s="29" t="n">
        <v>46218</v>
      </c>
      <c r="B38" s="24" t="s">
        <v>1087</v>
      </c>
      <c r="C38" s="25" t="n">
        <v>229000</v>
      </c>
      <c r="D38" s="26" t="n">
        <f aca="false">IF(A38="","",YEAR(A38))</f>
        <v>2026</v>
      </c>
      <c r="E38" s="26" t="n">
        <f aca="false">IF(A38="","",MONTH(A38))</f>
        <v>7</v>
      </c>
    </row>
    <row r="39" customFormat="false" ht="15" hidden="false" customHeight="false" outlineLevel="0" collapsed="false">
      <c r="A39" s="29" t="n">
        <v>46204</v>
      </c>
      <c r="B39" s="24" t="s">
        <v>1088</v>
      </c>
      <c r="C39" s="25" t="n">
        <v>900000</v>
      </c>
      <c r="D39" s="26" t="n">
        <f aca="false">IF(A39="","",YEAR(A39))</f>
        <v>2026</v>
      </c>
      <c r="E39" s="26" t="n">
        <f aca="false">IF(A39="","",MONTH(A39))</f>
        <v>7</v>
      </c>
    </row>
    <row r="40" customFormat="false" ht="15" hidden="false" customHeight="false" outlineLevel="0" collapsed="false">
      <c r="A40" s="29" t="n">
        <v>46249</v>
      </c>
      <c r="B40" s="24" t="s">
        <v>1087</v>
      </c>
      <c r="C40" s="25" t="n">
        <v>236000</v>
      </c>
      <c r="D40" s="26" t="n">
        <f aca="false">IF(A40="","",YEAR(A40))</f>
        <v>2026</v>
      </c>
      <c r="E40" s="26" t="n">
        <f aca="false">IF(A40="","",MONTH(A40))</f>
        <v>8</v>
      </c>
    </row>
    <row r="41" customFormat="false" ht="15" hidden="false" customHeight="false" outlineLevel="0" collapsed="false">
      <c r="A41" s="29" t="n">
        <v>46235</v>
      </c>
      <c r="B41" s="24" t="s">
        <v>1088</v>
      </c>
      <c r="C41" s="25" t="n">
        <v>900000</v>
      </c>
      <c r="D41" s="26" t="n">
        <f aca="false">IF(A41="","",YEAR(A41))</f>
        <v>2026</v>
      </c>
      <c r="E41" s="26" t="n">
        <f aca="false">IF(A41="","",MONTH(A41))</f>
        <v>8</v>
      </c>
    </row>
    <row r="42" customFormat="false" ht="15" hidden="false" customHeight="false" outlineLevel="0" collapsed="false">
      <c r="A42" s="29" t="n">
        <v>46280</v>
      </c>
      <c r="B42" s="24" t="s">
        <v>1087</v>
      </c>
      <c r="C42" s="25" t="n">
        <v>243000</v>
      </c>
      <c r="D42" s="26" t="n">
        <f aca="false">IF(A42="","",YEAR(A42))</f>
        <v>2026</v>
      </c>
      <c r="E42" s="26" t="n">
        <f aca="false">IF(A42="","",MONTH(A42))</f>
        <v>9</v>
      </c>
    </row>
    <row r="43" customFormat="false" ht="15" hidden="false" customHeight="false" outlineLevel="0" collapsed="false">
      <c r="A43" s="29" t="n">
        <v>46266</v>
      </c>
      <c r="B43" s="24" t="s">
        <v>1088</v>
      </c>
      <c r="C43" s="25" t="n">
        <v>900000</v>
      </c>
      <c r="D43" s="26" t="n">
        <f aca="false">IF(A43="","",YEAR(A43))</f>
        <v>2026</v>
      </c>
      <c r="E43" s="26" t="n">
        <f aca="false">IF(A43="","",MONTH(A43))</f>
        <v>9</v>
      </c>
    </row>
    <row r="44" customFormat="false" ht="15" hidden="false" customHeight="false" outlineLevel="0" collapsed="false">
      <c r="A44" s="29" t="n">
        <v>46310</v>
      </c>
      <c r="B44" s="24" t="s">
        <v>1087</v>
      </c>
      <c r="C44" s="25" t="n">
        <v>250000</v>
      </c>
      <c r="D44" s="26" t="n">
        <f aca="false">IF(A44="","",YEAR(A44))</f>
        <v>2026</v>
      </c>
      <c r="E44" s="26" t="n">
        <f aca="false">IF(A44="","",MONTH(A44))</f>
        <v>10</v>
      </c>
    </row>
    <row r="45" customFormat="false" ht="15" hidden="false" customHeight="false" outlineLevel="0" collapsed="false">
      <c r="A45" s="29" t="n">
        <v>46296</v>
      </c>
      <c r="B45" s="24" t="s">
        <v>1088</v>
      </c>
      <c r="C45" s="25" t="n">
        <v>900000</v>
      </c>
      <c r="D45" s="26" t="n">
        <f aca="false">IF(A45="","",YEAR(A45))</f>
        <v>2026</v>
      </c>
      <c r="E45" s="26" t="n">
        <f aca="false">IF(A45="","",MONTH(A45))</f>
        <v>10</v>
      </c>
    </row>
    <row r="46" customFormat="false" ht="15" hidden="false" customHeight="false" outlineLevel="0" collapsed="false">
      <c r="A46" s="30"/>
      <c r="C46" s="28"/>
      <c r="D46" s="0" t="str">
        <f aca="false">IF(A46="","",YEAR(A46))</f>
        <v/>
      </c>
      <c r="E46" s="0" t="str">
        <f aca="false">IF(A46="","",MONTH(A46))</f>
        <v/>
      </c>
    </row>
    <row r="47" customFormat="false" ht="15" hidden="false" customHeight="false" outlineLevel="0" collapsed="false">
      <c r="A47" s="30"/>
      <c r="C47" s="28"/>
      <c r="D47" s="0" t="str">
        <f aca="false">IF(A47="","",YEAR(A47))</f>
        <v/>
      </c>
      <c r="E47" s="0" t="str">
        <f aca="false">IF(A47="","",MONTH(A47))</f>
        <v/>
      </c>
    </row>
    <row r="48" customFormat="false" ht="15" hidden="false" customHeight="false" outlineLevel="0" collapsed="false">
      <c r="A48" s="30"/>
      <c r="C48" s="28"/>
      <c r="D48" s="0" t="str">
        <f aca="false">IF(A48="","",YEAR(A48))</f>
        <v/>
      </c>
      <c r="E48" s="0" t="str">
        <f aca="false">IF(A48="","",MONTH(A48))</f>
        <v/>
      </c>
    </row>
    <row r="49" customFormat="false" ht="15" hidden="false" customHeight="false" outlineLevel="0" collapsed="false">
      <c r="A49" s="30"/>
      <c r="C49" s="28"/>
      <c r="D49" s="0" t="str">
        <f aca="false">IF(A49="","",YEAR(A49))</f>
        <v/>
      </c>
      <c r="E49" s="0" t="str">
        <f aca="false">IF(A49="","",MONTH(A49))</f>
        <v/>
      </c>
    </row>
    <row r="50" customFormat="false" ht="15" hidden="false" customHeight="false" outlineLevel="0" collapsed="false">
      <c r="A50" s="30"/>
      <c r="C50" s="28"/>
      <c r="D50" s="0" t="str">
        <f aca="false">IF(A50="","",YEAR(A50))</f>
        <v/>
      </c>
      <c r="E50" s="0" t="str">
        <f aca="false">IF(A50="","",MONTH(A50))</f>
        <v/>
      </c>
    </row>
    <row r="51" customFormat="false" ht="15" hidden="false" customHeight="false" outlineLevel="0" collapsed="false">
      <c r="A51" s="30"/>
      <c r="C51" s="28"/>
      <c r="D51" s="0" t="str">
        <f aca="false">IF(A51="","",YEAR(A51))</f>
        <v/>
      </c>
      <c r="E51" s="0" t="str">
        <f aca="false">IF(A51="","",MONTH(A51))</f>
        <v/>
      </c>
    </row>
    <row r="52" customFormat="false" ht="15" hidden="false" customHeight="false" outlineLevel="0" collapsed="false">
      <c r="A52" s="30"/>
      <c r="C52" s="28"/>
      <c r="D52" s="0" t="str">
        <f aca="false">IF(A52="","",YEAR(A52))</f>
        <v/>
      </c>
      <c r="E52" s="0" t="str">
        <f aca="false">IF(A52="","",MONTH(A52))</f>
        <v/>
      </c>
    </row>
    <row r="53" customFormat="false" ht="15" hidden="false" customHeight="false" outlineLevel="0" collapsed="false">
      <c r="A53" s="30"/>
      <c r="C53" s="28"/>
      <c r="D53" s="0" t="str">
        <f aca="false">IF(A53="","",YEAR(A53))</f>
        <v/>
      </c>
      <c r="E53" s="0" t="str">
        <f aca="false">IF(A53="","",MONTH(A53))</f>
        <v/>
      </c>
    </row>
    <row r="54" customFormat="false" ht="15" hidden="false" customHeight="false" outlineLevel="0" collapsed="false">
      <c r="A54" s="30"/>
      <c r="C54" s="28"/>
      <c r="D54" s="0" t="str">
        <f aca="false">IF(A54="","",YEAR(A54))</f>
        <v/>
      </c>
      <c r="E54" s="0" t="str">
        <f aca="false">IF(A54="","",MONTH(A54))</f>
        <v/>
      </c>
    </row>
    <row r="55" customFormat="false" ht="15" hidden="false" customHeight="false" outlineLevel="0" collapsed="false">
      <c r="A55" s="30"/>
      <c r="C55" s="28"/>
      <c r="D55" s="0" t="str">
        <f aca="false">IF(A55="","",YEAR(A55))</f>
        <v/>
      </c>
      <c r="E55" s="0" t="str">
        <f aca="false">IF(A55="","",MONTH(A55))</f>
        <v/>
      </c>
    </row>
    <row r="56" customFormat="false" ht="15" hidden="false" customHeight="false" outlineLevel="0" collapsed="false">
      <c r="A56" s="30"/>
      <c r="C56" s="28"/>
      <c r="D56" s="0" t="str">
        <f aca="false">IF(A56="","",YEAR(A56))</f>
        <v/>
      </c>
      <c r="E56" s="0" t="str">
        <f aca="false">IF(A56="","",MONTH(A56))</f>
        <v/>
      </c>
    </row>
    <row r="57" customFormat="false" ht="15" hidden="false" customHeight="false" outlineLevel="0" collapsed="false">
      <c r="A57" s="30"/>
      <c r="C57" s="28"/>
      <c r="D57" s="0" t="str">
        <f aca="false">IF(A57="","",YEAR(A57))</f>
        <v/>
      </c>
      <c r="E57" s="0" t="str">
        <f aca="false">IF(A57="","",MONTH(A57))</f>
        <v/>
      </c>
    </row>
    <row r="58" customFormat="false" ht="15" hidden="false" customHeight="false" outlineLevel="0" collapsed="false">
      <c r="A58" s="30"/>
      <c r="C58" s="28"/>
      <c r="D58" s="0" t="str">
        <f aca="false">IF(A58="","",YEAR(A58))</f>
        <v/>
      </c>
      <c r="E58" s="0" t="str">
        <f aca="false">IF(A58="","",MONTH(A58))</f>
        <v/>
      </c>
    </row>
    <row r="59" customFormat="false" ht="15" hidden="false" customHeight="false" outlineLevel="0" collapsed="false">
      <c r="A59" s="30"/>
      <c r="C59" s="28"/>
      <c r="D59" s="0" t="str">
        <f aca="false">IF(A59="","",YEAR(A59))</f>
        <v/>
      </c>
      <c r="E59" s="0" t="str">
        <f aca="false">IF(A59="","",MONTH(A59))</f>
        <v/>
      </c>
    </row>
    <row r="60" customFormat="false" ht="15" hidden="false" customHeight="false" outlineLevel="0" collapsed="false">
      <c r="A60" s="30"/>
      <c r="C60" s="28"/>
      <c r="D60" s="0" t="str">
        <f aca="false">IF(A60="","",YEAR(A60))</f>
        <v/>
      </c>
      <c r="E60" s="0" t="str">
        <f aca="false">IF(A60="","",MONTH(A60))</f>
        <v/>
      </c>
    </row>
    <row r="61" customFormat="false" ht="15" hidden="false" customHeight="false" outlineLevel="0" collapsed="false">
      <c r="A61" s="30"/>
      <c r="C61" s="28"/>
      <c r="D61" s="0" t="str">
        <f aca="false">IF(A61="","",YEAR(A61))</f>
        <v/>
      </c>
      <c r="E61" s="0" t="str">
        <f aca="false">IF(A61="","",MONTH(A61))</f>
        <v/>
      </c>
    </row>
    <row r="62" customFormat="false" ht="15" hidden="false" customHeight="false" outlineLevel="0" collapsed="false">
      <c r="A62" s="30"/>
      <c r="C62" s="28"/>
      <c r="D62" s="0" t="str">
        <f aca="false">IF(A62="","",YEAR(A62))</f>
        <v/>
      </c>
      <c r="E62" s="0" t="str">
        <f aca="false">IF(A62="","",MONTH(A62))</f>
        <v/>
      </c>
    </row>
    <row r="63" customFormat="false" ht="15" hidden="false" customHeight="false" outlineLevel="0" collapsed="false">
      <c r="A63" s="30"/>
      <c r="C63" s="28"/>
      <c r="D63" s="0" t="str">
        <f aca="false">IF(A63="","",YEAR(A63))</f>
        <v/>
      </c>
      <c r="E63" s="0" t="str">
        <f aca="false">IF(A63="","",MONTH(A63))</f>
        <v/>
      </c>
    </row>
    <row r="64" customFormat="false" ht="15" hidden="false" customHeight="false" outlineLevel="0" collapsed="false">
      <c r="A64" s="30"/>
      <c r="C64" s="28"/>
      <c r="D64" s="0" t="str">
        <f aca="false">IF(A64="","",YEAR(A64))</f>
        <v/>
      </c>
      <c r="E64" s="0" t="str">
        <f aca="false">IF(A64="","",MONTH(A64))</f>
        <v/>
      </c>
    </row>
    <row r="65" customFormat="false" ht="15" hidden="false" customHeight="false" outlineLevel="0" collapsed="false">
      <c r="A65" s="30"/>
      <c r="C65" s="28"/>
      <c r="D65" s="0" t="str">
        <f aca="false">IF(A65="","",YEAR(A65))</f>
        <v/>
      </c>
      <c r="E65" s="0" t="str">
        <f aca="false">IF(A65="","",MONTH(A65))</f>
        <v/>
      </c>
    </row>
    <row r="66" customFormat="false" ht="15" hidden="false" customHeight="false" outlineLevel="0" collapsed="false">
      <c r="A66" s="30"/>
      <c r="C66" s="28"/>
      <c r="D66" s="0" t="str">
        <f aca="false">IF(A66="","",YEAR(A66))</f>
        <v/>
      </c>
      <c r="E66" s="0" t="str">
        <f aca="false">IF(A66="","",MONTH(A66))</f>
        <v/>
      </c>
    </row>
    <row r="67" customFormat="false" ht="15" hidden="false" customHeight="false" outlineLevel="0" collapsed="false">
      <c r="A67" s="30"/>
      <c r="C67" s="28"/>
      <c r="D67" s="0" t="str">
        <f aca="false">IF(A67="","",YEAR(A67))</f>
        <v/>
      </c>
      <c r="E67" s="0" t="str">
        <f aca="false">IF(A67="","",MONTH(A67))</f>
        <v/>
      </c>
    </row>
    <row r="68" customFormat="false" ht="15" hidden="false" customHeight="false" outlineLevel="0" collapsed="false">
      <c r="A68" s="30"/>
      <c r="C68" s="28"/>
      <c r="D68" s="0" t="str">
        <f aca="false">IF(A68="","",YEAR(A68))</f>
        <v/>
      </c>
      <c r="E68" s="0" t="str">
        <f aca="false">IF(A68="","",MONTH(A68))</f>
        <v/>
      </c>
    </row>
    <row r="69" customFormat="false" ht="15" hidden="false" customHeight="false" outlineLevel="0" collapsed="false">
      <c r="A69" s="30"/>
      <c r="C69" s="28"/>
      <c r="D69" s="0" t="str">
        <f aca="false">IF(A69="","",YEAR(A69))</f>
        <v/>
      </c>
      <c r="E69" s="0" t="str">
        <f aca="false">IF(A69="","",MONTH(A69))</f>
        <v/>
      </c>
    </row>
    <row r="70" customFormat="false" ht="15" hidden="false" customHeight="false" outlineLevel="0" collapsed="false">
      <c r="A70" s="30"/>
      <c r="C70" s="28"/>
      <c r="D70" s="0" t="str">
        <f aca="false">IF(A70="","",YEAR(A70))</f>
        <v/>
      </c>
      <c r="E70" s="0" t="str">
        <f aca="false">IF(A70="","",MONTH(A70))</f>
        <v/>
      </c>
    </row>
    <row r="71" customFormat="false" ht="15" hidden="false" customHeight="false" outlineLevel="0" collapsed="false">
      <c r="A71" s="30"/>
      <c r="C71" s="28"/>
      <c r="D71" s="0" t="str">
        <f aca="false">IF(A71="","",YEAR(A71))</f>
        <v/>
      </c>
      <c r="E71" s="0" t="str">
        <f aca="false">IF(A71="","",MONTH(A71))</f>
        <v/>
      </c>
    </row>
    <row r="72" customFormat="false" ht="15" hidden="false" customHeight="false" outlineLevel="0" collapsed="false">
      <c r="A72" s="30"/>
      <c r="C72" s="28"/>
      <c r="D72" s="0" t="str">
        <f aca="false">IF(A72="","",YEAR(A72))</f>
        <v/>
      </c>
      <c r="E72" s="0" t="str">
        <f aca="false">IF(A72="","",MONTH(A72))</f>
        <v/>
      </c>
    </row>
    <row r="73" customFormat="false" ht="15" hidden="false" customHeight="false" outlineLevel="0" collapsed="false">
      <c r="A73" s="30"/>
      <c r="C73" s="28"/>
      <c r="D73" s="0" t="str">
        <f aca="false">IF(A73="","",YEAR(A73))</f>
        <v/>
      </c>
      <c r="E73" s="0" t="str">
        <f aca="false">IF(A73="","",MONTH(A73))</f>
        <v/>
      </c>
    </row>
    <row r="74" customFormat="false" ht="15" hidden="false" customHeight="false" outlineLevel="0" collapsed="false">
      <c r="A74" s="30"/>
      <c r="C74" s="28"/>
      <c r="D74" s="0" t="str">
        <f aca="false">IF(A74="","",YEAR(A74))</f>
        <v/>
      </c>
      <c r="E74" s="0" t="str">
        <f aca="false">IF(A74="","",MONTH(A74))</f>
        <v/>
      </c>
    </row>
    <row r="75" customFormat="false" ht="15" hidden="false" customHeight="false" outlineLevel="0" collapsed="false">
      <c r="A75" s="30"/>
      <c r="C75" s="28"/>
      <c r="D75" s="0" t="str">
        <f aca="false">IF(A75="","",YEAR(A75))</f>
        <v/>
      </c>
      <c r="E75" s="0" t="str">
        <f aca="false">IF(A75="","",MONTH(A75))</f>
        <v/>
      </c>
    </row>
    <row r="76" customFormat="false" ht="15" hidden="false" customHeight="false" outlineLevel="0" collapsed="false">
      <c r="A76" s="30"/>
      <c r="C76" s="28"/>
      <c r="D76" s="0" t="str">
        <f aca="false">IF(A76="","",YEAR(A76))</f>
        <v/>
      </c>
      <c r="E76" s="0" t="str">
        <f aca="false">IF(A76="","",MONTH(A76))</f>
        <v/>
      </c>
    </row>
    <row r="77" customFormat="false" ht="15" hidden="false" customHeight="false" outlineLevel="0" collapsed="false">
      <c r="A77" s="30"/>
      <c r="C77" s="28"/>
      <c r="D77" s="0" t="str">
        <f aca="false">IF(A77="","",YEAR(A77))</f>
        <v/>
      </c>
      <c r="E77" s="0" t="str">
        <f aca="false">IF(A77="","",MONTH(A77))</f>
        <v/>
      </c>
    </row>
    <row r="78" customFormat="false" ht="15" hidden="false" customHeight="false" outlineLevel="0" collapsed="false">
      <c r="A78" s="30"/>
      <c r="C78" s="28"/>
      <c r="D78" s="0" t="str">
        <f aca="false">IF(A78="","",YEAR(A78))</f>
        <v/>
      </c>
      <c r="E78" s="0" t="str">
        <f aca="false">IF(A78="","",MONTH(A78))</f>
        <v/>
      </c>
    </row>
    <row r="79" customFormat="false" ht="15" hidden="false" customHeight="false" outlineLevel="0" collapsed="false">
      <c r="A79" s="30"/>
      <c r="C79" s="28"/>
      <c r="D79" s="0" t="str">
        <f aca="false">IF(A79="","",YEAR(A79))</f>
        <v/>
      </c>
      <c r="E79" s="0" t="str">
        <f aca="false">IF(A79="","",MONTH(A79))</f>
        <v/>
      </c>
    </row>
    <row r="80" customFormat="false" ht="15" hidden="false" customHeight="false" outlineLevel="0" collapsed="false">
      <c r="A80" s="30"/>
      <c r="C80" s="28"/>
      <c r="D80" s="0" t="str">
        <f aca="false">IF(A80="","",YEAR(A80))</f>
        <v/>
      </c>
      <c r="E80" s="0" t="str">
        <f aca="false">IF(A80="","",MONTH(A80))</f>
        <v/>
      </c>
    </row>
    <row r="81" customFormat="false" ht="15" hidden="false" customHeight="false" outlineLevel="0" collapsed="false">
      <c r="A81" s="30"/>
      <c r="C81" s="28"/>
      <c r="D81" s="0" t="str">
        <f aca="false">IF(A81="","",YEAR(A81))</f>
        <v/>
      </c>
      <c r="E81" s="0" t="str">
        <f aca="false">IF(A81="","",MONTH(A81))</f>
        <v/>
      </c>
    </row>
    <row r="82" customFormat="false" ht="15" hidden="false" customHeight="false" outlineLevel="0" collapsed="false">
      <c r="A82" s="30"/>
      <c r="C82" s="28"/>
      <c r="D82" s="0" t="str">
        <f aca="false">IF(A82="","",YEAR(A82))</f>
        <v/>
      </c>
      <c r="E82" s="0" t="str">
        <f aca="false">IF(A82="","",MONTH(A82))</f>
        <v/>
      </c>
    </row>
    <row r="83" customFormat="false" ht="15" hidden="false" customHeight="false" outlineLevel="0" collapsed="false">
      <c r="A83" s="30"/>
      <c r="C83" s="28"/>
      <c r="D83" s="0" t="str">
        <f aca="false">IF(A83="","",YEAR(A83))</f>
        <v/>
      </c>
      <c r="E83" s="0" t="str">
        <f aca="false">IF(A83="","",MONTH(A83))</f>
        <v/>
      </c>
    </row>
    <row r="84" customFormat="false" ht="15" hidden="false" customHeight="false" outlineLevel="0" collapsed="false">
      <c r="A84" s="30"/>
      <c r="C84" s="28"/>
      <c r="D84" s="0" t="str">
        <f aca="false">IF(A84="","",YEAR(A84))</f>
        <v/>
      </c>
      <c r="E84" s="0" t="str">
        <f aca="false">IF(A84="","",MONTH(A84))</f>
        <v/>
      </c>
    </row>
    <row r="85" customFormat="false" ht="15" hidden="false" customHeight="false" outlineLevel="0" collapsed="false">
      <c r="A85" s="30"/>
      <c r="C85" s="28"/>
      <c r="D85" s="0" t="str">
        <f aca="false">IF(A85="","",YEAR(A85))</f>
        <v/>
      </c>
      <c r="E85" s="0" t="str">
        <f aca="false">IF(A85="","",MONTH(A85))</f>
        <v/>
      </c>
    </row>
    <row r="86" customFormat="false" ht="15" hidden="false" customHeight="false" outlineLevel="0" collapsed="false">
      <c r="A86" s="30"/>
      <c r="C86" s="28"/>
      <c r="D86" s="0" t="str">
        <f aca="false">IF(A86="","",YEAR(A86))</f>
        <v/>
      </c>
      <c r="E86" s="0" t="str">
        <f aca="false">IF(A86="","",MONTH(A86))</f>
        <v/>
      </c>
    </row>
    <row r="87" customFormat="false" ht="15" hidden="false" customHeight="false" outlineLevel="0" collapsed="false">
      <c r="A87" s="30"/>
      <c r="C87" s="28"/>
      <c r="D87" s="0" t="str">
        <f aca="false">IF(A87="","",YEAR(A87))</f>
        <v/>
      </c>
      <c r="E87" s="0" t="str">
        <f aca="false">IF(A87="","",MONTH(A87))</f>
        <v/>
      </c>
    </row>
    <row r="88" customFormat="false" ht="15" hidden="false" customHeight="false" outlineLevel="0" collapsed="false">
      <c r="A88" s="30"/>
      <c r="C88" s="28"/>
      <c r="D88" s="0" t="str">
        <f aca="false">IF(A88="","",YEAR(A88))</f>
        <v/>
      </c>
      <c r="E88" s="0" t="str">
        <f aca="false">IF(A88="","",MONTH(A88))</f>
        <v/>
      </c>
    </row>
    <row r="89" customFormat="false" ht="15" hidden="false" customHeight="false" outlineLevel="0" collapsed="false">
      <c r="A89" s="30"/>
      <c r="C89" s="28"/>
      <c r="D89" s="0" t="str">
        <f aca="false">IF(A89="","",YEAR(A89))</f>
        <v/>
      </c>
      <c r="E89" s="0" t="str">
        <f aca="false">IF(A89="","",MONTH(A89))</f>
        <v/>
      </c>
    </row>
    <row r="90" customFormat="false" ht="15" hidden="false" customHeight="false" outlineLevel="0" collapsed="false">
      <c r="A90" s="30"/>
      <c r="C90" s="28"/>
      <c r="D90" s="0" t="str">
        <f aca="false">IF(A90="","",YEAR(A90))</f>
        <v/>
      </c>
      <c r="E90" s="0" t="str">
        <f aca="false">IF(A90="","",MONTH(A90))</f>
        <v/>
      </c>
    </row>
    <row r="91" customFormat="false" ht="15" hidden="false" customHeight="false" outlineLevel="0" collapsed="false">
      <c r="A91" s="30"/>
      <c r="C91" s="28"/>
      <c r="D91" s="0" t="str">
        <f aca="false">IF(A91="","",YEAR(A91))</f>
        <v/>
      </c>
      <c r="E91" s="0" t="str">
        <f aca="false">IF(A91="","",MONTH(A91))</f>
        <v/>
      </c>
    </row>
    <row r="92" customFormat="false" ht="15" hidden="false" customHeight="false" outlineLevel="0" collapsed="false">
      <c r="A92" s="30"/>
      <c r="C92" s="28"/>
      <c r="D92" s="0" t="str">
        <f aca="false">IF(A92="","",YEAR(A92))</f>
        <v/>
      </c>
      <c r="E92" s="0" t="str">
        <f aca="false">IF(A92="","",MONTH(A92))</f>
        <v/>
      </c>
    </row>
    <row r="93" customFormat="false" ht="15" hidden="false" customHeight="false" outlineLevel="0" collapsed="false">
      <c r="A93" s="30"/>
      <c r="C93" s="28"/>
      <c r="D93" s="0" t="str">
        <f aca="false">IF(A93="","",YEAR(A93))</f>
        <v/>
      </c>
      <c r="E93" s="0" t="str">
        <f aca="false">IF(A93="","",MONTH(A93))</f>
        <v/>
      </c>
    </row>
    <row r="94" customFormat="false" ht="15" hidden="false" customHeight="false" outlineLevel="0" collapsed="false">
      <c r="A94" s="30"/>
      <c r="C94" s="28"/>
      <c r="D94" s="0" t="str">
        <f aca="false">IF(A94="","",YEAR(A94))</f>
        <v/>
      </c>
      <c r="E94" s="0" t="str">
        <f aca="false">IF(A94="","",MONTH(A94))</f>
        <v/>
      </c>
    </row>
    <row r="95" customFormat="false" ht="15" hidden="false" customHeight="false" outlineLevel="0" collapsed="false">
      <c r="A95" s="30"/>
      <c r="C95" s="28"/>
      <c r="D95" s="0" t="str">
        <f aca="false">IF(A95="","",YEAR(A95))</f>
        <v/>
      </c>
      <c r="E95" s="0" t="str">
        <f aca="false">IF(A95="","",MONTH(A95))</f>
        <v/>
      </c>
    </row>
    <row r="96" customFormat="false" ht="15" hidden="false" customHeight="false" outlineLevel="0" collapsed="false">
      <c r="A96" s="30"/>
      <c r="C96" s="28"/>
      <c r="D96" s="0" t="str">
        <f aca="false">IF(A96="","",YEAR(A96))</f>
        <v/>
      </c>
      <c r="E96" s="0" t="str">
        <f aca="false">IF(A96="","",MONTH(A96))</f>
        <v/>
      </c>
    </row>
    <row r="97" customFormat="false" ht="15" hidden="false" customHeight="false" outlineLevel="0" collapsed="false">
      <c r="A97" s="30"/>
      <c r="C97" s="28"/>
      <c r="D97" s="0" t="str">
        <f aca="false">IF(A97="","",YEAR(A97))</f>
        <v/>
      </c>
      <c r="E97" s="0" t="str">
        <f aca="false">IF(A97="","",MONTH(A97))</f>
        <v/>
      </c>
    </row>
    <row r="98" customFormat="false" ht="15" hidden="false" customHeight="false" outlineLevel="0" collapsed="false">
      <c r="A98" s="30"/>
      <c r="C98" s="28"/>
      <c r="D98" s="0" t="str">
        <f aca="false">IF(A98="","",YEAR(A98))</f>
        <v/>
      </c>
      <c r="E98" s="0" t="str">
        <f aca="false">IF(A98="","",MONTH(A98))</f>
        <v/>
      </c>
    </row>
    <row r="99" customFormat="false" ht="15" hidden="false" customHeight="false" outlineLevel="0" collapsed="false">
      <c r="A99" s="30"/>
      <c r="C99" s="28"/>
      <c r="D99" s="0" t="str">
        <f aca="false">IF(A99="","",YEAR(A99))</f>
        <v/>
      </c>
      <c r="E99" s="0" t="str">
        <f aca="false">IF(A99="","",MONTH(A99))</f>
        <v/>
      </c>
    </row>
    <row r="100" customFormat="false" ht="15" hidden="false" customHeight="false" outlineLevel="0" collapsed="false">
      <c r="A100" s="30"/>
      <c r="C100" s="28"/>
      <c r="D100" s="0" t="str">
        <f aca="false">IF(A100="","",YEAR(A100))</f>
        <v/>
      </c>
      <c r="E100" s="0" t="str">
        <f aca="false">IF(A100="","",MONTH(A100))</f>
        <v/>
      </c>
    </row>
    <row r="101" customFormat="false" ht="15" hidden="false" customHeight="false" outlineLevel="0" collapsed="false">
      <c r="A101" s="30"/>
      <c r="C101" s="28"/>
      <c r="D101" s="0" t="str">
        <f aca="false">IF(A101="","",YEAR(A101))</f>
        <v/>
      </c>
      <c r="E101" s="0" t="str">
        <f aca="false">IF(A101="","",MONTH(A101))</f>
        <v/>
      </c>
    </row>
    <row r="102" customFormat="false" ht="15" hidden="false" customHeight="false" outlineLevel="0" collapsed="false">
      <c r="A102" s="30"/>
      <c r="C102" s="28"/>
      <c r="D102" s="0" t="str">
        <f aca="false">IF(A102="","",YEAR(A102))</f>
        <v/>
      </c>
      <c r="E102" s="0" t="str">
        <f aca="false">IF(A102="","",MONTH(A102))</f>
        <v/>
      </c>
    </row>
    <row r="103" customFormat="false" ht="15" hidden="false" customHeight="false" outlineLevel="0" collapsed="false">
      <c r="A103" s="30"/>
      <c r="C103" s="28"/>
      <c r="D103" s="0" t="str">
        <f aca="false">IF(A103="","",YEAR(A103))</f>
        <v/>
      </c>
      <c r="E103" s="0" t="str">
        <f aca="false">IF(A103="","",MONTH(A103))</f>
        <v/>
      </c>
    </row>
    <row r="104" customFormat="false" ht="15" hidden="false" customHeight="false" outlineLevel="0" collapsed="false">
      <c r="A104" s="30"/>
      <c r="C104" s="28"/>
      <c r="D104" s="0" t="str">
        <f aca="false">IF(A104="","",YEAR(A104))</f>
        <v/>
      </c>
      <c r="E104" s="0" t="str">
        <f aca="false">IF(A104="","",MONTH(A104))</f>
        <v/>
      </c>
    </row>
    <row r="105" customFormat="false" ht="15" hidden="false" customHeight="false" outlineLevel="0" collapsed="false">
      <c r="A105" s="30"/>
      <c r="C105" s="28"/>
      <c r="D105" s="0" t="str">
        <f aca="false">IF(A105="","",YEAR(A105))</f>
        <v/>
      </c>
      <c r="E105" s="0" t="str">
        <f aca="false">IF(A105="","",MONTH(A105))</f>
        <v/>
      </c>
    </row>
    <row r="106" customFormat="false" ht="15" hidden="false" customHeight="false" outlineLevel="0" collapsed="false">
      <c r="A106" s="30"/>
      <c r="C106" s="28"/>
      <c r="D106" s="0" t="str">
        <f aca="false">IF(A106="","",YEAR(A106))</f>
        <v/>
      </c>
      <c r="E106" s="0" t="str">
        <f aca="false">IF(A106="","",MONTH(A106))</f>
        <v/>
      </c>
    </row>
    <row r="107" customFormat="false" ht="15" hidden="false" customHeight="false" outlineLevel="0" collapsed="false">
      <c r="A107" s="30"/>
      <c r="C107" s="28"/>
      <c r="D107" s="0" t="str">
        <f aca="false">IF(A107="","",YEAR(A107))</f>
        <v/>
      </c>
      <c r="E107" s="0" t="str">
        <f aca="false">IF(A107="","",MONTH(A107))</f>
        <v/>
      </c>
    </row>
    <row r="108" customFormat="false" ht="15" hidden="false" customHeight="false" outlineLevel="0" collapsed="false">
      <c r="A108" s="30"/>
      <c r="C108" s="28"/>
      <c r="D108" s="0" t="str">
        <f aca="false">IF(A108="","",YEAR(A108))</f>
        <v/>
      </c>
      <c r="E108" s="0" t="str">
        <f aca="false">IF(A108="","",MONTH(A108))</f>
        <v/>
      </c>
    </row>
    <row r="109" customFormat="false" ht="15" hidden="false" customHeight="false" outlineLevel="0" collapsed="false">
      <c r="A109" s="30"/>
      <c r="C109" s="28"/>
      <c r="D109" s="0" t="str">
        <f aca="false">IF(A109="","",YEAR(A109))</f>
        <v/>
      </c>
      <c r="E109" s="0" t="str">
        <f aca="false">IF(A109="","",MONTH(A109))</f>
        <v/>
      </c>
    </row>
    <row r="110" customFormat="false" ht="15" hidden="false" customHeight="false" outlineLevel="0" collapsed="false">
      <c r="A110" s="30"/>
      <c r="C110" s="28"/>
      <c r="D110" s="0" t="str">
        <f aca="false">IF(A110="","",YEAR(A110))</f>
        <v/>
      </c>
      <c r="E110" s="0" t="str">
        <f aca="false">IF(A110="","",MONTH(A110))</f>
        <v/>
      </c>
    </row>
    <row r="111" customFormat="false" ht="15" hidden="false" customHeight="false" outlineLevel="0" collapsed="false">
      <c r="A111" s="30"/>
      <c r="C111" s="28"/>
      <c r="D111" s="0" t="str">
        <f aca="false">IF(A111="","",YEAR(A111))</f>
        <v/>
      </c>
      <c r="E111" s="0" t="str">
        <f aca="false">IF(A111="","",MONTH(A111))</f>
        <v/>
      </c>
    </row>
    <row r="112" customFormat="false" ht="15" hidden="false" customHeight="false" outlineLevel="0" collapsed="false">
      <c r="A112" s="30"/>
      <c r="C112" s="28"/>
      <c r="D112" s="0" t="str">
        <f aca="false">IF(A112="","",YEAR(A112))</f>
        <v/>
      </c>
      <c r="E112" s="0" t="str">
        <f aca="false">IF(A112="","",MONTH(A112))</f>
        <v/>
      </c>
    </row>
    <row r="113" customFormat="false" ht="15" hidden="false" customHeight="false" outlineLevel="0" collapsed="false">
      <c r="A113" s="30"/>
      <c r="C113" s="28"/>
      <c r="D113" s="0" t="str">
        <f aca="false">IF(A113="","",YEAR(A113))</f>
        <v/>
      </c>
      <c r="E113" s="0" t="str">
        <f aca="false">IF(A113="","",MONTH(A113))</f>
        <v/>
      </c>
    </row>
    <row r="114" customFormat="false" ht="15" hidden="false" customHeight="false" outlineLevel="0" collapsed="false">
      <c r="A114" s="30"/>
      <c r="C114" s="28"/>
      <c r="D114" s="0" t="str">
        <f aca="false">IF(A114="","",YEAR(A114))</f>
        <v/>
      </c>
      <c r="E114" s="0" t="str">
        <f aca="false">IF(A114="","",MONTH(A114))</f>
        <v/>
      </c>
    </row>
    <row r="115" customFormat="false" ht="15" hidden="false" customHeight="false" outlineLevel="0" collapsed="false">
      <c r="A115" s="30"/>
      <c r="C115" s="28"/>
      <c r="D115" s="0" t="str">
        <f aca="false">IF(A115="","",YEAR(A115))</f>
        <v/>
      </c>
      <c r="E115" s="0" t="str">
        <f aca="false">IF(A115="","",MONTH(A115))</f>
        <v/>
      </c>
    </row>
    <row r="116" customFormat="false" ht="15" hidden="false" customHeight="false" outlineLevel="0" collapsed="false">
      <c r="A116" s="30"/>
      <c r="C116" s="28"/>
      <c r="D116" s="0" t="str">
        <f aca="false">IF(A116="","",YEAR(A116))</f>
        <v/>
      </c>
      <c r="E116" s="0" t="str">
        <f aca="false">IF(A116="","",MONTH(A116))</f>
        <v/>
      </c>
    </row>
    <row r="117" customFormat="false" ht="15" hidden="false" customHeight="false" outlineLevel="0" collapsed="false">
      <c r="A117" s="30"/>
      <c r="C117" s="28"/>
      <c r="D117" s="0" t="str">
        <f aca="false">IF(A117="","",YEAR(A117))</f>
        <v/>
      </c>
      <c r="E117" s="0" t="str">
        <f aca="false">IF(A117="","",MONTH(A117))</f>
        <v/>
      </c>
    </row>
    <row r="118" customFormat="false" ht="15" hidden="false" customHeight="false" outlineLevel="0" collapsed="false">
      <c r="A118" s="30"/>
      <c r="C118" s="28"/>
      <c r="D118" s="0" t="str">
        <f aca="false">IF(A118="","",YEAR(A118))</f>
        <v/>
      </c>
      <c r="E118" s="0" t="str">
        <f aca="false">IF(A118="","",MONTH(A118))</f>
        <v/>
      </c>
    </row>
    <row r="119" customFormat="false" ht="15" hidden="false" customHeight="false" outlineLevel="0" collapsed="false">
      <c r="A119" s="30"/>
      <c r="C119" s="28"/>
      <c r="D119" s="0" t="str">
        <f aca="false">IF(A119="","",YEAR(A119))</f>
        <v/>
      </c>
      <c r="E119" s="0" t="str">
        <f aca="false">IF(A119="","",MONTH(A119))</f>
        <v/>
      </c>
    </row>
    <row r="120" customFormat="false" ht="15" hidden="false" customHeight="false" outlineLevel="0" collapsed="false">
      <c r="A120" s="30"/>
      <c r="C120" s="28"/>
      <c r="D120" s="0" t="str">
        <f aca="false">IF(A120="","",YEAR(A120))</f>
        <v/>
      </c>
      <c r="E120" s="0" t="str">
        <f aca="false">IF(A120="","",MONTH(A120))</f>
        <v/>
      </c>
    </row>
    <row r="121" customFormat="false" ht="15" hidden="false" customHeight="false" outlineLevel="0" collapsed="false">
      <c r="A121" s="30"/>
      <c r="C121" s="28"/>
      <c r="D121" s="0" t="str">
        <f aca="false">IF(A121="","",YEAR(A121))</f>
        <v/>
      </c>
      <c r="E121" s="0" t="str">
        <f aca="false">IF(A121="","",MONTH(A121))</f>
        <v/>
      </c>
    </row>
    <row r="122" customFormat="false" ht="15" hidden="false" customHeight="false" outlineLevel="0" collapsed="false">
      <c r="A122" s="30"/>
      <c r="C122" s="28"/>
      <c r="D122" s="0" t="str">
        <f aca="false">IF(A122="","",YEAR(A122))</f>
        <v/>
      </c>
      <c r="E122" s="0" t="str">
        <f aca="false">IF(A122="","",MONTH(A122))</f>
        <v/>
      </c>
    </row>
    <row r="123" customFormat="false" ht="15" hidden="false" customHeight="false" outlineLevel="0" collapsed="false">
      <c r="A123" s="30"/>
      <c r="C123" s="28"/>
      <c r="D123" s="0" t="str">
        <f aca="false">IF(A123="","",YEAR(A123))</f>
        <v/>
      </c>
      <c r="E123" s="0" t="str">
        <f aca="false">IF(A123="","",MONTH(A123))</f>
        <v/>
      </c>
    </row>
    <row r="124" customFormat="false" ht="15" hidden="false" customHeight="false" outlineLevel="0" collapsed="false">
      <c r="A124" s="30"/>
      <c r="C124" s="28"/>
      <c r="D124" s="0" t="str">
        <f aca="false">IF(A124="","",YEAR(A124))</f>
        <v/>
      </c>
      <c r="E124" s="0" t="str">
        <f aca="false">IF(A124="","",MONTH(A124))</f>
        <v/>
      </c>
    </row>
    <row r="125" customFormat="false" ht="15" hidden="false" customHeight="false" outlineLevel="0" collapsed="false">
      <c r="A125" s="30"/>
      <c r="C125" s="28"/>
      <c r="D125" s="0" t="str">
        <f aca="false">IF(A125="","",YEAR(A125))</f>
        <v/>
      </c>
      <c r="E125" s="0" t="str">
        <f aca="false">IF(A125="","",MONTH(A125))</f>
        <v/>
      </c>
    </row>
    <row r="126" customFormat="false" ht="15" hidden="false" customHeight="false" outlineLevel="0" collapsed="false">
      <c r="A126" s="30"/>
      <c r="C126" s="28"/>
      <c r="D126" s="0" t="str">
        <f aca="false">IF(A126="","",YEAR(A126))</f>
        <v/>
      </c>
      <c r="E126" s="0" t="str">
        <f aca="false">IF(A126="","",MONTH(A126))</f>
        <v/>
      </c>
    </row>
    <row r="127" customFormat="false" ht="15" hidden="false" customHeight="false" outlineLevel="0" collapsed="false">
      <c r="A127" s="30"/>
      <c r="C127" s="28"/>
      <c r="D127" s="0" t="str">
        <f aca="false">IF(A127="","",YEAR(A127))</f>
        <v/>
      </c>
      <c r="E127" s="0" t="str">
        <f aca="false">IF(A127="","",MONTH(A127))</f>
        <v/>
      </c>
    </row>
    <row r="128" customFormat="false" ht="15" hidden="false" customHeight="false" outlineLevel="0" collapsed="false">
      <c r="A128" s="30"/>
      <c r="C128" s="28"/>
      <c r="D128" s="0" t="str">
        <f aca="false">IF(A128="","",YEAR(A128))</f>
        <v/>
      </c>
      <c r="E128" s="0" t="str">
        <f aca="false">IF(A128="","",MONTH(A128))</f>
        <v/>
      </c>
    </row>
    <row r="129" customFormat="false" ht="15" hidden="false" customHeight="false" outlineLevel="0" collapsed="false">
      <c r="A129" s="30"/>
      <c r="C129" s="28"/>
      <c r="D129" s="0" t="str">
        <f aca="false">IF(A129="","",YEAR(A129))</f>
        <v/>
      </c>
      <c r="E129" s="0" t="str">
        <f aca="false">IF(A129="","",MONTH(A129))</f>
        <v/>
      </c>
    </row>
    <row r="130" customFormat="false" ht="15" hidden="false" customHeight="false" outlineLevel="0" collapsed="false">
      <c r="A130" s="30"/>
      <c r="C130" s="28"/>
      <c r="D130" s="0" t="str">
        <f aca="false">IF(A130="","",YEAR(A130))</f>
        <v/>
      </c>
      <c r="E130" s="0" t="str">
        <f aca="false">IF(A130="","",MONTH(A130))</f>
        <v/>
      </c>
    </row>
    <row r="131" customFormat="false" ht="15" hidden="false" customHeight="false" outlineLevel="0" collapsed="false">
      <c r="A131" s="30"/>
      <c r="C131" s="28"/>
      <c r="D131" s="0" t="str">
        <f aca="false">IF(A131="","",YEAR(A131))</f>
        <v/>
      </c>
      <c r="E131" s="0" t="str">
        <f aca="false">IF(A131="","",MONTH(A131))</f>
        <v/>
      </c>
    </row>
    <row r="132" customFormat="false" ht="15" hidden="false" customHeight="false" outlineLevel="0" collapsed="false">
      <c r="A132" s="30"/>
      <c r="C132" s="28"/>
      <c r="D132" s="0" t="str">
        <f aca="false">IF(A132="","",YEAR(A132))</f>
        <v/>
      </c>
      <c r="E132" s="0" t="str">
        <f aca="false">IF(A132="","",MONTH(A132))</f>
        <v/>
      </c>
    </row>
    <row r="133" customFormat="false" ht="15" hidden="false" customHeight="false" outlineLevel="0" collapsed="false">
      <c r="A133" s="30"/>
      <c r="C133" s="28"/>
      <c r="D133" s="0" t="str">
        <f aca="false">IF(A133="","",YEAR(A133))</f>
        <v/>
      </c>
      <c r="E133" s="0" t="str">
        <f aca="false">IF(A133="","",MONTH(A133))</f>
        <v/>
      </c>
    </row>
    <row r="134" customFormat="false" ht="15" hidden="false" customHeight="false" outlineLevel="0" collapsed="false">
      <c r="A134" s="30"/>
      <c r="C134" s="28"/>
      <c r="D134" s="0" t="str">
        <f aca="false">IF(A134="","",YEAR(A134))</f>
        <v/>
      </c>
      <c r="E134" s="0" t="str">
        <f aca="false">IF(A134="","",MONTH(A134))</f>
        <v/>
      </c>
    </row>
    <row r="135" customFormat="false" ht="15" hidden="false" customHeight="false" outlineLevel="0" collapsed="false">
      <c r="A135" s="30"/>
      <c r="C135" s="28"/>
      <c r="D135" s="0" t="str">
        <f aca="false">IF(A135="","",YEAR(A135))</f>
        <v/>
      </c>
      <c r="E135" s="0" t="str">
        <f aca="false">IF(A135="","",MONTH(A135))</f>
        <v/>
      </c>
    </row>
    <row r="136" customFormat="false" ht="15" hidden="false" customHeight="false" outlineLevel="0" collapsed="false">
      <c r="A136" s="30"/>
      <c r="C136" s="28"/>
      <c r="D136" s="0" t="str">
        <f aca="false">IF(A136="","",YEAR(A136))</f>
        <v/>
      </c>
      <c r="E136" s="0" t="str">
        <f aca="false">IF(A136="","",MONTH(A136))</f>
        <v/>
      </c>
    </row>
    <row r="137" customFormat="false" ht="15" hidden="false" customHeight="false" outlineLevel="0" collapsed="false">
      <c r="A137" s="30"/>
      <c r="C137" s="28"/>
      <c r="D137" s="0" t="str">
        <f aca="false">IF(A137="","",YEAR(A137))</f>
        <v/>
      </c>
      <c r="E137" s="0" t="str">
        <f aca="false">IF(A137="","",MONTH(A137))</f>
        <v/>
      </c>
    </row>
    <row r="138" customFormat="false" ht="15" hidden="false" customHeight="false" outlineLevel="0" collapsed="false">
      <c r="A138" s="30"/>
      <c r="C138" s="28"/>
      <c r="D138" s="0" t="str">
        <f aca="false">IF(A138="","",YEAR(A138))</f>
        <v/>
      </c>
      <c r="E138" s="0" t="str">
        <f aca="false">IF(A138="","",MONTH(A138))</f>
        <v/>
      </c>
    </row>
    <row r="139" customFormat="false" ht="15" hidden="false" customHeight="false" outlineLevel="0" collapsed="false">
      <c r="A139" s="30"/>
      <c r="C139" s="28"/>
      <c r="D139" s="0" t="str">
        <f aca="false">IF(A139="","",YEAR(A139))</f>
        <v/>
      </c>
      <c r="E139" s="0" t="str">
        <f aca="false">IF(A139="","",MONTH(A139))</f>
        <v/>
      </c>
    </row>
    <row r="140" customFormat="false" ht="15" hidden="false" customHeight="false" outlineLevel="0" collapsed="false">
      <c r="A140" s="30"/>
      <c r="C140" s="28"/>
      <c r="D140" s="0" t="str">
        <f aca="false">IF(A140="","",YEAR(A140))</f>
        <v/>
      </c>
      <c r="E140" s="0" t="str">
        <f aca="false">IF(A140="","",MONTH(A140))</f>
        <v/>
      </c>
    </row>
    <row r="141" customFormat="false" ht="15" hidden="false" customHeight="false" outlineLevel="0" collapsed="false">
      <c r="A141" s="30"/>
      <c r="C141" s="28"/>
      <c r="D141" s="0" t="str">
        <f aca="false">IF(A141="","",YEAR(A141))</f>
        <v/>
      </c>
      <c r="E141" s="0" t="str">
        <f aca="false">IF(A141="","",MONTH(A141))</f>
        <v/>
      </c>
    </row>
    <row r="142" customFormat="false" ht="15" hidden="false" customHeight="false" outlineLevel="0" collapsed="false">
      <c r="A142" s="30"/>
      <c r="C142" s="28"/>
      <c r="D142" s="0" t="str">
        <f aca="false">IF(A142="","",YEAR(A142))</f>
        <v/>
      </c>
      <c r="E142" s="0" t="str">
        <f aca="false">IF(A142="","",MONTH(A142))</f>
        <v/>
      </c>
    </row>
    <row r="143" customFormat="false" ht="15" hidden="false" customHeight="false" outlineLevel="0" collapsed="false">
      <c r="A143" s="30"/>
      <c r="C143" s="28"/>
      <c r="D143" s="0" t="str">
        <f aca="false">IF(A143="","",YEAR(A143))</f>
        <v/>
      </c>
      <c r="E143" s="0" t="str">
        <f aca="false">IF(A143="","",MONTH(A143))</f>
        <v/>
      </c>
    </row>
    <row r="144" customFormat="false" ht="15" hidden="false" customHeight="false" outlineLevel="0" collapsed="false">
      <c r="A144" s="30"/>
      <c r="C144" s="28"/>
      <c r="D144" s="0" t="str">
        <f aca="false">IF(A144="","",YEAR(A144))</f>
        <v/>
      </c>
      <c r="E144" s="0" t="str">
        <f aca="false">IF(A144="","",MONTH(A144))</f>
        <v/>
      </c>
    </row>
    <row r="145" customFormat="false" ht="15" hidden="false" customHeight="false" outlineLevel="0" collapsed="false">
      <c r="A145" s="30"/>
      <c r="C145" s="28"/>
      <c r="D145" s="0" t="str">
        <f aca="false">IF(A145="","",YEAR(A145))</f>
        <v/>
      </c>
      <c r="E145" s="0" t="str">
        <f aca="false">IF(A145="","",MONTH(A145))</f>
        <v/>
      </c>
    </row>
    <row r="146" customFormat="false" ht="15" hidden="false" customHeight="false" outlineLevel="0" collapsed="false">
      <c r="A146" s="30"/>
      <c r="C146" s="28"/>
      <c r="D146" s="0" t="str">
        <f aca="false">IF(A146="","",YEAR(A146))</f>
        <v/>
      </c>
      <c r="E146" s="0" t="str">
        <f aca="false">IF(A146="","",MONTH(A146))</f>
        <v/>
      </c>
    </row>
    <row r="147" customFormat="false" ht="15" hidden="false" customHeight="false" outlineLevel="0" collapsed="false">
      <c r="A147" s="30"/>
      <c r="C147" s="28"/>
      <c r="D147" s="0" t="str">
        <f aca="false">IF(A147="","",YEAR(A147))</f>
        <v/>
      </c>
      <c r="E147" s="0" t="str">
        <f aca="false">IF(A147="","",MONTH(A147))</f>
        <v/>
      </c>
    </row>
    <row r="148" customFormat="false" ht="15" hidden="false" customHeight="false" outlineLevel="0" collapsed="false">
      <c r="A148" s="30"/>
      <c r="C148" s="28"/>
      <c r="D148" s="0" t="str">
        <f aca="false">IF(A148="","",YEAR(A148))</f>
        <v/>
      </c>
      <c r="E148" s="0" t="str">
        <f aca="false">IF(A148="","",MONTH(A148))</f>
        <v/>
      </c>
    </row>
    <row r="149" customFormat="false" ht="15" hidden="false" customHeight="false" outlineLevel="0" collapsed="false">
      <c r="A149" s="30"/>
      <c r="C149" s="28"/>
      <c r="D149" s="0" t="str">
        <f aca="false">IF(A149="","",YEAR(A149))</f>
        <v/>
      </c>
      <c r="E149" s="0" t="str">
        <f aca="false">IF(A149="","",MONTH(A149))</f>
        <v/>
      </c>
    </row>
    <row r="150" customFormat="false" ht="15" hidden="false" customHeight="false" outlineLevel="0" collapsed="false">
      <c r="A150" s="30"/>
      <c r="C150" s="28"/>
      <c r="D150" s="0" t="str">
        <f aca="false">IF(A150="","",YEAR(A150))</f>
        <v/>
      </c>
      <c r="E150" s="0" t="str">
        <f aca="false">IF(A150="","",MONTH(A150))</f>
        <v/>
      </c>
    </row>
    <row r="151" customFormat="false" ht="15" hidden="false" customHeight="false" outlineLevel="0" collapsed="false">
      <c r="A151" s="30"/>
      <c r="C151" s="28"/>
      <c r="D151" s="0" t="str">
        <f aca="false">IF(A151="","",YEAR(A151))</f>
        <v/>
      </c>
      <c r="E151" s="0" t="str">
        <f aca="false">IF(A151="","",MONTH(A151))</f>
        <v/>
      </c>
    </row>
    <row r="152" customFormat="false" ht="15" hidden="false" customHeight="false" outlineLevel="0" collapsed="false">
      <c r="A152" s="30"/>
      <c r="C152" s="28"/>
      <c r="D152" s="0" t="str">
        <f aca="false">IF(A152="","",YEAR(A152))</f>
        <v/>
      </c>
      <c r="E152" s="0" t="str">
        <f aca="false">IF(A152="","",MONTH(A152))</f>
        <v/>
      </c>
    </row>
    <row r="153" customFormat="false" ht="15" hidden="false" customHeight="false" outlineLevel="0" collapsed="false">
      <c r="A153" s="30"/>
      <c r="C153" s="28"/>
      <c r="D153" s="0" t="str">
        <f aca="false">IF(A153="","",YEAR(A153))</f>
        <v/>
      </c>
      <c r="E153" s="0" t="str">
        <f aca="false">IF(A153="","",MONTH(A153))</f>
        <v/>
      </c>
    </row>
    <row r="154" customFormat="false" ht="15" hidden="false" customHeight="false" outlineLevel="0" collapsed="false">
      <c r="A154" s="30"/>
      <c r="C154" s="28"/>
      <c r="D154" s="0" t="str">
        <f aca="false">IF(A154="","",YEAR(A154))</f>
        <v/>
      </c>
      <c r="E154" s="0" t="str">
        <f aca="false">IF(A154="","",MONTH(A154))</f>
        <v/>
      </c>
    </row>
    <row r="155" customFormat="false" ht="15" hidden="false" customHeight="false" outlineLevel="0" collapsed="false">
      <c r="A155" s="30"/>
      <c r="C155" s="28"/>
      <c r="D155" s="0" t="str">
        <f aca="false">IF(A155="","",YEAR(A155))</f>
        <v/>
      </c>
      <c r="E155" s="0" t="str">
        <f aca="false">IF(A155="","",MONTH(A155))</f>
        <v/>
      </c>
    </row>
    <row r="156" customFormat="false" ht="15" hidden="false" customHeight="false" outlineLevel="0" collapsed="false">
      <c r="A156" s="30"/>
      <c r="C156" s="28"/>
      <c r="D156" s="0" t="str">
        <f aca="false">IF(A156="","",YEAR(A156))</f>
        <v/>
      </c>
      <c r="E156" s="0" t="str">
        <f aca="false">IF(A156="","",MONTH(A156))</f>
        <v/>
      </c>
    </row>
    <row r="157" customFormat="false" ht="15" hidden="false" customHeight="false" outlineLevel="0" collapsed="false">
      <c r="A157" s="30"/>
      <c r="C157" s="28"/>
      <c r="D157" s="0" t="str">
        <f aca="false">IF(A157="","",YEAR(A157))</f>
        <v/>
      </c>
      <c r="E157" s="0" t="str">
        <f aca="false">IF(A157="","",MONTH(A157))</f>
        <v/>
      </c>
    </row>
    <row r="158" customFormat="false" ht="15" hidden="false" customHeight="false" outlineLevel="0" collapsed="false">
      <c r="A158" s="30"/>
      <c r="C158" s="28"/>
      <c r="D158" s="0" t="str">
        <f aca="false">IF(A158="","",YEAR(A158))</f>
        <v/>
      </c>
      <c r="E158" s="0" t="str">
        <f aca="false">IF(A158="","",MONTH(A158))</f>
        <v/>
      </c>
    </row>
    <row r="159" customFormat="false" ht="15" hidden="false" customHeight="false" outlineLevel="0" collapsed="false">
      <c r="A159" s="30"/>
      <c r="C159" s="28"/>
      <c r="D159" s="0" t="str">
        <f aca="false">IF(A159="","",YEAR(A159))</f>
        <v/>
      </c>
      <c r="E159" s="0" t="str">
        <f aca="false">IF(A159="","",MONTH(A159))</f>
        <v/>
      </c>
    </row>
    <row r="160" customFormat="false" ht="15" hidden="false" customHeight="false" outlineLevel="0" collapsed="false">
      <c r="A160" s="30"/>
      <c r="C160" s="28"/>
      <c r="D160" s="0" t="str">
        <f aca="false">IF(A160="","",YEAR(A160))</f>
        <v/>
      </c>
      <c r="E160" s="0" t="str">
        <f aca="false">IF(A160="","",MONTH(A160))</f>
        <v/>
      </c>
    </row>
    <row r="161" customFormat="false" ht="15" hidden="false" customHeight="false" outlineLevel="0" collapsed="false">
      <c r="A161" s="30"/>
      <c r="C161" s="28"/>
      <c r="D161" s="0" t="str">
        <f aca="false">IF(A161="","",YEAR(A161))</f>
        <v/>
      </c>
      <c r="E161" s="0" t="str">
        <f aca="false">IF(A161="","",MONTH(A161))</f>
        <v/>
      </c>
    </row>
    <row r="162" customFormat="false" ht="15" hidden="false" customHeight="false" outlineLevel="0" collapsed="false">
      <c r="A162" s="30"/>
      <c r="C162" s="28"/>
      <c r="D162" s="0" t="str">
        <f aca="false">IF(A162="","",YEAR(A162))</f>
        <v/>
      </c>
      <c r="E162" s="0" t="str">
        <f aca="false">IF(A162="","",MONTH(A162))</f>
        <v/>
      </c>
    </row>
    <row r="163" customFormat="false" ht="15" hidden="false" customHeight="false" outlineLevel="0" collapsed="false">
      <c r="A163" s="30"/>
      <c r="C163" s="28"/>
      <c r="D163" s="0" t="str">
        <f aca="false">IF(A163="","",YEAR(A163))</f>
        <v/>
      </c>
      <c r="E163" s="0" t="str">
        <f aca="false">IF(A163="","",MONTH(A163))</f>
        <v/>
      </c>
    </row>
    <row r="164" customFormat="false" ht="15" hidden="false" customHeight="false" outlineLevel="0" collapsed="false">
      <c r="A164" s="30"/>
      <c r="C164" s="28"/>
      <c r="D164" s="0" t="str">
        <f aca="false">IF(A164="","",YEAR(A164))</f>
        <v/>
      </c>
      <c r="E164" s="0" t="str">
        <f aca="false">IF(A164="","",MONTH(A164))</f>
        <v/>
      </c>
    </row>
    <row r="165" customFormat="false" ht="15" hidden="false" customHeight="false" outlineLevel="0" collapsed="false">
      <c r="A165" s="30"/>
      <c r="C165" s="28"/>
      <c r="D165" s="0" t="str">
        <f aca="false">IF(A165="","",YEAR(A165))</f>
        <v/>
      </c>
      <c r="E165" s="0" t="str">
        <f aca="false">IF(A165="","",MONTH(A165))</f>
        <v/>
      </c>
    </row>
    <row r="166" customFormat="false" ht="15" hidden="false" customHeight="false" outlineLevel="0" collapsed="false">
      <c r="A166" s="30"/>
      <c r="C166" s="28"/>
      <c r="D166" s="0" t="str">
        <f aca="false">IF(A166="","",YEAR(A166))</f>
        <v/>
      </c>
      <c r="E166" s="0" t="str">
        <f aca="false">IF(A166="","",MONTH(A166))</f>
        <v/>
      </c>
    </row>
    <row r="167" customFormat="false" ht="15" hidden="false" customHeight="false" outlineLevel="0" collapsed="false">
      <c r="A167" s="30"/>
      <c r="C167" s="28"/>
      <c r="D167" s="0" t="str">
        <f aca="false">IF(A167="","",YEAR(A167))</f>
        <v/>
      </c>
      <c r="E167" s="0" t="str">
        <f aca="false">IF(A167="","",MONTH(A167))</f>
        <v/>
      </c>
    </row>
    <row r="168" customFormat="false" ht="15" hidden="false" customHeight="false" outlineLevel="0" collapsed="false">
      <c r="A168" s="30"/>
      <c r="C168" s="28"/>
      <c r="D168" s="0" t="str">
        <f aca="false">IF(A168="","",YEAR(A168))</f>
        <v/>
      </c>
      <c r="E168" s="0" t="str">
        <f aca="false">IF(A168="","",MONTH(A168))</f>
        <v/>
      </c>
    </row>
    <row r="169" customFormat="false" ht="15" hidden="false" customHeight="false" outlineLevel="0" collapsed="false">
      <c r="A169" s="30"/>
      <c r="C169" s="28"/>
      <c r="D169" s="0" t="str">
        <f aca="false">IF(A169="","",YEAR(A169))</f>
        <v/>
      </c>
      <c r="E169" s="0" t="str">
        <f aca="false">IF(A169="","",MONTH(A169))</f>
        <v/>
      </c>
    </row>
    <row r="170" customFormat="false" ht="15" hidden="false" customHeight="false" outlineLevel="0" collapsed="false">
      <c r="A170" s="30"/>
      <c r="C170" s="28"/>
      <c r="D170" s="0" t="str">
        <f aca="false">IF(A170="","",YEAR(A170))</f>
        <v/>
      </c>
      <c r="E170" s="0" t="str">
        <f aca="false">IF(A170="","",MONTH(A170))</f>
        <v/>
      </c>
    </row>
    <row r="171" customFormat="false" ht="15" hidden="false" customHeight="false" outlineLevel="0" collapsed="false">
      <c r="A171" s="30"/>
      <c r="C171" s="28"/>
      <c r="D171" s="0" t="str">
        <f aca="false">IF(A171="","",YEAR(A171))</f>
        <v/>
      </c>
      <c r="E171" s="0" t="str">
        <f aca="false">IF(A171="","",MONTH(A171))</f>
        <v/>
      </c>
    </row>
    <row r="172" customFormat="false" ht="15" hidden="false" customHeight="false" outlineLevel="0" collapsed="false">
      <c r="A172" s="30"/>
      <c r="C172" s="28"/>
      <c r="D172" s="0" t="str">
        <f aca="false">IF(A172="","",YEAR(A172))</f>
        <v/>
      </c>
      <c r="E172" s="0" t="str">
        <f aca="false">IF(A172="","",MONTH(A172))</f>
        <v/>
      </c>
    </row>
    <row r="173" customFormat="false" ht="15" hidden="false" customHeight="false" outlineLevel="0" collapsed="false">
      <c r="A173" s="30"/>
      <c r="C173" s="28"/>
      <c r="D173" s="0" t="str">
        <f aca="false">IF(A173="","",YEAR(A173))</f>
        <v/>
      </c>
      <c r="E173" s="0" t="str">
        <f aca="false">IF(A173="","",MONTH(A173))</f>
        <v/>
      </c>
    </row>
    <row r="174" customFormat="false" ht="15" hidden="false" customHeight="false" outlineLevel="0" collapsed="false">
      <c r="A174" s="30"/>
      <c r="C174" s="28"/>
      <c r="D174" s="0" t="str">
        <f aca="false">IF(A174="","",YEAR(A174))</f>
        <v/>
      </c>
      <c r="E174" s="0" t="str">
        <f aca="false">IF(A174="","",MONTH(A174))</f>
        <v/>
      </c>
    </row>
    <row r="175" customFormat="false" ht="15" hidden="false" customHeight="false" outlineLevel="0" collapsed="false">
      <c r="A175" s="30"/>
      <c r="C175" s="28"/>
      <c r="D175" s="0" t="str">
        <f aca="false">IF(A175="","",YEAR(A175))</f>
        <v/>
      </c>
      <c r="E175" s="0" t="str">
        <f aca="false">IF(A175="","",MONTH(A175))</f>
        <v/>
      </c>
    </row>
    <row r="176" customFormat="false" ht="15" hidden="false" customHeight="false" outlineLevel="0" collapsed="false">
      <c r="A176" s="30"/>
      <c r="C176" s="28"/>
      <c r="D176" s="0" t="str">
        <f aca="false">IF(A176="","",YEAR(A176))</f>
        <v/>
      </c>
      <c r="E176" s="0" t="str">
        <f aca="false">IF(A176="","",MONTH(A176))</f>
        <v/>
      </c>
    </row>
    <row r="177" customFormat="false" ht="15" hidden="false" customHeight="false" outlineLevel="0" collapsed="false">
      <c r="A177" s="30"/>
      <c r="C177" s="28"/>
      <c r="D177" s="0" t="str">
        <f aca="false">IF(A177="","",YEAR(A177))</f>
        <v/>
      </c>
      <c r="E177" s="0" t="str">
        <f aca="false">IF(A177="","",MONTH(A177))</f>
        <v/>
      </c>
    </row>
    <row r="178" customFormat="false" ht="15" hidden="false" customHeight="false" outlineLevel="0" collapsed="false">
      <c r="A178" s="30"/>
      <c r="C178" s="28"/>
      <c r="D178" s="0" t="str">
        <f aca="false">IF(A178="","",YEAR(A178))</f>
        <v/>
      </c>
      <c r="E178" s="0" t="str">
        <f aca="false">IF(A178="","",MONTH(A178))</f>
        <v/>
      </c>
    </row>
    <row r="179" customFormat="false" ht="15" hidden="false" customHeight="false" outlineLevel="0" collapsed="false">
      <c r="A179" s="30"/>
      <c r="C179" s="28"/>
      <c r="D179" s="0" t="str">
        <f aca="false">IF(A179="","",YEAR(A179))</f>
        <v/>
      </c>
      <c r="E179" s="0" t="str">
        <f aca="false">IF(A179="","",MONTH(A179))</f>
        <v/>
      </c>
    </row>
    <row r="180" customFormat="false" ht="15" hidden="false" customHeight="false" outlineLevel="0" collapsed="false">
      <c r="A180" s="30"/>
      <c r="C180" s="28"/>
      <c r="D180" s="0" t="str">
        <f aca="false">IF(A180="","",YEAR(A180))</f>
        <v/>
      </c>
      <c r="E180" s="0" t="str">
        <f aca="false">IF(A180="","",MONTH(A180))</f>
        <v/>
      </c>
    </row>
    <row r="181" customFormat="false" ht="15" hidden="false" customHeight="false" outlineLevel="0" collapsed="false">
      <c r="A181" s="30"/>
      <c r="C181" s="28"/>
      <c r="D181" s="0" t="str">
        <f aca="false">IF(A181="","",YEAR(A181))</f>
        <v/>
      </c>
      <c r="E181" s="0" t="str">
        <f aca="false">IF(A181="","",MONTH(A181))</f>
        <v/>
      </c>
    </row>
    <row r="182" customFormat="false" ht="15" hidden="false" customHeight="false" outlineLevel="0" collapsed="false">
      <c r="A182" s="30"/>
      <c r="C182" s="28"/>
      <c r="D182" s="0" t="str">
        <f aca="false">IF(A182="","",YEAR(A182))</f>
        <v/>
      </c>
      <c r="E182" s="0" t="str">
        <f aca="false">IF(A182="","",MONTH(A182))</f>
        <v/>
      </c>
    </row>
    <row r="183" customFormat="false" ht="15" hidden="false" customHeight="false" outlineLevel="0" collapsed="false">
      <c r="A183" s="30"/>
      <c r="C183" s="28"/>
      <c r="D183" s="0" t="str">
        <f aca="false">IF(A183="","",YEAR(A183))</f>
        <v/>
      </c>
      <c r="E183" s="0" t="str">
        <f aca="false">IF(A183="","",MONTH(A183))</f>
        <v/>
      </c>
    </row>
    <row r="184" customFormat="false" ht="15" hidden="false" customHeight="false" outlineLevel="0" collapsed="false">
      <c r="A184" s="30"/>
      <c r="C184" s="28"/>
      <c r="D184" s="0" t="str">
        <f aca="false">IF(A184="","",YEAR(A184))</f>
        <v/>
      </c>
      <c r="E184" s="0" t="str">
        <f aca="false">IF(A184="","",MONTH(A184))</f>
        <v/>
      </c>
    </row>
    <row r="185" customFormat="false" ht="15" hidden="false" customHeight="false" outlineLevel="0" collapsed="false">
      <c r="A185" s="30"/>
      <c r="C185" s="28"/>
      <c r="D185" s="0" t="str">
        <f aca="false">IF(A185="","",YEAR(A185))</f>
        <v/>
      </c>
      <c r="E185" s="0" t="str">
        <f aca="false">IF(A185="","",MONTH(A185))</f>
        <v/>
      </c>
    </row>
    <row r="186" customFormat="false" ht="15" hidden="false" customHeight="false" outlineLevel="0" collapsed="false">
      <c r="A186" s="30"/>
      <c r="C186" s="28"/>
      <c r="D186" s="0" t="str">
        <f aca="false">IF(A186="","",YEAR(A186))</f>
        <v/>
      </c>
      <c r="E186" s="0" t="str">
        <f aca="false">IF(A186="","",MONTH(A186))</f>
        <v/>
      </c>
    </row>
    <row r="187" customFormat="false" ht="15" hidden="false" customHeight="false" outlineLevel="0" collapsed="false">
      <c r="A187" s="30"/>
      <c r="C187" s="28"/>
      <c r="D187" s="0" t="str">
        <f aca="false">IF(A187="","",YEAR(A187))</f>
        <v/>
      </c>
      <c r="E187" s="0" t="str">
        <f aca="false">IF(A187="","",MONTH(A187))</f>
        <v/>
      </c>
    </row>
    <row r="188" customFormat="false" ht="15" hidden="false" customHeight="false" outlineLevel="0" collapsed="false">
      <c r="A188" s="30"/>
      <c r="C188" s="28"/>
      <c r="D188" s="0" t="str">
        <f aca="false">IF(A188="","",YEAR(A188))</f>
        <v/>
      </c>
      <c r="E188" s="0" t="str">
        <f aca="false">IF(A188="","",MONTH(A188))</f>
        <v/>
      </c>
    </row>
    <row r="189" customFormat="false" ht="15" hidden="false" customHeight="false" outlineLevel="0" collapsed="false">
      <c r="A189" s="30"/>
      <c r="C189" s="28"/>
      <c r="D189" s="0" t="str">
        <f aca="false">IF(A189="","",YEAR(A189))</f>
        <v/>
      </c>
      <c r="E189" s="0" t="str">
        <f aca="false">IF(A189="","",MONTH(A189))</f>
        <v/>
      </c>
    </row>
    <row r="190" customFormat="false" ht="15" hidden="false" customHeight="false" outlineLevel="0" collapsed="false">
      <c r="A190" s="30"/>
      <c r="C190" s="28"/>
      <c r="D190" s="0" t="str">
        <f aca="false">IF(A190="","",YEAR(A190))</f>
        <v/>
      </c>
      <c r="E190" s="0" t="str">
        <f aca="false">IF(A190="","",MONTH(A190))</f>
        <v/>
      </c>
    </row>
    <row r="191" customFormat="false" ht="15" hidden="false" customHeight="false" outlineLevel="0" collapsed="false">
      <c r="A191" s="30"/>
      <c r="C191" s="28"/>
      <c r="D191" s="0" t="str">
        <f aca="false">IF(A191="","",YEAR(A191))</f>
        <v/>
      </c>
      <c r="E191" s="0" t="str">
        <f aca="false">IF(A191="","",MONTH(A191))</f>
        <v/>
      </c>
    </row>
    <row r="192" customFormat="false" ht="15" hidden="false" customHeight="false" outlineLevel="0" collapsed="false">
      <c r="A192" s="30"/>
      <c r="C192" s="28"/>
      <c r="D192" s="0" t="str">
        <f aca="false">IF(A192="","",YEAR(A192))</f>
        <v/>
      </c>
      <c r="E192" s="0" t="str">
        <f aca="false">IF(A192="","",MONTH(A192))</f>
        <v/>
      </c>
    </row>
    <row r="193" customFormat="false" ht="15" hidden="false" customHeight="false" outlineLevel="0" collapsed="false">
      <c r="A193" s="30"/>
      <c r="C193" s="28"/>
      <c r="D193" s="0" t="str">
        <f aca="false">IF(A193="","",YEAR(A193))</f>
        <v/>
      </c>
      <c r="E193" s="0" t="str">
        <f aca="false">IF(A193="","",MONTH(A193))</f>
        <v/>
      </c>
    </row>
    <row r="194" customFormat="false" ht="15" hidden="false" customHeight="false" outlineLevel="0" collapsed="false">
      <c r="A194" s="30"/>
      <c r="C194" s="28"/>
      <c r="D194" s="0" t="str">
        <f aca="false">IF(A194="","",YEAR(A194))</f>
        <v/>
      </c>
      <c r="E194" s="0" t="str">
        <f aca="false">IF(A194="","",MONTH(A194))</f>
        <v/>
      </c>
    </row>
    <row r="195" customFormat="false" ht="15" hidden="false" customHeight="false" outlineLevel="0" collapsed="false">
      <c r="A195" s="30"/>
      <c r="C195" s="28"/>
      <c r="D195" s="0" t="str">
        <f aca="false">IF(A195="","",YEAR(A195))</f>
        <v/>
      </c>
      <c r="E195" s="0" t="str">
        <f aca="false">IF(A195="","",MONTH(A195))</f>
        <v/>
      </c>
    </row>
    <row r="196" customFormat="false" ht="15" hidden="false" customHeight="false" outlineLevel="0" collapsed="false">
      <c r="A196" s="30"/>
      <c r="C196" s="28"/>
      <c r="D196" s="0" t="str">
        <f aca="false">IF(A196="","",YEAR(A196))</f>
        <v/>
      </c>
      <c r="E196" s="0" t="str">
        <f aca="false">IF(A196="","",MONTH(A196))</f>
        <v/>
      </c>
    </row>
    <row r="197" customFormat="false" ht="15" hidden="false" customHeight="false" outlineLevel="0" collapsed="false">
      <c r="A197" s="30"/>
      <c r="C197" s="28"/>
      <c r="D197" s="0" t="str">
        <f aca="false">IF(A197="","",YEAR(A197))</f>
        <v/>
      </c>
      <c r="E197" s="0" t="str">
        <f aca="false">IF(A197="","",MONTH(A197))</f>
        <v/>
      </c>
    </row>
    <row r="198" customFormat="false" ht="15" hidden="false" customHeight="false" outlineLevel="0" collapsed="false">
      <c r="A198" s="30"/>
      <c r="C198" s="28"/>
      <c r="D198" s="0" t="str">
        <f aca="false">IF(A198="","",YEAR(A198))</f>
        <v/>
      </c>
      <c r="E198" s="0" t="str">
        <f aca="false">IF(A198="","",MONTH(A198))</f>
        <v/>
      </c>
    </row>
    <row r="199" customFormat="false" ht="15" hidden="false" customHeight="false" outlineLevel="0" collapsed="false">
      <c r="A199" s="30"/>
      <c r="C199" s="28"/>
      <c r="D199" s="0" t="str">
        <f aca="false">IF(A199="","",YEAR(A199))</f>
        <v/>
      </c>
      <c r="E199" s="0" t="str">
        <f aca="false">IF(A199="","",MONTH(A199))</f>
        <v/>
      </c>
    </row>
    <row r="200" customFormat="false" ht="15" hidden="false" customHeight="false" outlineLevel="0" collapsed="false">
      <c r="A200" s="30"/>
      <c r="C200" s="28"/>
      <c r="D200" s="0" t="str">
        <f aca="false">IF(A200="","",YEAR(A200))</f>
        <v/>
      </c>
      <c r="E200" s="0" t="str">
        <f aca="false">IF(A200="","",MONTH(A200))</f>
        <v/>
      </c>
    </row>
    <row r="201" customFormat="false" ht="15" hidden="false" customHeight="false" outlineLevel="0" collapsed="false">
      <c r="A201" s="30"/>
      <c r="C201" s="28"/>
      <c r="D201" s="0" t="str">
        <f aca="false">IF(A201="","",YEAR(A201))</f>
        <v/>
      </c>
      <c r="E201" s="0" t="str">
        <f aca="false">IF(A201="","",MONTH(A201))</f>
        <v/>
      </c>
    </row>
    <row r="202" customFormat="false" ht="15" hidden="false" customHeight="false" outlineLevel="0" collapsed="false">
      <c r="A202" s="30"/>
      <c r="C202" s="28"/>
      <c r="D202" s="0" t="str">
        <f aca="false">IF(A202="","",YEAR(A202))</f>
        <v/>
      </c>
      <c r="E202" s="0" t="str">
        <f aca="false">IF(A202="","",MONTH(A202))</f>
        <v/>
      </c>
    </row>
    <row r="203" customFormat="false" ht="15" hidden="false" customHeight="false" outlineLevel="0" collapsed="false">
      <c r="A203" s="30"/>
      <c r="C203" s="28"/>
      <c r="D203" s="0" t="str">
        <f aca="false">IF(A203="","",YEAR(A203))</f>
        <v/>
      </c>
      <c r="E203" s="0" t="str">
        <f aca="false">IF(A203="","",MONTH(A203))</f>
        <v/>
      </c>
    </row>
    <row r="204" customFormat="false" ht="15" hidden="false" customHeight="false" outlineLevel="0" collapsed="false">
      <c r="A204" s="30"/>
      <c r="C204" s="28"/>
      <c r="D204" s="0" t="str">
        <f aca="false">IF(A204="","",YEAR(A204))</f>
        <v/>
      </c>
      <c r="E204" s="0" t="str">
        <f aca="false">IF(A204="","",MONTH(A204))</f>
        <v/>
      </c>
    </row>
    <row r="205" customFormat="false" ht="15" hidden="false" customHeight="false" outlineLevel="0" collapsed="false">
      <c r="A205" s="30"/>
      <c r="C205" s="28"/>
      <c r="D205" s="0" t="str">
        <f aca="false">IF(A205="","",YEAR(A205))</f>
        <v/>
      </c>
      <c r="E205" s="0" t="str">
        <f aca="false">IF(A205="","",MONTH(A205))</f>
        <v/>
      </c>
    </row>
    <row r="206" customFormat="false" ht="15" hidden="false" customHeight="false" outlineLevel="0" collapsed="false">
      <c r="A206" s="30"/>
      <c r="C206" s="28"/>
      <c r="D206" s="0" t="str">
        <f aca="false">IF(A206="","",YEAR(A206))</f>
        <v/>
      </c>
      <c r="E206" s="0" t="str">
        <f aca="false">IF(A206="","",MONTH(A206))</f>
        <v/>
      </c>
    </row>
    <row r="207" customFormat="false" ht="15" hidden="false" customHeight="false" outlineLevel="0" collapsed="false">
      <c r="A207" s="30"/>
      <c r="C207" s="28"/>
      <c r="D207" s="0" t="str">
        <f aca="false">IF(A207="","",YEAR(A207))</f>
        <v/>
      </c>
      <c r="E207" s="0" t="str">
        <f aca="false">IF(A207="","",MONTH(A207))</f>
        <v/>
      </c>
    </row>
    <row r="208" customFormat="false" ht="15" hidden="false" customHeight="false" outlineLevel="0" collapsed="false">
      <c r="A208" s="30"/>
      <c r="C208" s="28"/>
      <c r="D208" s="0" t="str">
        <f aca="false">IF(A208="","",YEAR(A208))</f>
        <v/>
      </c>
      <c r="E208" s="0" t="str">
        <f aca="false">IF(A208="","",MONTH(A208))</f>
        <v/>
      </c>
    </row>
    <row r="209" customFormat="false" ht="15" hidden="false" customHeight="false" outlineLevel="0" collapsed="false">
      <c r="A209" s="30"/>
      <c r="C209" s="28"/>
      <c r="D209" s="0" t="str">
        <f aca="false">IF(A209="","",YEAR(A209))</f>
        <v/>
      </c>
      <c r="E209" s="0" t="str">
        <f aca="false">IF(A209="","",MONTH(A209))</f>
        <v/>
      </c>
    </row>
    <row r="210" customFormat="false" ht="15" hidden="false" customHeight="false" outlineLevel="0" collapsed="false">
      <c r="A210" s="30"/>
      <c r="C210" s="28"/>
      <c r="D210" s="0" t="str">
        <f aca="false">IF(A210="","",YEAR(A210))</f>
        <v/>
      </c>
      <c r="E210" s="0" t="str">
        <f aca="false">IF(A210="","",MONTH(A210))</f>
        <v/>
      </c>
    </row>
    <row r="211" customFormat="false" ht="15" hidden="false" customHeight="false" outlineLevel="0" collapsed="false">
      <c r="A211" s="30"/>
      <c r="C211" s="28"/>
      <c r="D211" s="0" t="str">
        <f aca="false">IF(A211="","",YEAR(A211))</f>
        <v/>
      </c>
      <c r="E211" s="0" t="str">
        <f aca="false">IF(A211="","",MONTH(A211))</f>
        <v/>
      </c>
    </row>
    <row r="212" customFormat="false" ht="15" hidden="false" customHeight="false" outlineLevel="0" collapsed="false">
      <c r="A212" s="30"/>
      <c r="C212" s="28"/>
      <c r="D212" s="0" t="str">
        <f aca="false">IF(A212="","",YEAR(A212))</f>
        <v/>
      </c>
      <c r="E212" s="0" t="str">
        <f aca="false">IF(A212="","",MONTH(A212))</f>
        <v/>
      </c>
    </row>
    <row r="213" customFormat="false" ht="15" hidden="false" customHeight="false" outlineLevel="0" collapsed="false">
      <c r="A213" s="30"/>
      <c r="C213" s="28"/>
      <c r="D213" s="0" t="str">
        <f aca="false">IF(A213="","",YEAR(A213))</f>
        <v/>
      </c>
      <c r="E213" s="0" t="str">
        <f aca="false">IF(A213="","",MONTH(A213))</f>
        <v/>
      </c>
    </row>
    <row r="214" customFormat="false" ht="15" hidden="false" customHeight="false" outlineLevel="0" collapsed="false">
      <c r="A214" s="30"/>
      <c r="C214" s="28"/>
      <c r="D214" s="0" t="str">
        <f aca="false">IF(A214="","",YEAR(A214))</f>
        <v/>
      </c>
      <c r="E214" s="0" t="str">
        <f aca="false">IF(A214="","",MONTH(A214))</f>
        <v/>
      </c>
    </row>
    <row r="215" customFormat="false" ht="15" hidden="false" customHeight="false" outlineLevel="0" collapsed="false">
      <c r="A215" s="30"/>
      <c r="C215" s="28"/>
      <c r="D215" s="0" t="str">
        <f aca="false">IF(A215="","",YEAR(A215))</f>
        <v/>
      </c>
      <c r="E215" s="0" t="str">
        <f aca="false">IF(A215="","",MONTH(A215))</f>
        <v/>
      </c>
    </row>
    <row r="216" customFormat="false" ht="15" hidden="false" customHeight="false" outlineLevel="0" collapsed="false">
      <c r="A216" s="30"/>
      <c r="C216" s="28"/>
      <c r="D216" s="0" t="str">
        <f aca="false">IF(A216="","",YEAR(A216))</f>
        <v/>
      </c>
      <c r="E216" s="0" t="str">
        <f aca="false">IF(A216="","",MONTH(A216))</f>
        <v/>
      </c>
    </row>
    <row r="217" customFormat="false" ht="15" hidden="false" customHeight="false" outlineLevel="0" collapsed="false">
      <c r="A217" s="30"/>
      <c r="C217" s="28"/>
      <c r="D217" s="0" t="str">
        <f aca="false">IF(A217="","",YEAR(A217))</f>
        <v/>
      </c>
      <c r="E217" s="0" t="str">
        <f aca="false">IF(A217="","",MONTH(A217))</f>
        <v/>
      </c>
    </row>
    <row r="218" customFormat="false" ht="15" hidden="false" customHeight="false" outlineLevel="0" collapsed="false">
      <c r="A218" s="30"/>
      <c r="C218" s="28"/>
      <c r="D218" s="0" t="str">
        <f aca="false">IF(A218="","",YEAR(A218))</f>
        <v/>
      </c>
      <c r="E218" s="0" t="str">
        <f aca="false">IF(A218="","",MONTH(A218))</f>
        <v/>
      </c>
    </row>
    <row r="219" customFormat="false" ht="15" hidden="false" customHeight="false" outlineLevel="0" collapsed="false">
      <c r="A219" s="30"/>
      <c r="C219" s="28"/>
      <c r="D219" s="0" t="str">
        <f aca="false">IF(A219="","",YEAR(A219))</f>
        <v/>
      </c>
      <c r="E219" s="0" t="str">
        <f aca="false">IF(A219="","",MONTH(A219))</f>
        <v/>
      </c>
    </row>
    <row r="220" customFormat="false" ht="15" hidden="false" customHeight="false" outlineLevel="0" collapsed="false">
      <c r="A220" s="30"/>
      <c r="C220" s="28"/>
      <c r="D220" s="0" t="str">
        <f aca="false">IF(A220="","",YEAR(A220))</f>
        <v/>
      </c>
      <c r="E220" s="0" t="str">
        <f aca="false">IF(A220="","",MONTH(A220))</f>
        <v/>
      </c>
    </row>
    <row r="221" customFormat="false" ht="15" hidden="false" customHeight="false" outlineLevel="0" collapsed="false">
      <c r="A221" s="30"/>
      <c r="C221" s="28"/>
      <c r="D221" s="0" t="str">
        <f aca="false">IF(A221="","",YEAR(A221))</f>
        <v/>
      </c>
      <c r="E221" s="0" t="str">
        <f aca="false">IF(A221="","",MONTH(A221))</f>
        <v/>
      </c>
    </row>
    <row r="222" customFormat="false" ht="15" hidden="false" customHeight="false" outlineLevel="0" collapsed="false">
      <c r="A222" s="30"/>
      <c r="C222" s="28"/>
      <c r="D222" s="0" t="str">
        <f aca="false">IF(A222="","",YEAR(A222))</f>
        <v/>
      </c>
      <c r="E222" s="0" t="str">
        <f aca="false">IF(A222="","",MONTH(A222))</f>
        <v/>
      </c>
    </row>
    <row r="223" customFormat="false" ht="15" hidden="false" customHeight="false" outlineLevel="0" collapsed="false">
      <c r="A223" s="30"/>
      <c r="C223" s="28"/>
      <c r="D223" s="0" t="str">
        <f aca="false">IF(A223="","",YEAR(A223))</f>
        <v/>
      </c>
      <c r="E223" s="0" t="str">
        <f aca="false">IF(A223="","",MONTH(A223))</f>
        <v/>
      </c>
    </row>
    <row r="224" customFormat="false" ht="15" hidden="false" customHeight="false" outlineLevel="0" collapsed="false">
      <c r="A224" s="30"/>
      <c r="C224" s="28"/>
      <c r="D224" s="0" t="str">
        <f aca="false">IF(A224="","",YEAR(A224))</f>
        <v/>
      </c>
      <c r="E224" s="0" t="str">
        <f aca="false">IF(A224="","",MONTH(A224))</f>
        <v/>
      </c>
    </row>
    <row r="225" customFormat="false" ht="15" hidden="false" customHeight="false" outlineLevel="0" collapsed="false">
      <c r="A225" s="30"/>
      <c r="C225" s="28"/>
      <c r="D225" s="0" t="str">
        <f aca="false">IF(A225="","",YEAR(A225))</f>
        <v/>
      </c>
      <c r="E225" s="0" t="str">
        <f aca="false">IF(A225="","",MONTH(A225))</f>
        <v/>
      </c>
    </row>
    <row r="226" customFormat="false" ht="15" hidden="false" customHeight="false" outlineLevel="0" collapsed="false">
      <c r="A226" s="30"/>
      <c r="C226" s="28"/>
      <c r="D226" s="0" t="str">
        <f aca="false">IF(A226="","",YEAR(A226))</f>
        <v/>
      </c>
      <c r="E226" s="0" t="str">
        <f aca="false">IF(A226="","",MONTH(A226))</f>
        <v/>
      </c>
    </row>
    <row r="227" customFormat="false" ht="15" hidden="false" customHeight="false" outlineLevel="0" collapsed="false">
      <c r="A227" s="30"/>
      <c r="C227" s="28"/>
      <c r="D227" s="0" t="str">
        <f aca="false">IF(A227="","",YEAR(A227))</f>
        <v/>
      </c>
      <c r="E227" s="0" t="str">
        <f aca="false">IF(A227="","",MONTH(A227))</f>
        <v/>
      </c>
    </row>
    <row r="228" customFormat="false" ht="15" hidden="false" customHeight="false" outlineLevel="0" collapsed="false">
      <c r="A228" s="30"/>
      <c r="C228" s="28"/>
      <c r="D228" s="0" t="str">
        <f aca="false">IF(A228="","",YEAR(A228))</f>
        <v/>
      </c>
      <c r="E228" s="0" t="str">
        <f aca="false">IF(A228="","",MONTH(A228))</f>
        <v/>
      </c>
    </row>
    <row r="229" customFormat="false" ht="15" hidden="false" customHeight="false" outlineLevel="0" collapsed="false">
      <c r="A229" s="30"/>
      <c r="C229" s="28"/>
      <c r="D229" s="0" t="str">
        <f aca="false">IF(A229="","",YEAR(A229))</f>
        <v/>
      </c>
      <c r="E229" s="0" t="str">
        <f aca="false">IF(A229="","",MONTH(A229))</f>
        <v/>
      </c>
    </row>
    <row r="230" customFormat="false" ht="15" hidden="false" customHeight="false" outlineLevel="0" collapsed="false">
      <c r="A230" s="30"/>
      <c r="C230" s="28"/>
      <c r="D230" s="0" t="str">
        <f aca="false">IF(A230="","",YEAR(A230))</f>
        <v/>
      </c>
      <c r="E230" s="0" t="str">
        <f aca="false">IF(A230="","",MONTH(A230))</f>
        <v/>
      </c>
    </row>
    <row r="231" customFormat="false" ht="15" hidden="false" customHeight="false" outlineLevel="0" collapsed="false">
      <c r="A231" s="30"/>
      <c r="C231" s="28"/>
      <c r="D231" s="0" t="str">
        <f aca="false">IF(A231="","",YEAR(A231))</f>
        <v/>
      </c>
      <c r="E231" s="0" t="str">
        <f aca="false">IF(A231="","",MONTH(A231))</f>
        <v/>
      </c>
    </row>
    <row r="232" customFormat="false" ht="15" hidden="false" customHeight="false" outlineLevel="0" collapsed="false">
      <c r="A232" s="30"/>
      <c r="C232" s="28"/>
      <c r="D232" s="0" t="str">
        <f aca="false">IF(A232="","",YEAR(A232))</f>
        <v/>
      </c>
      <c r="E232" s="0" t="str">
        <f aca="false">IF(A232="","",MONTH(A232))</f>
        <v/>
      </c>
    </row>
    <row r="233" customFormat="false" ht="15" hidden="false" customHeight="false" outlineLevel="0" collapsed="false">
      <c r="A233" s="30"/>
      <c r="C233" s="28"/>
      <c r="D233" s="0" t="str">
        <f aca="false">IF(A233="","",YEAR(A233))</f>
        <v/>
      </c>
      <c r="E233" s="0" t="str">
        <f aca="false">IF(A233="","",MONTH(A233))</f>
        <v/>
      </c>
    </row>
    <row r="234" customFormat="false" ht="15" hidden="false" customHeight="false" outlineLevel="0" collapsed="false">
      <c r="A234" s="30"/>
      <c r="C234" s="28"/>
      <c r="D234" s="0" t="str">
        <f aca="false">IF(A234="","",YEAR(A234))</f>
        <v/>
      </c>
      <c r="E234" s="0" t="str">
        <f aca="false">IF(A234="","",MONTH(A234))</f>
        <v/>
      </c>
    </row>
    <row r="235" customFormat="false" ht="15" hidden="false" customHeight="false" outlineLevel="0" collapsed="false">
      <c r="A235" s="30"/>
      <c r="C235" s="28"/>
      <c r="D235" s="0" t="str">
        <f aca="false">IF(A235="","",YEAR(A235))</f>
        <v/>
      </c>
      <c r="E235" s="0" t="str">
        <f aca="false">IF(A235="","",MONTH(A235))</f>
        <v/>
      </c>
    </row>
    <row r="236" customFormat="false" ht="15" hidden="false" customHeight="false" outlineLevel="0" collapsed="false">
      <c r="A236" s="30"/>
      <c r="C236" s="28"/>
      <c r="D236" s="0" t="str">
        <f aca="false">IF(A236="","",YEAR(A236))</f>
        <v/>
      </c>
      <c r="E236" s="0" t="str">
        <f aca="false">IF(A236="","",MONTH(A236))</f>
        <v/>
      </c>
    </row>
    <row r="237" customFormat="false" ht="15" hidden="false" customHeight="false" outlineLevel="0" collapsed="false">
      <c r="A237" s="30"/>
      <c r="C237" s="28"/>
      <c r="D237" s="0" t="str">
        <f aca="false">IF(A237="","",YEAR(A237))</f>
        <v/>
      </c>
      <c r="E237" s="0" t="str">
        <f aca="false">IF(A237="","",MONTH(A237))</f>
        <v/>
      </c>
    </row>
    <row r="238" customFormat="false" ht="15" hidden="false" customHeight="false" outlineLevel="0" collapsed="false">
      <c r="A238" s="30"/>
      <c r="C238" s="28"/>
      <c r="D238" s="0" t="str">
        <f aca="false">IF(A238="","",YEAR(A238))</f>
        <v/>
      </c>
      <c r="E238" s="0" t="str">
        <f aca="false">IF(A238="","",MONTH(A238))</f>
        <v/>
      </c>
    </row>
    <row r="239" customFormat="false" ht="15" hidden="false" customHeight="false" outlineLevel="0" collapsed="false">
      <c r="A239" s="30"/>
      <c r="C239" s="28"/>
      <c r="D239" s="0" t="str">
        <f aca="false">IF(A239="","",YEAR(A239))</f>
        <v/>
      </c>
      <c r="E239" s="0" t="str">
        <f aca="false">IF(A239="","",MONTH(A239))</f>
        <v/>
      </c>
    </row>
    <row r="240" customFormat="false" ht="15" hidden="false" customHeight="false" outlineLevel="0" collapsed="false">
      <c r="A240" s="30"/>
      <c r="C240" s="28"/>
      <c r="D240" s="0" t="str">
        <f aca="false">IF(A240="","",YEAR(A240))</f>
        <v/>
      </c>
      <c r="E240" s="0" t="str">
        <f aca="false">IF(A240="","",MONTH(A240))</f>
        <v/>
      </c>
    </row>
    <row r="241" customFormat="false" ht="15" hidden="false" customHeight="false" outlineLevel="0" collapsed="false">
      <c r="A241" s="30"/>
      <c r="C241" s="28"/>
      <c r="D241" s="0" t="str">
        <f aca="false">IF(A241="","",YEAR(A241))</f>
        <v/>
      </c>
      <c r="E241" s="0" t="str">
        <f aca="false">IF(A241="","",MONTH(A241))</f>
        <v/>
      </c>
    </row>
    <row r="242" customFormat="false" ht="15" hidden="false" customHeight="false" outlineLevel="0" collapsed="false">
      <c r="A242" s="30"/>
      <c r="C242" s="28"/>
      <c r="D242" s="0" t="str">
        <f aca="false">IF(A242="","",YEAR(A242))</f>
        <v/>
      </c>
      <c r="E242" s="0" t="str">
        <f aca="false">IF(A242="","",MONTH(A242))</f>
        <v/>
      </c>
    </row>
    <row r="243" customFormat="false" ht="15" hidden="false" customHeight="false" outlineLevel="0" collapsed="false">
      <c r="A243" s="30"/>
      <c r="C243" s="28"/>
      <c r="D243" s="0" t="str">
        <f aca="false">IF(A243="","",YEAR(A243))</f>
        <v/>
      </c>
      <c r="E243" s="0" t="str">
        <f aca="false">IF(A243="","",MONTH(A243))</f>
        <v/>
      </c>
    </row>
    <row r="244" customFormat="false" ht="15" hidden="false" customHeight="false" outlineLevel="0" collapsed="false">
      <c r="A244" s="30"/>
      <c r="C244" s="28"/>
      <c r="D244" s="0" t="str">
        <f aca="false">IF(A244="","",YEAR(A244))</f>
        <v/>
      </c>
      <c r="E244" s="0" t="str">
        <f aca="false">IF(A244="","",MONTH(A244))</f>
        <v/>
      </c>
    </row>
    <row r="245" customFormat="false" ht="15" hidden="false" customHeight="false" outlineLevel="0" collapsed="false">
      <c r="A245" s="30"/>
      <c r="C245" s="28"/>
      <c r="D245" s="0" t="str">
        <f aca="false">IF(A245="","",YEAR(A245))</f>
        <v/>
      </c>
      <c r="E245" s="0" t="str">
        <f aca="false">IF(A245="","",MONTH(A245))</f>
        <v/>
      </c>
    </row>
    <row r="246" customFormat="false" ht="15" hidden="false" customHeight="false" outlineLevel="0" collapsed="false">
      <c r="A246" s="30"/>
      <c r="C246" s="28"/>
      <c r="D246" s="0" t="str">
        <f aca="false">IF(A246="","",YEAR(A246))</f>
        <v/>
      </c>
      <c r="E246" s="0" t="str">
        <f aca="false">IF(A246="","",MONTH(A246))</f>
        <v/>
      </c>
    </row>
    <row r="247" customFormat="false" ht="15" hidden="false" customHeight="false" outlineLevel="0" collapsed="false">
      <c r="A247" s="30"/>
      <c r="C247" s="28"/>
      <c r="D247" s="0" t="str">
        <f aca="false">IF(A247="","",YEAR(A247))</f>
        <v/>
      </c>
      <c r="E247" s="0" t="str">
        <f aca="false">IF(A247="","",MONTH(A247))</f>
        <v/>
      </c>
    </row>
    <row r="248" customFormat="false" ht="15" hidden="false" customHeight="false" outlineLevel="0" collapsed="false">
      <c r="A248" s="30"/>
      <c r="C248" s="28"/>
      <c r="D248" s="0" t="str">
        <f aca="false">IF(A248="","",YEAR(A248))</f>
        <v/>
      </c>
      <c r="E248" s="0" t="str">
        <f aca="false">IF(A248="","",MONTH(A248))</f>
        <v/>
      </c>
    </row>
    <row r="249" customFormat="false" ht="15" hidden="false" customHeight="false" outlineLevel="0" collapsed="false">
      <c r="A249" s="30"/>
      <c r="C249" s="28"/>
      <c r="D249" s="0" t="str">
        <f aca="false">IF(A249="","",YEAR(A249))</f>
        <v/>
      </c>
      <c r="E249" s="0" t="str">
        <f aca="false">IF(A249="","",MONTH(A249))</f>
        <v/>
      </c>
    </row>
    <row r="250" customFormat="false" ht="15" hidden="false" customHeight="false" outlineLevel="0" collapsed="false">
      <c r="A250" s="30"/>
      <c r="C250" s="28"/>
      <c r="D250" s="0" t="str">
        <f aca="false">IF(A250="","",YEAR(A250))</f>
        <v/>
      </c>
      <c r="E250" s="0" t="str">
        <f aca="false">IF(A250="","",MONTH(A250))</f>
        <v/>
      </c>
    </row>
    <row r="251" customFormat="false" ht="15" hidden="false" customHeight="false" outlineLevel="0" collapsed="false">
      <c r="A251" s="30"/>
      <c r="C251" s="28"/>
      <c r="D251" s="0" t="str">
        <f aca="false">IF(A251="","",YEAR(A251))</f>
        <v/>
      </c>
      <c r="E251" s="0" t="str">
        <f aca="false">IF(A251="","",MONTH(A251))</f>
        <v/>
      </c>
    </row>
    <row r="252" customFormat="false" ht="15" hidden="false" customHeight="false" outlineLevel="0" collapsed="false">
      <c r="A252" s="30"/>
      <c r="C252" s="28"/>
      <c r="D252" s="0" t="str">
        <f aca="false">IF(A252="","",YEAR(A252))</f>
        <v/>
      </c>
      <c r="E252" s="0" t="str">
        <f aca="false">IF(A252="","",MONTH(A252))</f>
        <v/>
      </c>
    </row>
    <row r="253" customFormat="false" ht="15" hidden="false" customHeight="false" outlineLevel="0" collapsed="false">
      <c r="A253" s="30"/>
      <c r="C253" s="28"/>
      <c r="D253" s="0" t="str">
        <f aca="false">IF(A253="","",YEAR(A253))</f>
        <v/>
      </c>
      <c r="E253" s="0" t="str">
        <f aca="false">IF(A253="","",MONTH(A253))</f>
        <v/>
      </c>
    </row>
    <row r="254" customFormat="false" ht="15" hidden="false" customHeight="false" outlineLevel="0" collapsed="false">
      <c r="A254" s="30"/>
      <c r="C254" s="28"/>
      <c r="D254" s="0" t="str">
        <f aca="false">IF(A254="","",YEAR(A254))</f>
        <v/>
      </c>
      <c r="E254" s="0" t="str">
        <f aca="false">IF(A254="","",MONTH(A254))</f>
        <v/>
      </c>
    </row>
    <row r="255" customFormat="false" ht="15" hidden="false" customHeight="false" outlineLevel="0" collapsed="false">
      <c r="A255" s="30"/>
      <c r="C255" s="28"/>
      <c r="D255" s="0" t="str">
        <f aca="false">IF(A255="","",YEAR(A255))</f>
        <v/>
      </c>
      <c r="E255" s="0" t="str">
        <f aca="false">IF(A255="","",MONTH(A255))</f>
        <v/>
      </c>
    </row>
    <row r="256" customFormat="false" ht="15" hidden="false" customHeight="false" outlineLevel="0" collapsed="false">
      <c r="A256" s="30"/>
      <c r="C256" s="28"/>
      <c r="D256" s="0" t="str">
        <f aca="false">IF(A256="","",YEAR(A256))</f>
        <v/>
      </c>
      <c r="E256" s="0" t="str">
        <f aca="false">IF(A256="","",MONTH(A256))</f>
        <v/>
      </c>
    </row>
    <row r="257" customFormat="false" ht="15" hidden="false" customHeight="false" outlineLevel="0" collapsed="false">
      <c r="A257" s="30"/>
      <c r="C257" s="28"/>
      <c r="D257" s="0" t="str">
        <f aca="false">IF(A257="","",YEAR(A257))</f>
        <v/>
      </c>
      <c r="E257" s="0" t="str">
        <f aca="false">IF(A257="","",MONTH(A257))</f>
        <v/>
      </c>
    </row>
    <row r="258" customFormat="false" ht="15" hidden="false" customHeight="false" outlineLevel="0" collapsed="false">
      <c r="A258" s="30"/>
      <c r="C258" s="28"/>
      <c r="D258" s="0" t="str">
        <f aca="false">IF(A258="","",YEAR(A258))</f>
        <v/>
      </c>
      <c r="E258" s="0" t="str">
        <f aca="false">IF(A258="","",MONTH(A258))</f>
        <v/>
      </c>
    </row>
    <row r="259" customFormat="false" ht="15" hidden="false" customHeight="false" outlineLevel="0" collapsed="false">
      <c r="A259" s="30"/>
      <c r="C259" s="28"/>
      <c r="D259" s="0" t="str">
        <f aca="false">IF(A259="","",YEAR(A259))</f>
        <v/>
      </c>
      <c r="E259" s="0" t="str">
        <f aca="false">IF(A259="","",MONTH(A259))</f>
        <v/>
      </c>
    </row>
    <row r="260" customFormat="false" ht="15" hidden="false" customHeight="false" outlineLevel="0" collapsed="false">
      <c r="A260" s="30"/>
      <c r="C260" s="28"/>
      <c r="D260" s="0" t="str">
        <f aca="false">IF(A260="","",YEAR(A260))</f>
        <v/>
      </c>
      <c r="E260" s="0" t="str">
        <f aca="false">IF(A260="","",MONTH(A260))</f>
        <v/>
      </c>
    </row>
    <row r="261" customFormat="false" ht="15" hidden="false" customHeight="false" outlineLevel="0" collapsed="false">
      <c r="A261" s="30"/>
      <c r="C261" s="28"/>
      <c r="D261" s="0" t="str">
        <f aca="false">IF(A261="","",YEAR(A261))</f>
        <v/>
      </c>
      <c r="E261" s="0" t="str">
        <f aca="false">IF(A261="","",MONTH(A261))</f>
        <v/>
      </c>
    </row>
    <row r="262" customFormat="false" ht="15" hidden="false" customHeight="false" outlineLevel="0" collapsed="false">
      <c r="A262" s="30"/>
      <c r="C262" s="28"/>
      <c r="D262" s="0" t="str">
        <f aca="false">IF(A262="","",YEAR(A262))</f>
        <v/>
      </c>
      <c r="E262" s="0" t="str">
        <f aca="false">IF(A262="","",MONTH(A262))</f>
        <v/>
      </c>
    </row>
    <row r="263" customFormat="false" ht="15" hidden="false" customHeight="false" outlineLevel="0" collapsed="false">
      <c r="A263" s="30"/>
      <c r="C263" s="28"/>
      <c r="D263" s="0" t="str">
        <f aca="false">IF(A263="","",YEAR(A263))</f>
        <v/>
      </c>
      <c r="E263" s="0" t="str">
        <f aca="false">IF(A263="","",MONTH(A263))</f>
        <v/>
      </c>
    </row>
    <row r="264" customFormat="false" ht="15" hidden="false" customHeight="false" outlineLevel="0" collapsed="false">
      <c r="A264" s="30"/>
      <c r="C264" s="28"/>
      <c r="D264" s="0" t="str">
        <f aca="false">IF(A264="","",YEAR(A264))</f>
        <v/>
      </c>
      <c r="E264" s="0" t="str">
        <f aca="false">IF(A264="","",MONTH(A264))</f>
        <v/>
      </c>
    </row>
    <row r="265" customFormat="false" ht="15" hidden="false" customHeight="false" outlineLevel="0" collapsed="false">
      <c r="A265" s="30"/>
      <c r="C265" s="28"/>
      <c r="D265" s="0" t="str">
        <f aca="false">IF(A265="","",YEAR(A265))</f>
        <v/>
      </c>
      <c r="E265" s="0" t="str">
        <f aca="false">IF(A265="","",MONTH(A265))</f>
        <v/>
      </c>
    </row>
    <row r="266" customFormat="false" ht="15" hidden="false" customHeight="false" outlineLevel="0" collapsed="false">
      <c r="A266" s="30"/>
      <c r="C266" s="28"/>
      <c r="D266" s="0" t="str">
        <f aca="false">IF(A266="","",YEAR(A266))</f>
        <v/>
      </c>
      <c r="E266" s="0" t="str">
        <f aca="false">IF(A266="","",MONTH(A266))</f>
        <v/>
      </c>
    </row>
    <row r="267" customFormat="false" ht="15" hidden="false" customHeight="false" outlineLevel="0" collapsed="false">
      <c r="A267" s="30"/>
      <c r="C267" s="28"/>
      <c r="D267" s="0" t="str">
        <f aca="false">IF(A267="","",YEAR(A267))</f>
        <v/>
      </c>
      <c r="E267" s="0" t="str">
        <f aca="false">IF(A267="","",MONTH(A267))</f>
        <v/>
      </c>
    </row>
    <row r="268" customFormat="false" ht="15" hidden="false" customHeight="false" outlineLevel="0" collapsed="false">
      <c r="A268" s="30"/>
      <c r="C268" s="28"/>
      <c r="D268" s="0" t="str">
        <f aca="false">IF(A268="","",YEAR(A268))</f>
        <v/>
      </c>
      <c r="E268" s="0" t="str">
        <f aca="false">IF(A268="","",MONTH(A268))</f>
        <v/>
      </c>
    </row>
    <row r="269" customFormat="false" ht="15" hidden="false" customHeight="false" outlineLevel="0" collapsed="false">
      <c r="A269" s="30"/>
      <c r="C269" s="28"/>
      <c r="D269" s="0" t="str">
        <f aca="false">IF(A269="","",YEAR(A269))</f>
        <v/>
      </c>
      <c r="E269" s="0" t="str">
        <f aca="false">IF(A269="","",MONTH(A269))</f>
        <v/>
      </c>
    </row>
    <row r="270" customFormat="false" ht="15" hidden="false" customHeight="false" outlineLevel="0" collapsed="false">
      <c r="A270" s="30"/>
      <c r="C270" s="28"/>
      <c r="D270" s="0" t="str">
        <f aca="false">IF(A270="","",YEAR(A270))</f>
        <v/>
      </c>
      <c r="E270" s="0" t="str">
        <f aca="false">IF(A270="","",MONTH(A270))</f>
        <v/>
      </c>
    </row>
    <row r="271" customFormat="false" ht="15" hidden="false" customHeight="false" outlineLevel="0" collapsed="false">
      <c r="A271" s="30"/>
      <c r="C271" s="28"/>
      <c r="D271" s="0" t="str">
        <f aca="false">IF(A271="","",YEAR(A271))</f>
        <v/>
      </c>
      <c r="E271" s="0" t="str">
        <f aca="false">IF(A271="","",MONTH(A271))</f>
        <v/>
      </c>
    </row>
    <row r="272" customFormat="false" ht="15" hidden="false" customHeight="false" outlineLevel="0" collapsed="false">
      <c r="A272" s="30"/>
      <c r="C272" s="28"/>
      <c r="D272" s="0" t="str">
        <f aca="false">IF(A272="","",YEAR(A272))</f>
        <v/>
      </c>
      <c r="E272" s="0" t="str">
        <f aca="false">IF(A272="","",MONTH(A272))</f>
        <v/>
      </c>
    </row>
    <row r="273" customFormat="false" ht="15" hidden="false" customHeight="false" outlineLevel="0" collapsed="false">
      <c r="A273" s="30"/>
      <c r="C273" s="28"/>
      <c r="D273" s="0" t="str">
        <f aca="false">IF(A273="","",YEAR(A273))</f>
        <v/>
      </c>
      <c r="E273" s="0" t="str">
        <f aca="false">IF(A273="","",MONTH(A273))</f>
        <v/>
      </c>
    </row>
    <row r="274" customFormat="false" ht="15" hidden="false" customHeight="false" outlineLevel="0" collapsed="false">
      <c r="A274" s="30"/>
      <c r="C274" s="28"/>
      <c r="D274" s="0" t="str">
        <f aca="false">IF(A274="","",YEAR(A274))</f>
        <v/>
      </c>
      <c r="E274" s="0" t="str">
        <f aca="false">IF(A274="","",MONTH(A274))</f>
        <v/>
      </c>
    </row>
    <row r="275" customFormat="false" ht="15" hidden="false" customHeight="false" outlineLevel="0" collapsed="false">
      <c r="A275" s="30"/>
      <c r="C275" s="28"/>
      <c r="D275" s="0" t="str">
        <f aca="false">IF(A275="","",YEAR(A275))</f>
        <v/>
      </c>
      <c r="E275" s="0" t="str">
        <f aca="false">IF(A275="","",MONTH(A275))</f>
        <v/>
      </c>
    </row>
    <row r="276" customFormat="false" ht="15" hidden="false" customHeight="false" outlineLevel="0" collapsed="false">
      <c r="A276" s="30"/>
      <c r="C276" s="28"/>
      <c r="D276" s="0" t="str">
        <f aca="false">IF(A276="","",YEAR(A276))</f>
        <v/>
      </c>
      <c r="E276" s="0" t="str">
        <f aca="false">IF(A276="","",MONTH(A276))</f>
        <v/>
      </c>
    </row>
    <row r="277" customFormat="false" ht="15" hidden="false" customHeight="false" outlineLevel="0" collapsed="false">
      <c r="A277" s="30"/>
      <c r="C277" s="28"/>
      <c r="D277" s="0" t="str">
        <f aca="false">IF(A277="","",YEAR(A277))</f>
        <v/>
      </c>
      <c r="E277" s="0" t="str">
        <f aca="false">IF(A277="","",MONTH(A277))</f>
        <v/>
      </c>
    </row>
    <row r="278" customFormat="false" ht="15" hidden="false" customHeight="false" outlineLevel="0" collapsed="false">
      <c r="A278" s="30"/>
      <c r="C278" s="28"/>
      <c r="D278" s="0" t="str">
        <f aca="false">IF(A278="","",YEAR(A278))</f>
        <v/>
      </c>
      <c r="E278" s="0" t="str">
        <f aca="false">IF(A278="","",MONTH(A278))</f>
        <v/>
      </c>
    </row>
    <row r="279" customFormat="false" ht="15" hidden="false" customHeight="false" outlineLevel="0" collapsed="false">
      <c r="A279" s="30"/>
      <c r="C279" s="28"/>
      <c r="D279" s="0" t="str">
        <f aca="false">IF(A279="","",YEAR(A279))</f>
        <v/>
      </c>
      <c r="E279" s="0" t="str">
        <f aca="false">IF(A279="","",MONTH(A279))</f>
        <v/>
      </c>
    </row>
    <row r="280" customFormat="false" ht="15" hidden="false" customHeight="false" outlineLevel="0" collapsed="false">
      <c r="A280" s="30"/>
      <c r="C280" s="28"/>
      <c r="D280" s="0" t="str">
        <f aca="false">IF(A280="","",YEAR(A280))</f>
        <v/>
      </c>
      <c r="E280" s="0" t="str">
        <f aca="false">IF(A280="","",MONTH(A280))</f>
        <v/>
      </c>
    </row>
    <row r="281" customFormat="false" ht="15" hidden="false" customHeight="false" outlineLevel="0" collapsed="false">
      <c r="A281" s="30"/>
      <c r="C281" s="28"/>
      <c r="D281" s="0" t="str">
        <f aca="false">IF(A281="","",YEAR(A281))</f>
        <v/>
      </c>
      <c r="E281" s="0" t="str">
        <f aca="false">IF(A281="","",MONTH(A281))</f>
        <v/>
      </c>
    </row>
    <row r="282" customFormat="false" ht="15" hidden="false" customHeight="false" outlineLevel="0" collapsed="false">
      <c r="A282" s="30"/>
      <c r="C282" s="28"/>
      <c r="D282" s="0" t="str">
        <f aca="false">IF(A282="","",YEAR(A282))</f>
        <v/>
      </c>
      <c r="E282" s="0" t="str">
        <f aca="false">IF(A282="","",MONTH(A282))</f>
        <v/>
      </c>
    </row>
    <row r="283" customFormat="false" ht="15" hidden="false" customHeight="false" outlineLevel="0" collapsed="false">
      <c r="A283" s="30"/>
      <c r="C283" s="28"/>
      <c r="D283" s="0" t="str">
        <f aca="false">IF(A283="","",YEAR(A283))</f>
        <v/>
      </c>
      <c r="E283" s="0" t="str">
        <f aca="false">IF(A283="","",MONTH(A283))</f>
        <v/>
      </c>
    </row>
    <row r="284" customFormat="false" ht="15" hidden="false" customHeight="false" outlineLevel="0" collapsed="false">
      <c r="A284" s="30"/>
      <c r="C284" s="28"/>
      <c r="D284" s="0" t="str">
        <f aca="false">IF(A284="","",YEAR(A284))</f>
        <v/>
      </c>
      <c r="E284" s="0" t="str">
        <f aca="false">IF(A284="","",MONTH(A284))</f>
        <v/>
      </c>
    </row>
    <row r="285" customFormat="false" ht="15" hidden="false" customHeight="false" outlineLevel="0" collapsed="false">
      <c r="A285" s="30"/>
      <c r="C285" s="28"/>
      <c r="D285" s="0" t="str">
        <f aca="false">IF(A285="","",YEAR(A285))</f>
        <v/>
      </c>
      <c r="E285" s="0" t="str">
        <f aca="false">IF(A285="","",MONTH(A285))</f>
        <v/>
      </c>
    </row>
    <row r="286" customFormat="false" ht="15" hidden="false" customHeight="false" outlineLevel="0" collapsed="false">
      <c r="A286" s="30"/>
      <c r="C286" s="28"/>
      <c r="D286" s="0" t="str">
        <f aca="false">IF(A286="","",YEAR(A286))</f>
        <v/>
      </c>
      <c r="E286" s="0" t="str">
        <f aca="false">IF(A286="","",MONTH(A286))</f>
        <v/>
      </c>
    </row>
    <row r="287" customFormat="false" ht="15" hidden="false" customHeight="false" outlineLevel="0" collapsed="false">
      <c r="A287" s="30"/>
      <c r="C287" s="28"/>
      <c r="D287" s="0" t="str">
        <f aca="false">IF(A287="","",YEAR(A287))</f>
        <v/>
      </c>
      <c r="E287" s="0" t="str">
        <f aca="false">IF(A287="","",MONTH(A287))</f>
        <v/>
      </c>
    </row>
    <row r="288" customFormat="false" ht="15" hidden="false" customHeight="false" outlineLevel="0" collapsed="false">
      <c r="A288" s="30"/>
      <c r="C288" s="28"/>
      <c r="D288" s="0" t="str">
        <f aca="false">IF(A288="","",YEAR(A288))</f>
        <v/>
      </c>
      <c r="E288" s="0" t="str">
        <f aca="false">IF(A288="","",MONTH(A288))</f>
        <v/>
      </c>
    </row>
    <row r="289" customFormat="false" ht="15" hidden="false" customHeight="false" outlineLevel="0" collapsed="false">
      <c r="A289" s="30"/>
      <c r="C289" s="28"/>
      <c r="D289" s="0" t="str">
        <f aca="false">IF(A289="","",YEAR(A289))</f>
        <v/>
      </c>
      <c r="E289" s="0" t="str">
        <f aca="false">IF(A289="","",MONTH(A289))</f>
        <v/>
      </c>
    </row>
    <row r="290" customFormat="false" ht="15" hidden="false" customHeight="false" outlineLevel="0" collapsed="false">
      <c r="A290" s="30"/>
      <c r="C290" s="28"/>
      <c r="D290" s="0" t="str">
        <f aca="false">IF(A290="","",YEAR(A290))</f>
        <v/>
      </c>
      <c r="E290" s="0" t="str">
        <f aca="false">IF(A290="","",MONTH(A290))</f>
        <v/>
      </c>
    </row>
    <row r="291" customFormat="false" ht="15" hidden="false" customHeight="false" outlineLevel="0" collapsed="false">
      <c r="A291" s="30"/>
      <c r="C291" s="28"/>
      <c r="D291" s="0" t="str">
        <f aca="false">IF(A291="","",YEAR(A291))</f>
        <v/>
      </c>
      <c r="E291" s="0" t="str">
        <f aca="false">IF(A291="","",MONTH(A291))</f>
        <v/>
      </c>
    </row>
    <row r="292" customFormat="false" ht="15" hidden="false" customHeight="false" outlineLevel="0" collapsed="false">
      <c r="A292" s="30"/>
      <c r="C292" s="28"/>
      <c r="D292" s="0" t="str">
        <f aca="false">IF(A292="","",YEAR(A292))</f>
        <v/>
      </c>
      <c r="E292" s="0" t="str">
        <f aca="false">IF(A292="","",MONTH(A292))</f>
        <v/>
      </c>
    </row>
    <row r="293" customFormat="false" ht="15" hidden="false" customHeight="false" outlineLevel="0" collapsed="false">
      <c r="A293" s="30"/>
      <c r="C293" s="28"/>
      <c r="D293" s="0" t="str">
        <f aca="false">IF(A293="","",YEAR(A293))</f>
        <v/>
      </c>
      <c r="E293" s="0" t="str">
        <f aca="false">IF(A293="","",MONTH(A293))</f>
        <v/>
      </c>
    </row>
    <row r="294" customFormat="false" ht="15" hidden="false" customHeight="false" outlineLevel="0" collapsed="false">
      <c r="A294" s="30"/>
      <c r="C294" s="28"/>
      <c r="D294" s="0" t="str">
        <f aca="false">IF(A294="","",YEAR(A294))</f>
        <v/>
      </c>
      <c r="E294" s="0" t="str">
        <f aca="false">IF(A294="","",MONTH(A294))</f>
        <v/>
      </c>
    </row>
    <row r="295" customFormat="false" ht="15" hidden="false" customHeight="false" outlineLevel="0" collapsed="false">
      <c r="A295" s="30"/>
      <c r="C295" s="28"/>
      <c r="D295" s="0" t="str">
        <f aca="false">IF(A295="","",YEAR(A295))</f>
        <v/>
      </c>
      <c r="E295" s="0" t="str">
        <f aca="false">IF(A295="","",MONTH(A295))</f>
        <v/>
      </c>
    </row>
    <row r="296" customFormat="false" ht="15" hidden="false" customHeight="false" outlineLevel="0" collapsed="false">
      <c r="A296" s="30"/>
      <c r="C296" s="28"/>
      <c r="D296" s="0" t="str">
        <f aca="false">IF(A296="","",YEAR(A296))</f>
        <v/>
      </c>
      <c r="E296" s="0" t="str">
        <f aca="false">IF(A296="","",MONTH(A296))</f>
        <v/>
      </c>
    </row>
    <row r="297" customFormat="false" ht="15" hidden="false" customHeight="false" outlineLevel="0" collapsed="false">
      <c r="A297" s="30"/>
      <c r="C297" s="28"/>
      <c r="D297" s="0" t="str">
        <f aca="false">IF(A297="","",YEAR(A297))</f>
        <v/>
      </c>
      <c r="E297" s="0" t="str">
        <f aca="false">IF(A297="","",MONTH(A297))</f>
        <v/>
      </c>
    </row>
    <row r="298" customFormat="false" ht="15" hidden="false" customHeight="false" outlineLevel="0" collapsed="false">
      <c r="A298" s="30"/>
      <c r="C298" s="28"/>
      <c r="D298" s="0" t="str">
        <f aca="false">IF(A298="","",YEAR(A298))</f>
        <v/>
      </c>
      <c r="E298" s="0" t="str">
        <f aca="false">IF(A298="","",MONTH(A298))</f>
        <v/>
      </c>
    </row>
    <row r="299" customFormat="false" ht="15" hidden="false" customHeight="false" outlineLevel="0" collapsed="false">
      <c r="A299" s="30"/>
      <c r="C299" s="28"/>
      <c r="D299" s="0" t="str">
        <f aca="false">IF(A299="","",YEAR(A299))</f>
        <v/>
      </c>
      <c r="E299" s="0" t="str">
        <f aca="false">IF(A299="","",MONTH(A299))</f>
        <v/>
      </c>
    </row>
    <row r="300" customFormat="false" ht="15" hidden="false" customHeight="false" outlineLevel="0" collapsed="false">
      <c r="A300" s="30"/>
      <c r="C300" s="28"/>
      <c r="D300" s="0" t="str">
        <f aca="false">IF(A300="","",YEAR(A300))</f>
        <v/>
      </c>
      <c r="E300" s="0" t="str">
        <f aca="false">IF(A300="","",MONTH(A300))</f>
        <v/>
      </c>
    </row>
    <row r="301" customFormat="false" ht="15" hidden="false" customHeight="false" outlineLevel="0" collapsed="false">
      <c r="A301" s="30"/>
      <c r="C301" s="28"/>
      <c r="D301" s="0" t="str">
        <f aca="false">IF(A301="","",YEAR(A301))</f>
        <v/>
      </c>
      <c r="E301" s="0" t="str">
        <f aca="false">IF(A301="","",MONTH(A301))</f>
        <v/>
      </c>
    </row>
    <row r="302" customFormat="false" ht="15" hidden="false" customHeight="false" outlineLevel="0" collapsed="false">
      <c r="A302" s="30"/>
      <c r="C302" s="28"/>
      <c r="D302" s="0" t="str">
        <f aca="false">IF(A302="","",YEAR(A302))</f>
        <v/>
      </c>
      <c r="E302" s="0" t="str">
        <f aca="false">IF(A302="","",MONTH(A302))</f>
        <v/>
      </c>
    </row>
    <row r="303" customFormat="false" ht="15" hidden="false" customHeight="false" outlineLevel="0" collapsed="false">
      <c r="A303" s="30"/>
      <c r="C303" s="28"/>
      <c r="D303" s="0" t="str">
        <f aca="false">IF(A303="","",YEAR(A303))</f>
        <v/>
      </c>
      <c r="E303" s="0" t="str">
        <f aca="false">IF(A303="","",MONTH(A303))</f>
        <v/>
      </c>
    </row>
    <row r="304" customFormat="false" ht="15" hidden="false" customHeight="false" outlineLevel="0" collapsed="false">
      <c r="A304" s="30"/>
      <c r="C304" s="28"/>
      <c r="D304" s="0" t="str">
        <f aca="false">IF(A304="","",YEAR(A304))</f>
        <v/>
      </c>
      <c r="E304" s="0" t="str">
        <f aca="false">IF(A304="","",MONTH(A304))</f>
        <v/>
      </c>
    </row>
    <row r="305" customFormat="false" ht="15" hidden="false" customHeight="false" outlineLevel="0" collapsed="false">
      <c r="A305" s="30"/>
      <c r="C305" s="28"/>
      <c r="D305" s="0" t="str">
        <f aca="false">IF(A305="","",YEAR(A305))</f>
        <v/>
      </c>
      <c r="E305" s="0" t="str">
        <f aca="false">IF(A305="","",MONTH(A305))</f>
        <v/>
      </c>
    </row>
    <row r="306" customFormat="false" ht="15" hidden="false" customHeight="false" outlineLevel="0" collapsed="false">
      <c r="A306" s="30"/>
      <c r="C306" s="28"/>
      <c r="D306" s="0" t="str">
        <f aca="false">IF(A306="","",YEAR(A306))</f>
        <v/>
      </c>
      <c r="E306" s="0" t="str">
        <f aca="false">IF(A306="","",MONTH(A306))</f>
        <v/>
      </c>
    </row>
    <row r="307" customFormat="false" ht="15" hidden="false" customHeight="false" outlineLevel="0" collapsed="false">
      <c r="A307" s="30"/>
      <c r="C307" s="28"/>
      <c r="D307" s="0" t="str">
        <f aca="false">IF(A307="","",YEAR(A307))</f>
        <v/>
      </c>
      <c r="E307" s="0" t="str">
        <f aca="false">IF(A307="","",MONTH(A307))</f>
        <v/>
      </c>
    </row>
    <row r="308" customFormat="false" ht="15" hidden="false" customHeight="false" outlineLevel="0" collapsed="false">
      <c r="A308" s="30"/>
      <c r="C308" s="28"/>
      <c r="D308" s="0" t="str">
        <f aca="false">IF(A308="","",YEAR(A308))</f>
        <v/>
      </c>
      <c r="E308" s="0" t="str">
        <f aca="false">IF(A308="","",MONTH(A308))</f>
        <v/>
      </c>
    </row>
    <row r="309" customFormat="false" ht="15" hidden="false" customHeight="false" outlineLevel="0" collapsed="false">
      <c r="A309" s="30"/>
      <c r="C309" s="28"/>
      <c r="D309" s="0" t="str">
        <f aca="false">IF(A309="","",YEAR(A309))</f>
        <v/>
      </c>
      <c r="E309" s="0" t="str">
        <f aca="false">IF(A309="","",MONTH(A309))</f>
        <v/>
      </c>
    </row>
    <row r="310" customFormat="false" ht="15" hidden="false" customHeight="false" outlineLevel="0" collapsed="false">
      <c r="A310" s="30"/>
      <c r="C310" s="28"/>
      <c r="D310" s="0" t="str">
        <f aca="false">IF(A310="","",YEAR(A310))</f>
        <v/>
      </c>
      <c r="E310" s="0" t="str">
        <f aca="false">IF(A310="","",MONTH(A310))</f>
        <v/>
      </c>
    </row>
    <row r="311" customFormat="false" ht="15" hidden="false" customHeight="false" outlineLevel="0" collapsed="false">
      <c r="A311" s="30"/>
      <c r="C311" s="28"/>
      <c r="D311" s="0" t="str">
        <f aca="false">IF(A311="","",YEAR(A311))</f>
        <v/>
      </c>
      <c r="E311" s="0" t="str">
        <f aca="false">IF(A311="","",MONTH(A311))</f>
        <v/>
      </c>
    </row>
    <row r="312" customFormat="false" ht="15" hidden="false" customHeight="false" outlineLevel="0" collapsed="false">
      <c r="A312" s="30"/>
      <c r="C312" s="28"/>
      <c r="D312" s="0" t="str">
        <f aca="false">IF(A312="","",YEAR(A312))</f>
        <v/>
      </c>
      <c r="E312" s="0" t="str">
        <f aca="false">IF(A312="","",MONTH(A312))</f>
        <v/>
      </c>
    </row>
    <row r="313" customFormat="false" ht="15" hidden="false" customHeight="false" outlineLevel="0" collapsed="false">
      <c r="A313" s="30"/>
      <c r="C313" s="28"/>
      <c r="D313" s="0" t="str">
        <f aca="false">IF(A313="","",YEAR(A313))</f>
        <v/>
      </c>
      <c r="E313" s="0" t="str">
        <f aca="false">IF(A313="","",MONTH(A313))</f>
        <v/>
      </c>
    </row>
    <row r="314" customFormat="false" ht="15" hidden="false" customHeight="false" outlineLevel="0" collapsed="false">
      <c r="A314" s="30"/>
      <c r="C314" s="28"/>
      <c r="D314" s="0" t="str">
        <f aca="false">IF(A314="","",YEAR(A314))</f>
        <v/>
      </c>
      <c r="E314" s="0" t="str">
        <f aca="false">IF(A314="","",MONTH(A314))</f>
        <v/>
      </c>
    </row>
    <row r="315" customFormat="false" ht="15" hidden="false" customHeight="false" outlineLevel="0" collapsed="false">
      <c r="A315" s="30"/>
      <c r="C315" s="28"/>
      <c r="D315" s="0" t="str">
        <f aca="false">IF(A315="","",YEAR(A315))</f>
        <v/>
      </c>
      <c r="E315" s="0" t="str">
        <f aca="false">IF(A315="","",MONTH(A315))</f>
        <v/>
      </c>
    </row>
    <row r="316" customFormat="false" ht="15" hidden="false" customHeight="false" outlineLevel="0" collapsed="false">
      <c r="A316" s="30"/>
      <c r="C316" s="28"/>
      <c r="D316" s="0" t="str">
        <f aca="false">IF(A316="","",YEAR(A316))</f>
        <v/>
      </c>
      <c r="E316" s="0" t="str">
        <f aca="false">IF(A316="","",MONTH(A316))</f>
        <v/>
      </c>
    </row>
    <row r="317" customFormat="false" ht="15" hidden="false" customHeight="false" outlineLevel="0" collapsed="false">
      <c r="A317" s="30"/>
      <c r="C317" s="28"/>
      <c r="D317" s="0" t="str">
        <f aca="false">IF(A317="","",YEAR(A317))</f>
        <v/>
      </c>
      <c r="E317" s="0" t="str">
        <f aca="false">IF(A317="","",MONTH(A317))</f>
        <v/>
      </c>
    </row>
    <row r="318" customFormat="false" ht="15" hidden="false" customHeight="false" outlineLevel="0" collapsed="false">
      <c r="A318" s="30"/>
      <c r="C318" s="28"/>
      <c r="D318" s="0" t="str">
        <f aca="false">IF(A318="","",YEAR(A318))</f>
        <v/>
      </c>
      <c r="E318" s="0" t="str">
        <f aca="false">IF(A318="","",MONTH(A318))</f>
        <v/>
      </c>
    </row>
    <row r="319" customFormat="false" ht="15" hidden="false" customHeight="false" outlineLevel="0" collapsed="false">
      <c r="A319" s="30"/>
      <c r="C319" s="28"/>
      <c r="D319" s="0" t="str">
        <f aca="false">IF(A319="","",YEAR(A319))</f>
        <v/>
      </c>
      <c r="E319" s="0" t="str">
        <f aca="false">IF(A319="","",MONTH(A319))</f>
        <v/>
      </c>
    </row>
    <row r="320" customFormat="false" ht="15" hidden="false" customHeight="false" outlineLevel="0" collapsed="false">
      <c r="A320" s="30"/>
      <c r="C320" s="28"/>
      <c r="D320" s="0" t="str">
        <f aca="false">IF(A320="","",YEAR(A320))</f>
        <v/>
      </c>
      <c r="E320" s="0" t="str">
        <f aca="false">IF(A320="","",MONTH(A320))</f>
        <v/>
      </c>
    </row>
    <row r="321" customFormat="false" ht="15" hidden="false" customHeight="false" outlineLevel="0" collapsed="false">
      <c r="A321" s="30"/>
      <c r="C321" s="28"/>
      <c r="D321" s="0" t="str">
        <f aca="false">IF(A321="","",YEAR(A321))</f>
        <v/>
      </c>
      <c r="E321" s="0" t="str">
        <f aca="false">IF(A321="","",MONTH(A321))</f>
        <v/>
      </c>
    </row>
    <row r="322" customFormat="false" ht="15" hidden="false" customHeight="false" outlineLevel="0" collapsed="false">
      <c r="A322" s="30"/>
      <c r="C322" s="28"/>
      <c r="D322" s="0" t="str">
        <f aca="false">IF(A322="","",YEAR(A322))</f>
        <v/>
      </c>
      <c r="E322" s="0" t="str">
        <f aca="false">IF(A322="","",MONTH(A322))</f>
        <v/>
      </c>
    </row>
    <row r="323" customFormat="false" ht="15" hidden="false" customHeight="false" outlineLevel="0" collapsed="false">
      <c r="A323" s="30"/>
      <c r="C323" s="28"/>
      <c r="D323" s="0" t="str">
        <f aca="false">IF(A323="","",YEAR(A323))</f>
        <v/>
      </c>
      <c r="E323" s="0" t="str">
        <f aca="false">IF(A323="","",MONTH(A323))</f>
        <v/>
      </c>
    </row>
    <row r="324" customFormat="false" ht="15" hidden="false" customHeight="false" outlineLevel="0" collapsed="false">
      <c r="A324" s="30"/>
      <c r="C324" s="28"/>
      <c r="D324" s="0" t="str">
        <f aca="false">IF(A324="","",YEAR(A324))</f>
        <v/>
      </c>
      <c r="E324" s="0" t="str">
        <f aca="false">IF(A324="","",MONTH(A324))</f>
        <v/>
      </c>
    </row>
    <row r="325" customFormat="false" ht="15" hidden="false" customHeight="false" outlineLevel="0" collapsed="false">
      <c r="A325" s="30"/>
      <c r="C325" s="28"/>
      <c r="D325" s="0" t="str">
        <f aca="false">IF(A325="","",YEAR(A325))</f>
        <v/>
      </c>
      <c r="E325" s="0" t="str">
        <f aca="false">IF(A325="","",MONTH(A325))</f>
        <v/>
      </c>
    </row>
    <row r="326" customFormat="false" ht="15" hidden="false" customHeight="false" outlineLevel="0" collapsed="false">
      <c r="A326" s="30"/>
      <c r="C326" s="28"/>
      <c r="D326" s="0" t="str">
        <f aca="false">IF(A326="","",YEAR(A326))</f>
        <v/>
      </c>
      <c r="E326" s="0" t="str">
        <f aca="false">IF(A326="","",MONTH(A326))</f>
        <v/>
      </c>
    </row>
    <row r="327" customFormat="false" ht="15" hidden="false" customHeight="false" outlineLevel="0" collapsed="false">
      <c r="A327" s="30"/>
      <c r="C327" s="28"/>
      <c r="D327" s="0" t="str">
        <f aca="false">IF(A327="","",YEAR(A327))</f>
        <v/>
      </c>
      <c r="E327" s="0" t="str">
        <f aca="false">IF(A327="","",MONTH(A327))</f>
        <v/>
      </c>
    </row>
    <row r="328" customFormat="false" ht="15" hidden="false" customHeight="false" outlineLevel="0" collapsed="false">
      <c r="A328" s="30"/>
      <c r="C328" s="28"/>
      <c r="D328" s="0" t="str">
        <f aca="false">IF(A328="","",YEAR(A328))</f>
        <v/>
      </c>
      <c r="E328" s="0" t="str">
        <f aca="false">IF(A328="","",MONTH(A328))</f>
        <v/>
      </c>
    </row>
    <row r="329" customFormat="false" ht="15" hidden="false" customHeight="false" outlineLevel="0" collapsed="false">
      <c r="A329" s="30"/>
      <c r="C329" s="28"/>
      <c r="D329" s="0" t="str">
        <f aca="false">IF(A329="","",YEAR(A329))</f>
        <v/>
      </c>
      <c r="E329" s="0" t="str">
        <f aca="false">IF(A329="","",MONTH(A329))</f>
        <v/>
      </c>
    </row>
    <row r="330" customFormat="false" ht="15" hidden="false" customHeight="false" outlineLevel="0" collapsed="false">
      <c r="A330" s="30"/>
      <c r="C330" s="28"/>
      <c r="D330" s="0" t="str">
        <f aca="false">IF(A330="","",YEAR(A330))</f>
        <v/>
      </c>
      <c r="E330" s="0" t="str">
        <f aca="false">IF(A330="","",MONTH(A330))</f>
        <v/>
      </c>
    </row>
    <row r="331" customFormat="false" ht="15" hidden="false" customHeight="false" outlineLevel="0" collapsed="false">
      <c r="A331" s="30"/>
      <c r="C331" s="28"/>
      <c r="D331" s="0" t="str">
        <f aca="false">IF(A331="","",YEAR(A331))</f>
        <v/>
      </c>
      <c r="E331" s="0" t="str">
        <f aca="false">IF(A331="","",MONTH(A331))</f>
        <v/>
      </c>
    </row>
    <row r="332" customFormat="false" ht="15" hidden="false" customHeight="false" outlineLevel="0" collapsed="false">
      <c r="A332" s="30"/>
      <c r="C332" s="28"/>
      <c r="D332" s="0" t="str">
        <f aca="false">IF(A332="","",YEAR(A332))</f>
        <v/>
      </c>
      <c r="E332" s="0" t="str">
        <f aca="false">IF(A332="","",MONTH(A332))</f>
        <v/>
      </c>
    </row>
    <row r="333" customFormat="false" ht="15" hidden="false" customHeight="false" outlineLevel="0" collapsed="false">
      <c r="A333" s="30"/>
      <c r="C333" s="28"/>
      <c r="D333" s="0" t="str">
        <f aca="false">IF(A333="","",YEAR(A333))</f>
        <v/>
      </c>
      <c r="E333" s="0" t="str">
        <f aca="false">IF(A333="","",MONTH(A333))</f>
        <v/>
      </c>
    </row>
    <row r="334" customFormat="false" ht="15" hidden="false" customHeight="false" outlineLevel="0" collapsed="false">
      <c r="A334" s="30"/>
      <c r="C334" s="28"/>
      <c r="D334" s="0" t="str">
        <f aca="false">IF(A334="","",YEAR(A334))</f>
        <v/>
      </c>
      <c r="E334" s="0" t="str">
        <f aca="false">IF(A334="","",MONTH(A334))</f>
        <v/>
      </c>
    </row>
    <row r="335" customFormat="false" ht="15" hidden="false" customHeight="false" outlineLevel="0" collapsed="false">
      <c r="A335" s="30"/>
      <c r="C335" s="28"/>
      <c r="D335" s="0" t="str">
        <f aca="false">IF(A335="","",YEAR(A335))</f>
        <v/>
      </c>
      <c r="E335" s="0" t="str">
        <f aca="false">IF(A335="","",MONTH(A335))</f>
        <v/>
      </c>
    </row>
    <row r="336" customFormat="false" ht="15" hidden="false" customHeight="false" outlineLevel="0" collapsed="false">
      <c r="A336" s="30"/>
      <c r="C336" s="28"/>
      <c r="D336" s="0" t="str">
        <f aca="false">IF(A336="","",YEAR(A336))</f>
        <v/>
      </c>
      <c r="E336" s="0" t="str">
        <f aca="false">IF(A336="","",MONTH(A336))</f>
        <v/>
      </c>
    </row>
    <row r="337" customFormat="false" ht="15" hidden="false" customHeight="false" outlineLevel="0" collapsed="false">
      <c r="A337" s="30"/>
      <c r="C337" s="28"/>
      <c r="D337" s="0" t="str">
        <f aca="false">IF(A337="","",YEAR(A337))</f>
        <v/>
      </c>
      <c r="E337" s="0" t="str">
        <f aca="false">IF(A337="","",MONTH(A337))</f>
        <v/>
      </c>
    </row>
    <row r="338" customFormat="false" ht="15" hidden="false" customHeight="false" outlineLevel="0" collapsed="false">
      <c r="A338" s="30"/>
      <c r="C338" s="28"/>
      <c r="D338" s="0" t="str">
        <f aca="false">IF(A338="","",YEAR(A338))</f>
        <v/>
      </c>
      <c r="E338" s="0" t="str">
        <f aca="false">IF(A338="","",MONTH(A338))</f>
        <v/>
      </c>
    </row>
    <row r="339" customFormat="false" ht="15" hidden="false" customHeight="false" outlineLevel="0" collapsed="false">
      <c r="A339" s="30"/>
      <c r="C339" s="28"/>
      <c r="D339" s="0" t="str">
        <f aca="false">IF(A339="","",YEAR(A339))</f>
        <v/>
      </c>
      <c r="E339" s="0" t="str">
        <f aca="false">IF(A339="","",MONTH(A339))</f>
        <v/>
      </c>
    </row>
    <row r="340" customFormat="false" ht="15" hidden="false" customHeight="false" outlineLevel="0" collapsed="false">
      <c r="A340" s="30"/>
      <c r="C340" s="28"/>
      <c r="D340" s="0" t="str">
        <f aca="false">IF(A340="","",YEAR(A340))</f>
        <v/>
      </c>
      <c r="E340" s="0" t="str">
        <f aca="false">IF(A340="","",MONTH(A340))</f>
        <v/>
      </c>
    </row>
    <row r="341" customFormat="false" ht="15" hidden="false" customHeight="false" outlineLevel="0" collapsed="false">
      <c r="A341" s="30"/>
      <c r="C341" s="28"/>
      <c r="D341" s="0" t="str">
        <f aca="false">IF(A341="","",YEAR(A341))</f>
        <v/>
      </c>
      <c r="E341" s="0" t="str">
        <f aca="false">IF(A341="","",MONTH(A341))</f>
        <v/>
      </c>
    </row>
    <row r="342" customFormat="false" ht="15" hidden="false" customHeight="false" outlineLevel="0" collapsed="false">
      <c r="A342" s="30"/>
      <c r="C342" s="28"/>
      <c r="D342" s="0" t="str">
        <f aca="false">IF(A342="","",YEAR(A342))</f>
        <v/>
      </c>
      <c r="E342" s="0" t="str">
        <f aca="false">IF(A342="","",MONTH(A342))</f>
        <v/>
      </c>
    </row>
    <row r="343" customFormat="false" ht="15" hidden="false" customHeight="false" outlineLevel="0" collapsed="false">
      <c r="A343" s="30"/>
      <c r="C343" s="28"/>
      <c r="D343" s="0" t="str">
        <f aca="false">IF(A343="","",YEAR(A343))</f>
        <v/>
      </c>
      <c r="E343" s="0" t="str">
        <f aca="false">IF(A343="","",MONTH(A343))</f>
        <v/>
      </c>
    </row>
    <row r="344" customFormat="false" ht="15" hidden="false" customHeight="false" outlineLevel="0" collapsed="false">
      <c r="A344" s="30"/>
      <c r="C344" s="28"/>
      <c r="D344" s="0" t="str">
        <f aca="false">IF(A344="","",YEAR(A344))</f>
        <v/>
      </c>
      <c r="E344" s="0" t="str">
        <f aca="false">IF(A344="","",MONTH(A344))</f>
        <v/>
      </c>
    </row>
    <row r="345" customFormat="false" ht="15" hidden="false" customHeight="false" outlineLevel="0" collapsed="false">
      <c r="A345" s="30"/>
      <c r="C345" s="28"/>
      <c r="D345" s="0" t="str">
        <f aca="false">IF(A345="","",YEAR(A345))</f>
        <v/>
      </c>
      <c r="E345" s="0" t="str">
        <f aca="false">IF(A345="","",MONTH(A345))</f>
        <v/>
      </c>
    </row>
    <row r="346" customFormat="false" ht="15" hidden="false" customHeight="false" outlineLevel="0" collapsed="false">
      <c r="A346" s="30"/>
      <c r="C346" s="28"/>
      <c r="D346" s="0" t="str">
        <f aca="false">IF(A346="","",YEAR(A346))</f>
        <v/>
      </c>
      <c r="E346" s="0" t="str">
        <f aca="false">IF(A346="","",MONTH(A346))</f>
        <v/>
      </c>
    </row>
    <row r="347" customFormat="false" ht="15" hidden="false" customHeight="false" outlineLevel="0" collapsed="false">
      <c r="A347" s="30"/>
      <c r="C347" s="28"/>
      <c r="D347" s="0" t="str">
        <f aca="false">IF(A347="","",YEAR(A347))</f>
        <v/>
      </c>
      <c r="E347" s="0" t="str">
        <f aca="false">IF(A347="","",MONTH(A347))</f>
        <v/>
      </c>
    </row>
    <row r="348" customFormat="false" ht="15" hidden="false" customHeight="false" outlineLevel="0" collapsed="false">
      <c r="A348" s="30"/>
      <c r="C348" s="28"/>
      <c r="D348" s="0" t="str">
        <f aca="false">IF(A348="","",YEAR(A348))</f>
        <v/>
      </c>
      <c r="E348" s="0" t="str">
        <f aca="false">IF(A348="","",MONTH(A348))</f>
        <v/>
      </c>
    </row>
    <row r="349" customFormat="false" ht="15" hidden="false" customHeight="false" outlineLevel="0" collapsed="false">
      <c r="A349" s="30"/>
      <c r="C349" s="28"/>
      <c r="D349" s="0" t="str">
        <f aca="false">IF(A349="","",YEAR(A349))</f>
        <v/>
      </c>
      <c r="E349" s="0" t="str">
        <f aca="false">IF(A349="","",MONTH(A349))</f>
        <v/>
      </c>
    </row>
    <row r="350" customFormat="false" ht="15" hidden="false" customHeight="false" outlineLevel="0" collapsed="false">
      <c r="A350" s="30"/>
      <c r="C350" s="28"/>
      <c r="D350" s="0" t="str">
        <f aca="false">IF(A350="","",YEAR(A350))</f>
        <v/>
      </c>
      <c r="E350" s="0" t="str">
        <f aca="false">IF(A350="","",MONTH(A350))</f>
        <v/>
      </c>
    </row>
    <row r="351" customFormat="false" ht="15" hidden="false" customHeight="false" outlineLevel="0" collapsed="false">
      <c r="A351" s="30"/>
      <c r="C351" s="28"/>
      <c r="D351" s="0" t="str">
        <f aca="false">IF(A351="","",YEAR(A351))</f>
        <v/>
      </c>
      <c r="E351" s="0" t="str">
        <f aca="false">IF(A351="","",MONTH(A351))</f>
        <v/>
      </c>
    </row>
    <row r="352" customFormat="false" ht="15" hidden="false" customHeight="false" outlineLevel="0" collapsed="false">
      <c r="A352" s="30"/>
      <c r="C352" s="28"/>
      <c r="D352" s="0" t="str">
        <f aca="false">IF(A352="","",YEAR(A352))</f>
        <v/>
      </c>
      <c r="E352" s="0" t="str">
        <f aca="false">IF(A352="","",MONTH(A352))</f>
        <v/>
      </c>
    </row>
    <row r="353" customFormat="false" ht="15" hidden="false" customHeight="false" outlineLevel="0" collapsed="false">
      <c r="A353" s="30"/>
      <c r="C353" s="28"/>
      <c r="D353" s="0" t="str">
        <f aca="false">IF(A353="","",YEAR(A353))</f>
        <v/>
      </c>
      <c r="E353" s="0" t="str">
        <f aca="false">IF(A353="","",MONTH(A353))</f>
        <v/>
      </c>
    </row>
    <row r="354" customFormat="false" ht="15" hidden="false" customHeight="false" outlineLevel="0" collapsed="false">
      <c r="A354" s="30"/>
      <c r="C354" s="28"/>
      <c r="D354" s="0" t="str">
        <f aca="false">IF(A354="","",YEAR(A354))</f>
        <v/>
      </c>
      <c r="E354" s="0" t="str">
        <f aca="false">IF(A354="","",MONTH(A354))</f>
        <v/>
      </c>
    </row>
    <row r="355" customFormat="false" ht="15" hidden="false" customHeight="false" outlineLevel="0" collapsed="false">
      <c r="A355" s="30"/>
      <c r="C355" s="28"/>
      <c r="D355" s="0" t="str">
        <f aca="false">IF(A355="","",YEAR(A355))</f>
        <v/>
      </c>
      <c r="E355" s="0" t="str">
        <f aca="false">IF(A355="","",MONTH(A355))</f>
        <v/>
      </c>
    </row>
    <row r="356" customFormat="false" ht="15" hidden="false" customHeight="false" outlineLevel="0" collapsed="false">
      <c r="A356" s="30"/>
      <c r="C356" s="28"/>
      <c r="D356" s="0" t="str">
        <f aca="false">IF(A356="","",YEAR(A356))</f>
        <v/>
      </c>
      <c r="E356" s="0" t="str">
        <f aca="false">IF(A356="","",MONTH(A356))</f>
        <v/>
      </c>
    </row>
    <row r="357" customFormat="false" ht="15" hidden="false" customHeight="false" outlineLevel="0" collapsed="false">
      <c r="A357" s="30"/>
      <c r="C357" s="28"/>
      <c r="D357" s="0" t="str">
        <f aca="false">IF(A357="","",YEAR(A357))</f>
        <v/>
      </c>
      <c r="E357" s="0" t="str">
        <f aca="false">IF(A357="","",MONTH(A357))</f>
        <v/>
      </c>
    </row>
    <row r="358" customFormat="false" ht="15" hidden="false" customHeight="false" outlineLevel="0" collapsed="false">
      <c r="A358" s="30"/>
      <c r="C358" s="28"/>
      <c r="D358" s="0" t="str">
        <f aca="false">IF(A358="","",YEAR(A358))</f>
        <v/>
      </c>
      <c r="E358" s="0" t="str">
        <f aca="false">IF(A358="","",MONTH(A358))</f>
        <v/>
      </c>
    </row>
    <row r="359" customFormat="false" ht="15" hidden="false" customHeight="false" outlineLevel="0" collapsed="false">
      <c r="A359" s="30"/>
      <c r="C359" s="28"/>
      <c r="D359" s="0" t="str">
        <f aca="false">IF(A359="","",YEAR(A359))</f>
        <v/>
      </c>
      <c r="E359" s="0" t="str">
        <f aca="false">IF(A359="","",MONTH(A359))</f>
        <v/>
      </c>
    </row>
    <row r="360" customFormat="false" ht="15" hidden="false" customHeight="false" outlineLevel="0" collapsed="false">
      <c r="A360" s="30"/>
      <c r="C360" s="28"/>
      <c r="D360" s="0" t="str">
        <f aca="false">IF(A360="","",YEAR(A360))</f>
        <v/>
      </c>
      <c r="E360" s="0" t="str">
        <f aca="false">IF(A360="","",MONTH(A360))</f>
        <v/>
      </c>
    </row>
    <row r="361" customFormat="false" ht="15" hidden="false" customHeight="false" outlineLevel="0" collapsed="false">
      <c r="A361" s="30"/>
      <c r="C361" s="28"/>
      <c r="D361" s="0" t="str">
        <f aca="false">IF(A361="","",YEAR(A361))</f>
        <v/>
      </c>
      <c r="E361" s="0" t="str">
        <f aca="false">IF(A361="","",MONTH(A361))</f>
        <v/>
      </c>
    </row>
    <row r="362" customFormat="false" ht="15" hidden="false" customHeight="false" outlineLevel="0" collapsed="false">
      <c r="A362" s="30"/>
      <c r="C362" s="28"/>
      <c r="D362" s="0" t="str">
        <f aca="false">IF(A362="","",YEAR(A362))</f>
        <v/>
      </c>
      <c r="E362" s="0" t="str">
        <f aca="false">IF(A362="","",MONTH(A362))</f>
        <v/>
      </c>
    </row>
    <row r="363" customFormat="false" ht="15" hidden="false" customHeight="false" outlineLevel="0" collapsed="false">
      <c r="A363" s="30"/>
      <c r="C363" s="28"/>
      <c r="D363" s="0" t="str">
        <f aca="false">IF(A363="","",YEAR(A363))</f>
        <v/>
      </c>
      <c r="E363" s="0" t="str">
        <f aca="false">IF(A363="","",MONTH(A363))</f>
        <v/>
      </c>
    </row>
    <row r="364" customFormat="false" ht="15" hidden="false" customHeight="false" outlineLevel="0" collapsed="false">
      <c r="A364" s="30"/>
      <c r="C364" s="28"/>
      <c r="D364" s="0" t="str">
        <f aca="false">IF(A364="","",YEAR(A364))</f>
        <v/>
      </c>
      <c r="E364" s="0" t="str">
        <f aca="false">IF(A364="","",MONTH(A364))</f>
        <v/>
      </c>
    </row>
    <row r="365" customFormat="false" ht="15" hidden="false" customHeight="false" outlineLevel="0" collapsed="false">
      <c r="A365" s="30"/>
      <c r="C365" s="28"/>
      <c r="D365" s="0" t="str">
        <f aca="false">IF(A365="","",YEAR(A365))</f>
        <v/>
      </c>
      <c r="E365" s="0" t="str">
        <f aca="false">IF(A365="","",MONTH(A365))</f>
        <v/>
      </c>
    </row>
    <row r="366" customFormat="false" ht="15" hidden="false" customHeight="false" outlineLevel="0" collapsed="false">
      <c r="A366" s="30"/>
      <c r="C366" s="28"/>
      <c r="D366" s="0" t="str">
        <f aca="false">IF(A366="","",YEAR(A366))</f>
        <v/>
      </c>
      <c r="E366" s="0" t="str">
        <f aca="false">IF(A366="","",MONTH(A366))</f>
        <v/>
      </c>
    </row>
    <row r="367" customFormat="false" ht="15" hidden="false" customHeight="false" outlineLevel="0" collapsed="false">
      <c r="A367" s="30"/>
      <c r="C367" s="28"/>
      <c r="D367" s="0" t="str">
        <f aca="false">IF(A367="","",YEAR(A367))</f>
        <v/>
      </c>
      <c r="E367" s="0" t="str">
        <f aca="false">IF(A367="","",MONTH(A367))</f>
        <v/>
      </c>
    </row>
    <row r="368" customFormat="false" ht="15" hidden="false" customHeight="false" outlineLevel="0" collapsed="false">
      <c r="A368" s="30"/>
      <c r="C368" s="28"/>
      <c r="D368" s="0" t="str">
        <f aca="false">IF(A368="","",YEAR(A368))</f>
        <v/>
      </c>
      <c r="E368" s="0" t="str">
        <f aca="false">IF(A368="","",MONTH(A368))</f>
        <v/>
      </c>
    </row>
    <row r="369" customFormat="false" ht="15" hidden="false" customHeight="false" outlineLevel="0" collapsed="false">
      <c r="A369" s="30"/>
      <c r="C369" s="28"/>
      <c r="D369" s="0" t="str">
        <f aca="false">IF(A369="","",YEAR(A369))</f>
        <v/>
      </c>
      <c r="E369" s="0" t="str">
        <f aca="false">IF(A369="","",MONTH(A369))</f>
        <v/>
      </c>
    </row>
    <row r="370" customFormat="false" ht="15" hidden="false" customHeight="false" outlineLevel="0" collapsed="false">
      <c r="A370" s="30"/>
      <c r="C370" s="28"/>
      <c r="D370" s="0" t="str">
        <f aca="false">IF(A370="","",YEAR(A370))</f>
        <v/>
      </c>
      <c r="E370" s="0" t="str">
        <f aca="false">IF(A370="","",MONTH(A370))</f>
        <v/>
      </c>
    </row>
    <row r="371" customFormat="false" ht="15" hidden="false" customHeight="false" outlineLevel="0" collapsed="false">
      <c r="A371" s="30"/>
      <c r="C371" s="28"/>
      <c r="D371" s="0" t="str">
        <f aca="false">IF(A371="","",YEAR(A371))</f>
        <v/>
      </c>
      <c r="E371" s="0" t="str">
        <f aca="false">IF(A371="","",MONTH(A371))</f>
        <v/>
      </c>
    </row>
    <row r="372" customFormat="false" ht="15" hidden="false" customHeight="false" outlineLevel="0" collapsed="false">
      <c r="A372" s="30"/>
      <c r="C372" s="28"/>
      <c r="D372" s="0" t="str">
        <f aca="false">IF(A372="","",YEAR(A372))</f>
        <v/>
      </c>
      <c r="E372" s="0" t="str">
        <f aca="false">IF(A372="","",MONTH(A372))</f>
        <v/>
      </c>
    </row>
    <row r="373" customFormat="false" ht="15" hidden="false" customHeight="false" outlineLevel="0" collapsed="false">
      <c r="A373" s="30"/>
      <c r="C373" s="28"/>
      <c r="D373" s="0" t="str">
        <f aca="false">IF(A373="","",YEAR(A373))</f>
        <v/>
      </c>
      <c r="E373" s="0" t="str">
        <f aca="false">IF(A373="","",MONTH(A373))</f>
        <v/>
      </c>
    </row>
    <row r="374" customFormat="false" ht="15" hidden="false" customHeight="false" outlineLevel="0" collapsed="false">
      <c r="A374" s="30"/>
      <c r="C374" s="28"/>
      <c r="D374" s="0" t="str">
        <f aca="false">IF(A374="","",YEAR(A374))</f>
        <v/>
      </c>
      <c r="E374" s="0" t="str">
        <f aca="false">IF(A374="","",MONTH(A374))</f>
        <v/>
      </c>
    </row>
    <row r="375" customFormat="false" ht="15" hidden="false" customHeight="false" outlineLevel="0" collapsed="false">
      <c r="A375" s="30"/>
      <c r="C375" s="28"/>
      <c r="D375" s="0" t="str">
        <f aca="false">IF(A375="","",YEAR(A375))</f>
        <v/>
      </c>
      <c r="E375" s="0" t="str">
        <f aca="false">IF(A375="","",MONTH(A375))</f>
        <v/>
      </c>
    </row>
    <row r="376" customFormat="false" ht="15" hidden="false" customHeight="false" outlineLevel="0" collapsed="false">
      <c r="A376" s="30"/>
      <c r="C376" s="28"/>
      <c r="D376" s="0" t="str">
        <f aca="false">IF(A376="","",YEAR(A376))</f>
        <v/>
      </c>
      <c r="E376" s="0" t="str">
        <f aca="false">IF(A376="","",MONTH(A376))</f>
        <v/>
      </c>
    </row>
    <row r="377" customFormat="false" ht="15" hidden="false" customHeight="false" outlineLevel="0" collapsed="false">
      <c r="A377" s="30"/>
      <c r="C377" s="28"/>
      <c r="D377" s="0" t="str">
        <f aca="false">IF(A377="","",YEAR(A377))</f>
        <v/>
      </c>
      <c r="E377" s="0" t="str">
        <f aca="false">IF(A377="","",MONTH(A377))</f>
        <v/>
      </c>
    </row>
    <row r="378" customFormat="false" ht="15" hidden="false" customHeight="false" outlineLevel="0" collapsed="false">
      <c r="A378" s="30"/>
      <c r="C378" s="28"/>
      <c r="D378" s="0" t="str">
        <f aca="false">IF(A378="","",YEAR(A378))</f>
        <v/>
      </c>
      <c r="E378" s="0" t="str">
        <f aca="false">IF(A378="","",MONTH(A378))</f>
        <v/>
      </c>
    </row>
    <row r="379" customFormat="false" ht="15" hidden="false" customHeight="false" outlineLevel="0" collapsed="false">
      <c r="A379" s="30"/>
      <c r="C379" s="28"/>
      <c r="D379" s="0" t="str">
        <f aca="false">IF(A379="","",YEAR(A379))</f>
        <v/>
      </c>
      <c r="E379" s="0" t="str">
        <f aca="false">IF(A379="","",MONTH(A379))</f>
        <v/>
      </c>
    </row>
    <row r="380" customFormat="false" ht="15" hidden="false" customHeight="false" outlineLevel="0" collapsed="false">
      <c r="A380" s="30"/>
      <c r="C380" s="28"/>
      <c r="D380" s="0" t="str">
        <f aca="false">IF(A380="","",YEAR(A380))</f>
        <v/>
      </c>
      <c r="E380" s="0" t="str">
        <f aca="false">IF(A380="","",MONTH(A380))</f>
        <v/>
      </c>
    </row>
    <row r="381" customFormat="false" ht="15" hidden="false" customHeight="false" outlineLevel="0" collapsed="false">
      <c r="A381" s="30"/>
      <c r="C381" s="28"/>
      <c r="D381" s="0" t="str">
        <f aca="false">IF(A381="","",YEAR(A381))</f>
        <v/>
      </c>
      <c r="E381" s="0" t="str">
        <f aca="false">IF(A381="","",MONTH(A381))</f>
        <v/>
      </c>
    </row>
    <row r="382" customFormat="false" ht="15" hidden="false" customHeight="false" outlineLevel="0" collapsed="false">
      <c r="A382" s="30"/>
      <c r="C382" s="28"/>
      <c r="D382" s="0" t="str">
        <f aca="false">IF(A382="","",YEAR(A382))</f>
        <v/>
      </c>
      <c r="E382" s="0" t="str">
        <f aca="false">IF(A382="","",MONTH(A382))</f>
        <v/>
      </c>
    </row>
    <row r="383" customFormat="false" ht="15" hidden="false" customHeight="false" outlineLevel="0" collapsed="false">
      <c r="A383" s="30"/>
      <c r="C383" s="28"/>
      <c r="D383" s="0" t="str">
        <f aca="false">IF(A383="","",YEAR(A383))</f>
        <v/>
      </c>
      <c r="E383" s="0" t="str">
        <f aca="false">IF(A383="","",MONTH(A383))</f>
        <v/>
      </c>
    </row>
    <row r="384" customFormat="false" ht="15" hidden="false" customHeight="false" outlineLevel="0" collapsed="false">
      <c r="A384" s="30"/>
      <c r="C384" s="28"/>
      <c r="D384" s="0" t="str">
        <f aca="false">IF(A384="","",YEAR(A384))</f>
        <v/>
      </c>
      <c r="E384" s="0" t="str">
        <f aca="false">IF(A384="","",MONTH(A384))</f>
        <v/>
      </c>
    </row>
    <row r="385" customFormat="false" ht="15" hidden="false" customHeight="false" outlineLevel="0" collapsed="false">
      <c r="A385" s="30"/>
      <c r="C385" s="28"/>
      <c r="D385" s="0" t="str">
        <f aca="false">IF(A385="","",YEAR(A385))</f>
        <v/>
      </c>
      <c r="E385" s="0" t="str">
        <f aca="false">IF(A385="","",MONTH(A385))</f>
        <v/>
      </c>
    </row>
    <row r="386" customFormat="false" ht="15" hidden="false" customHeight="false" outlineLevel="0" collapsed="false">
      <c r="A386" s="30"/>
      <c r="C386" s="28"/>
      <c r="D386" s="0" t="str">
        <f aca="false">IF(A386="","",YEAR(A386))</f>
        <v/>
      </c>
      <c r="E386" s="0" t="str">
        <f aca="false">IF(A386="","",MONTH(A386))</f>
        <v/>
      </c>
    </row>
    <row r="387" customFormat="false" ht="15" hidden="false" customHeight="false" outlineLevel="0" collapsed="false">
      <c r="A387" s="30"/>
      <c r="C387" s="28"/>
      <c r="D387" s="0" t="str">
        <f aca="false">IF(A387="","",YEAR(A387))</f>
        <v/>
      </c>
      <c r="E387" s="0" t="str">
        <f aca="false">IF(A387="","",MONTH(A387))</f>
        <v/>
      </c>
    </row>
    <row r="388" customFormat="false" ht="15" hidden="false" customHeight="false" outlineLevel="0" collapsed="false">
      <c r="A388" s="30"/>
      <c r="C388" s="28"/>
      <c r="D388" s="0" t="str">
        <f aca="false">IF(A388="","",YEAR(A388))</f>
        <v/>
      </c>
      <c r="E388" s="0" t="str">
        <f aca="false">IF(A388="","",MONTH(A388))</f>
        <v/>
      </c>
    </row>
    <row r="389" customFormat="false" ht="15" hidden="false" customHeight="false" outlineLevel="0" collapsed="false">
      <c r="A389" s="30"/>
      <c r="C389" s="28"/>
      <c r="D389" s="0" t="str">
        <f aca="false">IF(A389="","",YEAR(A389))</f>
        <v/>
      </c>
      <c r="E389" s="0" t="str">
        <f aca="false">IF(A389="","",MONTH(A389))</f>
        <v/>
      </c>
    </row>
    <row r="390" customFormat="false" ht="15" hidden="false" customHeight="false" outlineLevel="0" collapsed="false">
      <c r="A390" s="30"/>
      <c r="C390" s="28"/>
      <c r="D390" s="0" t="str">
        <f aca="false">IF(A390="","",YEAR(A390))</f>
        <v/>
      </c>
      <c r="E390" s="0" t="str">
        <f aca="false">IF(A390="","",MONTH(A390))</f>
        <v/>
      </c>
    </row>
    <row r="391" customFormat="false" ht="15" hidden="false" customHeight="false" outlineLevel="0" collapsed="false">
      <c r="A391" s="30"/>
      <c r="C391" s="28"/>
      <c r="D391" s="0" t="str">
        <f aca="false">IF(A391="","",YEAR(A391))</f>
        <v/>
      </c>
      <c r="E391" s="0" t="str">
        <f aca="false">IF(A391="","",MONTH(A391))</f>
        <v/>
      </c>
    </row>
    <row r="392" customFormat="false" ht="15" hidden="false" customHeight="false" outlineLevel="0" collapsed="false">
      <c r="A392" s="30"/>
      <c r="C392" s="28"/>
      <c r="D392" s="0" t="str">
        <f aca="false">IF(A392="","",YEAR(A392))</f>
        <v/>
      </c>
      <c r="E392" s="0" t="str">
        <f aca="false">IF(A392="","",MONTH(A392))</f>
        <v/>
      </c>
    </row>
    <row r="393" customFormat="false" ht="15" hidden="false" customHeight="false" outlineLevel="0" collapsed="false">
      <c r="A393" s="30"/>
      <c r="C393" s="28"/>
      <c r="D393" s="0" t="str">
        <f aca="false">IF(A393="","",YEAR(A393))</f>
        <v/>
      </c>
      <c r="E393" s="0" t="str">
        <f aca="false">IF(A393="","",MONTH(A393))</f>
        <v/>
      </c>
    </row>
    <row r="394" customFormat="false" ht="15" hidden="false" customHeight="false" outlineLevel="0" collapsed="false">
      <c r="A394" s="30"/>
      <c r="C394" s="28"/>
      <c r="D394" s="0" t="str">
        <f aca="false">IF(A394="","",YEAR(A394))</f>
        <v/>
      </c>
      <c r="E394" s="0" t="str">
        <f aca="false">IF(A394="","",MONTH(A394))</f>
        <v/>
      </c>
    </row>
    <row r="395" customFormat="false" ht="15" hidden="false" customHeight="false" outlineLevel="0" collapsed="false">
      <c r="A395" s="30"/>
      <c r="C395" s="28"/>
      <c r="D395" s="0" t="str">
        <f aca="false">IF(A395="","",YEAR(A395))</f>
        <v/>
      </c>
      <c r="E395" s="0" t="str">
        <f aca="false">IF(A395="","",MONTH(A395))</f>
        <v/>
      </c>
    </row>
    <row r="396" customFormat="false" ht="15" hidden="false" customHeight="false" outlineLevel="0" collapsed="false">
      <c r="A396" s="30"/>
      <c r="C396" s="28"/>
      <c r="D396" s="0" t="str">
        <f aca="false">IF(A396="","",YEAR(A396))</f>
        <v/>
      </c>
      <c r="E396" s="0" t="str">
        <f aca="false">IF(A396="","",MONTH(A396))</f>
        <v/>
      </c>
    </row>
    <row r="397" customFormat="false" ht="15" hidden="false" customHeight="false" outlineLevel="0" collapsed="false">
      <c r="A397" s="30"/>
      <c r="C397" s="28"/>
      <c r="D397" s="0" t="str">
        <f aca="false">IF(A397="","",YEAR(A397))</f>
        <v/>
      </c>
      <c r="E397" s="0" t="str">
        <f aca="false">IF(A397="","",MONTH(A397))</f>
        <v/>
      </c>
    </row>
    <row r="398" customFormat="false" ht="15" hidden="false" customHeight="false" outlineLevel="0" collapsed="false">
      <c r="A398" s="30"/>
      <c r="C398" s="28"/>
      <c r="D398" s="0" t="str">
        <f aca="false">IF(A398="","",YEAR(A398))</f>
        <v/>
      </c>
      <c r="E398" s="0" t="str">
        <f aca="false">IF(A398="","",MONTH(A398))</f>
        <v/>
      </c>
    </row>
    <row r="399" customFormat="false" ht="15" hidden="false" customHeight="false" outlineLevel="0" collapsed="false">
      <c r="A399" s="30"/>
      <c r="C399" s="28"/>
      <c r="D399" s="0" t="str">
        <f aca="false">IF(A399="","",YEAR(A399))</f>
        <v/>
      </c>
      <c r="E399" s="0" t="str">
        <f aca="false">IF(A399="","",MONTH(A399))</f>
        <v/>
      </c>
    </row>
    <row r="400" customFormat="false" ht="15" hidden="false" customHeight="false" outlineLevel="0" collapsed="false">
      <c r="A400" s="30"/>
      <c r="C400" s="28"/>
      <c r="D400" s="0" t="str">
        <f aca="false">IF(A400="","",YEAR(A400))</f>
        <v/>
      </c>
      <c r="E400" s="0" t="str">
        <f aca="false">IF(A400="","",MONTH(A400))</f>
        <v/>
      </c>
    </row>
    <row r="401" customFormat="false" ht="15" hidden="false" customHeight="false" outlineLevel="0" collapsed="false">
      <c r="A401" s="30"/>
      <c r="C401" s="28"/>
      <c r="D401" s="0" t="str">
        <f aca="false">IF(A401="","",YEAR(A401))</f>
        <v/>
      </c>
      <c r="E401" s="0" t="str">
        <f aca="false">IF(A401="","",MONTH(A401))</f>
        <v/>
      </c>
    </row>
    <row r="402" customFormat="false" ht="15" hidden="false" customHeight="false" outlineLevel="0" collapsed="false">
      <c r="A402" s="30"/>
      <c r="C402" s="28"/>
      <c r="D402" s="0" t="str">
        <f aca="false">IF(A402="","",YEAR(A402))</f>
        <v/>
      </c>
      <c r="E402" s="0" t="str">
        <f aca="false">IF(A402="","",MONTH(A402))</f>
        <v/>
      </c>
    </row>
    <row r="403" customFormat="false" ht="15" hidden="false" customHeight="false" outlineLevel="0" collapsed="false">
      <c r="A403" s="30"/>
      <c r="C403" s="28"/>
      <c r="D403" s="0" t="str">
        <f aca="false">IF(A403="","",YEAR(A403))</f>
        <v/>
      </c>
      <c r="E403" s="0" t="str">
        <f aca="false">IF(A403="","",MONTH(A403))</f>
        <v/>
      </c>
    </row>
    <row r="404" customFormat="false" ht="15" hidden="false" customHeight="false" outlineLevel="0" collapsed="false">
      <c r="A404" s="30"/>
      <c r="C404" s="28"/>
      <c r="D404" s="0" t="str">
        <f aca="false">IF(A404="","",YEAR(A404))</f>
        <v/>
      </c>
      <c r="E404" s="0" t="str">
        <f aca="false">IF(A404="","",MONTH(A404))</f>
        <v/>
      </c>
    </row>
    <row r="405" customFormat="false" ht="15" hidden="false" customHeight="false" outlineLevel="0" collapsed="false">
      <c r="A405" s="30"/>
      <c r="C405" s="28"/>
      <c r="D405" s="0" t="str">
        <f aca="false">IF(A405="","",YEAR(A405))</f>
        <v/>
      </c>
      <c r="E405" s="0" t="str">
        <f aca="false">IF(A405="","",MONTH(A405))</f>
        <v/>
      </c>
    </row>
    <row r="406" customFormat="false" ht="15" hidden="false" customHeight="false" outlineLevel="0" collapsed="false">
      <c r="A406" s="30"/>
      <c r="C406" s="28"/>
      <c r="D406" s="0" t="str">
        <f aca="false">IF(A406="","",YEAR(A406))</f>
        <v/>
      </c>
      <c r="E406" s="0" t="str">
        <f aca="false">IF(A406="","",MONTH(A406))</f>
        <v/>
      </c>
    </row>
    <row r="407" customFormat="false" ht="15" hidden="false" customHeight="false" outlineLevel="0" collapsed="false">
      <c r="A407" s="30"/>
      <c r="C407" s="28"/>
      <c r="D407" s="0" t="str">
        <f aca="false">IF(A407="","",YEAR(A407))</f>
        <v/>
      </c>
      <c r="E407" s="0" t="str">
        <f aca="false">IF(A407="","",MONTH(A407))</f>
        <v/>
      </c>
    </row>
    <row r="408" customFormat="false" ht="15" hidden="false" customHeight="false" outlineLevel="0" collapsed="false">
      <c r="A408" s="30"/>
      <c r="C408" s="28"/>
      <c r="D408" s="0" t="str">
        <f aca="false">IF(A408="","",YEAR(A408))</f>
        <v/>
      </c>
      <c r="E408" s="0" t="str">
        <f aca="false">IF(A408="","",MONTH(A408))</f>
        <v/>
      </c>
    </row>
    <row r="409" customFormat="false" ht="15" hidden="false" customHeight="false" outlineLevel="0" collapsed="false">
      <c r="A409" s="30"/>
      <c r="C409" s="28"/>
      <c r="D409" s="0" t="str">
        <f aca="false">IF(A409="","",YEAR(A409))</f>
        <v/>
      </c>
      <c r="E409" s="0" t="str">
        <f aca="false">IF(A409="","",MONTH(A409))</f>
        <v/>
      </c>
    </row>
    <row r="410" customFormat="false" ht="15" hidden="false" customHeight="false" outlineLevel="0" collapsed="false">
      <c r="A410" s="30"/>
      <c r="C410" s="28"/>
      <c r="D410" s="0" t="str">
        <f aca="false">IF(A410="","",YEAR(A410))</f>
        <v/>
      </c>
      <c r="E410" s="0" t="str">
        <f aca="false">IF(A410="","",MONTH(A410))</f>
        <v/>
      </c>
    </row>
    <row r="411" customFormat="false" ht="15" hidden="false" customHeight="false" outlineLevel="0" collapsed="false">
      <c r="A411" s="30"/>
      <c r="C411" s="28"/>
      <c r="D411" s="0" t="str">
        <f aca="false">IF(A411="","",YEAR(A411))</f>
        <v/>
      </c>
      <c r="E411" s="0" t="str">
        <f aca="false">IF(A411="","",MONTH(A411))</f>
        <v/>
      </c>
    </row>
    <row r="412" customFormat="false" ht="15" hidden="false" customHeight="false" outlineLevel="0" collapsed="false">
      <c r="A412" s="30"/>
      <c r="C412" s="28"/>
      <c r="D412" s="0" t="str">
        <f aca="false">IF(A412="","",YEAR(A412))</f>
        <v/>
      </c>
      <c r="E412" s="0" t="str">
        <f aca="false">IF(A412="","",MONTH(A412))</f>
        <v/>
      </c>
    </row>
    <row r="413" customFormat="false" ht="15" hidden="false" customHeight="false" outlineLevel="0" collapsed="false">
      <c r="A413" s="30"/>
      <c r="C413" s="28"/>
      <c r="D413" s="0" t="str">
        <f aca="false">IF(A413="","",YEAR(A413))</f>
        <v/>
      </c>
      <c r="E413" s="0" t="str">
        <f aca="false">IF(A413="","",MONTH(A413))</f>
        <v/>
      </c>
    </row>
    <row r="414" customFormat="false" ht="15" hidden="false" customHeight="false" outlineLevel="0" collapsed="false">
      <c r="A414" s="30"/>
      <c r="C414" s="28"/>
      <c r="D414" s="0" t="str">
        <f aca="false">IF(A414="","",YEAR(A414))</f>
        <v/>
      </c>
      <c r="E414" s="0" t="str">
        <f aca="false">IF(A414="","",MONTH(A414))</f>
        <v/>
      </c>
    </row>
    <row r="415" customFormat="false" ht="15" hidden="false" customHeight="false" outlineLevel="0" collapsed="false">
      <c r="A415" s="30"/>
      <c r="C415" s="28"/>
      <c r="D415" s="0" t="str">
        <f aca="false">IF(A415="","",YEAR(A415))</f>
        <v/>
      </c>
      <c r="E415" s="0" t="str">
        <f aca="false">IF(A415="","",MONTH(A415))</f>
        <v/>
      </c>
    </row>
    <row r="416" customFormat="false" ht="15" hidden="false" customHeight="false" outlineLevel="0" collapsed="false">
      <c r="A416" s="30"/>
      <c r="C416" s="28"/>
      <c r="D416" s="0" t="str">
        <f aca="false">IF(A416="","",YEAR(A416))</f>
        <v/>
      </c>
      <c r="E416" s="0" t="str">
        <f aca="false">IF(A416="","",MONTH(A416))</f>
        <v/>
      </c>
    </row>
    <row r="417" customFormat="false" ht="15" hidden="false" customHeight="false" outlineLevel="0" collapsed="false">
      <c r="A417" s="30"/>
      <c r="C417" s="28"/>
      <c r="D417" s="0" t="str">
        <f aca="false">IF(A417="","",YEAR(A417))</f>
        <v/>
      </c>
      <c r="E417" s="0" t="str">
        <f aca="false">IF(A417="","",MONTH(A417))</f>
        <v/>
      </c>
    </row>
    <row r="418" customFormat="false" ht="15" hidden="false" customHeight="false" outlineLevel="0" collapsed="false">
      <c r="A418" s="30"/>
      <c r="C418" s="28"/>
      <c r="D418" s="0" t="str">
        <f aca="false">IF(A418="","",YEAR(A418))</f>
        <v/>
      </c>
      <c r="E418" s="0" t="str">
        <f aca="false">IF(A418="","",MONTH(A418))</f>
        <v/>
      </c>
    </row>
    <row r="419" customFormat="false" ht="15" hidden="false" customHeight="false" outlineLevel="0" collapsed="false">
      <c r="A419" s="30"/>
      <c r="C419" s="28"/>
      <c r="D419" s="0" t="str">
        <f aca="false">IF(A419="","",YEAR(A419))</f>
        <v/>
      </c>
      <c r="E419" s="0" t="str">
        <f aca="false">IF(A419="","",MONTH(A419))</f>
        <v/>
      </c>
    </row>
    <row r="420" customFormat="false" ht="15" hidden="false" customHeight="false" outlineLevel="0" collapsed="false">
      <c r="A420" s="30"/>
      <c r="C420" s="28"/>
      <c r="D420" s="0" t="str">
        <f aca="false">IF(A420="","",YEAR(A420))</f>
        <v/>
      </c>
      <c r="E420" s="0" t="str">
        <f aca="false">IF(A420="","",MONTH(A420))</f>
        <v/>
      </c>
    </row>
    <row r="421" customFormat="false" ht="15" hidden="false" customHeight="false" outlineLevel="0" collapsed="false">
      <c r="A421" s="30"/>
      <c r="C421" s="28"/>
      <c r="D421" s="0" t="str">
        <f aca="false">IF(A421="","",YEAR(A421))</f>
        <v/>
      </c>
      <c r="E421" s="0" t="str">
        <f aca="false">IF(A421="","",MONTH(A421))</f>
        <v/>
      </c>
    </row>
    <row r="422" customFormat="false" ht="15" hidden="false" customHeight="false" outlineLevel="0" collapsed="false">
      <c r="A422" s="30"/>
      <c r="C422" s="28"/>
      <c r="D422" s="0" t="str">
        <f aca="false">IF(A422="","",YEAR(A422))</f>
        <v/>
      </c>
      <c r="E422" s="0" t="str">
        <f aca="false">IF(A422="","",MONTH(A422))</f>
        <v/>
      </c>
    </row>
    <row r="423" customFormat="false" ht="15" hidden="false" customHeight="false" outlineLevel="0" collapsed="false">
      <c r="A423" s="30"/>
      <c r="C423" s="28"/>
      <c r="D423" s="0" t="str">
        <f aca="false">IF(A423="","",YEAR(A423))</f>
        <v/>
      </c>
      <c r="E423" s="0" t="str">
        <f aca="false">IF(A423="","",MONTH(A423))</f>
        <v/>
      </c>
    </row>
    <row r="424" customFormat="false" ht="15" hidden="false" customHeight="false" outlineLevel="0" collapsed="false">
      <c r="A424" s="30"/>
      <c r="C424" s="28"/>
      <c r="D424" s="0" t="str">
        <f aca="false">IF(A424="","",YEAR(A424))</f>
        <v/>
      </c>
      <c r="E424" s="0" t="str">
        <f aca="false">IF(A424="","",MONTH(A424))</f>
        <v/>
      </c>
    </row>
    <row r="425" customFormat="false" ht="15" hidden="false" customHeight="false" outlineLevel="0" collapsed="false">
      <c r="A425" s="30"/>
      <c r="C425" s="28"/>
      <c r="D425" s="0" t="str">
        <f aca="false">IF(A425="","",YEAR(A425))</f>
        <v/>
      </c>
      <c r="E425" s="0" t="str">
        <f aca="false">IF(A425="","",MONTH(A425))</f>
        <v/>
      </c>
    </row>
    <row r="426" customFormat="false" ht="15" hidden="false" customHeight="false" outlineLevel="0" collapsed="false">
      <c r="A426" s="30"/>
      <c r="C426" s="28"/>
      <c r="D426" s="0" t="str">
        <f aca="false">IF(A426="","",YEAR(A426))</f>
        <v/>
      </c>
      <c r="E426" s="0" t="str">
        <f aca="false">IF(A426="","",MONTH(A426))</f>
        <v/>
      </c>
    </row>
    <row r="427" customFormat="false" ht="15" hidden="false" customHeight="false" outlineLevel="0" collapsed="false">
      <c r="A427" s="30"/>
      <c r="C427" s="28"/>
      <c r="D427" s="0" t="str">
        <f aca="false">IF(A427="","",YEAR(A427))</f>
        <v/>
      </c>
      <c r="E427" s="0" t="str">
        <f aca="false">IF(A427="","",MONTH(A427))</f>
        <v/>
      </c>
    </row>
    <row r="428" customFormat="false" ht="15" hidden="false" customHeight="false" outlineLevel="0" collapsed="false">
      <c r="A428" s="30"/>
      <c r="C428" s="28"/>
      <c r="D428" s="0" t="str">
        <f aca="false">IF(A428="","",YEAR(A428))</f>
        <v/>
      </c>
      <c r="E428" s="0" t="str">
        <f aca="false">IF(A428="","",MONTH(A428))</f>
        <v/>
      </c>
    </row>
    <row r="429" customFormat="false" ht="15" hidden="false" customHeight="false" outlineLevel="0" collapsed="false">
      <c r="A429" s="30"/>
      <c r="C429" s="28"/>
      <c r="D429" s="0" t="str">
        <f aca="false">IF(A429="","",YEAR(A429))</f>
        <v/>
      </c>
      <c r="E429" s="0" t="str">
        <f aca="false">IF(A429="","",MONTH(A429))</f>
        <v/>
      </c>
    </row>
    <row r="430" customFormat="false" ht="15" hidden="false" customHeight="false" outlineLevel="0" collapsed="false">
      <c r="A430" s="30"/>
      <c r="C430" s="28"/>
      <c r="D430" s="0" t="str">
        <f aca="false">IF(A430="","",YEAR(A430))</f>
        <v/>
      </c>
      <c r="E430" s="0" t="str">
        <f aca="false">IF(A430="","",MONTH(A430))</f>
        <v/>
      </c>
    </row>
    <row r="431" customFormat="false" ht="15" hidden="false" customHeight="false" outlineLevel="0" collapsed="false">
      <c r="A431" s="30"/>
      <c r="C431" s="28"/>
      <c r="D431" s="0" t="str">
        <f aca="false">IF(A431="","",YEAR(A431))</f>
        <v/>
      </c>
      <c r="E431" s="0" t="str">
        <f aca="false">IF(A431="","",MONTH(A431))</f>
        <v/>
      </c>
    </row>
    <row r="432" customFormat="false" ht="15" hidden="false" customHeight="false" outlineLevel="0" collapsed="false">
      <c r="A432" s="30"/>
      <c r="C432" s="28"/>
      <c r="D432" s="0" t="str">
        <f aca="false">IF(A432="","",YEAR(A432))</f>
        <v/>
      </c>
      <c r="E432" s="0" t="str">
        <f aca="false">IF(A432="","",MONTH(A432))</f>
        <v/>
      </c>
    </row>
    <row r="433" customFormat="false" ht="15" hidden="false" customHeight="false" outlineLevel="0" collapsed="false">
      <c r="A433" s="30"/>
      <c r="C433" s="28"/>
      <c r="D433" s="0" t="str">
        <f aca="false">IF(A433="","",YEAR(A433))</f>
        <v/>
      </c>
      <c r="E433" s="0" t="str">
        <f aca="false">IF(A433="","",MONTH(A433))</f>
        <v/>
      </c>
    </row>
    <row r="434" customFormat="false" ht="15" hidden="false" customHeight="false" outlineLevel="0" collapsed="false">
      <c r="A434" s="30"/>
      <c r="C434" s="28"/>
      <c r="D434" s="0" t="str">
        <f aca="false">IF(A434="","",YEAR(A434))</f>
        <v/>
      </c>
      <c r="E434" s="0" t="str">
        <f aca="false">IF(A434="","",MONTH(A434))</f>
        <v/>
      </c>
    </row>
    <row r="435" customFormat="false" ht="15" hidden="false" customHeight="false" outlineLevel="0" collapsed="false">
      <c r="A435" s="30"/>
      <c r="C435" s="28"/>
      <c r="D435" s="0" t="str">
        <f aca="false">IF(A435="","",YEAR(A435))</f>
        <v/>
      </c>
      <c r="E435" s="0" t="str">
        <f aca="false">IF(A435="","",MONTH(A435))</f>
        <v/>
      </c>
    </row>
    <row r="436" customFormat="false" ht="15" hidden="false" customHeight="false" outlineLevel="0" collapsed="false">
      <c r="A436" s="30"/>
      <c r="C436" s="28"/>
      <c r="D436" s="0" t="str">
        <f aca="false">IF(A436="","",YEAR(A436))</f>
        <v/>
      </c>
      <c r="E436" s="0" t="str">
        <f aca="false">IF(A436="","",MONTH(A436))</f>
        <v/>
      </c>
    </row>
    <row r="437" customFormat="false" ht="15" hidden="false" customHeight="false" outlineLevel="0" collapsed="false">
      <c r="A437" s="30"/>
      <c r="C437" s="28"/>
      <c r="D437" s="0" t="str">
        <f aca="false">IF(A437="","",YEAR(A437))</f>
        <v/>
      </c>
      <c r="E437" s="0" t="str">
        <f aca="false">IF(A437="","",MONTH(A437))</f>
        <v/>
      </c>
    </row>
    <row r="438" customFormat="false" ht="15" hidden="false" customHeight="false" outlineLevel="0" collapsed="false">
      <c r="A438" s="30"/>
      <c r="C438" s="28"/>
      <c r="D438" s="0" t="str">
        <f aca="false">IF(A438="","",YEAR(A438))</f>
        <v/>
      </c>
      <c r="E438" s="0" t="str">
        <f aca="false">IF(A438="","",MONTH(A438))</f>
        <v/>
      </c>
    </row>
    <row r="439" customFormat="false" ht="15" hidden="false" customHeight="false" outlineLevel="0" collapsed="false">
      <c r="A439" s="30"/>
      <c r="C439" s="28"/>
      <c r="D439" s="0" t="str">
        <f aca="false">IF(A439="","",YEAR(A439))</f>
        <v/>
      </c>
      <c r="E439" s="0" t="str">
        <f aca="false">IF(A439="","",MONTH(A439))</f>
        <v/>
      </c>
    </row>
    <row r="440" customFormat="false" ht="15" hidden="false" customHeight="false" outlineLevel="0" collapsed="false">
      <c r="A440" s="30"/>
      <c r="C440" s="28"/>
      <c r="D440" s="0" t="str">
        <f aca="false">IF(A440="","",YEAR(A440))</f>
        <v/>
      </c>
      <c r="E440" s="0" t="str">
        <f aca="false">IF(A440="","",MONTH(A440))</f>
        <v/>
      </c>
    </row>
    <row r="441" customFormat="false" ht="15" hidden="false" customHeight="false" outlineLevel="0" collapsed="false">
      <c r="A441" s="30"/>
      <c r="C441" s="28"/>
      <c r="D441" s="0" t="str">
        <f aca="false">IF(A441="","",YEAR(A441))</f>
        <v/>
      </c>
      <c r="E441" s="0" t="str">
        <f aca="false">IF(A441="","",MONTH(A441))</f>
        <v/>
      </c>
    </row>
    <row r="442" customFormat="false" ht="15" hidden="false" customHeight="false" outlineLevel="0" collapsed="false">
      <c r="A442" s="30"/>
      <c r="C442" s="28"/>
      <c r="D442" s="0" t="str">
        <f aca="false">IF(A442="","",YEAR(A442))</f>
        <v/>
      </c>
      <c r="E442" s="0" t="str">
        <f aca="false">IF(A442="","",MONTH(A442))</f>
        <v/>
      </c>
    </row>
    <row r="443" customFormat="false" ht="15" hidden="false" customHeight="false" outlineLevel="0" collapsed="false">
      <c r="A443" s="30"/>
      <c r="C443" s="28"/>
      <c r="D443" s="0" t="str">
        <f aca="false">IF(A443="","",YEAR(A443))</f>
        <v/>
      </c>
      <c r="E443" s="0" t="str">
        <f aca="false">IF(A443="","",MONTH(A443))</f>
        <v/>
      </c>
    </row>
    <row r="444" customFormat="false" ht="15" hidden="false" customHeight="false" outlineLevel="0" collapsed="false">
      <c r="A444" s="30"/>
      <c r="C444" s="28"/>
      <c r="D444" s="0" t="str">
        <f aca="false">IF(A444="","",YEAR(A444))</f>
        <v/>
      </c>
      <c r="E444" s="0" t="str">
        <f aca="false">IF(A444="","",MONTH(A444))</f>
        <v/>
      </c>
    </row>
    <row r="445" customFormat="false" ht="15" hidden="false" customHeight="false" outlineLevel="0" collapsed="false">
      <c r="A445" s="30"/>
      <c r="C445" s="28"/>
      <c r="D445" s="0" t="str">
        <f aca="false">IF(A445="","",YEAR(A445))</f>
        <v/>
      </c>
      <c r="E445" s="0" t="str">
        <f aca="false">IF(A445="","",MONTH(A445))</f>
        <v/>
      </c>
    </row>
    <row r="446" customFormat="false" ht="15" hidden="false" customHeight="false" outlineLevel="0" collapsed="false">
      <c r="A446" s="30"/>
      <c r="C446" s="28"/>
      <c r="D446" s="0" t="str">
        <f aca="false">IF(A446="","",YEAR(A446))</f>
        <v/>
      </c>
      <c r="E446" s="0" t="str">
        <f aca="false">IF(A446="","",MONTH(A446))</f>
        <v/>
      </c>
    </row>
    <row r="447" customFormat="false" ht="15" hidden="false" customHeight="false" outlineLevel="0" collapsed="false">
      <c r="A447" s="30"/>
      <c r="C447" s="28"/>
      <c r="D447" s="0" t="str">
        <f aca="false">IF(A447="","",YEAR(A447))</f>
        <v/>
      </c>
      <c r="E447" s="0" t="str">
        <f aca="false">IF(A447="","",MONTH(A447))</f>
        <v/>
      </c>
    </row>
    <row r="448" customFormat="false" ht="15" hidden="false" customHeight="false" outlineLevel="0" collapsed="false">
      <c r="A448" s="30"/>
      <c r="C448" s="28"/>
      <c r="D448" s="0" t="str">
        <f aca="false">IF(A448="","",YEAR(A448))</f>
        <v/>
      </c>
      <c r="E448" s="0" t="str">
        <f aca="false">IF(A448="","",MONTH(A448))</f>
        <v/>
      </c>
    </row>
    <row r="449" customFormat="false" ht="15" hidden="false" customHeight="false" outlineLevel="0" collapsed="false">
      <c r="A449" s="30"/>
      <c r="C449" s="28"/>
      <c r="D449" s="0" t="str">
        <f aca="false">IF(A449="","",YEAR(A449))</f>
        <v/>
      </c>
      <c r="E449" s="0" t="str">
        <f aca="false">IF(A449="","",MONTH(A449))</f>
        <v/>
      </c>
    </row>
    <row r="450" customFormat="false" ht="15" hidden="false" customHeight="false" outlineLevel="0" collapsed="false">
      <c r="A450" s="30"/>
      <c r="C450" s="28"/>
      <c r="D450" s="0" t="str">
        <f aca="false">IF(A450="","",YEAR(A450))</f>
        <v/>
      </c>
      <c r="E450" s="0" t="str">
        <f aca="false">IF(A450="","",MONTH(A450))</f>
        <v/>
      </c>
    </row>
    <row r="451" customFormat="false" ht="15" hidden="false" customHeight="false" outlineLevel="0" collapsed="false">
      <c r="A451" s="30"/>
      <c r="C451" s="28"/>
      <c r="D451" s="0" t="str">
        <f aca="false">IF(A451="","",YEAR(A451))</f>
        <v/>
      </c>
      <c r="E451" s="0" t="str">
        <f aca="false">IF(A451="","",MONTH(A451))</f>
        <v/>
      </c>
    </row>
    <row r="452" customFormat="false" ht="15" hidden="false" customHeight="false" outlineLevel="0" collapsed="false">
      <c r="A452" s="30"/>
      <c r="C452" s="28"/>
      <c r="D452" s="0" t="str">
        <f aca="false">IF(A452="","",YEAR(A452))</f>
        <v/>
      </c>
      <c r="E452" s="0" t="str">
        <f aca="false">IF(A452="","",MONTH(A452))</f>
        <v/>
      </c>
    </row>
    <row r="453" customFormat="false" ht="15" hidden="false" customHeight="false" outlineLevel="0" collapsed="false">
      <c r="A453" s="30"/>
      <c r="C453" s="28"/>
      <c r="D453" s="0" t="str">
        <f aca="false">IF(A453="","",YEAR(A453))</f>
        <v/>
      </c>
      <c r="E453" s="0" t="str">
        <f aca="false">IF(A453="","",MONTH(A453))</f>
        <v/>
      </c>
    </row>
    <row r="454" customFormat="false" ht="15" hidden="false" customHeight="false" outlineLevel="0" collapsed="false">
      <c r="A454" s="30"/>
      <c r="C454" s="28"/>
      <c r="D454" s="0" t="str">
        <f aca="false">IF(A454="","",YEAR(A454))</f>
        <v/>
      </c>
      <c r="E454" s="0" t="str">
        <f aca="false">IF(A454="","",MONTH(A454))</f>
        <v/>
      </c>
    </row>
    <row r="455" customFormat="false" ht="15" hidden="false" customHeight="false" outlineLevel="0" collapsed="false">
      <c r="A455" s="30"/>
      <c r="C455" s="28"/>
      <c r="D455" s="0" t="str">
        <f aca="false">IF(A455="","",YEAR(A455))</f>
        <v/>
      </c>
      <c r="E455" s="0" t="str">
        <f aca="false">IF(A455="","",MONTH(A455))</f>
        <v/>
      </c>
    </row>
    <row r="456" customFormat="false" ht="15" hidden="false" customHeight="false" outlineLevel="0" collapsed="false">
      <c r="A456" s="30"/>
      <c r="C456" s="28"/>
      <c r="D456" s="0" t="str">
        <f aca="false">IF(A456="","",YEAR(A456))</f>
        <v/>
      </c>
      <c r="E456" s="0" t="str">
        <f aca="false">IF(A456="","",MONTH(A456))</f>
        <v/>
      </c>
    </row>
    <row r="457" customFormat="false" ht="15" hidden="false" customHeight="false" outlineLevel="0" collapsed="false">
      <c r="A457" s="30"/>
      <c r="C457" s="28"/>
      <c r="D457" s="0" t="str">
        <f aca="false">IF(A457="","",YEAR(A457))</f>
        <v/>
      </c>
      <c r="E457" s="0" t="str">
        <f aca="false">IF(A457="","",MONTH(A457))</f>
        <v/>
      </c>
    </row>
    <row r="458" customFormat="false" ht="15" hidden="false" customHeight="false" outlineLevel="0" collapsed="false">
      <c r="A458" s="30"/>
      <c r="C458" s="28"/>
      <c r="D458" s="0" t="str">
        <f aca="false">IF(A458="","",YEAR(A458))</f>
        <v/>
      </c>
      <c r="E458" s="0" t="str">
        <f aca="false">IF(A458="","",MONTH(A458))</f>
        <v/>
      </c>
    </row>
    <row r="459" customFormat="false" ht="15" hidden="false" customHeight="false" outlineLevel="0" collapsed="false">
      <c r="A459" s="30"/>
      <c r="C459" s="28"/>
      <c r="D459" s="0" t="str">
        <f aca="false">IF(A459="","",YEAR(A459))</f>
        <v/>
      </c>
      <c r="E459" s="0" t="str">
        <f aca="false">IF(A459="","",MONTH(A459))</f>
        <v/>
      </c>
    </row>
    <row r="460" customFormat="false" ht="15" hidden="false" customHeight="false" outlineLevel="0" collapsed="false">
      <c r="A460" s="30"/>
      <c r="C460" s="28"/>
      <c r="D460" s="0" t="str">
        <f aca="false">IF(A460="","",YEAR(A460))</f>
        <v/>
      </c>
      <c r="E460" s="0" t="str">
        <f aca="false">IF(A460="","",MONTH(A460))</f>
        <v/>
      </c>
    </row>
    <row r="461" customFormat="false" ht="15" hidden="false" customHeight="false" outlineLevel="0" collapsed="false">
      <c r="A461" s="30"/>
      <c r="C461" s="28"/>
      <c r="D461" s="0" t="str">
        <f aca="false">IF(A461="","",YEAR(A461))</f>
        <v/>
      </c>
      <c r="E461" s="0" t="str">
        <f aca="false">IF(A461="","",MONTH(A461))</f>
        <v/>
      </c>
    </row>
    <row r="462" customFormat="false" ht="15" hidden="false" customHeight="false" outlineLevel="0" collapsed="false">
      <c r="A462" s="30"/>
      <c r="C462" s="28"/>
      <c r="D462" s="0" t="str">
        <f aca="false">IF(A462="","",YEAR(A462))</f>
        <v/>
      </c>
      <c r="E462" s="0" t="str">
        <f aca="false">IF(A462="","",MONTH(A462))</f>
        <v/>
      </c>
    </row>
    <row r="463" customFormat="false" ht="15" hidden="false" customHeight="false" outlineLevel="0" collapsed="false">
      <c r="A463" s="30"/>
      <c r="C463" s="28"/>
      <c r="D463" s="0" t="str">
        <f aca="false">IF(A463="","",YEAR(A463))</f>
        <v/>
      </c>
      <c r="E463" s="0" t="str">
        <f aca="false">IF(A463="","",MONTH(A463))</f>
        <v/>
      </c>
    </row>
    <row r="464" customFormat="false" ht="15" hidden="false" customHeight="false" outlineLevel="0" collapsed="false">
      <c r="A464" s="30"/>
      <c r="C464" s="28"/>
      <c r="D464" s="0" t="str">
        <f aca="false">IF(A464="","",YEAR(A464))</f>
        <v/>
      </c>
      <c r="E464" s="0" t="str">
        <f aca="false">IF(A464="","",MONTH(A464))</f>
        <v/>
      </c>
    </row>
    <row r="465" customFormat="false" ht="15" hidden="false" customHeight="false" outlineLevel="0" collapsed="false">
      <c r="A465" s="30"/>
      <c r="C465" s="28"/>
      <c r="D465" s="0" t="str">
        <f aca="false">IF(A465="","",YEAR(A465))</f>
        <v/>
      </c>
      <c r="E465" s="0" t="str">
        <f aca="false">IF(A465="","",MONTH(A465))</f>
        <v/>
      </c>
    </row>
    <row r="466" customFormat="false" ht="15" hidden="false" customHeight="false" outlineLevel="0" collapsed="false">
      <c r="A466" s="30"/>
      <c r="C466" s="28"/>
      <c r="D466" s="0" t="str">
        <f aca="false">IF(A466="","",YEAR(A466))</f>
        <v/>
      </c>
      <c r="E466" s="0" t="str">
        <f aca="false">IF(A466="","",MONTH(A466))</f>
        <v/>
      </c>
    </row>
    <row r="467" customFormat="false" ht="15" hidden="false" customHeight="false" outlineLevel="0" collapsed="false">
      <c r="A467" s="30"/>
      <c r="C467" s="28"/>
      <c r="D467" s="0" t="str">
        <f aca="false">IF(A467="","",YEAR(A467))</f>
        <v/>
      </c>
      <c r="E467" s="0" t="str">
        <f aca="false">IF(A467="","",MONTH(A467))</f>
        <v/>
      </c>
    </row>
    <row r="468" customFormat="false" ht="15" hidden="false" customHeight="false" outlineLevel="0" collapsed="false">
      <c r="A468" s="30"/>
      <c r="C468" s="28"/>
      <c r="D468" s="0" t="str">
        <f aca="false">IF(A468="","",YEAR(A468))</f>
        <v/>
      </c>
      <c r="E468" s="0" t="str">
        <f aca="false">IF(A468="","",MONTH(A468))</f>
        <v/>
      </c>
    </row>
    <row r="469" customFormat="false" ht="15" hidden="false" customHeight="false" outlineLevel="0" collapsed="false">
      <c r="A469" s="30"/>
      <c r="C469" s="28"/>
      <c r="D469" s="0" t="str">
        <f aca="false">IF(A469="","",YEAR(A469))</f>
        <v/>
      </c>
      <c r="E469" s="0" t="str">
        <f aca="false">IF(A469="","",MONTH(A469))</f>
        <v/>
      </c>
    </row>
    <row r="470" customFormat="false" ht="15" hidden="false" customHeight="false" outlineLevel="0" collapsed="false">
      <c r="A470" s="30"/>
      <c r="C470" s="28"/>
      <c r="D470" s="0" t="str">
        <f aca="false">IF(A470="","",YEAR(A470))</f>
        <v/>
      </c>
      <c r="E470" s="0" t="str">
        <f aca="false">IF(A470="","",MONTH(A470))</f>
        <v/>
      </c>
    </row>
    <row r="471" customFormat="false" ht="15" hidden="false" customHeight="false" outlineLevel="0" collapsed="false">
      <c r="A471" s="30"/>
      <c r="C471" s="28"/>
      <c r="D471" s="0" t="str">
        <f aca="false">IF(A471="","",YEAR(A471))</f>
        <v/>
      </c>
      <c r="E471" s="0" t="str">
        <f aca="false">IF(A471="","",MONTH(A471))</f>
        <v/>
      </c>
    </row>
    <row r="472" customFormat="false" ht="15" hidden="false" customHeight="false" outlineLevel="0" collapsed="false">
      <c r="A472" s="30"/>
      <c r="C472" s="28"/>
      <c r="D472" s="0" t="str">
        <f aca="false">IF(A472="","",YEAR(A472))</f>
        <v/>
      </c>
      <c r="E472" s="0" t="str">
        <f aca="false">IF(A472="","",MONTH(A472))</f>
        <v/>
      </c>
    </row>
    <row r="473" customFormat="false" ht="15" hidden="false" customHeight="false" outlineLevel="0" collapsed="false">
      <c r="A473" s="30"/>
      <c r="C473" s="28"/>
      <c r="D473" s="0" t="str">
        <f aca="false">IF(A473="","",YEAR(A473))</f>
        <v/>
      </c>
      <c r="E473" s="0" t="str">
        <f aca="false">IF(A473="","",MONTH(A473))</f>
        <v/>
      </c>
    </row>
    <row r="474" customFormat="false" ht="15" hidden="false" customHeight="false" outlineLevel="0" collapsed="false">
      <c r="A474" s="30"/>
      <c r="C474" s="28"/>
      <c r="D474" s="0" t="str">
        <f aca="false">IF(A474="","",YEAR(A474))</f>
        <v/>
      </c>
      <c r="E474" s="0" t="str">
        <f aca="false">IF(A474="","",MONTH(A474))</f>
        <v/>
      </c>
    </row>
    <row r="475" customFormat="false" ht="15" hidden="false" customHeight="false" outlineLevel="0" collapsed="false">
      <c r="A475" s="30"/>
      <c r="C475" s="28"/>
      <c r="D475" s="0" t="str">
        <f aca="false">IF(A475="","",YEAR(A475))</f>
        <v/>
      </c>
      <c r="E475" s="0" t="str">
        <f aca="false">IF(A475="","",MONTH(A475))</f>
        <v/>
      </c>
    </row>
    <row r="476" customFormat="false" ht="15" hidden="false" customHeight="false" outlineLevel="0" collapsed="false">
      <c r="A476" s="30"/>
      <c r="C476" s="28"/>
      <c r="D476" s="0" t="str">
        <f aca="false">IF(A476="","",YEAR(A476))</f>
        <v/>
      </c>
      <c r="E476" s="0" t="str">
        <f aca="false">IF(A476="","",MONTH(A476))</f>
        <v/>
      </c>
    </row>
    <row r="477" customFormat="false" ht="15" hidden="false" customHeight="false" outlineLevel="0" collapsed="false">
      <c r="A477" s="30"/>
      <c r="C477" s="28"/>
      <c r="D477" s="0" t="str">
        <f aca="false">IF(A477="","",YEAR(A477))</f>
        <v/>
      </c>
      <c r="E477" s="0" t="str">
        <f aca="false">IF(A477="","",MONTH(A477))</f>
        <v/>
      </c>
    </row>
    <row r="478" customFormat="false" ht="15" hidden="false" customHeight="false" outlineLevel="0" collapsed="false">
      <c r="A478" s="30"/>
      <c r="C478" s="28"/>
      <c r="D478" s="0" t="str">
        <f aca="false">IF(A478="","",YEAR(A478))</f>
        <v/>
      </c>
      <c r="E478" s="0" t="str">
        <f aca="false">IF(A478="","",MONTH(A478))</f>
        <v/>
      </c>
    </row>
    <row r="479" customFormat="false" ht="15" hidden="false" customHeight="false" outlineLevel="0" collapsed="false">
      <c r="A479" s="30"/>
      <c r="C479" s="28"/>
      <c r="D479" s="0" t="str">
        <f aca="false">IF(A479="","",YEAR(A479))</f>
        <v/>
      </c>
      <c r="E479" s="0" t="str">
        <f aca="false">IF(A479="","",MONTH(A479))</f>
        <v/>
      </c>
    </row>
    <row r="480" customFormat="false" ht="15" hidden="false" customHeight="false" outlineLevel="0" collapsed="false">
      <c r="A480" s="30"/>
      <c r="C480" s="28"/>
      <c r="D480" s="0" t="str">
        <f aca="false">IF(A480="","",YEAR(A480))</f>
        <v/>
      </c>
      <c r="E480" s="0" t="str">
        <f aca="false">IF(A480="","",MONTH(A480))</f>
        <v/>
      </c>
    </row>
    <row r="481" customFormat="false" ht="15" hidden="false" customHeight="false" outlineLevel="0" collapsed="false">
      <c r="A481" s="30"/>
      <c r="C481" s="28"/>
      <c r="D481" s="0" t="str">
        <f aca="false">IF(A481="","",YEAR(A481))</f>
        <v/>
      </c>
      <c r="E481" s="0" t="str">
        <f aca="false">IF(A481="","",MONTH(A481))</f>
        <v/>
      </c>
    </row>
    <row r="482" customFormat="false" ht="15" hidden="false" customHeight="false" outlineLevel="0" collapsed="false">
      <c r="A482" s="30"/>
      <c r="C482" s="28"/>
      <c r="D482" s="0" t="str">
        <f aca="false">IF(A482="","",YEAR(A482))</f>
        <v/>
      </c>
      <c r="E482" s="0" t="str">
        <f aca="false">IF(A482="","",MONTH(A482))</f>
        <v/>
      </c>
    </row>
    <row r="483" customFormat="false" ht="15" hidden="false" customHeight="false" outlineLevel="0" collapsed="false">
      <c r="A483" s="30"/>
      <c r="C483" s="28"/>
      <c r="D483" s="0" t="str">
        <f aca="false">IF(A483="","",YEAR(A483))</f>
        <v/>
      </c>
      <c r="E483" s="0" t="str">
        <f aca="false">IF(A483="","",MONTH(A483))</f>
        <v/>
      </c>
    </row>
    <row r="484" customFormat="false" ht="15" hidden="false" customHeight="false" outlineLevel="0" collapsed="false">
      <c r="A484" s="30"/>
      <c r="C484" s="28"/>
      <c r="D484" s="0" t="str">
        <f aca="false">IF(A484="","",YEAR(A484))</f>
        <v/>
      </c>
      <c r="E484" s="0" t="str">
        <f aca="false">IF(A484="","",MONTH(A484))</f>
        <v/>
      </c>
    </row>
    <row r="485" customFormat="false" ht="15" hidden="false" customHeight="false" outlineLevel="0" collapsed="false">
      <c r="A485" s="30"/>
      <c r="C485" s="28"/>
      <c r="D485" s="0" t="str">
        <f aca="false">IF(A485="","",YEAR(A485))</f>
        <v/>
      </c>
      <c r="E485" s="0" t="str">
        <f aca="false">IF(A485="","",MONTH(A485))</f>
        <v/>
      </c>
    </row>
    <row r="486" customFormat="false" ht="15" hidden="false" customHeight="false" outlineLevel="0" collapsed="false">
      <c r="A486" s="30"/>
      <c r="C486" s="28"/>
      <c r="D486" s="0" t="str">
        <f aca="false">IF(A486="","",YEAR(A486))</f>
        <v/>
      </c>
      <c r="E486" s="0" t="str">
        <f aca="false">IF(A486="","",MONTH(A486))</f>
        <v/>
      </c>
    </row>
    <row r="487" customFormat="false" ht="15" hidden="false" customHeight="false" outlineLevel="0" collapsed="false">
      <c r="A487" s="30"/>
      <c r="C487" s="28"/>
      <c r="D487" s="0" t="str">
        <f aca="false">IF(A487="","",YEAR(A487))</f>
        <v/>
      </c>
      <c r="E487" s="0" t="str">
        <f aca="false">IF(A487="","",MONTH(A487))</f>
        <v/>
      </c>
    </row>
    <row r="488" customFormat="false" ht="15" hidden="false" customHeight="false" outlineLevel="0" collapsed="false">
      <c r="A488" s="30"/>
      <c r="C488" s="28"/>
      <c r="D488" s="0" t="str">
        <f aca="false">IF(A488="","",YEAR(A488))</f>
        <v/>
      </c>
      <c r="E488" s="0" t="str">
        <f aca="false">IF(A488="","",MONTH(A488))</f>
        <v/>
      </c>
    </row>
    <row r="489" customFormat="false" ht="15" hidden="false" customHeight="false" outlineLevel="0" collapsed="false">
      <c r="A489" s="30"/>
      <c r="C489" s="28"/>
      <c r="D489" s="0" t="str">
        <f aca="false">IF(A489="","",YEAR(A489))</f>
        <v/>
      </c>
      <c r="E489" s="0" t="str">
        <f aca="false">IF(A489="","",MONTH(A489))</f>
        <v/>
      </c>
    </row>
    <row r="490" customFormat="false" ht="15" hidden="false" customHeight="false" outlineLevel="0" collapsed="false">
      <c r="A490" s="30"/>
      <c r="C490" s="28"/>
      <c r="D490" s="0" t="str">
        <f aca="false">IF(A490="","",YEAR(A490))</f>
        <v/>
      </c>
      <c r="E490" s="0" t="str">
        <f aca="false">IF(A490="","",MONTH(A490))</f>
        <v/>
      </c>
    </row>
    <row r="491" customFormat="false" ht="15" hidden="false" customHeight="false" outlineLevel="0" collapsed="false">
      <c r="A491" s="30"/>
      <c r="C491" s="28"/>
      <c r="D491" s="0" t="str">
        <f aca="false">IF(A491="","",YEAR(A491))</f>
        <v/>
      </c>
      <c r="E491" s="0" t="str">
        <f aca="false">IF(A491="","",MONTH(A491))</f>
        <v/>
      </c>
    </row>
    <row r="492" customFormat="false" ht="15" hidden="false" customHeight="false" outlineLevel="0" collapsed="false">
      <c r="A492" s="30"/>
      <c r="C492" s="28"/>
      <c r="D492" s="0" t="str">
        <f aca="false">IF(A492="","",YEAR(A492))</f>
        <v/>
      </c>
      <c r="E492" s="0" t="str">
        <f aca="false">IF(A492="","",MONTH(A492))</f>
        <v/>
      </c>
    </row>
    <row r="493" customFormat="false" ht="15" hidden="false" customHeight="false" outlineLevel="0" collapsed="false">
      <c r="A493" s="30"/>
      <c r="C493" s="28"/>
      <c r="D493" s="0" t="str">
        <f aca="false">IF(A493="","",YEAR(A493))</f>
        <v/>
      </c>
      <c r="E493" s="0" t="str">
        <f aca="false">IF(A493="","",MONTH(A493))</f>
        <v/>
      </c>
    </row>
    <row r="494" customFormat="false" ht="15" hidden="false" customHeight="false" outlineLevel="0" collapsed="false">
      <c r="A494" s="30"/>
      <c r="C494" s="28"/>
      <c r="D494" s="0" t="str">
        <f aca="false">IF(A494="","",YEAR(A494))</f>
        <v/>
      </c>
      <c r="E494" s="0" t="str">
        <f aca="false">IF(A494="","",MONTH(A494))</f>
        <v/>
      </c>
    </row>
    <row r="495" customFormat="false" ht="15" hidden="false" customHeight="false" outlineLevel="0" collapsed="false">
      <c r="A495" s="30"/>
      <c r="C495" s="28"/>
      <c r="D495" s="0" t="str">
        <f aca="false">IF(A495="","",YEAR(A495))</f>
        <v/>
      </c>
      <c r="E495" s="0" t="str">
        <f aca="false">IF(A495="","",MONTH(A495))</f>
        <v/>
      </c>
    </row>
    <row r="496" customFormat="false" ht="15" hidden="false" customHeight="false" outlineLevel="0" collapsed="false">
      <c r="A496" s="30"/>
      <c r="C496" s="28"/>
      <c r="D496" s="0" t="str">
        <f aca="false">IF(A496="","",YEAR(A496))</f>
        <v/>
      </c>
      <c r="E496" s="0" t="str">
        <f aca="false">IF(A496="","",MONTH(A496))</f>
        <v/>
      </c>
    </row>
    <row r="497" customFormat="false" ht="15" hidden="false" customHeight="false" outlineLevel="0" collapsed="false">
      <c r="A497" s="30"/>
      <c r="C497" s="28"/>
      <c r="D497" s="0" t="str">
        <f aca="false">IF(A497="","",YEAR(A497))</f>
        <v/>
      </c>
      <c r="E497" s="0" t="str">
        <f aca="false">IF(A497="","",MONTH(A497))</f>
        <v/>
      </c>
    </row>
    <row r="498" customFormat="false" ht="15" hidden="false" customHeight="false" outlineLevel="0" collapsed="false">
      <c r="A498" s="30"/>
      <c r="C498" s="28"/>
      <c r="D498" s="0" t="str">
        <f aca="false">IF(A498="","",YEAR(A498))</f>
        <v/>
      </c>
      <c r="E498" s="0" t="str">
        <f aca="false">IF(A498="","",MONTH(A498))</f>
        <v/>
      </c>
    </row>
    <row r="499" customFormat="false" ht="15" hidden="false" customHeight="false" outlineLevel="0" collapsed="false">
      <c r="A499" s="30"/>
      <c r="C499" s="28"/>
      <c r="D499" s="0" t="str">
        <f aca="false">IF(A499="","",YEAR(A499))</f>
        <v/>
      </c>
      <c r="E499" s="0" t="str">
        <f aca="false">IF(A499="","",MONTH(A499))</f>
        <v/>
      </c>
    </row>
    <row r="500" customFormat="false" ht="15" hidden="false" customHeight="false" outlineLevel="0" collapsed="false">
      <c r="A500" s="30"/>
      <c r="C500" s="28"/>
      <c r="D500" s="0" t="str">
        <f aca="false">IF(A500="","",YEAR(A500))</f>
        <v/>
      </c>
      <c r="E500" s="0" t="str">
        <f aca="false">IF(A500="","",MONTH(A500))</f>
        <v/>
      </c>
    </row>
    <row r="501" customFormat="false" ht="15" hidden="false" customHeight="false" outlineLevel="0" collapsed="false">
      <c r="A501" s="30"/>
      <c r="C501" s="28"/>
      <c r="D501" s="0" t="str">
        <f aca="false">IF(A501="","",YEAR(A501))</f>
        <v/>
      </c>
      <c r="E501" s="0" t="str">
        <f aca="false">IF(A501="","",MONTH(A501))</f>
        <v/>
      </c>
    </row>
    <row r="502" customFormat="false" ht="15" hidden="false" customHeight="false" outlineLevel="0" collapsed="false">
      <c r="A502" s="30"/>
      <c r="C502" s="28"/>
      <c r="D502" s="0" t="str">
        <f aca="false">IF(A502="","",YEAR(A502))</f>
        <v/>
      </c>
      <c r="E502" s="0" t="str">
        <f aca="false">IF(A502="","",MONTH(A502))</f>
        <v/>
      </c>
    </row>
    <row r="503" customFormat="false" ht="15" hidden="false" customHeight="false" outlineLevel="0" collapsed="false">
      <c r="A503" s="30"/>
      <c r="C503" s="28"/>
      <c r="D503" s="0" t="str">
        <f aca="false">IF(A503="","",YEAR(A503))</f>
        <v/>
      </c>
      <c r="E503" s="0" t="str">
        <f aca="false">IF(A503="","",MONTH(A503))</f>
        <v/>
      </c>
    </row>
    <row r="504" customFormat="false" ht="15" hidden="false" customHeight="false" outlineLevel="0" collapsed="false">
      <c r="A504" s="30"/>
      <c r="C504" s="28"/>
      <c r="D504" s="0" t="str">
        <f aca="false">IF(A504="","",YEAR(A504))</f>
        <v/>
      </c>
      <c r="E504" s="0" t="str">
        <f aca="false">IF(A504="","",MONTH(A504))</f>
        <v/>
      </c>
    </row>
    <row r="505" customFormat="false" ht="15" hidden="false" customHeight="false" outlineLevel="0" collapsed="false">
      <c r="A505" s="30"/>
      <c r="C505" s="28"/>
      <c r="D505" s="0" t="str">
        <f aca="false">IF(A505="","",YEAR(A505))</f>
        <v/>
      </c>
      <c r="E505" s="0" t="str">
        <f aca="false">IF(A505="","",MONTH(A505))</f>
        <v/>
      </c>
    </row>
    <row r="506" customFormat="false" ht="15" hidden="false" customHeight="false" outlineLevel="0" collapsed="false">
      <c r="A506" s="30"/>
      <c r="C506" s="28"/>
      <c r="D506" s="0" t="str">
        <f aca="false">IF(A506="","",YEAR(A506))</f>
        <v/>
      </c>
      <c r="E506" s="0" t="str">
        <f aca="false">IF(A506="","",MONTH(A506))</f>
        <v/>
      </c>
    </row>
    <row r="507" customFormat="false" ht="15" hidden="false" customHeight="false" outlineLevel="0" collapsed="false">
      <c r="A507" s="30"/>
      <c r="C507" s="28"/>
      <c r="D507" s="0" t="str">
        <f aca="false">IF(A507="","",YEAR(A507))</f>
        <v/>
      </c>
      <c r="E507" s="0" t="str">
        <f aca="false">IF(A507="","",MONTH(A507))</f>
        <v/>
      </c>
    </row>
    <row r="508" customFormat="false" ht="15" hidden="false" customHeight="false" outlineLevel="0" collapsed="false">
      <c r="A508" s="30"/>
      <c r="C508" s="28"/>
      <c r="D508" s="0" t="str">
        <f aca="false">IF(A508="","",YEAR(A508))</f>
        <v/>
      </c>
      <c r="E508" s="0" t="str">
        <f aca="false">IF(A508="","",MONTH(A508))</f>
        <v/>
      </c>
    </row>
    <row r="509" customFormat="false" ht="15" hidden="false" customHeight="false" outlineLevel="0" collapsed="false">
      <c r="A509" s="30"/>
      <c r="C509" s="28"/>
      <c r="D509" s="0" t="str">
        <f aca="false">IF(A509="","",YEAR(A509))</f>
        <v/>
      </c>
      <c r="E509" s="0" t="str">
        <f aca="false">IF(A509="","",MONTH(A509))</f>
        <v/>
      </c>
    </row>
    <row r="510" customFormat="false" ht="15" hidden="false" customHeight="false" outlineLevel="0" collapsed="false">
      <c r="A510" s="30"/>
      <c r="C510" s="28"/>
      <c r="D510" s="0" t="str">
        <f aca="false">IF(A510="","",YEAR(A510))</f>
        <v/>
      </c>
      <c r="E510" s="0" t="str">
        <f aca="false">IF(A510="","",MONTH(A510))</f>
        <v/>
      </c>
    </row>
    <row r="511" customFormat="false" ht="15" hidden="false" customHeight="false" outlineLevel="0" collapsed="false">
      <c r="A511" s="30"/>
      <c r="C511" s="28"/>
      <c r="D511" s="0" t="str">
        <f aca="false">IF(A511="","",YEAR(A511))</f>
        <v/>
      </c>
      <c r="E511" s="0" t="str">
        <f aca="false">IF(A511="","",MONTH(A511))</f>
        <v/>
      </c>
    </row>
    <row r="512" customFormat="false" ht="15" hidden="false" customHeight="false" outlineLevel="0" collapsed="false">
      <c r="A512" s="30"/>
      <c r="C512" s="28"/>
      <c r="D512" s="0" t="str">
        <f aca="false">IF(A512="","",YEAR(A512))</f>
        <v/>
      </c>
      <c r="E512" s="0" t="str">
        <f aca="false">IF(A512="","",MONTH(A512))</f>
        <v/>
      </c>
    </row>
    <row r="513" customFormat="false" ht="15" hidden="false" customHeight="false" outlineLevel="0" collapsed="false">
      <c r="A513" s="30"/>
      <c r="C513" s="28"/>
      <c r="D513" s="0" t="str">
        <f aca="false">IF(A513="","",YEAR(A513))</f>
        <v/>
      </c>
      <c r="E513" s="0" t="str">
        <f aca="false">IF(A513="","",MONTH(A513))</f>
        <v/>
      </c>
    </row>
    <row r="514" customFormat="false" ht="15" hidden="false" customHeight="false" outlineLevel="0" collapsed="false">
      <c r="A514" s="30"/>
      <c r="C514" s="28"/>
      <c r="D514" s="0" t="str">
        <f aca="false">IF(A514="","",YEAR(A514))</f>
        <v/>
      </c>
      <c r="E514" s="0" t="str">
        <f aca="false">IF(A514="","",MONTH(A514))</f>
        <v/>
      </c>
    </row>
    <row r="515" customFormat="false" ht="15" hidden="false" customHeight="false" outlineLevel="0" collapsed="false">
      <c r="A515" s="30"/>
      <c r="C515" s="28"/>
      <c r="D515" s="0" t="str">
        <f aca="false">IF(A515="","",YEAR(A515))</f>
        <v/>
      </c>
      <c r="E515" s="0" t="str">
        <f aca="false">IF(A515="","",MONTH(A515))</f>
        <v/>
      </c>
    </row>
    <row r="516" customFormat="false" ht="15" hidden="false" customHeight="false" outlineLevel="0" collapsed="false">
      <c r="A516" s="30"/>
      <c r="C516" s="28"/>
      <c r="D516" s="0" t="str">
        <f aca="false">IF(A516="","",YEAR(A516))</f>
        <v/>
      </c>
      <c r="E516" s="0" t="str">
        <f aca="false">IF(A516="","",MONTH(A516))</f>
        <v/>
      </c>
    </row>
    <row r="517" customFormat="false" ht="15" hidden="false" customHeight="false" outlineLevel="0" collapsed="false">
      <c r="A517" s="30"/>
      <c r="C517" s="28"/>
      <c r="D517" s="0" t="str">
        <f aca="false">IF(A517="","",YEAR(A517))</f>
        <v/>
      </c>
      <c r="E517" s="0" t="str">
        <f aca="false">IF(A517="","",MONTH(A517))</f>
        <v/>
      </c>
    </row>
    <row r="518" customFormat="false" ht="15" hidden="false" customHeight="false" outlineLevel="0" collapsed="false">
      <c r="A518" s="30"/>
      <c r="C518" s="28"/>
      <c r="D518" s="0" t="str">
        <f aca="false">IF(A518="","",YEAR(A518))</f>
        <v/>
      </c>
      <c r="E518" s="0" t="str">
        <f aca="false">IF(A518="","",MONTH(A518))</f>
        <v/>
      </c>
    </row>
    <row r="519" customFormat="false" ht="15" hidden="false" customHeight="false" outlineLevel="0" collapsed="false">
      <c r="A519" s="30"/>
      <c r="C519" s="28"/>
      <c r="D519" s="0" t="str">
        <f aca="false">IF(A519="","",YEAR(A519))</f>
        <v/>
      </c>
      <c r="E519" s="0" t="str">
        <f aca="false">IF(A519="","",MONTH(A519))</f>
        <v/>
      </c>
    </row>
    <row r="520" customFormat="false" ht="15" hidden="false" customHeight="false" outlineLevel="0" collapsed="false">
      <c r="A520" s="30"/>
      <c r="C520" s="28"/>
      <c r="D520" s="0" t="str">
        <f aca="false">IF(A520="","",YEAR(A520))</f>
        <v/>
      </c>
      <c r="E520" s="0" t="str">
        <f aca="false">IF(A520="","",MONTH(A520))</f>
        <v/>
      </c>
    </row>
    <row r="521" customFormat="false" ht="15" hidden="false" customHeight="false" outlineLevel="0" collapsed="false">
      <c r="A521" s="30"/>
      <c r="C521" s="28"/>
      <c r="D521" s="0" t="str">
        <f aca="false">IF(A521="","",YEAR(A521))</f>
        <v/>
      </c>
      <c r="E521" s="0" t="str">
        <f aca="false">IF(A521="","",MONTH(A521))</f>
        <v/>
      </c>
    </row>
    <row r="522" customFormat="false" ht="15" hidden="false" customHeight="false" outlineLevel="0" collapsed="false">
      <c r="A522" s="30"/>
      <c r="C522" s="28"/>
      <c r="D522" s="0" t="str">
        <f aca="false">IF(A522="","",YEAR(A522))</f>
        <v/>
      </c>
      <c r="E522" s="0" t="str">
        <f aca="false">IF(A522="","",MONTH(A522))</f>
        <v/>
      </c>
    </row>
    <row r="523" customFormat="false" ht="15" hidden="false" customHeight="false" outlineLevel="0" collapsed="false">
      <c r="A523" s="30"/>
      <c r="C523" s="28"/>
      <c r="D523" s="0" t="str">
        <f aca="false">IF(A523="","",YEAR(A523))</f>
        <v/>
      </c>
      <c r="E523" s="0" t="str">
        <f aca="false">IF(A523="","",MONTH(A523))</f>
        <v/>
      </c>
    </row>
    <row r="524" customFormat="false" ht="15" hidden="false" customHeight="false" outlineLevel="0" collapsed="false">
      <c r="A524" s="30"/>
      <c r="C524" s="28"/>
      <c r="D524" s="0" t="str">
        <f aca="false">IF(A524="","",YEAR(A524))</f>
        <v/>
      </c>
      <c r="E524" s="0" t="str">
        <f aca="false">IF(A524="","",MONTH(A524))</f>
        <v/>
      </c>
    </row>
    <row r="525" customFormat="false" ht="15" hidden="false" customHeight="false" outlineLevel="0" collapsed="false">
      <c r="A525" s="30"/>
      <c r="C525" s="28"/>
      <c r="D525" s="0" t="str">
        <f aca="false">IF(A525="","",YEAR(A525))</f>
        <v/>
      </c>
      <c r="E525" s="0" t="str">
        <f aca="false">IF(A525="","",MONTH(A525))</f>
        <v/>
      </c>
    </row>
    <row r="526" customFormat="false" ht="15" hidden="false" customHeight="false" outlineLevel="0" collapsed="false">
      <c r="A526" s="30"/>
      <c r="C526" s="28"/>
      <c r="D526" s="0" t="str">
        <f aca="false">IF(A526="","",YEAR(A526))</f>
        <v/>
      </c>
      <c r="E526" s="0" t="str">
        <f aca="false">IF(A526="","",MONTH(A526))</f>
        <v/>
      </c>
    </row>
    <row r="527" customFormat="false" ht="15" hidden="false" customHeight="false" outlineLevel="0" collapsed="false">
      <c r="A527" s="30"/>
      <c r="C527" s="28"/>
      <c r="D527" s="0" t="str">
        <f aca="false">IF(A527="","",YEAR(A527))</f>
        <v/>
      </c>
      <c r="E527" s="0" t="str">
        <f aca="false">IF(A527="","",MONTH(A527))</f>
        <v/>
      </c>
    </row>
    <row r="528" customFormat="false" ht="15" hidden="false" customHeight="false" outlineLevel="0" collapsed="false">
      <c r="A528" s="30"/>
      <c r="C528" s="28"/>
      <c r="D528" s="0" t="str">
        <f aca="false">IF(A528="","",YEAR(A528))</f>
        <v/>
      </c>
      <c r="E528" s="0" t="str">
        <f aca="false">IF(A528="","",MONTH(A528))</f>
        <v/>
      </c>
    </row>
    <row r="529" customFormat="false" ht="15" hidden="false" customHeight="false" outlineLevel="0" collapsed="false">
      <c r="A529" s="30"/>
      <c r="C529" s="28"/>
      <c r="D529" s="0" t="str">
        <f aca="false">IF(A529="","",YEAR(A529))</f>
        <v/>
      </c>
      <c r="E529" s="0" t="str">
        <f aca="false">IF(A529="","",MONTH(A529))</f>
        <v/>
      </c>
    </row>
    <row r="530" customFormat="false" ht="15" hidden="false" customHeight="false" outlineLevel="0" collapsed="false">
      <c r="A530" s="30"/>
      <c r="C530" s="28"/>
      <c r="D530" s="0" t="str">
        <f aca="false">IF(A530="","",YEAR(A530))</f>
        <v/>
      </c>
      <c r="E530" s="0" t="str">
        <f aca="false">IF(A530="","",MONTH(A530))</f>
        <v/>
      </c>
    </row>
    <row r="531" customFormat="false" ht="15" hidden="false" customHeight="false" outlineLevel="0" collapsed="false">
      <c r="A531" s="30"/>
      <c r="C531" s="28"/>
      <c r="D531" s="0" t="str">
        <f aca="false">IF(A531="","",YEAR(A531))</f>
        <v/>
      </c>
      <c r="E531" s="0" t="str">
        <f aca="false">IF(A531="","",MONTH(A531))</f>
        <v/>
      </c>
    </row>
    <row r="532" customFormat="false" ht="15" hidden="false" customHeight="false" outlineLevel="0" collapsed="false">
      <c r="A532" s="30"/>
      <c r="C532" s="28"/>
      <c r="D532" s="0" t="str">
        <f aca="false">IF(A532="","",YEAR(A532))</f>
        <v/>
      </c>
      <c r="E532" s="0" t="str">
        <f aca="false">IF(A532="","",MONTH(A532))</f>
        <v/>
      </c>
    </row>
    <row r="533" customFormat="false" ht="15" hidden="false" customHeight="false" outlineLevel="0" collapsed="false">
      <c r="A533" s="30"/>
      <c r="C533" s="28"/>
      <c r="D533" s="0" t="str">
        <f aca="false">IF(A533="","",YEAR(A533))</f>
        <v/>
      </c>
      <c r="E533" s="0" t="str">
        <f aca="false">IF(A533="","",MONTH(A533))</f>
        <v/>
      </c>
    </row>
    <row r="534" customFormat="false" ht="15" hidden="false" customHeight="false" outlineLevel="0" collapsed="false">
      <c r="A534" s="30"/>
      <c r="C534" s="28"/>
      <c r="D534" s="0" t="str">
        <f aca="false">IF(A534="","",YEAR(A534))</f>
        <v/>
      </c>
      <c r="E534" s="0" t="str">
        <f aca="false">IF(A534="","",MONTH(A534))</f>
        <v/>
      </c>
    </row>
    <row r="535" customFormat="false" ht="15" hidden="false" customHeight="false" outlineLevel="0" collapsed="false">
      <c r="A535" s="30"/>
      <c r="C535" s="28"/>
      <c r="D535" s="0" t="str">
        <f aca="false">IF(A535="","",YEAR(A535))</f>
        <v/>
      </c>
      <c r="E535" s="0" t="str">
        <f aca="false">IF(A535="","",MONTH(A535))</f>
        <v/>
      </c>
    </row>
    <row r="536" customFormat="false" ht="15" hidden="false" customHeight="false" outlineLevel="0" collapsed="false">
      <c r="A536" s="30"/>
      <c r="C536" s="28"/>
      <c r="D536" s="0" t="str">
        <f aca="false">IF(A536="","",YEAR(A536))</f>
        <v/>
      </c>
      <c r="E536" s="0" t="str">
        <f aca="false">IF(A536="","",MONTH(A536))</f>
        <v/>
      </c>
    </row>
    <row r="537" customFormat="false" ht="15" hidden="false" customHeight="false" outlineLevel="0" collapsed="false">
      <c r="A537" s="30"/>
      <c r="C537" s="28"/>
      <c r="D537" s="0" t="str">
        <f aca="false">IF(A537="","",YEAR(A537))</f>
        <v/>
      </c>
      <c r="E537" s="0" t="str">
        <f aca="false">IF(A537="","",MONTH(A537))</f>
        <v/>
      </c>
    </row>
    <row r="538" customFormat="false" ht="15" hidden="false" customHeight="false" outlineLevel="0" collapsed="false">
      <c r="A538" s="30"/>
      <c r="C538" s="28"/>
      <c r="D538" s="0" t="str">
        <f aca="false">IF(A538="","",YEAR(A538))</f>
        <v/>
      </c>
      <c r="E538" s="0" t="str">
        <f aca="false">IF(A538="","",MONTH(A538))</f>
        <v/>
      </c>
    </row>
    <row r="539" customFormat="false" ht="15" hidden="false" customHeight="false" outlineLevel="0" collapsed="false">
      <c r="A539" s="30"/>
      <c r="C539" s="28"/>
      <c r="D539" s="0" t="str">
        <f aca="false">IF(A539="","",YEAR(A539))</f>
        <v/>
      </c>
      <c r="E539" s="0" t="str">
        <f aca="false">IF(A539="","",MONTH(A539))</f>
        <v/>
      </c>
    </row>
    <row r="540" customFormat="false" ht="15" hidden="false" customHeight="false" outlineLevel="0" collapsed="false">
      <c r="A540" s="30"/>
      <c r="C540" s="28"/>
      <c r="D540" s="0" t="str">
        <f aca="false">IF(A540="","",YEAR(A540))</f>
        <v/>
      </c>
      <c r="E540" s="0" t="str">
        <f aca="false">IF(A540="","",MONTH(A540))</f>
        <v/>
      </c>
    </row>
    <row r="541" customFormat="false" ht="15" hidden="false" customHeight="false" outlineLevel="0" collapsed="false">
      <c r="A541" s="30"/>
      <c r="C541" s="28"/>
      <c r="D541" s="0" t="str">
        <f aca="false">IF(A541="","",YEAR(A541))</f>
        <v/>
      </c>
      <c r="E541" s="0" t="str">
        <f aca="false">IF(A541="","",MONTH(A541))</f>
        <v/>
      </c>
    </row>
    <row r="542" customFormat="false" ht="15" hidden="false" customHeight="false" outlineLevel="0" collapsed="false">
      <c r="A542" s="30"/>
      <c r="C542" s="28"/>
      <c r="D542" s="0" t="str">
        <f aca="false">IF(A542="","",YEAR(A542))</f>
        <v/>
      </c>
      <c r="E542" s="0" t="str">
        <f aca="false">IF(A542="","",MONTH(A542))</f>
        <v/>
      </c>
    </row>
    <row r="543" customFormat="false" ht="15" hidden="false" customHeight="false" outlineLevel="0" collapsed="false">
      <c r="A543" s="30"/>
      <c r="C543" s="28"/>
      <c r="D543" s="0" t="str">
        <f aca="false">IF(A543="","",YEAR(A543))</f>
        <v/>
      </c>
      <c r="E543" s="0" t="str">
        <f aca="false">IF(A543="","",MONTH(A543))</f>
        <v/>
      </c>
    </row>
    <row r="544" customFormat="false" ht="15" hidden="false" customHeight="false" outlineLevel="0" collapsed="false">
      <c r="A544" s="30"/>
      <c r="C544" s="28"/>
      <c r="D544" s="0" t="str">
        <f aca="false">IF(A544="","",YEAR(A544))</f>
        <v/>
      </c>
      <c r="E544" s="0" t="str">
        <f aca="false">IF(A544="","",MONTH(A544))</f>
        <v/>
      </c>
    </row>
    <row r="545" customFormat="false" ht="15" hidden="false" customHeight="false" outlineLevel="0" collapsed="false">
      <c r="A545" s="30"/>
      <c r="C545" s="28"/>
      <c r="D545" s="0" t="str">
        <f aca="false">IF(A545="","",YEAR(A545))</f>
        <v/>
      </c>
      <c r="E545" s="0" t="str">
        <f aca="false">IF(A545="","",MONTH(A545))</f>
        <v/>
      </c>
    </row>
    <row r="546" customFormat="false" ht="15" hidden="false" customHeight="false" outlineLevel="0" collapsed="false">
      <c r="A546" s="30"/>
      <c r="C546" s="28"/>
      <c r="D546" s="0" t="str">
        <f aca="false">IF(A546="","",YEAR(A546))</f>
        <v/>
      </c>
      <c r="E546" s="0" t="str">
        <f aca="false">IF(A546="","",MONTH(A546))</f>
        <v/>
      </c>
    </row>
    <row r="547" customFormat="false" ht="15" hidden="false" customHeight="false" outlineLevel="0" collapsed="false">
      <c r="A547" s="30"/>
      <c r="C547" s="28"/>
      <c r="D547" s="0" t="str">
        <f aca="false">IF(A547="","",YEAR(A547))</f>
        <v/>
      </c>
      <c r="E547" s="0" t="str">
        <f aca="false">IF(A547="","",MONTH(A547))</f>
        <v/>
      </c>
    </row>
    <row r="548" customFormat="false" ht="15" hidden="false" customHeight="false" outlineLevel="0" collapsed="false">
      <c r="A548" s="30"/>
      <c r="C548" s="28"/>
      <c r="D548" s="0" t="str">
        <f aca="false">IF(A548="","",YEAR(A548))</f>
        <v/>
      </c>
      <c r="E548" s="0" t="str">
        <f aca="false">IF(A548="","",MONTH(A548))</f>
        <v/>
      </c>
    </row>
    <row r="549" customFormat="false" ht="15" hidden="false" customHeight="false" outlineLevel="0" collapsed="false">
      <c r="A549" s="30"/>
      <c r="C549" s="28"/>
      <c r="D549" s="0" t="str">
        <f aca="false">IF(A549="","",YEAR(A549))</f>
        <v/>
      </c>
      <c r="E549" s="0" t="str">
        <f aca="false">IF(A549="","",MONTH(A549))</f>
        <v/>
      </c>
    </row>
    <row r="550" customFormat="false" ht="15" hidden="false" customHeight="false" outlineLevel="0" collapsed="false">
      <c r="A550" s="30"/>
      <c r="C550" s="28"/>
      <c r="D550" s="0" t="str">
        <f aca="false">IF(A550="","",YEAR(A550))</f>
        <v/>
      </c>
      <c r="E550" s="0" t="str">
        <f aca="false">IF(A550="","",MONTH(A550))</f>
        <v/>
      </c>
    </row>
    <row r="551" customFormat="false" ht="15" hidden="false" customHeight="false" outlineLevel="0" collapsed="false">
      <c r="A551" s="30"/>
      <c r="C551" s="28"/>
      <c r="D551" s="0" t="str">
        <f aca="false">IF(A551="","",YEAR(A551))</f>
        <v/>
      </c>
      <c r="E551" s="0" t="str">
        <f aca="false">IF(A551="","",MONTH(A551))</f>
        <v/>
      </c>
    </row>
    <row r="552" customFormat="false" ht="15" hidden="false" customHeight="false" outlineLevel="0" collapsed="false">
      <c r="A552" s="30"/>
      <c r="C552" s="28"/>
      <c r="D552" s="0" t="str">
        <f aca="false">IF(A552="","",YEAR(A552))</f>
        <v/>
      </c>
      <c r="E552" s="0" t="str">
        <f aca="false">IF(A552="","",MONTH(A552))</f>
        <v/>
      </c>
    </row>
    <row r="553" customFormat="false" ht="15" hidden="false" customHeight="false" outlineLevel="0" collapsed="false">
      <c r="A553" s="30"/>
      <c r="C553" s="28"/>
      <c r="D553" s="0" t="str">
        <f aca="false">IF(A553="","",YEAR(A553))</f>
        <v/>
      </c>
      <c r="E553" s="0" t="str">
        <f aca="false">IF(A553="","",MONTH(A553))</f>
        <v/>
      </c>
    </row>
    <row r="554" customFormat="false" ht="15" hidden="false" customHeight="false" outlineLevel="0" collapsed="false">
      <c r="A554" s="30"/>
      <c r="C554" s="28"/>
      <c r="D554" s="0" t="str">
        <f aca="false">IF(A554="","",YEAR(A554))</f>
        <v/>
      </c>
      <c r="E554" s="0" t="str">
        <f aca="false">IF(A554="","",MONTH(A554))</f>
        <v/>
      </c>
    </row>
    <row r="555" customFormat="false" ht="15" hidden="false" customHeight="false" outlineLevel="0" collapsed="false">
      <c r="A555" s="30"/>
      <c r="C555" s="28"/>
      <c r="D555" s="0" t="str">
        <f aca="false">IF(A555="","",YEAR(A555))</f>
        <v/>
      </c>
      <c r="E555" s="0" t="str">
        <f aca="false">IF(A555="","",MONTH(A555))</f>
        <v/>
      </c>
    </row>
    <row r="556" customFormat="false" ht="15" hidden="false" customHeight="false" outlineLevel="0" collapsed="false">
      <c r="A556" s="30"/>
      <c r="C556" s="28"/>
      <c r="D556" s="0" t="str">
        <f aca="false">IF(A556="","",YEAR(A556))</f>
        <v/>
      </c>
      <c r="E556" s="0" t="str">
        <f aca="false">IF(A556="","",MONTH(A556))</f>
        <v/>
      </c>
    </row>
    <row r="557" customFormat="false" ht="15" hidden="false" customHeight="false" outlineLevel="0" collapsed="false">
      <c r="A557" s="30"/>
      <c r="C557" s="28"/>
      <c r="D557" s="0" t="str">
        <f aca="false">IF(A557="","",YEAR(A557))</f>
        <v/>
      </c>
      <c r="E557" s="0" t="str">
        <f aca="false">IF(A557="","",MONTH(A557))</f>
        <v/>
      </c>
    </row>
    <row r="558" customFormat="false" ht="15" hidden="false" customHeight="false" outlineLevel="0" collapsed="false">
      <c r="A558" s="30"/>
      <c r="C558" s="28"/>
      <c r="D558" s="0" t="str">
        <f aca="false">IF(A558="","",YEAR(A558))</f>
        <v/>
      </c>
      <c r="E558" s="0" t="str">
        <f aca="false">IF(A558="","",MONTH(A558))</f>
        <v/>
      </c>
    </row>
    <row r="559" customFormat="false" ht="15" hidden="false" customHeight="false" outlineLevel="0" collapsed="false">
      <c r="A559" s="30"/>
      <c r="C559" s="28"/>
      <c r="D559" s="0" t="str">
        <f aca="false">IF(A559="","",YEAR(A559))</f>
        <v/>
      </c>
      <c r="E559" s="0" t="str">
        <f aca="false">IF(A559="","",MONTH(A559))</f>
        <v/>
      </c>
    </row>
    <row r="560" customFormat="false" ht="15" hidden="false" customHeight="false" outlineLevel="0" collapsed="false">
      <c r="A560" s="30"/>
      <c r="C560" s="28"/>
      <c r="D560" s="0" t="str">
        <f aca="false">IF(A560="","",YEAR(A560))</f>
        <v/>
      </c>
      <c r="E560" s="0" t="str">
        <f aca="false">IF(A560="","",MONTH(A560))</f>
        <v/>
      </c>
    </row>
    <row r="561" customFormat="false" ht="15" hidden="false" customHeight="false" outlineLevel="0" collapsed="false">
      <c r="A561" s="30"/>
      <c r="C561" s="28"/>
      <c r="D561" s="0" t="str">
        <f aca="false">IF(A561="","",YEAR(A561))</f>
        <v/>
      </c>
      <c r="E561" s="0" t="str">
        <f aca="false">IF(A561="","",MONTH(A561))</f>
        <v/>
      </c>
    </row>
    <row r="562" customFormat="false" ht="15" hidden="false" customHeight="false" outlineLevel="0" collapsed="false">
      <c r="A562" s="30"/>
      <c r="C562" s="28"/>
      <c r="D562" s="0" t="str">
        <f aca="false">IF(A562="","",YEAR(A562))</f>
        <v/>
      </c>
      <c r="E562" s="0" t="str">
        <f aca="false">IF(A562="","",MONTH(A562))</f>
        <v/>
      </c>
    </row>
    <row r="563" customFormat="false" ht="15" hidden="false" customHeight="false" outlineLevel="0" collapsed="false">
      <c r="A563" s="30"/>
      <c r="C563" s="28"/>
      <c r="D563" s="0" t="str">
        <f aca="false">IF(A563="","",YEAR(A563))</f>
        <v/>
      </c>
      <c r="E563" s="0" t="str">
        <f aca="false">IF(A563="","",MONTH(A563))</f>
        <v/>
      </c>
    </row>
    <row r="564" customFormat="false" ht="15" hidden="false" customHeight="false" outlineLevel="0" collapsed="false">
      <c r="A564" s="30"/>
      <c r="C564" s="28"/>
      <c r="D564" s="0" t="str">
        <f aca="false">IF(A564="","",YEAR(A564))</f>
        <v/>
      </c>
      <c r="E564" s="0" t="str">
        <f aca="false">IF(A564="","",MONTH(A564))</f>
        <v/>
      </c>
    </row>
    <row r="565" customFormat="false" ht="15" hidden="false" customHeight="false" outlineLevel="0" collapsed="false">
      <c r="A565" s="30"/>
      <c r="C565" s="28"/>
      <c r="D565" s="0" t="str">
        <f aca="false">IF(A565="","",YEAR(A565))</f>
        <v/>
      </c>
      <c r="E565" s="0" t="str">
        <f aca="false">IF(A565="","",MONTH(A565))</f>
        <v/>
      </c>
    </row>
    <row r="566" customFormat="false" ht="15" hidden="false" customHeight="false" outlineLevel="0" collapsed="false">
      <c r="A566" s="30"/>
      <c r="C566" s="28"/>
      <c r="D566" s="0" t="str">
        <f aca="false">IF(A566="","",YEAR(A566))</f>
        <v/>
      </c>
      <c r="E566" s="0" t="str">
        <f aca="false">IF(A566="","",MONTH(A566))</f>
        <v/>
      </c>
    </row>
    <row r="567" customFormat="false" ht="15" hidden="false" customHeight="false" outlineLevel="0" collapsed="false">
      <c r="A567" s="30"/>
      <c r="C567" s="28"/>
      <c r="D567" s="0" t="str">
        <f aca="false">IF(A567="","",YEAR(A567))</f>
        <v/>
      </c>
      <c r="E567" s="0" t="str">
        <f aca="false">IF(A567="","",MONTH(A567))</f>
        <v/>
      </c>
    </row>
    <row r="568" customFormat="false" ht="15" hidden="false" customHeight="false" outlineLevel="0" collapsed="false">
      <c r="A568" s="30"/>
      <c r="C568" s="28"/>
      <c r="D568" s="0" t="str">
        <f aca="false">IF(A568="","",YEAR(A568))</f>
        <v/>
      </c>
      <c r="E568" s="0" t="str">
        <f aca="false">IF(A568="","",MONTH(A568))</f>
        <v/>
      </c>
    </row>
    <row r="569" customFormat="false" ht="15" hidden="false" customHeight="false" outlineLevel="0" collapsed="false">
      <c r="A569" s="30"/>
      <c r="C569" s="28"/>
      <c r="D569" s="0" t="str">
        <f aca="false">IF(A569="","",YEAR(A569))</f>
        <v/>
      </c>
      <c r="E569" s="0" t="str">
        <f aca="false">IF(A569="","",MONTH(A569))</f>
        <v/>
      </c>
    </row>
    <row r="570" customFormat="false" ht="15" hidden="false" customHeight="false" outlineLevel="0" collapsed="false">
      <c r="A570" s="30"/>
      <c r="C570" s="28"/>
      <c r="D570" s="0" t="str">
        <f aca="false">IF(A570="","",YEAR(A570))</f>
        <v/>
      </c>
      <c r="E570" s="0" t="str">
        <f aca="false">IF(A570="","",MONTH(A570))</f>
        <v/>
      </c>
    </row>
    <row r="571" customFormat="false" ht="15" hidden="false" customHeight="false" outlineLevel="0" collapsed="false">
      <c r="A571" s="30"/>
      <c r="C571" s="28"/>
      <c r="D571" s="0" t="str">
        <f aca="false">IF(A571="","",YEAR(A571))</f>
        <v/>
      </c>
      <c r="E571" s="0" t="str">
        <f aca="false">IF(A571="","",MONTH(A571))</f>
        <v/>
      </c>
    </row>
    <row r="572" customFormat="false" ht="15" hidden="false" customHeight="false" outlineLevel="0" collapsed="false">
      <c r="A572" s="30"/>
      <c r="C572" s="28"/>
      <c r="D572" s="0" t="str">
        <f aca="false">IF(A572="","",YEAR(A572))</f>
        <v/>
      </c>
      <c r="E572" s="0" t="str">
        <f aca="false">IF(A572="","",MONTH(A572))</f>
        <v/>
      </c>
    </row>
    <row r="573" customFormat="false" ht="15" hidden="false" customHeight="false" outlineLevel="0" collapsed="false">
      <c r="A573" s="30"/>
      <c r="C573" s="28"/>
      <c r="D573" s="0" t="str">
        <f aca="false">IF(A573="","",YEAR(A573))</f>
        <v/>
      </c>
      <c r="E573" s="0" t="str">
        <f aca="false">IF(A573="","",MONTH(A573))</f>
        <v/>
      </c>
    </row>
    <row r="574" customFormat="false" ht="15" hidden="false" customHeight="false" outlineLevel="0" collapsed="false">
      <c r="A574" s="30"/>
      <c r="C574" s="28"/>
      <c r="D574" s="0" t="str">
        <f aca="false">IF(A574="","",YEAR(A574))</f>
        <v/>
      </c>
      <c r="E574" s="0" t="str">
        <f aca="false">IF(A574="","",MONTH(A574))</f>
        <v/>
      </c>
    </row>
    <row r="575" customFormat="false" ht="15" hidden="false" customHeight="false" outlineLevel="0" collapsed="false">
      <c r="A575" s="30"/>
      <c r="C575" s="28"/>
      <c r="D575" s="0" t="str">
        <f aca="false">IF(A575="","",YEAR(A575))</f>
        <v/>
      </c>
      <c r="E575" s="0" t="str">
        <f aca="false">IF(A575="","",MONTH(A575))</f>
        <v/>
      </c>
    </row>
    <row r="576" customFormat="false" ht="15" hidden="false" customHeight="false" outlineLevel="0" collapsed="false">
      <c r="A576" s="30"/>
      <c r="C576" s="28"/>
      <c r="D576" s="0" t="str">
        <f aca="false">IF(A576="","",YEAR(A576))</f>
        <v/>
      </c>
      <c r="E576" s="0" t="str">
        <f aca="false">IF(A576="","",MONTH(A576))</f>
        <v/>
      </c>
    </row>
    <row r="577" customFormat="false" ht="15" hidden="false" customHeight="false" outlineLevel="0" collapsed="false">
      <c r="A577" s="30"/>
      <c r="C577" s="28"/>
      <c r="D577" s="0" t="str">
        <f aca="false">IF(A577="","",YEAR(A577))</f>
        <v/>
      </c>
      <c r="E577" s="0" t="str">
        <f aca="false">IF(A577="","",MONTH(A577))</f>
        <v/>
      </c>
    </row>
    <row r="578" customFormat="false" ht="15" hidden="false" customHeight="false" outlineLevel="0" collapsed="false">
      <c r="A578" s="30"/>
      <c r="C578" s="28"/>
      <c r="D578" s="0" t="str">
        <f aca="false">IF(A578="","",YEAR(A578))</f>
        <v/>
      </c>
      <c r="E578" s="0" t="str">
        <f aca="false">IF(A578="","",MONTH(A578))</f>
        <v/>
      </c>
    </row>
    <row r="579" customFormat="false" ht="15" hidden="false" customHeight="false" outlineLevel="0" collapsed="false">
      <c r="A579" s="30"/>
      <c r="C579" s="28"/>
      <c r="D579" s="0" t="str">
        <f aca="false">IF(A579="","",YEAR(A579))</f>
        <v/>
      </c>
      <c r="E579" s="0" t="str">
        <f aca="false">IF(A579="","",MONTH(A579))</f>
        <v/>
      </c>
    </row>
    <row r="580" customFormat="false" ht="15" hidden="false" customHeight="false" outlineLevel="0" collapsed="false">
      <c r="A580" s="30"/>
      <c r="C580" s="28"/>
      <c r="D580" s="0" t="str">
        <f aca="false">IF(A580="","",YEAR(A580))</f>
        <v/>
      </c>
      <c r="E580" s="0" t="str">
        <f aca="false">IF(A580="","",MONTH(A580))</f>
        <v/>
      </c>
    </row>
    <row r="581" customFormat="false" ht="15" hidden="false" customHeight="false" outlineLevel="0" collapsed="false">
      <c r="A581" s="30"/>
      <c r="C581" s="28"/>
      <c r="D581" s="0" t="str">
        <f aca="false">IF(A581="","",YEAR(A581))</f>
        <v/>
      </c>
      <c r="E581" s="0" t="str">
        <f aca="false">IF(A581="","",MONTH(A581))</f>
        <v/>
      </c>
    </row>
    <row r="582" customFormat="false" ht="15" hidden="false" customHeight="false" outlineLevel="0" collapsed="false">
      <c r="A582" s="30"/>
      <c r="C582" s="28"/>
      <c r="D582" s="0" t="str">
        <f aca="false">IF(A582="","",YEAR(A582))</f>
        <v/>
      </c>
      <c r="E582" s="0" t="str">
        <f aca="false">IF(A582="","",MONTH(A582))</f>
        <v/>
      </c>
    </row>
    <row r="583" customFormat="false" ht="15" hidden="false" customHeight="false" outlineLevel="0" collapsed="false">
      <c r="A583" s="30"/>
      <c r="C583" s="28"/>
      <c r="D583" s="0" t="str">
        <f aca="false">IF(A583="","",YEAR(A583))</f>
        <v/>
      </c>
      <c r="E583" s="0" t="str">
        <f aca="false">IF(A583="","",MONTH(A583))</f>
        <v/>
      </c>
    </row>
    <row r="584" customFormat="false" ht="15" hidden="false" customHeight="false" outlineLevel="0" collapsed="false">
      <c r="A584" s="30"/>
      <c r="C584" s="28"/>
      <c r="D584" s="0" t="str">
        <f aca="false">IF(A584="","",YEAR(A584))</f>
        <v/>
      </c>
      <c r="E584" s="0" t="str">
        <f aca="false">IF(A584="","",MONTH(A584))</f>
        <v/>
      </c>
    </row>
    <row r="585" customFormat="false" ht="15" hidden="false" customHeight="false" outlineLevel="0" collapsed="false">
      <c r="A585" s="30"/>
      <c r="C585" s="28"/>
      <c r="D585" s="0" t="str">
        <f aca="false">IF(A585="","",YEAR(A585))</f>
        <v/>
      </c>
      <c r="E585" s="0" t="str">
        <f aca="false">IF(A585="","",MONTH(A585))</f>
        <v/>
      </c>
    </row>
    <row r="586" customFormat="false" ht="15" hidden="false" customHeight="false" outlineLevel="0" collapsed="false">
      <c r="A586" s="30"/>
      <c r="C586" s="28"/>
      <c r="D586" s="0" t="str">
        <f aca="false">IF(A586="","",YEAR(A586))</f>
        <v/>
      </c>
      <c r="E586" s="0" t="str">
        <f aca="false">IF(A586="","",MONTH(A586))</f>
        <v/>
      </c>
    </row>
    <row r="587" customFormat="false" ht="15" hidden="false" customHeight="false" outlineLevel="0" collapsed="false">
      <c r="A587" s="30"/>
      <c r="C587" s="28"/>
      <c r="D587" s="0" t="str">
        <f aca="false">IF(A587="","",YEAR(A587))</f>
        <v/>
      </c>
      <c r="E587" s="0" t="str">
        <f aca="false">IF(A587="","",MONTH(A587))</f>
        <v/>
      </c>
    </row>
    <row r="588" customFormat="false" ht="15" hidden="false" customHeight="false" outlineLevel="0" collapsed="false">
      <c r="A588" s="30"/>
      <c r="C588" s="28"/>
      <c r="D588" s="0" t="str">
        <f aca="false">IF(A588="","",YEAR(A588))</f>
        <v/>
      </c>
      <c r="E588" s="0" t="str">
        <f aca="false">IF(A588="","",MONTH(A588))</f>
        <v/>
      </c>
    </row>
    <row r="589" customFormat="false" ht="15" hidden="false" customHeight="false" outlineLevel="0" collapsed="false">
      <c r="A589" s="30"/>
      <c r="C589" s="28"/>
      <c r="D589" s="0" t="str">
        <f aca="false">IF(A589="","",YEAR(A589))</f>
        <v/>
      </c>
      <c r="E589" s="0" t="str">
        <f aca="false">IF(A589="","",MONTH(A589))</f>
        <v/>
      </c>
    </row>
    <row r="590" customFormat="false" ht="15" hidden="false" customHeight="false" outlineLevel="0" collapsed="false">
      <c r="A590" s="30"/>
      <c r="C590" s="28"/>
      <c r="D590" s="0" t="str">
        <f aca="false">IF(A590="","",YEAR(A590))</f>
        <v/>
      </c>
      <c r="E590" s="0" t="str">
        <f aca="false">IF(A590="","",MONTH(A590))</f>
        <v/>
      </c>
    </row>
    <row r="591" customFormat="false" ht="15" hidden="false" customHeight="false" outlineLevel="0" collapsed="false">
      <c r="A591" s="30"/>
      <c r="C591" s="28"/>
      <c r="D591" s="0" t="str">
        <f aca="false">IF(A591="","",YEAR(A591))</f>
        <v/>
      </c>
      <c r="E591" s="0" t="str">
        <f aca="false">IF(A591="","",MONTH(A591))</f>
        <v/>
      </c>
    </row>
    <row r="592" customFormat="false" ht="15" hidden="false" customHeight="false" outlineLevel="0" collapsed="false">
      <c r="A592" s="30"/>
      <c r="C592" s="28"/>
      <c r="D592" s="0" t="str">
        <f aca="false">IF(A592="","",YEAR(A592))</f>
        <v/>
      </c>
      <c r="E592" s="0" t="str">
        <f aca="false">IF(A592="","",MONTH(A592))</f>
        <v/>
      </c>
    </row>
    <row r="593" customFormat="false" ht="15" hidden="false" customHeight="false" outlineLevel="0" collapsed="false">
      <c r="A593" s="30"/>
      <c r="C593" s="28"/>
      <c r="D593" s="0" t="str">
        <f aca="false">IF(A593="","",YEAR(A593))</f>
        <v/>
      </c>
      <c r="E593" s="0" t="str">
        <f aca="false">IF(A593="","",MONTH(A593))</f>
        <v/>
      </c>
    </row>
    <row r="594" customFormat="false" ht="15" hidden="false" customHeight="false" outlineLevel="0" collapsed="false">
      <c r="A594" s="30"/>
      <c r="C594" s="28"/>
      <c r="D594" s="0" t="str">
        <f aca="false">IF(A594="","",YEAR(A594))</f>
        <v/>
      </c>
      <c r="E594" s="0" t="str">
        <f aca="false">IF(A594="","",MONTH(A594))</f>
        <v/>
      </c>
    </row>
    <row r="595" customFormat="false" ht="15" hidden="false" customHeight="false" outlineLevel="0" collapsed="false">
      <c r="A595" s="30"/>
      <c r="C595" s="28"/>
      <c r="D595" s="0" t="str">
        <f aca="false">IF(A595="","",YEAR(A595))</f>
        <v/>
      </c>
      <c r="E595" s="0" t="str">
        <f aca="false">IF(A595="","",MONTH(A595))</f>
        <v/>
      </c>
    </row>
    <row r="596" customFormat="false" ht="15" hidden="false" customHeight="false" outlineLevel="0" collapsed="false">
      <c r="A596" s="30"/>
      <c r="C596" s="28"/>
      <c r="D596" s="0" t="str">
        <f aca="false">IF(A596="","",YEAR(A596))</f>
        <v/>
      </c>
      <c r="E596" s="0" t="str">
        <f aca="false">IF(A596="","",MONTH(A596))</f>
        <v/>
      </c>
    </row>
    <row r="597" customFormat="false" ht="15" hidden="false" customHeight="false" outlineLevel="0" collapsed="false">
      <c r="A597" s="30"/>
      <c r="C597" s="28"/>
      <c r="D597" s="0" t="str">
        <f aca="false">IF(A597="","",YEAR(A597))</f>
        <v/>
      </c>
      <c r="E597" s="0" t="str">
        <f aca="false">IF(A597="","",MONTH(A597))</f>
        <v/>
      </c>
    </row>
    <row r="598" customFormat="false" ht="15" hidden="false" customHeight="false" outlineLevel="0" collapsed="false">
      <c r="A598" s="30"/>
      <c r="C598" s="28"/>
      <c r="D598" s="0" t="str">
        <f aca="false">IF(A598="","",YEAR(A598))</f>
        <v/>
      </c>
      <c r="E598" s="0" t="str">
        <f aca="false">IF(A598="","",MONTH(A598))</f>
        <v/>
      </c>
    </row>
    <row r="599" customFormat="false" ht="15" hidden="false" customHeight="false" outlineLevel="0" collapsed="false">
      <c r="A599" s="30"/>
      <c r="C599" s="28"/>
      <c r="D599" s="0" t="str">
        <f aca="false">IF(A599="","",YEAR(A599))</f>
        <v/>
      </c>
      <c r="E599" s="0" t="str">
        <f aca="false">IF(A599="","",MONTH(A599))</f>
        <v/>
      </c>
    </row>
    <row r="600" customFormat="false" ht="15" hidden="false" customHeight="false" outlineLevel="0" collapsed="false">
      <c r="A600" s="30"/>
      <c r="C600" s="28"/>
      <c r="D600" s="0" t="str">
        <f aca="false">IF(A600="","",YEAR(A600))</f>
        <v/>
      </c>
      <c r="E600" s="0" t="str">
        <f aca="false">IF(A600="","",MONTH(A600))</f>
        <v/>
      </c>
    </row>
    <row r="601" customFormat="false" ht="15" hidden="false" customHeight="false" outlineLevel="0" collapsed="false">
      <c r="A601" s="30"/>
      <c r="C601" s="28"/>
      <c r="D601" s="0" t="str">
        <f aca="false">IF(A601="","",YEAR(A601))</f>
        <v/>
      </c>
      <c r="E601" s="0" t="str">
        <f aca="false">IF(A601="","",MONTH(A601))</f>
        <v/>
      </c>
    </row>
    <row r="602" customFormat="false" ht="15" hidden="false" customHeight="false" outlineLevel="0" collapsed="false">
      <c r="A602" s="30"/>
      <c r="C602" s="28"/>
      <c r="D602" s="0" t="str">
        <f aca="false">IF(A602="","",YEAR(A602))</f>
        <v/>
      </c>
      <c r="E602" s="0" t="str">
        <f aca="false">IF(A602="","",MONTH(A602))</f>
        <v/>
      </c>
    </row>
    <row r="603" customFormat="false" ht="15" hidden="false" customHeight="false" outlineLevel="0" collapsed="false">
      <c r="A603" s="30"/>
      <c r="C603" s="28"/>
      <c r="D603" s="0" t="str">
        <f aca="false">IF(A603="","",YEAR(A603))</f>
        <v/>
      </c>
      <c r="E603" s="0" t="str">
        <f aca="false">IF(A603="","",MONTH(A603))</f>
        <v/>
      </c>
    </row>
    <row r="604" customFormat="false" ht="15" hidden="false" customHeight="false" outlineLevel="0" collapsed="false">
      <c r="A604" s="30"/>
      <c r="C604" s="28"/>
      <c r="D604" s="0" t="str">
        <f aca="false">IF(A604="","",YEAR(A604))</f>
        <v/>
      </c>
      <c r="E604" s="0" t="str">
        <f aca="false">IF(A604="","",MONTH(A604))</f>
        <v/>
      </c>
    </row>
    <row r="605" customFormat="false" ht="15" hidden="false" customHeight="false" outlineLevel="0" collapsed="false">
      <c r="A605" s="30"/>
      <c r="C605" s="28"/>
      <c r="D605" s="0" t="str">
        <f aca="false">IF(A605="","",YEAR(A605))</f>
        <v/>
      </c>
      <c r="E605" s="0" t="str">
        <f aca="false">IF(A605="","",MONTH(A605))</f>
        <v/>
      </c>
    </row>
    <row r="606" customFormat="false" ht="15" hidden="false" customHeight="false" outlineLevel="0" collapsed="false">
      <c r="A606" s="30"/>
      <c r="C606" s="28"/>
      <c r="D606" s="0" t="str">
        <f aca="false">IF(A606="","",YEAR(A606))</f>
        <v/>
      </c>
      <c r="E606" s="0" t="str">
        <f aca="false">IF(A606="","",MONTH(A606))</f>
        <v/>
      </c>
    </row>
    <row r="607" customFormat="false" ht="15" hidden="false" customHeight="false" outlineLevel="0" collapsed="false">
      <c r="A607" s="30"/>
      <c r="C607" s="28"/>
      <c r="D607" s="0" t="str">
        <f aca="false">IF(A607="","",YEAR(A607))</f>
        <v/>
      </c>
      <c r="E607" s="0" t="str">
        <f aca="false">IF(A607="","",MONTH(A607))</f>
        <v/>
      </c>
    </row>
    <row r="608" customFormat="false" ht="15" hidden="false" customHeight="false" outlineLevel="0" collapsed="false">
      <c r="A608" s="30"/>
      <c r="C608" s="28"/>
      <c r="D608" s="0" t="str">
        <f aca="false">IF(A608="","",YEAR(A608))</f>
        <v/>
      </c>
      <c r="E608" s="0" t="str">
        <f aca="false">IF(A608="","",MONTH(A608))</f>
        <v/>
      </c>
    </row>
    <row r="609" customFormat="false" ht="15" hidden="false" customHeight="false" outlineLevel="0" collapsed="false">
      <c r="A609" s="30"/>
      <c r="C609" s="28"/>
      <c r="D609" s="0" t="str">
        <f aca="false">IF(A609="","",YEAR(A609))</f>
        <v/>
      </c>
      <c r="E609" s="0" t="str">
        <f aca="false">IF(A609="","",MONTH(A609))</f>
        <v/>
      </c>
    </row>
    <row r="610" customFormat="false" ht="15" hidden="false" customHeight="false" outlineLevel="0" collapsed="false">
      <c r="A610" s="30"/>
      <c r="C610" s="28"/>
      <c r="D610" s="0" t="str">
        <f aca="false">IF(A610="","",YEAR(A610))</f>
        <v/>
      </c>
      <c r="E610" s="0" t="str">
        <f aca="false">IF(A610="","",MONTH(A610))</f>
        <v/>
      </c>
    </row>
    <row r="611" customFormat="false" ht="15" hidden="false" customHeight="false" outlineLevel="0" collapsed="false">
      <c r="A611" s="30"/>
      <c r="C611" s="28"/>
      <c r="D611" s="0" t="str">
        <f aca="false">IF(A611="","",YEAR(A611))</f>
        <v/>
      </c>
      <c r="E611" s="0" t="str">
        <f aca="false">IF(A611="","",MONTH(A611))</f>
        <v/>
      </c>
    </row>
    <row r="612" customFormat="false" ht="15" hidden="false" customHeight="false" outlineLevel="0" collapsed="false">
      <c r="A612" s="30"/>
      <c r="C612" s="28"/>
      <c r="D612" s="0" t="str">
        <f aca="false">IF(A612="","",YEAR(A612))</f>
        <v/>
      </c>
      <c r="E612" s="0" t="str">
        <f aca="false">IF(A612="","",MONTH(A612))</f>
        <v/>
      </c>
    </row>
    <row r="613" customFormat="false" ht="15" hidden="false" customHeight="false" outlineLevel="0" collapsed="false">
      <c r="A613" s="30"/>
      <c r="C613" s="28"/>
      <c r="D613" s="0" t="str">
        <f aca="false">IF(A613="","",YEAR(A613))</f>
        <v/>
      </c>
      <c r="E613" s="0" t="str">
        <f aca="false">IF(A613="","",MONTH(A613))</f>
        <v/>
      </c>
    </row>
    <row r="614" customFormat="false" ht="15" hidden="false" customHeight="false" outlineLevel="0" collapsed="false">
      <c r="A614" s="30"/>
      <c r="C614" s="28"/>
      <c r="D614" s="0" t="str">
        <f aca="false">IF(A614="","",YEAR(A614))</f>
        <v/>
      </c>
      <c r="E614" s="0" t="str">
        <f aca="false">IF(A614="","",MONTH(A614))</f>
        <v/>
      </c>
    </row>
    <row r="615" customFormat="false" ht="15" hidden="false" customHeight="false" outlineLevel="0" collapsed="false">
      <c r="A615" s="30"/>
      <c r="C615" s="28"/>
      <c r="D615" s="0" t="str">
        <f aca="false">IF(A615="","",YEAR(A615))</f>
        <v/>
      </c>
      <c r="E615" s="0" t="str">
        <f aca="false">IF(A615="","",MONTH(A615))</f>
        <v/>
      </c>
    </row>
    <row r="616" customFormat="false" ht="15" hidden="false" customHeight="false" outlineLevel="0" collapsed="false">
      <c r="A616" s="30"/>
      <c r="C616" s="28"/>
      <c r="D616" s="0" t="str">
        <f aca="false">IF(A616="","",YEAR(A616))</f>
        <v/>
      </c>
      <c r="E616" s="0" t="str">
        <f aca="false">IF(A616="","",MONTH(A616))</f>
        <v/>
      </c>
    </row>
    <row r="617" customFormat="false" ht="15" hidden="false" customHeight="false" outlineLevel="0" collapsed="false">
      <c r="A617" s="30"/>
      <c r="C617" s="28"/>
      <c r="D617" s="0" t="str">
        <f aca="false">IF(A617="","",YEAR(A617))</f>
        <v/>
      </c>
      <c r="E617" s="0" t="str">
        <f aca="false">IF(A617="","",MONTH(A617))</f>
        <v/>
      </c>
    </row>
    <row r="618" customFormat="false" ht="15" hidden="false" customHeight="false" outlineLevel="0" collapsed="false">
      <c r="A618" s="30"/>
      <c r="C618" s="28"/>
      <c r="D618" s="0" t="str">
        <f aca="false">IF(A618="","",YEAR(A618))</f>
        <v/>
      </c>
      <c r="E618" s="0" t="str">
        <f aca="false">IF(A618="","",MONTH(A618))</f>
        <v/>
      </c>
    </row>
    <row r="619" customFormat="false" ht="15" hidden="false" customHeight="false" outlineLevel="0" collapsed="false">
      <c r="A619" s="30"/>
      <c r="C619" s="28"/>
      <c r="D619" s="0" t="str">
        <f aca="false">IF(A619="","",YEAR(A619))</f>
        <v/>
      </c>
      <c r="E619" s="0" t="str">
        <f aca="false">IF(A619="","",MONTH(A619))</f>
        <v/>
      </c>
    </row>
    <row r="620" customFormat="false" ht="15" hidden="false" customHeight="false" outlineLevel="0" collapsed="false">
      <c r="A620" s="30"/>
      <c r="C620" s="28"/>
      <c r="D620" s="0" t="str">
        <f aca="false">IF(A620="","",YEAR(A620))</f>
        <v/>
      </c>
      <c r="E620" s="0" t="str">
        <f aca="false">IF(A620="","",MONTH(A620))</f>
        <v/>
      </c>
    </row>
    <row r="621" customFormat="false" ht="15" hidden="false" customHeight="false" outlineLevel="0" collapsed="false">
      <c r="A621" s="30"/>
      <c r="C621" s="28"/>
      <c r="D621" s="0" t="str">
        <f aca="false">IF(A621="","",YEAR(A621))</f>
        <v/>
      </c>
      <c r="E621" s="0" t="str">
        <f aca="false">IF(A621="","",MONTH(A621))</f>
        <v/>
      </c>
    </row>
    <row r="622" customFormat="false" ht="15" hidden="false" customHeight="false" outlineLevel="0" collapsed="false">
      <c r="A622" s="30"/>
      <c r="C622" s="28"/>
      <c r="D622" s="0" t="str">
        <f aca="false">IF(A622="","",YEAR(A622))</f>
        <v/>
      </c>
      <c r="E622" s="0" t="str">
        <f aca="false">IF(A622="","",MONTH(A622))</f>
        <v/>
      </c>
    </row>
    <row r="623" customFormat="false" ht="15" hidden="false" customHeight="false" outlineLevel="0" collapsed="false">
      <c r="A623" s="30"/>
      <c r="C623" s="28"/>
      <c r="D623" s="0" t="str">
        <f aca="false">IF(A623="","",YEAR(A623))</f>
        <v/>
      </c>
      <c r="E623" s="0" t="str">
        <f aca="false">IF(A623="","",MONTH(A623))</f>
        <v/>
      </c>
    </row>
    <row r="624" customFormat="false" ht="15" hidden="false" customHeight="false" outlineLevel="0" collapsed="false">
      <c r="A624" s="30"/>
      <c r="C624" s="28"/>
      <c r="D624" s="0" t="str">
        <f aca="false">IF(A624="","",YEAR(A624))</f>
        <v/>
      </c>
      <c r="E624" s="0" t="str">
        <f aca="false">IF(A624="","",MONTH(A624))</f>
        <v/>
      </c>
    </row>
    <row r="625" customFormat="false" ht="15" hidden="false" customHeight="false" outlineLevel="0" collapsed="false">
      <c r="A625" s="30"/>
      <c r="C625" s="28"/>
      <c r="D625" s="0" t="str">
        <f aca="false">IF(A625="","",YEAR(A625))</f>
        <v/>
      </c>
      <c r="E625" s="0" t="str">
        <f aca="false">IF(A625="","",MONTH(A625))</f>
        <v/>
      </c>
    </row>
    <row r="626" customFormat="false" ht="15" hidden="false" customHeight="false" outlineLevel="0" collapsed="false">
      <c r="A626" s="30"/>
      <c r="C626" s="28"/>
      <c r="D626" s="0" t="str">
        <f aca="false">IF(A626="","",YEAR(A626))</f>
        <v/>
      </c>
      <c r="E626" s="0" t="str">
        <f aca="false">IF(A626="","",MONTH(A626))</f>
        <v/>
      </c>
    </row>
    <row r="627" customFormat="false" ht="15" hidden="false" customHeight="false" outlineLevel="0" collapsed="false">
      <c r="A627" s="30"/>
      <c r="C627" s="28"/>
      <c r="D627" s="0" t="str">
        <f aca="false">IF(A627="","",YEAR(A627))</f>
        <v/>
      </c>
      <c r="E627" s="0" t="str">
        <f aca="false">IF(A627="","",MONTH(A627))</f>
        <v/>
      </c>
    </row>
    <row r="628" customFormat="false" ht="15" hidden="false" customHeight="false" outlineLevel="0" collapsed="false">
      <c r="A628" s="30"/>
      <c r="C628" s="28"/>
      <c r="D628" s="0" t="str">
        <f aca="false">IF(A628="","",YEAR(A628))</f>
        <v/>
      </c>
      <c r="E628" s="0" t="str">
        <f aca="false">IF(A628="","",MONTH(A628))</f>
        <v/>
      </c>
    </row>
    <row r="629" customFormat="false" ht="15" hidden="false" customHeight="false" outlineLevel="0" collapsed="false">
      <c r="A629" s="30"/>
      <c r="C629" s="28"/>
      <c r="D629" s="0" t="str">
        <f aca="false">IF(A629="","",YEAR(A629))</f>
        <v/>
      </c>
      <c r="E629" s="0" t="str">
        <f aca="false">IF(A629="","",MONTH(A629))</f>
        <v/>
      </c>
    </row>
    <row r="630" customFormat="false" ht="15" hidden="false" customHeight="false" outlineLevel="0" collapsed="false">
      <c r="A630" s="30"/>
      <c r="C630" s="28"/>
      <c r="D630" s="0" t="str">
        <f aca="false">IF(A630="","",YEAR(A630))</f>
        <v/>
      </c>
      <c r="E630" s="0" t="str">
        <f aca="false">IF(A630="","",MONTH(A630))</f>
        <v/>
      </c>
    </row>
    <row r="631" customFormat="false" ht="15" hidden="false" customHeight="false" outlineLevel="0" collapsed="false">
      <c r="A631" s="30"/>
      <c r="C631" s="28"/>
      <c r="D631" s="0" t="str">
        <f aca="false">IF(A631="","",YEAR(A631))</f>
        <v/>
      </c>
      <c r="E631" s="0" t="str">
        <f aca="false">IF(A631="","",MONTH(A631))</f>
        <v/>
      </c>
    </row>
    <row r="632" customFormat="false" ht="15" hidden="false" customHeight="false" outlineLevel="0" collapsed="false">
      <c r="A632" s="30"/>
      <c r="C632" s="28"/>
      <c r="D632" s="0" t="str">
        <f aca="false">IF(A632="","",YEAR(A632))</f>
        <v/>
      </c>
      <c r="E632" s="0" t="str">
        <f aca="false">IF(A632="","",MONTH(A632))</f>
        <v/>
      </c>
    </row>
    <row r="633" customFormat="false" ht="15" hidden="false" customHeight="false" outlineLevel="0" collapsed="false">
      <c r="A633" s="30"/>
      <c r="C633" s="28"/>
      <c r="D633" s="0" t="str">
        <f aca="false">IF(A633="","",YEAR(A633))</f>
        <v/>
      </c>
      <c r="E633" s="0" t="str">
        <f aca="false">IF(A633="","",MONTH(A633))</f>
        <v/>
      </c>
    </row>
    <row r="634" customFormat="false" ht="15" hidden="false" customHeight="false" outlineLevel="0" collapsed="false">
      <c r="A634" s="30"/>
      <c r="C634" s="28"/>
      <c r="D634" s="0" t="str">
        <f aca="false">IF(A634="","",YEAR(A634))</f>
        <v/>
      </c>
      <c r="E634" s="0" t="str">
        <f aca="false">IF(A634="","",MONTH(A634))</f>
        <v/>
      </c>
    </row>
    <row r="635" customFormat="false" ht="15" hidden="false" customHeight="false" outlineLevel="0" collapsed="false">
      <c r="A635" s="30"/>
      <c r="C635" s="28"/>
      <c r="D635" s="0" t="str">
        <f aca="false">IF(A635="","",YEAR(A635))</f>
        <v/>
      </c>
      <c r="E635" s="0" t="str">
        <f aca="false">IF(A635="","",MONTH(A635))</f>
        <v/>
      </c>
    </row>
    <row r="636" customFormat="false" ht="15" hidden="false" customHeight="false" outlineLevel="0" collapsed="false">
      <c r="A636" s="30"/>
      <c r="C636" s="28"/>
      <c r="D636" s="0" t="str">
        <f aca="false">IF(A636="","",YEAR(A636))</f>
        <v/>
      </c>
      <c r="E636" s="0" t="str">
        <f aca="false">IF(A636="","",MONTH(A636))</f>
        <v/>
      </c>
    </row>
    <row r="637" customFormat="false" ht="15" hidden="false" customHeight="false" outlineLevel="0" collapsed="false">
      <c r="A637" s="30"/>
      <c r="C637" s="28"/>
      <c r="D637" s="0" t="str">
        <f aca="false">IF(A637="","",YEAR(A637))</f>
        <v/>
      </c>
      <c r="E637" s="0" t="str">
        <f aca="false">IF(A637="","",MONTH(A637))</f>
        <v/>
      </c>
    </row>
    <row r="638" customFormat="false" ht="15" hidden="false" customHeight="false" outlineLevel="0" collapsed="false">
      <c r="A638" s="30"/>
      <c r="C638" s="28"/>
      <c r="D638" s="0" t="str">
        <f aca="false">IF(A638="","",YEAR(A638))</f>
        <v/>
      </c>
      <c r="E638" s="0" t="str">
        <f aca="false">IF(A638="","",MONTH(A638))</f>
        <v/>
      </c>
    </row>
    <row r="639" customFormat="false" ht="15" hidden="false" customHeight="false" outlineLevel="0" collapsed="false">
      <c r="A639" s="30"/>
      <c r="C639" s="28"/>
      <c r="D639" s="0" t="str">
        <f aca="false">IF(A639="","",YEAR(A639))</f>
        <v/>
      </c>
      <c r="E639" s="0" t="str">
        <f aca="false">IF(A639="","",MONTH(A639))</f>
        <v/>
      </c>
    </row>
    <row r="640" customFormat="false" ht="15" hidden="false" customHeight="false" outlineLevel="0" collapsed="false">
      <c r="A640" s="30"/>
      <c r="C640" s="28"/>
      <c r="D640" s="0" t="str">
        <f aca="false">IF(A640="","",YEAR(A640))</f>
        <v/>
      </c>
      <c r="E640" s="0" t="str">
        <f aca="false">IF(A640="","",MONTH(A640))</f>
        <v/>
      </c>
    </row>
    <row r="641" customFormat="false" ht="15" hidden="false" customHeight="false" outlineLevel="0" collapsed="false">
      <c r="A641" s="30"/>
      <c r="C641" s="28"/>
      <c r="D641" s="0" t="str">
        <f aca="false">IF(A641="","",YEAR(A641))</f>
        <v/>
      </c>
      <c r="E641" s="0" t="str">
        <f aca="false">IF(A641="","",MONTH(A641))</f>
        <v/>
      </c>
    </row>
    <row r="642" customFormat="false" ht="15" hidden="false" customHeight="false" outlineLevel="0" collapsed="false">
      <c r="A642" s="30"/>
      <c r="C642" s="28"/>
      <c r="D642" s="0" t="str">
        <f aca="false">IF(A642="","",YEAR(A642))</f>
        <v/>
      </c>
      <c r="E642" s="0" t="str">
        <f aca="false">IF(A642="","",MONTH(A642))</f>
        <v/>
      </c>
    </row>
    <row r="643" customFormat="false" ht="15" hidden="false" customHeight="false" outlineLevel="0" collapsed="false">
      <c r="A643" s="30"/>
      <c r="C643" s="28"/>
      <c r="D643" s="0" t="str">
        <f aca="false">IF(A643="","",YEAR(A643))</f>
        <v/>
      </c>
      <c r="E643" s="0" t="str">
        <f aca="false">IF(A643="","",MONTH(A643))</f>
        <v/>
      </c>
    </row>
    <row r="644" customFormat="false" ht="15" hidden="false" customHeight="false" outlineLevel="0" collapsed="false">
      <c r="A644" s="30"/>
      <c r="C644" s="28"/>
      <c r="D644" s="0" t="str">
        <f aca="false">IF(A644="","",YEAR(A644))</f>
        <v/>
      </c>
      <c r="E644" s="0" t="str">
        <f aca="false">IF(A644="","",MONTH(A644))</f>
        <v/>
      </c>
    </row>
    <row r="645" customFormat="false" ht="15" hidden="false" customHeight="false" outlineLevel="0" collapsed="false">
      <c r="A645" s="30"/>
      <c r="C645" s="28"/>
      <c r="D645" s="0" t="str">
        <f aca="false">IF(A645="","",YEAR(A645))</f>
        <v/>
      </c>
      <c r="E645" s="0" t="str">
        <f aca="false">IF(A645="","",MONTH(A645))</f>
        <v/>
      </c>
    </row>
    <row r="646" customFormat="false" ht="15" hidden="false" customHeight="false" outlineLevel="0" collapsed="false">
      <c r="A646" s="30"/>
      <c r="C646" s="28"/>
      <c r="D646" s="0" t="str">
        <f aca="false">IF(A646="","",YEAR(A646))</f>
        <v/>
      </c>
      <c r="E646" s="0" t="str">
        <f aca="false">IF(A646="","",MONTH(A646))</f>
        <v/>
      </c>
    </row>
    <row r="647" customFormat="false" ht="15" hidden="false" customHeight="false" outlineLevel="0" collapsed="false">
      <c r="A647" s="30"/>
      <c r="C647" s="28"/>
      <c r="D647" s="0" t="str">
        <f aca="false">IF(A647="","",YEAR(A647))</f>
        <v/>
      </c>
      <c r="E647" s="0" t="str">
        <f aca="false">IF(A647="","",MONTH(A647))</f>
        <v/>
      </c>
    </row>
    <row r="648" customFormat="false" ht="15" hidden="false" customHeight="false" outlineLevel="0" collapsed="false">
      <c r="A648" s="30"/>
      <c r="C648" s="28"/>
      <c r="D648" s="0" t="str">
        <f aca="false">IF(A648="","",YEAR(A648))</f>
        <v/>
      </c>
      <c r="E648" s="0" t="str">
        <f aca="false">IF(A648="","",MONTH(A648))</f>
        <v/>
      </c>
    </row>
    <row r="649" customFormat="false" ht="15" hidden="false" customHeight="false" outlineLevel="0" collapsed="false">
      <c r="A649" s="30"/>
      <c r="C649" s="28"/>
      <c r="D649" s="0" t="str">
        <f aca="false">IF(A649="","",YEAR(A649))</f>
        <v/>
      </c>
      <c r="E649" s="0" t="str">
        <f aca="false">IF(A649="","",MONTH(A649))</f>
        <v/>
      </c>
    </row>
    <row r="650" customFormat="false" ht="15" hidden="false" customHeight="false" outlineLevel="0" collapsed="false">
      <c r="A650" s="30"/>
      <c r="C650" s="28"/>
      <c r="D650" s="0" t="str">
        <f aca="false">IF(A650="","",YEAR(A650))</f>
        <v/>
      </c>
      <c r="E650" s="0" t="str">
        <f aca="false">IF(A650="","",MONTH(A650))</f>
        <v/>
      </c>
    </row>
    <row r="651" customFormat="false" ht="15" hidden="false" customHeight="false" outlineLevel="0" collapsed="false">
      <c r="A651" s="30"/>
      <c r="C651" s="28"/>
      <c r="D651" s="0" t="str">
        <f aca="false">IF(A651="","",YEAR(A651))</f>
        <v/>
      </c>
      <c r="E651" s="0" t="str">
        <f aca="false">IF(A651="","",MONTH(A651))</f>
        <v/>
      </c>
    </row>
    <row r="652" customFormat="false" ht="15" hidden="false" customHeight="false" outlineLevel="0" collapsed="false">
      <c r="A652" s="30"/>
      <c r="C652" s="28"/>
      <c r="D652" s="0" t="str">
        <f aca="false">IF(A652="","",YEAR(A652))</f>
        <v/>
      </c>
      <c r="E652" s="0" t="str">
        <f aca="false">IF(A652="","",MONTH(A652))</f>
        <v/>
      </c>
    </row>
    <row r="653" customFormat="false" ht="15" hidden="false" customHeight="false" outlineLevel="0" collapsed="false">
      <c r="A653" s="30"/>
      <c r="C653" s="28"/>
      <c r="D653" s="0" t="str">
        <f aca="false">IF(A653="","",YEAR(A653))</f>
        <v/>
      </c>
      <c r="E653" s="0" t="str">
        <f aca="false">IF(A653="","",MONTH(A653))</f>
        <v/>
      </c>
    </row>
    <row r="654" customFormat="false" ht="15" hidden="false" customHeight="false" outlineLevel="0" collapsed="false">
      <c r="A654" s="30"/>
      <c r="C654" s="28"/>
      <c r="D654" s="0" t="str">
        <f aca="false">IF(A654="","",YEAR(A654))</f>
        <v/>
      </c>
      <c r="E654" s="0" t="str">
        <f aca="false">IF(A654="","",MONTH(A654))</f>
        <v/>
      </c>
    </row>
    <row r="655" customFormat="false" ht="15" hidden="false" customHeight="false" outlineLevel="0" collapsed="false">
      <c r="A655" s="30"/>
      <c r="C655" s="28"/>
      <c r="D655" s="0" t="str">
        <f aca="false">IF(A655="","",YEAR(A655))</f>
        <v/>
      </c>
      <c r="E655" s="0" t="str">
        <f aca="false">IF(A655="","",MONTH(A655))</f>
        <v/>
      </c>
    </row>
    <row r="656" customFormat="false" ht="15" hidden="false" customHeight="false" outlineLevel="0" collapsed="false">
      <c r="A656" s="30"/>
      <c r="C656" s="28"/>
      <c r="D656" s="0" t="str">
        <f aca="false">IF(A656="","",YEAR(A656))</f>
        <v/>
      </c>
      <c r="E656" s="0" t="str">
        <f aca="false">IF(A656="","",MONTH(A656))</f>
        <v/>
      </c>
    </row>
    <row r="657" customFormat="false" ht="15" hidden="false" customHeight="false" outlineLevel="0" collapsed="false">
      <c r="A657" s="30"/>
      <c r="C657" s="28"/>
      <c r="D657" s="0" t="str">
        <f aca="false">IF(A657="","",YEAR(A657))</f>
        <v/>
      </c>
      <c r="E657" s="0" t="str">
        <f aca="false">IF(A657="","",MONTH(A657))</f>
        <v/>
      </c>
    </row>
    <row r="658" customFormat="false" ht="15" hidden="false" customHeight="false" outlineLevel="0" collapsed="false">
      <c r="A658" s="30"/>
      <c r="C658" s="28"/>
      <c r="D658" s="0" t="str">
        <f aca="false">IF(A658="","",YEAR(A658))</f>
        <v/>
      </c>
      <c r="E658" s="0" t="str">
        <f aca="false">IF(A658="","",MONTH(A658))</f>
        <v/>
      </c>
    </row>
    <row r="659" customFormat="false" ht="15" hidden="false" customHeight="false" outlineLevel="0" collapsed="false">
      <c r="A659" s="30"/>
      <c r="C659" s="28"/>
      <c r="D659" s="0" t="str">
        <f aca="false">IF(A659="","",YEAR(A659))</f>
        <v/>
      </c>
      <c r="E659" s="0" t="str">
        <f aca="false">IF(A659="","",MONTH(A659))</f>
        <v/>
      </c>
    </row>
    <row r="660" customFormat="false" ht="15" hidden="false" customHeight="false" outlineLevel="0" collapsed="false">
      <c r="A660" s="30"/>
      <c r="C660" s="28"/>
      <c r="D660" s="0" t="str">
        <f aca="false">IF(A660="","",YEAR(A660))</f>
        <v/>
      </c>
      <c r="E660" s="0" t="str">
        <f aca="false">IF(A660="","",MONTH(A660))</f>
        <v/>
      </c>
    </row>
    <row r="661" customFormat="false" ht="15" hidden="false" customHeight="false" outlineLevel="0" collapsed="false">
      <c r="A661" s="30"/>
      <c r="C661" s="28"/>
      <c r="D661" s="0" t="str">
        <f aca="false">IF(A661="","",YEAR(A661))</f>
        <v/>
      </c>
      <c r="E661" s="0" t="str">
        <f aca="false">IF(A661="","",MONTH(A661))</f>
        <v/>
      </c>
    </row>
    <row r="662" customFormat="false" ht="15" hidden="false" customHeight="false" outlineLevel="0" collapsed="false">
      <c r="A662" s="30"/>
      <c r="C662" s="28"/>
      <c r="D662" s="0" t="str">
        <f aca="false">IF(A662="","",YEAR(A662))</f>
        <v/>
      </c>
      <c r="E662" s="0" t="str">
        <f aca="false">IF(A662="","",MONTH(A662))</f>
        <v/>
      </c>
    </row>
    <row r="663" customFormat="false" ht="15" hidden="false" customHeight="false" outlineLevel="0" collapsed="false">
      <c r="A663" s="30"/>
      <c r="C663" s="28"/>
      <c r="D663" s="0" t="str">
        <f aca="false">IF(A663="","",YEAR(A663))</f>
        <v/>
      </c>
      <c r="E663" s="0" t="str">
        <f aca="false">IF(A663="","",MONTH(A663))</f>
        <v/>
      </c>
    </row>
    <row r="664" customFormat="false" ht="15" hidden="false" customHeight="false" outlineLevel="0" collapsed="false">
      <c r="A664" s="30"/>
      <c r="C664" s="28"/>
      <c r="D664" s="0" t="str">
        <f aca="false">IF(A664="","",YEAR(A664))</f>
        <v/>
      </c>
      <c r="E664" s="0" t="str">
        <f aca="false">IF(A664="","",MONTH(A664))</f>
        <v/>
      </c>
    </row>
    <row r="665" customFormat="false" ht="15" hidden="false" customHeight="false" outlineLevel="0" collapsed="false">
      <c r="A665" s="30"/>
      <c r="C665" s="28"/>
      <c r="D665" s="0" t="str">
        <f aca="false">IF(A665="","",YEAR(A665))</f>
        <v/>
      </c>
      <c r="E665" s="0" t="str">
        <f aca="false">IF(A665="","",MONTH(A665))</f>
        <v/>
      </c>
    </row>
    <row r="666" customFormat="false" ht="15" hidden="false" customHeight="false" outlineLevel="0" collapsed="false">
      <c r="A666" s="30"/>
      <c r="C666" s="28"/>
      <c r="D666" s="0" t="str">
        <f aca="false">IF(A666="","",YEAR(A666))</f>
        <v/>
      </c>
      <c r="E666" s="0" t="str">
        <f aca="false">IF(A666="","",MONTH(A666))</f>
        <v/>
      </c>
    </row>
    <row r="667" customFormat="false" ht="15" hidden="false" customHeight="false" outlineLevel="0" collapsed="false">
      <c r="A667" s="30"/>
      <c r="C667" s="28"/>
      <c r="D667" s="0" t="str">
        <f aca="false">IF(A667="","",YEAR(A667))</f>
        <v/>
      </c>
      <c r="E667" s="0" t="str">
        <f aca="false">IF(A667="","",MONTH(A667))</f>
        <v/>
      </c>
    </row>
    <row r="668" customFormat="false" ht="15" hidden="false" customHeight="false" outlineLevel="0" collapsed="false">
      <c r="A668" s="30"/>
      <c r="C668" s="28"/>
      <c r="D668" s="0" t="str">
        <f aca="false">IF(A668="","",YEAR(A668))</f>
        <v/>
      </c>
      <c r="E668" s="0" t="str">
        <f aca="false">IF(A668="","",MONTH(A668))</f>
        <v/>
      </c>
    </row>
    <row r="669" customFormat="false" ht="15" hidden="false" customHeight="false" outlineLevel="0" collapsed="false">
      <c r="A669" s="30"/>
      <c r="C669" s="28"/>
      <c r="D669" s="0" t="str">
        <f aca="false">IF(A669="","",YEAR(A669))</f>
        <v/>
      </c>
      <c r="E669" s="0" t="str">
        <f aca="false">IF(A669="","",MONTH(A669))</f>
        <v/>
      </c>
    </row>
    <row r="670" customFormat="false" ht="15" hidden="false" customHeight="false" outlineLevel="0" collapsed="false">
      <c r="A670" s="30"/>
      <c r="C670" s="28"/>
      <c r="D670" s="0" t="str">
        <f aca="false">IF(A670="","",YEAR(A670))</f>
        <v/>
      </c>
      <c r="E670" s="0" t="str">
        <f aca="false">IF(A670="","",MONTH(A670))</f>
        <v/>
      </c>
    </row>
    <row r="671" customFormat="false" ht="15" hidden="false" customHeight="false" outlineLevel="0" collapsed="false">
      <c r="A671" s="30"/>
      <c r="C671" s="28"/>
      <c r="D671" s="0" t="str">
        <f aca="false">IF(A671="","",YEAR(A671))</f>
        <v/>
      </c>
      <c r="E671" s="0" t="str">
        <f aca="false">IF(A671="","",MONTH(A671))</f>
        <v/>
      </c>
    </row>
    <row r="672" customFormat="false" ht="15" hidden="false" customHeight="false" outlineLevel="0" collapsed="false">
      <c r="A672" s="30"/>
      <c r="C672" s="28"/>
      <c r="D672" s="0" t="str">
        <f aca="false">IF(A672="","",YEAR(A672))</f>
        <v/>
      </c>
      <c r="E672" s="0" t="str">
        <f aca="false">IF(A672="","",MONTH(A672))</f>
        <v/>
      </c>
    </row>
    <row r="673" customFormat="false" ht="15" hidden="false" customHeight="false" outlineLevel="0" collapsed="false">
      <c r="A673" s="30"/>
      <c r="C673" s="28"/>
      <c r="D673" s="0" t="str">
        <f aca="false">IF(A673="","",YEAR(A673))</f>
        <v/>
      </c>
      <c r="E673" s="0" t="str">
        <f aca="false">IF(A673="","",MONTH(A673))</f>
        <v/>
      </c>
    </row>
    <row r="674" customFormat="false" ht="15" hidden="false" customHeight="false" outlineLevel="0" collapsed="false">
      <c r="A674" s="30"/>
      <c r="C674" s="28"/>
      <c r="D674" s="0" t="str">
        <f aca="false">IF(A674="","",YEAR(A674))</f>
        <v/>
      </c>
      <c r="E674" s="0" t="str">
        <f aca="false">IF(A674="","",MONTH(A674))</f>
        <v/>
      </c>
    </row>
    <row r="675" customFormat="false" ht="15" hidden="false" customHeight="false" outlineLevel="0" collapsed="false">
      <c r="A675" s="30"/>
      <c r="C675" s="28"/>
      <c r="D675" s="0" t="str">
        <f aca="false">IF(A675="","",YEAR(A675))</f>
        <v/>
      </c>
      <c r="E675" s="0" t="str">
        <f aca="false">IF(A675="","",MONTH(A675))</f>
        <v/>
      </c>
    </row>
    <row r="676" customFormat="false" ht="15" hidden="false" customHeight="false" outlineLevel="0" collapsed="false">
      <c r="A676" s="30"/>
      <c r="C676" s="28"/>
      <c r="D676" s="0" t="str">
        <f aca="false">IF(A676="","",YEAR(A676))</f>
        <v/>
      </c>
      <c r="E676" s="0" t="str">
        <f aca="false">IF(A676="","",MONTH(A676))</f>
        <v/>
      </c>
    </row>
    <row r="677" customFormat="false" ht="15" hidden="false" customHeight="false" outlineLevel="0" collapsed="false">
      <c r="A677" s="30"/>
      <c r="C677" s="28"/>
      <c r="D677" s="0" t="str">
        <f aca="false">IF(A677="","",YEAR(A677))</f>
        <v/>
      </c>
      <c r="E677" s="0" t="str">
        <f aca="false">IF(A677="","",MONTH(A677))</f>
        <v/>
      </c>
    </row>
    <row r="678" customFormat="false" ht="15" hidden="false" customHeight="false" outlineLevel="0" collapsed="false">
      <c r="A678" s="30"/>
      <c r="C678" s="28"/>
      <c r="D678" s="0" t="str">
        <f aca="false">IF(A678="","",YEAR(A678))</f>
        <v/>
      </c>
      <c r="E678" s="0" t="str">
        <f aca="false">IF(A678="","",MONTH(A678))</f>
        <v/>
      </c>
    </row>
    <row r="679" customFormat="false" ht="15" hidden="false" customHeight="false" outlineLevel="0" collapsed="false">
      <c r="A679" s="30"/>
      <c r="C679" s="28"/>
      <c r="D679" s="0" t="str">
        <f aca="false">IF(A679="","",YEAR(A679))</f>
        <v/>
      </c>
      <c r="E679" s="0" t="str">
        <f aca="false">IF(A679="","",MONTH(A679))</f>
        <v/>
      </c>
    </row>
    <row r="680" customFormat="false" ht="15" hidden="false" customHeight="false" outlineLevel="0" collapsed="false">
      <c r="A680" s="30"/>
      <c r="C680" s="28"/>
      <c r="D680" s="0" t="str">
        <f aca="false">IF(A680="","",YEAR(A680))</f>
        <v/>
      </c>
      <c r="E680" s="0" t="str">
        <f aca="false">IF(A680="","",MONTH(A680))</f>
        <v/>
      </c>
    </row>
    <row r="681" customFormat="false" ht="15" hidden="false" customHeight="false" outlineLevel="0" collapsed="false">
      <c r="A681" s="30"/>
      <c r="C681" s="28"/>
      <c r="D681" s="0" t="str">
        <f aca="false">IF(A681="","",YEAR(A681))</f>
        <v/>
      </c>
      <c r="E681" s="0" t="str">
        <f aca="false">IF(A681="","",MONTH(A681))</f>
        <v/>
      </c>
    </row>
    <row r="682" customFormat="false" ht="15" hidden="false" customHeight="false" outlineLevel="0" collapsed="false">
      <c r="A682" s="30"/>
      <c r="C682" s="28"/>
      <c r="D682" s="0" t="str">
        <f aca="false">IF(A682="","",YEAR(A682))</f>
        <v/>
      </c>
      <c r="E682" s="0" t="str">
        <f aca="false">IF(A682="","",MONTH(A682))</f>
        <v/>
      </c>
    </row>
    <row r="683" customFormat="false" ht="15" hidden="false" customHeight="false" outlineLevel="0" collapsed="false">
      <c r="A683" s="30"/>
      <c r="C683" s="28"/>
      <c r="D683" s="0" t="str">
        <f aca="false">IF(A683="","",YEAR(A683))</f>
        <v/>
      </c>
      <c r="E683" s="0" t="str">
        <f aca="false">IF(A683="","",MONTH(A683))</f>
        <v/>
      </c>
    </row>
    <row r="684" customFormat="false" ht="15" hidden="false" customHeight="false" outlineLevel="0" collapsed="false">
      <c r="A684" s="30"/>
      <c r="C684" s="28"/>
      <c r="D684" s="0" t="str">
        <f aca="false">IF(A684="","",YEAR(A684))</f>
        <v/>
      </c>
      <c r="E684" s="0" t="str">
        <f aca="false">IF(A684="","",MONTH(A684))</f>
        <v/>
      </c>
    </row>
    <row r="685" customFormat="false" ht="15" hidden="false" customHeight="false" outlineLevel="0" collapsed="false">
      <c r="A685" s="30"/>
      <c r="C685" s="28"/>
      <c r="D685" s="0" t="str">
        <f aca="false">IF(A685="","",YEAR(A685))</f>
        <v/>
      </c>
      <c r="E685" s="0" t="str">
        <f aca="false">IF(A685="","",MONTH(A685))</f>
        <v/>
      </c>
    </row>
    <row r="686" customFormat="false" ht="15" hidden="false" customHeight="false" outlineLevel="0" collapsed="false">
      <c r="A686" s="30"/>
      <c r="C686" s="28"/>
      <c r="D686" s="0" t="str">
        <f aca="false">IF(A686="","",YEAR(A686))</f>
        <v/>
      </c>
      <c r="E686" s="0" t="str">
        <f aca="false">IF(A686="","",MONTH(A686))</f>
        <v/>
      </c>
    </row>
    <row r="687" customFormat="false" ht="15" hidden="false" customHeight="false" outlineLevel="0" collapsed="false">
      <c r="A687" s="30"/>
      <c r="C687" s="28"/>
      <c r="D687" s="0" t="str">
        <f aca="false">IF(A687="","",YEAR(A687))</f>
        <v/>
      </c>
      <c r="E687" s="0" t="str">
        <f aca="false">IF(A687="","",MONTH(A687))</f>
        <v/>
      </c>
    </row>
    <row r="688" customFormat="false" ht="15" hidden="false" customHeight="false" outlineLevel="0" collapsed="false">
      <c r="A688" s="30"/>
      <c r="C688" s="28"/>
      <c r="D688" s="0" t="str">
        <f aca="false">IF(A688="","",YEAR(A688))</f>
        <v/>
      </c>
      <c r="E688" s="0" t="str">
        <f aca="false">IF(A688="","",MONTH(A688))</f>
        <v/>
      </c>
    </row>
    <row r="689" customFormat="false" ht="15" hidden="false" customHeight="false" outlineLevel="0" collapsed="false">
      <c r="A689" s="30"/>
      <c r="C689" s="28"/>
      <c r="D689" s="0" t="str">
        <f aca="false">IF(A689="","",YEAR(A689))</f>
        <v/>
      </c>
      <c r="E689" s="0" t="str">
        <f aca="false">IF(A689="","",MONTH(A689))</f>
        <v/>
      </c>
    </row>
    <row r="690" customFormat="false" ht="15" hidden="false" customHeight="false" outlineLevel="0" collapsed="false">
      <c r="A690" s="30"/>
      <c r="C690" s="28"/>
      <c r="D690" s="0" t="str">
        <f aca="false">IF(A690="","",YEAR(A690))</f>
        <v/>
      </c>
      <c r="E690" s="0" t="str">
        <f aca="false">IF(A690="","",MONTH(A690))</f>
        <v/>
      </c>
    </row>
    <row r="691" customFormat="false" ht="15" hidden="false" customHeight="false" outlineLevel="0" collapsed="false">
      <c r="A691" s="30"/>
      <c r="C691" s="28"/>
      <c r="D691" s="0" t="str">
        <f aca="false">IF(A691="","",YEAR(A691))</f>
        <v/>
      </c>
      <c r="E691" s="0" t="str">
        <f aca="false">IF(A691="","",MONTH(A691))</f>
        <v/>
      </c>
    </row>
    <row r="692" customFormat="false" ht="15" hidden="false" customHeight="false" outlineLevel="0" collapsed="false">
      <c r="A692" s="30"/>
      <c r="C692" s="28"/>
      <c r="D692" s="0" t="str">
        <f aca="false">IF(A692="","",YEAR(A692))</f>
        <v/>
      </c>
      <c r="E692" s="0" t="str">
        <f aca="false">IF(A692="","",MONTH(A692))</f>
        <v/>
      </c>
    </row>
    <row r="693" customFormat="false" ht="15" hidden="false" customHeight="false" outlineLevel="0" collapsed="false">
      <c r="A693" s="30"/>
      <c r="C693" s="28"/>
      <c r="D693" s="0" t="str">
        <f aca="false">IF(A693="","",YEAR(A693))</f>
        <v/>
      </c>
      <c r="E693" s="0" t="str">
        <f aca="false">IF(A693="","",MONTH(A693))</f>
        <v/>
      </c>
    </row>
    <row r="694" customFormat="false" ht="15" hidden="false" customHeight="false" outlineLevel="0" collapsed="false">
      <c r="A694" s="30"/>
      <c r="C694" s="28"/>
      <c r="D694" s="0" t="str">
        <f aca="false">IF(A694="","",YEAR(A694))</f>
        <v/>
      </c>
      <c r="E694" s="0" t="str">
        <f aca="false">IF(A694="","",MONTH(A694))</f>
        <v/>
      </c>
    </row>
    <row r="695" customFormat="false" ht="15" hidden="false" customHeight="false" outlineLevel="0" collapsed="false">
      <c r="A695" s="30"/>
      <c r="C695" s="28"/>
      <c r="D695" s="0" t="str">
        <f aca="false">IF(A695="","",YEAR(A695))</f>
        <v/>
      </c>
      <c r="E695" s="0" t="str">
        <f aca="false">IF(A695="","",MONTH(A695))</f>
        <v/>
      </c>
    </row>
    <row r="696" customFormat="false" ht="15" hidden="false" customHeight="false" outlineLevel="0" collapsed="false">
      <c r="A696" s="30"/>
      <c r="C696" s="28"/>
      <c r="D696" s="0" t="str">
        <f aca="false">IF(A696="","",YEAR(A696))</f>
        <v/>
      </c>
      <c r="E696" s="0" t="str">
        <f aca="false">IF(A696="","",MONTH(A696))</f>
        <v/>
      </c>
    </row>
    <row r="697" customFormat="false" ht="15" hidden="false" customHeight="false" outlineLevel="0" collapsed="false">
      <c r="A697" s="30"/>
      <c r="C697" s="28"/>
      <c r="D697" s="0" t="str">
        <f aca="false">IF(A697="","",YEAR(A697))</f>
        <v/>
      </c>
      <c r="E697" s="0" t="str">
        <f aca="false">IF(A697="","",MONTH(A697))</f>
        <v/>
      </c>
    </row>
    <row r="698" customFormat="false" ht="15" hidden="false" customHeight="false" outlineLevel="0" collapsed="false">
      <c r="A698" s="30"/>
      <c r="C698" s="28"/>
      <c r="D698" s="0" t="str">
        <f aca="false">IF(A698="","",YEAR(A698))</f>
        <v/>
      </c>
      <c r="E698" s="0" t="str">
        <f aca="false">IF(A698="","",MONTH(A698))</f>
        <v/>
      </c>
    </row>
    <row r="699" customFormat="false" ht="15" hidden="false" customHeight="false" outlineLevel="0" collapsed="false">
      <c r="A699" s="30"/>
      <c r="C699" s="28"/>
      <c r="D699" s="0" t="str">
        <f aca="false">IF(A699="","",YEAR(A699))</f>
        <v/>
      </c>
      <c r="E699" s="0" t="str">
        <f aca="false">IF(A699="","",MONTH(A699))</f>
        <v/>
      </c>
    </row>
    <row r="700" customFormat="false" ht="15" hidden="false" customHeight="false" outlineLevel="0" collapsed="false">
      <c r="A700" s="30"/>
      <c r="C700" s="28"/>
      <c r="D700" s="0" t="str">
        <f aca="false">IF(A700="","",YEAR(A700))</f>
        <v/>
      </c>
      <c r="E700" s="0" t="str">
        <f aca="false">IF(A700="","",MONTH(A700))</f>
        <v/>
      </c>
    </row>
    <row r="701" customFormat="false" ht="15" hidden="false" customHeight="false" outlineLevel="0" collapsed="false">
      <c r="A701" s="30"/>
      <c r="C701" s="28"/>
      <c r="D701" s="0" t="str">
        <f aca="false">IF(A701="","",YEAR(A701))</f>
        <v/>
      </c>
      <c r="E701" s="0" t="str">
        <f aca="false">IF(A701="","",MONTH(A701))</f>
        <v/>
      </c>
    </row>
    <row r="702" customFormat="false" ht="15" hidden="false" customHeight="false" outlineLevel="0" collapsed="false">
      <c r="A702" s="30"/>
      <c r="C702" s="28"/>
      <c r="D702" s="0" t="str">
        <f aca="false">IF(A702="","",YEAR(A702))</f>
        <v/>
      </c>
      <c r="E702" s="0" t="str">
        <f aca="false">IF(A702="","",MONTH(A702))</f>
        <v/>
      </c>
    </row>
    <row r="703" customFormat="false" ht="15" hidden="false" customHeight="false" outlineLevel="0" collapsed="false">
      <c r="A703" s="30"/>
      <c r="C703" s="28"/>
      <c r="D703" s="0" t="str">
        <f aca="false">IF(A703="","",YEAR(A703))</f>
        <v/>
      </c>
      <c r="E703" s="0" t="str">
        <f aca="false">IF(A703="","",MONTH(A703))</f>
        <v/>
      </c>
    </row>
    <row r="704" customFormat="false" ht="15" hidden="false" customHeight="false" outlineLevel="0" collapsed="false">
      <c r="A704" s="30"/>
      <c r="C704" s="28"/>
      <c r="D704" s="0" t="str">
        <f aca="false">IF(A704="","",YEAR(A704))</f>
        <v/>
      </c>
      <c r="E704" s="0" t="str">
        <f aca="false">IF(A704="","",MONTH(A704))</f>
        <v/>
      </c>
    </row>
    <row r="705" customFormat="false" ht="15" hidden="false" customHeight="false" outlineLevel="0" collapsed="false">
      <c r="A705" s="30"/>
      <c r="C705" s="28"/>
      <c r="D705" s="0" t="str">
        <f aca="false">IF(A705="","",YEAR(A705))</f>
        <v/>
      </c>
      <c r="E705" s="0" t="str">
        <f aca="false">IF(A705="","",MONTH(A705))</f>
        <v/>
      </c>
    </row>
    <row r="706" customFormat="false" ht="15" hidden="false" customHeight="false" outlineLevel="0" collapsed="false">
      <c r="A706" s="30"/>
      <c r="C706" s="28"/>
      <c r="D706" s="0" t="str">
        <f aca="false">IF(A706="","",YEAR(A706))</f>
        <v/>
      </c>
      <c r="E706" s="0" t="str">
        <f aca="false">IF(A706="","",MONTH(A706))</f>
        <v/>
      </c>
    </row>
    <row r="707" customFormat="false" ht="15" hidden="false" customHeight="false" outlineLevel="0" collapsed="false">
      <c r="A707" s="30"/>
      <c r="C707" s="28"/>
      <c r="D707" s="0" t="str">
        <f aca="false">IF(A707="","",YEAR(A707))</f>
        <v/>
      </c>
      <c r="E707" s="0" t="str">
        <f aca="false">IF(A707="","",MONTH(A707))</f>
        <v/>
      </c>
    </row>
    <row r="708" customFormat="false" ht="15" hidden="false" customHeight="false" outlineLevel="0" collapsed="false">
      <c r="A708" s="30"/>
      <c r="C708" s="28"/>
      <c r="D708" s="0" t="str">
        <f aca="false">IF(A708="","",YEAR(A708))</f>
        <v/>
      </c>
      <c r="E708" s="0" t="str">
        <f aca="false">IF(A708="","",MONTH(A708))</f>
        <v/>
      </c>
    </row>
    <row r="709" customFormat="false" ht="15" hidden="false" customHeight="false" outlineLevel="0" collapsed="false">
      <c r="A709" s="30"/>
      <c r="C709" s="28"/>
      <c r="D709" s="0" t="str">
        <f aca="false">IF(A709="","",YEAR(A709))</f>
        <v/>
      </c>
      <c r="E709" s="0" t="str">
        <f aca="false">IF(A709="","",MONTH(A709))</f>
        <v/>
      </c>
    </row>
    <row r="710" customFormat="false" ht="15" hidden="false" customHeight="false" outlineLevel="0" collapsed="false">
      <c r="A710" s="30"/>
      <c r="C710" s="28"/>
      <c r="D710" s="0" t="str">
        <f aca="false">IF(A710="","",YEAR(A710))</f>
        <v/>
      </c>
      <c r="E710" s="0" t="str">
        <f aca="false">IF(A710="","",MONTH(A710))</f>
        <v/>
      </c>
    </row>
    <row r="711" customFormat="false" ht="15" hidden="false" customHeight="false" outlineLevel="0" collapsed="false">
      <c r="A711" s="30"/>
      <c r="C711" s="28"/>
      <c r="D711" s="0" t="str">
        <f aca="false">IF(A711="","",YEAR(A711))</f>
        <v/>
      </c>
      <c r="E711" s="0" t="str">
        <f aca="false">IF(A711="","",MONTH(A711))</f>
        <v/>
      </c>
    </row>
    <row r="712" customFormat="false" ht="15" hidden="false" customHeight="false" outlineLevel="0" collapsed="false">
      <c r="A712" s="30"/>
      <c r="C712" s="28"/>
      <c r="D712" s="0" t="str">
        <f aca="false">IF(A712="","",YEAR(A712))</f>
        <v/>
      </c>
      <c r="E712" s="0" t="str">
        <f aca="false">IF(A712="","",MONTH(A712))</f>
        <v/>
      </c>
    </row>
    <row r="713" customFormat="false" ht="15" hidden="false" customHeight="false" outlineLevel="0" collapsed="false">
      <c r="A713" s="30"/>
      <c r="C713" s="28"/>
      <c r="D713" s="0" t="str">
        <f aca="false">IF(A713="","",YEAR(A713))</f>
        <v/>
      </c>
      <c r="E713" s="0" t="str">
        <f aca="false">IF(A713="","",MONTH(A713))</f>
        <v/>
      </c>
    </row>
    <row r="714" customFormat="false" ht="15" hidden="false" customHeight="false" outlineLevel="0" collapsed="false">
      <c r="A714" s="30"/>
      <c r="C714" s="28"/>
      <c r="D714" s="0" t="str">
        <f aca="false">IF(A714="","",YEAR(A714))</f>
        <v/>
      </c>
      <c r="E714" s="0" t="str">
        <f aca="false">IF(A714="","",MONTH(A714))</f>
        <v/>
      </c>
    </row>
    <row r="715" customFormat="false" ht="15" hidden="false" customHeight="false" outlineLevel="0" collapsed="false">
      <c r="A715" s="30"/>
      <c r="C715" s="28"/>
      <c r="D715" s="0" t="str">
        <f aca="false">IF(A715="","",YEAR(A715))</f>
        <v/>
      </c>
      <c r="E715" s="0" t="str">
        <f aca="false">IF(A715="","",MONTH(A715))</f>
        <v/>
      </c>
    </row>
    <row r="716" customFormat="false" ht="15" hidden="false" customHeight="false" outlineLevel="0" collapsed="false">
      <c r="A716" s="30"/>
      <c r="C716" s="28"/>
      <c r="D716" s="0" t="str">
        <f aca="false">IF(A716="","",YEAR(A716))</f>
        <v/>
      </c>
      <c r="E716" s="0" t="str">
        <f aca="false">IF(A716="","",MONTH(A716))</f>
        <v/>
      </c>
    </row>
    <row r="717" customFormat="false" ht="15" hidden="false" customHeight="false" outlineLevel="0" collapsed="false">
      <c r="A717" s="30"/>
      <c r="C717" s="28"/>
      <c r="D717" s="0" t="str">
        <f aca="false">IF(A717="","",YEAR(A717))</f>
        <v/>
      </c>
      <c r="E717" s="0" t="str">
        <f aca="false">IF(A717="","",MONTH(A717))</f>
        <v/>
      </c>
    </row>
    <row r="718" customFormat="false" ht="15" hidden="false" customHeight="false" outlineLevel="0" collapsed="false">
      <c r="A718" s="30"/>
      <c r="C718" s="28"/>
      <c r="D718" s="0" t="str">
        <f aca="false">IF(A718="","",YEAR(A718))</f>
        <v/>
      </c>
      <c r="E718" s="0" t="str">
        <f aca="false">IF(A718="","",MONTH(A718))</f>
        <v/>
      </c>
    </row>
    <row r="719" customFormat="false" ht="15" hidden="false" customHeight="false" outlineLevel="0" collapsed="false">
      <c r="A719" s="30"/>
      <c r="C719" s="28"/>
      <c r="D719" s="0" t="str">
        <f aca="false">IF(A719="","",YEAR(A719))</f>
        <v/>
      </c>
      <c r="E719" s="0" t="str">
        <f aca="false">IF(A719="","",MONTH(A719))</f>
        <v/>
      </c>
    </row>
    <row r="720" customFormat="false" ht="15" hidden="false" customHeight="false" outlineLevel="0" collapsed="false">
      <c r="A720" s="30"/>
      <c r="C720" s="28"/>
      <c r="D720" s="0" t="str">
        <f aca="false">IF(A720="","",YEAR(A720))</f>
        <v/>
      </c>
      <c r="E720" s="0" t="str">
        <f aca="false">IF(A720="","",MONTH(A720))</f>
        <v/>
      </c>
    </row>
    <row r="721" customFormat="false" ht="15" hidden="false" customHeight="false" outlineLevel="0" collapsed="false">
      <c r="A721" s="30"/>
      <c r="C721" s="28"/>
      <c r="D721" s="0" t="str">
        <f aca="false">IF(A721="","",YEAR(A721))</f>
        <v/>
      </c>
      <c r="E721" s="0" t="str">
        <f aca="false">IF(A721="","",MONTH(A721))</f>
        <v/>
      </c>
    </row>
    <row r="722" customFormat="false" ht="15" hidden="false" customHeight="false" outlineLevel="0" collapsed="false">
      <c r="A722" s="30"/>
      <c r="C722" s="28"/>
      <c r="D722" s="0" t="str">
        <f aca="false">IF(A722="","",YEAR(A722))</f>
        <v/>
      </c>
      <c r="E722" s="0" t="str">
        <f aca="false">IF(A722="","",MONTH(A722))</f>
        <v/>
      </c>
    </row>
    <row r="723" customFormat="false" ht="15" hidden="false" customHeight="false" outlineLevel="0" collapsed="false">
      <c r="A723" s="30"/>
      <c r="C723" s="28"/>
      <c r="D723" s="0" t="str">
        <f aca="false">IF(A723="","",YEAR(A723))</f>
        <v/>
      </c>
      <c r="E723" s="0" t="str">
        <f aca="false">IF(A723="","",MONTH(A723))</f>
        <v/>
      </c>
    </row>
    <row r="724" customFormat="false" ht="15" hidden="false" customHeight="false" outlineLevel="0" collapsed="false">
      <c r="A724" s="30"/>
      <c r="C724" s="28"/>
      <c r="D724" s="0" t="str">
        <f aca="false">IF(A724="","",YEAR(A724))</f>
        <v/>
      </c>
      <c r="E724" s="0" t="str">
        <f aca="false">IF(A724="","",MONTH(A724))</f>
        <v/>
      </c>
    </row>
    <row r="725" customFormat="false" ht="15" hidden="false" customHeight="false" outlineLevel="0" collapsed="false">
      <c r="A725" s="30"/>
      <c r="C725" s="28"/>
      <c r="D725" s="0" t="str">
        <f aca="false">IF(A725="","",YEAR(A725))</f>
        <v/>
      </c>
      <c r="E725" s="0" t="str">
        <f aca="false">IF(A725="","",MONTH(A725))</f>
        <v/>
      </c>
    </row>
    <row r="726" customFormat="false" ht="15" hidden="false" customHeight="false" outlineLevel="0" collapsed="false">
      <c r="A726" s="30"/>
      <c r="C726" s="28"/>
      <c r="D726" s="0" t="str">
        <f aca="false">IF(A726="","",YEAR(A726))</f>
        <v/>
      </c>
      <c r="E726" s="0" t="str">
        <f aca="false">IF(A726="","",MONTH(A726))</f>
        <v/>
      </c>
    </row>
    <row r="727" customFormat="false" ht="15" hidden="false" customHeight="false" outlineLevel="0" collapsed="false">
      <c r="A727" s="30"/>
      <c r="C727" s="28"/>
      <c r="D727" s="0" t="str">
        <f aca="false">IF(A727="","",YEAR(A727))</f>
        <v/>
      </c>
      <c r="E727" s="0" t="str">
        <f aca="false">IF(A727="","",MONTH(A727))</f>
        <v/>
      </c>
    </row>
    <row r="728" customFormat="false" ht="15" hidden="false" customHeight="false" outlineLevel="0" collapsed="false">
      <c r="A728" s="30"/>
      <c r="C728" s="28"/>
      <c r="D728" s="0" t="str">
        <f aca="false">IF(A728="","",YEAR(A728))</f>
        <v/>
      </c>
      <c r="E728" s="0" t="str">
        <f aca="false">IF(A728="","",MONTH(A728))</f>
        <v/>
      </c>
    </row>
    <row r="729" customFormat="false" ht="15" hidden="false" customHeight="false" outlineLevel="0" collapsed="false">
      <c r="A729" s="30"/>
      <c r="C729" s="28"/>
      <c r="D729" s="0" t="str">
        <f aca="false">IF(A729="","",YEAR(A729))</f>
        <v/>
      </c>
      <c r="E729" s="0" t="str">
        <f aca="false">IF(A729="","",MONTH(A729))</f>
        <v/>
      </c>
    </row>
    <row r="730" customFormat="false" ht="15" hidden="false" customHeight="false" outlineLevel="0" collapsed="false">
      <c r="A730" s="30"/>
      <c r="C730" s="28"/>
      <c r="D730" s="0" t="str">
        <f aca="false">IF(A730="","",YEAR(A730))</f>
        <v/>
      </c>
      <c r="E730" s="0" t="str">
        <f aca="false">IF(A730="","",MONTH(A730))</f>
        <v/>
      </c>
    </row>
    <row r="731" customFormat="false" ht="15" hidden="false" customHeight="false" outlineLevel="0" collapsed="false">
      <c r="A731" s="30"/>
      <c r="C731" s="28"/>
      <c r="D731" s="0" t="str">
        <f aca="false">IF(A731="","",YEAR(A731))</f>
        <v/>
      </c>
      <c r="E731" s="0" t="str">
        <f aca="false">IF(A731="","",MONTH(A731))</f>
        <v/>
      </c>
    </row>
    <row r="732" customFormat="false" ht="15" hidden="false" customHeight="false" outlineLevel="0" collapsed="false">
      <c r="A732" s="30"/>
      <c r="C732" s="28"/>
      <c r="D732" s="0" t="str">
        <f aca="false">IF(A732="","",YEAR(A732))</f>
        <v/>
      </c>
      <c r="E732" s="0" t="str">
        <f aca="false">IF(A732="","",MONTH(A732))</f>
        <v/>
      </c>
    </row>
    <row r="733" customFormat="false" ht="15" hidden="false" customHeight="false" outlineLevel="0" collapsed="false">
      <c r="A733" s="30"/>
      <c r="C733" s="28"/>
      <c r="D733" s="0" t="str">
        <f aca="false">IF(A733="","",YEAR(A733))</f>
        <v/>
      </c>
      <c r="E733" s="0" t="str">
        <f aca="false">IF(A733="","",MONTH(A733))</f>
        <v/>
      </c>
    </row>
    <row r="734" customFormat="false" ht="15" hidden="false" customHeight="false" outlineLevel="0" collapsed="false">
      <c r="A734" s="30"/>
      <c r="C734" s="28"/>
      <c r="D734" s="0" t="str">
        <f aca="false">IF(A734="","",YEAR(A734))</f>
        <v/>
      </c>
      <c r="E734" s="0" t="str">
        <f aca="false">IF(A734="","",MONTH(A734))</f>
        <v/>
      </c>
    </row>
    <row r="735" customFormat="false" ht="15" hidden="false" customHeight="false" outlineLevel="0" collapsed="false">
      <c r="A735" s="30"/>
      <c r="C735" s="28"/>
      <c r="D735" s="0" t="str">
        <f aca="false">IF(A735="","",YEAR(A735))</f>
        <v/>
      </c>
      <c r="E735" s="0" t="str">
        <f aca="false">IF(A735="","",MONTH(A735))</f>
        <v/>
      </c>
    </row>
    <row r="736" customFormat="false" ht="15" hidden="false" customHeight="false" outlineLevel="0" collapsed="false">
      <c r="A736" s="30"/>
      <c r="C736" s="28"/>
      <c r="D736" s="0" t="str">
        <f aca="false">IF(A736="","",YEAR(A736))</f>
        <v/>
      </c>
      <c r="E736" s="0" t="str">
        <f aca="false">IF(A736="","",MONTH(A736))</f>
        <v/>
      </c>
    </row>
    <row r="737" customFormat="false" ht="15" hidden="false" customHeight="false" outlineLevel="0" collapsed="false">
      <c r="A737" s="30"/>
      <c r="C737" s="28"/>
      <c r="D737" s="0" t="str">
        <f aca="false">IF(A737="","",YEAR(A737))</f>
        <v/>
      </c>
      <c r="E737" s="0" t="str">
        <f aca="false">IF(A737="","",MONTH(A737))</f>
        <v/>
      </c>
    </row>
    <row r="738" customFormat="false" ht="15" hidden="false" customHeight="false" outlineLevel="0" collapsed="false">
      <c r="A738" s="30"/>
      <c r="C738" s="28"/>
      <c r="D738" s="0" t="str">
        <f aca="false">IF(A738="","",YEAR(A738))</f>
        <v/>
      </c>
      <c r="E738" s="0" t="str">
        <f aca="false">IF(A738="","",MONTH(A738))</f>
        <v/>
      </c>
    </row>
    <row r="739" customFormat="false" ht="15" hidden="false" customHeight="false" outlineLevel="0" collapsed="false">
      <c r="A739" s="30"/>
      <c r="C739" s="28"/>
      <c r="D739" s="0" t="str">
        <f aca="false">IF(A739="","",YEAR(A739))</f>
        <v/>
      </c>
      <c r="E739" s="0" t="str">
        <f aca="false">IF(A739="","",MONTH(A739))</f>
        <v/>
      </c>
    </row>
    <row r="740" customFormat="false" ht="15" hidden="false" customHeight="false" outlineLevel="0" collapsed="false">
      <c r="A740" s="30"/>
      <c r="C740" s="28"/>
      <c r="D740" s="0" t="str">
        <f aca="false">IF(A740="","",YEAR(A740))</f>
        <v/>
      </c>
      <c r="E740" s="0" t="str">
        <f aca="false">IF(A740="","",MONTH(A740))</f>
        <v/>
      </c>
    </row>
    <row r="741" customFormat="false" ht="15" hidden="false" customHeight="false" outlineLevel="0" collapsed="false">
      <c r="A741" s="30"/>
      <c r="C741" s="28"/>
      <c r="D741" s="0" t="str">
        <f aca="false">IF(A741="","",YEAR(A741))</f>
        <v/>
      </c>
      <c r="E741" s="0" t="str">
        <f aca="false">IF(A741="","",MONTH(A741))</f>
        <v/>
      </c>
    </row>
    <row r="742" customFormat="false" ht="15" hidden="false" customHeight="false" outlineLevel="0" collapsed="false">
      <c r="A742" s="30"/>
      <c r="C742" s="28"/>
      <c r="D742" s="0" t="str">
        <f aca="false">IF(A742="","",YEAR(A742))</f>
        <v/>
      </c>
      <c r="E742" s="0" t="str">
        <f aca="false">IF(A742="","",MONTH(A742))</f>
        <v/>
      </c>
    </row>
    <row r="743" customFormat="false" ht="15" hidden="false" customHeight="false" outlineLevel="0" collapsed="false">
      <c r="A743" s="30"/>
      <c r="C743" s="28"/>
      <c r="D743" s="0" t="str">
        <f aca="false">IF(A743="","",YEAR(A743))</f>
        <v/>
      </c>
      <c r="E743" s="0" t="str">
        <f aca="false">IF(A743="","",MONTH(A743))</f>
        <v/>
      </c>
    </row>
    <row r="744" customFormat="false" ht="15" hidden="false" customHeight="false" outlineLevel="0" collapsed="false">
      <c r="A744" s="30"/>
      <c r="C744" s="28"/>
      <c r="D744" s="0" t="str">
        <f aca="false">IF(A744="","",YEAR(A744))</f>
        <v/>
      </c>
      <c r="E744" s="0" t="str">
        <f aca="false">IF(A744="","",MONTH(A744))</f>
        <v/>
      </c>
    </row>
    <row r="745" customFormat="false" ht="15" hidden="false" customHeight="false" outlineLevel="0" collapsed="false">
      <c r="A745" s="30"/>
      <c r="C745" s="28"/>
      <c r="D745" s="0" t="str">
        <f aca="false">IF(A745="","",YEAR(A745))</f>
        <v/>
      </c>
      <c r="E745" s="0" t="str">
        <f aca="false">IF(A745="","",MONTH(A745))</f>
        <v/>
      </c>
    </row>
    <row r="746" customFormat="false" ht="15" hidden="false" customHeight="false" outlineLevel="0" collapsed="false">
      <c r="A746" s="30"/>
      <c r="C746" s="28"/>
      <c r="D746" s="0" t="str">
        <f aca="false">IF(A746="","",YEAR(A746))</f>
        <v/>
      </c>
      <c r="E746" s="0" t="str">
        <f aca="false">IF(A746="","",MONTH(A746))</f>
        <v/>
      </c>
    </row>
    <row r="747" customFormat="false" ht="15" hidden="false" customHeight="false" outlineLevel="0" collapsed="false">
      <c r="A747" s="30"/>
      <c r="C747" s="28"/>
      <c r="D747" s="0" t="str">
        <f aca="false">IF(A747="","",YEAR(A747))</f>
        <v/>
      </c>
      <c r="E747" s="0" t="str">
        <f aca="false">IF(A747="","",MONTH(A747))</f>
        <v/>
      </c>
    </row>
    <row r="748" customFormat="false" ht="15" hidden="false" customHeight="false" outlineLevel="0" collapsed="false">
      <c r="A748" s="30"/>
      <c r="C748" s="28"/>
      <c r="D748" s="0" t="str">
        <f aca="false">IF(A748="","",YEAR(A748))</f>
        <v/>
      </c>
      <c r="E748" s="0" t="str">
        <f aca="false">IF(A748="","",MONTH(A748))</f>
        <v/>
      </c>
    </row>
    <row r="749" customFormat="false" ht="15" hidden="false" customHeight="false" outlineLevel="0" collapsed="false">
      <c r="A749" s="30"/>
      <c r="C749" s="28"/>
      <c r="D749" s="0" t="str">
        <f aca="false">IF(A749="","",YEAR(A749))</f>
        <v/>
      </c>
      <c r="E749" s="0" t="str">
        <f aca="false">IF(A749="","",MONTH(A749))</f>
        <v/>
      </c>
    </row>
    <row r="750" customFormat="false" ht="15" hidden="false" customHeight="false" outlineLevel="0" collapsed="false">
      <c r="A750" s="30"/>
      <c r="C750" s="28"/>
      <c r="D750" s="0" t="str">
        <f aca="false">IF(A750="","",YEAR(A750))</f>
        <v/>
      </c>
      <c r="E750" s="0" t="str">
        <f aca="false">IF(A750="","",MONTH(A750))</f>
        <v/>
      </c>
    </row>
    <row r="751" customFormat="false" ht="15" hidden="false" customHeight="false" outlineLevel="0" collapsed="false">
      <c r="A751" s="30"/>
      <c r="C751" s="28"/>
      <c r="D751" s="0" t="str">
        <f aca="false">IF(A751="","",YEAR(A751))</f>
        <v/>
      </c>
      <c r="E751" s="0" t="str">
        <f aca="false">IF(A751="","",MONTH(A751))</f>
        <v/>
      </c>
    </row>
    <row r="752" customFormat="false" ht="15" hidden="false" customHeight="false" outlineLevel="0" collapsed="false">
      <c r="A752" s="30"/>
      <c r="C752" s="28"/>
      <c r="D752" s="0" t="str">
        <f aca="false">IF(A752="","",YEAR(A752))</f>
        <v/>
      </c>
      <c r="E752" s="0" t="str">
        <f aca="false">IF(A752="","",MONTH(A752))</f>
        <v/>
      </c>
    </row>
    <row r="753" customFormat="false" ht="15" hidden="false" customHeight="false" outlineLevel="0" collapsed="false">
      <c r="A753" s="30"/>
      <c r="C753" s="28"/>
      <c r="D753" s="0" t="str">
        <f aca="false">IF(A753="","",YEAR(A753))</f>
        <v/>
      </c>
      <c r="E753" s="0" t="str">
        <f aca="false">IF(A753="","",MONTH(A753))</f>
        <v/>
      </c>
    </row>
    <row r="754" customFormat="false" ht="15" hidden="false" customHeight="false" outlineLevel="0" collapsed="false">
      <c r="A754" s="30"/>
      <c r="C754" s="28"/>
      <c r="D754" s="0" t="str">
        <f aca="false">IF(A754="","",YEAR(A754))</f>
        <v/>
      </c>
      <c r="E754" s="0" t="str">
        <f aca="false">IF(A754="","",MONTH(A754))</f>
        <v/>
      </c>
    </row>
    <row r="755" customFormat="false" ht="15" hidden="false" customHeight="false" outlineLevel="0" collapsed="false">
      <c r="A755" s="30"/>
      <c r="C755" s="28"/>
      <c r="D755" s="0" t="str">
        <f aca="false">IF(A755="","",YEAR(A755))</f>
        <v/>
      </c>
      <c r="E755" s="0" t="str">
        <f aca="false">IF(A755="","",MONTH(A755))</f>
        <v/>
      </c>
    </row>
    <row r="756" customFormat="false" ht="15" hidden="false" customHeight="false" outlineLevel="0" collapsed="false">
      <c r="A756" s="30"/>
      <c r="C756" s="28"/>
      <c r="D756" s="0" t="str">
        <f aca="false">IF(A756="","",YEAR(A756))</f>
        <v/>
      </c>
      <c r="E756" s="0" t="str">
        <f aca="false">IF(A756="","",MONTH(A756))</f>
        <v/>
      </c>
    </row>
    <row r="757" customFormat="false" ht="15" hidden="false" customHeight="false" outlineLevel="0" collapsed="false">
      <c r="A757" s="30"/>
      <c r="C757" s="28"/>
      <c r="D757" s="0" t="str">
        <f aca="false">IF(A757="","",YEAR(A757))</f>
        <v/>
      </c>
      <c r="E757" s="0" t="str">
        <f aca="false">IF(A757="","",MONTH(A757))</f>
        <v/>
      </c>
    </row>
    <row r="758" customFormat="false" ht="15" hidden="false" customHeight="false" outlineLevel="0" collapsed="false">
      <c r="A758" s="30"/>
      <c r="C758" s="28"/>
      <c r="D758" s="0" t="str">
        <f aca="false">IF(A758="","",YEAR(A758))</f>
        <v/>
      </c>
      <c r="E758" s="0" t="str">
        <f aca="false">IF(A758="","",MONTH(A758))</f>
        <v/>
      </c>
    </row>
    <row r="759" customFormat="false" ht="15" hidden="false" customHeight="false" outlineLevel="0" collapsed="false">
      <c r="A759" s="30"/>
      <c r="C759" s="28"/>
      <c r="D759" s="0" t="str">
        <f aca="false">IF(A759="","",YEAR(A759))</f>
        <v/>
      </c>
      <c r="E759" s="0" t="str">
        <f aca="false">IF(A759="","",MONTH(A759))</f>
        <v/>
      </c>
    </row>
    <row r="760" customFormat="false" ht="15" hidden="false" customHeight="false" outlineLevel="0" collapsed="false">
      <c r="A760" s="30"/>
      <c r="C760" s="28"/>
      <c r="D760" s="0" t="str">
        <f aca="false">IF(A760="","",YEAR(A760))</f>
        <v/>
      </c>
      <c r="E760" s="0" t="str">
        <f aca="false">IF(A760="","",MONTH(A760))</f>
        <v/>
      </c>
    </row>
    <row r="761" customFormat="false" ht="15" hidden="false" customHeight="false" outlineLevel="0" collapsed="false">
      <c r="A761" s="30"/>
      <c r="C761" s="28"/>
      <c r="D761" s="0" t="str">
        <f aca="false">IF(A761="","",YEAR(A761))</f>
        <v/>
      </c>
      <c r="E761" s="0" t="str">
        <f aca="false">IF(A761="","",MONTH(A761))</f>
        <v/>
      </c>
    </row>
    <row r="762" customFormat="false" ht="15" hidden="false" customHeight="false" outlineLevel="0" collapsed="false">
      <c r="A762" s="30"/>
      <c r="C762" s="28"/>
      <c r="D762" s="0" t="str">
        <f aca="false">IF(A762="","",YEAR(A762))</f>
        <v/>
      </c>
      <c r="E762" s="0" t="str">
        <f aca="false">IF(A762="","",MONTH(A762))</f>
        <v/>
      </c>
    </row>
    <row r="763" customFormat="false" ht="15" hidden="false" customHeight="false" outlineLevel="0" collapsed="false">
      <c r="A763" s="30"/>
      <c r="C763" s="28"/>
      <c r="D763" s="0" t="str">
        <f aca="false">IF(A763="","",YEAR(A763))</f>
        <v/>
      </c>
      <c r="E763" s="0" t="str">
        <f aca="false">IF(A763="","",MONTH(A763))</f>
        <v/>
      </c>
    </row>
    <row r="764" customFormat="false" ht="15" hidden="false" customHeight="false" outlineLevel="0" collapsed="false">
      <c r="A764" s="30"/>
      <c r="C764" s="28"/>
      <c r="D764" s="0" t="str">
        <f aca="false">IF(A764="","",YEAR(A764))</f>
        <v/>
      </c>
      <c r="E764" s="0" t="str">
        <f aca="false">IF(A764="","",MONTH(A764))</f>
        <v/>
      </c>
    </row>
    <row r="765" customFormat="false" ht="15" hidden="false" customHeight="false" outlineLevel="0" collapsed="false">
      <c r="A765" s="30"/>
      <c r="C765" s="28"/>
      <c r="D765" s="0" t="str">
        <f aca="false">IF(A765="","",YEAR(A765))</f>
        <v/>
      </c>
      <c r="E765" s="0" t="str">
        <f aca="false">IF(A765="","",MONTH(A765))</f>
        <v/>
      </c>
    </row>
    <row r="766" customFormat="false" ht="15" hidden="false" customHeight="false" outlineLevel="0" collapsed="false">
      <c r="A766" s="30"/>
      <c r="C766" s="28"/>
      <c r="D766" s="0" t="str">
        <f aca="false">IF(A766="","",YEAR(A766))</f>
        <v/>
      </c>
      <c r="E766" s="0" t="str">
        <f aca="false">IF(A766="","",MONTH(A766))</f>
        <v/>
      </c>
    </row>
    <row r="767" customFormat="false" ht="15" hidden="false" customHeight="false" outlineLevel="0" collapsed="false">
      <c r="A767" s="30"/>
      <c r="C767" s="28"/>
      <c r="D767" s="0" t="str">
        <f aca="false">IF(A767="","",YEAR(A767))</f>
        <v/>
      </c>
      <c r="E767" s="0" t="str">
        <f aca="false">IF(A767="","",MONTH(A767))</f>
        <v/>
      </c>
    </row>
    <row r="768" customFormat="false" ht="15" hidden="false" customHeight="false" outlineLevel="0" collapsed="false">
      <c r="A768" s="30"/>
      <c r="C768" s="28"/>
      <c r="D768" s="0" t="str">
        <f aca="false">IF(A768="","",YEAR(A768))</f>
        <v/>
      </c>
      <c r="E768" s="0" t="str">
        <f aca="false">IF(A768="","",MONTH(A768))</f>
        <v/>
      </c>
    </row>
    <row r="769" customFormat="false" ht="15" hidden="false" customHeight="false" outlineLevel="0" collapsed="false">
      <c r="A769" s="30"/>
      <c r="C769" s="28"/>
      <c r="D769" s="0" t="str">
        <f aca="false">IF(A769="","",YEAR(A769))</f>
        <v/>
      </c>
      <c r="E769" s="0" t="str">
        <f aca="false">IF(A769="","",MONTH(A769))</f>
        <v/>
      </c>
    </row>
    <row r="770" customFormat="false" ht="15" hidden="false" customHeight="false" outlineLevel="0" collapsed="false">
      <c r="A770" s="30"/>
      <c r="C770" s="28"/>
      <c r="D770" s="0" t="str">
        <f aca="false">IF(A770="","",YEAR(A770))</f>
        <v/>
      </c>
      <c r="E770" s="0" t="str">
        <f aca="false">IF(A770="","",MONTH(A770))</f>
        <v/>
      </c>
    </row>
    <row r="771" customFormat="false" ht="15" hidden="false" customHeight="false" outlineLevel="0" collapsed="false">
      <c r="A771" s="30"/>
      <c r="C771" s="28"/>
      <c r="D771" s="0" t="str">
        <f aca="false">IF(A771="","",YEAR(A771))</f>
        <v/>
      </c>
      <c r="E771" s="0" t="str">
        <f aca="false">IF(A771="","",MONTH(A771))</f>
        <v/>
      </c>
    </row>
    <row r="772" customFormat="false" ht="15" hidden="false" customHeight="false" outlineLevel="0" collapsed="false">
      <c r="A772" s="30"/>
      <c r="C772" s="28"/>
      <c r="D772" s="0" t="str">
        <f aca="false">IF(A772="","",YEAR(A772))</f>
        <v/>
      </c>
      <c r="E772" s="0" t="str">
        <f aca="false">IF(A772="","",MONTH(A772))</f>
        <v/>
      </c>
    </row>
    <row r="773" customFormat="false" ht="15" hidden="false" customHeight="false" outlineLevel="0" collapsed="false">
      <c r="A773" s="30"/>
      <c r="C773" s="28"/>
      <c r="D773" s="0" t="str">
        <f aca="false">IF(A773="","",YEAR(A773))</f>
        <v/>
      </c>
      <c r="E773" s="0" t="str">
        <f aca="false">IF(A773="","",MONTH(A773))</f>
        <v/>
      </c>
    </row>
    <row r="774" customFormat="false" ht="15" hidden="false" customHeight="false" outlineLevel="0" collapsed="false">
      <c r="A774" s="30"/>
      <c r="C774" s="28"/>
      <c r="D774" s="0" t="str">
        <f aca="false">IF(A774="","",YEAR(A774))</f>
        <v/>
      </c>
      <c r="E774" s="0" t="str">
        <f aca="false">IF(A774="","",MONTH(A774))</f>
        <v/>
      </c>
    </row>
    <row r="775" customFormat="false" ht="15" hidden="false" customHeight="false" outlineLevel="0" collapsed="false">
      <c r="A775" s="30"/>
      <c r="C775" s="28"/>
      <c r="D775" s="0" t="str">
        <f aca="false">IF(A775="","",YEAR(A775))</f>
        <v/>
      </c>
      <c r="E775" s="0" t="str">
        <f aca="false">IF(A775="","",MONTH(A775))</f>
        <v/>
      </c>
    </row>
    <row r="776" customFormat="false" ht="15" hidden="false" customHeight="false" outlineLevel="0" collapsed="false">
      <c r="A776" s="30"/>
      <c r="C776" s="28"/>
      <c r="D776" s="0" t="str">
        <f aca="false">IF(A776="","",YEAR(A776))</f>
        <v/>
      </c>
      <c r="E776" s="0" t="str">
        <f aca="false">IF(A776="","",MONTH(A776))</f>
        <v/>
      </c>
    </row>
    <row r="777" customFormat="false" ht="15" hidden="false" customHeight="false" outlineLevel="0" collapsed="false">
      <c r="A777" s="30"/>
      <c r="C777" s="28"/>
      <c r="D777" s="0" t="str">
        <f aca="false">IF(A777="","",YEAR(A777))</f>
        <v/>
      </c>
      <c r="E777" s="0" t="str">
        <f aca="false">IF(A777="","",MONTH(A777))</f>
        <v/>
      </c>
    </row>
    <row r="778" customFormat="false" ht="15" hidden="false" customHeight="false" outlineLevel="0" collapsed="false">
      <c r="A778" s="30"/>
      <c r="C778" s="28"/>
      <c r="D778" s="0" t="str">
        <f aca="false">IF(A778="","",YEAR(A778))</f>
        <v/>
      </c>
      <c r="E778" s="0" t="str">
        <f aca="false">IF(A778="","",MONTH(A778))</f>
        <v/>
      </c>
    </row>
    <row r="779" customFormat="false" ht="15" hidden="false" customHeight="false" outlineLevel="0" collapsed="false">
      <c r="A779" s="30"/>
      <c r="C779" s="28"/>
      <c r="D779" s="0" t="str">
        <f aca="false">IF(A779="","",YEAR(A779))</f>
        <v/>
      </c>
      <c r="E779" s="0" t="str">
        <f aca="false">IF(A779="","",MONTH(A779))</f>
        <v/>
      </c>
    </row>
    <row r="780" customFormat="false" ht="15" hidden="false" customHeight="false" outlineLevel="0" collapsed="false">
      <c r="A780" s="30"/>
      <c r="C780" s="28"/>
      <c r="D780" s="0" t="str">
        <f aca="false">IF(A780="","",YEAR(A780))</f>
        <v/>
      </c>
      <c r="E780" s="0" t="str">
        <f aca="false">IF(A780="","",MONTH(A780))</f>
        <v/>
      </c>
    </row>
    <row r="781" customFormat="false" ht="15" hidden="false" customHeight="false" outlineLevel="0" collapsed="false">
      <c r="A781" s="30"/>
      <c r="C781" s="28"/>
      <c r="D781" s="0" t="str">
        <f aca="false">IF(A781="","",YEAR(A781))</f>
        <v/>
      </c>
      <c r="E781" s="0" t="str">
        <f aca="false">IF(A781="","",MONTH(A781))</f>
        <v/>
      </c>
    </row>
    <row r="782" customFormat="false" ht="15" hidden="false" customHeight="false" outlineLevel="0" collapsed="false">
      <c r="A782" s="30"/>
      <c r="C782" s="28"/>
      <c r="D782" s="0" t="str">
        <f aca="false">IF(A782="","",YEAR(A782))</f>
        <v/>
      </c>
      <c r="E782" s="0" t="str">
        <f aca="false">IF(A782="","",MONTH(A782))</f>
        <v/>
      </c>
    </row>
    <row r="783" customFormat="false" ht="15" hidden="false" customHeight="false" outlineLevel="0" collapsed="false">
      <c r="A783" s="30"/>
      <c r="C783" s="28"/>
      <c r="D783" s="0" t="str">
        <f aca="false">IF(A783="","",YEAR(A783))</f>
        <v/>
      </c>
      <c r="E783" s="0" t="str">
        <f aca="false">IF(A783="","",MONTH(A783))</f>
        <v/>
      </c>
    </row>
    <row r="784" customFormat="false" ht="15" hidden="false" customHeight="false" outlineLevel="0" collapsed="false">
      <c r="A784" s="30"/>
      <c r="C784" s="28"/>
      <c r="D784" s="0" t="str">
        <f aca="false">IF(A784="","",YEAR(A784))</f>
        <v/>
      </c>
      <c r="E784" s="0" t="str">
        <f aca="false">IF(A784="","",MONTH(A784))</f>
        <v/>
      </c>
    </row>
    <row r="785" customFormat="false" ht="15" hidden="false" customHeight="false" outlineLevel="0" collapsed="false">
      <c r="A785" s="30"/>
      <c r="C785" s="28"/>
      <c r="D785" s="0" t="str">
        <f aca="false">IF(A785="","",YEAR(A785))</f>
        <v/>
      </c>
      <c r="E785" s="0" t="str">
        <f aca="false">IF(A785="","",MONTH(A785))</f>
        <v/>
      </c>
    </row>
    <row r="786" customFormat="false" ht="15" hidden="false" customHeight="false" outlineLevel="0" collapsed="false">
      <c r="A786" s="30"/>
      <c r="C786" s="28"/>
      <c r="D786" s="0" t="str">
        <f aca="false">IF(A786="","",YEAR(A786))</f>
        <v/>
      </c>
      <c r="E786" s="0" t="str">
        <f aca="false">IF(A786="","",MONTH(A786))</f>
        <v/>
      </c>
    </row>
    <row r="787" customFormat="false" ht="15" hidden="false" customHeight="false" outlineLevel="0" collapsed="false">
      <c r="A787" s="30"/>
      <c r="C787" s="28"/>
      <c r="D787" s="0" t="str">
        <f aca="false">IF(A787="","",YEAR(A787))</f>
        <v/>
      </c>
      <c r="E787" s="0" t="str">
        <f aca="false">IF(A787="","",MONTH(A787))</f>
        <v/>
      </c>
    </row>
    <row r="788" customFormat="false" ht="15" hidden="false" customHeight="false" outlineLevel="0" collapsed="false">
      <c r="A788" s="30"/>
      <c r="C788" s="28"/>
      <c r="D788" s="0" t="str">
        <f aca="false">IF(A788="","",YEAR(A788))</f>
        <v/>
      </c>
      <c r="E788" s="0" t="str">
        <f aca="false">IF(A788="","",MONTH(A788))</f>
        <v/>
      </c>
    </row>
    <row r="789" customFormat="false" ht="15" hidden="false" customHeight="false" outlineLevel="0" collapsed="false">
      <c r="A789" s="30"/>
      <c r="C789" s="28"/>
      <c r="D789" s="0" t="str">
        <f aca="false">IF(A789="","",YEAR(A789))</f>
        <v/>
      </c>
      <c r="E789" s="0" t="str">
        <f aca="false">IF(A789="","",MONTH(A789))</f>
        <v/>
      </c>
    </row>
    <row r="790" customFormat="false" ht="15" hidden="false" customHeight="false" outlineLevel="0" collapsed="false">
      <c r="A790" s="30"/>
      <c r="C790" s="28"/>
      <c r="D790" s="0" t="str">
        <f aca="false">IF(A790="","",YEAR(A790))</f>
        <v/>
      </c>
      <c r="E790" s="0" t="str">
        <f aca="false">IF(A790="","",MONTH(A790))</f>
        <v/>
      </c>
    </row>
    <row r="791" customFormat="false" ht="15" hidden="false" customHeight="false" outlineLevel="0" collapsed="false">
      <c r="A791" s="30"/>
      <c r="C791" s="28"/>
      <c r="D791" s="0" t="str">
        <f aca="false">IF(A791="","",YEAR(A791))</f>
        <v/>
      </c>
      <c r="E791" s="0" t="str">
        <f aca="false">IF(A791="","",MONTH(A791))</f>
        <v/>
      </c>
    </row>
    <row r="792" customFormat="false" ht="15" hidden="false" customHeight="false" outlineLevel="0" collapsed="false">
      <c r="A792" s="30"/>
      <c r="C792" s="28"/>
      <c r="D792" s="0" t="str">
        <f aca="false">IF(A792="","",YEAR(A792))</f>
        <v/>
      </c>
      <c r="E792" s="0" t="str">
        <f aca="false">IF(A792="","",MONTH(A792))</f>
        <v/>
      </c>
    </row>
    <row r="793" customFormat="false" ht="15" hidden="false" customHeight="false" outlineLevel="0" collapsed="false">
      <c r="A793" s="30"/>
      <c r="C793" s="28"/>
      <c r="D793" s="0" t="str">
        <f aca="false">IF(A793="","",YEAR(A793))</f>
        <v/>
      </c>
      <c r="E793" s="0" t="str">
        <f aca="false">IF(A793="","",MONTH(A793))</f>
        <v/>
      </c>
    </row>
    <row r="794" customFormat="false" ht="15" hidden="false" customHeight="false" outlineLevel="0" collapsed="false">
      <c r="A794" s="30"/>
      <c r="C794" s="28"/>
      <c r="D794" s="0" t="str">
        <f aca="false">IF(A794="","",YEAR(A794))</f>
        <v/>
      </c>
      <c r="E794" s="0" t="str">
        <f aca="false">IF(A794="","",MONTH(A794))</f>
        <v/>
      </c>
    </row>
    <row r="795" customFormat="false" ht="15" hidden="false" customHeight="false" outlineLevel="0" collapsed="false">
      <c r="A795" s="30"/>
      <c r="C795" s="28"/>
      <c r="D795" s="0" t="str">
        <f aca="false">IF(A795="","",YEAR(A795))</f>
        <v/>
      </c>
      <c r="E795" s="0" t="str">
        <f aca="false">IF(A795="","",MONTH(A795))</f>
        <v/>
      </c>
    </row>
    <row r="796" customFormat="false" ht="15" hidden="false" customHeight="false" outlineLevel="0" collapsed="false">
      <c r="A796" s="30"/>
      <c r="C796" s="28"/>
      <c r="D796" s="0" t="str">
        <f aca="false">IF(A796="","",YEAR(A796))</f>
        <v/>
      </c>
      <c r="E796" s="0" t="str">
        <f aca="false">IF(A796="","",MONTH(A796))</f>
        <v/>
      </c>
    </row>
    <row r="797" customFormat="false" ht="15" hidden="false" customHeight="false" outlineLevel="0" collapsed="false">
      <c r="A797" s="30"/>
      <c r="C797" s="28"/>
      <c r="D797" s="0" t="str">
        <f aca="false">IF(A797="","",YEAR(A797))</f>
        <v/>
      </c>
      <c r="E797" s="0" t="str">
        <f aca="false">IF(A797="","",MONTH(A797))</f>
        <v/>
      </c>
    </row>
    <row r="798" customFormat="false" ht="15" hidden="false" customHeight="false" outlineLevel="0" collapsed="false">
      <c r="A798" s="30"/>
      <c r="C798" s="28"/>
      <c r="D798" s="0" t="str">
        <f aca="false">IF(A798="","",YEAR(A798))</f>
        <v/>
      </c>
      <c r="E798" s="0" t="str">
        <f aca="false">IF(A798="","",MONTH(A798))</f>
        <v/>
      </c>
    </row>
    <row r="799" customFormat="false" ht="15" hidden="false" customHeight="false" outlineLevel="0" collapsed="false">
      <c r="A799" s="30"/>
      <c r="C799" s="28"/>
      <c r="D799" s="0" t="str">
        <f aca="false">IF(A799="","",YEAR(A799))</f>
        <v/>
      </c>
      <c r="E799" s="0" t="str">
        <f aca="false">IF(A799="","",MONTH(A799))</f>
        <v/>
      </c>
    </row>
    <row r="800" customFormat="false" ht="15" hidden="false" customHeight="false" outlineLevel="0" collapsed="false">
      <c r="A800" s="30"/>
      <c r="C800" s="28"/>
      <c r="D800" s="0" t="str">
        <f aca="false">IF(A800="","",YEAR(A800))</f>
        <v/>
      </c>
      <c r="E800" s="0" t="str">
        <f aca="false">IF(A800="","",MONTH(A800))</f>
        <v/>
      </c>
    </row>
    <row r="801" customFormat="false" ht="15" hidden="false" customHeight="false" outlineLevel="0" collapsed="false">
      <c r="A801" s="30"/>
      <c r="C801" s="28"/>
      <c r="D801" s="0" t="str">
        <f aca="false">IF(A801="","",YEAR(A801))</f>
        <v/>
      </c>
      <c r="E801" s="0" t="str">
        <f aca="false">IF(A801="","",MONTH(A801))</f>
        <v/>
      </c>
    </row>
    <row r="802" customFormat="false" ht="15" hidden="false" customHeight="false" outlineLevel="0" collapsed="false">
      <c r="A802" s="30"/>
      <c r="C802" s="28"/>
      <c r="D802" s="0" t="str">
        <f aca="false">IF(A802="","",YEAR(A802))</f>
        <v/>
      </c>
      <c r="E802" s="0" t="str">
        <f aca="false">IF(A802="","",MONTH(A802))</f>
        <v/>
      </c>
    </row>
    <row r="803" customFormat="false" ht="15" hidden="false" customHeight="false" outlineLevel="0" collapsed="false">
      <c r="A803" s="30"/>
      <c r="C803" s="28"/>
      <c r="D803" s="0" t="str">
        <f aca="false">IF(A803="","",YEAR(A803))</f>
        <v/>
      </c>
      <c r="E803" s="0" t="str">
        <f aca="false">IF(A803="","",MONTH(A803))</f>
        <v/>
      </c>
    </row>
    <row r="804" customFormat="false" ht="15" hidden="false" customHeight="false" outlineLevel="0" collapsed="false">
      <c r="A804" s="30"/>
      <c r="C804" s="28"/>
      <c r="D804" s="0" t="str">
        <f aca="false">IF(A804="","",YEAR(A804))</f>
        <v/>
      </c>
      <c r="E804" s="0" t="str">
        <f aca="false">IF(A804="","",MONTH(A804))</f>
        <v/>
      </c>
    </row>
    <row r="805" customFormat="false" ht="15" hidden="false" customHeight="false" outlineLevel="0" collapsed="false">
      <c r="A805" s="30"/>
      <c r="C805" s="28"/>
      <c r="D805" s="0" t="str">
        <f aca="false">IF(A805="","",YEAR(A805))</f>
        <v/>
      </c>
      <c r="E805" s="0" t="str">
        <f aca="false">IF(A805="","",MONTH(A805))</f>
        <v/>
      </c>
    </row>
    <row r="806" customFormat="false" ht="15" hidden="false" customHeight="false" outlineLevel="0" collapsed="false">
      <c r="A806" s="30"/>
      <c r="C806" s="28"/>
      <c r="D806" s="0" t="str">
        <f aca="false">IF(A806="","",YEAR(A806))</f>
        <v/>
      </c>
      <c r="E806" s="0" t="str">
        <f aca="false">IF(A806="","",MONTH(A806))</f>
        <v/>
      </c>
    </row>
    <row r="807" customFormat="false" ht="15" hidden="false" customHeight="false" outlineLevel="0" collapsed="false">
      <c r="A807" s="30"/>
      <c r="C807" s="28"/>
      <c r="D807" s="0" t="str">
        <f aca="false">IF(A807="","",YEAR(A807))</f>
        <v/>
      </c>
      <c r="E807" s="0" t="str">
        <f aca="false">IF(A807="","",MONTH(A807))</f>
        <v/>
      </c>
    </row>
    <row r="808" customFormat="false" ht="15" hidden="false" customHeight="false" outlineLevel="0" collapsed="false">
      <c r="A808" s="30"/>
      <c r="C808" s="28"/>
      <c r="D808" s="0" t="str">
        <f aca="false">IF(A808="","",YEAR(A808))</f>
        <v/>
      </c>
      <c r="E808" s="0" t="str">
        <f aca="false">IF(A808="","",MONTH(A808))</f>
        <v/>
      </c>
    </row>
    <row r="809" customFormat="false" ht="15" hidden="false" customHeight="false" outlineLevel="0" collapsed="false">
      <c r="A809" s="30"/>
      <c r="C809" s="28"/>
      <c r="D809" s="0" t="str">
        <f aca="false">IF(A809="","",YEAR(A809))</f>
        <v/>
      </c>
      <c r="E809" s="0" t="str">
        <f aca="false">IF(A809="","",MONTH(A809))</f>
        <v/>
      </c>
    </row>
    <row r="810" customFormat="false" ht="15" hidden="false" customHeight="false" outlineLevel="0" collapsed="false">
      <c r="A810" s="30"/>
      <c r="C810" s="28"/>
      <c r="D810" s="0" t="str">
        <f aca="false">IF(A810="","",YEAR(A810))</f>
        <v/>
      </c>
      <c r="E810" s="0" t="str">
        <f aca="false">IF(A810="","",MONTH(A810))</f>
        <v/>
      </c>
    </row>
    <row r="811" customFormat="false" ht="15" hidden="false" customHeight="false" outlineLevel="0" collapsed="false">
      <c r="A811" s="30"/>
      <c r="C811" s="28"/>
      <c r="D811" s="0" t="str">
        <f aca="false">IF(A811="","",YEAR(A811))</f>
        <v/>
      </c>
      <c r="E811" s="0" t="str">
        <f aca="false">IF(A811="","",MONTH(A811))</f>
        <v/>
      </c>
    </row>
    <row r="812" customFormat="false" ht="15" hidden="false" customHeight="false" outlineLevel="0" collapsed="false">
      <c r="A812" s="30"/>
      <c r="C812" s="28"/>
      <c r="D812" s="0" t="str">
        <f aca="false">IF(A812="","",YEAR(A812))</f>
        <v/>
      </c>
      <c r="E812" s="0" t="str">
        <f aca="false">IF(A812="","",MONTH(A812))</f>
        <v/>
      </c>
    </row>
    <row r="813" customFormat="false" ht="15" hidden="false" customHeight="false" outlineLevel="0" collapsed="false">
      <c r="A813" s="30"/>
      <c r="C813" s="28"/>
      <c r="D813" s="0" t="str">
        <f aca="false">IF(A813="","",YEAR(A813))</f>
        <v/>
      </c>
      <c r="E813" s="0" t="str">
        <f aca="false">IF(A813="","",MONTH(A813))</f>
        <v/>
      </c>
    </row>
    <row r="814" customFormat="false" ht="15" hidden="false" customHeight="false" outlineLevel="0" collapsed="false">
      <c r="A814" s="30"/>
      <c r="C814" s="28"/>
      <c r="D814" s="0" t="str">
        <f aca="false">IF(A814="","",YEAR(A814))</f>
        <v/>
      </c>
      <c r="E814" s="0" t="str">
        <f aca="false">IF(A814="","",MONTH(A814))</f>
        <v/>
      </c>
    </row>
    <row r="815" customFormat="false" ht="15" hidden="false" customHeight="false" outlineLevel="0" collapsed="false">
      <c r="A815" s="30"/>
      <c r="C815" s="28"/>
      <c r="D815" s="0" t="str">
        <f aca="false">IF(A815="","",YEAR(A815))</f>
        <v/>
      </c>
      <c r="E815" s="0" t="str">
        <f aca="false">IF(A815="","",MONTH(A815))</f>
        <v/>
      </c>
    </row>
    <row r="816" customFormat="false" ht="15" hidden="false" customHeight="false" outlineLevel="0" collapsed="false">
      <c r="A816" s="30"/>
      <c r="C816" s="28"/>
      <c r="D816" s="0" t="str">
        <f aca="false">IF(A816="","",YEAR(A816))</f>
        <v/>
      </c>
      <c r="E816" s="0" t="str">
        <f aca="false">IF(A816="","",MONTH(A816))</f>
        <v/>
      </c>
    </row>
    <row r="817" customFormat="false" ht="15" hidden="false" customHeight="false" outlineLevel="0" collapsed="false">
      <c r="A817" s="30"/>
      <c r="C817" s="28"/>
      <c r="D817" s="0" t="str">
        <f aca="false">IF(A817="","",YEAR(A817))</f>
        <v/>
      </c>
      <c r="E817" s="0" t="str">
        <f aca="false">IF(A817="","",MONTH(A817))</f>
        <v/>
      </c>
    </row>
    <row r="818" customFormat="false" ht="15" hidden="false" customHeight="false" outlineLevel="0" collapsed="false">
      <c r="A818" s="30"/>
      <c r="C818" s="28"/>
      <c r="D818" s="0" t="str">
        <f aca="false">IF(A818="","",YEAR(A818))</f>
        <v/>
      </c>
      <c r="E818" s="0" t="str">
        <f aca="false">IF(A818="","",MONTH(A818))</f>
        <v/>
      </c>
    </row>
    <row r="819" customFormat="false" ht="15" hidden="false" customHeight="false" outlineLevel="0" collapsed="false">
      <c r="A819" s="30"/>
      <c r="C819" s="28"/>
      <c r="D819" s="0" t="str">
        <f aca="false">IF(A819="","",YEAR(A819))</f>
        <v/>
      </c>
      <c r="E819" s="0" t="str">
        <f aca="false">IF(A819="","",MONTH(A819))</f>
        <v/>
      </c>
    </row>
    <row r="820" customFormat="false" ht="15" hidden="false" customHeight="false" outlineLevel="0" collapsed="false">
      <c r="A820" s="30"/>
      <c r="C820" s="28"/>
      <c r="D820" s="0" t="str">
        <f aca="false">IF(A820="","",YEAR(A820))</f>
        <v/>
      </c>
      <c r="E820" s="0" t="str">
        <f aca="false">IF(A820="","",MONTH(A820))</f>
        <v/>
      </c>
    </row>
    <row r="821" customFormat="false" ht="15" hidden="false" customHeight="false" outlineLevel="0" collapsed="false">
      <c r="A821" s="30"/>
      <c r="C821" s="28"/>
      <c r="D821" s="0" t="str">
        <f aca="false">IF(A821="","",YEAR(A821))</f>
        <v/>
      </c>
      <c r="E821" s="0" t="str">
        <f aca="false">IF(A821="","",MONTH(A821))</f>
        <v/>
      </c>
    </row>
    <row r="822" customFormat="false" ht="15" hidden="false" customHeight="false" outlineLevel="0" collapsed="false">
      <c r="A822" s="30"/>
      <c r="C822" s="28"/>
      <c r="D822" s="0" t="str">
        <f aca="false">IF(A822="","",YEAR(A822))</f>
        <v/>
      </c>
      <c r="E822" s="0" t="str">
        <f aca="false">IF(A822="","",MONTH(A822))</f>
        <v/>
      </c>
    </row>
    <row r="823" customFormat="false" ht="15" hidden="false" customHeight="false" outlineLevel="0" collapsed="false">
      <c r="A823" s="30"/>
      <c r="C823" s="28"/>
      <c r="D823" s="0" t="str">
        <f aca="false">IF(A823="","",YEAR(A823))</f>
        <v/>
      </c>
      <c r="E823" s="0" t="str">
        <f aca="false">IF(A823="","",MONTH(A823))</f>
        <v/>
      </c>
    </row>
    <row r="824" customFormat="false" ht="15" hidden="false" customHeight="false" outlineLevel="0" collapsed="false">
      <c r="A824" s="30"/>
      <c r="C824" s="28"/>
      <c r="D824" s="0" t="str">
        <f aca="false">IF(A824="","",YEAR(A824))</f>
        <v/>
      </c>
      <c r="E824" s="0" t="str">
        <f aca="false">IF(A824="","",MONTH(A824))</f>
        <v/>
      </c>
    </row>
    <row r="825" customFormat="false" ht="15" hidden="false" customHeight="false" outlineLevel="0" collapsed="false">
      <c r="A825" s="30"/>
      <c r="C825" s="28"/>
      <c r="D825" s="0" t="str">
        <f aca="false">IF(A825="","",YEAR(A825))</f>
        <v/>
      </c>
      <c r="E825" s="0" t="str">
        <f aca="false">IF(A825="","",MONTH(A825))</f>
        <v/>
      </c>
    </row>
    <row r="826" customFormat="false" ht="15" hidden="false" customHeight="false" outlineLevel="0" collapsed="false">
      <c r="A826" s="30"/>
      <c r="C826" s="28"/>
      <c r="D826" s="0" t="str">
        <f aca="false">IF(A826="","",YEAR(A826))</f>
        <v/>
      </c>
      <c r="E826" s="0" t="str">
        <f aca="false">IF(A826="","",MONTH(A826))</f>
        <v/>
      </c>
    </row>
    <row r="827" customFormat="false" ht="15" hidden="false" customHeight="false" outlineLevel="0" collapsed="false">
      <c r="A827" s="30"/>
      <c r="C827" s="28"/>
      <c r="D827" s="0" t="str">
        <f aca="false">IF(A827="","",YEAR(A827))</f>
        <v/>
      </c>
      <c r="E827" s="0" t="str">
        <f aca="false">IF(A827="","",MONTH(A827))</f>
        <v/>
      </c>
    </row>
    <row r="828" customFormat="false" ht="15" hidden="false" customHeight="false" outlineLevel="0" collapsed="false">
      <c r="A828" s="30"/>
      <c r="C828" s="28"/>
      <c r="D828" s="0" t="str">
        <f aca="false">IF(A828="","",YEAR(A828))</f>
        <v/>
      </c>
      <c r="E828" s="0" t="str">
        <f aca="false">IF(A828="","",MONTH(A828))</f>
        <v/>
      </c>
    </row>
    <row r="829" customFormat="false" ht="15" hidden="false" customHeight="false" outlineLevel="0" collapsed="false">
      <c r="A829" s="30"/>
      <c r="C829" s="28"/>
      <c r="D829" s="0" t="str">
        <f aca="false">IF(A829="","",YEAR(A829))</f>
        <v/>
      </c>
      <c r="E829" s="0" t="str">
        <f aca="false">IF(A829="","",MONTH(A829))</f>
        <v/>
      </c>
    </row>
    <row r="830" customFormat="false" ht="15" hidden="false" customHeight="false" outlineLevel="0" collapsed="false">
      <c r="A830" s="30"/>
      <c r="C830" s="28"/>
      <c r="D830" s="0" t="str">
        <f aca="false">IF(A830="","",YEAR(A830))</f>
        <v/>
      </c>
      <c r="E830" s="0" t="str">
        <f aca="false">IF(A830="","",MONTH(A830))</f>
        <v/>
      </c>
    </row>
    <row r="831" customFormat="false" ht="15" hidden="false" customHeight="false" outlineLevel="0" collapsed="false">
      <c r="A831" s="30"/>
      <c r="C831" s="28"/>
      <c r="D831" s="0" t="str">
        <f aca="false">IF(A831="","",YEAR(A831))</f>
        <v/>
      </c>
      <c r="E831" s="0" t="str">
        <f aca="false">IF(A831="","",MONTH(A831))</f>
        <v/>
      </c>
    </row>
    <row r="832" customFormat="false" ht="15" hidden="false" customHeight="false" outlineLevel="0" collapsed="false">
      <c r="A832" s="30"/>
      <c r="C832" s="28"/>
      <c r="D832" s="0" t="str">
        <f aca="false">IF(A832="","",YEAR(A832))</f>
        <v/>
      </c>
      <c r="E832" s="0" t="str">
        <f aca="false">IF(A832="","",MONTH(A832))</f>
        <v/>
      </c>
    </row>
    <row r="833" customFormat="false" ht="15" hidden="false" customHeight="false" outlineLevel="0" collapsed="false">
      <c r="A833" s="30"/>
      <c r="C833" s="28"/>
      <c r="D833" s="0" t="str">
        <f aca="false">IF(A833="","",YEAR(A833))</f>
        <v/>
      </c>
      <c r="E833" s="0" t="str">
        <f aca="false">IF(A833="","",MONTH(A833))</f>
        <v/>
      </c>
    </row>
    <row r="834" customFormat="false" ht="15" hidden="false" customHeight="false" outlineLevel="0" collapsed="false">
      <c r="A834" s="30"/>
      <c r="C834" s="28"/>
      <c r="D834" s="0" t="str">
        <f aca="false">IF(A834="","",YEAR(A834))</f>
        <v/>
      </c>
      <c r="E834" s="0" t="str">
        <f aca="false">IF(A834="","",MONTH(A834))</f>
        <v/>
      </c>
    </row>
    <row r="835" customFormat="false" ht="15" hidden="false" customHeight="false" outlineLevel="0" collapsed="false">
      <c r="A835" s="30"/>
      <c r="C835" s="28"/>
      <c r="D835" s="0" t="str">
        <f aca="false">IF(A835="","",YEAR(A835))</f>
        <v/>
      </c>
      <c r="E835" s="0" t="str">
        <f aca="false">IF(A835="","",MONTH(A835))</f>
        <v/>
      </c>
    </row>
    <row r="836" customFormat="false" ht="15" hidden="false" customHeight="false" outlineLevel="0" collapsed="false">
      <c r="A836" s="30"/>
      <c r="C836" s="28"/>
      <c r="D836" s="0" t="str">
        <f aca="false">IF(A836="","",YEAR(A836))</f>
        <v/>
      </c>
      <c r="E836" s="0" t="str">
        <f aca="false">IF(A836="","",MONTH(A836))</f>
        <v/>
      </c>
    </row>
    <row r="837" customFormat="false" ht="15" hidden="false" customHeight="false" outlineLevel="0" collapsed="false">
      <c r="A837" s="30"/>
      <c r="C837" s="28"/>
      <c r="D837" s="0" t="str">
        <f aca="false">IF(A837="","",YEAR(A837))</f>
        <v/>
      </c>
      <c r="E837" s="0" t="str">
        <f aca="false">IF(A837="","",MONTH(A837))</f>
        <v/>
      </c>
    </row>
    <row r="838" customFormat="false" ht="15" hidden="false" customHeight="false" outlineLevel="0" collapsed="false">
      <c r="A838" s="30"/>
      <c r="C838" s="28"/>
      <c r="D838" s="0" t="str">
        <f aca="false">IF(A838="","",YEAR(A838))</f>
        <v/>
      </c>
      <c r="E838" s="0" t="str">
        <f aca="false">IF(A838="","",MONTH(A838))</f>
        <v/>
      </c>
    </row>
    <row r="839" customFormat="false" ht="15" hidden="false" customHeight="false" outlineLevel="0" collapsed="false">
      <c r="A839" s="30"/>
      <c r="C839" s="28"/>
      <c r="D839" s="0" t="str">
        <f aca="false">IF(A839="","",YEAR(A839))</f>
        <v/>
      </c>
      <c r="E839" s="0" t="str">
        <f aca="false">IF(A839="","",MONTH(A839))</f>
        <v/>
      </c>
    </row>
    <row r="840" customFormat="false" ht="15" hidden="false" customHeight="false" outlineLevel="0" collapsed="false">
      <c r="A840" s="30"/>
      <c r="C840" s="28"/>
      <c r="D840" s="0" t="str">
        <f aca="false">IF(A840="","",YEAR(A840))</f>
        <v/>
      </c>
      <c r="E840" s="0" t="str">
        <f aca="false">IF(A840="","",MONTH(A840))</f>
        <v/>
      </c>
    </row>
    <row r="841" customFormat="false" ht="15" hidden="false" customHeight="false" outlineLevel="0" collapsed="false">
      <c r="A841" s="30"/>
      <c r="C841" s="28"/>
      <c r="D841" s="0" t="str">
        <f aca="false">IF(A841="","",YEAR(A841))</f>
        <v/>
      </c>
      <c r="E841" s="0" t="str">
        <f aca="false">IF(A841="","",MONTH(A841))</f>
        <v/>
      </c>
    </row>
    <row r="842" customFormat="false" ht="15" hidden="false" customHeight="false" outlineLevel="0" collapsed="false">
      <c r="A842" s="30"/>
      <c r="C842" s="28"/>
      <c r="D842" s="0" t="str">
        <f aca="false">IF(A842="","",YEAR(A842))</f>
        <v/>
      </c>
      <c r="E842" s="0" t="str">
        <f aca="false">IF(A842="","",MONTH(A842))</f>
        <v/>
      </c>
    </row>
    <row r="843" customFormat="false" ht="15" hidden="false" customHeight="false" outlineLevel="0" collapsed="false">
      <c r="A843" s="30"/>
      <c r="C843" s="28"/>
      <c r="D843" s="0" t="str">
        <f aca="false">IF(A843="","",YEAR(A843))</f>
        <v/>
      </c>
      <c r="E843" s="0" t="str">
        <f aca="false">IF(A843="","",MONTH(A843))</f>
        <v/>
      </c>
    </row>
    <row r="844" customFormat="false" ht="15" hidden="false" customHeight="false" outlineLevel="0" collapsed="false">
      <c r="A844" s="30"/>
      <c r="C844" s="28"/>
      <c r="D844" s="0" t="str">
        <f aca="false">IF(A844="","",YEAR(A844))</f>
        <v/>
      </c>
      <c r="E844" s="0" t="str">
        <f aca="false">IF(A844="","",MONTH(A844))</f>
        <v/>
      </c>
    </row>
    <row r="845" customFormat="false" ht="15" hidden="false" customHeight="false" outlineLevel="0" collapsed="false">
      <c r="A845" s="30"/>
      <c r="C845" s="28"/>
      <c r="D845" s="0" t="str">
        <f aca="false">IF(A845="","",YEAR(A845))</f>
        <v/>
      </c>
      <c r="E845" s="0" t="str">
        <f aca="false">IF(A845="","",MONTH(A845))</f>
        <v/>
      </c>
    </row>
    <row r="846" customFormat="false" ht="15" hidden="false" customHeight="false" outlineLevel="0" collapsed="false">
      <c r="A846" s="30"/>
      <c r="C846" s="28"/>
      <c r="D846" s="0" t="str">
        <f aca="false">IF(A846="","",YEAR(A846))</f>
        <v/>
      </c>
      <c r="E846" s="0" t="str">
        <f aca="false">IF(A846="","",MONTH(A846))</f>
        <v/>
      </c>
    </row>
    <row r="847" customFormat="false" ht="15" hidden="false" customHeight="false" outlineLevel="0" collapsed="false">
      <c r="A847" s="30"/>
      <c r="C847" s="28"/>
      <c r="D847" s="0" t="str">
        <f aca="false">IF(A847="","",YEAR(A847))</f>
        <v/>
      </c>
      <c r="E847" s="0" t="str">
        <f aca="false">IF(A847="","",MONTH(A847))</f>
        <v/>
      </c>
    </row>
    <row r="848" customFormat="false" ht="15" hidden="false" customHeight="false" outlineLevel="0" collapsed="false">
      <c r="A848" s="30"/>
      <c r="C848" s="28"/>
      <c r="D848" s="0" t="str">
        <f aca="false">IF(A848="","",YEAR(A848))</f>
        <v/>
      </c>
      <c r="E848" s="0" t="str">
        <f aca="false">IF(A848="","",MONTH(A848))</f>
        <v/>
      </c>
    </row>
    <row r="849" customFormat="false" ht="15" hidden="false" customHeight="false" outlineLevel="0" collapsed="false">
      <c r="A849" s="30"/>
      <c r="C849" s="28"/>
      <c r="D849" s="0" t="str">
        <f aca="false">IF(A849="","",YEAR(A849))</f>
        <v/>
      </c>
      <c r="E849" s="0" t="str">
        <f aca="false">IF(A849="","",MONTH(A849))</f>
        <v/>
      </c>
    </row>
    <row r="850" customFormat="false" ht="15" hidden="false" customHeight="false" outlineLevel="0" collapsed="false">
      <c r="A850" s="30"/>
      <c r="C850" s="28"/>
      <c r="D850" s="0" t="str">
        <f aca="false">IF(A850="","",YEAR(A850))</f>
        <v/>
      </c>
      <c r="E850" s="0" t="str">
        <f aca="false">IF(A850="","",MONTH(A850))</f>
        <v/>
      </c>
    </row>
    <row r="851" customFormat="false" ht="15" hidden="false" customHeight="false" outlineLevel="0" collapsed="false">
      <c r="A851" s="30"/>
      <c r="C851" s="28"/>
      <c r="D851" s="0" t="str">
        <f aca="false">IF(A851="","",YEAR(A851))</f>
        <v/>
      </c>
      <c r="E851" s="0" t="str">
        <f aca="false">IF(A851="","",MONTH(A851))</f>
        <v/>
      </c>
    </row>
    <row r="852" customFormat="false" ht="15" hidden="false" customHeight="false" outlineLevel="0" collapsed="false">
      <c r="A852" s="30"/>
      <c r="C852" s="28"/>
      <c r="D852" s="0" t="str">
        <f aca="false">IF(A852="","",YEAR(A852))</f>
        <v/>
      </c>
      <c r="E852" s="0" t="str">
        <f aca="false">IF(A852="","",MONTH(A852))</f>
        <v/>
      </c>
    </row>
    <row r="853" customFormat="false" ht="15" hidden="false" customHeight="false" outlineLevel="0" collapsed="false">
      <c r="A853" s="30"/>
      <c r="C853" s="28"/>
      <c r="D853" s="0" t="str">
        <f aca="false">IF(A853="","",YEAR(A853))</f>
        <v/>
      </c>
      <c r="E853" s="0" t="str">
        <f aca="false">IF(A853="","",MONTH(A853))</f>
        <v/>
      </c>
    </row>
    <row r="854" customFormat="false" ht="15" hidden="false" customHeight="false" outlineLevel="0" collapsed="false">
      <c r="A854" s="30"/>
      <c r="C854" s="28"/>
      <c r="D854" s="0" t="str">
        <f aca="false">IF(A854="","",YEAR(A854))</f>
        <v/>
      </c>
      <c r="E854" s="0" t="str">
        <f aca="false">IF(A854="","",MONTH(A854))</f>
        <v/>
      </c>
    </row>
    <row r="855" customFormat="false" ht="15" hidden="false" customHeight="false" outlineLevel="0" collapsed="false">
      <c r="A855" s="30"/>
      <c r="C855" s="28"/>
      <c r="D855" s="0" t="str">
        <f aca="false">IF(A855="","",YEAR(A855))</f>
        <v/>
      </c>
      <c r="E855" s="0" t="str">
        <f aca="false">IF(A855="","",MONTH(A855))</f>
        <v/>
      </c>
    </row>
    <row r="856" customFormat="false" ht="15" hidden="false" customHeight="false" outlineLevel="0" collapsed="false">
      <c r="A856" s="30"/>
      <c r="C856" s="28"/>
      <c r="D856" s="0" t="str">
        <f aca="false">IF(A856="","",YEAR(A856))</f>
        <v/>
      </c>
      <c r="E856" s="0" t="str">
        <f aca="false">IF(A856="","",MONTH(A856))</f>
        <v/>
      </c>
    </row>
    <row r="857" customFormat="false" ht="15" hidden="false" customHeight="false" outlineLevel="0" collapsed="false">
      <c r="A857" s="30"/>
      <c r="C857" s="28"/>
      <c r="D857" s="0" t="str">
        <f aca="false">IF(A857="","",YEAR(A857))</f>
        <v/>
      </c>
      <c r="E857" s="0" t="str">
        <f aca="false">IF(A857="","",MONTH(A857))</f>
        <v/>
      </c>
    </row>
    <row r="858" customFormat="false" ht="15" hidden="false" customHeight="false" outlineLevel="0" collapsed="false">
      <c r="A858" s="30"/>
      <c r="C858" s="28"/>
      <c r="D858" s="0" t="str">
        <f aca="false">IF(A858="","",YEAR(A858))</f>
        <v/>
      </c>
      <c r="E858" s="0" t="str">
        <f aca="false">IF(A858="","",MONTH(A858))</f>
        <v/>
      </c>
    </row>
    <row r="859" customFormat="false" ht="15" hidden="false" customHeight="false" outlineLevel="0" collapsed="false">
      <c r="A859" s="30"/>
      <c r="C859" s="28"/>
      <c r="D859" s="0" t="str">
        <f aca="false">IF(A859="","",YEAR(A859))</f>
        <v/>
      </c>
      <c r="E859" s="0" t="str">
        <f aca="false">IF(A859="","",MONTH(A859))</f>
        <v/>
      </c>
    </row>
    <row r="860" customFormat="false" ht="15" hidden="false" customHeight="false" outlineLevel="0" collapsed="false">
      <c r="A860" s="30"/>
      <c r="C860" s="28"/>
      <c r="D860" s="0" t="str">
        <f aca="false">IF(A860="","",YEAR(A860))</f>
        <v/>
      </c>
      <c r="E860" s="0" t="str">
        <f aca="false">IF(A860="","",MONTH(A860))</f>
        <v/>
      </c>
    </row>
    <row r="861" customFormat="false" ht="15" hidden="false" customHeight="false" outlineLevel="0" collapsed="false">
      <c r="A861" s="30"/>
      <c r="C861" s="28"/>
      <c r="D861" s="0" t="str">
        <f aca="false">IF(A861="","",YEAR(A861))</f>
        <v/>
      </c>
      <c r="E861" s="0" t="str">
        <f aca="false">IF(A861="","",MONTH(A861))</f>
        <v/>
      </c>
    </row>
    <row r="862" customFormat="false" ht="15" hidden="false" customHeight="false" outlineLevel="0" collapsed="false">
      <c r="A862" s="30"/>
      <c r="C862" s="28"/>
      <c r="D862" s="0" t="str">
        <f aca="false">IF(A862="","",YEAR(A862))</f>
        <v/>
      </c>
      <c r="E862" s="0" t="str">
        <f aca="false">IF(A862="","",MONTH(A862))</f>
        <v/>
      </c>
    </row>
    <row r="863" customFormat="false" ht="15" hidden="false" customHeight="false" outlineLevel="0" collapsed="false">
      <c r="A863" s="30"/>
      <c r="C863" s="28"/>
      <c r="D863" s="0" t="str">
        <f aca="false">IF(A863="","",YEAR(A863))</f>
        <v/>
      </c>
      <c r="E863" s="0" t="str">
        <f aca="false">IF(A863="","",MONTH(A863))</f>
        <v/>
      </c>
    </row>
    <row r="864" customFormat="false" ht="15" hidden="false" customHeight="false" outlineLevel="0" collapsed="false">
      <c r="A864" s="30"/>
      <c r="C864" s="28"/>
      <c r="D864" s="0" t="str">
        <f aca="false">IF(A864="","",YEAR(A864))</f>
        <v/>
      </c>
      <c r="E864" s="0" t="str">
        <f aca="false">IF(A864="","",MONTH(A864))</f>
        <v/>
      </c>
    </row>
    <row r="865" customFormat="false" ht="15" hidden="false" customHeight="false" outlineLevel="0" collapsed="false">
      <c r="A865" s="30"/>
      <c r="C865" s="28"/>
      <c r="D865" s="0" t="str">
        <f aca="false">IF(A865="","",YEAR(A865))</f>
        <v/>
      </c>
      <c r="E865" s="0" t="str">
        <f aca="false">IF(A865="","",MONTH(A865))</f>
        <v/>
      </c>
    </row>
    <row r="866" customFormat="false" ht="15" hidden="false" customHeight="false" outlineLevel="0" collapsed="false">
      <c r="A866" s="30"/>
      <c r="C866" s="28"/>
      <c r="D866" s="0" t="str">
        <f aca="false">IF(A866="","",YEAR(A866))</f>
        <v/>
      </c>
      <c r="E866" s="0" t="str">
        <f aca="false">IF(A866="","",MONTH(A866))</f>
        <v/>
      </c>
    </row>
    <row r="867" customFormat="false" ht="15" hidden="false" customHeight="false" outlineLevel="0" collapsed="false">
      <c r="A867" s="30"/>
      <c r="C867" s="28"/>
      <c r="D867" s="0" t="str">
        <f aca="false">IF(A867="","",YEAR(A867))</f>
        <v/>
      </c>
      <c r="E867" s="0" t="str">
        <f aca="false">IF(A867="","",MONTH(A867))</f>
        <v/>
      </c>
    </row>
    <row r="868" customFormat="false" ht="15" hidden="false" customHeight="false" outlineLevel="0" collapsed="false">
      <c r="A868" s="30"/>
      <c r="C868" s="28"/>
      <c r="D868" s="0" t="str">
        <f aca="false">IF(A868="","",YEAR(A868))</f>
        <v/>
      </c>
      <c r="E868" s="0" t="str">
        <f aca="false">IF(A868="","",MONTH(A868))</f>
        <v/>
      </c>
    </row>
    <row r="869" customFormat="false" ht="15" hidden="false" customHeight="false" outlineLevel="0" collapsed="false">
      <c r="A869" s="30"/>
      <c r="C869" s="28"/>
      <c r="D869" s="0" t="str">
        <f aca="false">IF(A869="","",YEAR(A869))</f>
        <v/>
      </c>
      <c r="E869" s="0" t="str">
        <f aca="false">IF(A869="","",MONTH(A869))</f>
        <v/>
      </c>
    </row>
    <row r="870" customFormat="false" ht="15" hidden="false" customHeight="false" outlineLevel="0" collapsed="false">
      <c r="A870" s="30"/>
      <c r="C870" s="28"/>
      <c r="D870" s="0" t="str">
        <f aca="false">IF(A870="","",YEAR(A870))</f>
        <v/>
      </c>
      <c r="E870" s="0" t="str">
        <f aca="false">IF(A870="","",MONTH(A870))</f>
        <v/>
      </c>
    </row>
    <row r="871" customFormat="false" ht="15" hidden="false" customHeight="false" outlineLevel="0" collapsed="false">
      <c r="A871" s="30"/>
      <c r="C871" s="28"/>
      <c r="D871" s="0" t="str">
        <f aca="false">IF(A871="","",YEAR(A871))</f>
        <v/>
      </c>
      <c r="E871" s="0" t="str">
        <f aca="false">IF(A871="","",MONTH(A871))</f>
        <v/>
      </c>
    </row>
    <row r="872" customFormat="false" ht="15" hidden="false" customHeight="false" outlineLevel="0" collapsed="false">
      <c r="A872" s="30"/>
      <c r="C872" s="28"/>
      <c r="D872" s="0" t="str">
        <f aca="false">IF(A872="","",YEAR(A872))</f>
        <v/>
      </c>
      <c r="E872" s="0" t="str">
        <f aca="false">IF(A872="","",MONTH(A872))</f>
        <v/>
      </c>
    </row>
    <row r="873" customFormat="false" ht="15" hidden="false" customHeight="false" outlineLevel="0" collapsed="false">
      <c r="A873" s="30"/>
      <c r="C873" s="28"/>
      <c r="D873" s="0" t="str">
        <f aca="false">IF(A873="","",YEAR(A873))</f>
        <v/>
      </c>
      <c r="E873" s="0" t="str">
        <f aca="false">IF(A873="","",MONTH(A873))</f>
        <v/>
      </c>
    </row>
    <row r="874" customFormat="false" ht="15" hidden="false" customHeight="false" outlineLevel="0" collapsed="false">
      <c r="A874" s="30"/>
      <c r="C874" s="28"/>
      <c r="D874" s="0" t="str">
        <f aca="false">IF(A874="","",YEAR(A874))</f>
        <v/>
      </c>
      <c r="E874" s="0" t="str">
        <f aca="false">IF(A874="","",MONTH(A874))</f>
        <v/>
      </c>
    </row>
    <row r="875" customFormat="false" ht="15" hidden="false" customHeight="false" outlineLevel="0" collapsed="false">
      <c r="A875" s="30"/>
      <c r="C875" s="28"/>
      <c r="D875" s="0" t="str">
        <f aca="false">IF(A875="","",YEAR(A875))</f>
        <v/>
      </c>
      <c r="E875" s="0" t="str">
        <f aca="false">IF(A875="","",MONTH(A875))</f>
        <v/>
      </c>
    </row>
    <row r="876" customFormat="false" ht="15" hidden="false" customHeight="false" outlineLevel="0" collapsed="false">
      <c r="A876" s="30"/>
      <c r="C876" s="28"/>
      <c r="D876" s="0" t="str">
        <f aca="false">IF(A876="","",YEAR(A876))</f>
        <v/>
      </c>
      <c r="E876" s="0" t="str">
        <f aca="false">IF(A876="","",MONTH(A876))</f>
        <v/>
      </c>
    </row>
    <row r="877" customFormat="false" ht="15" hidden="false" customHeight="false" outlineLevel="0" collapsed="false">
      <c r="A877" s="30"/>
      <c r="C877" s="28"/>
      <c r="D877" s="0" t="str">
        <f aca="false">IF(A877="","",YEAR(A877))</f>
        <v/>
      </c>
      <c r="E877" s="0" t="str">
        <f aca="false">IF(A877="","",MONTH(A877))</f>
        <v/>
      </c>
    </row>
    <row r="878" customFormat="false" ht="15" hidden="false" customHeight="false" outlineLevel="0" collapsed="false">
      <c r="A878" s="30"/>
      <c r="C878" s="28"/>
      <c r="D878" s="0" t="str">
        <f aca="false">IF(A878="","",YEAR(A878))</f>
        <v/>
      </c>
      <c r="E878" s="0" t="str">
        <f aca="false">IF(A878="","",MONTH(A878))</f>
        <v/>
      </c>
    </row>
    <row r="879" customFormat="false" ht="15" hidden="false" customHeight="false" outlineLevel="0" collapsed="false">
      <c r="A879" s="30"/>
      <c r="C879" s="28"/>
      <c r="D879" s="0" t="str">
        <f aca="false">IF(A879="","",YEAR(A879))</f>
        <v/>
      </c>
      <c r="E879" s="0" t="str">
        <f aca="false">IF(A879="","",MONTH(A879))</f>
        <v/>
      </c>
    </row>
    <row r="880" customFormat="false" ht="15" hidden="false" customHeight="false" outlineLevel="0" collapsed="false">
      <c r="A880" s="30"/>
      <c r="C880" s="28"/>
      <c r="D880" s="0" t="str">
        <f aca="false">IF(A880="","",YEAR(A880))</f>
        <v/>
      </c>
      <c r="E880" s="0" t="str">
        <f aca="false">IF(A880="","",MONTH(A880))</f>
        <v/>
      </c>
    </row>
    <row r="881" customFormat="false" ht="15" hidden="false" customHeight="false" outlineLevel="0" collapsed="false">
      <c r="A881" s="30"/>
      <c r="C881" s="28"/>
      <c r="D881" s="0" t="str">
        <f aca="false">IF(A881="","",YEAR(A881))</f>
        <v/>
      </c>
      <c r="E881" s="0" t="str">
        <f aca="false">IF(A881="","",MONTH(A881))</f>
        <v/>
      </c>
    </row>
    <row r="882" customFormat="false" ht="15" hidden="false" customHeight="false" outlineLevel="0" collapsed="false">
      <c r="A882" s="30"/>
      <c r="C882" s="28"/>
      <c r="D882" s="0" t="str">
        <f aca="false">IF(A882="","",YEAR(A882))</f>
        <v/>
      </c>
      <c r="E882" s="0" t="str">
        <f aca="false">IF(A882="","",MONTH(A882))</f>
        <v/>
      </c>
    </row>
    <row r="883" customFormat="false" ht="15" hidden="false" customHeight="false" outlineLevel="0" collapsed="false">
      <c r="A883" s="30"/>
      <c r="C883" s="28"/>
      <c r="D883" s="0" t="str">
        <f aca="false">IF(A883="","",YEAR(A883))</f>
        <v/>
      </c>
      <c r="E883" s="0" t="str">
        <f aca="false">IF(A883="","",MONTH(A883))</f>
        <v/>
      </c>
    </row>
    <row r="884" customFormat="false" ht="15" hidden="false" customHeight="false" outlineLevel="0" collapsed="false">
      <c r="A884" s="30"/>
      <c r="C884" s="28"/>
      <c r="D884" s="0" t="str">
        <f aca="false">IF(A884="","",YEAR(A884))</f>
        <v/>
      </c>
      <c r="E884" s="0" t="str">
        <f aca="false">IF(A884="","",MONTH(A884))</f>
        <v/>
      </c>
    </row>
    <row r="885" customFormat="false" ht="15" hidden="false" customHeight="false" outlineLevel="0" collapsed="false">
      <c r="A885" s="30"/>
      <c r="C885" s="28"/>
      <c r="D885" s="0" t="str">
        <f aca="false">IF(A885="","",YEAR(A885))</f>
        <v/>
      </c>
      <c r="E885" s="0" t="str">
        <f aca="false">IF(A885="","",MONTH(A885))</f>
        <v/>
      </c>
    </row>
    <row r="886" customFormat="false" ht="15" hidden="false" customHeight="false" outlineLevel="0" collapsed="false">
      <c r="A886" s="30"/>
      <c r="C886" s="28"/>
      <c r="D886" s="0" t="str">
        <f aca="false">IF(A886="","",YEAR(A886))</f>
        <v/>
      </c>
      <c r="E886" s="0" t="str">
        <f aca="false">IF(A886="","",MONTH(A886))</f>
        <v/>
      </c>
    </row>
    <row r="887" customFormat="false" ht="15" hidden="false" customHeight="false" outlineLevel="0" collapsed="false">
      <c r="A887" s="30"/>
      <c r="C887" s="28"/>
      <c r="D887" s="0" t="str">
        <f aca="false">IF(A887="","",YEAR(A887))</f>
        <v/>
      </c>
      <c r="E887" s="0" t="str">
        <f aca="false">IF(A887="","",MONTH(A887))</f>
        <v/>
      </c>
    </row>
    <row r="888" customFormat="false" ht="15" hidden="false" customHeight="false" outlineLevel="0" collapsed="false">
      <c r="A888" s="30"/>
      <c r="C888" s="28"/>
      <c r="D888" s="0" t="str">
        <f aca="false">IF(A888="","",YEAR(A888))</f>
        <v/>
      </c>
      <c r="E888" s="0" t="str">
        <f aca="false">IF(A888="","",MONTH(A888))</f>
        <v/>
      </c>
    </row>
    <row r="889" customFormat="false" ht="15" hidden="false" customHeight="false" outlineLevel="0" collapsed="false">
      <c r="A889" s="30"/>
      <c r="C889" s="28"/>
      <c r="D889" s="0" t="str">
        <f aca="false">IF(A889="","",YEAR(A889))</f>
        <v/>
      </c>
      <c r="E889" s="0" t="str">
        <f aca="false">IF(A889="","",MONTH(A889))</f>
        <v/>
      </c>
    </row>
    <row r="890" customFormat="false" ht="15" hidden="false" customHeight="false" outlineLevel="0" collapsed="false">
      <c r="A890" s="30"/>
      <c r="C890" s="28"/>
      <c r="D890" s="0" t="str">
        <f aca="false">IF(A890="","",YEAR(A890))</f>
        <v/>
      </c>
      <c r="E890" s="0" t="str">
        <f aca="false">IF(A890="","",MONTH(A890))</f>
        <v/>
      </c>
    </row>
    <row r="891" customFormat="false" ht="15" hidden="false" customHeight="false" outlineLevel="0" collapsed="false">
      <c r="A891" s="30"/>
      <c r="C891" s="28"/>
      <c r="D891" s="0" t="str">
        <f aca="false">IF(A891="","",YEAR(A891))</f>
        <v/>
      </c>
      <c r="E891" s="0" t="str">
        <f aca="false">IF(A891="","",MONTH(A891))</f>
        <v/>
      </c>
    </row>
    <row r="892" customFormat="false" ht="15" hidden="false" customHeight="false" outlineLevel="0" collapsed="false">
      <c r="A892" s="30"/>
      <c r="C892" s="28"/>
      <c r="D892" s="0" t="str">
        <f aca="false">IF(A892="","",YEAR(A892))</f>
        <v/>
      </c>
      <c r="E892" s="0" t="str">
        <f aca="false">IF(A892="","",MONTH(A892))</f>
        <v/>
      </c>
    </row>
    <row r="893" customFormat="false" ht="15" hidden="false" customHeight="false" outlineLevel="0" collapsed="false">
      <c r="A893" s="30"/>
      <c r="C893" s="28"/>
      <c r="D893" s="0" t="str">
        <f aca="false">IF(A893="","",YEAR(A893))</f>
        <v/>
      </c>
      <c r="E893" s="0" t="str">
        <f aca="false">IF(A893="","",MONTH(A893))</f>
        <v/>
      </c>
    </row>
    <row r="894" customFormat="false" ht="15" hidden="false" customHeight="false" outlineLevel="0" collapsed="false">
      <c r="A894" s="30"/>
      <c r="C894" s="28"/>
      <c r="D894" s="0" t="str">
        <f aca="false">IF(A894="","",YEAR(A894))</f>
        <v/>
      </c>
      <c r="E894" s="0" t="str">
        <f aca="false">IF(A894="","",MONTH(A894))</f>
        <v/>
      </c>
    </row>
    <row r="895" customFormat="false" ht="15" hidden="false" customHeight="false" outlineLevel="0" collapsed="false">
      <c r="A895" s="30"/>
      <c r="C895" s="28"/>
      <c r="D895" s="0" t="str">
        <f aca="false">IF(A895="","",YEAR(A895))</f>
        <v/>
      </c>
      <c r="E895" s="0" t="str">
        <f aca="false">IF(A895="","",MONTH(A895))</f>
        <v/>
      </c>
    </row>
    <row r="896" customFormat="false" ht="15" hidden="false" customHeight="false" outlineLevel="0" collapsed="false">
      <c r="A896" s="30"/>
      <c r="C896" s="28"/>
      <c r="D896" s="0" t="str">
        <f aca="false">IF(A896="","",YEAR(A896))</f>
        <v/>
      </c>
      <c r="E896" s="0" t="str">
        <f aca="false">IF(A896="","",MONTH(A896))</f>
        <v/>
      </c>
    </row>
    <row r="897" customFormat="false" ht="15" hidden="false" customHeight="false" outlineLevel="0" collapsed="false">
      <c r="A897" s="30"/>
      <c r="C897" s="28"/>
      <c r="D897" s="0" t="str">
        <f aca="false">IF(A897="","",YEAR(A897))</f>
        <v/>
      </c>
      <c r="E897" s="0" t="str">
        <f aca="false">IF(A897="","",MONTH(A897))</f>
        <v/>
      </c>
    </row>
    <row r="898" customFormat="false" ht="15" hidden="false" customHeight="false" outlineLevel="0" collapsed="false">
      <c r="A898" s="30"/>
      <c r="C898" s="28"/>
      <c r="D898" s="0" t="str">
        <f aca="false">IF(A898="","",YEAR(A898))</f>
        <v/>
      </c>
      <c r="E898" s="0" t="str">
        <f aca="false">IF(A898="","",MONTH(A898))</f>
        <v/>
      </c>
    </row>
    <row r="899" customFormat="false" ht="15" hidden="false" customHeight="false" outlineLevel="0" collapsed="false">
      <c r="A899" s="30"/>
      <c r="C899" s="28"/>
      <c r="D899" s="0" t="str">
        <f aca="false">IF(A899="","",YEAR(A899))</f>
        <v/>
      </c>
      <c r="E899" s="0" t="str">
        <f aca="false">IF(A899="","",MONTH(A899))</f>
        <v/>
      </c>
    </row>
    <row r="900" customFormat="false" ht="15" hidden="false" customHeight="false" outlineLevel="0" collapsed="false">
      <c r="A900" s="30"/>
      <c r="C900" s="28"/>
      <c r="D900" s="0" t="str">
        <f aca="false">IF(A900="","",YEAR(A900))</f>
        <v/>
      </c>
      <c r="E900" s="0" t="str">
        <f aca="false">IF(A900="","",MONTH(A900))</f>
        <v/>
      </c>
    </row>
    <row r="901" customFormat="false" ht="15" hidden="false" customHeight="false" outlineLevel="0" collapsed="false">
      <c r="A901" s="30"/>
      <c r="C901" s="28"/>
      <c r="D901" s="0" t="str">
        <f aca="false">IF(A901="","",YEAR(A901))</f>
        <v/>
      </c>
      <c r="E901" s="0" t="str">
        <f aca="false">IF(A901="","",MONTH(A901))</f>
        <v/>
      </c>
    </row>
    <row r="902" customFormat="false" ht="15" hidden="false" customHeight="false" outlineLevel="0" collapsed="false">
      <c r="A902" s="30"/>
      <c r="C902" s="28"/>
      <c r="D902" s="0" t="str">
        <f aca="false">IF(A902="","",YEAR(A902))</f>
        <v/>
      </c>
      <c r="E902" s="0" t="str">
        <f aca="false">IF(A902="","",MONTH(A902))</f>
        <v/>
      </c>
    </row>
    <row r="903" customFormat="false" ht="15" hidden="false" customHeight="false" outlineLevel="0" collapsed="false">
      <c r="A903" s="30"/>
      <c r="C903" s="28"/>
      <c r="D903" s="0" t="str">
        <f aca="false">IF(A903="","",YEAR(A903))</f>
        <v/>
      </c>
      <c r="E903" s="0" t="str">
        <f aca="false">IF(A903="","",MONTH(A903))</f>
        <v/>
      </c>
    </row>
    <row r="904" customFormat="false" ht="15" hidden="false" customHeight="false" outlineLevel="0" collapsed="false">
      <c r="A904" s="30"/>
      <c r="C904" s="28"/>
      <c r="D904" s="0" t="str">
        <f aca="false">IF(A904="","",YEAR(A904))</f>
        <v/>
      </c>
      <c r="E904" s="0" t="str">
        <f aca="false">IF(A904="","",MONTH(A904))</f>
        <v/>
      </c>
    </row>
    <row r="905" customFormat="false" ht="15" hidden="false" customHeight="false" outlineLevel="0" collapsed="false">
      <c r="A905" s="30"/>
      <c r="C905" s="28"/>
      <c r="D905" s="0" t="str">
        <f aca="false">IF(A905="","",YEAR(A905))</f>
        <v/>
      </c>
      <c r="E905" s="0" t="str">
        <f aca="false">IF(A905="","",MONTH(A905))</f>
        <v/>
      </c>
    </row>
    <row r="906" customFormat="false" ht="15" hidden="false" customHeight="false" outlineLevel="0" collapsed="false">
      <c r="A906" s="30"/>
      <c r="C906" s="28"/>
      <c r="D906" s="0" t="str">
        <f aca="false">IF(A906="","",YEAR(A906))</f>
        <v/>
      </c>
      <c r="E906" s="0" t="str">
        <f aca="false">IF(A906="","",MONTH(A906))</f>
        <v/>
      </c>
    </row>
    <row r="907" customFormat="false" ht="15" hidden="false" customHeight="false" outlineLevel="0" collapsed="false">
      <c r="A907" s="30"/>
      <c r="C907" s="28"/>
      <c r="D907" s="0" t="str">
        <f aca="false">IF(A907="","",YEAR(A907))</f>
        <v/>
      </c>
      <c r="E907" s="0" t="str">
        <f aca="false">IF(A907="","",MONTH(A907))</f>
        <v/>
      </c>
    </row>
    <row r="908" customFormat="false" ht="15" hidden="false" customHeight="false" outlineLevel="0" collapsed="false">
      <c r="A908" s="30"/>
      <c r="C908" s="28"/>
      <c r="D908" s="0" t="str">
        <f aca="false">IF(A908="","",YEAR(A908))</f>
        <v/>
      </c>
      <c r="E908" s="0" t="str">
        <f aca="false">IF(A908="","",MONTH(A908))</f>
        <v/>
      </c>
    </row>
    <row r="909" customFormat="false" ht="15" hidden="false" customHeight="false" outlineLevel="0" collapsed="false">
      <c r="A909" s="30"/>
      <c r="C909" s="28"/>
      <c r="D909" s="0" t="str">
        <f aca="false">IF(A909="","",YEAR(A909))</f>
        <v/>
      </c>
      <c r="E909" s="0" t="str">
        <f aca="false">IF(A909="","",MONTH(A909))</f>
        <v/>
      </c>
    </row>
    <row r="910" customFormat="false" ht="15" hidden="false" customHeight="false" outlineLevel="0" collapsed="false">
      <c r="A910" s="30"/>
      <c r="C910" s="28"/>
      <c r="D910" s="0" t="str">
        <f aca="false">IF(A910="","",YEAR(A910))</f>
        <v/>
      </c>
      <c r="E910" s="0" t="str">
        <f aca="false">IF(A910="","",MONTH(A910))</f>
        <v/>
      </c>
    </row>
    <row r="911" customFormat="false" ht="15" hidden="false" customHeight="false" outlineLevel="0" collapsed="false">
      <c r="A911" s="30"/>
      <c r="C911" s="28"/>
      <c r="D911" s="0" t="str">
        <f aca="false">IF(A911="","",YEAR(A911))</f>
        <v/>
      </c>
      <c r="E911" s="0" t="str">
        <f aca="false">IF(A911="","",MONTH(A911))</f>
        <v/>
      </c>
    </row>
    <row r="912" customFormat="false" ht="15" hidden="false" customHeight="false" outlineLevel="0" collapsed="false">
      <c r="A912" s="30"/>
      <c r="C912" s="28"/>
      <c r="D912" s="0" t="str">
        <f aca="false">IF(A912="","",YEAR(A912))</f>
        <v/>
      </c>
      <c r="E912" s="0" t="str">
        <f aca="false">IF(A912="","",MONTH(A912))</f>
        <v/>
      </c>
    </row>
    <row r="913" customFormat="false" ht="15" hidden="false" customHeight="false" outlineLevel="0" collapsed="false">
      <c r="A913" s="30"/>
      <c r="C913" s="28"/>
      <c r="D913" s="0" t="str">
        <f aca="false">IF(A913="","",YEAR(A913))</f>
        <v/>
      </c>
      <c r="E913" s="0" t="str">
        <f aca="false">IF(A913="","",MONTH(A913))</f>
        <v/>
      </c>
    </row>
    <row r="914" customFormat="false" ht="15" hidden="false" customHeight="false" outlineLevel="0" collapsed="false">
      <c r="A914" s="30"/>
      <c r="C914" s="28"/>
      <c r="D914" s="0" t="str">
        <f aca="false">IF(A914="","",YEAR(A914))</f>
        <v/>
      </c>
      <c r="E914" s="0" t="str">
        <f aca="false">IF(A914="","",MONTH(A914))</f>
        <v/>
      </c>
    </row>
    <row r="915" customFormat="false" ht="15" hidden="false" customHeight="false" outlineLevel="0" collapsed="false">
      <c r="A915" s="30"/>
      <c r="C915" s="28"/>
      <c r="D915" s="0" t="str">
        <f aca="false">IF(A915="","",YEAR(A915))</f>
        <v/>
      </c>
      <c r="E915" s="0" t="str">
        <f aca="false">IF(A915="","",MONTH(A915))</f>
        <v/>
      </c>
    </row>
    <row r="916" customFormat="false" ht="15" hidden="false" customHeight="false" outlineLevel="0" collapsed="false">
      <c r="A916" s="30"/>
      <c r="C916" s="28"/>
      <c r="D916" s="0" t="str">
        <f aca="false">IF(A916="","",YEAR(A916))</f>
        <v/>
      </c>
      <c r="E916" s="0" t="str">
        <f aca="false">IF(A916="","",MONTH(A916))</f>
        <v/>
      </c>
    </row>
    <row r="917" customFormat="false" ht="15" hidden="false" customHeight="false" outlineLevel="0" collapsed="false">
      <c r="A917" s="30"/>
      <c r="C917" s="28"/>
      <c r="D917" s="0" t="str">
        <f aca="false">IF(A917="","",YEAR(A917))</f>
        <v/>
      </c>
      <c r="E917" s="0" t="str">
        <f aca="false">IF(A917="","",MONTH(A917))</f>
        <v/>
      </c>
    </row>
    <row r="918" customFormat="false" ht="15" hidden="false" customHeight="false" outlineLevel="0" collapsed="false">
      <c r="A918" s="30"/>
      <c r="C918" s="28"/>
      <c r="D918" s="0" t="str">
        <f aca="false">IF(A918="","",YEAR(A918))</f>
        <v/>
      </c>
      <c r="E918" s="0" t="str">
        <f aca="false">IF(A918="","",MONTH(A918))</f>
        <v/>
      </c>
    </row>
    <row r="919" customFormat="false" ht="15" hidden="false" customHeight="false" outlineLevel="0" collapsed="false">
      <c r="A919" s="30"/>
      <c r="C919" s="28"/>
      <c r="D919" s="0" t="str">
        <f aca="false">IF(A919="","",YEAR(A919))</f>
        <v/>
      </c>
      <c r="E919" s="0" t="str">
        <f aca="false">IF(A919="","",MONTH(A919))</f>
        <v/>
      </c>
    </row>
    <row r="920" customFormat="false" ht="15" hidden="false" customHeight="false" outlineLevel="0" collapsed="false">
      <c r="A920" s="30"/>
      <c r="C920" s="28"/>
      <c r="D920" s="0" t="str">
        <f aca="false">IF(A920="","",YEAR(A920))</f>
        <v/>
      </c>
      <c r="E920" s="0" t="str">
        <f aca="false">IF(A920="","",MONTH(A920))</f>
        <v/>
      </c>
    </row>
    <row r="921" customFormat="false" ht="15" hidden="false" customHeight="false" outlineLevel="0" collapsed="false">
      <c r="A921" s="30"/>
      <c r="C921" s="28"/>
      <c r="D921" s="0" t="str">
        <f aca="false">IF(A921="","",YEAR(A921))</f>
        <v/>
      </c>
      <c r="E921" s="0" t="str">
        <f aca="false">IF(A921="","",MONTH(A921))</f>
        <v/>
      </c>
    </row>
    <row r="922" customFormat="false" ht="15" hidden="false" customHeight="false" outlineLevel="0" collapsed="false">
      <c r="A922" s="30"/>
      <c r="C922" s="28"/>
      <c r="D922" s="0" t="str">
        <f aca="false">IF(A922="","",YEAR(A922))</f>
        <v/>
      </c>
      <c r="E922" s="0" t="str">
        <f aca="false">IF(A922="","",MONTH(A922))</f>
        <v/>
      </c>
    </row>
    <row r="923" customFormat="false" ht="15" hidden="false" customHeight="false" outlineLevel="0" collapsed="false">
      <c r="A923" s="30"/>
      <c r="C923" s="28"/>
      <c r="D923" s="0" t="str">
        <f aca="false">IF(A923="","",YEAR(A923))</f>
        <v/>
      </c>
      <c r="E923" s="0" t="str">
        <f aca="false">IF(A923="","",MONTH(A923))</f>
        <v/>
      </c>
    </row>
    <row r="924" customFormat="false" ht="15" hidden="false" customHeight="false" outlineLevel="0" collapsed="false">
      <c r="A924" s="30"/>
      <c r="C924" s="28"/>
      <c r="D924" s="0" t="str">
        <f aca="false">IF(A924="","",YEAR(A924))</f>
        <v/>
      </c>
      <c r="E924" s="0" t="str">
        <f aca="false">IF(A924="","",MONTH(A924))</f>
        <v/>
      </c>
    </row>
    <row r="925" customFormat="false" ht="15" hidden="false" customHeight="false" outlineLevel="0" collapsed="false">
      <c r="A925" s="30"/>
      <c r="C925" s="28"/>
      <c r="D925" s="0" t="str">
        <f aca="false">IF(A925="","",YEAR(A925))</f>
        <v/>
      </c>
      <c r="E925" s="0" t="str">
        <f aca="false">IF(A925="","",MONTH(A925))</f>
        <v/>
      </c>
    </row>
    <row r="926" customFormat="false" ht="15" hidden="false" customHeight="false" outlineLevel="0" collapsed="false">
      <c r="A926" s="30"/>
      <c r="C926" s="28"/>
      <c r="D926" s="0" t="str">
        <f aca="false">IF(A926="","",YEAR(A926))</f>
        <v/>
      </c>
      <c r="E926" s="0" t="str">
        <f aca="false">IF(A926="","",MONTH(A926))</f>
        <v/>
      </c>
    </row>
    <row r="927" customFormat="false" ht="15" hidden="false" customHeight="false" outlineLevel="0" collapsed="false">
      <c r="A927" s="30"/>
      <c r="C927" s="28"/>
      <c r="D927" s="0" t="str">
        <f aca="false">IF(A927="","",YEAR(A927))</f>
        <v/>
      </c>
      <c r="E927" s="0" t="str">
        <f aca="false">IF(A927="","",MONTH(A927))</f>
        <v/>
      </c>
    </row>
    <row r="928" customFormat="false" ht="15" hidden="false" customHeight="false" outlineLevel="0" collapsed="false">
      <c r="A928" s="30"/>
      <c r="C928" s="28"/>
      <c r="D928" s="0" t="str">
        <f aca="false">IF(A928="","",YEAR(A928))</f>
        <v/>
      </c>
      <c r="E928" s="0" t="str">
        <f aca="false">IF(A928="","",MONTH(A928))</f>
        <v/>
      </c>
    </row>
    <row r="929" customFormat="false" ht="15" hidden="false" customHeight="false" outlineLevel="0" collapsed="false">
      <c r="A929" s="30"/>
      <c r="C929" s="28"/>
      <c r="D929" s="0" t="str">
        <f aca="false">IF(A929="","",YEAR(A929))</f>
        <v/>
      </c>
      <c r="E929" s="0" t="str">
        <f aca="false">IF(A929="","",MONTH(A929))</f>
        <v/>
      </c>
    </row>
    <row r="930" customFormat="false" ht="15" hidden="false" customHeight="false" outlineLevel="0" collapsed="false">
      <c r="A930" s="30"/>
      <c r="C930" s="28"/>
      <c r="D930" s="0" t="str">
        <f aca="false">IF(A930="","",YEAR(A930))</f>
        <v/>
      </c>
      <c r="E930" s="0" t="str">
        <f aca="false">IF(A930="","",MONTH(A930))</f>
        <v/>
      </c>
    </row>
    <row r="931" customFormat="false" ht="15" hidden="false" customHeight="false" outlineLevel="0" collapsed="false">
      <c r="A931" s="30"/>
      <c r="C931" s="28"/>
      <c r="D931" s="0" t="str">
        <f aca="false">IF(A931="","",YEAR(A931))</f>
        <v/>
      </c>
      <c r="E931" s="0" t="str">
        <f aca="false">IF(A931="","",MONTH(A931))</f>
        <v/>
      </c>
    </row>
    <row r="932" customFormat="false" ht="15" hidden="false" customHeight="false" outlineLevel="0" collapsed="false">
      <c r="A932" s="30"/>
      <c r="C932" s="28"/>
      <c r="D932" s="0" t="str">
        <f aca="false">IF(A932="","",YEAR(A932))</f>
        <v/>
      </c>
      <c r="E932" s="0" t="str">
        <f aca="false">IF(A932="","",MONTH(A932))</f>
        <v/>
      </c>
    </row>
    <row r="933" customFormat="false" ht="15" hidden="false" customHeight="false" outlineLevel="0" collapsed="false">
      <c r="A933" s="30"/>
      <c r="C933" s="28"/>
      <c r="D933" s="0" t="str">
        <f aca="false">IF(A933="","",YEAR(A933))</f>
        <v/>
      </c>
      <c r="E933" s="0" t="str">
        <f aca="false">IF(A933="","",MONTH(A933))</f>
        <v/>
      </c>
    </row>
    <row r="934" customFormat="false" ht="15" hidden="false" customHeight="false" outlineLevel="0" collapsed="false">
      <c r="A934" s="30"/>
      <c r="C934" s="28"/>
      <c r="D934" s="0" t="str">
        <f aca="false">IF(A934="","",YEAR(A934))</f>
        <v/>
      </c>
      <c r="E934" s="0" t="str">
        <f aca="false">IF(A934="","",MONTH(A934))</f>
        <v/>
      </c>
    </row>
    <row r="935" customFormat="false" ht="15" hidden="false" customHeight="false" outlineLevel="0" collapsed="false">
      <c r="A935" s="30"/>
      <c r="C935" s="28"/>
      <c r="D935" s="0" t="str">
        <f aca="false">IF(A935="","",YEAR(A935))</f>
        <v/>
      </c>
      <c r="E935" s="0" t="str">
        <f aca="false">IF(A935="","",MONTH(A935))</f>
        <v/>
      </c>
    </row>
    <row r="936" customFormat="false" ht="15" hidden="false" customHeight="false" outlineLevel="0" collapsed="false">
      <c r="A936" s="30"/>
      <c r="C936" s="28"/>
      <c r="D936" s="0" t="str">
        <f aca="false">IF(A936="","",YEAR(A936))</f>
        <v/>
      </c>
      <c r="E936" s="0" t="str">
        <f aca="false">IF(A936="","",MONTH(A936))</f>
        <v/>
      </c>
    </row>
    <row r="937" customFormat="false" ht="15" hidden="false" customHeight="false" outlineLevel="0" collapsed="false">
      <c r="A937" s="30"/>
      <c r="C937" s="28"/>
      <c r="D937" s="0" t="str">
        <f aca="false">IF(A937="","",YEAR(A937))</f>
        <v/>
      </c>
      <c r="E937" s="0" t="str">
        <f aca="false">IF(A937="","",MONTH(A937))</f>
        <v/>
      </c>
    </row>
    <row r="938" customFormat="false" ht="15" hidden="false" customHeight="false" outlineLevel="0" collapsed="false">
      <c r="A938" s="30"/>
      <c r="C938" s="28"/>
      <c r="D938" s="0" t="str">
        <f aca="false">IF(A938="","",YEAR(A938))</f>
        <v/>
      </c>
      <c r="E938" s="0" t="str">
        <f aca="false">IF(A938="","",MONTH(A938))</f>
        <v/>
      </c>
    </row>
    <row r="939" customFormat="false" ht="15" hidden="false" customHeight="false" outlineLevel="0" collapsed="false">
      <c r="A939" s="30"/>
      <c r="C939" s="28"/>
      <c r="D939" s="0" t="str">
        <f aca="false">IF(A939="","",YEAR(A939))</f>
        <v/>
      </c>
      <c r="E939" s="0" t="str">
        <f aca="false">IF(A939="","",MONTH(A939))</f>
        <v/>
      </c>
    </row>
    <row r="940" customFormat="false" ht="15" hidden="false" customHeight="false" outlineLevel="0" collapsed="false">
      <c r="A940" s="30"/>
      <c r="C940" s="28"/>
      <c r="D940" s="0" t="str">
        <f aca="false">IF(A940="","",YEAR(A940))</f>
        <v/>
      </c>
      <c r="E940" s="0" t="str">
        <f aca="false">IF(A940="","",MONTH(A940))</f>
        <v/>
      </c>
    </row>
    <row r="941" customFormat="false" ht="15" hidden="false" customHeight="false" outlineLevel="0" collapsed="false">
      <c r="A941" s="30"/>
      <c r="C941" s="28"/>
      <c r="D941" s="0" t="str">
        <f aca="false">IF(A941="","",YEAR(A941))</f>
        <v/>
      </c>
      <c r="E941" s="0" t="str">
        <f aca="false">IF(A941="","",MONTH(A941))</f>
        <v/>
      </c>
    </row>
    <row r="942" customFormat="false" ht="15" hidden="false" customHeight="false" outlineLevel="0" collapsed="false">
      <c r="A942" s="30"/>
      <c r="C942" s="28"/>
      <c r="D942" s="0" t="str">
        <f aca="false">IF(A942="","",YEAR(A942))</f>
        <v/>
      </c>
      <c r="E942" s="0" t="str">
        <f aca="false">IF(A942="","",MONTH(A942))</f>
        <v/>
      </c>
    </row>
    <row r="943" customFormat="false" ht="15" hidden="false" customHeight="false" outlineLevel="0" collapsed="false">
      <c r="A943" s="30"/>
      <c r="C943" s="28"/>
      <c r="D943" s="0" t="str">
        <f aca="false">IF(A943="","",YEAR(A943))</f>
        <v/>
      </c>
      <c r="E943" s="0" t="str">
        <f aca="false">IF(A943="","",MONTH(A943))</f>
        <v/>
      </c>
    </row>
    <row r="944" customFormat="false" ht="15" hidden="false" customHeight="false" outlineLevel="0" collapsed="false">
      <c r="A944" s="30"/>
      <c r="C944" s="28"/>
      <c r="D944" s="0" t="str">
        <f aca="false">IF(A944="","",YEAR(A944))</f>
        <v/>
      </c>
      <c r="E944" s="0" t="str">
        <f aca="false">IF(A944="","",MONTH(A944))</f>
        <v/>
      </c>
    </row>
    <row r="945" customFormat="false" ht="15" hidden="false" customHeight="false" outlineLevel="0" collapsed="false">
      <c r="A945" s="30"/>
      <c r="C945" s="28"/>
      <c r="D945" s="0" t="str">
        <f aca="false">IF(A945="","",YEAR(A945))</f>
        <v/>
      </c>
      <c r="E945" s="0" t="str">
        <f aca="false">IF(A945="","",MONTH(A945))</f>
        <v/>
      </c>
    </row>
    <row r="946" customFormat="false" ht="15" hidden="false" customHeight="false" outlineLevel="0" collapsed="false">
      <c r="A946" s="30"/>
      <c r="C946" s="28"/>
      <c r="D946" s="0" t="str">
        <f aca="false">IF(A946="","",YEAR(A946))</f>
        <v/>
      </c>
      <c r="E946" s="0" t="str">
        <f aca="false">IF(A946="","",MONTH(A946))</f>
        <v/>
      </c>
    </row>
    <row r="947" customFormat="false" ht="15" hidden="false" customHeight="false" outlineLevel="0" collapsed="false">
      <c r="A947" s="30"/>
      <c r="C947" s="28"/>
      <c r="D947" s="0" t="str">
        <f aca="false">IF(A947="","",YEAR(A947))</f>
        <v/>
      </c>
      <c r="E947" s="0" t="str">
        <f aca="false">IF(A947="","",MONTH(A947))</f>
        <v/>
      </c>
    </row>
    <row r="948" customFormat="false" ht="15" hidden="false" customHeight="false" outlineLevel="0" collapsed="false">
      <c r="A948" s="30"/>
      <c r="C948" s="28"/>
      <c r="D948" s="0" t="str">
        <f aca="false">IF(A948="","",YEAR(A948))</f>
        <v/>
      </c>
      <c r="E948" s="0" t="str">
        <f aca="false">IF(A948="","",MONTH(A948))</f>
        <v/>
      </c>
    </row>
    <row r="949" customFormat="false" ht="15" hidden="false" customHeight="false" outlineLevel="0" collapsed="false">
      <c r="A949" s="30"/>
      <c r="C949" s="28"/>
      <c r="D949" s="0" t="str">
        <f aca="false">IF(A949="","",YEAR(A949))</f>
        <v/>
      </c>
      <c r="E949" s="0" t="str">
        <f aca="false">IF(A949="","",MONTH(A949))</f>
        <v/>
      </c>
    </row>
    <row r="950" customFormat="false" ht="15" hidden="false" customHeight="false" outlineLevel="0" collapsed="false">
      <c r="A950" s="30"/>
      <c r="C950" s="28"/>
      <c r="D950" s="0" t="str">
        <f aca="false">IF(A950="","",YEAR(A950))</f>
        <v/>
      </c>
      <c r="E950" s="0" t="str">
        <f aca="false">IF(A950="","",MONTH(A950))</f>
        <v/>
      </c>
    </row>
    <row r="951" customFormat="false" ht="15" hidden="false" customHeight="false" outlineLevel="0" collapsed="false">
      <c r="A951" s="30"/>
      <c r="C951" s="28"/>
      <c r="D951" s="0" t="str">
        <f aca="false">IF(A951="","",YEAR(A951))</f>
        <v/>
      </c>
      <c r="E951" s="0" t="str">
        <f aca="false">IF(A951="","",MONTH(A951))</f>
        <v/>
      </c>
    </row>
    <row r="952" customFormat="false" ht="15" hidden="false" customHeight="false" outlineLevel="0" collapsed="false">
      <c r="A952" s="30"/>
      <c r="C952" s="28"/>
      <c r="D952" s="0" t="str">
        <f aca="false">IF(A952="","",YEAR(A952))</f>
        <v/>
      </c>
      <c r="E952" s="0" t="str">
        <f aca="false">IF(A952="","",MONTH(A952))</f>
        <v/>
      </c>
    </row>
    <row r="953" customFormat="false" ht="15" hidden="false" customHeight="false" outlineLevel="0" collapsed="false">
      <c r="A953" s="30"/>
      <c r="C953" s="28"/>
      <c r="D953" s="0" t="str">
        <f aca="false">IF(A953="","",YEAR(A953))</f>
        <v/>
      </c>
      <c r="E953" s="0" t="str">
        <f aca="false">IF(A953="","",MONTH(A953))</f>
        <v/>
      </c>
    </row>
    <row r="954" customFormat="false" ht="15" hidden="false" customHeight="false" outlineLevel="0" collapsed="false">
      <c r="A954" s="30"/>
      <c r="C954" s="28"/>
      <c r="D954" s="0" t="str">
        <f aca="false">IF(A954="","",YEAR(A954))</f>
        <v/>
      </c>
      <c r="E954" s="0" t="str">
        <f aca="false">IF(A954="","",MONTH(A954))</f>
        <v/>
      </c>
    </row>
    <row r="955" customFormat="false" ht="15" hidden="false" customHeight="false" outlineLevel="0" collapsed="false">
      <c r="A955" s="30"/>
      <c r="C955" s="28"/>
      <c r="D955" s="0" t="str">
        <f aca="false">IF(A955="","",YEAR(A955))</f>
        <v/>
      </c>
      <c r="E955" s="0" t="str">
        <f aca="false">IF(A955="","",MONTH(A955))</f>
        <v/>
      </c>
    </row>
    <row r="956" customFormat="false" ht="15" hidden="false" customHeight="false" outlineLevel="0" collapsed="false">
      <c r="A956" s="30"/>
      <c r="C956" s="28"/>
      <c r="D956" s="0" t="str">
        <f aca="false">IF(A956="","",YEAR(A956))</f>
        <v/>
      </c>
      <c r="E956" s="0" t="str">
        <f aca="false">IF(A956="","",MONTH(A956))</f>
        <v/>
      </c>
    </row>
    <row r="957" customFormat="false" ht="15" hidden="false" customHeight="false" outlineLevel="0" collapsed="false">
      <c r="A957" s="30"/>
      <c r="C957" s="28"/>
      <c r="D957" s="0" t="str">
        <f aca="false">IF(A957="","",YEAR(A957))</f>
        <v/>
      </c>
      <c r="E957" s="0" t="str">
        <f aca="false">IF(A957="","",MONTH(A957))</f>
        <v/>
      </c>
    </row>
    <row r="958" customFormat="false" ht="15" hidden="false" customHeight="false" outlineLevel="0" collapsed="false">
      <c r="A958" s="30"/>
      <c r="C958" s="28"/>
      <c r="D958" s="0" t="str">
        <f aca="false">IF(A958="","",YEAR(A958))</f>
        <v/>
      </c>
      <c r="E958" s="0" t="str">
        <f aca="false">IF(A958="","",MONTH(A958))</f>
        <v/>
      </c>
    </row>
    <row r="959" customFormat="false" ht="15" hidden="false" customHeight="false" outlineLevel="0" collapsed="false">
      <c r="A959" s="30"/>
      <c r="C959" s="28"/>
      <c r="D959" s="0" t="str">
        <f aca="false">IF(A959="","",YEAR(A959))</f>
        <v/>
      </c>
      <c r="E959" s="0" t="str">
        <f aca="false">IF(A959="","",MONTH(A959))</f>
        <v/>
      </c>
    </row>
    <row r="960" customFormat="false" ht="15" hidden="false" customHeight="false" outlineLevel="0" collapsed="false">
      <c r="A960" s="30"/>
      <c r="C960" s="28"/>
      <c r="D960" s="0" t="str">
        <f aca="false">IF(A960="","",YEAR(A960))</f>
        <v/>
      </c>
      <c r="E960" s="0" t="str">
        <f aca="false">IF(A960="","",MONTH(A960))</f>
        <v/>
      </c>
    </row>
    <row r="961" customFormat="false" ht="15" hidden="false" customHeight="false" outlineLevel="0" collapsed="false">
      <c r="A961" s="30"/>
      <c r="C961" s="28"/>
      <c r="D961" s="0" t="str">
        <f aca="false">IF(A961="","",YEAR(A961))</f>
        <v/>
      </c>
      <c r="E961" s="0" t="str">
        <f aca="false">IF(A961="","",MONTH(A961))</f>
        <v/>
      </c>
    </row>
    <row r="962" customFormat="false" ht="15" hidden="false" customHeight="false" outlineLevel="0" collapsed="false">
      <c r="A962" s="30"/>
      <c r="C962" s="28"/>
      <c r="D962" s="0" t="str">
        <f aca="false">IF(A962="","",YEAR(A962))</f>
        <v/>
      </c>
      <c r="E962" s="0" t="str">
        <f aca="false">IF(A962="","",MONTH(A962))</f>
        <v/>
      </c>
    </row>
    <row r="963" customFormat="false" ht="15" hidden="false" customHeight="false" outlineLevel="0" collapsed="false">
      <c r="A963" s="30"/>
      <c r="C963" s="28"/>
      <c r="D963" s="0" t="str">
        <f aca="false">IF(A963="","",YEAR(A963))</f>
        <v/>
      </c>
      <c r="E963" s="0" t="str">
        <f aca="false">IF(A963="","",MONTH(A963))</f>
        <v/>
      </c>
    </row>
    <row r="964" customFormat="false" ht="15" hidden="false" customHeight="false" outlineLevel="0" collapsed="false">
      <c r="A964" s="30"/>
      <c r="C964" s="28"/>
      <c r="D964" s="0" t="str">
        <f aca="false">IF(A964="","",YEAR(A964))</f>
        <v/>
      </c>
      <c r="E964" s="0" t="str">
        <f aca="false">IF(A964="","",MONTH(A964))</f>
        <v/>
      </c>
    </row>
    <row r="965" customFormat="false" ht="15" hidden="false" customHeight="false" outlineLevel="0" collapsed="false">
      <c r="A965" s="30"/>
      <c r="C965" s="28"/>
      <c r="D965" s="0" t="str">
        <f aca="false">IF(A965="","",YEAR(A965))</f>
        <v/>
      </c>
      <c r="E965" s="0" t="str">
        <f aca="false">IF(A965="","",MONTH(A965))</f>
        <v/>
      </c>
    </row>
    <row r="966" customFormat="false" ht="15" hidden="false" customHeight="false" outlineLevel="0" collapsed="false">
      <c r="A966" s="30"/>
      <c r="C966" s="28"/>
      <c r="D966" s="0" t="str">
        <f aca="false">IF(A966="","",YEAR(A966))</f>
        <v/>
      </c>
      <c r="E966" s="0" t="str">
        <f aca="false">IF(A966="","",MONTH(A966))</f>
        <v/>
      </c>
    </row>
    <row r="967" customFormat="false" ht="15" hidden="false" customHeight="false" outlineLevel="0" collapsed="false">
      <c r="A967" s="30"/>
      <c r="C967" s="28"/>
      <c r="D967" s="0" t="str">
        <f aca="false">IF(A967="","",YEAR(A967))</f>
        <v/>
      </c>
      <c r="E967" s="0" t="str">
        <f aca="false">IF(A967="","",MONTH(A967))</f>
        <v/>
      </c>
    </row>
    <row r="968" customFormat="false" ht="15" hidden="false" customHeight="false" outlineLevel="0" collapsed="false">
      <c r="A968" s="30"/>
      <c r="C968" s="28"/>
      <c r="D968" s="0" t="str">
        <f aca="false">IF(A968="","",YEAR(A968))</f>
        <v/>
      </c>
      <c r="E968" s="0" t="str">
        <f aca="false">IF(A968="","",MONTH(A968))</f>
        <v/>
      </c>
    </row>
    <row r="969" customFormat="false" ht="15" hidden="false" customHeight="false" outlineLevel="0" collapsed="false">
      <c r="A969" s="30"/>
      <c r="C969" s="28"/>
      <c r="D969" s="0" t="str">
        <f aca="false">IF(A969="","",YEAR(A969))</f>
        <v/>
      </c>
      <c r="E969" s="0" t="str">
        <f aca="false">IF(A969="","",MONTH(A969))</f>
        <v/>
      </c>
    </row>
    <row r="970" customFormat="false" ht="15" hidden="false" customHeight="false" outlineLevel="0" collapsed="false">
      <c r="A970" s="30"/>
      <c r="C970" s="28"/>
      <c r="D970" s="0" t="str">
        <f aca="false">IF(A970="","",YEAR(A970))</f>
        <v/>
      </c>
      <c r="E970" s="0" t="str">
        <f aca="false">IF(A970="","",MONTH(A970))</f>
        <v/>
      </c>
    </row>
    <row r="971" customFormat="false" ht="15" hidden="false" customHeight="false" outlineLevel="0" collapsed="false">
      <c r="A971" s="30"/>
      <c r="C971" s="28"/>
      <c r="D971" s="0" t="str">
        <f aca="false">IF(A971="","",YEAR(A971))</f>
        <v/>
      </c>
      <c r="E971" s="0" t="str">
        <f aca="false">IF(A971="","",MONTH(A971))</f>
        <v/>
      </c>
    </row>
    <row r="972" customFormat="false" ht="15" hidden="false" customHeight="false" outlineLevel="0" collapsed="false">
      <c r="A972" s="30"/>
      <c r="C972" s="28"/>
      <c r="D972" s="0" t="str">
        <f aca="false">IF(A972="","",YEAR(A972))</f>
        <v/>
      </c>
      <c r="E972" s="0" t="str">
        <f aca="false">IF(A972="","",MONTH(A972))</f>
        <v/>
      </c>
    </row>
    <row r="973" customFormat="false" ht="15" hidden="false" customHeight="false" outlineLevel="0" collapsed="false">
      <c r="A973" s="30"/>
      <c r="C973" s="28"/>
      <c r="D973" s="0" t="str">
        <f aca="false">IF(A973="","",YEAR(A973))</f>
        <v/>
      </c>
      <c r="E973" s="0" t="str">
        <f aca="false">IF(A973="","",MONTH(A973))</f>
        <v/>
      </c>
    </row>
    <row r="974" customFormat="false" ht="15" hidden="false" customHeight="false" outlineLevel="0" collapsed="false">
      <c r="A974" s="30"/>
      <c r="C974" s="28"/>
      <c r="D974" s="0" t="str">
        <f aca="false">IF(A974="","",YEAR(A974))</f>
        <v/>
      </c>
      <c r="E974" s="0" t="str">
        <f aca="false">IF(A974="","",MONTH(A974))</f>
        <v/>
      </c>
    </row>
    <row r="975" customFormat="false" ht="15" hidden="false" customHeight="false" outlineLevel="0" collapsed="false">
      <c r="A975" s="30"/>
      <c r="C975" s="28"/>
      <c r="D975" s="0" t="str">
        <f aca="false">IF(A975="","",YEAR(A975))</f>
        <v/>
      </c>
      <c r="E975" s="0" t="str">
        <f aca="false">IF(A975="","",MONTH(A975))</f>
        <v/>
      </c>
    </row>
    <row r="976" customFormat="false" ht="15" hidden="false" customHeight="false" outlineLevel="0" collapsed="false">
      <c r="A976" s="30"/>
      <c r="C976" s="28"/>
      <c r="D976" s="0" t="str">
        <f aca="false">IF(A976="","",YEAR(A976))</f>
        <v/>
      </c>
      <c r="E976" s="0" t="str">
        <f aca="false">IF(A976="","",MONTH(A976))</f>
        <v/>
      </c>
    </row>
    <row r="977" customFormat="false" ht="15" hidden="false" customHeight="false" outlineLevel="0" collapsed="false">
      <c r="A977" s="30"/>
      <c r="C977" s="28"/>
      <c r="D977" s="0" t="str">
        <f aca="false">IF(A977="","",YEAR(A977))</f>
        <v/>
      </c>
      <c r="E977" s="0" t="str">
        <f aca="false">IF(A977="","",MONTH(A977))</f>
        <v/>
      </c>
    </row>
    <row r="978" customFormat="false" ht="15" hidden="false" customHeight="false" outlineLevel="0" collapsed="false">
      <c r="A978" s="30"/>
      <c r="C978" s="28"/>
      <c r="D978" s="0" t="str">
        <f aca="false">IF(A978="","",YEAR(A978))</f>
        <v/>
      </c>
      <c r="E978" s="0" t="str">
        <f aca="false">IF(A978="","",MONTH(A978))</f>
        <v/>
      </c>
    </row>
    <row r="979" customFormat="false" ht="15" hidden="false" customHeight="false" outlineLevel="0" collapsed="false">
      <c r="A979" s="30"/>
      <c r="C979" s="28"/>
      <c r="D979" s="0" t="str">
        <f aca="false">IF(A979="","",YEAR(A979))</f>
        <v/>
      </c>
      <c r="E979" s="0" t="str">
        <f aca="false">IF(A979="","",MONTH(A979))</f>
        <v/>
      </c>
    </row>
    <row r="980" customFormat="false" ht="15" hidden="false" customHeight="false" outlineLevel="0" collapsed="false">
      <c r="A980" s="30"/>
      <c r="C980" s="28"/>
      <c r="D980" s="0" t="str">
        <f aca="false">IF(A980="","",YEAR(A980))</f>
        <v/>
      </c>
      <c r="E980" s="0" t="str">
        <f aca="false">IF(A980="","",MONTH(A980))</f>
        <v/>
      </c>
    </row>
    <row r="981" customFormat="false" ht="15" hidden="false" customHeight="false" outlineLevel="0" collapsed="false">
      <c r="A981" s="30"/>
      <c r="C981" s="28"/>
      <c r="D981" s="0" t="str">
        <f aca="false">IF(A981="","",YEAR(A981))</f>
        <v/>
      </c>
      <c r="E981" s="0" t="str">
        <f aca="false">IF(A981="","",MONTH(A981))</f>
        <v/>
      </c>
    </row>
    <row r="982" customFormat="false" ht="15" hidden="false" customHeight="false" outlineLevel="0" collapsed="false">
      <c r="A982" s="30"/>
      <c r="C982" s="28"/>
      <c r="D982" s="0" t="str">
        <f aca="false">IF(A982="","",YEAR(A982))</f>
        <v/>
      </c>
      <c r="E982" s="0" t="str">
        <f aca="false">IF(A982="","",MONTH(A982))</f>
        <v/>
      </c>
    </row>
    <row r="983" customFormat="false" ht="15" hidden="false" customHeight="false" outlineLevel="0" collapsed="false">
      <c r="A983" s="30"/>
      <c r="C983" s="28"/>
      <c r="D983" s="0" t="str">
        <f aca="false">IF(A983="","",YEAR(A983))</f>
        <v/>
      </c>
      <c r="E983" s="0" t="str">
        <f aca="false">IF(A983="","",MONTH(A983))</f>
        <v/>
      </c>
    </row>
    <row r="984" customFormat="false" ht="15" hidden="false" customHeight="false" outlineLevel="0" collapsed="false">
      <c r="A984" s="30"/>
      <c r="C984" s="28"/>
      <c r="D984" s="0" t="str">
        <f aca="false">IF(A984="","",YEAR(A984))</f>
        <v/>
      </c>
      <c r="E984" s="0" t="str">
        <f aca="false">IF(A984="","",MONTH(A984))</f>
        <v/>
      </c>
    </row>
    <row r="985" customFormat="false" ht="15" hidden="false" customHeight="false" outlineLevel="0" collapsed="false">
      <c r="A985" s="30"/>
      <c r="C985" s="28"/>
      <c r="D985" s="0" t="str">
        <f aca="false">IF(A985="","",YEAR(A985))</f>
        <v/>
      </c>
      <c r="E985" s="0" t="str">
        <f aca="false">IF(A985="","",MONTH(A985))</f>
        <v/>
      </c>
    </row>
    <row r="986" customFormat="false" ht="15" hidden="false" customHeight="false" outlineLevel="0" collapsed="false">
      <c r="A986" s="30"/>
      <c r="C986" s="28"/>
      <c r="D986" s="0" t="str">
        <f aca="false">IF(A986="","",YEAR(A986))</f>
        <v/>
      </c>
      <c r="E986" s="0" t="str">
        <f aca="false">IF(A986="","",MONTH(A986))</f>
        <v/>
      </c>
    </row>
    <row r="987" customFormat="false" ht="15" hidden="false" customHeight="false" outlineLevel="0" collapsed="false">
      <c r="A987" s="30"/>
      <c r="C987" s="28"/>
      <c r="D987" s="0" t="str">
        <f aca="false">IF(A987="","",YEAR(A987))</f>
        <v/>
      </c>
      <c r="E987" s="0" t="str">
        <f aca="false">IF(A987="","",MONTH(A987))</f>
        <v/>
      </c>
    </row>
    <row r="988" customFormat="false" ht="15" hidden="false" customHeight="false" outlineLevel="0" collapsed="false">
      <c r="A988" s="30"/>
      <c r="C988" s="28"/>
      <c r="D988" s="0" t="str">
        <f aca="false">IF(A988="","",YEAR(A988))</f>
        <v/>
      </c>
      <c r="E988" s="0" t="str">
        <f aca="false">IF(A988="","",MONTH(A988))</f>
        <v/>
      </c>
    </row>
    <row r="989" customFormat="false" ht="15" hidden="false" customHeight="false" outlineLevel="0" collapsed="false">
      <c r="A989" s="30"/>
      <c r="C989" s="28"/>
      <c r="D989" s="0" t="str">
        <f aca="false">IF(A989="","",YEAR(A989))</f>
        <v/>
      </c>
      <c r="E989" s="0" t="str">
        <f aca="false">IF(A989="","",MONTH(A989))</f>
        <v/>
      </c>
    </row>
    <row r="990" customFormat="false" ht="15" hidden="false" customHeight="false" outlineLevel="0" collapsed="false">
      <c r="A990" s="30"/>
      <c r="C990" s="28"/>
      <c r="D990" s="0" t="str">
        <f aca="false">IF(A990="","",YEAR(A990))</f>
        <v/>
      </c>
      <c r="E990" s="0" t="str">
        <f aca="false">IF(A990="","",MONTH(A990))</f>
        <v/>
      </c>
    </row>
    <row r="991" customFormat="false" ht="15" hidden="false" customHeight="false" outlineLevel="0" collapsed="false">
      <c r="A991" s="30"/>
      <c r="C991" s="28"/>
      <c r="D991" s="0" t="str">
        <f aca="false">IF(A991="","",YEAR(A991))</f>
        <v/>
      </c>
      <c r="E991" s="0" t="str">
        <f aca="false">IF(A991="","",MONTH(A991))</f>
        <v/>
      </c>
    </row>
    <row r="992" customFormat="false" ht="15" hidden="false" customHeight="false" outlineLevel="0" collapsed="false">
      <c r="A992" s="30"/>
      <c r="C992" s="28"/>
      <c r="D992" s="0" t="str">
        <f aca="false">IF(A992="","",YEAR(A992))</f>
        <v/>
      </c>
      <c r="E992" s="0" t="str">
        <f aca="false">IF(A992="","",MONTH(A992))</f>
        <v/>
      </c>
    </row>
    <row r="993" customFormat="false" ht="15" hidden="false" customHeight="false" outlineLevel="0" collapsed="false">
      <c r="A993" s="30"/>
      <c r="C993" s="28"/>
      <c r="D993" s="0" t="str">
        <f aca="false">IF(A993="","",YEAR(A993))</f>
        <v/>
      </c>
      <c r="E993" s="0" t="str">
        <f aca="false">IF(A993="","",MONTH(A993))</f>
        <v/>
      </c>
    </row>
    <row r="994" customFormat="false" ht="15" hidden="false" customHeight="false" outlineLevel="0" collapsed="false">
      <c r="A994" s="30"/>
      <c r="C994" s="28"/>
      <c r="D994" s="0" t="str">
        <f aca="false">IF(A994="","",YEAR(A994))</f>
        <v/>
      </c>
      <c r="E994" s="0" t="str">
        <f aca="false">IF(A994="","",MONTH(A994))</f>
        <v/>
      </c>
    </row>
    <row r="995" customFormat="false" ht="15" hidden="false" customHeight="false" outlineLevel="0" collapsed="false">
      <c r="A995" s="30"/>
      <c r="C995" s="28"/>
      <c r="D995" s="0" t="str">
        <f aca="false">IF(A995="","",YEAR(A995))</f>
        <v/>
      </c>
      <c r="E995" s="0" t="str">
        <f aca="false">IF(A995="","",MONTH(A995))</f>
        <v/>
      </c>
    </row>
    <row r="996" customFormat="false" ht="15" hidden="false" customHeight="false" outlineLevel="0" collapsed="false">
      <c r="A996" s="30"/>
      <c r="C996" s="28"/>
      <c r="D996" s="0" t="str">
        <f aca="false">IF(A996="","",YEAR(A996))</f>
        <v/>
      </c>
      <c r="E996" s="0" t="str">
        <f aca="false">IF(A996="","",MONTH(A996))</f>
        <v/>
      </c>
    </row>
    <row r="997" customFormat="false" ht="15" hidden="false" customHeight="false" outlineLevel="0" collapsed="false">
      <c r="A997" s="30"/>
      <c r="C997" s="28"/>
      <c r="D997" s="0" t="str">
        <f aca="false">IF(A997="","",YEAR(A997))</f>
        <v/>
      </c>
      <c r="E997" s="0" t="str">
        <f aca="false">IF(A997="","",MONTH(A997))</f>
        <v/>
      </c>
    </row>
    <row r="998" customFormat="false" ht="15" hidden="false" customHeight="false" outlineLevel="0" collapsed="false">
      <c r="A998" s="30"/>
      <c r="C998" s="28"/>
      <c r="D998" s="0" t="str">
        <f aca="false">IF(A998="","",YEAR(A998))</f>
        <v/>
      </c>
      <c r="E998" s="0" t="str">
        <f aca="false">IF(A998="","",MONTH(A998))</f>
        <v/>
      </c>
    </row>
    <row r="999" customFormat="false" ht="15" hidden="false" customHeight="false" outlineLevel="0" collapsed="false">
      <c r="A999" s="30"/>
      <c r="C999" s="28"/>
      <c r="D999" s="0" t="str">
        <f aca="false">IF(A999="","",YEAR(A999))</f>
        <v/>
      </c>
      <c r="E999" s="0" t="str">
        <f aca="false">IF(A999="","",MONTH(A999))</f>
        <v/>
      </c>
    </row>
    <row r="1000" customFormat="false" ht="15" hidden="false" customHeight="false" outlineLevel="0" collapsed="false">
      <c r="A1000" s="30"/>
      <c r="C1000" s="28"/>
      <c r="D1000" s="0" t="str">
        <f aca="false">IF(A1000="","",YEAR(A1000))</f>
        <v/>
      </c>
      <c r="E1000" s="0" t="str">
        <f aca="false">IF(A1000="","",MONTH(A1000))</f>
        <v/>
      </c>
    </row>
    <row r="1001" customFormat="false" ht="15" hidden="false" customHeight="false" outlineLevel="0" collapsed="false">
      <c r="A1001" s="30"/>
      <c r="C1001" s="28"/>
      <c r="D1001" s="0" t="str">
        <f aca="false">IF(A1001="","",YEAR(A1001))</f>
        <v/>
      </c>
      <c r="E1001" s="0" t="str">
        <f aca="false">IF(A1001="","",MONTH(A1001))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21" min="14" style="0" width="15"/>
  </cols>
  <sheetData>
    <row r="1" customFormat="false" ht="15" hidden="false" customHeight="false" outlineLevel="0" collapsed="false">
      <c r="A1" s="31" t="s">
        <v>1089</v>
      </c>
    </row>
    <row r="2" customFormat="false" ht="15" hidden="false" customHeight="false" outlineLevel="0" collapsed="false">
      <c r="D2" s="31" t="s">
        <v>1090</v>
      </c>
      <c r="E2" s="31" t="s">
        <v>1091</v>
      </c>
    </row>
    <row r="3" customFormat="false" ht="15" hidden="false" customHeight="false" outlineLevel="0" collapsed="false">
      <c r="A3" s="31" t="s">
        <v>46</v>
      </c>
      <c r="B3" s="26" t="n">
        <f aca="false">Tablero!B5</f>
        <v>2026</v>
      </c>
      <c r="D3" s="26" t="s">
        <v>1092</v>
      </c>
      <c r="E3" s="32" t="n">
        <f aca="false">SUMIFS(Cobros!$F$2:$F$5001,Cobros!$J$2:$J$5001,$B$3,Cobros!$K$2:$K$5001,"&gt;="&amp;$B$4,Cobros!$K$2:$K$5001,"&lt;="&amp;$B$5,Cobros!$H$2:$H$5001,$B$6)</f>
        <v>7889687</v>
      </c>
    </row>
    <row r="4" customFormat="false" ht="15" hidden="false" customHeight="false" outlineLevel="0" collapsed="false">
      <c r="A4" s="31" t="s">
        <v>1093</v>
      </c>
      <c r="B4" s="26" t="n">
        <f aca="false">IF(Tablero!B8="Todos",1,MATCH(Tablero!B8,Listas!$A$2:$A$13,0))</f>
        <v>1</v>
      </c>
      <c r="D4" s="26" t="s">
        <v>3</v>
      </c>
      <c r="E4" s="32" t="n">
        <f aca="false">COUNTIFS(Cobros!$J$2:$J$5001,$B$3,Cobros!$K$2:$K$5001,"&gt;="&amp;$B$4,Cobros!$K$2:$K$5001,"&lt;="&amp;$B$5,Cobros!$H$2:$H$5001,$B$6)</f>
        <v>1150</v>
      </c>
    </row>
    <row r="5" customFormat="false" ht="15" hidden="false" customHeight="false" outlineLevel="0" collapsed="false">
      <c r="A5" s="31" t="s">
        <v>1094</v>
      </c>
      <c r="B5" s="26" t="n">
        <f aca="false">IF(Tablero!B8="Todos",12,B4)</f>
        <v>12</v>
      </c>
      <c r="D5" s="26" t="s">
        <v>1095</v>
      </c>
      <c r="E5" s="32" t="n">
        <f aca="false">SUMIFS(Ventas!$I$2:$I$5001,Ventas!$K$2:$K$5001,$B$3,Ventas!$L$2:$L$5001,"&gt;="&amp;$B$4,Ventas!$L$2:$L$5001,"&lt;="&amp;$B$5,Ventas!$H$2:$H$5001,$B$6)</f>
        <v>2944000</v>
      </c>
    </row>
    <row r="6" customFormat="false" ht="15" hidden="false" customHeight="false" outlineLevel="0" collapsed="false">
      <c r="A6" s="31" t="s">
        <v>1096</v>
      </c>
      <c r="B6" s="0" t="str">
        <f aca="false">IF(Tablero!B11="Todos","*",Tablero!B11)</f>
        <v>*</v>
      </c>
      <c r="D6" s="26" t="s">
        <v>1097</v>
      </c>
      <c r="E6" s="32" t="n">
        <f aca="false">SUMIFS(Ventas!$J$2:$J$5001,Ventas!$K$2:$K$5001,$B$3,Ventas!$L$2:$L$5001,"&gt;="&amp;$B$4,Ventas!$L$2:$L$5001,"&lt;="&amp;$B$5,Ventas!$H$2:$H$5001,$B$6)</f>
        <v>1881700</v>
      </c>
    </row>
    <row r="7" customFormat="false" ht="15" hidden="false" customHeight="false" outlineLevel="0" collapsed="false">
      <c r="A7" s="31" t="s">
        <v>1098</v>
      </c>
      <c r="B7" s="26" t="n">
        <f aca="false">IF(Tablero!B8="Todos",0,B4-1)</f>
        <v>0</v>
      </c>
      <c r="D7" s="26" t="s">
        <v>1099</v>
      </c>
      <c r="E7" s="32" t="n">
        <f aca="false">COUNTIFS(Ventas!$K$2:$K$5001,$B$3,Ventas!$L$2:$L$5001,"&gt;="&amp;$B$4,Ventas!$L$2:$L$5001,"&lt;="&amp;$B$5,Ventas!$H$2:$H$5001,$B$6)</f>
        <v>572</v>
      </c>
    </row>
    <row r="8" customFormat="false" ht="15" hidden="false" customHeight="false" outlineLevel="0" collapsed="false">
      <c r="A8" s="31" t="s">
        <v>1100</v>
      </c>
      <c r="B8" s="26" t="n">
        <f aca="true">IF(Tablero!B8="Todos",IF(B3=YEAR(TODAY()),TODAY()-DATE(B3,1,1)+1,365),DAY(DATE(B3,B4+1,0)))</f>
        <v>294</v>
      </c>
      <c r="D8" s="26" t="s">
        <v>1101</v>
      </c>
      <c r="E8" s="32" t="n">
        <f aca="false">SUMIFS(Cobros!$E$2:$E$5001,Cobros!$J$2:$J$5001,$B$3,Cobros!$K$2:$K$5001,"&gt;="&amp;$B$4,Cobros!$K$2:$K$5001,"&lt;="&amp;$B$5,Cobros!$H$2:$H$5001,$B$6)</f>
        <v>259267</v>
      </c>
    </row>
    <row r="9" customFormat="false" ht="15" hidden="false" customHeight="false" outlineLevel="0" collapsed="false">
      <c r="D9" s="0" t="s">
        <v>1102</v>
      </c>
      <c r="E9" s="32" t="n">
        <f aca="false">COUNTIFS(Cobros!$J$2:$J$5001,$B$3,Cobros!$K$2:$K$5001,"&gt;="&amp;$B$4,Cobros!$K$2:$K$5001,"&lt;="&amp;$B$5,Cobros!$H$2:$H$5001,$B$6,Cobros!$M$2:$M$5001,1)</f>
        <v>158</v>
      </c>
    </row>
    <row r="10" customFormat="false" ht="15" hidden="false" customHeight="false" outlineLevel="0" collapsed="false">
      <c r="D10" s="0" t="s">
        <v>1103</v>
      </c>
      <c r="E10" s="32" t="n">
        <f aca="false">IF($B$6="*",SUMIFS(Gastos!$C$2:$C$1001,Gastos!$D$2:$D$1001,$B$3,Gastos!$E$2:$E$1001,"&gt;="&amp;$B$4,Gastos!$E$2:$E$1001,"&lt;="&amp;$B$5),0)</f>
        <v>11185000</v>
      </c>
    </row>
    <row r="11" customFormat="false" ht="15" hidden="false" customHeight="false" outlineLevel="0" collapsed="false">
      <c r="D11" s="0" t="s">
        <v>1104</v>
      </c>
      <c r="E11" s="32" t="n">
        <f aca="false">IF($B$7=0,0,SUMIFS(Cobros!$F$2:$F$5001,Cobros!$J$2:$J$5001,$B$3,Cobros!$K$2:$K$5001,$B$7,Cobros!$H$2:$H$5001,$B$6)+SUMIFS(Ventas!$I$2:$I$5001,Ventas!$K$2:$K$5001,$B$3,Ventas!$L$2:$L$5001,$B$7,Ventas!$H$2:$H$5001,$B$6))</f>
        <v>0</v>
      </c>
    </row>
    <row r="14" customFormat="false" ht="15" hidden="false" customHeight="false" outlineLevel="0" collapsed="false">
      <c r="A14" s="31" t="s">
        <v>1105</v>
      </c>
      <c r="N14" s="31" t="s">
        <v>1106</v>
      </c>
      <c r="Q14" s="31" t="s">
        <v>1107</v>
      </c>
      <c r="T14" s="31" t="s">
        <v>1108</v>
      </c>
    </row>
    <row r="15" customFormat="false" ht="15" hidden="false" customHeight="false" outlineLevel="0" collapsed="false">
      <c r="A15" s="33" t="s">
        <v>47</v>
      </c>
      <c r="B15" s="33" t="s">
        <v>1109</v>
      </c>
      <c r="C15" s="33" t="s">
        <v>1110</v>
      </c>
      <c r="D15" s="33" t="s">
        <v>1092</v>
      </c>
      <c r="E15" s="33" t="s">
        <v>1095</v>
      </c>
      <c r="F15" s="33" t="s">
        <v>2</v>
      </c>
      <c r="G15" s="33" t="s">
        <v>1097</v>
      </c>
      <c r="H15" s="33" t="s">
        <v>1103</v>
      </c>
      <c r="I15" s="33" t="s">
        <v>1111</v>
      </c>
      <c r="J15" s="33" t="s">
        <v>1112</v>
      </c>
      <c r="K15" s="33" t="s">
        <v>1113</v>
      </c>
      <c r="L15" s="33" t="s">
        <v>4</v>
      </c>
      <c r="N15" s="33" t="s">
        <v>1114</v>
      </c>
      <c r="O15" s="33" t="s">
        <v>1091</v>
      </c>
      <c r="Q15" s="33" t="s">
        <v>1114</v>
      </c>
      <c r="R15" s="33" t="s">
        <v>1091</v>
      </c>
      <c r="T15" s="33" t="s">
        <v>1114</v>
      </c>
      <c r="U15" s="33" t="s">
        <v>1091</v>
      </c>
    </row>
    <row r="16" customFormat="false" ht="15" hidden="false" customHeight="false" outlineLevel="0" collapsed="false">
      <c r="A16" s="0" t="s">
        <v>1115</v>
      </c>
      <c r="B16" s="0" t="n">
        <v>1</v>
      </c>
      <c r="C16" s="34" t="n">
        <f aca="false">COUNTIFS(Cobros!$J$2:$J$5001,$B$3,Cobros!$K$2:$K$5001,$B16,Cobros!$H$2:$H$5001,$B$6)</f>
        <v>115</v>
      </c>
      <c r="D16" s="35" t="n">
        <f aca="false">SUMIFS(Cobros!$F$2:$F$5001,Cobros!$J$2:$J$5001,$B$3,Cobros!$K$2:$K$5001,$B16,Cobros!$H$2:$H$5001,$B$6)</f>
        <v>804137</v>
      </c>
      <c r="E16" s="35" t="n">
        <f aca="false">SUMIFS(Ventas!$I$2:$I$5001,Ventas!$K$2:$K$5001,$B$3,Ventas!$L$2:$L$5001,$B16,Ventas!$H$2:$H$5001,$B$6)</f>
        <v>329500</v>
      </c>
      <c r="F16" s="35" t="n">
        <f aca="false">D16+E16</f>
        <v>1133637</v>
      </c>
      <c r="G16" s="35" t="n">
        <f aca="false">SUMIFS(Ventas!$J$2:$J$5001,Ventas!$K$2:$K$5001,$B$3,Ventas!$L$2:$L$5001,$B16,Ventas!$H$2:$H$5001,$B$6)</f>
        <v>214600</v>
      </c>
      <c r="H16" s="35" t="n">
        <f aca="false">IF($B$6="*",SUMIFS(Gastos!$C$2:$C$1001,Gastos!$D$2:$D$1001,$B$3,Gastos!$E$2:$E$1001,$B16),0)</f>
        <v>1087000</v>
      </c>
      <c r="I16" s="36" t="n">
        <f aca="false">0</f>
        <v>0</v>
      </c>
      <c r="J16" s="34" t="n">
        <f aca="false">COUNTIFS(Cobros!$J$2:$J$5001,$B$3,Cobros!$K$2:$K$5001,$B16,Cobros!$H$2:$H$5001,$B$6,Cobros!$M$2:$M$5001,1)</f>
        <v>79</v>
      </c>
      <c r="K16" s="34" t="n">
        <f aca="false">C16-J16</f>
        <v>36</v>
      </c>
      <c r="L16" s="35" t="n">
        <f aca="false">IF(C16=0,0,D16/C16)</f>
        <v>6992.49565217391</v>
      </c>
      <c r="N16" s="26" t="s">
        <v>66</v>
      </c>
      <c r="O16" s="35" t="n">
        <f aca="false">SUMIFS(Cobros!$F$2:$F$5001,Cobros!$J$2:$J$5001,$B$3,Cobros!$K$2:$K$5001,"&gt;="&amp;$B$4,Cobros!$K$2:$K$5001,"&lt;="&amp;$B$5,Cobros!$H$2:$H$5001,$B$6,Cobros!$D$2:$D$5001,N16)</f>
        <v>4671100</v>
      </c>
      <c r="Q16" s="26" t="s">
        <v>59</v>
      </c>
      <c r="R16" s="35" t="n">
        <f aca="false">SUMIFS(Cobros!$F$2:$F$5001,Cobros!$J$2:$J$5001,$B$3,Cobros!$K$2:$K$5001,"&gt;="&amp;$B$4,Cobros!$K$2:$K$5001,"&lt;="&amp;$B$5,Cobros!$H$2:$H$5001,$B$6,Cobros!$G$2:$G$5001,Q16)+SUMIFS(Ventas!$I$2:$I$5001,Ventas!$K$2:$K$5001,$B$3,Ventas!$L$2:$L$5001,"&gt;="&amp;$B$4,Ventas!$L$2:$L$5001,"&lt;="&amp;$B$5,Ventas!$H$2:$H$5001,$B$6,Ventas!$G$2:$G$5001,Q16)</f>
        <v>6780600</v>
      </c>
      <c r="T16" s="26" t="s">
        <v>61</v>
      </c>
      <c r="U16" s="34" t="n">
        <f aca="false">COUNTIFS(Cobros!$J$2:$J$5001,$B$3,Cobros!$K$2:$K$5001,"&gt;="&amp;$B$4,Cobros!$K$2:$K$5001,"&lt;="&amp;$B$5,Cobros!$H$2:$H$5001,$B$6,Cobros!$I$2:$I$5001,T16)</f>
        <v>926</v>
      </c>
    </row>
    <row r="17" customFormat="false" ht="15" hidden="false" customHeight="false" outlineLevel="0" collapsed="false">
      <c r="A17" s="0" t="s">
        <v>1116</v>
      </c>
      <c r="B17" s="0" t="n">
        <v>2</v>
      </c>
      <c r="C17" s="34" t="n">
        <f aca="false">COUNTIFS(Cobros!$J$2:$J$5001,$B$3,Cobros!$K$2:$K$5001,$B17,Cobros!$H$2:$H$5001,$B$6)</f>
        <v>165</v>
      </c>
      <c r="D17" s="35" t="n">
        <f aca="false">SUMIFS(Cobros!$F$2:$F$5001,Cobros!$J$2:$J$5001,$B$3,Cobros!$K$2:$K$5001,$B17,Cobros!$H$2:$H$5001,$B$6)</f>
        <v>1131350</v>
      </c>
      <c r="E17" s="35" t="n">
        <f aca="false">SUMIFS(Ventas!$I$2:$I$5001,Ventas!$K$2:$K$5001,$B$3,Ventas!$L$2:$L$5001,$B17,Ventas!$H$2:$H$5001,$B$6)</f>
        <v>413500</v>
      </c>
      <c r="F17" s="35" t="n">
        <f aca="false">D17+E17</f>
        <v>1544850</v>
      </c>
      <c r="G17" s="35" t="n">
        <f aca="false">SUMIFS(Ventas!$J$2:$J$5001,Ventas!$K$2:$K$5001,$B$3,Ventas!$L$2:$L$5001,$B17,Ventas!$H$2:$H$5001,$B$6)</f>
        <v>260600</v>
      </c>
      <c r="H17" s="35" t="n">
        <f aca="false">IF($B$6="*",SUMIFS(Gastos!$C$2:$C$1001,Gastos!$D$2:$D$1001,$B$3,Gastos!$E$2:$E$1001,$B17),0)</f>
        <v>1094000</v>
      </c>
      <c r="I17" s="36" t="n">
        <f aca="false">IF(OR(F17=0,F16=0),0,(F17-F16)/F16)</f>
        <v>0.36273780760508</v>
      </c>
      <c r="J17" s="34" t="n">
        <f aca="false">COUNTIFS(Cobros!$J$2:$J$5001,$B$3,Cobros!$K$2:$K$5001,$B17,Cobros!$H$2:$H$5001,$B$6,Cobros!$M$2:$M$5001,1)</f>
        <v>43</v>
      </c>
      <c r="K17" s="34" t="n">
        <f aca="false">C17-J17</f>
        <v>122</v>
      </c>
      <c r="L17" s="35" t="n">
        <f aca="false">IF(C17=0,0,D17/C17)</f>
        <v>6856.66666666667</v>
      </c>
      <c r="N17" s="26" t="s">
        <v>53</v>
      </c>
      <c r="O17" s="35" t="n">
        <f aca="false">SUMIFS(Cobros!$F$2:$F$5001,Cobros!$J$2:$J$5001,$B$3,Cobros!$K$2:$K$5001,"&gt;="&amp;$B$4,Cobros!$K$2:$K$5001,"&lt;="&amp;$B$5,Cobros!$H$2:$H$5001,$B$6,Cobros!$D$2:$D$5001,N17)</f>
        <v>1187500</v>
      </c>
      <c r="Q17" s="26" t="s">
        <v>69</v>
      </c>
      <c r="R17" s="35" t="n">
        <f aca="false">SUMIFS(Cobros!$F$2:$F$5001,Cobros!$J$2:$J$5001,$B$3,Cobros!$K$2:$K$5001,"&gt;="&amp;$B$4,Cobros!$K$2:$K$5001,"&lt;="&amp;$B$5,Cobros!$H$2:$H$5001,$B$6,Cobros!$G$2:$G$5001,Q17)+SUMIFS(Ventas!$I$2:$I$5001,Ventas!$K$2:$K$5001,$B$3,Ventas!$L$2:$L$5001,"&gt;="&amp;$B$4,Ventas!$L$2:$L$5001,"&lt;="&amp;$B$5,Ventas!$H$2:$H$5001,$B$6,Ventas!$G$2:$G$5001,Q17)</f>
        <v>2628137</v>
      </c>
      <c r="T17" s="26" t="s">
        <v>113</v>
      </c>
      <c r="U17" s="34" t="n">
        <f aca="false">COUNTIFS(Cobros!$J$2:$J$5001,$B$3,Cobros!$K$2:$K$5001,"&gt;="&amp;$B$4,Cobros!$K$2:$K$5001,"&lt;="&amp;$B$5,Cobros!$H$2:$H$5001,$B$6,Cobros!$I$2:$I$5001,T17)</f>
        <v>116</v>
      </c>
    </row>
    <row r="18" customFormat="false" ht="15" hidden="false" customHeight="false" outlineLevel="0" collapsed="false">
      <c r="A18" s="0" t="s">
        <v>1117</v>
      </c>
      <c r="B18" s="0" t="n">
        <v>3</v>
      </c>
      <c r="C18" s="34" t="n">
        <f aca="false">COUNTIFS(Cobros!$J$2:$J$5001,$B$3,Cobros!$K$2:$K$5001,$B18,Cobros!$H$2:$H$5001,$B$6)</f>
        <v>90</v>
      </c>
      <c r="D18" s="35" t="n">
        <f aca="false">SUMIFS(Cobros!$F$2:$F$5001,Cobros!$J$2:$J$5001,$B$3,Cobros!$K$2:$K$5001,$B18,Cobros!$H$2:$H$5001,$B$6)</f>
        <v>656075</v>
      </c>
      <c r="E18" s="35" t="n">
        <f aca="false">SUMIFS(Ventas!$I$2:$I$5001,Ventas!$K$2:$K$5001,$B$3,Ventas!$L$2:$L$5001,$B18,Ventas!$H$2:$H$5001,$B$6)</f>
        <v>217500</v>
      </c>
      <c r="F18" s="35" t="n">
        <f aca="false">D18+E18</f>
        <v>873575</v>
      </c>
      <c r="G18" s="35" t="n">
        <f aca="false">SUMIFS(Ventas!$J$2:$J$5001,Ventas!$K$2:$K$5001,$B$3,Ventas!$L$2:$L$5001,$B18,Ventas!$H$2:$H$5001,$B$6)</f>
        <v>136800</v>
      </c>
      <c r="H18" s="35" t="n">
        <f aca="false">IF($B$6="*",SUMIFS(Gastos!$C$2:$C$1001,Gastos!$D$2:$D$1001,$B$3,Gastos!$E$2:$E$1001,$B18),0)</f>
        <v>1101000</v>
      </c>
      <c r="I18" s="36" t="n">
        <f aca="false">IF(OR(F18=0,F17=0),0,(F18-F17)/F17)</f>
        <v>-0.434524387480985</v>
      </c>
      <c r="J18" s="34" t="n">
        <f aca="false">COUNTIFS(Cobros!$J$2:$J$5001,$B$3,Cobros!$K$2:$K$5001,$B18,Cobros!$H$2:$H$5001,$B$6,Cobros!$M$2:$M$5001,1)</f>
        <v>10</v>
      </c>
      <c r="K18" s="34" t="n">
        <f aca="false">C18-J18</f>
        <v>80</v>
      </c>
      <c r="L18" s="35" t="n">
        <f aca="false">IF(C18=0,0,D18/C18)</f>
        <v>7289.72222222222</v>
      </c>
      <c r="N18" s="26" t="s">
        <v>88</v>
      </c>
      <c r="O18" s="35" t="n">
        <f aca="false">SUMIFS(Cobros!$F$2:$F$5001,Cobros!$J$2:$J$5001,$B$3,Cobros!$K$2:$K$5001,"&gt;="&amp;$B$4,Cobros!$K$2:$K$5001,"&lt;="&amp;$B$5,Cobros!$H$2:$H$5001,$B$6,Cobros!$D$2:$D$5001,N18)</f>
        <v>929325</v>
      </c>
      <c r="Q18" s="26" t="s">
        <v>79</v>
      </c>
      <c r="R18" s="35" t="n">
        <f aca="false">SUMIFS(Cobros!$F$2:$F$5001,Cobros!$J$2:$J$5001,$B$3,Cobros!$K$2:$K$5001,"&gt;="&amp;$B$4,Cobros!$K$2:$K$5001,"&lt;="&amp;$B$5,Cobros!$H$2:$H$5001,$B$6,Cobros!$G$2:$G$5001,Q18)+SUMIFS(Ventas!$I$2:$I$5001,Ventas!$K$2:$K$5001,$B$3,Ventas!$L$2:$L$5001,"&gt;="&amp;$B$4,Ventas!$L$2:$L$5001,"&lt;="&amp;$B$5,Ventas!$H$2:$H$5001,$B$6,Ventas!$G$2:$G$5001,Q18)</f>
        <v>628675</v>
      </c>
      <c r="T18" s="26" t="s">
        <v>56</v>
      </c>
      <c r="U18" s="34" t="n">
        <f aca="false">COUNTIFS(Cobros!$J$2:$J$5001,$B$3,Cobros!$K$2:$K$5001,"&gt;="&amp;$B$4,Cobros!$K$2:$K$5001,"&lt;="&amp;$B$5,Cobros!$H$2:$H$5001,$B$6,Cobros!$I$2:$I$5001,T18)</f>
        <v>108</v>
      </c>
    </row>
    <row r="19" customFormat="false" ht="15" hidden="false" customHeight="false" outlineLevel="0" collapsed="false">
      <c r="A19" s="0" t="s">
        <v>1118</v>
      </c>
      <c r="B19" s="0" t="n">
        <v>4</v>
      </c>
      <c r="C19" s="34" t="n">
        <f aca="false">COUNTIFS(Cobros!$J$2:$J$5001,$B$3,Cobros!$K$2:$K$5001,$B19,Cobros!$H$2:$H$5001,$B$6)</f>
        <v>140</v>
      </c>
      <c r="D19" s="35" t="n">
        <f aca="false">SUMIFS(Cobros!$F$2:$F$5001,Cobros!$J$2:$J$5001,$B$3,Cobros!$K$2:$K$5001,$B19,Cobros!$H$2:$H$5001,$B$6)</f>
        <v>888425</v>
      </c>
      <c r="E19" s="35" t="n">
        <f aca="false">SUMIFS(Ventas!$I$2:$I$5001,Ventas!$K$2:$K$5001,$B$3,Ventas!$L$2:$L$5001,$B19,Ventas!$H$2:$H$5001,$B$6)</f>
        <v>370000</v>
      </c>
      <c r="F19" s="35" t="n">
        <f aca="false">D19+E19</f>
        <v>1258425</v>
      </c>
      <c r="G19" s="35" t="n">
        <f aca="false">SUMIFS(Ventas!$J$2:$J$5001,Ventas!$K$2:$K$5001,$B$3,Ventas!$L$2:$L$5001,$B19,Ventas!$H$2:$H$5001,$B$6)</f>
        <v>237900</v>
      </c>
      <c r="H19" s="35" t="n">
        <f aca="false">IF($B$6="*",SUMIFS(Gastos!$C$2:$C$1001,Gastos!$D$2:$D$1001,$B$3,Gastos!$E$2:$E$1001,$B19),0)</f>
        <v>1108000</v>
      </c>
      <c r="I19" s="36" t="n">
        <f aca="false">IF(OR(F19=0,F18=0),0,(F19-F18)/F18)</f>
        <v>0.440546032109435</v>
      </c>
      <c r="J19" s="34" t="n">
        <f aca="false">COUNTIFS(Cobros!$J$2:$J$5001,$B$3,Cobros!$K$2:$K$5001,$B19,Cobros!$H$2:$H$5001,$B$6,Cobros!$M$2:$M$5001,1)</f>
        <v>7</v>
      </c>
      <c r="K19" s="34" t="n">
        <f aca="false">C19-J19</f>
        <v>133</v>
      </c>
      <c r="L19" s="35" t="n">
        <f aca="false">IF(C19=0,0,D19/C19)</f>
        <v>6345.89285714286</v>
      </c>
      <c r="N19" s="26" t="s">
        <v>72</v>
      </c>
      <c r="O19" s="35" t="n">
        <f aca="false">SUMIFS(Cobros!$F$2:$F$5001,Cobros!$J$2:$J$5001,$B$3,Cobros!$K$2:$K$5001,"&gt;="&amp;$B$4,Cobros!$K$2:$K$5001,"&lt;="&amp;$B$5,Cobros!$H$2:$H$5001,$B$6,Cobros!$D$2:$D$5001,N19)</f>
        <v>785100</v>
      </c>
      <c r="Q19" s="26" t="s">
        <v>54</v>
      </c>
      <c r="R19" s="35" t="n">
        <f aca="false">SUMIFS(Cobros!$F$2:$F$5001,Cobros!$J$2:$J$5001,$B$3,Cobros!$K$2:$K$5001,"&gt;="&amp;$B$4,Cobros!$K$2:$K$5001,"&lt;="&amp;$B$5,Cobros!$H$2:$H$5001,$B$6,Cobros!$G$2:$G$5001,Q19)+SUMIFS(Ventas!$I$2:$I$5001,Ventas!$K$2:$K$5001,$B$3,Ventas!$L$2:$L$5001,"&gt;="&amp;$B$4,Ventas!$L$2:$L$5001,"&lt;="&amp;$B$5,Ventas!$H$2:$H$5001,$B$6,Ventas!$G$2:$G$5001,Q19)</f>
        <v>368475</v>
      </c>
    </row>
    <row r="20" customFormat="false" ht="15" hidden="false" customHeight="false" outlineLevel="0" collapsed="false">
      <c r="A20" s="0" t="s">
        <v>1119</v>
      </c>
      <c r="B20" s="0" t="n">
        <v>5</v>
      </c>
      <c r="C20" s="34" t="n">
        <f aca="false">COUNTIFS(Cobros!$J$2:$J$5001,$B$3,Cobros!$K$2:$K$5001,$B20,Cobros!$H$2:$H$5001,$B$6)</f>
        <v>65</v>
      </c>
      <c r="D20" s="35" t="n">
        <f aca="false">SUMIFS(Cobros!$F$2:$F$5001,Cobros!$J$2:$J$5001,$B$3,Cobros!$K$2:$K$5001,$B20,Cobros!$H$2:$H$5001,$B$6)</f>
        <v>430050</v>
      </c>
      <c r="E20" s="35" t="n">
        <f aca="false">SUMIFS(Ventas!$I$2:$I$5001,Ventas!$K$2:$K$5001,$B$3,Ventas!$L$2:$L$5001,$B20,Ventas!$H$2:$H$5001,$B$6)</f>
        <v>185500</v>
      </c>
      <c r="F20" s="35" t="n">
        <f aca="false">D20+E20</f>
        <v>615550</v>
      </c>
      <c r="G20" s="35" t="n">
        <f aca="false">SUMIFS(Ventas!$J$2:$J$5001,Ventas!$K$2:$K$5001,$B$3,Ventas!$L$2:$L$5001,$B20,Ventas!$H$2:$H$5001,$B$6)</f>
        <v>120400</v>
      </c>
      <c r="H20" s="35" t="n">
        <f aca="false">IF($B$6="*",SUMIFS(Gastos!$C$2:$C$1001,Gastos!$D$2:$D$1001,$B$3,Gastos!$E$2:$E$1001,$B20),0)</f>
        <v>1115000</v>
      </c>
      <c r="I20" s="36" t="n">
        <f aca="false">IF(OR(F20=0,F19=0),0,(F20-F19)/F19)</f>
        <v>-0.510856824999503</v>
      </c>
      <c r="J20" s="34" t="n">
        <f aca="false">COUNTIFS(Cobros!$J$2:$J$5001,$B$3,Cobros!$K$2:$K$5001,$B20,Cobros!$H$2:$H$5001,$B$6,Cobros!$M$2:$M$5001,1)</f>
        <v>3</v>
      </c>
      <c r="K20" s="34" t="n">
        <f aca="false">C20-J20</f>
        <v>62</v>
      </c>
      <c r="L20" s="35" t="n">
        <f aca="false">IF(C20=0,0,D20/C20)</f>
        <v>6616.15384615385</v>
      </c>
      <c r="N20" s="26" t="s">
        <v>127</v>
      </c>
      <c r="O20" s="35" t="n">
        <f aca="false">SUMIFS(Cobros!$F$2:$F$5001,Cobros!$J$2:$J$5001,$B$3,Cobros!$K$2:$K$5001,"&gt;="&amp;$B$4,Cobros!$K$2:$K$5001,"&lt;="&amp;$B$5,Cobros!$H$2:$H$5001,$B$6,Cobros!$D$2:$D$5001,N20)</f>
        <v>316662</v>
      </c>
      <c r="Q20" s="26" t="s">
        <v>83</v>
      </c>
      <c r="R20" s="35" t="n">
        <f aca="false">SUMIFS(Cobros!$F$2:$F$5001,Cobros!$J$2:$J$5001,$B$3,Cobros!$K$2:$K$5001,"&gt;="&amp;$B$4,Cobros!$K$2:$K$5001,"&lt;="&amp;$B$5,Cobros!$H$2:$H$5001,$B$6,Cobros!$G$2:$G$5001,Q20)+SUMIFS(Ventas!$I$2:$I$5001,Ventas!$K$2:$K$5001,$B$3,Ventas!$L$2:$L$5001,"&gt;="&amp;$B$4,Ventas!$L$2:$L$5001,"&lt;="&amp;$B$5,Ventas!$H$2:$H$5001,$B$6,Ventas!$G$2:$G$5001,Q20)</f>
        <v>427800</v>
      </c>
    </row>
    <row r="21" customFormat="false" ht="15" hidden="false" customHeight="false" outlineLevel="0" collapsed="false">
      <c r="A21" s="0" t="s">
        <v>1120</v>
      </c>
      <c r="B21" s="0" t="n">
        <v>6</v>
      </c>
      <c r="C21" s="34" t="n">
        <f aca="false">COUNTIFS(Cobros!$J$2:$J$5001,$B$3,Cobros!$K$2:$K$5001,$B21,Cobros!$H$2:$H$5001,$B$6)</f>
        <v>115</v>
      </c>
      <c r="D21" s="35" t="n">
        <f aca="false">SUMIFS(Cobros!$F$2:$F$5001,Cobros!$J$2:$J$5001,$B$3,Cobros!$K$2:$K$5001,$B21,Cobros!$H$2:$H$5001,$B$6)</f>
        <v>865525</v>
      </c>
      <c r="E21" s="35" t="n">
        <f aca="false">SUMIFS(Ventas!$I$2:$I$5001,Ventas!$K$2:$K$5001,$B$3,Ventas!$L$2:$L$5001,$B21,Ventas!$H$2:$H$5001,$B$6)</f>
        <v>276000</v>
      </c>
      <c r="F21" s="35" t="n">
        <f aca="false">D21+E21</f>
        <v>1141525</v>
      </c>
      <c r="G21" s="35" t="n">
        <f aca="false">SUMIFS(Ventas!$J$2:$J$5001,Ventas!$K$2:$K$5001,$B$3,Ventas!$L$2:$L$5001,$B21,Ventas!$H$2:$H$5001,$B$6)</f>
        <v>170500</v>
      </c>
      <c r="H21" s="35" t="n">
        <f aca="false">IF($B$6="*",SUMIFS(Gastos!$C$2:$C$1001,Gastos!$D$2:$D$1001,$B$3,Gastos!$E$2:$E$1001,$B21),0)</f>
        <v>1122000</v>
      </c>
      <c r="I21" s="36" t="n">
        <f aca="false">IF(OR(F21=0,F20=0),0,(F21-F20)/F20)</f>
        <v>0.854479733571603</v>
      </c>
      <c r="J21" s="34" t="n">
        <f aca="false">COUNTIFS(Cobros!$J$2:$J$5001,$B$3,Cobros!$K$2:$K$5001,$B21,Cobros!$H$2:$H$5001,$B$6,Cobros!$M$2:$M$5001,1)</f>
        <v>5</v>
      </c>
      <c r="K21" s="34" t="n">
        <f aca="false">C21-J21</f>
        <v>110</v>
      </c>
      <c r="L21" s="35" t="n">
        <f aca="false">IF(C21=0,0,D21/C21)</f>
        <v>7526.30434782609</v>
      </c>
    </row>
    <row r="22" customFormat="false" ht="15" hidden="false" customHeight="false" outlineLevel="0" collapsed="false">
      <c r="A22" s="0" t="s">
        <v>1121</v>
      </c>
      <c r="B22" s="0" t="n">
        <v>7</v>
      </c>
      <c r="C22" s="34" t="n">
        <f aca="false">COUNTIFS(Cobros!$J$2:$J$5001,$B$3,Cobros!$K$2:$K$5001,$B22,Cobros!$H$2:$H$5001,$B$6)</f>
        <v>165</v>
      </c>
      <c r="D22" s="35" t="n">
        <f aca="false">SUMIFS(Cobros!$F$2:$F$5001,Cobros!$J$2:$J$5001,$B$3,Cobros!$K$2:$K$5001,$B22,Cobros!$H$2:$H$5001,$B$6)</f>
        <v>1064675</v>
      </c>
      <c r="E22" s="35" t="n">
        <f aca="false">SUMIFS(Ventas!$I$2:$I$5001,Ventas!$K$2:$K$5001,$B$3,Ventas!$L$2:$L$5001,$B22,Ventas!$H$2:$H$5001,$B$6)</f>
        <v>380000</v>
      </c>
      <c r="F22" s="35" t="n">
        <f aca="false">D22+E22</f>
        <v>1444675</v>
      </c>
      <c r="G22" s="35" t="n">
        <f aca="false">SUMIFS(Ventas!$J$2:$J$5001,Ventas!$K$2:$K$5001,$B$3,Ventas!$L$2:$L$5001,$B22,Ventas!$H$2:$H$5001,$B$6)</f>
        <v>241900</v>
      </c>
      <c r="H22" s="35" t="n">
        <f aca="false">IF($B$6="*",SUMIFS(Gastos!$C$2:$C$1001,Gastos!$D$2:$D$1001,$B$3,Gastos!$E$2:$E$1001,$B22),0)</f>
        <v>1129000</v>
      </c>
      <c r="I22" s="36" t="n">
        <f aca="false">IF(OR(F22=0,F21=0),0,(F22-F21)/F21)</f>
        <v>0.265565800135783</v>
      </c>
      <c r="J22" s="34" t="n">
        <f aca="false">COUNTIFS(Cobros!$J$2:$J$5001,$B$3,Cobros!$K$2:$K$5001,$B22,Cobros!$H$2:$H$5001,$B$6,Cobros!$M$2:$M$5001,1)</f>
        <v>4</v>
      </c>
      <c r="K22" s="34" t="n">
        <f aca="false">C22-J22</f>
        <v>161</v>
      </c>
      <c r="L22" s="35" t="n">
        <f aca="false">IF(C22=0,0,D22/C22)</f>
        <v>6452.57575757576</v>
      </c>
    </row>
    <row r="23" customFormat="false" ht="15" hidden="false" customHeight="false" outlineLevel="0" collapsed="false">
      <c r="A23" s="0" t="s">
        <v>1122</v>
      </c>
      <c r="B23" s="0" t="n">
        <v>8</v>
      </c>
      <c r="C23" s="34" t="n">
        <f aca="false">COUNTIFS(Cobros!$J$2:$J$5001,$B$3,Cobros!$K$2:$K$5001,$B23,Cobros!$H$2:$H$5001,$B$6)</f>
        <v>90</v>
      </c>
      <c r="D23" s="35" t="n">
        <f aca="false">SUMIFS(Cobros!$F$2:$F$5001,Cobros!$J$2:$J$5001,$B$3,Cobros!$K$2:$K$5001,$B23,Cobros!$H$2:$H$5001,$B$6)</f>
        <v>630450</v>
      </c>
      <c r="E23" s="35" t="n">
        <f aca="false">SUMIFS(Ventas!$I$2:$I$5001,Ventas!$K$2:$K$5001,$B$3,Ventas!$L$2:$L$5001,$B23,Ventas!$H$2:$H$5001,$B$6)</f>
        <v>246000</v>
      </c>
      <c r="F23" s="35" t="n">
        <f aca="false">D23+E23</f>
        <v>876450</v>
      </c>
      <c r="G23" s="35" t="n">
        <f aca="false">SUMIFS(Ventas!$J$2:$J$5001,Ventas!$K$2:$K$5001,$B$3,Ventas!$L$2:$L$5001,$B23,Ventas!$H$2:$H$5001,$B$6)</f>
        <v>158300</v>
      </c>
      <c r="H23" s="35" t="n">
        <f aca="false">IF($B$6="*",SUMIFS(Gastos!$C$2:$C$1001,Gastos!$D$2:$D$1001,$B$3,Gastos!$E$2:$E$1001,$B23),0)</f>
        <v>1136000</v>
      </c>
      <c r="I23" s="36" t="n">
        <f aca="false">IF(OR(F23=0,F22=0),0,(F23-F22)/F22)</f>
        <v>-0.393323757938637</v>
      </c>
      <c r="J23" s="34" t="n">
        <f aca="false">COUNTIFS(Cobros!$J$2:$J$5001,$B$3,Cobros!$K$2:$K$5001,$B23,Cobros!$H$2:$H$5001,$B$6,Cobros!$M$2:$M$5001,1)</f>
        <v>4</v>
      </c>
      <c r="K23" s="34" t="n">
        <f aca="false">C23-J23</f>
        <v>86</v>
      </c>
      <c r="L23" s="35" t="n">
        <f aca="false">IF(C23=0,0,D23/C23)</f>
        <v>7005</v>
      </c>
      <c r="N23" s="31" t="s">
        <v>1123</v>
      </c>
      <c r="Q23" s="31" t="s">
        <v>1124</v>
      </c>
    </row>
    <row r="24" customFormat="false" ht="15" hidden="false" customHeight="false" outlineLevel="0" collapsed="false">
      <c r="A24" s="0" t="s">
        <v>1125</v>
      </c>
      <c r="B24" s="0" t="n">
        <v>9</v>
      </c>
      <c r="C24" s="34" t="n">
        <f aca="false">COUNTIFS(Cobros!$J$2:$J$5001,$B$3,Cobros!$K$2:$K$5001,$B24,Cobros!$H$2:$H$5001,$B$6)</f>
        <v>140</v>
      </c>
      <c r="D24" s="35" t="n">
        <f aca="false">SUMIFS(Cobros!$F$2:$F$5001,Cobros!$J$2:$J$5001,$B$3,Cobros!$K$2:$K$5001,$B24,Cobros!$H$2:$H$5001,$B$6)</f>
        <v>971400</v>
      </c>
      <c r="E24" s="35" t="n">
        <f aca="false">SUMIFS(Ventas!$I$2:$I$5001,Ventas!$K$2:$K$5001,$B$3,Ventas!$L$2:$L$5001,$B24,Ventas!$H$2:$H$5001,$B$6)</f>
        <v>362000</v>
      </c>
      <c r="F24" s="35" t="n">
        <f aca="false">D24+E24</f>
        <v>1333400</v>
      </c>
      <c r="G24" s="35" t="n">
        <f aca="false">SUMIFS(Ventas!$J$2:$J$5001,Ventas!$K$2:$K$5001,$B$3,Ventas!$L$2:$L$5001,$B24,Ventas!$H$2:$H$5001,$B$6)</f>
        <v>235000</v>
      </c>
      <c r="H24" s="35" t="n">
        <f aca="false">IF($B$6="*",SUMIFS(Gastos!$C$2:$C$1001,Gastos!$D$2:$D$1001,$B$3,Gastos!$E$2:$E$1001,$B24),0)</f>
        <v>1143000</v>
      </c>
      <c r="I24" s="36" t="n">
        <f aca="false">IF(OR(F24=0,F23=0),0,(F24-F23)/F23)</f>
        <v>0.521364595812653</v>
      </c>
      <c r="J24" s="34" t="n">
        <f aca="false">COUNTIFS(Cobros!$J$2:$J$5001,$B$3,Cobros!$K$2:$K$5001,$B24,Cobros!$H$2:$H$5001,$B$6,Cobros!$M$2:$M$5001,1)</f>
        <v>2</v>
      </c>
      <c r="K24" s="34" t="n">
        <f aca="false">C24-J24</f>
        <v>138</v>
      </c>
      <c r="L24" s="35" t="n">
        <f aca="false">IF(C24=0,0,D24/C24)</f>
        <v>6938.57142857143</v>
      </c>
      <c r="N24" s="33" t="s">
        <v>1114</v>
      </c>
      <c r="O24" s="33" t="s">
        <v>1091</v>
      </c>
      <c r="Q24" s="33" t="s">
        <v>1114</v>
      </c>
      <c r="R24" s="33" t="s">
        <v>1091</v>
      </c>
    </row>
    <row r="25" customFormat="false" ht="15" hidden="false" customHeight="false" outlineLevel="0" collapsed="false">
      <c r="A25" s="0" t="s">
        <v>1126</v>
      </c>
      <c r="B25" s="0" t="n">
        <v>10</v>
      </c>
      <c r="C25" s="34" t="n">
        <f aca="false">COUNTIFS(Cobros!$J$2:$J$5001,$B$3,Cobros!$K$2:$K$5001,$B25,Cobros!$H$2:$H$5001,$B$6)</f>
        <v>65</v>
      </c>
      <c r="D25" s="35" t="n">
        <f aca="false">SUMIFS(Cobros!$F$2:$F$5001,Cobros!$J$2:$J$5001,$B$3,Cobros!$K$2:$K$5001,$B25,Cobros!$H$2:$H$5001,$B$6)</f>
        <v>447600</v>
      </c>
      <c r="E25" s="35" t="n">
        <f aca="false">SUMIFS(Ventas!$I$2:$I$5001,Ventas!$K$2:$K$5001,$B$3,Ventas!$L$2:$L$5001,$B25,Ventas!$H$2:$H$5001,$B$6)</f>
        <v>164000</v>
      </c>
      <c r="F25" s="35" t="n">
        <f aca="false">D25+E25</f>
        <v>611600</v>
      </c>
      <c r="G25" s="35" t="n">
        <f aca="false">SUMIFS(Ventas!$J$2:$J$5001,Ventas!$K$2:$K$5001,$B$3,Ventas!$L$2:$L$5001,$B25,Ventas!$H$2:$H$5001,$B$6)</f>
        <v>105700</v>
      </c>
      <c r="H25" s="35" t="n">
        <f aca="false">IF($B$6="*",SUMIFS(Gastos!$C$2:$C$1001,Gastos!$D$2:$D$1001,$B$3,Gastos!$E$2:$E$1001,$B25),0)</f>
        <v>1150000</v>
      </c>
      <c r="I25" s="36" t="n">
        <f aca="false">IF(OR(F25=0,F24=0),0,(F25-F24)/F24)</f>
        <v>-0.541322933853307</v>
      </c>
      <c r="J25" s="34" t="n">
        <f aca="false">COUNTIFS(Cobros!$J$2:$J$5001,$B$3,Cobros!$K$2:$K$5001,$B25,Cobros!$H$2:$H$5001,$B$6,Cobros!$M$2:$M$5001,1)</f>
        <v>1</v>
      </c>
      <c r="K25" s="34" t="n">
        <f aca="false">C25-J25</f>
        <v>64</v>
      </c>
      <c r="L25" s="35" t="n">
        <f aca="false">IF(C25=0,0,D25/C25)</f>
        <v>6886.15384615385</v>
      </c>
      <c r="N25" s="0" t="str">
        <f aca="false">IF(Listas!D3="","",Listas!D3)</f>
        <v>Andrea Bolívar</v>
      </c>
      <c r="O25" s="35" t="n">
        <f aca="false">SUMIFS(Cobros!$F$2:$F$5001,Cobros!$J$2:$J$5001,$B$3,Cobros!$K$2:$K$5001,"&gt;="&amp;$B$4,Cobros!$K$2:$K$5001,"&lt;="&amp;$B$5,Cobros!$H$2:$H$5001,N25)+SUMIFS(Ventas!$I$2:$I$5001,Ventas!$K$2:$K$5001,$B$3,Ventas!$L$2:$L$5001,"&gt;="&amp;$B$4,Ventas!$L$2:$L$5001,"&lt;="&amp;$B$5,Ventas!$H$2:$H$5001,N25)</f>
        <v>3567050</v>
      </c>
      <c r="Q25" s="0" t="str">
        <f aca="false">IF(Listas!F2="","",Listas!F2)</f>
        <v>Agua</v>
      </c>
      <c r="R25" s="35" t="n">
        <f aca="false">SUMIFS(Ventas!$I$2:$I$5001,Ventas!$K$2:$K$5001,$B$3,Ventas!$L$2:$L$5001,"&gt;="&amp;$B$4,Ventas!$L$2:$L$5001,"&lt;="&amp;$B$5,Ventas!$H$2:$H$5001,$B$6,Ventas!$C$2:$C$5001,Q25)</f>
        <v>192000</v>
      </c>
    </row>
    <row r="26" customFormat="false" ht="15" hidden="false" customHeight="false" outlineLevel="0" collapsed="false">
      <c r="A26" s="0" t="s">
        <v>1127</v>
      </c>
      <c r="B26" s="0" t="n">
        <v>11</v>
      </c>
      <c r="C26" s="34" t="n">
        <f aca="false">COUNTIFS(Cobros!$J$2:$J$5001,$B$3,Cobros!$K$2:$K$5001,$B26,Cobros!$H$2:$H$5001,$B$6)</f>
        <v>0</v>
      </c>
      <c r="D26" s="35" t="n">
        <f aca="false">SUMIFS(Cobros!$F$2:$F$5001,Cobros!$J$2:$J$5001,$B$3,Cobros!$K$2:$K$5001,$B26,Cobros!$H$2:$H$5001,$B$6)</f>
        <v>0</v>
      </c>
      <c r="E26" s="35" t="n">
        <f aca="false">SUMIFS(Ventas!$I$2:$I$5001,Ventas!$K$2:$K$5001,$B$3,Ventas!$L$2:$L$5001,$B26,Ventas!$H$2:$H$5001,$B$6)</f>
        <v>0</v>
      </c>
      <c r="F26" s="35" t="n">
        <f aca="false">D26+E26</f>
        <v>0</v>
      </c>
      <c r="G26" s="35" t="n">
        <f aca="false">SUMIFS(Ventas!$J$2:$J$5001,Ventas!$K$2:$K$5001,$B$3,Ventas!$L$2:$L$5001,$B26,Ventas!$H$2:$H$5001,$B$6)</f>
        <v>0</v>
      </c>
      <c r="H26" s="35" t="n">
        <f aca="false">IF($B$6="*",SUMIFS(Gastos!$C$2:$C$1001,Gastos!$D$2:$D$1001,$B$3,Gastos!$E$2:$E$1001,$B26),0)</f>
        <v>0</v>
      </c>
      <c r="I26" s="36" t="n">
        <f aca="false">IF(OR(F26=0,F25=0),0,(F26-F25)/F25)</f>
        <v>0</v>
      </c>
      <c r="J26" s="34" t="n">
        <f aca="false">COUNTIFS(Cobros!$J$2:$J$5001,$B$3,Cobros!$K$2:$K$5001,$B26,Cobros!$H$2:$H$5001,$B$6,Cobros!$M$2:$M$5001,1)</f>
        <v>0</v>
      </c>
      <c r="K26" s="34" t="n">
        <f aca="false">C26-J26</f>
        <v>0</v>
      </c>
      <c r="L26" s="35" t="n">
        <f aca="false">IF(C26=0,0,D26/C26)</f>
        <v>0</v>
      </c>
      <c r="N26" s="0" t="str">
        <f aca="false">IF(Listas!D4="","",Listas!D4)</f>
        <v>Carlos Perdomo</v>
      </c>
      <c r="O26" s="35" t="n">
        <f aca="false">SUMIFS(Cobros!$F$2:$F$5001,Cobros!$J$2:$J$5001,$B$3,Cobros!$K$2:$K$5001,"&gt;="&amp;$B$4,Cobros!$K$2:$K$5001,"&lt;="&amp;$B$5,Cobros!$H$2:$H$5001,N26)+SUMIFS(Ventas!$I$2:$I$5001,Ventas!$K$2:$K$5001,$B$3,Ventas!$L$2:$L$5001,"&gt;="&amp;$B$4,Ventas!$L$2:$L$5001,"&lt;="&amp;$B$5,Ventas!$H$2:$H$5001,N26)</f>
        <v>3429625</v>
      </c>
      <c r="Q26" s="0" t="str">
        <f aca="false">IF(Listas!F3="","",Listas!F3)</f>
        <v>Bebidas</v>
      </c>
      <c r="R26" s="35" t="n">
        <f aca="false">SUMIFS(Ventas!$I$2:$I$5001,Ventas!$K$2:$K$5001,$B$3,Ventas!$L$2:$L$5001,"&gt;="&amp;$B$4,Ventas!$L$2:$L$5001,"&lt;="&amp;$B$5,Ventas!$H$2:$H$5001,$B$6,Ventas!$C$2:$C$5001,Q26)</f>
        <v>486000</v>
      </c>
    </row>
    <row r="27" customFormat="false" ht="15" hidden="false" customHeight="false" outlineLevel="0" collapsed="false">
      <c r="A27" s="0" t="s">
        <v>1128</v>
      </c>
      <c r="B27" s="0" t="n">
        <v>12</v>
      </c>
      <c r="C27" s="34" t="n">
        <f aca="false">COUNTIFS(Cobros!$J$2:$J$5001,$B$3,Cobros!$K$2:$K$5001,$B27,Cobros!$H$2:$H$5001,$B$6)</f>
        <v>0</v>
      </c>
      <c r="D27" s="35" t="n">
        <f aca="false">SUMIFS(Cobros!$F$2:$F$5001,Cobros!$J$2:$J$5001,$B$3,Cobros!$K$2:$K$5001,$B27,Cobros!$H$2:$H$5001,$B$6)</f>
        <v>0</v>
      </c>
      <c r="E27" s="35" t="n">
        <f aca="false">SUMIFS(Ventas!$I$2:$I$5001,Ventas!$K$2:$K$5001,$B$3,Ventas!$L$2:$L$5001,$B27,Ventas!$H$2:$H$5001,$B$6)</f>
        <v>0</v>
      </c>
      <c r="F27" s="35" t="n">
        <f aca="false">D27+E27</f>
        <v>0</v>
      </c>
      <c r="G27" s="35" t="n">
        <f aca="false">SUMIFS(Ventas!$J$2:$J$5001,Ventas!$K$2:$K$5001,$B$3,Ventas!$L$2:$L$5001,$B27,Ventas!$H$2:$H$5001,$B$6)</f>
        <v>0</v>
      </c>
      <c r="H27" s="35" t="n">
        <f aca="false">IF($B$6="*",SUMIFS(Gastos!$C$2:$C$1001,Gastos!$D$2:$D$1001,$B$3,Gastos!$E$2:$E$1001,$B27),0)</f>
        <v>0</v>
      </c>
      <c r="I27" s="36" t="n">
        <f aca="false">IF(OR(F27=0,F26=0),0,(F27-F26)/F26)</f>
        <v>0</v>
      </c>
      <c r="J27" s="34" t="n">
        <f aca="false">COUNTIFS(Cobros!$J$2:$J$5001,$B$3,Cobros!$K$2:$K$5001,$B27,Cobros!$H$2:$H$5001,$B$6,Cobros!$M$2:$M$5001,1)</f>
        <v>0</v>
      </c>
      <c r="K27" s="34" t="n">
        <f aca="false">C27-J27</f>
        <v>0</v>
      </c>
      <c r="L27" s="35" t="n">
        <f aca="false">IF(C27=0,0,D27/C27)</f>
        <v>0</v>
      </c>
      <c r="N27" s="0" t="str">
        <f aca="false">IF(Listas!D5="","",Listas!D5)</f>
        <v>Luisa Trujillo</v>
      </c>
      <c r="O27" s="35" t="n">
        <f aca="false">SUMIFS(Cobros!$F$2:$F$5001,Cobros!$J$2:$J$5001,$B$3,Cobros!$K$2:$K$5001,"&gt;="&amp;$B$4,Cobros!$K$2:$K$5001,"&lt;="&amp;$B$5,Cobros!$H$2:$H$5001,N27)+SUMIFS(Ventas!$I$2:$I$5001,Ventas!$K$2:$K$5001,$B$3,Ventas!$L$2:$L$5001,"&gt;="&amp;$B$4,Ventas!$L$2:$L$5001,"&lt;="&amp;$B$5,Ventas!$H$2:$H$5001,N27)</f>
        <v>3837012</v>
      </c>
      <c r="Q27" s="0" t="str">
        <f aca="false">IF(Listas!F4="","",Listas!F4)</f>
        <v>Café</v>
      </c>
      <c r="R27" s="35" t="n">
        <f aca="false">SUMIFS(Ventas!$I$2:$I$5001,Ventas!$K$2:$K$5001,$B$3,Ventas!$L$2:$L$5001,"&gt;="&amp;$B$4,Ventas!$L$2:$L$5001,"&lt;="&amp;$B$5,Ventas!$H$2:$H$5001,$B$6,Ventas!$C$2:$C$5001,Q27)</f>
        <v>89000</v>
      </c>
    </row>
    <row r="28" customFormat="false" ht="15" hidden="false" customHeight="false" outlineLevel="0" collapsed="false">
      <c r="N28" s="0" t="str">
        <f aca="false">IF(Listas!D6="","",Listas!D6)</f>
        <v/>
      </c>
      <c r="O28" s="35" t="n">
        <f aca="false">SUMIFS(Cobros!$F$2:$F$5001,Cobros!$J$2:$J$5001,$B$3,Cobros!$K$2:$K$5001,"&gt;="&amp;$B$4,Cobros!$K$2:$K$5001,"&lt;="&amp;$B$5,Cobros!$H$2:$H$5001,N28)+SUMIFS(Ventas!$I$2:$I$5001,Ventas!$K$2:$K$5001,$B$3,Ventas!$L$2:$L$5001,"&gt;="&amp;$B$4,Ventas!$L$2:$L$5001,"&lt;="&amp;$B$5,Ventas!$H$2:$H$5001,N28)</f>
        <v>0</v>
      </c>
      <c r="Q28" s="0" t="str">
        <f aca="false">IF(Listas!F5="","",Listas!F5)</f>
        <v>Cerveza</v>
      </c>
      <c r="R28" s="35" t="n">
        <f aca="false">SUMIFS(Ventas!$I$2:$I$5001,Ventas!$K$2:$K$5001,$B$3,Ventas!$L$2:$L$5001,"&gt;="&amp;$B$4,Ventas!$L$2:$L$5001,"&lt;="&amp;$B$5,Ventas!$H$2:$H$5001,$B$6,Ventas!$C$2:$C$5001,Q28)</f>
        <v>372000</v>
      </c>
    </row>
    <row r="29" customFormat="false" ht="15" hidden="false" customHeight="false" outlineLevel="0" collapsed="false">
      <c r="N29" s="0" t="str">
        <f aca="false">IF(Listas!D7="","",Listas!D7)</f>
        <v/>
      </c>
      <c r="O29" s="35" t="n">
        <f aca="false">SUMIFS(Cobros!$F$2:$F$5001,Cobros!$J$2:$J$5001,$B$3,Cobros!$K$2:$K$5001,"&gt;="&amp;$B$4,Cobros!$K$2:$K$5001,"&lt;="&amp;$B$5,Cobros!$H$2:$H$5001,N29)+SUMIFS(Ventas!$I$2:$I$5001,Ventas!$K$2:$K$5001,$B$3,Ventas!$L$2:$L$5001,"&gt;="&amp;$B$4,Ventas!$L$2:$L$5001,"&lt;="&amp;$B$5,Ventas!$H$2:$H$5001,N29)</f>
        <v>0</v>
      </c>
      <c r="Q29" s="0" t="str">
        <f aca="false">IF(Listas!F6="","",Listas!F6)</f>
        <v>Dulces</v>
      </c>
      <c r="R29" s="35" t="n">
        <f aca="false">SUMIFS(Ventas!$I$2:$I$5001,Ventas!$K$2:$K$5001,$B$3,Ventas!$L$2:$L$5001,"&gt;="&amp;$B$4,Ventas!$L$2:$L$5001,"&lt;="&amp;$B$5,Ventas!$H$2:$H$5001,$B$6,Ventas!$C$2:$C$5001,Q29)</f>
        <v>270000</v>
      </c>
    </row>
    <row r="30" customFormat="false" ht="15" hidden="false" customHeight="false" outlineLevel="0" collapsed="false">
      <c r="N30" s="0" t="str">
        <f aca="false">IF(Listas!D8="","",Listas!D8)</f>
        <v/>
      </c>
      <c r="O30" s="35" t="n">
        <f aca="false">SUMIFS(Cobros!$F$2:$F$5001,Cobros!$J$2:$J$5001,$B$3,Cobros!$K$2:$K$5001,"&gt;="&amp;$B$4,Cobros!$K$2:$K$5001,"&lt;="&amp;$B$5,Cobros!$H$2:$H$5001,N30)+SUMIFS(Ventas!$I$2:$I$5001,Ventas!$K$2:$K$5001,$B$3,Ventas!$L$2:$L$5001,"&gt;="&amp;$B$4,Ventas!$L$2:$L$5001,"&lt;="&amp;$B$5,Ventas!$H$2:$H$5001,N30)</f>
        <v>0</v>
      </c>
      <c r="Q30" s="0" t="str">
        <f aca="false">IF(Listas!F7="","",Listas!F7)</f>
        <v>Energizantes</v>
      </c>
      <c r="R30" s="35" t="n">
        <f aca="false">SUMIFS(Ventas!$I$2:$I$5001,Ventas!$K$2:$K$5001,$B$3,Ventas!$L$2:$L$5001,"&gt;="&amp;$B$4,Ventas!$L$2:$L$5001,"&lt;="&amp;$B$5,Ventas!$H$2:$H$5001,$B$6,Ventas!$C$2:$C$5001,Q30)</f>
        <v>742000</v>
      </c>
    </row>
    <row r="31" customFormat="false" ht="15" hidden="false" customHeight="false" outlineLevel="0" collapsed="false">
      <c r="N31" s="0" t="str">
        <f aca="false">IF(Listas!D9="","",Listas!D9)</f>
        <v/>
      </c>
      <c r="O31" s="35" t="n">
        <f aca="false">SUMIFS(Cobros!$F$2:$F$5001,Cobros!$J$2:$J$5001,$B$3,Cobros!$K$2:$K$5001,"&gt;="&amp;$B$4,Cobros!$K$2:$K$5001,"&lt;="&amp;$B$5,Cobros!$H$2:$H$5001,N31)+SUMIFS(Ventas!$I$2:$I$5001,Ventas!$K$2:$K$5001,$B$3,Ventas!$L$2:$L$5001,"&gt;="&amp;$B$4,Ventas!$L$2:$L$5001,"&lt;="&amp;$B$5,Ventas!$H$2:$H$5001,N31)</f>
        <v>0</v>
      </c>
      <c r="Q31" s="0" t="str">
        <f aca="false">IF(Listas!F8="","",Listas!F8)</f>
        <v>Galletas</v>
      </c>
      <c r="R31" s="35" t="n">
        <f aca="false">SUMIFS(Ventas!$I$2:$I$5001,Ventas!$K$2:$K$5001,$B$3,Ventas!$L$2:$L$5001,"&gt;="&amp;$B$4,Ventas!$L$2:$L$5001,"&lt;="&amp;$B$5,Ventas!$H$2:$H$5001,$B$6,Ventas!$C$2:$C$5001,Q31)</f>
        <v>144000</v>
      </c>
    </row>
    <row r="32" customFormat="false" ht="15" hidden="false" customHeight="false" outlineLevel="0" collapsed="false">
      <c r="N32" s="0" t="str">
        <f aca="false">IF(Listas!D10="","",Listas!D10)</f>
        <v/>
      </c>
      <c r="O32" s="35" t="n">
        <f aca="false">SUMIFS(Cobros!$F$2:$F$5001,Cobros!$J$2:$J$5001,$B$3,Cobros!$K$2:$K$5001,"&gt;="&amp;$B$4,Cobros!$K$2:$K$5001,"&lt;="&amp;$B$5,Cobros!$H$2:$H$5001,N32)+SUMIFS(Ventas!$I$2:$I$5001,Ventas!$K$2:$K$5001,$B$3,Ventas!$L$2:$L$5001,"&gt;="&amp;$B$4,Ventas!$L$2:$L$5001,"&lt;="&amp;$B$5,Ventas!$H$2:$H$5001,N32)</f>
        <v>0</v>
      </c>
      <c r="Q32" s="0" t="str">
        <f aca="false">IF(Listas!F9="","",Listas!F9)</f>
        <v>Gaseosas</v>
      </c>
      <c r="R32" s="35" t="n">
        <f aca="false">SUMIFS(Ventas!$I$2:$I$5001,Ventas!$K$2:$K$5001,$B$3,Ventas!$L$2:$L$5001,"&gt;="&amp;$B$4,Ventas!$L$2:$L$5001,"&lt;="&amp;$B$5,Ventas!$H$2:$H$5001,$B$6,Ventas!$C$2:$C$5001,Q32)</f>
        <v>414000</v>
      </c>
    </row>
    <row r="33" customFormat="false" ht="15" hidden="false" customHeight="false" outlineLevel="0" collapsed="false">
      <c r="N33" s="0" t="str">
        <f aca="false">IF(Listas!D11="","",Listas!D11)</f>
        <v/>
      </c>
      <c r="O33" s="35" t="n">
        <f aca="false">SUMIFS(Cobros!$F$2:$F$5001,Cobros!$J$2:$J$5001,$B$3,Cobros!$K$2:$K$5001,"&gt;="&amp;$B$4,Cobros!$K$2:$K$5001,"&lt;="&amp;$B$5,Cobros!$H$2:$H$5001,N33)+SUMIFS(Ventas!$I$2:$I$5001,Ventas!$K$2:$K$5001,$B$3,Ventas!$L$2:$L$5001,"&gt;="&amp;$B$4,Ventas!$L$2:$L$5001,"&lt;="&amp;$B$5,Ventas!$H$2:$H$5001,N33)</f>
        <v>0</v>
      </c>
      <c r="Q33" s="0" t="str">
        <f aca="false">IF(Listas!F10="","",Listas!F10)</f>
        <v>Snacks</v>
      </c>
      <c r="R33" s="35" t="n">
        <f aca="false">SUMIFS(Ventas!$I$2:$I$5001,Ventas!$K$2:$K$5001,$B$3,Ventas!$L$2:$L$5001,"&gt;="&amp;$B$4,Ventas!$L$2:$L$5001,"&lt;="&amp;$B$5,Ventas!$H$2:$H$5001,$B$6,Ventas!$C$2:$C$5001,Q33)</f>
        <v>235000</v>
      </c>
    </row>
    <row r="34" customFormat="false" ht="15" hidden="false" customHeight="false" outlineLevel="0" collapsed="false">
      <c r="N34" s="0" t="str">
        <f aca="false">IF(Listas!D12="","",Listas!D12)</f>
        <v/>
      </c>
      <c r="O34" s="35" t="n">
        <f aca="false">SUMIFS(Cobros!$F$2:$F$5001,Cobros!$J$2:$J$5001,$B$3,Cobros!$K$2:$K$5001,"&gt;="&amp;$B$4,Cobros!$K$2:$K$5001,"&lt;="&amp;$B$5,Cobros!$H$2:$H$5001,N34)+SUMIFS(Ventas!$I$2:$I$5001,Ventas!$K$2:$K$5001,$B$3,Ventas!$L$2:$L$5001,"&gt;="&amp;$B$4,Ventas!$L$2:$L$5001,"&lt;="&amp;$B$5,Ventas!$H$2:$H$5001,N34)</f>
        <v>0</v>
      </c>
      <c r="Q34" s="0" t="str">
        <f aca="false">IF(Listas!F11="","",Listas!F11)</f>
        <v/>
      </c>
      <c r="R34" s="35" t="n">
        <f aca="false">SUMIFS(Ventas!$I$2:$I$5001,Ventas!$K$2:$K$5001,$B$3,Ventas!$L$2:$L$5001,"&gt;="&amp;$B$4,Ventas!$L$2:$L$5001,"&lt;="&amp;$B$5,Ventas!$H$2:$H$5001,$B$6,Ventas!$C$2:$C$5001,Q34)</f>
        <v>0</v>
      </c>
    </row>
    <row r="35" customFormat="false" ht="15" hidden="false" customHeight="false" outlineLevel="0" collapsed="false">
      <c r="Q35" s="0" t="str">
        <f aca="false">IF(Listas!F12="","",Listas!F12)</f>
        <v/>
      </c>
      <c r="R35" s="35" t="n">
        <f aca="false">SUMIFS(Ventas!$I$2:$I$5001,Ventas!$K$2:$K$5001,$B$3,Ventas!$L$2:$L$5001,"&gt;="&amp;$B$4,Ventas!$L$2:$L$5001,"&lt;="&amp;$B$5,Ventas!$H$2:$H$5001,$B$6,Ventas!$C$2:$C$5001,Q35)</f>
        <v>0</v>
      </c>
    </row>
    <row r="36" customFormat="false" ht="15" hidden="false" customHeight="false" outlineLevel="0" collapsed="false">
      <c r="Q36" s="0" t="str">
        <f aca="false">IF(Listas!F13="","",Listas!F13)</f>
        <v/>
      </c>
      <c r="R36" s="35" t="n">
        <f aca="false">SUMIFS(Ventas!$I$2:$I$5001,Ventas!$K$2:$K$5001,$B$3,Ventas!$L$2:$L$5001,"&gt;="&amp;$B$4,Ventas!$L$2:$L$5001,"&lt;="&amp;$B$5,Ventas!$H$2:$H$5001,$B$6,Ventas!$C$2:$C$5001,Q36)</f>
        <v>0</v>
      </c>
    </row>
    <row r="40" customFormat="false" ht="15" hidden="false" customHeight="false" outlineLevel="0" collapsed="false">
      <c r="T40" s="31" t="s">
        <v>1129</v>
      </c>
    </row>
    <row r="41" customFormat="false" ht="15" hidden="false" customHeight="false" outlineLevel="0" collapsed="false">
      <c r="T41" s="33" t="s">
        <v>1114</v>
      </c>
      <c r="U41" s="33" t="s">
        <v>1091</v>
      </c>
    </row>
    <row r="42" customFormat="false" ht="15" hidden="false" customHeight="false" outlineLevel="0" collapsed="false">
      <c r="T42" s="0" t="s">
        <v>1130</v>
      </c>
      <c r="U42" s="32" t="n">
        <f aca="false">COUNTIFS(Cobros!$J$2:$J$5001,$B$3,Cobros!$K$2:$K$5001,"&gt;="&amp;$B$4,Cobros!$K$2:$K$5001,"&lt;="&amp;$B$5,Cobros!$H$2:$H$5001,$B$6,Cobros!$L$2:$L$5001,VALUE(T42))</f>
        <v>0</v>
      </c>
    </row>
    <row r="43" customFormat="false" ht="15" hidden="false" customHeight="false" outlineLevel="0" collapsed="false">
      <c r="T43" s="0" t="s">
        <v>1131</v>
      </c>
      <c r="U43" s="32" t="n">
        <f aca="false">COUNTIFS(Cobros!$J$2:$J$5001,$B$3,Cobros!$K$2:$K$5001,"&gt;="&amp;$B$4,Cobros!$K$2:$K$5001,"&lt;="&amp;$B$5,Cobros!$H$2:$H$5001,$B$6,Cobros!$L$2:$L$5001,VALUE(T43))</f>
        <v>70</v>
      </c>
    </row>
    <row r="44" customFormat="false" ht="15" hidden="false" customHeight="false" outlineLevel="0" collapsed="false">
      <c r="T44" s="0" t="s">
        <v>1132</v>
      </c>
      <c r="U44" s="32" t="n">
        <f aca="false">COUNTIFS(Cobros!$J$2:$J$5001,$B$3,Cobros!$K$2:$K$5001,"&gt;="&amp;$B$4,Cobros!$K$2:$K$5001,"&lt;="&amp;$B$5,Cobros!$H$2:$H$5001,$B$6,Cobros!$L$2:$L$5001,VALUE(T44))</f>
        <v>139</v>
      </c>
    </row>
    <row r="45" customFormat="false" ht="15" hidden="false" customHeight="false" outlineLevel="0" collapsed="false">
      <c r="T45" s="0" t="s">
        <v>1133</v>
      </c>
      <c r="U45" s="32" t="n">
        <f aca="false">COUNTIFS(Cobros!$J$2:$J$5001,$B$3,Cobros!$K$2:$K$5001,"&gt;="&amp;$B$4,Cobros!$K$2:$K$5001,"&lt;="&amp;$B$5,Cobros!$H$2:$H$5001,$B$6,Cobros!$L$2:$L$5001,VALUE(T45))</f>
        <v>132</v>
      </c>
    </row>
    <row r="46" customFormat="false" ht="15" hidden="false" customHeight="false" outlineLevel="0" collapsed="false">
      <c r="T46" s="0" t="s">
        <v>1134</v>
      </c>
      <c r="U46" s="32" t="n">
        <f aca="false">COUNTIFS(Cobros!$J$2:$J$5001,$B$3,Cobros!$K$2:$K$5001,"&gt;="&amp;$B$4,Cobros!$K$2:$K$5001,"&lt;="&amp;$B$5,Cobros!$H$2:$H$5001,$B$6,Cobros!$L$2:$L$5001,VALUE(T46))</f>
        <v>75</v>
      </c>
    </row>
    <row r="47" customFormat="false" ht="15" hidden="false" customHeight="false" outlineLevel="0" collapsed="false">
      <c r="T47" s="0" t="s">
        <v>1135</v>
      </c>
      <c r="U47" s="32" t="n">
        <f aca="false">COUNTIFS(Cobros!$J$2:$J$5001,$B$3,Cobros!$K$2:$K$5001,"&gt;="&amp;$B$4,Cobros!$K$2:$K$5001,"&lt;="&amp;$B$5,Cobros!$H$2:$H$5001,$B$6,Cobros!$L$2:$L$5001,VALUE(T47))</f>
        <v>65</v>
      </c>
    </row>
    <row r="48" customFormat="false" ht="15" hidden="false" customHeight="false" outlineLevel="0" collapsed="false">
      <c r="T48" s="0" t="s">
        <v>1136</v>
      </c>
      <c r="U48" s="32" t="n">
        <f aca="false">COUNTIFS(Cobros!$J$2:$J$5001,$B$3,Cobros!$K$2:$K$5001,"&gt;="&amp;$B$4,Cobros!$K$2:$K$5001,"&lt;="&amp;$B$5,Cobros!$H$2:$H$5001,$B$6,Cobros!$L$2:$L$5001,VALUE(T48))</f>
        <v>64</v>
      </c>
    </row>
    <row r="49" customFormat="false" ht="15" hidden="false" customHeight="false" outlineLevel="0" collapsed="false">
      <c r="T49" s="0" t="s">
        <v>1137</v>
      </c>
      <c r="U49" s="32" t="n">
        <f aca="false">COUNTIFS(Cobros!$J$2:$J$5001,$B$3,Cobros!$K$2:$K$5001,"&gt;="&amp;$B$4,Cobros!$K$2:$K$5001,"&lt;="&amp;$B$5,Cobros!$H$2:$H$5001,$B$6,Cobros!$L$2:$L$5001,VALUE(T49))</f>
        <v>64</v>
      </c>
    </row>
    <row r="50" customFormat="false" ht="15" hidden="false" customHeight="false" outlineLevel="0" collapsed="false">
      <c r="T50" s="0" t="s">
        <v>1138</v>
      </c>
      <c r="U50" s="32" t="n">
        <f aca="false">COUNTIFS(Cobros!$J$2:$J$5001,$B$3,Cobros!$K$2:$K$5001,"&gt;="&amp;$B$4,Cobros!$K$2:$K$5001,"&lt;="&amp;$B$5,Cobros!$H$2:$H$5001,$B$6,Cobros!$L$2:$L$5001,VALUE(T50))</f>
        <v>53</v>
      </c>
    </row>
    <row r="51" customFormat="false" ht="15" hidden="false" customHeight="false" outlineLevel="0" collapsed="false">
      <c r="T51" s="0" t="s">
        <v>1139</v>
      </c>
      <c r="U51" s="32" t="n">
        <f aca="false">COUNTIFS(Cobros!$J$2:$J$5001,$B$3,Cobros!$K$2:$K$5001,"&gt;="&amp;$B$4,Cobros!$K$2:$K$5001,"&lt;="&amp;$B$5,Cobros!$H$2:$H$5001,$B$6,Cobros!$L$2:$L$5001,VALUE(T51))</f>
        <v>55</v>
      </c>
    </row>
    <row r="52" customFormat="false" ht="15" hidden="false" customHeight="false" outlineLevel="0" collapsed="false">
      <c r="T52" s="0" t="s">
        <v>1140</v>
      </c>
      <c r="U52" s="32" t="n">
        <f aca="false">COUNTIFS(Cobros!$J$2:$J$5001,$B$3,Cobros!$K$2:$K$5001,"&gt;="&amp;$B$4,Cobros!$K$2:$K$5001,"&lt;="&amp;$B$5,Cobros!$H$2:$H$5001,$B$6,Cobros!$L$2:$L$5001,VALUE(T52))</f>
        <v>65</v>
      </c>
    </row>
    <row r="53" customFormat="false" ht="15" hidden="false" customHeight="false" outlineLevel="0" collapsed="false">
      <c r="T53" s="0" t="s">
        <v>1141</v>
      </c>
      <c r="U53" s="32" t="n">
        <f aca="false">COUNTIFS(Cobros!$J$2:$J$5001,$B$3,Cobros!$K$2:$K$5001,"&gt;="&amp;$B$4,Cobros!$K$2:$K$5001,"&lt;="&amp;$B$5,Cobros!$H$2:$H$5001,$B$6,Cobros!$L$2:$L$5001,VALUE(T53))</f>
        <v>62</v>
      </c>
    </row>
    <row r="54" customFormat="false" ht="15" hidden="false" customHeight="false" outlineLevel="0" collapsed="false">
      <c r="T54" s="0" t="s">
        <v>1142</v>
      </c>
      <c r="U54" s="32" t="n">
        <f aca="false">COUNTIFS(Cobros!$J$2:$J$5001,$B$3,Cobros!$K$2:$K$5001,"&gt;="&amp;$B$4,Cobros!$K$2:$K$5001,"&lt;="&amp;$B$5,Cobros!$H$2:$H$5001,$B$6,Cobros!$L$2:$L$5001,VALUE(T54))</f>
        <v>74</v>
      </c>
    </row>
    <row r="55" customFormat="false" ht="15" hidden="false" customHeight="false" outlineLevel="0" collapsed="false">
      <c r="T55" s="0" t="s">
        <v>1143</v>
      </c>
      <c r="U55" s="32" t="n">
        <f aca="false">COUNTIFS(Cobros!$J$2:$J$5001,$B$3,Cobros!$K$2:$K$5001,"&gt;="&amp;$B$4,Cobros!$K$2:$K$5001,"&lt;="&amp;$B$5,Cobros!$H$2:$H$5001,$B$6,Cobros!$L$2:$L$5001,VALUE(T55))</f>
        <v>77</v>
      </c>
    </row>
    <row r="56" customFormat="false" ht="15" hidden="false" customHeight="false" outlineLevel="0" collapsed="false">
      <c r="T56" s="0" t="s">
        <v>1144</v>
      </c>
      <c r="U56" s="32" t="n">
        <f aca="false">COUNTIFS(Cobros!$J$2:$J$5001,$B$3,Cobros!$K$2:$K$5001,"&gt;="&amp;$B$4,Cobros!$K$2:$K$5001,"&lt;="&amp;$B$5,Cobros!$H$2:$H$5001,$B$6,Cobros!$L$2:$L$5001,VALUE(T56))</f>
        <v>70</v>
      </c>
    </row>
    <row r="57" customFormat="false" ht="15" hidden="false" customHeight="false" outlineLevel="0" collapsed="false">
      <c r="T57" s="0" t="s">
        <v>1145</v>
      </c>
      <c r="U57" s="32" t="n">
        <f aca="false">COUNTIFS(Cobros!$J$2:$J$5001,$B$3,Cobros!$K$2:$K$5001,"&gt;="&amp;$B$4,Cobros!$K$2:$K$5001,"&lt;="&amp;$B$5,Cobros!$H$2:$H$5001,$B$6,Cobros!$L$2:$L$5001,VALUE(T57))</f>
        <v>85</v>
      </c>
    </row>
    <row r="58" customFormat="false" ht="15" hidden="false" customHeight="false" outlineLevel="0" collapsed="false">
      <c r="T58" s="0" t="s">
        <v>1146</v>
      </c>
      <c r="U58" s="32" t="n">
        <f aca="false">COUNTIFS(Cobros!$J$2:$J$5001,$B$3,Cobros!$K$2:$K$5001,"&gt;="&amp;$B$4,Cobros!$K$2:$K$5001,"&lt;="&amp;$B$5,Cobros!$H$2:$H$5001,$B$6,Cobros!$L$2:$L$5001,VALUE(T58))</f>
        <v>0</v>
      </c>
    </row>
    <row r="59" customFormat="false" ht="15" hidden="false" customHeight="false" outlineLevel="0" collapsed="false">
      <c r="T59" s="0" t="s">
        <v>1147</v>
      </c>
      <c r="U59" s="32" t="n">
        <f aca="false">COUNTIFS(Cobros!$J$2:$J$5001,$B$3,Cobros!$K$2:$K$5001,"&gt;="&amp;$B$4,Cobros!$K$2:$K$5001,"&lt;="&amp;$B$5,Cobros!$H$2:$H$5001,$B$6,Cobros!$L$2:$L$5001,VALUE(T59))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31" t="s">
        <v>1148</v>
      </c>
      <c r="B1" s="31" t="s">
        <v>1109</v>
      </c>
      <c r="C1" s="31" t="s">
        <v>1149</v>
      </c>
      <c r="D1" s="31" t="s">
        <v>1150</v>
      </c>
      <c r="E1" s="31" t="s">
        <v>1151</v>
      </c>
      <c r="F1" s="31" t="s">
        <v>1152</v>
      </c>
    </row>
    <row r="2" customFormat="false" ht="15" hidden="false" customHeight="false" outlineLevel="0" collapsed="false">
      <c r="A2" s="0" t="s">
        <v>1115</v>
      </c>
      <c r="B2" s="0" t="n">
        <v>1</v>
      </c>
      <c r="C2" s="0" t="s">
        <v>21</v>
      </c>
      <c r="D2" s="0" t="s">
        <v>21</v>
      </c>
      <c r="E2" s="0" t="n">
        <v>2024</v>
      </c>
      <c r="F2" s="0" t="s">
        <v>1072</v>
      </c>
    </row>
    <row r="3" customFormat="false" ht="15" hidden="false" customHeight="false" outlineLevel="0" collapsed="false">
      <c r="A3" s="0" t="s">
        <v>1116</v>
      </c>
      <c r="B3" s="0" t="n">
        <v>2</v>
      </c>
      <c r="C3" s="0" t="s">
        <v>1115</v>
      </c>
      <c r="D3" s="0" t="s">
        <v>80</v>
      </c>
      <c r="E3" s="0" t="n">
        <v>2025</v>
      </c>
      <c r="F3" s="0" t="s">
        <v>1070</v>
      </c>
    </row>
    <row r="4" customFormat="false" ht="15" hidden="false" customHeight="false" outlineLevel="0" collapsed="false">
      <c r="A4" s="0" t="s">
        <v>1117</v>
      </c>
      <c r="B4" s="0" t="n">
        <v>3</v>
      </c>
      <c r="C4" s="0" t="s">
        <v>1116</v>
      </c>
      <c r="D4" s="0" t="s">
        <v>60</v>
      </c>
      <c r="E4" s="0" t="n">
        <v>2026</v>
      </c>
      <c r="F4" s="0" t="s">
        <v>1076</v>
      </c>
    </row>
    <row r="5" customFormat="false" ht="15" hidden="false" customHeight="false" outlineLevel="0" collapsed="false">
      <c r="A5" s="0" t="s">
        <v>1118</v>
      </c>
      <c r="B5" s="0" t="n">
        <v>4</v>
      </c>
      <c r="C5" s="0" t="s">
        <v>1117</v>
      </c>
      <c r="D5" s="0" t="s">
        <v>55</v>
      </c>
      <c r="E5" s="0" t="n">
        <v>2027</v>
      </c>
      <c r="F5" s="0" t="s">
        <v>1068</v>
      </c>
    </row>
    <row r="6" customFormat="false" ht="15" hidden="false" customHeight="false" outlineLevel="0" collapsed="false">
      <c r="A6" s="0" t="s">
        <v>1119</v>
      </c>
      <c r="B6" s="0" t="n">
        <v>5</v>
      </c>
      <c r="C6" s="0" t="s">
        <v>1118</v>
      </c>
      <c r="E6" s="0" t="n">
        <v>2028</v>
      </c>
      <c r="F6" s="0" t="s">
        <v>1082</v>
      </c>
    </row>
    <row r="7" customFormat="false" ht="15" hidden="false" customHeight="false" outlineLevel="0" collapsed="false">
      <c r="A7" s="0" t="s">
        <v>1120</v>
      </c>
      <c r="B7" s="0" t="n">
        <v>6</v>
      </c>
      <c r="C7" s="0" t="s">
        <v>1119</v>
      </c>
      <c r="F7" s="0" t="s">
        <v>1074</v>
      </c>
    </row>
    <row r="8" customFormat="false" ht="15" hidden="false" customHeight="false" outlineLevel="0" collapsed="false">
      <c r="A8" s="0" t="s">
        <v>1121</v>
      </c>
      <c r="B8" s="0" t="n">
        <v>7</v>
      </c>
      <c r="C8" s="0" t="s">
        <v>1120</v>
      </c>
      <c r="F8" s="0" t="s">
        <v>1078</v>
      </c>
    </row>
    <row r="9" customFormat="false" ht="15" hidden="false" customHeight="false" outlineLevel="0" collapsed="false">
      <c r="A9" s="0" t="s">
        <v>1122</v>
      </c>
      <c r="B9" s="0" t="n">
        <v>8</v>
      </c>
      <c r="C9" s="0" t="s">
        <v>1121</v>
      </c>
      <c r="F9" s="0" t="s">
        <v>1066</v>
      </c>
    </row>
    <row r="10" customFormat="false" ht="15" hidden="false" customHeight="false" outlineLevel="0" collapsed="false">
      <c r="A10" s="0" t="s">
        <v>1125</v>
      </c>
      <c r="B10" s="0" t="n">
        <v>9</v>
      </c>
      <c r="C10" s="0" t="s">
        <v>1122</v>
      </c>
      <c r="F10" s="0" t="s">
        <v>1080</v>
      </c>
    </row>
    <row r="11" customFormat="false" ht="15" hidden="false" customHeight="false" outlineLevel="0" collapsed="false">
      <c r="A11" s="0" t="s">
        <v>1126</v>
      </c>
      <c r="B11" s="0" t="n">
        <v>10</v>
      </c>
      <c r="C11" s="0" t="s">
        <v>1125</v>
      </c>
    </row>
    <row r="12" customFormat="false" ht="15" hidden="false" customHeight="false" outlineLevel="0" collapsed="false">
      <c r="A12" s="0" t="s">
        <v>1127</v>
      </c>
      <c r="B12" s="0" t="n">
        <v>11</v>
      </c>
      <c r="C12" s="0" t="s">
        <v>1126</v>
      </c>
    </row>
    <row r="13" customFormat="false" ht="15" hidden="false" customHeight="false" outlineLevel="0" collapsed="false">
      <c r="A13" s="0" t="s">
        <v>1128</v>
      </c>
      <c r="B13" s="0" t="n">
        <v>12</v>
      </c>
      <c r="C13" s="0" t="s">
        <v>1127</v>
      </c>
    </row>
    <row r="14" customFormat="false" ht="15" hidden="false" customHeight="false" outlineLevel="0" collapsed="false">
      <c r="C14" s="0" t="s">
        <v>1128</v>
      </c>
      <c r="D14" s="0" t="s">
        <v>1153</v>
      </c>
      <c r="F14" s="0" t="s">
        <v>1154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2026-10-21T20:27:16Z</dcterms:created>
  <dc:creator>openpyxl</dc:creator>
  <dc:description/>
  <dc:language>en-US</dc:language>
  <cp:lastModifiedBy/>
  <dcterms:modified xsi:type="dcterms:W3CDTF">2026-10-21T20:27:22Z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